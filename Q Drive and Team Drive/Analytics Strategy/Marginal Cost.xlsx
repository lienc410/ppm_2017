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  <sheet state="visible" name="Competitor Pricing" sheetId="2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10">
      <text>
        <t xml:space="preserve">The assumption is that the customer pays for Intex and eMBS separately.
	-Unknown</t>
      </text>
    </comment>
  </commentList>
</comments>
</file>

<file path=xl/sharedStrings.xml><?xml version="1.0" encoding="utf-8"?>
<sst xmlns="http://schemas.openxmlformats.org/spreadsheetml/2006/main" count="47" uniqueCount="46">
  <si>
    <t>All numbers annualized</t>
  </si>
  <si>
    <t>price per license</t>
  </si>
  <si>
    <t>CPR/CDR</t>
  </si>
  <si>
    <t>this includes pool database</t>
  </si>
  <si>
    <t>1010Data</t>
  </si>
  <si>
    <t>Yield Book (2018)</t>
  </si>
  <si>
    <t>Unlimited CPU</t>
  </si>
  <si>
    <t>Proposed price per license for a GUI user</t>
  </si>
  <si>
    <t>Limited CPU</t>
  </si>
  <si>
    <t>Margin cost of unlimited CPU</t>
  </si>
  <si>
    <t>1st License</t>
  </si>
  <si>
    <t>Initial 
(20 users)</t>
  </si>
  <si>
    <t>High Maturity (100 users)</t>
  </si>
  <si>
    <t>Incremental cost category</t>
  </si>
  <si>
    <t>2nd</t>
  </si>
  <si>
    <t>Unscaled Cost</t>
  </si>
  <si>
    <t>3rd &amp; 4th</t>
  </si>
  <si>
    <t>Scaling Factor</t>
  </si>
  <si>
    <t>Final Cost</t>
  </si>
  <si>
    <t>Computation grid hosting and monitoring costs</t>
  </si>
  <si>
    <t>5th &amp; more</t>
  </si>
  <si>
    <t>Avg Cost per licence</t>
  </si>
  <si>
    <t># licenses</t>
  </si>
  <si>
    <t>Unlimited avg price</t>
  </si>
  <si>
    <t>limited avg price</t>
  </si>
  <si>
    <t>Mid-level Maturity (50)</t>
  </si>
  <si>
    <t>Database query cost(for Slicer)</t>
  </si>
  <si>
    <t>Customer support and account management costs (help desk)</t>
  </si>
  <si>
    <t>Software license fee for products embedded in app (Sybase, embs etc.)</t>
  </si>
  <si>
    <t>New user feature requests and support costs</t>
  </si>
  <si>
    <t>Estimated YB seats outstanding</t>
  </si>
  <si>
    <t>Unlimited</t>
  </si>
  <si>
    <t>Limited</t>
  </si>
  <si>
    <t>Annual Revenue</t>
  </si>
  <si>
    <t># of licence per user</t>
  </si>
  <si>
    <t>annual rev per user</t>
  </si>
  <si>
    <t># of users</t>
  </si>
  <si>
    <t>Total Revenue</t>
  </si>
  <si>
    <t>Marginal Gross Profit</t>
  </si>
  <si>
    <t>Assumptions</t>
  </si>
  <si>
    <t>48 workers per machine; 1 machine can support 6 simul users</t>
  </si>
  <si>
    <t>Developer FTE (debugger): 2 months per new account. $180K</t>
  </si>
  <si>
    <t>Help Desk FTE: $180K. 1/2 person for 20 users</t>
  </si>
  <si>
    <t>Number of Pricing users per 24 core grid server</t>
  </si>
  <si>
    <t>Number of Slicer users per 28 core IQ server</t>
  </si>
  <si>
    <t>Costs do not include R&amp;D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</si>
</sst>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"/>
    <numFmt numFmtId="165" formatCode="&quot;$&quot;#,##0.00"/>
    <numFmt numFmtId="166" formatCode="_(&quot;$&quot;* #,##0.00_);_(&quot;$&quot;* \(#,##0.00\);_(&quot;$&quot;* &quot;-&quot;??_);_(@_)"/>
    <numFmt numFmtId="167" formatCode="_(&quot;$&quot;* #,##0_);_(&quot;$&quot;* \(#,##0\);_(&quot;$&quot;* &quot;-&quot;??_);_(@_)"/>
  </numFmts>
  <fonts count="9">
    <font>
      <sz val="10.0"/>
      <color rgb="FF000000"/>
      <name val="Arial"/>
    </font>
    <font>
      <b/>
    </font>
    <font/>
    <font>
      <b/>
      <sz val="11.0"/>
    </font>
    <font>
      <b/>
      <sz val="11.0"/>
      <color rgb="FF222222"/>
      <name val="Arial"/>
    </font>
    <font>
      <sz val="11.0"/>
    </font>
    <font>
      <sz val="11.0"/>
      <color rgb="FF222222"/>
      <name val="Arial"/>
    </font>
    <font>
      <i/>
    </font>
    <font>
      <b/>
      <i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3" numFmtId="0" xfId="0" applyAlignment="1" applyFont="1">
      <alignment horizontal="center" readingOrder="0" shrinkToFit="0" vertical="top" wrapText="1"/>
    </xf>
    <xf borderId="0" fillId="0" fontId="3" numFmtId="0" xfId="0" applyAlignment="1" applyFont="1">
      <alignment horizontal="center" readingOrder="0"/>
    </xf>
    <xf borderId="0" fillId="0" fontId="2" numFmtId="166" xfId="0" applyFont="1" applyNumberFormat="1"/>
    <xf borderId="1" fillId="0" fontId="4" numFmtId="0" xfId="0" applyAlignment="1" applyBorder="1" applyFont="1">
      <alignment readingOrder="0"/>
    </xf>
    <xf borderId="1" fillId="0" fontId="2" numFmtId="0" xfId="0" applyBorder="1" applyFont="1"/>
    <xf borderId="1" fillId="0" fontId="5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0" fillId="0" fontId="2" numFmtId="3" xfId="0" applyFont="1" applyNumberFormat="1"/>
    <xf borderId="0" fillId="0" fontId="7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1" fillId="0" fontId="6" numFmtId="0" xfId="0" applyAlignment="1" applyBorder="1" applyFont="1">
      <alignment readingOrder="0"/>
    </xf>
    <xf borderId="1" fillId="0" fontId="2" numFmtId="3" xfId="0" applyAlignment="1" applyBorder="1" applyFont="1" applyNumberFormat="1">
      <alignment readingOrder="0"/>
    </xf>
    <xf borderId="0" fillId="0" fontId="2" numFmtId="167" xfId="0" applyFont="1" applyNumberFormat="1"/>
    <xf borderId="1" fillId="0" fontId="2" numFmtId="3" xfId="0" applyBorder="1" applyFont="1" applyNumberFormat="1"/>
    <xf borderId="1" fillId="0" fontId="2" numFmtId="9" xfId="0" applyAlignment="1" applyBorder="1" applyFont="1" applyNumberFormat="1">
      <alignment readingOrder="0"/>
    </xf>
    <xf borderId="2" fillId="0" fontId="2" numFmtId="0" xfId="0" applyBorder="1" applyFont="1"/>
    <xf borderId="2" fillId="0" fontId="2" numFmtId="3" xfId="0" applyBorder="1" applyFont="1" applyNumberFormat="1"/>
    <xf borderId="1" fillId="0" fontId="2" numFmtId="0" xfId="0" applyAlignment="1" applyBorder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71.57"/>
    <col customWidth="1" min="3" max="4" width="15.29"/>
    <col hidden="1" min="9" max="11" width="14.43"/>
  </cols>
  <sheetData>
    <row r="1">
      <c r="B1" s="1" t="s">
        <v>0</v>
      </c>
    </row>
    <row r="2">
      <c r="B2" s="2"/>
      <c r="C2" s="3"/>
    </row>
    <row r="3">
      <c r="B3" s="2" t="s">
        <v>7</v>
      </c>
      <c r="C3" s="3">
        <v>60000.0</v>
      </c>
    </row>
    <row r="5">
      <c r="C5" s="7" t="s">
        <v>11</v>
      </c>
      <c r="D5" s="8" t="s">
        <v>12</v>
      </c>
    </row>
    <row r="6">
      <c r="B6" s="10" t="s">
        <v>13</v>
      </c>
      <c r="C6" s="11"/>
      <c r="D6" s="12" t="s">
        <v>15</v>
      </c>
      <c r="E6" s="12" t="s">
        <v>17</v>
      </c>
      <c r="F6" s="12" t="s">
        <v>18</v>
      </c>
    </row>
    <row r="7">
      <c r="B7" s="13" t="s">
        <v>19</v>
      </c>
      <c r="C7" s="14">
        <f>1600*12*20/C22</f>
        <v>38400</v>
      </c>
      <c r="D7" s="14">
        <f t="shared" ref="D7:D11" si="1">C7*5</f>
        <v>192000</v>
      </c>
      <c r="E7" s="16">
        <v>0.5</v>
      </c>
      <c r="F7">
        <f t="shared" ref="F7:F11" si="2">D7*E7</f>
        <v>96000</v>
      </c>
      <c r="J7" s="1" t="s">
        <v>25</v>
      </c>
    </row>
    <row r="8">
      <c r="B8" s="13" t="s">
        <v>26</v>
      </c>
      <c r="C8" s="17">
        <f>90000*20/C23</f>
        <v>180000</v>
      </c>
      <c r="D8" s="14">
        <f t="shared" si="1"/>
        <v>900000</v>
      </c>
      <c r="E8" s="16">
        <v>0.75</v>
      </c>
      <c r="F8">
        <f t="shared" si="2"/>
        <v>675000</v>
      </c>
      <c r="J8" s="14" t="str">
        <f>(#REF!+#REF!)/2</f>
        <v>#REF!</v>
      </c>
    </row>
    <row r="9">
      <c r="B9" s="13" t="s">
        <v>27</v>
      </c>
      <c r="C9" s="14">
        <f>180000/12 * 6</f>
        <v>90000</v>
      </c>
      <c r="D9" s="14">
        <f t="shared" si="1"/>
        <v>450000</v>
      </c>
      <c r="E9" s="16">
        <v>0.75</v>
      </c>
      <c r="F9">
        <f t="shared" si="2"/>
        <v>337500</v>
      </c>
      <c r="J9" s="14" t="str">
        <f t="shared" ref="J9:J10" si="3">(C7+#REF!)/2</f>
        <v>#REF!</v>
      </c>
    </row>
    <row r="10">
      <c r="B10" s="13" t="s">
        <v>28</v>
      </c>
      <c r="C10" s="17">
        <v>20000.0</v>
      </c>
      <c r="D10" s="14">
        <f t="shared" si="1"/>
        <v>100000</v>
      </c>
      <c r="E10" s="16">
        <v>0.75</v>
      </c>
      <c r="F10">
        <f t="shared" si="2"/>
        <v>75000</v>
      </c>
      <c r="J10" s="14" t="str">
        <f t="shared" si="3"/>
        <v>#REF!</v>
      </c>
    </row>
    <row r="11">
      <c r="A11" s="2"/>
      <c r="B11" s="18" t="s">
        <v>29</v>
      </c>
      <c r="C11" s="19">
        <f>180000/12 * 4</f>
        <v>60000</v>
      </c>
      <c r="D11" s="21">
        <f t="shared" si="1"/>
        <v>300000</v>
      </c>
      <c r="E11" s="22">
        <v>0.5</v>
      </c>
      <c r="F11" s="11">
        <f t="shared" si="2"/>
        <v>150000</v>
      </c>
      <c r="J11" s="14" t="str">
        <f>(C10+#REF!)/2</f>
        <v>#REF!</v>
      </c>
    </row>
    <row r="12">
      <c r="B12" s="23"/>
      <c r="C12" s="24">
        <f t="shared" ref="C12:D12" si="4">sum(C7:C11)</f>
        <v>388400</v>
      </c>
      <c r="D12" s="24">
        <f t="shared" si="4"/>
        <v>1942000</v>
      </c>
      <c r="E12" s="23"/>
      <c r="F12" s="24">
        <f>sum(F7:F11)</f>
        <v>1333500</v>
      </c>
      <c r="J12" s="14" t="str">
        <f>(#REF!+#REF!)/2</f>
        <v>#REF!</v>
      </c>
    </row>
    <row r="13">
      <c r="C13" s="14">
        <f>C12/20</f>
        <v>19420</v>
      </c>
      <c r="D13" s="14"/>
      <c r="E13" s="14"/>
      <c r="F13" s="14">
        <f>F12/100</f>
        <v>13335</v>
      </c>
      <c r="J13" s="14" t="str">
        <f>sum(J9:J12)</f>
        <v>#REF!</v>
      </c>
    </row>
    <row r="14">
      <c r="B14" s="2"/>
    </row>
    <row r="15">
      <c r="B15" s="2" t="s">
        <v>37</v>
      </c>
      <c r="C15" s="14">
        <f>C3*20</f>
        <v>1200000</v>
      </c>
      <c r="F15" s="14">
        <f>$C$3*100</f>
        <v>6000000</v>
      </c>
    </row>
    <row r="16">
      <c r="B16" s="2" t="s">
        <v>38</v>
      </c>
      <c r="C16" s="14">
        <f>C15-C12</f>
        <v>811600</v>
      </c>
      <c r="F16" s="14">
        <f>F15-F12</f>
        <v>4666500</v>
      </c>
    </row>
    <row r="17">
      <c r="B17" s="2"/>
    </row>
    <row r="18">
      <c r="B18" s="25" t="s">
        <v>39</v>
      </c>
    </row>
    <row r="19">
      <c r="B19" s="2" t="s">
        <v>40</v>
      </c>
    </row>
    <row r="20">
      <c r="B20" s="2" t="s">
        <v>41</v>
      </c>
    </row>
    <row r="21">
      <c r="B21" s="2" t="s">
        <v>42</v>
      </c>
    </row>
    <row r="22">
      <c r="B22" s="2" t="s">
        <v>43</v>
      </c>
      <c r="C22" s="2">
        <v>10.0</v>
      </c>
    </row>
    <row r="23">
      <c r="B23" s="2" t="s">
        <v>44</v>
      </c>
      <c r="C23" s="2">
        <v>10.0</v>
      </c>
    </row>
    <row r="27">
      <c r="B27" s="26" t="s">
        <v>45</v>
      </c>
    </row>
  </sheetData>
  <mergeCells count="2">
    <mergeCell ref="C5:C6"/>
    <mergeCell ref="D5:F5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18.43"/>
    <col customWidth="1" min="3" max="3" width="18.0"/>
    <col customWidth="1" min="5" max="5" width="11.71"/>
  </cols>
  <sheetData>
    <row r="2">
      <c r="C2" s="2" t="s">
        <v>1</v>
      </c>
    </row>
    <row r="3">
      <c r="B3" s="2" t="s">
        <v>2</v>
      </c>
      <c r="C3" s="4">
        <v>2000.0</v>
      </c>
      <c r="D3" s="2" t="s">
        <v>3</v>
      </c>
    </row>
    <row r="4">
      <c r="B4" s="2" t="s">
        <v>4</v>
      </c>
    </row>
    <row r="6">
      <c r="B6" s="5" t="s">
        <v>5</v>
      </c>
    </row>
    <row r="7">
      <c r="C7" s="2" t="s">
        <v>6</v>
      </c>
      <c r="D7" s="2" t="s">
        <v>8</v>
      </c>
      <c r="E7" s="2" t="s">
        <v>9</v>
      </c>
    </row>
    <row r="8">
      <c r="B8" s="2" t="s">
        <v>10</v>
      </c>
      <c r="C8" s="6">
        <v>7100.0</v>
      </c>
      <c r="D8" s="9">
        <f>C8</f>
        <v>7100</v>
      </c>
      <c r="G8" s="2"/>
    </row>
    <row r="9">
      <c r="B9" s="2" t="s">
        <v>14</v>
      </c>
      <c r="C9" s="6">
        <v>4220.0</v>
      </c>
      <c r="D9" s="9">
        <f t="shared" ref="D9:D11" si="1">C9-1250</f>
        <v>2970</v>
      </c>
      <c r="E9" s="9">
        <f t="shared" ref="E9:E11" si="2">C9-D9</f>
        <v>1250</v>
      </c>
      <c r="F9" s="2"/>
      <c r="G9" s="2"/>
    </row>
    <row r="10">
      <c r="B10" s="2" t="s">
        <v>16</v>
      </c>
      <c r="C10" s="6">
        <v>3030.0</v>
      </c>
      <c r="D10" s="9">
        <f t="shared" si="1"/>
        <v>1780</v>
      </c>
      <c r="E10" s="9">
        <f t="shared" si="2"/>
        <v>1250</v>
      </c>
      <c r="G10" s="2"/>
    </row>
    <row r="11">
      <c r="B11" s="2" t="s">
        <v>20</v>
      </c>
      <c r="C11" s="6">
        <v>2550.0</v>
      </c>
      <c r="D11" s="9">
        <f t="shared" si="1"/>
        <v>1300</v>
      </c>
      <c r="E11" s="9">
        <f t="shared" si="2"/>
        <v>1250</v>
      </c>
    </row>
    <row r="13">
      <c r="B13" s="15" t="s">
        <v>21</v>
      </c>
    </row>
    <row r="14">
      <c r="B14" s="2" t="s">
        <v>22</v>
      </c>
      <c r="C14" s="6" t="s">
        <v>23</v>
      </c>
      <c r="D14" s="6" t="s">
        <v>24</v>
      </c>
    </row>
    <row r="15">
      <c r="B15" s="2">
        <v>1.0</v>
      </c>
      <c r="C15" s="9">
        <f t="shared" ref="C15:D15" si="3">C8/1</f>
        <v>7100</v>
      </c>
      <c r="D15" s="9">
        <f t="shared" si="3"/>
        <v>7100</v>
      </c>
    </row>
    <row r="16">
      <c r="B16" s="2">
        <v>2.0</v>
      </c>
      <c r="C16" s="9">
        <f t="shared" ref="C16:D16" si="4">sum(C8:C9)/$B16</f>
        <v>5660</v>
      </c>
      <c r="D16" s="9">
        <f t="shared" si="4"/>
        <v>5035</v>
      </c>
    </row>
    <row r="17">
      <c r="B17" s="2">
        <v>3.0</v>
      </c>
      <c r="C17" s="9">
        <f t="shared" ref="C17:D17" si="5">sum(C8:C10)/$B17</f>
        <v>4783.333333</v>
      </c>
      <c r="D17" s="9">
        <f t="shared" si="5"/>
        <v>3950</v>
      </c>
    </row>
    <row r="18">
      <c r="B18" s="2">
        <v>4.0</v>
      </c>
      <c r="C18" s="9">
        <f t="shared" ref="C18:D18" si="6">sum(C8:C10,C10)/$B18</f>
        <v>4345</v>
      </c>
      <c r="D18" s="9">
        <f t="shared" si="6"/>
        <v>3407.5</v>
      </c>
    </row>
    <row r="19">
      <c r="B19" s="2">
        <v>5.0</v>
      </c>
      <c r="C19" s="9">
        <f t="shared" ref="C19:D19" si="7">sum(C8:C10,C10,C11)/$B19</f>
        <v>3986</v>
      </c>
      <c r="D19" s="9">
        <f t="shared" si="7"/>
        <v>2986</v>
      </c>
    </row>
    <row r="21">
      <c r="B21" s="15" t="s">
        <v>30</v>
      </c>
    </row>
    <row r="22">
      <c r="B22" s="2"/>
      <c r="C22" s="2" t="s">
        <v>31</v>
      </c>
      <c r="D22" s="2" t="s">
        <v>32</v>
      </c>
    </row>
    <row r="23">
      <c r="B23" s="2" t="s">
        <v>33</v>
      </c>
      <c r="C23" s="3">
        <v>1.0E8</v>
      </c>
      <c r="D23" s="3">
        <v>1.0E8</v>
      </c>
    </row>
    <row r="24">
      <c r="B24" s="2" t="s">
        <v>34</v>
      </c>
      <c r="C24" s="2">
        <v>5.0</v>
      </c>
      <c r="D24" s="2">
        <v>5.0</v>
      </c>
    </row>
    <row r="25">
      <c r="B25" s="2" t="s">
        <v>35</v>
      </c>
      <c r="C25" s="20">
        <f>vlookup(C24,$B$15:$C$19,2,false)*C24*12</f>
        <v>239160</v>
      </c>
      <c r="D25" s="20">
        <f>vlookup(D24,$B$15:$D$19,3,false)*D24*12</f>
        <v>179160</v>
      </c>
    </row>
    <row r="26">
      <c r="B26" s="2" t="s">
        <v>36</v>
      </c>
      <c r="C26" s="14">
        <f t="shared" ref="C26:D26" si="8">C23/C25</f>
        <v>418.1301221</v>
      </c>
      <c r="D26" s="14">
        <f t="shared" si="8"/>
        <v>558.1603036</v>
      </c>
    </row>
    <row r="27">
      <c r="B27" s="2" t="s">
        <v>22</v>
      </c>
      <c r="C27" s="14">
        <f t="shared" ref="C27:D27" si="9">C26*C24</f>
        <v>2090.65061</v>
      </c>
      <c r="D27" s="14">
        <f t="shared" si="9"/>
        <v>2790.801518</v>
      </c>
    </row>
  </sheetData>
  <mergeCells count="1">
    <mergeCell ref="B13:D13"/>
  </mergeCells>
  <drawing r:id="rId1"/>
</worksheet>
</file>