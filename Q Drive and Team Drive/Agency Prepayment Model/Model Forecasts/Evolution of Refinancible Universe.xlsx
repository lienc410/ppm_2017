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26835" windowHeight="16155"/>
  </bookViews>
  <sheets>
    <sheet name="Sheet1" sheetId="1" r:id="rId1"/>
    <sheet name="Sheet2" sheetId="2" r:id="rId2"/>
    <sheet name="Sheet3" sheetId="3" r:id="rId3"/>
  </sheets>
  <calcPr calcId="145621"/>
</workbook>
</file>

<file path=xl/calcChain.xml><?xml version="1.0" encoding="utf-8"?>
<calcChain xmlns="http://schemas.openxmlformats.org/spreadsheetml/2006/main">
  <c r="C1" i="1" l="1"/>
  <c r="H13" i="1" l="1"/>
  <c r="H12" i="1"/>
  <c r="C13" i="1"/>
  <c r="C12" i="1"/>
  <c r="D8" i="1"/>
  <c r="D7" i="1"/>
  <c r="D6" i="1"/>
  <c r="D5" i="1"/>
  <c r="D4" i="1"/>
  <c r="I8" i="1"/>
  <c r="I7" i="1"/>
  <c r="I6" i="1"/>
  <c r="I5" i="1"/>
  <c r="I4" i="1"/>
  <c r="H6" i="1"/>
  <c r="G8" i="1"/>
  <c r="G7" i="1"/>
  <c r="G6" i="1"/>
  <c r="G5" i="1"/>
  <c r="G4" i="1"/>
  <c r="A8" i="1"/>
  <c r="A7" i="1"/>
  <c r="A6" i="1"/>
  <c r="A5" i="1"/>
  <c r="A4" i="1"/>
  <c r="C11" i="1"/>
  <c r="E8" i="1"/>
  <c r="E7" i="1"/>
  <c r="E6" i="1"/>
  <c r="E5" i="1"/>
  <c r="E4" i="1"/>
  <c r="C10" i="1"/>
  <c r="B8" i="1"/>
  <c r="B7" i="1"/>
  <c r="B6" i="1"/>
  <c r="B5" i="1"/>
  <c r="B4" i="1"/>
</calcChain>
</file>

<file path=xl/sharedStrings.xml><?xml version="1.0" encoding="utf-8"?>
<sst xmlns="http://schemas.openxmlformats.org/spreadsheetml/2006/main" count="20" uniqueCount="19">
  <si>
    <t>%Dist</t>
  </si>
  <si>
    <t>WAC Range</t>
  </si>
  <si>
    <t>5.50-5.75</t>
  </si>
  <si>
    <t>5.25-5.50</t>
  </si>
  <si>
    <t>5.00-5.25</t>
  </si>
  <si>
    <t>%CPR</t>
  </si>
  <si>
    <t>6.00-6.25</t>
  </si>
  <si>
    <t>CC</t>
  </si>
  <si>
    <t>Population</t>
  </si>
  <si>
    <t>Surviving</t>
  </si>
  <si>
    <t>Reinvestment</t>
  </si>
  <si>
    <t>Bucket WAC</t>
  </si>
  <si>
    <t>Mtg Rate</t>
  </si>
  <si>
    <t>Refi Trigger</t>
  </si>
  <si>
    <t>5.75-6.00</t>
  </si>
  <si>
    <t>%Refinanceable</t>
  </si>
  <si>
    <t xml:space="preserve"> $ at t=0</t>
  </si>
  <si>
    <t xml:space="preserve"> $ at t=1</t>
  </si>
  <si>
    <t>$ at t=1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</si>
</sst>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tint="-0.499984740745262"/>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Alignment="1">
      <alignment horizontal="center"/>
    </xf>
    <xf numFmtId="9" fontId="0" fillId="0" borderId="0" xfId="1" applyFont="1" applyAlignment="1">
      <alignment horizontal="center"/>
    </xf>
    <xf numFmtId="9" fontId="2" fillId="0" borderId="0" xfId="1" applyFont="1" applyAlignment="1">
      <alignment horizontal="center"/>
    </xf>
    <xf numFmtId="0" fontId="2" fillId="0" borderId="0" xfId="0" applyFont="1" applyAlignment="1">
      <alignment horizontal="center"/>
    </xf>
    <xf numFmtId="9" fontId="2" fillId="0" borderId="1" xfId="1" applyFont="1" applyBorder="1" applyAlignment="1">
      <alignment horizontal="center"/>
    </xf>
    <xf numFmtId="0" fontId="2" fillId="0" borderId="1" xfId="0" applyFont="1" applyBorder="1" applyAlignment="1">
      <alignment horizontal="center"/>
    </xf>
    <xf numFmtId="10" fontId="0" fillId="0" borderId="0" xfId="1" applyNumberFormat="1" applyFont="1" applyAlignment="1">
      <alignment horizontal="center"/>
    </xf>
    <xf numFmtId="0" fontId="2" fillId="0" borderId="1" xfId="0" applyFont="1" applyFill="1" applyBorder="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9" fontId="0" fillId="2" borderId="0" xfId="1" applyFont="1" applyFill="1" applyAlignment="1">
      <alignment horizontal="center"/>
    </xf>
    <xf numFmtId="9" fontId="0" fillId="0" borderId="0" xfId="1" applyFont="1" applyAlignment="1">
      <alignment horizontal="left"/>
    </xf>
    <xf numFmtId="9" fontId="2" fillId="0" borderId="0" xfId="1" applyFont="1" applyAlignment="1">
      <alignment horizontal="left"/>
    </xf>
    <xf numFmtId="9" fontId="0" fillId="3" borderId="0" xfId="1" applyFont="1" applyFill="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57150</xdr:colOff>
      <xdr:row>16</xdr:row>
      <xdr:rowOff>47625</xdr:rowOff>
    </xdr:from>
    <xdr:ext cx="9048750" cy="1125693"/>
    <xdr:sp macro="" textlink="">
      <xdr:nvSpPr>
        <xdr:cNvPr id="2" name="TextBox 1"/>
        <xdr:cNvSpPr txBox="1"/>
      </xdr:nvSpPr>
      <xdr:spPr>
        <a:xfrm>
          <a:off x="666750" y="3095625"/>
          <a:ext cx="9048750"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i="0" u="none" strike="noStrike">
              <a:solidFill>
                <a:schemeClr val="tx1"/>
              </a:solidFill>
              <a:effectLst/>
              <a:latin typeface="+mn-lt"/>
              <a:ea typeface="+mn-ea"/>
              <a:cs typeface="+mn-cs"/>
            </a:rPr>
            <a:t>Assume we start with a pool of 100 borrowers (t=0) and we know how their WACs are distributed (based on a 25bps grid).  This initial data tells us what % of these borrowers are refinanceable based on prevailing mortgage rates.  Furthermore, we have a forecast of the prepayment rate for each of these WAC grids.  This forecast can be developed by looking at the model forecasts for different incentive buckets at average levels of the media effect.</a:t>
          </a:r>
          <a:r>
            <a:rPr lang="en-US"/>
            <a:t> </a:t>
          </a:r>
        </a:p>
        <a:p>
          <a:endParaRPr lang="en-US" sz="1100"/>
        </a:p>
        <a:p>
          <a:r>
            <a:rPr lang="en-US" sz="1100"/>
            <a:t>Given this initial data, we forecast what portion of each WAC grid survives based on the expected prepayment rate. The prepaid amounts are invested into the current mortgage</a:t>
          </a:r>
          <a:r>
            <a:rPr lang="en-US" sz="1100" baseline="0"/>
            <a:t> rate thus changing the distribution of the refinanceable universe.  The table above provides a worked example.</a:t>
          </a:r>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Views>
    <sheetView showGridLines="0" tabSelected="1" workbookViewId="0">
      <selection activeCell="M10" sqref="M10"/>
    </sheetView>
  </sheetViews>
  <sheetFormatPr defaultRowHeight="15" x14ac:dyDescent="0.25"/>
  <cols>
    <col min="1" max="1" width="9.140625" style="1"/>
    <col min="2" max="2" width="16.85546875" style="2" customWidth="1"/>
    <col min="3" max="4" width="12.5703125" style="1" customWidth="1"/>
    <col min="5" max="5" width="9.140625" style="1"/>
    <col min="6" max="6" width="1.85546875" customWidth="1"/>
    <col min="7" max="7" width="9.7109375" style="1" customWidth="1"/>
    <col min="8" max="8" width="14.140625" style="1" customWidth="1"/>
  </cols>
  <sheetData>
    <row r="1" spans="1:9" x14ac:dyDescent="0.25">
      <c r="B1" s="3" t="s">
        <v>8</v>
      </c>
      <c r="C1" s="1">
        <f>100</f>
        <v>100</v>
      </c>
    </row>
    <row r="2" spans="1:9" x14ac:dyDescent="0.25">
      <c r="G2" s="4" t="s">
        <v>9</v>
      </c>
      <c r="H2" s="4" t="s">
        <v>10</v>
      </c>
    </row>
    <row r="3" spans="1:9" x14ac:dyDescent="0.25">
      <c r="A3" s="6" t="s">
        <v>16</v>
      </c>
      <c r="B3" s="5" t="s">
        <v>0</v>
      </c>
      <c r="C3" s="6" t="s">
        <v>1</v>
      </c>
      <c r="D3" s="6" t="s">
        <v>11</v>
      </c>
      <c r="E3" s="6" t="s">
        <v>5</v>
      </c>
      <c r="G3" s="8" t="s">
        <v>17</v>
      </c>
      <c r="H3" s="8" t="s">
        <v>18</v>
      </c>
      <c r="I3" s="8" t="s">
        <v>0</v>
      </c>
    </row>
    <row r="4" spans="1:9" x14ac:dyDescent="0.25">
      <c r="A4" s="1">
        <f>B4*$C$1</f>
        <v>10</v>
      </c>
      <c r="B4" s="14">
        <f>10%</f>
        <v>0.1</v>
      </c>
      <c r="C4" s="1" t="s">
        <v>6</v>
      </c>
      <c r="D4" s="7">
        <f>6.125%</f>
        <v>6.1249999999999999E-2</v>
      </c>
      <c r="E4" s="2">
        <f>40%</f>
        <v>0.4</v>
      </c>
      <c r="G4" s="9">
        <f>A4*(1-E4)</f>
        <v>6</v>
      </c>
      <c r="I4" s="14">
        <f>SUM(G4:H4)/$C$1</f>
        <v>0.06</v>
      </c>
    </row>
    <row r="5" spans="1:9" x14ac:dyDescent="0.25">
      <c r="A5" s="1">
        <f t="shared" ref="A5:A8" si="0">B5*$C$1</f>
        <v>25</v>
      </c>
      <c r="B5" s="14">
        <f>25%</f>
        <v>0.25</v>
      </c>
      <c r="C5" s="1" t="s">
        <v>14</v>
      </c>
      <c r="D5" s="7">
        <f>5.875%</f>
        <v>5.8749999999999997E-2</v>
      </c>
      <c r="E5" s="2">
        <f>35%</f>
        <v>0.35</v>
      </c>
      <c r="G5" s="9">
        <f t="shared" ref="G5:G8" si="1">A5*(1-E5)</f>
        <v>16.25</v>
      </c>
      <c r="I5" s="14">
        <f t="shared" ref="I5:I8" si="2">SUM(G5:H5)/$C$1</f>
        <v>0.16250000000000001</v>
      </c>
    </row>
    <row r="6" spans="1:9" x14ac:dyDescent="0.25">
      <c r="A6" s="1">
        <f t="shared" si="0"/>
        <v>25</v>
      </c>
      <c r="B6" s="14">
        <f>25%</f>
        <v>0.25</v>
      </c>
      <c r="C6" s="1" t="s">
        <v>2</v>
      </c>
      <c r="D6" s="7">
        <f>5.625%</f>
        <v>5.6250000000000001E-2</v>
      </c>
      <c r="E6" s="2">
        <f>30%</f>
        <v>0.3</v>
      </c>
      <c r="G6" s="9">
        <f t="shared" si="1"/>
        <v>17.5</v>
      </c>
      <c r="H6" s="9">
        <f>$C$1-SUM(G4:G8)</f>
        <v>23.75</v>
      </c>
      <c r="I6" s="14">
        <f t="shared" si="2"/>
        <v>0.41249999999999998</v>
      </c>
    </row>
    <row r="7" spans="1:9" x14ac:dyDescent="0.25">
      <c r="A7" s="1">
        <f t="shared" si="0"/>
        <v>30</v>
      </c>
      <c r="B7" s="14">
        <f>30%</f>
        <v>0.3</v>
      </c>
      <c r="C7" s="1" t="s">
        <v>3</v>
      </c>
      <c r="D7" s="7">
        <f>5.375%</f>
        <v>5.3749999999999999E-2</v>
      </c>
      <c r="E7" s="2">
        <f>10%</f>
        <v>0.1</v>
      </c>
      <c r="G7" s="9">
        <f t="shared" si="1"/>
        <v>27</v>
      </c>
      <c r="I7" s="14">
        <f t="shared" si="2"/>
        <v>0.27</v>
      </c>
    </row>
    <row r="8" spans="1:9" x14ac:dyDescent="0.25">
      <c r="A8" s="1">
        <f t="shared" si="0"/>
        <v>10</v>
      </c>
      <c r="B8" s="14">
        <f>10%</f>
        <v>0.1</v>
      </c>
      <c r="C8" s="1" t="s">
        <v>4</v>
      </c>
      <c r="D8" s="7">
        <f>5.125%</f>
        <v>5.1249999999999997E-2</v>
      </c>
      <c r="E8" s="2">
        <f>5%</f>
        <v>0.05</v>
      </c>
      <c r="G8" s="9">
        <f t="shared" si="1"/>
        <v>9.5</v>
      </c>
      <c r="I8" s="14">
        <f t="shared" si="2"/>
        <v>9.5000000000000001E-2</v>
      </c>
    </row>
    <row r="10" spans="1:9" x14ac:dyDescent="0.25">
      <c r="B10" s="3" t="s">
        <v>7</v>
      </c>
      <c r="C10" s="7">
        <f>5.12%</f>
        <v>5.1200000000000002E-2</v>
      </c>
      <c r="D10" s="7"/>
      <c r="H10" s="10">
        <v>5.1200000000000002E-2</v>
      </c>
    </row>
    <row r="11" spans="1:9" x14ac:dyDescent="0.25">
      <c r="B11" s="3" t="s">
        <v>12</v>
      </c>
      <c r="C11" s="7">
        <f>5.12%+0.5%</f>
        <v>5.62E-2</v>
      </c>
      <c r="D11" s="7"/>
      <c r="H11" s="10">
        <v>5.62E-2</v>
      </c>
    </row>
    <row r="12" spans="1:9" x14ac:dyDescent="0.25">
      <c r="B12" s="3" t="s">
        <v>13</v>
      </c>
      <c r="C12" s="10">
        <f>C11+0.5%</f>
        <v>6.1199999999999997E-2</v>
      </c>
      <c r="D12" s="2"/>
      <c r="H12" s="7">
        <f>6.12%</f>
        <v>6.1200000000000004E-2</v>
      </c>
    </row>
    <row r="13" spans="1:9" x14ac:dyDescent="0.25">
      <c r="B13" s="3" t="s">
        <v>15</v>
      </c>
      <c r="C13" s="11">
        <f>5%</f>
        <v>0.05</v>
      </c>
      <c r="H13" s="11">
        <f>3%</f>
        <v>0.03</v>
      </c>
    </row>
    <row r="17" spans="2:2" x14ac:dyDescent="0.25">
      <c r="B17" s="13"/>
    </row>
    <row r="18" spans="2:2" x14ac:dyDescent="0.25">
      <c r="B18" s="12"/>
    </row>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Sharad Chaudhary</dc:creator>
  <cp:lastModifiedBy>Sharad Chaudhary</cp:lastModifiedBy>
  <dcterms:created xsi:type="dcterms:W3CDTF">2015-11-18T15:51:47Z</dcterms:created>
  <dcterms:modified xsi:type="dcterms:W3CDTF">2016-05-24T01:52:59Z</dcterms:modified>
</cp:coreProperties>
</file>