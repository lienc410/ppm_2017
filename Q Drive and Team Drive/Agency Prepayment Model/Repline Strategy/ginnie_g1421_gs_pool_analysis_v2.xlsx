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cello-it-dev\trunk\Research\AgencyPrepayment\Baton\output\"/>
    </mc:Choice>
  </mc:AlternateContent>
  <bookViews>
    <workbookView xWindow="0" yWindow="0" windowWidth="38370" windowHeight="20190"/>
  </bookViews>
  <sheets>
    <sheet name="ginnie_g1421_gs_pool_v1_out" sheetId="1" r:id="rId1"/>
  </sheets>
  <calcPr calcId="152511"/>
</workbook>
</file>

<file path=xl/calcChain.xml><?xml version="1.0" encoding="utf-8"?>
<calcChain xmlns="http://schemas.openxmlformats.org/spreadsheetml/2006/main">
  <c r="AE29" i="1" l="1"/>
  <c r="AE2" i="1"/>
  <c r="Z2" i="1"/>
  <c r="AB40" i="1"/>
  <c r="AB39" i="1"/>
  <c r="AB38" i="1"/>
  <c r="BL31" i="1"/>
  <c r="AH31" i="1"/>
  <c r="AI31" i="1"/>
  <c r="AJ31" i="1"/>
  <c r="AK31" i="1"/>
  <c r="AM31" i="1"/>
  <c r="AN31" i="1"/>
  <c r="AO31" i="1"/>
  <c r="AP31" i="1"/>
  <c r="AQ31" i="1"/>
  <c r="AR31" i="1"/>
  <c r="AS31" i="1"/>
  <c r="AU31" i="1"/>
  <c r="AV31" i="1"/>
  <c r="AW31" i="1"/>
  <c r="AX31" i="1"/>
  <c r="AY31" i="1"/>
  <c r="AZ31" i="1"/>
  <c r="BA31" i="1"/>
  <c r="BC31" i="1"/>
  <c r="BD31" i="1"/>
  <c r="BE31" i="1"/>
  <c r="BF31" i="1"/>
  <c r="BG31" i="1"/>
  <c r="BH31" i="1"/>
  <c r="BI31" i="1"/>
  <c r="BJ31" i="1"/>
  <c r="AF10" i="1" l="1"/>
  <c r="AF26" i="1"/>
  <c r="AE4" i="1"/>
  <c r="AF25" i="1"/>
  <c r="AF17" i="1"/>
  <c r="AF9" i="1"/>
  <c r="AC3" i="1"/>
  <c r="AF24" i="1"/>
  <c r="AF16" i="1"/>
  <c r="AF8" i="1"/>
  <c r="AF23" i="1"/>
  <c r="AF15" i="1"/>
  <c r="AF7" i="1"/>
  <c r="AF18" i="1"/>
  <c r="AF14" i="1"/>
  <c r="AF29" i="1"/>
  <c r="AF21" i="1"/>
  <c r="AF13" i="1"/>
  <c r="AE13" i="1"/>
  <c r="AF28" i="1"/>
  <c r="AF20" i="1"/>
  <c r="AF12" i="1"/>
  <c r="AF4" i="1"/>
  <c r="AF22" i="1"/>
  <c r="AF6" i="1"/>
  <c r="AF5" i="1"/>
  <c r="AE7" i="1"/>
  <c r="AF27" i="1"/>
  <c r="AF19" i="1"/>
  <c r="AF11" i="1"/>
  <c r="AF3" i="1"/>
  <c r="Z29" i="1"/>
  <c r="Z17" i="1"/>
  <c r="Z5" i="1"/>
  <c r="AB22" i="1"/>
  <c r="AB10" i="1"/>
  <c r="AE17" i="1"/>
  <c r="AA27" i="1"/>
  <c r="AA19" i="1"/>
  <c r="AA7" i="1"/>
  <c r="AC24" i="1"/>
  <c r="AC16" i="1"/>
  <c r="AC8" i="1"/>
  <c r="AD28" i="1"/>
  <c r="AD20" i="1"/>
  <c r="AD16" i="1"/>
  <c r="AD8" i="1"/>
  <c r="AE19" i="1"/>
  <c r="AA29" i="1"/>
  <c r="AA25" i="1"/>
  <c r="AA21" i="1"/>
  <c r="AA17" i="1"/>
  <c r="AA13" i="1"/>
  <c r="AA9" i="1"/>
  <c r="AA5" i="1"/>
  <c r="AB2" i="1"/>
  <c r="AC26" i="1"/>
  <c r="AC22" i="1"/>
  <c r="AC18" i="1"/>
  <c r="AC14" i="1"/>
  <c r="AC10" i="1"/>
  <c r="AC6" i="1"/>
  <c r="AD26" i="1"/>
  <c r="AD22" i="1"/>
  <c r="AD18" i="1"/>
  <c r="AD14" i="1"/>
  <c r="AD10" i="1"/>
  <c r="AD6" i="1"/>
  <c r="Z25" i="1"/>
  <c r="Z9" i="1"/>
  <c r="AB26" i="1"/>
  <c r="AB18" i="1"/>
  <c r="AB6" i="1"/>
  <c r="AE25" i="1"/>
  <c r="AE21" i="1"/>
  <c r="AE5" i="1"/>
  <c r="AA28" i="1"/>
  <c r="AA24" i="1"/>
  <c r="AA20" i="1"/>
  <c r="AA16" i="1"/>
  <c r="AA12" i="1"/>
  <c r="AA8" i="1"/>
  <c r="AA4" i="1"/>
  <c r="AC29" i="1"/>
  <c r="AC25" i="1"/>
  <c r="AC21" i="1"/>
  <c r="AC17" i="1"/>
  <c r="AC13" i="1"/>
  <c r="AC9" i="1"/>
  <c r="AC5" i="1"/>
  <c r="AD29" i="1"/>
  <c r="AD25" i="1"/>
  <c r="AD21" i="1"/>
  <c r="AD17" i="1"/>
  <c r="AD13" i="1"/>
  <c r="AD9" i="1"/>
  <c r="AD5" i="1"/>
  <c r="Z28" i="1"/>
  <c r="Z24" i="1"/>
  <c r="Z20" i="1"/>
  <c r="Z16" i="1"/>
  <c r="Z12" i="1"/>
  <c r="Z8" i="1"/>
  <c r="Z4" i="1"/>
  <c r="AB29" i="1"/>
  <c r="AB25" i="1"/>
  <c r="AB21" i="1"/>
  <c r="AB17" i="1"/>
  <c r="AB13" i="1"/>
  <c r="AB9" i="1"/>
  <c r="AB5" i="1"/>
  <c r="AE28" i="1"/>
  <c r="AE24" i="1"/>
  <c r="AE20" i="1"/>
  <c r="AE16" i="1"/>
  <c r="AE12" i="1"/>
  <c r="AE8" i="1"/>
  <c r="Z21" i="1"/>
  <c r="AC2" i="1"/>
  <c r="AB14" i="1"/>
  <c r="AE9" i="1"/>
  <c r="AA23" i="1"/>
  <c r="AA11" i="1"/>
  <c r="AA3" i="1"/>
  <c r="AC28" i="1"/>
  <c r="AC20" i="1"/>
  <c r="AC12" i="1"/>
  <c r="AC4" i="1"/>
  <c r="AD24" i="1"/>
  <c r="AD4" i="1"/>
  <c r="Z27" i="1"/>
  <c r="Z23" i="1"/>
  <c r="Z19" i="1"/>
  <c r="Z15" i="1"/>
  <c r="Z11" i="1"/>
  <c r="Z7" i="1"/>
  <c r="Z3" i="1"/>
  <c r="AB28" i="1"/>
  <c r="AB24" i="1"/>
  <c r="AB20" i="1"/>
  <c r="AB16" i="1"/>
  <c r="AB12" i="1"/>
  <c r="AB8" i="1"/>
  <c r="AB4" i="1"/>
  <c r="AE27" i="1"/>
  <c r="AE23" i="1"/>
  <c r="AE15" i="1"/>
  <c r="AE11" i="1"/>
  <c r="AE3" i="1"/>
  <c r="AA26" i="1"/>
  <c r="AA22" i="1"/>
  <c r="AA18" i="1"/>
  <c r="AA14" i="1"/>
  <c r="AA10" i="1"/>
  <c r="AA6" i="1"/>
  <c r="AC27" i="1"/>
  <c r="AC23" i="1"/>
  <c r="AC19" i="1"/>
  <c r="AC15" i="1"/>
  <c r="AC11" i="1"/>
  <c r="AC7" i="1"/>
  <c r="AD27" i="1"/>
  <c r="AD23" i="1"/>
  <c r="AD19" i="1"/>
  <c r="AD15" i="1"/>
  <c r="AD11" i="1"/>
  <c r="AD7" i="1"/>
  <c r="AD3" i="1"/>
  <c r="Z13" i="1"/>
  <c r="AA15" i="1"/>
  <c r="AD12" i="1"/>
  <c r="AA2" i="1"/>
  <c r="Z26" i="1"/>
  <c r="Z22" i="1"/>
  <c r="Z18" i="1"/>
  <c r="Z14" i="1"/>
  <c r="Z10" i="1"/>
  <c r="Z6" i="1"/>
  <c r="AB27" i="1"/>
  <c r="AB23" i="1"/>
  <c r="AB19" i="1"/>
  <c r="AB15" i="1"/>
  <c r="AB11" i="1"/>
  <c r="AB7" i="1"/>
  <c r="AB3" i="1"/>
  <c r="AD2" i="1"/>
  <c r="AE26" i="1"/>
  <c r="AE22" i="1"/>
  <c r="AE18" i="1"/>
  <c r="AE14" i="1"/>
  <c r="AE10" i="1"/>
  <c r="AE6" i="1"/>
  <c r="AF2" i="1"/>
  <c r="AF32" i="1" l="1"/>
  <c r="Z32" i="1"/>
  <c r="AD32" i="1"/>
  <c r="AC32" i="1"/>
  <c r="AA32" i="1"/>
  <c r="AE32" i="1"/>
  <c r="AB32" i="1"/>
</calcChain>
</file>

<file path=xl/sharedStrings.xml><?xml version="1.0" encoding="utf-8"?>
<sst xmlns="http://schemas.openxmlformats.org/spreadsheetml/2006/main" count="124" uniqueCount="56">
  <si>
    <t>ybName</t>
  </si>
  <si>
    <t>issueId</t>
  </si>
  <si>
    <t>vintage</t>
  </si>
  <si>
    <t>origCoupon</t>
  </si>
  <si>
    <t>asOfDate</t>
  </si>
  <si>
    <t>monthBucket</t>
  </si>
  <si>
    <t>schambal</t>
  </si>
  <si>
    <t>pct_owner</t>
  </si>
  <si>
    <t>pct_2nd</t>
  </si>
  <si>
    <t>pct_inv</t>
  </si>
  <si>
    <t>pct_CURRENT</t>
  </si>
  <si>
    <t>pct_DELQ</t>
  </si>
  <si>
    <t>incentive</t>
  </si>
  <si>
    <t>burnout</t>
  </si>
  <si>
    <t>wala</t>
  </si>
  <si>
    <t>wacls</t>
  </si>
  <si>
    <t>cltv</t>
  </si>
  <si>
    <t>fico</t>
  </si>
  <si>
    <t>wac</t>
  </si>
  <si>
    <t>hpa2yr</t>
  </si>
  <si>
    <t>credit_availability</t>
  </si>
  <si>
    <t>media_refi</t>
  </si>
  <si>
    <t>mdr</t>
  </si>
  <si>
    <t>smm</t>
  </si>
  <si>
    <t>curtail_base_smm</t>
  </si>
  <si>
    <t>curtail_fico_mult</t>
  </si>
  <si>
    <t>curtail_cltv_mult</t>
  </si>
  <si>
    <t>curtail_smm</t>
  </si>
  <si>
    <t>default_base_mdr</t>
  </si>
  <si>
    <t>default_incentive_mult</t>
  </si>
  <si>
    <t>default_cltv_mult</t>
  </si>
  <si>
    <t>default_fico_mult</t>
  </si>
  <si>
    <t>default_wala_mult</t>
  </si>
  <si>
    <t>default_pct_dq_mult</t>
  </si>
  <si>
    <t>default_mdr</t>
  </si>
  <si>
    <t>turnover_base_smm</t>
  </si>
  <si>
    <t>turnover_wala_mult</t>
  </si>
  <si>
    <t>turnover_hpa_mult</t>
  </si>
  <si>
    <t>turnover_incentive_mult</t>
  </si>
  <si>
    <t>turnover_cltv_mult</t>
  </si>
  <si>
    <t>turnover_seasonality_mult</t>
  </si>
  <si>
    <t>turnover_smm</t>
  </si>
  <si>
    <t>refi_base_smm</t>
  </si>
  <si>
    <t>refi_media_mult</t>
  </si>
  <si>
    <t>refi_credit_mult</t>
  </si>
  <si>
    <t>refi_wala_mult</t>
  </si>
  <si>
    <t>refi_burnout_mult</t>
  </si>
  <si>
    <t>refi_wacls_mult</t>
  </si>
  <si>
    <t>refi_cltv_mult</t>
  </si>
  <si>
    <t>refi_smm</t>
  </si>
  <si>
    <t>smm_total</t>
  </si>
  <si>
    <t>G14.21(GS)</t>
  </si>
  <si>
    <t>Apr</t>
  </si>
  <si>
    <t>Rank</t>
  </si>
  <si>
    <t>Variable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</si>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</sst>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6" fillId="2" borderId="0" xfId="6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8"/>
  <sheetViews>
    <sheetView tabSelected="1" workbookViewId="0"/>
  </sheetViews>
  <sheetFormatPr defaultRowHeight="15" x14ac:dyDescent="0.25"/>
  <cols>
    <col min="1" max="1" width="10.5703125" bestFit="1" customWidth="1"/>
    <col min="2" max="2" width="8" bestFit="1" customWidth="1"/>
    <col min="3" max="3" width="13.42578125" bestFit="1" customWidth="1"/>
    <col min="4" max="4" width="11.28515625" bestFit="1" customWidth="1"/>
    <col min="6" max="6" width="12.85546875" bestFit="1" customWidth="1"/>
    <col min="7" max="7" width="12" bestFit="1" customWidth="1"/>
    <col min="8" max="8" width="10.42578125" bestFit="1" customWidth="1"/>
    <col min="9" max="9" width="8" bestFit="1" customWidth="1"/>
    <col min="10" max="10" width="7.42578125" bestFit="1" customWidth="1"/>
    <col min="11" max="11" width="12.85546875" bestFit="1" customWidth="1"/>
    <col min="12" max="13" width="9.28515625" bestFit="1" customWidth="1"/>
    <col min="14" max="14" width="8.140625" bestFit="1" customWidth="1"/>
    <col min="15" max="15" width="5.140625" bestFit="1" customWidth="1"/>
    <col min="16" max="16" width="10" bestFit="1" customWidth="1"/>
    <col min="17" max="17" width="6" bestFit="1" customWidth="1"/>
    <col min="18" max="18" width="4.28515625" bestFit="1" customWidth="1"/>
    <col min="19" max="19" width="6" bestFit="1" customWidth="1"/>
    <col min="20" max="20" width="7" bestFit="1" customWidth="1"/>
    <col min="21" max="21" width="17" bestFit="1" customWidth="1"/>
    <col min="22" max="22" width="12" bestFit="1" customWidth="1"/>
    <col min="23" max="24" width="9" bestFit="1" customWidth="1"/>
    <col min="25" max="25" width="9" customWidth="1"/>
    <col min="26" max="32" width="14.140625" customWidth="1"/>
    <col min="33" max="33" width="9" customWidth="1"/>
    <col min="34" max="34" width="17.28515625" bestFit="1" customWidth="1"/>
    <col min="35" max="35" width="16.140625" bestFit="1" customWidth="1"/>
    <col min="36" max="36" width="16" bestFit="1" customWidth="1"/>
    <col min="37" max="37" width="12" bestFit="1" customWidth="1"/>
    <col min="38" max="38" width="12" customWidth="1"/>
    <col min="39" max="39" width="17.42578125" bestFit="1" customWidth="1"/>
    <col min="40" max="40" width="22.28515625" bestFit="1" customWidth="1"/>
    <col min="41" max="41" width="16.85546875" bestFit="1" customWidth="1"/>
    <col min="42" max="42" width="17" bestFit="1" customWidth="1"/>
    <col min="43" max="43" width="18" bestFit="1" customWidth="1"/>
    <col min="44" max="44" width="19.85546875" bestFit="1" customWidth="1"/>
    <col min="45" max="45" width="12" bestFit="1" customWidth="1"/>
    <col min="46" max="46" width="12" customWidth="1"/>
    <col min="47" max="47" width="19.42578125" bestFit="1" customWidth="1"/>
    <col min="48" max="48" width="19.28515625" bestFit="1" customWidth="1"/>
    <col min="49" max="49" width="18.42578125" bestFit="1" customWidth="1"/>
    <col min="50" max="50" width="23.5703125" bestFit="1" customWidth="1"/>
    <col min="51" max="51" width="18.28515625" bestFit="1" customWidth="1"/>
    <col min="52" max="52" width="25.28515625" bestFit="1" customWidth="1"/>
    <col min="53" max="53" width="14.140625" bestFit="1" customWidth="1"/>
    <col min="54" max="54" width="14.140625" customWidth="1"/>
    <col min="55" max="55" width="14.7109375" bestFit="1" customWidth="1"/>
    <col min="56" max="56" width="16" bestFit="1" customWidth="1"/>
    <col min="57" max="57" width="15.5703125" bestFit="1" customWidth="1"/>
    <col min="58" max="58" width="14.5703125" bestFit="1" customWidth="1"/>
    <col min="59" max="59" width="17.7109375" bestFit="1" customWidth="1"/>
    <col min="60" max="60" width="15.28515625" bestFit="1" customWidth="1"/>
    <col min="61" max="61" width="13.5703125" bestFit="1" customWidth="1"/>
    <col min="62" max="62" width="12" bestFit="1" customWidth="1"/>
    <col min="63" max="63" width="12" customWidth="1"/>
    <col min="64" max="64" width="12" bestFit="1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H1" t="s">
        <v>24</v>
      </c>
      <c r="AI1" t="s">
        <v>25</v>
      </c>
      <c r="AJ1" t="s">
        <v>26</v>
      </c>
      <c r="AK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  <c r="BL1" t="s">
        <v>50</v>
      </c>
    </row>
    <row r="2" spans="1:64" x14ac:dyDescent="0.25">
      <c r="A2" t="s">
        <v>51</v>
      </c>
      <c r="B2">
        <v>3513457</v>
      </c>
      <c r="C2">
        <v>2010</v>
      </c>
      <c r="D2">
        <v>4</v>
      </c>
      <c r="E2" s="1">
        <v>42461</v>
      </c>
      <c r="F2" t="s">
        <v>52</v>
      </c>
      <c r="G2">
        <v>489258143.06</v>
      </c>
      <c r="H2">
        <v>100</v>
      </c>
      <c r="I2">
        <v>0</v>
      </c>
      <c r="J2">
        <v>0</v>
      </c>
      <c r="K2">
        <v>97.15</v>
      </c>
      <c r="L2">
        <v>2.85</v>
      </c>
      <c r="M2">
        <v>107.81</v>
      </c>
      <c r="N2">
        <v>600.28</v>
      </c>
      <c r="O2">
        <v>68</v>
      </c>
      <c r="P2">
        <v>160937.49</v>
      </c>
      <c r="Q2">
        <v>70.81</v>
      </c>
      <c r="R2">
        <v>720</v>
      </c>
      <c r="S2">
        <v>4.5119999999999996</v>
      </c>
      <c r="T2">
        <v>110.74</v>
      </c>
      <c r="U2">
        <v>110.74</v>
      </c>
      <c r="V2">
        <v>60.006370821071897</v>
      </c>
      <c r="W2">
        <v>1.6980000000000001E-3</v>
      </c>
      <c r="X2">
        <v>2.179E-2</v>
      </c>
      <c r="Z2">
        <f>$AH$31*$AI$31*$AJ$31+$AM$31*$AN$31*$AO$31*$AP$31*$AQ$31*AR2+$AU$31*$AV$31*$AW$31*$AX$31*$AY$31*$AZ$31+$BC$31*$BD$31*$BE$31*$BF$31*$BG$31*$BH$31*$BI$31</f>
        <v>3.021584450536887E-2</v>
      </c>
      <c r="AA2">
        <f>$AH$31*$AI$31*$AJ$31+$AM$31*AN2*$AO$31*$AP$31*$AQ$31*$AR$31+$AU$31*$AV$31*$AW$31*AX2*$AY$31*$AZ$31+BC2*$BD$31*$BE$31*$BF$31*$BG$31*$BH$31*$BI$31</f>
        <v>2.9205677210313814E-2</v>
      </c>
      <c r="AB2">
        <f>$AH$31*$AI$31*$AJ$31+$AM$31*$AN$31*$AO$31*$AP$31*$AQ$31*$AR$31+$AU$31*$AV$31*$AW$31*$AX$31*$AY$31*$AZ$31+$BC$31*$BD$31*$BE$31*$BF$31*BG2*$BH$31*$BI$31</f>
        <v>3.0564203903856842E-2</v>
      </c>
      <c r="AC2">
        <f>AH2*$AI$31*$AJ$31+$AM$31*$AN$31*$AO$31*$AP$31*AQ2*$AR$31+$AU$31*AV2*$AW$31*$AX$31*$AY$31*$AZ$31+$BC$31*$BD$31*$BE$31*BF2*$BG$31*$BH$31*$BI$31</f>
        <v>3.0359483534136901E-2</v>
      </c>
      <c r="AD2">
        <f>$AH$31*$AI$31*$AJ$31+$AM$31*$AN$31*$AO$31*$AP$31*$AQ$31*$AR$31+$AU$31*$AV$31*$AW$31*$AX$31*$AY$31*$AZ$31+$BC$31*$BD$31*$BE$31*$BF$31*$BG$31*BH2*$BI$31</f>
        <v>3.0337355939164274E-2</v>
      </c>
      <c r="AE2">
        <f>$AH$31*$AI$31*AJ2+$AM$31*$AN$31*AO2*$AP$31*$AQ$31*$AR$31+$AU$31*$AV$31*$AW$31*$AX$31*AY2*$AZ$31+$BC$31*$BD$31*$BE$31*$BF$31*$BG$31*$BH$31*BI2</f>
        <v>3.0287105946118945E-2</v>
      </c>
      <c r="AF2">
        <f>$AH$31*AI2*$AJ$31+$AM$31*$AN$31*$AO$31*AP2*$AQ$31*$AR$31+$AU$31*$AV$31*$AW$31*$AX$31*$AY$31*$AZ$31+$BC$31*$BD$31*$BE$31*$BF$31*$BG$31*$BH$31*$BI$31</f>
        <v>2.9261238827913275E-2</v>
      </c>
      <c r="AH2">
        <v>5.4371764182000002E-4</v>
      </c>
      <c r="AI2">
        <v>0.91046948243053105</v>
      </c>
      <c r="AJ2">
        <v>1.01279200972174</v>
      </c>
      <c r="AK2">
        <v>5.0137085493746404E-4</v>
      </c>
      <c r="AM2">
        <v>3.6252229238999999E-3</v>
      </c>
      <c r="AN2">
        <v>1.1139597153277001</v>
      </c>
      <c r="AO2">
        <v>0.77744475477625496</v>
      </c>
      <c r="AP2">
        <v>0.59569319729737003</v>
      </c>
      <c r="AQ2">
        <v>1.1969497483437801</v>
      </c>
      <c r="AR2">
        <v>1.0080760966223701</v>
      </c>
      <c r="AS2">
        <v>2.2566573250399598E-3</v>
      </c>
      <c r="AU2">
        <v>6.6923291199E-3</v>
      </c>
      <c r="AV2">
        <v>1.22596235946356</v>
      </c>
      <c r="AW2">
        <v>1.11160772202116</v>
      </c>
      <c r="AX2">
        <v>1</v>
      </c>
      <c r="AY2">
        <v>1.16980049745729</v>
      </c>
      <c r="AZ2">
        <v>1.0564566479999999</v>
      </c>
      <c r="BA2">
        <v>1.1271182044133399E-2</v>
      </c>
      <c r="BC2">
        <v>4.80234028762679E-3</v>
      </c>
      <c r="BD2">
        <v>4.6898645652023703</v>
      </c>
      <c r="BE2">
        <v>0.69734611113330602</v>
      </c>
      <c r="BF2">
        <v>1.11002356105503</v>
      </c>
      <c r="BG2">
        <v>0.81552702484110995</v>
      </c>
      <c r="BH2">
        <v>1.04554338815562</v>
      </c>
      <c r="BI2">
        <v>1</v>
      </c>
      <c r="BJ2">
        <v>1.48653188598679E-2</v>
      </c>
      <c r="BL2">
        <v>2.8894529083978798E-2</v>
      </c>
    </row>
    <row r="3" spans="1:64" x14ac:dyDescent="0.25">
      <c r="A3" t="s">
        <v>51</v>
      </c>
      <c r="B3">
        <v>3514775</v>
      </c>
      <c r="C3">
        <v>2010</v>
      </c>
      <c r="D3">
        <v>4</v>
      </c>
      <c r="E3" s="1">
        <v>42461</v>
      </c>
      <c r="F3" t="s">
        <v>52</v>
      </c>
      <c r="G3">
        <v>1486370935.7</v>
      </c>
      <c r="H3">
        <v>100</v>
      </c>
      <c r="I3">
        <v>0</v>
      </c>
      <c r="J3">
        <v>0</v>
      </c>
      <c r="K3">
        <v>97.27</v>
      </c>
      <c r="L3">
        <v>2.73</v>
      </c>
      <c r="M3">
        <v>102.92</v>
      </c>
      <c r="N3">
        <v>547.04999999999995</v>
      </c>
      <c r="O3">
        <v>67</v>
      </c>
      <c r="P3">
        <v>163175.19</v>
      </c>
      <c r="Q3">
        <v>70.459999999999994</v>
      </c>
      <c r="R3">
        <v>717</v>
      </c>
      <c r="S3">
        <v>4.4619999999999997</v>
      </c>
      <c r="T3">
        <v>110.74</v>
      </c>
      <c r="U3">
        <v>110.74</v>
      </c>
      <c r="V3">
        <v>60.006370821071897</v>
      </c>
      <c r="W3">
        <v>1.8569999999999999E-3</v>
      </c>
      <c r="X3">
        <v>2.0553999999999999E-2</v>
      </c>
      <c r="Z3">
        <f>$AH$31*$AI$31*$AJ$31+$AM$31*$AN$31*$AO$31*$AP$31*$AQ$31*AR3+$AU$31*$AV$31*$AW$31*$AX$31*$AY$31*$AZ$31+$BC$31*$BD$31*$BE$31*$BF$31*$BG$31*$BH$31*$BI$31</f>
        <v>3.021562425743575E-2</v>
      </c>
      <c r="AA3">
        <f>$AH$31*$AI$31*$AJ$31+$AM$31*AN3*$AO$31*$AP$31*$AQ$31*$AR$31+$AU$31*$AV$31*$AW$31*AX3*$AY$31*$AZ$31+BC3*$BD$31*$BE$31*$BF$31*$BG$31*$BH$31*$BI$31</f>
        <v>2.8578033415812019E-2</v>
      </c>
      <c r="AB3">
        <f>$AH$31*$AI$31*$AJ$31+$AM$31*$AN$31*$AO$31*$AP$31*$AQ$31*$AR$31+$AU$31*$AV$31*$AW$31*$AX$31*$AY$31*$AZ$31+$BC$31*$BD$31*$BE$31*$BF$31*BG3*$BH$31*$BI$31</f>
        <v>3.1214388643645355E-2</v>
      </c>
      <c r="AC3">
        <f>AH3*$AI$31*$AJ$31+$AM$31*$AN$31*$AO$31*$AP$31*AQ3*$AR$31+$AU$31*AV3*$AW$31*$AX$31*$AY$31*$AZ$31+$BC$31*$BD$31*$BE$31*BF3*$BG$31*$BH$31*$BI$31</f>
        <v>3.035311027790354E-2</v>
      </c>
      <c r="AD3">
        <f>$AH$31*$AI$31*$AJ$31+$AM$31*$AN$31*$AO$31*$AP$31*$AQ$31*$AR$31+$AU$31*$AV$31*$AW$31*$AX$31*$AY$31*$AZ$31+$BC$31*$BD$31*$BE$31*$BF$31*$BG$31*BH3*$BI$31</f>
        <v>3.0356010158545568E-2</v>
      </c>
      <c r="AE3">
        <f>$AH$31*$AI$31*AJ3+$AM$31*$AN$31*AO3*$AP$31*$AQ$31*$AR$31+$AU$31*$AV$31*$AW$31*$AX$31*AY3*$AZ$31+$BC$31*$BD$31*$BE$31*$BF$31*$BG$31*$BH$31*BI3</f>
        <v>3.0274467565071964E-2</v>
      </c>
      <c r="AF3">
        <f>$AH$31*AI3*$AJ$31+$AM$31*$AN$31*$AO$31*AP3*$AQ$31*$AR$31+$AU$31*$AV$31*$AW$31*$AX$31*$AY$31*$AZ$31+$BC$31*$BD$31*$BE$31*$BF$31*$BG$31*$BH$31*$BI$31</f>
        <v>2.9472574677242055E-2</v>
      </c>
      <c r="AH3">
        <v>5.4030831355999999E-4</v>
      </c>
      <c r="AI3">
        <v>0.904871381698229</v>
      </c>
      <c r="AJ3">
        <v>1.0141487451884601</v>
      </c>
      <c r="AK3">
        <v>4.9582698659756796E-4</v>
      </c>
      <c r="AM3">
        <v>3.6252229238999999E-3</v>
      </c>
      <c r="AN3">
        <v>1.1038191858717801</v>
      </c>
      <c r="AO3">
        <v>0.76932099490180805</v>
      </c>
      <c r="AP3">
        <v>0.65109981516788495</v>
      </c>
      <c r="AQ3">
        <v>1.1968561262528301</v>
      </c>
      <c r="AR3">
        <v>1.0080082747980299</v>
      </c>
      <c r="AS3">
        <v>2.4182091327352002E-3</v>
      </c>
      <c r="AU3">
        <v>6.6923291199E-3</v>
      </c>
      <c r="AV3">
        <v>1.2259290052879199</v>
      </c>
      <c r="AW3">
        <v>1.11160772202116</v>
      </c>
      <c r="AX3">
        <v>1</v>
      </c>
      <c r="AY3">
        <v>1.17218177452506</v>
      </c>
      <c r="AZ3">
        <v>1.0564566479999999</v>
      </c>
      <c r="BA3">
        <v>1.12938186887582E-2</v>
      </c>
      <c r="BC3">
        <v>4.60226399738252E-3</v>
      </c>
      <c r="BD3">
        <v>4.6898645652023703</v>
      </c>
      <c r="BE3">
        <v>0.69734611113330602</v>
      </c>
      <c r="BF3">
        <v>1.1098232041646501</v>
      </c>
      <c r="BG3">
        <v>0.84966721183397098</v>
      </c>
      <c r="BH3">
        <v>1.0468177709778499</v>
      </c>
      <c r="BI3">
        <v>1</v>
      </c>
      <c r="BJ3">
        <v>1.48577812080422E-2</v>
      </c>
      <c r="BL3">
        <v>2.9065636016133201E-2</v>
      </c>
    </row>
    <row r="4" spans="1:64" x14ac:dyDescent="0.25">
      <c r="A4" t="s">
        <v>51</v>
      </c>
      <c r="B4">
        <v>3515063</v>
      </c>
      <c r="C4">
        <v>2010</v>
      </c>
      <c r="D4">
        <v>4</v>
      </c>
      <c r="E4" s="1">
        <v>42461</v>
      </c>
      <c r="F4" t="s">
        <v>52</v>
      </c>
      <c r="G4">
        <v>10401347</v>
      </c>
      <c r="H4">
        <v>100</v>
      </c>
      <c r="I4">
        <v>0</v>
      </c>
      <c r="J4">
        <v>0</v>
      </c>
      <c r="K4">
        <v>95.23</v>
      </c>
      <c r="L4">
        <v>4.7699999999999996</v>
      </c>
      <c r="M4">
        <v>101.31</v>
      </c>
      <c r="N4">
        <v>471.97</v>
      </c>
      <c r="O4">
        <v>67</v>
      </c>
      <c r="P4">
        <v>87577.95</v>
      </c>
      <c r="Q4">
        <v>68.62</v>
      </c>
      <c r="R4">
        <v>707</v>
      </c>
      <c r="S4">
        <v>4.4859999999999998</v>
      </c>
      <c r="T4">
        <v>110.74</v>
      </c>
      <c r="U4">
        <v>110.74</v>
      </c>
      <c r="V4">
        <v>60.006370821071897</v>
      </c>
      <c r="W4">
        <v>0</v>
      </c>
      <c r="X4">
        <v>3.1210000000000001E-3</v>
      </c>
      <c r="Z4">
        <f>$AH$31*$AI$31*$AJ$31+$AM$31*$AN$31*$AO$31*$AP$31*$AQ$31*AR4+$AU$31*$AV$31*$AW$31*$AX$31*$AY$31*$AZ$31+$BC$31*$BD$31*$BE$31*$BF$31*$BG$31*$BH$31*$BI$31</f>
        <v>3.0220280311533284E-2</v>
      </c>
      <c r="AA4">
        <f>$AH$31*$AI$31*$AJ$31+$AM$31*AN4*$AO$31*$AP$31*$AQ$31*$AR$31+$AU$31*$AV$31*$AW$31*AX4*$AY$31*$AZ$31+BC4*$BD$31*$BE$31*$BF$31*$BG$31*$BH$31*$BI$31</f>
        <v>2.8366972756446458E-2</v>
      </c>
      <c r="AB4">
        <f>$AH$31*$AI$31*$AJ$31+$AM$31*$AN$31*$AO$31*$AP$31*$AQ$31*$AR$31+$AU$31*$AV$31*$AW$31*$AX$31*$AY$31*$AZ$31+$BC$31*$BD$31*$BE$31*$BF$31*BG4*$BH$31*$BI$31</f>
        <v>3.2381153753384323E-2</v>
      </c>
      <c r="AC4">
        <f>AH4*$AI$31*$AJ$31+$AM$31*$AN$31*$AO$31*$AP$31*AQ4*$AR$31+$AU$31*AV4*$AW$31*$AX$31*$AY$31*$AZ$31+$BC$31*$BD$31*$BE$31*BF4*$BG$31*$BH$31*$BI$31</f>
        <v>3.035311027790354E-2</v>
      </c>
      <c r="AD4">
        <f>$AH$31*$AI$31*$AJ$31+$AM$31*$AN$31*$AO$31*$AP$31*$AQ$31*$AR$31+$AU$31*$AV$31*$AW$31*$AX$31*$AY$31*$AZ$31+$BC$31*$BD$31*$BE$31*$BF$31*$BG$31*BH4*$BI$31</f>
        <v>2.7767766399401775E-2</v>
      </c>
      <c r="AE4">
        <f>$AH$31*$AI$31*AJ4+$AM$31*$AN$31*AO4*$AP$31*$AQ$31*$AR$31+$AU$31*$AV$31*$AW$31*$AX$31*AY4*$AZ$31+$BC$31*$BD$31*$BE$31*$BF$31*$BG$31*$BH$31*BI4</f>
        <v>3.0199290526901432E-2</v>
      </c>
      <c r="AF4">
        <f>$AH$31*AI4*$AJ$31+$AM$31*$AN$31*$AO$31*AP4*$AQ$31*$AR$31+$AU$31*$AV$31*$AW$31*$AX$31*$AY$31*$AZ$31+$BC$31*$BD$31*$BE$31*$BF$31*$BG$31*$BH$31*$BI$31</f>
        <v>3.0060692412835287E-2</v>
      </c>
      <c r="AH4">
        <v>5.4030831355999999E-4</v>
      </c>
      <c r="AI4">
        <v>0.89293360088024498</v>
      </c>
      <c r="AJ4">
        <v>1.0206805287787</v>
      </c>
      <c r="AK4">
        <v>4.92436964511846E-4</v>
      </c>
      <c r="AM4">
        <v>3.6252229238999999E-3</v>
      </c>
      <c r="AN4">
        <v>1.0992302861497401</v>
      </c>
      <c r="AO4">
        <v>0.72725430579371797</v>
      </c>
      <c r="AP4">
        <v>0.80480446954028095</v>
      </c>
      <c r="AQ4">
        <v>1.1968561262528301</v>
      </c>
      <c r="AR4">
        <v>1.00944203210349</v>
      </c>
      <c r="AS4">
        <v>2.81788597471832E-3</v>
      </c>
      <c r="AU4">
        <v>6.6923291199E-3</v>
      </c>
      <c r="AV4">
        <v>1.2259290052879199</v>
      </c>
      <c r="AW4">
        <v>1.11160772202116</v>
      </c>
      <c r="AX4">
        <v>1</v>
      </c>
      <c r="AY4">
        <v>1.1835190351498901</v>
      </c>
      <c r="AZ4">
        <v>1.0564566479999999</v>
      </c>
      <c r="BA4">
        <v>1.14030517178897E-2</v>
      </c>
      <c r="BC4">
        <v>4.5360611329853598E-3</v>
      </c>
      <c r="BD4">
        <v>4.6898645652023703</v>
      </c>
      <c r="BE4">
        <v>0.69734611113330602</v>
      </c>
      <c r="BF4">
        <v>1.1098232041646501</v>
      </c>
      <c r="BG4">
        <v>0.91093222866009804</v>
      </c>
      <c r="BH4">
        <v>0.86999914785688603</v>
      </c>
      <c r="BI4">
        <v>1</v>
      </c>
      <c r="BJ4">
        <v>1.3048070038270699E-2</v>
      </c>
      <c r="BL4">
        <v>2.7761444695390498E-2</v>
      </c>
    </row>
    <row r="5" spans="1:64" x14ac:dyDescent="0.25">
      <c r="A5" t="s">
        <v>51</v>
      </c>
      <c r="B5">
        <v>3516090</v>
      </c>
      <c r="C5">
        <v>2010</v>
      </c>
      <c r="D5">
        <v>4</v>
      </c>
      <c r="E5" s="1">
        <v>42461</v>
      </c>
      <c r="F5" t="s">
        <v>52</v>
      </c>
      <c r="G5">
        <v>2742024690.5999999</v>
      </c>
      <c r="H5">
        <v>100</v>
      </c>
      <c r="I5">
        <v>0</v>
      </c>
      <c r="J5">
        <v>0</v>
      </c>
      <c r="K5">
        <v>97.33</v>
      </c>
      <c r="L5">
        <v>2.67</v>
      </c>
      <c r="M5">
        <v>97.12</v>
      </c>
      <c r="N5">
        <v>495.49</v>
      </c>
      <c r="O5">
        <v>66</v>
      </c>
      <c r="P5">
        <v>162580.24</v>
      </c>
      <c r="Q5">
        <v>70.17</v>
      </c>
      <c r="R5">
        <v>716</v>
      </c>
      <c r="S5">
        <v>4.4009999999999998</v>
      </c>
      <c r="T5">
        <v>110.74</v>
      </c>
      <c r="U5">
        <v>110.74</v>
      </c>
      <c r="V5">
        <v>60.006370821071897</v>
      </c>
      <c r="W5">
        <v>1.0970000000000001E-3</v>
      </c>
      <c r="X5">
        <v>1.8921E-2</v>
      </c>
      <c r="Z5">
        <f>$AH$31*$AI$31*$AJ$31+$AM$31*$AN$31*$AO$31*$AP$31*$AQ$31*AR5+$AU$31*$AV$31*$AW$31*$AX$31*$AY$31*$AZ$31+$BC$31*$BD$31*$BE$31*$BF$31*$BG$31*$BH$31*$BI$31</f>
        <v>3.0215515475184355E-2</v>
      </c>
      <c r="AA5">
        <f>$AH$31*$AI$31*$AJ$31+$AM$31*AN5*$AO$31*$AP$31*$AQ$31*$AR$31+$AU$31*$AV$31*$AW$31*AX5*$AY$31*$AZ$31+BC5*$BD$31*$BE$31*$BF$31*$BG$31*$BH$31*$BI$31</f>
        <v>2.7814605042100128E-2</v>
      </c>
      <c r="AB5">
        <f>$AH$31*$AI$31*$AJ$31+$AM$31*$AN$31*$AO$31*$AP$31*$AQ$31*$AR$31+$AU$31*$AV$31*$AW$31*$AX$31*$AY$31*$AZ$31+$BC$31*$BD$31*$BE$31*$BF$31*BG5*$BH$31*$BI$31</f>
        <v>3.1992372177410494E-2</v>
      </c>
      <c r="AC5">
        <f>AH5*$AI$31*$AJ$31+$AM$31*$AN$31*$AO$31*$AP$31*AQ5*$AR$31+$AU$31*AV5*$AW$31*$AX$31*$AY$31*$AZ$31+$BC$31*$BD$31*$BE$31*BF5*$BG$31*$BH$31*$BI$31</f>
        <v>3.034652301584926E-2</v>
      </c>
      <c r="AD5">
        <f>$AH$31*$AI$31*$AJ$31+$AM$31*$AN$31*$AO$31*$AP$31*$AQ$31*$AR$31+$AU$31*$AV$31*$AW$31*$AX$31*$AY$31*$AZ$31+$BC$31*$BD$31*$BE$31*$BF$31*$BG$31*BH5*$BI$31</f>
        <v>3.0351724850635864E-2</v>
      </c>
      <c r="AE5">
        <f>$AH$31*$AI$31*AJ5+$AM$31*$AN$31*AO5*$AP$31*$AQ$31*$AR$31+$AU$31*$AV$31*$AW$31*$AX$31*AY5*$AZ$31+$BC$31*$BD$31*$BE$31*$BF$31*$BG$31*$BH$31*BI5</f>
        <v>3.0263547075437776E-2</v>
      </c>
      <c r="AF5">
        <f>$AH$31*AI5*$AJ$31+$AM$31*$AN$31*$AO$31*AP5*$AQ$31*$AR$31+$AU$31*$AV$31*$AW$31*$AX$31*$AY$31*$AZ$31+$BC$31*$BD$31*$BE$31*$BF$31*$BG$31*$BH$31*$BI$31</f>
        <v>2.954404786251065E-2</v>
      </c>
      <c r="AH5">
        <v>5.3692024523000002E-4</v>
      </c>
      <c r="AI5">
        <v>0.90255793786925897</v>
      </c>
      <c r="AJ5">
        <v>1.01531278299632</v>
      </c>
      <c r="AK5">
        <v>4.9202222892471702E-4</v>
      </c>
      <c r="AM5">
        <v>3.6252229238999999E-3</v>
      </c>
      <c r="AN5">
        <v>1.0897584423828199</v>
      </c>
      <c r="AO5">
        <v>0.76260446560931905</v>
      </c>
      <c r="AP5">
        <v>0.66989404555005605</v>
      </c>
      <c r="AQ5">
        <v>1.1967605835106701</v>
      </c>
      <c r="AR5">
        <v>1.00797477704556</v>
      </c>
      <c r="AS5">
        <v>2.43459857171367E-3</v>
      </c>
      <c r="AU5">
        <v>6.6923291199E-3</v>
      </c>
      <c r="AV5">
        <v>1.22586650071393</v>
      </c>
      <c r="AW5">
        <v>1.11160772202116</v>
      </c>
      <c r="AX5">
        <v>1</v>
      </c>
      <c r="AY5">
        <v>1.1740993743207</v>
      </c>
      <c r="AZ5">
        <v>1.0564566479999999</v>
      </c>
      <c r="BA5">
        <v>1.13117177502478E-2</v>
      </c>
      <c r="BC5">
        <v>4.3604813894614703E-3</v>
      </c>
      <c r="BD5">
        <v>4.6898645652023703</v>
      </c>
      <c r="BE5">
        <v>0.69734611113330602</v>
      </c>
      <c r="BF5">
        <v>1.1096259539740101</v>
      </c>
      <c r="BG5">
        <v>0.89051791424933102</v>
      </c>
      <c r="BH5">
        <v>1.04652501561369</v>
      </c>
      <c r="BI5">
        <v>1</v>
      </c>
      <c r="BJ5">
        <v>1.47472825953403E-2</v>
      </c>
      <c r="BL5">
        <v>2.8985621146226499E-2</v>
      </c>
    </row>
    <row r="6" spans="1:64" x14ac:dyDescent="0.25">
      <c r="A6" t="s">
        <v>51</v>
      </c>
      <c r="B6">
        <v>3516323</v>
      </c>
      <c r="C6">
        <v>2010</v>
      </c>
      <c r="D6">
        <v>4</v>
      </c>
      <c r="E6" s="1">
        <v>42461</v>
      </c>
      <c r="F6" t="s">
        <v>52</v>
      </c>
      <c r="G6">
        <v>5923483.3799999999</v>
      </c>
      <c r="H6">
        <v>100</v>
      </c>
      <c r="I6">
        <v>0</v>
      </c>
      <c r="J6">
        <v>0</v>
      </c>
      <c r="K6">
        <v>94.85</v>
      </c>
      <c r="L6">
        <v>5.15</v>
      </c>
      <c r="M6">
        <v>90.42</v>
      </c>
      <c r="N6">
        <v>392.34</v>
      </c>
      <c r="O6">
        <v>66</v>
      </c>
      <c r="P6">
        <v>104132.64</v>
      </c>
      <c r="Q6">
        <v>67.05</v>
      </c>
      <c r="R6">
        <v>712</v>
      </c>
      <c r="S6">
        <v>4.38</v>
      </c>
      <c r="T6">
        <v>110.74</v>
      </c>
      <c r="U6">
        <v>110.74</v>
      </c>
      <c r="V6">
        <v>60.006370821071897</v>
      </c>
      <c r="W6">
        <v>0</v>
      </c>
      <c r="X6">
        <v>1.8277999999999999E-2</v>
      </c>
      <c r="Z6">
        <f>$AH$31*$AI$31*$AJ$31+$AM$31*$AN$31*$AO$31*$AP$31*$AQ$31*AR6+$AU$31*$AV$31*$AW$31*$AX$31*$AY$31*$AZ$31+$BC$31*$BD$31*$BE$31*$BF$31*$BG$31*$BH$31*$BI$31</f>
        <v>3.0221471049371132E-2</v>
      </c>
      <c r="AA6">
        <f>$AH$31*$AI$31*$AJ$31+$AM$31*AN6*$AO$31*$AP$31*$AQ$31*$AR$31+$AU$31*$AV$31*$AW$31*AX6*$AY$31*$AZ$31+BC6*$BD$31*$BE$31*$BF$31*$BG$31*$BH$31*$BI$31</f>
        <v>2.6852194174919755E-2</v>
      </c>
      <c r="AB6">
        <f>$AH$31*$AI$31*$AJ$31+$AM$31*$AN$31*$AO$31*$AP$31*$AQ$31*$AR$31+$AU$31*$AV$31*$AW$31*$AX$31*$AY$31*$AZ$31+$BC$31*$BD$31*$BE$31*$BF$31*BG6*$BH$31*$BI$31</f>
        <v>3.3773482668074541E-2</v>
      </c>
      <c r="AC6">
        <f>AH6*$AI$31*$AJ$31+$AM$31*$AN$31*$AO$31*$AP$31*AQ6*$AR$31+$AU$31*AV6*$AW$31*$AX$31*$AY$31*$AZ$31+$BC$31*$BD$31*$BE$31*BF6*$BG$31*$BH$31*$BI$31</f>
        <v>3.034652301584926E-2</v>
      </c>
      <c r="AD6">
        <f>$AH$31*$AI$31*$AJ$31+$AM$31*$AN$31*$AO$31*$AP$31*$AQ$31*$AR$31+$AU$31*$AV$31*$AW$31*$AX$31*$AY$31*$AZ$31+$BC$31*$BD$31*$BE$31*$BF$31*$BG$31*BH6*$BI$31</f>
        <v>2.8430213952460769E-2</v>
      </c>
      <c r="AE6">
        <f>$AH$31*$AI$31*AJ6+$AM$31*$AN$31*AO6*$AP$31*$AQ$31*$AR$31+$AU$31*$AV$31*$AW$31*$AX$31*AY6*$AZ$31+$BC$31*$BD$31*$BE$31*$BF$31*$BG$31*$BH$31*BI6</f>
        <v>3.012932519417889E-2</v>
      </c>
      <c r="AF6">
        <f>$AH$31*AI6*$AJ$31+$AM$31*$AN$31*$AO$31*AP6*$AQ$31*$AR$31+$AU$31*$AV$31*$AW$31*$AX$31*$AY$31*$AZ$31+$BC$31*$BD$31*$BE$31*$BF$31*$BG$31*$BH$31*$BI$31</f>
        <v>2.9813058233656473E-2</v>
      </c>
      <c r="AH6">
        <v>5.3692024523000002E-4</v>
      </c>
      <c r="AI6">
        <v>0.89730737190361998</v>
      </c>
      <c r="AJ6">
        <v>1.02647075573427</v>
      </c>
      <c r="AK6">
        <v>4.9453564088937905E-4</v>
      </c>
      <c r="AM6">
        <v>3.6252229238999999E-3</v>
      </c>
      <c r="AN6">
        <v>1.0694616203137499</v>
      </c>
      <c r="AO6">
        <v>0.69325767847355402</v>
      </c>
      <c r="AP6">
        <v>0.74017203759051797</v>
      </c>
      <c r="AQ6">
        <v>1.1967605835106701</v>
      </c>
      <c r="AR6">
        <v>1.00980870075427</v>
      </c>
      <c r="AS6">
        <v>2.4042170301732399E-3</v>
      </c>
      <c r="AU6">
        <v>6.6923291199E-3</v>
      </c>
      <c r="AV6">
        <v>1.22586650071393</v>
      </c>
      <c r="AW6">
        <v>1.11160772202116</v>
      </c>
      <c r="AX6">
        <v>1</v>
      </c>
      <c r="AY6">
        <v>1.19169588979652</v>
      </c>
      <c r="AZ6">
        <v>1.0564566479999999</v>
      </c>
      <c r="BA6">
        <v>1.14812492403447E-2</v>
      </c>
      <c r="BC6">
        <v>4.0580303042115403E-3</v>
      </c>
      <c r="BD6">
        <v>4.6898645652023703</v>
      </c>
      <c r="BE6">
        <v>0.69734611113330602</v>
      </c>
      <c r="BF6">
        <v>1.1096259539740101</v>
      </c>
      <c r="BG6">
        <v>0.98404124921101599</v>
      </c>
      <c r="BH6">
        <v>0.91525495647534905</v>
      </c>
      <c r="BI6">
        <v>1</v>
      </c>
      <c r="BJ6">
        <v>1.3263433669811401E-2</v>
      </c>
      <c r="BL6">
        <v>2.7643435581218699E-2</v>
      </c>
    </row>
    <row r="7" spans="1:64" x14ac:dyDescent="0.25">
      <c r="A7" t="s">
        <v>51</v>
      </c>
      <c r="B7">
        <v>3517030</v>
      </c>
      <c r="C7">
        <v>2010</v>
      </c>
      <c r="D7">
        <v>4</v>
      </c>
      <c r="E7" s="1">
        <v>42461</v>
      </c>
      <c r="F7" t="s">
        <v>52</v>
      </c>
      <c r="G7">
        <v>28593270.379999999</v>
      </c>
      <c r="H7">
        <v>100</v>
      </c>
      <c r="I7">
        <v>0</v>
      </c>
      <c r="J7">
        <v>0</v>
      </c>
      <c r="K7">
        <v>98.06</v>
      </c>
      <c r="L7">
        <v>1.94</v>
      </c>
      <c r="M7">
        <v>115.16</v>
      </c>
      <c r="N7">
        <v>626.80999999999995</v>
      </c>
      <c r="O7">
        <v>65</v>
      </c>
      <c r="P7">
        <v>78065.83</v>
      </c>
      <c r="Q7">
        <v>68.67</v>
      </c>
      <c r="R7">
        <v>709</v>
      </c>
      <c r="S7">
        <v>4.3929999999999998</v>
      </c>
      <c r="T7">
        <v>110.74</v>
      </c>
      <c r="U7">
        <v>110.74</v>
      </c>
      <c r="V7">
        <v>60.006370821071897</v>
      </c>
      <c r="W7">
        <v>0</v>
      </c>
      <c r="X7">
        <v>4.1380000000000002E-3</v>
      </c>
      <c r="Z7">
        <f>$AH$31*$AI$31*$AJ$31+$AM$31*$AN$31*$AO$31*$AP$31*$AQ$31*AR7+$AU$31*$AV$31*$AW$31*$AX$31*$AY$31*$AZ$31+$BC$31*$BD$31*$BE$31*$BF$31*$BG$31*$BH$31*$BI$31</f>
        <v>3.0214236471088798E-2</v>
      </c>
      <c r="AA7">
        <f>$AH$31*$AI$31*$AJ$31+$AM$31*AN7*$AO$31*$AP$31*$AQ$31*$AR$31+$AU$31*$AV$31*$AW$31*AX7*$AY$31*$AZ$31+BC7*$BD$31*$BE$31*$BF$31*$BG$31*$BH$31*$BI$31</f>
        <v>3.0181716159992905E-2</v>
      </c>
      <c r="AB7">
        <f>$AH$31*$AI$31*$AJ$31+$AM$31*$AN$31*$AO$31*$AP$31*$AQ$31*$AR$31+$AU$31*$AV$31*$AW$31*$AX$31*$AY$31*$AZ$31+$BC$31*$BD$31*$BE$31*$BF$31*BG7*$BH$31*$BI$31</f>
        <v>3.0293521839777911E-2</v>
      </c>
      <c r="AC7">
        <f>AH7*$AI$31*$AJ$31+$AM$31*$AN$31*$AO$31*$AP$31*AQ7*$AR$31+$AU$31*AV7*$AW$31*$AX$31*$AY$31*$AZ$31+$BC$31*$BD$31*$BE$31*BF7*$BG$31*$BH$31*$BI$31</f>
        <v>3.0339639184354367E-2</v>
      </c>
      <c r="AD7">
        <f>$AH$31*$AI$31*$AJ$31+$AM$31*$AN$31*$AO$31*$AP$31*$AQ$31*$AR$31+$AU$31*$AV$31*$AW$31*$AX$31*$AY$31*$AZ$31+$BC$31*$BD$31*$BE$31*$BF$31*$BG$31*BH7*$BI$31</f>
        <v>2.7376093287188506E-2</v>
      </c>
      <c r="AE7">
        <f>$AH$31*$AI$31*AJ7+$AM$31*$AN$31*AO7*$AP$31*$AQ$31*$AR$31+$AU$31*$AV$31*$AW$31*$AX$31*AY7*$AZ$31+$BC$31*$BD$31*$BE$31*$BF$31*$BG$31*$BH$31*BI7</f>
        <v>3.0201631468943425E-2</v>
      </c>
      <c r="AF7">
        <f>$AH$31*AI7*$AJ$31+$AM$31*$AN$31*$AO$31*AP7*$AQ$31*$AR$31+$AU$31*$AV$31*$AW$31*$AX$31*$AY$31*$AZ$31+$BC$31*$BD$31*$BE$31*$BF$31*$BG$31*$BH$31*$BI$31</f>
        <v>2.9970546538505914E-2</v>
      </c>
      <c r="AH7">
        <v>5.3355433965999999E-4</v>
      </c>
      <c r="AI7">
        <v>0.89303528034749802</v>
      </c>
      <c r="AJ7">
        <v>1.02086607170699</v>
      </c>
      <c r="AK7">
        <v>4.8642517459951298E-4</v>
      </c>
      <c r="AM7">
        <v>3.6252229238999999E-3</v>
      </c>
      <c r="AN7">
        <v>1.14508927358247</v>
      </c>
      <c r="AO7">
        <v>0.72837323598195902</v>
      </c>
      <c r="AP7">
        <v>0.78147461177310995</v>
      </c>
      <c r="AQ7">
        <v>1.19666309823906</v>
      </c>
      <c r="AR7">
        <v>1.00758092821406</v>
      </c>
      <c r="AS7">
        <v>2.84901511965079E-3</v>
      </c>
      <c r="AU7">
        <v>6.6923291199E-3</v>
      </c>
      <c r="AV7">
        <v>1.2257657253215199</v>
      </c>
      <c r="AW7">
        <v>1.11160772202116</v>
      </c>
      <c r="AX7">
        <v>1</v>
      </c>
      <c r="AY7">
        <v>1.1832365047717801</v>
      </c>
      <c r="AZ7">
        <v>1.0564566479999999</v>
      </c>
      <c r="BA7">
        <v>1.1398811178722599E-2</v>
      </c>
      <c r="BC7">
        <v>5.0994340091338403E-3</v>
      </c>
      <c r="BD7">
        <v>4.6898645652023703</v>
      </c>
      <c r="BE7">
        <v>0.69734611113330602</v>
      </c>
      <c r="BF7">
        <v>1.1094319046255301</v>
      </c>
      <c r="BG7">
        <v>0.80131393167273701</v>
      </c>
      <c r="BH7">
        <v>0.84324158293650797</v>
      </c>
      <c r="BI7">
        <v>1</v>
      </c>
      <c r="BJ7">
        <v>1.2502187846452399E-2</v>
      </c>
      <c r="BL7">
        <v>2.72364393194253E-2</v>
      </c>
    </row>
    <row r="8" spans="1:64" x14ac:dyDescent="0.25">
      <c r="A8" t="s">
        <v>51</v>
      </c>
      <c r="B8">
        <v>3518271</v>
      </c>
      <c r="C8">
        <v>2010</v>
      </c>
      <c r="D8">
        <v>4</v>
      </c>
      <c r="E8" s="1">
        <v>42461</v>
      </c>
      <c r="F8" t="s">
        <v>52</v>
      </c>
      <c r="G8">
        <v>624096.74</v>
      </c>
      <c r="H8">
        <v>100</v>
      </c>
      <c r="I8">
        <v>0</v>
      </c>
      <c r="J8">
        <v>0</v>
      </c>
      <c r="K8">
        <v>100</v>
      </c>
      <c r="L8">
        <v>0</v>
      </c>
      <c r="M8">
        <v>115.39</v>
      </c>
      <c r="N8">
        <v>555.54</v>
      </c>
      <c r="O8">
        <v>64</v>
      </c>
      <c r="P8">
        <v>62531.01</v>
      </c>
      <c r="Q8">
        <v>72.209999999999994</v>
      </c>
      <c r="R8">
        <v>713</v>
      </c>
      <c r="S8">
        <v>4.3970000000000002</v>
      </c>
      <c r="T8">
        <v>110.74</v>
      </c>
      <c r="U8">
        <v>110.74</v>
      </c>
      <c r="V8">
        <v>60.006370821071897</v>
      </c>
      <c r="W8">
        <v>0</v>
      </c>
      <c r="X8" s="2">
        <v>1.9999999999999999E-6</v>
      </c>
      <c r="Y8" s="2"/>
      <c r="Z8">
        <f>$AH$31*$AI$31*$AJ$31+$AM$31*$AN$31*$AO$31*$AP$31*$AQ$31*AR8+$AU$31*$AV$31*$AW$31*$AX$31*$AY$31*$AZ$31+$BC$31*$BD$31*$BE$31*$BF$31*$BG$31*$BH$31*$BI$31</f>
        <v>3.0210506206292662E-2</v>
      </c>
      <c r="AA8">
        <f>$AH$31*$AI$31*$AJ$31+$AM$31*AN8*$AO$31*$AP$31*$AQ$31*$AR$31+$AU$31*$AV$31*$AW$31*AX8*$AY$31*$AZ$31+BC8*$BD$31*$BE$31*$BF$31*$BG$31*$BH$31*$BI$31</f>
        <v>3.022315930750176E-2</v>
      </c>
      <c r="AB8">
        <f>$AH$31*$AI$31*$AJ$31+$AM$31*$AN$31*$AO$31*$AP$31*$AQ$31*$AR$31+$AU$31*$AV$31*$AW$31*$AX$31*$AY$31*$AZ$31+$BC$31*$BD$31*$BE$31*$BF$31*BG8*$BH$31*$BI$31</f>
        <v>3.109880367360715E-2</v>
      </c>
      <c r="AC8">
        <f>AH8*$AI$31*$AJ$31+$AM$31*$AN$31*$AO$31*$AP$31*AQ8*$AR$31+$AU$31*AV8*$AW$31*$AX$31*$AY$31*$AZ$31+$BC$31*$BD$31*$BE$31*BF8*$BG$31*$BH$31*$BI$31</f>
        <v>3.0332376219816951E-2</v>
      </c>
      <c r="AD8">
        <f>$AH$31*$AI$31*$AJ$31+$AM$31*$AN$31*$AO$31*$AP$31*$AQ$31*$AR$31+$AU$31*$AV$31*$AW$31*$AX$31*$AY$31*$AZ$31+$BC$31*$BD$31*$BE$31*$BF$31*$BG$31*BH8*$BI$31</f>
        <v>2.6721808059916023E-2</v>
      </c>
      <c r="AE8">
        <f>$AH$31*$AI$31*AJ8+$AM$31*$AN$31*AO8*$AP$31*$AQ$31*$AR$31+$AU$31*$AV$31*$AW$31*$AX$31*AY8*$AZ$31+$BC$31*$BD$31*$BE$31*$BF$31*$BG$31*$BH$31*BI8</f>
        <v>3.0330527521235641E-2</v>
      </c>
      <c r="AF8">
        <f>$AH$31*AI8*$AJ$31+$AM$31*$AN$31*$AO$31*AP8*$AQ$31*$AR$31+$AU$31*$AV$31*$AW$31*$AX$31*$AY$31*$AZ$31+$BC$31*$BD$31*$BE$31*$BF$31*$BG$31*$BH$31*$BI$31</f>
        <v>2.9749577481273055E-2</v>
      </c>
      <c r="AG8" s="2"/>
      <c r="AH8">
        <v>5.3021149969999996E-4</v>
      </c>
      <c r="AI8">
        <v>0.89674975894389697</v>
      </c>
      <c r="AJ8">
        <v>1.00815329888878</v>
      </c>
      <c r="AK8">
        <v>4.79343659389668E-4</v>
      </c>
      <c r="AM8">
        <v>3.6252229238999999E-3</v>
      </c>
      <c r="AN8">
        <v>1.15013295428985</v>
      </c>
      <c r="AO8">
        <v>0.80987275148946103</v>
      </c>
      <c r="AP8">
        <v>0.72382680787475195</v>
      </c>
      <c r="AQ8">
        <v>1.19656364855973</v>
      </c>
      <c r="AR8">
        <v>1.0064322529</v>
      </c>
      <c r="AS8">
        <v>2.9434357931750498E-3</v>
      </c>
      <c r="AU8">
        <v>6.6923291199E-3</v>
      </c>
      <c r="AV8">
        <v>1.2256175586906399</v>
      </c>
      <c r="AW8">
        <v>1.11160772202116</v>
      </c>
      <c r="AX8">
        <v>1</v>
      </c>
      <c r="AY8">
        <v>1.15952521879842</v>
      </c>
      <c r="AZ8">
        <v>1.0564566479999999</v>
      </c>
      <c r="BA8">
        <v>1.1169036214571999E-2</v>
      </c>
      <c r="BC8">
        <v>5.1086463337989196E-3</v>
      </c>
      <c r="BD8">
        <v>4.6898645652023703</v>
      </c>
      <c r="BE8">
        <v>0.69734611113330602</v>
      </c>
      <c r="BF8">
        <v>1.10924115026161</v>
      </c>
      <c r="BG8">
        <v>0.843598025264086</v>
      </c>
      <c r="BH8">
        <v>0.79854339227884796</v>
      </c>
      <c r="BI8">
        <v>1</v>
      </c>
      <c r="BJ8">
        <v>1.24845982048832E-2</v>
      </c>
      <c r="BL8">
        <v>2.7076413872019901E-2</v>
      </c>
    </row>
    <row r="9" spans="1:64" x14ac:dyDescent="0.25">
      <c r="A9" t="s">
        <v>51</v>
      </c>
      <c r="B9">
        <v>3518408</v>
      </c>
      <c r="C9">
        <v>2010</v>
      </c>
      <c r="D9">
        <v>4</v>
      </c>
      <c r="E9" s="1">
        <v>42461</v>
      </c>
      <c r="F9" t="s">
        <v>52</v>
      </c>
      <c r="G9">
        <v>50097357.189999998</v>
      </c>
      <c r="H9">
        <v>100</v>
      </c>
      <c r="I9">
        <v>0</v>
      </c>
      <c r="J9">
        <v>0</v>
      </c>
      <c r="K9">
        <v>97.11</v>
      </c>
      <c r="L9">
        <v>2.89</v>
      </c>
      <c r="M9">
        <v>110.47</v>
      </c>
      <c r="N9">
        <v>579.58000000000004</v>
      </c>
      <c r="O9">
        <v>64</v>
      </c>
      <c r="P9">
        <v>77946.710000000006</v>
      </c>
      <c r="Q9">
        <v>67.7</v>
      </c>
      <c r="R9">
        <v>703</v>
      </c>
      <c r="S9">
        <v>4.3460000000000001</v>
      </c>
      <c r="T9">
        <v>110.74</v>
      </c>
      <c r="U9">
        <v>110.74</v>
      </c>
      <c r="V9">
        <v>60.006370821071897</v>
      </c>
      <c r="W9">
        <v>3.2850000000000002E-3</v>
      </c>
      <c r="X9">
        <v>1.4164E-2</v>
      </c>
      <c r="Z9">
        <f>$AH$31*$AI$31*$AJ$31+$AM$31*$AN$31*$AO$31*$AP$31*$AQ$31*AR9+$AU$31*$AV$31*$AW$31*$AX$31*$AY$31*$AZ$31+$BC$31*$BD$31*$BE$31*$BF$31*$BG$31*$BH$31*$BI$31</f>
        <v>3.0215918789230085E-2</v>
      </c>
      <c r="AA9">
        <f>$AH$31*$AI$31*$AJ$31+$AM$31*AN9*$AO$31*$AP$31*$AQ$31*$AR$31+$AU$31*$AV$31*$AW$31*AX9*$AY$31*$AZ$31+BC9*$BD$31*$BE$31*$BF$31*$BG$31*$BH$31*$BI$31</f>
        <v>2.9590989890700498E-2</v>
      </c>
      <c r="AB9">
        <f>$AH$31*$AI$31*$AJ$31+$AM$31*$AN$31*$AO$31*$AP$31*$AQ$31*$AR$31+$AU$31*$AV$31*$AW$31*$AX$31*$AY$31*$AZ$31+$BC$31*$BD$31*$BE$31*$BF$31*BG9*$BH$31*$BI$31</f>
        <v>3.0794942938742857E-2</v>
      </c>
      <c r="AC9">
        <f>AH9*$AI$31*$AJ$31+$AM$31*$AN$31*$AO$31*$AP$31*AQ9*$AR$31+$AU$31*AV9*$AW$31*$AX$31*$AY$31*$AZ$31+$BC$31*$BD$31*$BE$31*BF9*$BG$31*$BH$31*$BI$31</f>
        <v>3.0332376219816951E-2</v>
      </c>
      <c r="AD9">
        <f>$AH$31*$AI$31*$AJ$31+$AM$31*$AN$31*$AO$31*$AP$31*$AQ$31*$AR$31+$AU$31*$AV$31*$AW$31*$AX$31*$AY$31*$AZ$31+$BC$31*$BD$31*$BE$31*$BF$31*$BG$31*BH9*$BI$31</f>
        <v>2.7370684402491713E-2</v>
      </c>
      <c r="AE9">
        <f>$AH$31*$AI$31*AJ9+$AM$31*$AN$31*AO9*$AP$31*$AQ$31*$AR$31+$AU$31*$AV$31*$AW$31*$AX$31*AY9*$AZ$31+$BC$31*$BD$31*$BE$31*$BF$31*$BG$31*$BH$31*BI9</f>
        <v>3.0158737456863656E-2</v>
      </c>
      <c r="AF9">
        <f>$AH$31*AI9*$AJ$31+$AM$31*$AN$31*$AO$31*AP9*$AQ$31*$AR$31+$AU$31*$AV$31*$AW$31*$AX$31*$AY$31*$AZ$31+$BC$31*$BD$31*$BE$31*$BF$31*$BG$31*$BH$31*$BI$31</f>
        <v>3.0215340255650244E-2</v>
      </c>
      <c r="AH9">
        <v>5.3021149969999996E-4</v>
      </c>
      <c r="AI9">
        <v>0.88659452043016895</v>
      </c>
      <c r="AJ9">
        <v>1.0245759677813699</v>
      </c>
      <c r="AK9">
        <v>4.8163534538847298E-4</v>
      </c>
      <c r="AM9">
        <v>3.6252229238999999E-3</v>
      </c>
      <c r="AN9">
        <v>1.13631229485212</v>
      </c>
      <c r="AO9">
        <v>0.70703507518172404</v>
      </c>
      <c r="AP9">
        <v>0.84564719077577299</v>
      </c>
      <c r="AQ9">
        <v>1.19656364855973</v>
      </c>
      <c r="AR9">
        <v>1.00809897114798</v>
      </c>
      <c r="AS9">
        <v>2.97099259521332E-3</v>
      </c>
      <c r="AU9">
        <v>6.6923291199E-3</v>
      </c>
      <c r="AV9">
        <v>1.2256175586906399</v>
      </c>
      <c r="AW9">
        <v>1.11160772202116</v>
      </c>
      <c r="AX9">
        <v>1</v>
      </c>
      <c r="AY9">
        <v>1.1884717806003</v>
      </c>
      <c r="AZ9">
        <v>1.0564566479999999</v>
      </c>
      <c r="BA9">
        <v>1.1447861712983801E-2</v>
      </c>
      <c r="BC9">
        <v>4.9104248023522298E-3</v>
      </c>
      <c r="BD9">
        <v>4.6898645652023703</v>
      </c>
      <c r="BE9">
        <v>0.69734611113330602</v>
      </c>
      <c r="BF9">
        <v>1.10924115026161</v>
      </c>
      <c r="BG9">
        <v>0.82764277182114998</v>
      </c>
      <c r="BH9">
        <v>0.842872069230031</v>
      </c>
      <c r="BI9">
        <v>1</v>
      </c>
      <c r="BJ9">
        <v>1.2426771448078E-2</v>
      </c>
      <c r="BL9">
        <v>2.73272611016636E-2</v>
      </c>
    </row>
    <row r="10" spans="1:64" x14ac:dyDescent="0.25">
      <c r="A10" t="s">
        <v>51</v>
      </c>
      <c r="B10">
        <v>3518411</v>
      </c>
      <c r="C10">
        <v>2010</v>
      </c>
      <c r="D10">
        <v>4</v>
      </c>
      <c r="E10" s="1">
        <v>42461</v>
      </c>
      <c r="F10" t="s">
        <v>52</v>
      </c>
      <c r="G10">
        <v>14712926.98</v>
      </c>
      <c r="H10">
        <v>100</v>
      </c>
      <c r="I10">
        <v>0</v>
      </c>
      <c r="J10">
        <v>0</v>
      </c>
      <c r="K10">
        <v>96.57</v>
      </c>
      <c r="L10">
        <v>3.43</v>
      </c>
      <c r="M10">
        <v>111.43</v>
      </c>
      <c r="N10">
        <v>575.59</v>
      </c>
      <c r="O10">
        <v>64</v>
      </c>
      <c r="P10">
        <v>78414.149999999994</v>
      </c>
      <c r="Q10">
        <v>66.05</v>
      </c>
      <c r="R10">
        <v>700</v>
      </c>
      <c r="S10">
        <v>4.3559999999999999</v>
      </c>
      <c r="T10">
        <v>110.74</v>
      </c>
      <c r="U10">
        <v>110.74</v>
      </c>
      <c r="V10">
        <v>60.006370821071897</v>
      </c>
      <c r="W10">
        <v>5.6129999999999999E-3</v>
      </c>
      <c r="X10">
        <v>6.3340000000000002E-3</v>
      </c>
      <c r="Z10">
        <f>$AH$31*$AI$31*$AJ$31+$AM$31*$AN$31*$AO$31*$AP$31*$AQ$31*AR10+$AU$31*$AV$31*$AW$31*$AX$31*$AY$31*$AZ$31+$BC$31*$BD$31*$BE$31*$BF$31*$BG$31*$BH$31*$BI$31</f>
        <v>3.0216975428031898E-2</v>
      </c>
      <c r="AA10">
        <f>$AH$31*$AI$31*$AJ$31+$AM$31*AN10*$AO$31*$AP$31*$AQ$31*$AR$31+$AU$31*$AV$31*$AW$31*AX10*$AY$31*$AZ$31+BC10*$BD$31*$BE$31*$BF$31*$BG$31*$BH$31*$BI$31</f>
        <v>2.9715076560097985E-2</v>
      </c>
      <c r="AB10">
        <f>$AH$31*$AI$31*$AJ$31+$AM$31*$AN$31*$AO$31*$AP$31*$AQ$31*$AR$31+$AU$31*$AV$31*$AW$31*$AX$31*$AY$31*$AZ$31+$BC$31*$BD$31*$BE$31*$BF$31*BG10*$BH$31*$BI$31</f>
        <v>3.0842832733110975E-2</v>
      </c>
      <c r="AC10">
        <f>AH10*$AI$31*$AJ$31+$AM$31*$AN$31*$AO$31*$AP$31*AQ10*$AR$31+$AU$31*AV10*$AW$31*$AX$31*$AY$31*$AZ$31+$BC$31*$BD$31*$BE$31*BF10*$BG$31*$BH$31*$BI$31</f>
        <v>3.0332376219816951E-2</v>
      </c>
      <c r="AD10">
        <f>$AH$31*$AI$31*$AJ$31+$AM$31*$AN$31*$AO$31*$AP$31*$AQ$31*$AR$31+$AU$31*$AV$31*$AW$31*$AX$31*$AY$31*$AZ$31+$BC$31*$BD$31*$BE$31*$BF$31*$BG$31*BH10*$BI$31</f>
        <v>2.7391876299420796E-2</v>
      </c>
      <c r="AE10">
        <f>$AH$31*$AI$31*AJ10+$AM$31*$AN$31*AO10*$AP$31*$AQ$31*$AR$31+$AU$31*$AV$31*$AW$31*$AX$31*AY10*$AZ$31+$BC$31*$BD$31*$BE$31*$BF$31*$BG$31*$BH$31*BI10</f>
        <v>3.0085100689370287E-2</v>
      </c>
      <c r="AF10">
        <f>$AH$31*AI10*$AJ$31+$AM$31*$AN$31*$AO$31*AP10*$AQ$31*$AR$31+$AU$31*$AV$31*$AW$31*$AX$31*$AY$31*$AZ$31+$BC$31*$BD$31*$BE$31*$BF$31*$BG$31*$BH$31*$BI$31</f>
        <v>3.0317715307261843E-2</v>
      </c>
      <c r="AH10">
        <v>5.3021149969999996E-4</v>
      </c>
      <c r="AI10">
        <v>0.88437810294258701</v>
      </c>
      <c r="AJ10">
        <v>1.03055323876586</v>
      </c>
      <c r="AK10">
        <v>4.83234081244477E-4</v>
      </c>
      <c r="AM10">
        <v>3.6252229238999999E-3</v>
      </c>
      <c r="AN10">
        <v>1.13907909547786</v>
      </c>
      <c r="AO10">
        <v>0.67310317312783396</v>
      </c>
      <c r="AP10">
        <v>0.872421324730417</v>
      </c>
      <c r="AQ10">
        <v>1.19656364855973</v>
      </c>
      <c r="AR10">
        <v>1.0084243461478399</v>
      </c>
      <c r="AS10">
        <v>2.9260088599763101E-3</v>
      </c>
      <c r="AU10">
        <v>6.6923291199E-3</v>
      </c>
      <c r="AV10">
        <v>1.2256175586906399</v>
      </c>
      <c r="AW10">
        <v>1.11160772202116</v>
      </c>
      <c r="AX10">
        <v>1</v>
      </c>
      <c r="AY10">
        <v>1.1962265935131799</v>
      </c>
      <c r="AZ10">
        <v>1.0564566479999999</v>
      </c>
      <c r="BA10">
        <v>1.15225593434078E-2</v>
      </c>
      <c r="BC10">
        <v>4.9492837713459702E-3</v>
      </c>
      <c r="BD10">
        <v>4.6898645652023703</v>
      </c>
      <c r="BE10">
        <v>0.69734611113330602</v>
      </c>
      <c r="BF10">
        <v>1.10924115026161</v>
      </c>
      <c r="BG10">
        <v>0.83015739025914803</v>
      </c>
      <c r="BH10">
        <v>0.84431981619091301</v>
      </c>
      <c r="BI10">
        <v>1</v>
      </c>
      <c r="BJ10">
        <v>1.2584745376131599E-2</v>
      </c>
      <c r="BL10">
        <v>2.7516547660760199E-2</v>
      </c>
    </row>
    <row r="11" spans="1:64" x14ac:dyDescent="0.25">
      <c r="A11" t="s">
        <v>51</v>
      </c>
      <c r="B11">
        <v>3520162</v>
      </c>
      <c r="C11">
        <v>2011</v>
      </c>
      <c r="D11">
        <v>4</v>
      </c>
      <c r="E11" s="1">
        <v>42461</v>
      </c>
      <c r="F11" t="s">
        <v>52</v>
      </c>
      <c r="G11">
        <v>5351339.05</v>
      </c>
      <c r="H11">
        <v>100</v>
      </c>
      <c r="I11">
        <v>0</v>
      </c>
      <c r="J11">
        <v>0</v>
      </c>
      <c r="K11">
        <v>98.38</v>
      </c>
      <c r="L11">
        <v>1.62</v>
      </c>
      <c r="M11">
        <v>107.94</v>
      </c>
      <c r="N11">
        <v>1022.98</v>
      </c>
      <c r="O11">
        <v>64</v>
      </c>
      <c r="P11">
        <v>85110.95</v>
      </c>
      <c r="Q11">
        <v>66.34</v>
      </c>
      <c r="R11">
        <v>708</v>
      </c>
      <c r="S11">
        <v>4.3099999999999996</v>
      </c>
      <c r="T11">
        <v>110.74</v>
      </c>
      <c r="U11">
        <v>110.74</v>
      </c>
      <c r="V11">
        <v>60.006370821071897</v>
      </c>
      <c r="W11">
        <v>0</v>
      </c>
      <c r="X11">
        <v>6.5899999999999997E-4</v>
      </c>
      <c r="Z11">
        <f>$AH$31*$AI$31*$AJ$31+$AM$31*$AN$31*$AO$31*$AP$31*$AQ$31*AR11+$AU$31*$AV$31*$AW$31*$AX$31*$AY$31*$AZ$31+$BC$31*$BD$31*$BE$31*$BF$31*$BG$31*$BH$31*$BI$31</f>
        <v>3.0213682464439701E-2</v>
      </c>
      <c r="AA11">
        <f>$AH$31*$AI$31*$AJ$31+$AM$31*AN11*$AO$31*$AP$31*$AQ$31*$AR$31+$AU$31*$AV$31*$AW$31*AX11*$AY$31*$AZ$31+BC11*$BD$31*$BE$31*$BF$31*$BG$31*$BH$31*$BI$31</f>
        <v>2.9262437965210941E-2</v>
      </c>
      <c r="AB11">
        <f>$AH$31*$AI$31*$AJ$31+$AM$31*$AN$31*$AO$31*$AP$31*$AQ$31*$AR$31+$AU$31*$AV$31*$AW$31*$AX$31*$AY$31*$AZ$31+$BC$31*$BD$31*$BE$31*$BF$31*BG11*$BH$31*$BI$31</f>
        <v>2.7286221503131855E-2</v>
      </c>
      <c r="AC11">
        <f>AH11*$AI$31*$AJ$31+$AM$31*$AN$31*$AO$31*$AP$31*AQ11*$AR$31+$AU$31*AV11*$AW$31*$AX$31*$AY$31*$AZ$31+$BC$31*$BD$31*$BE$31*BF11*$BG$31*$BH$31*$BI$31</f>
        <v>3.0332376219816951E-2</v>
      </c>
      <c r="AD11">
        <f>$AH$31*$AI$31*$AJ$31+$AM$31*$AN$31*$AO$31*$AP$31*$AQ$31*$AR$31+$AU$31*$AV$31*$AW$31*$AX$31*$AY$31*$AZ$31+$BC$31*$BD$31*$BE$31*$BF$31*$BG$31*BH11*$BI$31</f>
        <v>2.7676835339532139E-2</v>
      </c>
      <c r="AE11">
        <f>$AH$31*$AI$31*AJ11+$AM$31*$AN$31*AO11*$AP$31*$AQ$31*$AR$31+$AU$31*$AV$31*$AW$31*$AX$31*AY11*$AZ$31+$BC$31*$BD$31*$BE$31*$BF$31*$BG$31*$BH$31*BI11</f>
        <v>3.009784850483286E-2</v>
      </c>
      <c r="AF11">
        <f>$AH$31*AI11*$AJ$31+$AM$31*$AN$31*$AO$31*AP11*$AQ$31*$AR$31+$AU$31*$AV$31*$AW$31*$AX$31*$AY$31*$AZ$31+$BC$31*$BD$31*$BE$31*$BF$31*$BG$31*$BH$31*$BI$31</f>
        <v>3.0015700615863488E-2</v>
      </c>
      <c r="AH11">
        <v>5.3021149969999996E-4</v>
      </c>
      <c r="AI11">
        <v>0.89107431008882498</v>
      </c>
      <c r="AJ11">
        <v>1.02950562857274</v>
      </c>
      <c r="AK11">
        <v>4.8639801202543601E-4</v>
      </c>
      <c r="AM11">
        <v>3.6252229238999999E-3</v>
      </c>
      <c r="AN11">
        <v>1.12887657733981</v>
      </c>
      <c r="AO11">
        <v>0.67880347059495105</v>
      </c>
      <c r="AP11">
        <v>0.79341450703395</v>
      </c>
      <c r="AQ11">
        <v>1.19656364855973</v>
      </c>
      <c r="AR11">
        <v>1.0074103307373601</v>
      </c>
      <c r="AS11">
        <v>2.6568533036844299E-3</v>
      </c>
      <c r="AU11">
        <v>6.6923291199E-3</v>
      </c>
      <c r="AV11">
        <v>1.2256175586906399</v>
      </c>
      <c r="AW11">
        <v>1.11160772202116</v>
      </c>
      <c r="AX11">
        <v>1</v>
      </c>
      <c r="AY11">
        <v>1.1949652674855999</v>
      </c>
      <c r="AZ11">
        <v>1.0564566479999999</v>
      </c>
      <c r="BA11">
        <v>1.15104097188442E-2</v>
      </c>
      <c r="BC11">
        <v>4.80763597089124E-3</v>
      </c>
      <c r="BD11">
        <v>4.6898645652023703</v>
      </c>
      <c r="BE11">
        <v>0.69734611113330602</v>
      </c>
      <c r="BF11">
        <v>1.10924115026161</v>
      </c>
      <c r="BG11">
        <v>0.64340527963303196</v>
      </c>
      <c r="BH11">
        <v>0.86378709586283497</v>
      </c>
      <c r="BI11">
        <v>1</v>
      </c>
      <c r="BJ11">
        <v>9.6929855465324698E-3</v>
      </c>
      <c r="BL11">
        <v>2.4346646581086501E-2</v>
      </c>
    </row>
    <row r="12" spans="1:64" x14ac:dyDescent="0.25">
      <c r="A12" t="s">
        <v>51</v>
      </c>
      <c r="B12">
        <v>3534132</v>
      </c>
      <c r="C12">
        <v>2012</v>
      </c>
      <c r="D12">
        <v>4</v>
      </c>
      <c r="E12" s="1">
        <v>42461</v>
      </c>
      <c r="F12" t="s">
        <v>52</v>
      </c>
      <c r="G12">
        <v>2904587253.6799998</v>
      </c>
      <c r="H12">
        <v>100</v>
      </c>
      <c r="I12">
        <v>0</v>
      </c>
      <c r="J12">
        <v>0</v>
      </c>
      <c r="K12">
        <v>95.68</v>
      </c>
      <c r="L12">
        <v>4.32</v>
      </c>
      <c r="M12">
        <v>121.23</v>
      </c>
      <c r="N12">
        <v>747.48</v>
      </c>
      <c r="O12">
        <v>52</v>
      </c>
      <c r="P12">
        <v>148314.45000000001</v>
      </c>
      <c r="Q12">
        <v>68.75</v>
      </c>
      <c r="R12">
        <v>696</v>
      </c>
      <c r="S12">
        <v>4.2859999999999996</v>
      </c>
      <c r="T12">
        <v>110.74</v>
      </c>
      <c r="U12">
        <v>110.74</v>
      </c>
      <c r="V12">
        <v>60.006370821071897</v>
      </c>
      <c r="W12">
        <v>2.0820000000000001E-3</v>
      </c>
      <c r="X12">
        <v>1.8582000000000001E-2</v>
      </c>
      <c r="Z12">
        <f>$AH$31*$AI$31*$AJ$31+$AM$31*$AN$31*$AO$31*$AP$31*$AQ$31*AR12+$AU$31*$AV$31*$AW$31*$AX$31*$AY$31*$AZ$31+$BC$31*$BD$31*$BE$31*$BF$31*$BG$31*$BH$31*$BI$31</f>
        <v>3.021903229399121E-2</v>
      </c>
      <c r="AA12">
        <f>$AH$31*$AI$31*$AJ$31+$AM$31*AN12*$AO$31*$AP$31*$AQ$31*$AR$31+$AU$31*$AV$31*$AW$31*AX12*$AY$31*$AZ$31+BC12*$BD$31*$BE$31*$BF$31*$BG$31*$BH$31*$BI$31</f>
        <v>3.1155895987369307E-2</v>
      </c>
      <c r="AB12">
        <f>$AH$31*$AI$31*$AJ$31+$AM$31*$AN$31*$AO$31*$AP$31*$AQ$31*$AR$31+$AU$31*$AV$31*$AW$31*$AX$31*$AY$31*$AZ$31+$BC$31*$BD$31*$BE$31*$BF$31*BG12*$BH$31*$BI$31</f>
        <v>2.9192242997976597E-2</v>
      </c>
      <c r="AC12">
        <f>AH12*$AI$31*$AJ$31+$AM$31*$AN$31*$AO$31*$AP$31*AQ12*$AR$31+$AU$31*AV12*$AW$31*$AX$31*$AY$31*$AZ$31+$BC$31*$BD$31*$BE$31*BF12*$BG$31*$BH$31*$BI$31</f>
        <v>3.0180234557099003E-2</v>
      </c>
      <c r="AD12">
        <f>$AH$31*$AI$31*$AJ$31+$AM$31*$AN$31*$AO$31*$AP$31*$AQ$31*$AR$31+$AU$31*$AV$31*$AW$31*$AX$31*$AY$31*$AZ$31+$BC$31*$BD$31*$BE$31*$BF$31*$BG$31*BH12*$BI$31</f>
        <v>3.0114708996077315E-2</v>
      </c>
      <c r="AE12">
        <f>$AH$31*$AI$31*AJ12+$AM$31*$AN$31*AO12*$AP$31*$AQ$31*$AR$31+$AU$31*$AV$31*$AW$31*$AX$31*AY12*$AZ$31+$BC$31*$BD$31*$BE$31*$BF$31*$BG$31*$BH$31*BI12</f>
        <v>3.0206136414468038E-2</v>
      </c>
      <c r="AF12">
        <f>$AH$31*AI12*$AJ$31+$AM$31*$AN$31*$AO$31*AP12*$AQ$31*$AR$31+$AU$31*$AV$31*$AW$31*$AX$31*$AY$31*$AZ$31+$BC$31*$BD$31*$BE$31*$BF$31*$BG$31*$BH$31*$BI$31</f>
        <v>3.0436043550341046E-2</v>
      </c>
      <c r="AH12">
        <v>4.8869479855000002E-4</v>
      </c>
      <c r="AI12">
        <v>0.86966084507311003</v>
      </c>
      <c r="AJ12">
        <v>1.02290339187512</v>
      </c>
      <c r="AK12">
        <v>4.34732643983565E-4</v>
      </c>
      <c r="AM12">
        <v>3.6252229238999999E-3</v>
      </c>
      <c r="AN12">
        <v>1.23679180307867</v>
      </c>
      <c r="AO12">
        <v>0.730167258425926</v>
      </c>
      <c r="AP12">
        <v>0.90498393751244999</v>
      </c>
      <c r="AQ12">
        <v>1.1950192452583099</v>
      </c>
      <c r="AR12">
        <v>1.0090577250849699</v>
      </c>
      <c r="AS12">
        <v>3.5726087097959201E-3</v>
      </c>
      <c r="AU12">
        <v>6.6923291199E-3</v>
      </c>
      <c r="AV12">
        <v>1.2168232096179801</v>
      </c>
      <c r="AW12">
        <v>1.11160772202116</v>
      </c>
      <c r="AX12">
        <v>1</v>
      </c>
      <c r="AY12">
        <v>1.1827815519261899</v>
      </c>
      <c r="AZ12">
        <v>1.0564566479999999</v>
      </c>
      <c r="BA12">
        <v>1.13113008396178E-2</v>
      </c>
      <c r="BC12">
        <v>5.3405338761803103E-3</v>
      </c>
      <c r="BD12">
        <v>4.6898645652023703</v>
      </c>
      <c r="BE12">
        <v>0.69734611113330602</v>
      </c>
      <c r="BF12">
        <v>1.1071214952119</v>
      </c>
      <c r="BG12">
        <v>0.74348749667734204</v>
      </c>
      <c r="BH12">
        <v>1.0303330256155201</v>
      </c>
      <c r="BI12">
        <v>1</v>
      </c>
      <c r="BJ12">
        <v>1.4812894565567E-2</v>
      </c>
      <c r="BL12">
        <v>3.0131536758964302E-2</v>
      </c>
    </row>
    <row r="13" spans="1:64" x14ac:dyDescent="0.25">
      <c r="A13" t="s">
        <v>51</v>
      </c>
      <c r="B13">
        <v>3535271</v>
      </c>
      <c r="C13">
        <v>2012</v>
      </c>
      <c r="D13">
        <v>4</v>
      </c>
      <c r="E13" s="1">
        <v>42461</v>
      </c>
      <c r="F13" t="s">
        <v>52</v>
      </c>
      <c r="G13">
        <v>1991912203.1900001</v>
      </c>
      <c r="H13">
        <v>100</v>
      </c>
      <c r="I13">
        <v>0</v>
      </c>
      <c r="J13">
        <v>0</v>
      </c>
      <c r="K13">
        <v>94.39</v>
      </c>
      <c r="L13">
        <v>5.61</v>
      </c>
      <c r="M13">
        <v>123.1</v>
      </c>
      <c r="N13">
        <v>728.11</v>
      </c>
      <c r="O13">
        <v>51</v>
      </c>
      <c r="P13">
        <v>159414.71</v>
      </c>
      <c r="Q13">
        <v>68.11</v>
      </c>
      <c r="R13">
        <v>692</v>
      </c>
      <c r="S13">
        <v>4.2910000000000004</v>
      </c>
      <c r="T13">
        <v>110.74</v>
      </c>
      <c r="U13">
        <v>110.74</v>
      </c>
      <c r="V13">
        <v>60.006370821071897</v>
      </c>
      <c r="W13">
        <v>2.065E-3</v>
      </c>
      <c r="X13">
        <v>1.8176000000000001E-2</v>
      </c>
      <c r="Z13">
        <f>$AH$31*$AI$31*$AJ$31+$AM$31*$AN$31*$AO$31*$AP$31*$AQ$31*AR13+$AU$31*$AV$31*$AW$31*$AX$31*$AY$31*$AZ$31+$BC$31*$BD$31*$BE$31*$BF$31*$BG$31*$BH$31*$BI$31</f>
        <v>3.0223105903071881E-2</v>
      </c>
      <c r="AA13">
        <f>$AH$31*$AI$31*$AJ$31+$AM$31*AN13*$AO$31*$AP$31*$AQ$31*$AR$31+$AU$31*$AV$31*$AW$31*AX13*$AY$31*$AZ$31+BC13*$BD$31*$BE$31*$BF$31*$BG$31*$BH$31*$BI$31</f>
        <v>3.1413670235349259E-2</v>
      </c>
      <c r="AB13">
        <f>$AH$31*$AI$31*$AJ$31+$AM$31*$AN$31*$AO$31*$AP$31*$AQ$31*$AR$31+$AU$31*$AV$31*$AW$31*$AX$31*$AY$31*$AZ$31+$BC$31*$BD$31*$BE$31*$BF$31*BG13*$BH$31*$BI$31</f>
        <v>2.935570342379705E-2</v>
      </c>
      <c r="AC13">
        <f>AH13*$AI$31*$AJ$31+$AM$31*$AN$31*$AO$31*$AP$31*AQ13*$AR$31+$AU$31*AV13*$AW$31*$AX$31*$AY$31*$AZ$31+$BC$31*$BD$31*$BE$31*BF13*$BG$31*$BH$31*$BI$31</f>
        <v>3.0158938670620382E-2</v>
      </c>
      <c r="AD13">
        <f>$AH$31*$AI$31*$AJ$31+$AM$31*$AN$31*$AO$31*$AP$31*$AQ$31*$AR$31+$AU$31*$AV$31*$AW$31*$AX$31*$AY$31*$AZ$31+$BC$31*$BD$31*$BE$31*$BF$31*$BG$31*BH13*$BI$31</f>
        <v>3.0320791642721962E-2</v>
      </c>
      <c r="AE13">
        <f>$AH$31*$AI$31*AJ13+$AM$31*$AN$31*AO13*$AP$31*$AQ$31*$AR$31+$AU$31*$AV$31*$AW$31*$AX$31*AY13*$AZ$31+$BC$31*$BD$31*$BE$31*$BF$31*$BG$31*$BH$31*BI13</f>
        <v>3.0178201188981166E-2</v>
      </c>
      <c r="AF13">
        <f>$AH$31*AI13*$AJ$31+$AM$31*$AN$31*$AO$31*AP13*$AQ$31*$AR$31+$AU$31*$AV$31*$AW$31*$AX$31*$AY$31*$AZ$31+$BC$31*$BD$31*$BE$31*$BF$31*$BG$31*$BH$31*$BI$31</f>
        <v>3.0555251158012085E-2</v>
      </c>
      <c r="AH13">
        <v>4.8487741992999999E-4</v>
      </c>
      <c r="AI13">
        <v>0.86635464656740602</v>
      </c>
      <c r="AJ13">
        <v>1.0256726902715501</v>
      </c>
      <c r="AK13">
        <v>4.30860281824125E-4</v>
      </c>
      <c r="AM13">
        <v>3.6252229238999999E-3</v>
      </c>
      <c r="AN13">
        <v>1.25060220239564</v>
      </c>
      <c r="AO13">
        <v>0.71595325656239905</v>
      </c>
      <c r="AP13">
        <v>0.93625673427275002</v>
      </c>
      <c r="AQ13">
        <v>1.19474986315668</v>
      </c>
      <c r="AR13">
        <v>1.0103121277737399</v>
      </c>
      <c r="AS13">
        <v>3.6683104737411298E-3</v>
      </c>
      <c r="AU13">
        <v>6.6923291199E-3</v>
      </c>
      <c r="AV13">
        <v>1.21522899866164</v>
      </c>
      <c r="AW13">
        <v>1.11160772202116</v>
      </c>
      <c r="AX13">
        <v>1</v>
      </c>
      <c r="AY13">
        <v>1.1863217518992</v>
      </c>
      <c r="AZ13">
        <v>1.0564566479999999</v>
      </c>
      <c r="BA13">
        <v>1.13302930877732E-2</v>
      </c>
      <c r="BC13">
        <v>5.4138877654868302E-3</v>
      </c>
      <c r="BD13">
        <v>4.6898645652023703</v>
      </c>
      <c r="BE13">
        <v>0.69734611113330602</v>
      </c>
      <c r="BF13">
        <v>1.1069506698559499</v>
      </c>
      <c r="BG13">
        <v>0.75207054878843604</v>
      </c>
      <c r="BH13">
        <v>1.0444117806400799</v>
      </c>
      <c r="BI13">
        <v>1</v>
      </c>
      <c r="BJ13">
        <v>1.53948883681815E-2</v>
      </c>
      <c r="BL13">
        <v>3.0824352211519999E-2</v>
      </c>
    </row>
    <row r="14" spans="1:64" x14ac:dyDescent="0.25">
      <c r="A14" t="s">
        <v>51</v>
      </c>
      <c r="B14">
        <v>3536958</v>
      </c>
      <c r="C14">
        <v>2012</v>
      </c>
      <c r="D14">
        <v>4</v>
      </c>
      <c r="E14" s="1">
        <v>42461</v>
      </c>
      <c r="F14" t="s">
        <v>52</v>
      </c>
      <c r="G14">
        <v>36030664.009999998</v>
      </c>
      <c r="H14">
        <v>100</v>
      </c>
      <c r="I14">
        <v>0</v>
      </c>
      <c r="J14">
        <v>0</v>
      </c>
      <c r="K14">
        <v>97.61</v>
      </c>
      <c r="L14">
        <v>2.39</v>
      </c>
      <c r="M14">
        <v>121.76</v>
      </c>
      <c r="N14">
        <v>669.08</v>
      </c>
      <c r="O14">
        <v>50</v>
      </c>
      <c r="P14">
        <v>117200.91</v>
      </c>
      <c r="Q14">
        <v>65.97</v>
      </c>
      <c r="R14">
        <v>706</v>
      </c>
      <c r="S14">
        <v>4.2629999999999999</v>
      </c>
      <c r="T14">
        <v>110.74</v>
      </c>
      <c r="U14">
        <v>110.74</v>
      </c>
      <c r="V14">
        <v>60.006370821071897</v>
      </c>
      <c r="W14">
        <v>0</v>
      </c>
      <c r="X14">
        <v>6.5360000000000001E-3</v>
      </c>
      <c r="Z14">
        <f>$AH$31*$AI$31*$AJ$31+$AM$31*$AN$31*$AO$31*$AP$31*$AQ$31*AR14+$AU$31*$AV$31*$AW$31*$AX$31*$AY$31*$AZ$31+$BC$31*$BD$31*$BE$31*$BF$31*$BG$31*$BH$31*$BI$31</f>
        <v>3.0215017387618354E-2</v>
      </c>
      <c r="AA14">
        <f>$AH$31*$AI$31*$AJ$31+$AM$31*AN14*$AO$31*$AP$31*$AQ$31*$AR$31+$AU$31*$AV$31*$AW$31*AX14*$AY$31*$AZ$31+BC14*$BD$31*$BE$31*$BF$31*$BG$31*$BH$31*$BI$31</f>
        <v>3.126386104995349E-2</v>
      </c>
      <c r="AB14">
        <f>$AH$31*$AI$31*$AJ$31+$AM$31*$AN$31*$AO$31*$AP$31*$AQ$31*$AR$31+$AU$31*$AV$31*$AW$31*$AX$31*$AY$31*$AZ$31+$BC$31*$BD$31*$BE$31*$BF$31*BG14*$BH$31*$BI$31</f>
        <v>2.9884453132841368E-2</v>
      </c>
      <c r="AC14">
        <f>AH14*$AI$31*$AJ$31+$AM$31*$AN$31*$AO$31*$AP$31*AQ14*$AR$31+$AU$31*AV14*$AW$31*$AX$31*$AY$31*$AZ$31+$BC$31*$BD$31*$BE$31*BF14*$BG$31*$BH$31*$BI$31</f>
        <v>3.0135861894661768E-2</v>
      </c>
      <c r="AD14">
        <f>$AH$31*$AI$31*$AJ$31+$AM$31*$AN$31*$AO$31*$AP$31*$AQ$31*$AR$31+$AU$31*$AV$31*$AW$31*$AX$31*$AY$31*$AZ$31+$BC$31*$BD$31*$BE$31*$BF$31*$BG$31*BH14*$BI$31</f>
        <v>2.8995219849540517E-2</v>
      </c>
      <c r="AE14">
        <f>$AH$31*$AI$31*AJ14+$AM$31*$AN$31*AO14*$AP$31*$AQ$31*$AR$31+$AU$31*$AV$31*$AW$31*$AX$31*AY14*$AZ$31+$BC$31*$BD$31*$BE$31*$BF$31*$BG$31*$BH$31*BI14</f>
        <v>3.0083260458538336E-2</v>
      </c>
      <c r="AF14">
        <f>$AH$31*AI14*$AJ$31+$AM$31*$AN$31*$AO$31*AP14*$AQ$31*$AR$31+$AU$31*$AV$31*$AW$31*$AX$31*$AY$31*$AZ$31+$BC$31*$BD$31*$BE$31*$BF$31*$BG$31*$BH$31*$BI$31</f>
        <v>3.0093933023499657E-2</v>
      </c>
      <c r="AH14">
        <v>4.8102351881000003E-4</v>
      </c>
      <c r="AI14">
        <v>0.87577550469919796</v>
      </c>
      <c r="AJ14">
        <v>1.03456428376829</v>
      </c>
      <c r="AK14">
        <v>4.3582946290809699E-4</v>
      </c>
      <c r="AM14">
        <v>3.6252229238999999E-3</v>
      </c>
      <c r="AN14">
        <v>1.2533902548551801</v>
      </c>
      <c r="AO14">
        <v>0.67155311211633195</v>
      </c>
      <c r="AP14">
        <v>0.81568360922986705</v>
      </c>
      <c r="AQ14">
        <v>1.19442912580321</v>
      </c>
      <c r="AR14">
        <v>1.0078213989551099</v>
      </c>
      <c r="AS14">
        <v>2.9961744293139701E-3</v>
      </c>
      <c r="AU14">
        <v>6.6923291199E-3</v>
      </c>
      <c r="AV14">
        <v>1.2134597105860201</v>
      </c>
      <c r="AW14">
        <v>1.11160772202116</v>
      </c>
      <c r="AX14">
        <v>1</v>
      </c>
      <c r="AY14">
        <v>1.19656710269416</v>
      </c>
      <c r="AZ14">
        <v>1.0564566479999999</v>
      </c>
      <c r="BA14">
        <v>1.14115055610281E-2</v>
      </c>
      <c r="BC14">
        <v>5.3613711637950498E-3</v>
      </c>
      <c r="BD14">
        <v>4.6898645652023703</v>
      </c>
      <c r="BE14">
        <v>0.69734611113330602</v>
      </c>
      <c r="BF14">
        <v>1.1067810716487601</v>
      </c>
      <c r="BG14">
        <v>0.77983437164448399</v>
      </c>
      <c r="BH14">
        <v>0.953853934807249</v>
      </c>
      <c r="BI14">
        <v>1</v>
      </c>
      <c r="BJ14">
        <v>1.4435456771727299E-2</v>
      </c>
      <c r="BL14">
        <v>2.9278966224977498E-2</v>
      </c>
    </row>
    <row r="15" spans="1:64" x14ac:dyDescent="0.25">
      <c r="A15" t="s">
        <v>51</v>
      </c>
      <c r="B15">
        <v>3537589</v>
      </c>
      <c r="C15">
        <v>2012</v>
      </c>
      <c r="D15">
        <v>4</v>
      </c>
      <c r="E15" s="1">
        <v>42461</v>
      </c>
      <c r="F15" t="s">
        <v>52</v>
      </c>
      <c r="G15">
        <v>1503100626.1300001</v>
      </c>
      <c r="H15">
        <v>100</v>
      </c>
      <c r="I15">
        <v>0</v>
      </c>
      <c r="J15">
        <v>0</v>
      </c>
      <c r="K15">
        <v>93.36</v>
      </c>
      <c r="L15">
        <v>6.64</v>
      </c>
      <c r="M15">
        <v>124.78</v>
      </c>
      <c r="N15">
        <v>709.71</v>
      </c>
      <c r="O15">
        <v>49</v>
      </c>
      <c r="P15">
        <v>152891.72</v>
      </c>
      <c r="Q15">
        <v>67.989999999999995</v>
      </c>
      <c r="R15">
        <v>679</v>
      </c>
      <c r="S15">
        <v>4.298</v>
      </c>
      <c r="T15">
        <v>110.74</v>
      </c>
      <c r="U15">
        <v>110.74</v>
      </c>
      <c r="V15">
        <v>60.006370821071897</v>
      </c>
      <c r="W15">
        <v>2.1540000000000001E-3</v>
      </c>
      <c r="X15">
        <v>1.9654000000000001E-2</v>
      </c>
      <c r="Z15">
        <f>$AH$31*$AI$31*$AJ$31+$AM$31*$AN$31*$AO$31*$AP$31*$AQ$31*AR15+$AU$31*$AV$31*$AW$31*$AX$31*$AY$31*$AZ$31+$BC$31*$BD$31*$BE$31*$BF$31*$BG$31*$BH$31*$BI$31</f>
        <v>3.0227683206174156E-2</v>
      </c>
      <c r="AA15">
        <f>$AH$31*$AI$31*$AJ$31+$AM$31*AN15*$AO$31*$AP$31*$AQ$31*$AR$31+$AU$31*$AV$31*$AW$31*AX15*$AY$31*$AZ$31+BC15*$BD$31*$BE$31*$BF$31*$BG$31*$BH$31*$BI$31</f>
        <v>3.1669046773934166E-2</v>
      </c>
      <c r="AB15">
        <f>$AH$31*$AI$31*$AJ$31+$AM$31*$AN$31*$AO$31*$AP$31*$AQ$31*$AR$31+$AU$31*$AV$31*$AW$31*$AX$31*$AY$31*$AZ$31+$BC$31*$BD$31*$BE$31*$BF$31*BG15*$BH$31*$BI$31</f>
        <v>2.9515457773911617E-2</v>
      </c>
      <c r="AC15">
        <f>AH15*$AI$31*$AJ$31+$AM$31*$AN$31*$AO$31*$AP$31*AQ15*$AR$31+$AU$31*AV15*$AW$31*$AX$31*$AY$31*$AZ$31+$BC$31*$BD$31*$BE$31*BF15*$BG$31*$BH$31*$BI$31</f>
        <v>3.0110909294803583E-2</v>
      </c>
      <c r="AD15">
        <f>$AH$31*$AI$31*$AJ$31+$AM$31*$AN$31*$AO$31*$AP$31*$AQ$31*$AR$31+$AU$31*$AV$31*$AW$31*$AX$31*$AY$31*$AZ$31+$BC$31*$BD$31*$BE$31*$BF$31*$BG$31*BH15*$BI$31</f>
        <v>3.0216793704803194E-2</v>
      </c>
      <c r="AE15">
        <f>$AH$31*$AI$31*AJ15+$AM$31*$AN$31*AO15*$AP$31*$AQ$31*$AR$31+$AU$31*$AV$31*$AW$31*$AX$31*AY15*$AZ$31+$BC$31*$BD$31*$BE$31*$BF$31*$BG$31*$BH$31*BI15</f>
        <v>3.0173058054859803E-2</v>
      </c>
      <c r="AF15">
        <f>$AH$31*AI15*$AJ$31+$AM$31*$AN$31*$AO$31*AP15*$AQ$31*$AR$31+$AU$31*$AV$31*$AW$31*$AX$31*$AY$31*$AZ$31+$BC$31*$BD$31*$BE$31*$BF$31*$BG$31*$BH$31*$BI$31</f>
        <v>3.0920630968097631E-2</v>
      </c>
      <c r="AH15">
        <v>4.7714001324E-4</v>
      </c>
      <c r="AI15">
        <v>0.859224193506544</v>
      </c>
      <c r="AJ15">
        <v>1.0265635383727001</v>
      </c>
      <c r="AK15">
        <v>4.2086050334918498E-4</v>
      </c>
      <c r="AM15">
        <v>3.6252229238999999E-3</v>
      </c>
      <c r="AN15">
        <v>1.27213647503184</v>
      </c>
      <c r="AO15">
        <v>0.71332651346899301</v>
      </c>
      <c r="AP15">
        <v>1.03171075481687</v>
      </c>
      <c r="AQ15">
        <v>1.1940501977379401</v>
      </c>
      <c r="AR15">
        <v>1.0117216349711899</v>
      </c>
      <c r="AS15">
        <v>4.1001370059155599E-3</v>
      </c>
      <c r="AU15">
        <v>6.6923291199E-3</v>
      </c>
      <c r="AV15">
        <v>1.21150622497104</v>
      </c>
      <c r="AW15">
        <v>1.11160772202116</v>
      </c>
      <c r="AX15">
        <v>1</v>
      </c>
      <c r="AY15">
        <v>1.18696046438646</v>
      </c>
      <c r="AZ15">
        <v>1.0564566479999999</v>
      </c>
      <c r="BA15">
        <v>1.13016649962318E-2</v>
      </c>
      <c r="BC15">
        <v>5.4793810116432803E-3</v>
      </c>
      <c r="BD15">
        <v>4.6898645652023703</v>
      </c>
      <c r="BE15">
        <v>0.69734611113330602</v>
      </c>
      <c r="BF15">
        <v>1.10661286150625</v>
      </c>
      <c r="BG15">
        <v>0.76045900064230199</v>
      </c>
      <c r="BH15">
        <v>1.03730705098498</v>
      </c>
      <c r="BI15">
        <v>1</v>
      </c>
      <c r="BJ15">
        <v>1.56429635333473E-2</v>
      </c>
      <c r="BL15">
        <v>3.14656260388438E-2</v>
      </c>
    </row>
    <row r="16" spans="1:64" x14ac:dyDescent="0.25">
      <c r="A16" t="s">
        <v>51</v>
      </c>
      <c r="B16">
        <v>3537823</v>
      </c>
      <c r="C16">
        <v>2012</v>
      </c>
      <c r="D16">
        <v>4</v>
      </c>
      <c r="E16" s="1">
        <v>42461</v>
      </c>
      <c r="F16" t="s">
        <v>52</v>
      </c>
      <c r="G16">
        <v>2081539.91</v>
      </c>
      <c r="H16">
        <v>100</v>
      </c>
      <c r="I16">
        <v>0</v>
      </c>
      <c r="J16">
        <v>0</v>
      </c>
      <c r="K16">
        <v>93.04</v>
      </c>
      <c r="L16">
        <v>6.96</v>
      </c>
      <c r="M16">
        <v>135.27000000000001</v>
      </c>
      <c r="N16">
        <v>745.35</v>
      </c>
      <c r="O16">
        <v>48</v>
      </c>
      <c r="P16">
        <v>63188.98</v>
      </c>
      <c r="Q16">
        <v>66.5</v>
      </c>
      <c r="R16">
        <v>711</v>
      </c>
      <c r="S16">
        <v>4.3760000000000003</v>
      </c>
      <c r="T16">
        <v>110.74</v>
      </c>
      <c r="U16">
        <v>110.74</v>
      </c>
      <c r="V16">
        <v>60.006370821071897</v>
      </c>
      <c r="W16">
        <v>0</v>
      </c>
      <c r="X16">
        <v>1.1900000000000001E-4</v>
      </c>
      <c r="Z16">
        <f>$AH$31*$AI$31*$AJ$31+$AM$31*$AN$31*$AO$31*$AP$31*$AQ$31*AR16+$AU$31*$AV$31*$AW$31*$AX$31*$AY$31*$AZ$31+$BC$31*$BD$31*$BE$31*$BF$31*$BG$31*$BH$31*$BI$31</f>
        <v>3.0229403732770332E-2</v>
      </c>
      <c r="AA16">
        <f>$AH$31*$AI$31*$AJ$31+$AM$31*AN16*$AO$31*$AP$31*$AQ$31*$AR$31+$AU$31*$AV$31*$AW$31*AX16*$AY$31*$AZ$31+BC16*$BD$31*$BE$31*$BF$31*$BG$31*$BH$31*$BI$31</f>
        <v>3.2980318578904752E-2</v>
      </c>
      <c r="AB16">
        <f>$AH$31*$AI$31*$AJ$31+$AM$31*$AN$31*$AO$31*$AP$31*$AQ$31*$AR$31+$AU$31*$AV$31*$AW$31*$AX$31*$AY$31*$AZ$31+$BC$31*$BD$31*$BE$31*$BF$31*BG16*$BH$31*$BI$31</f>
        <v>2.9209986428240631E-2</v>
      </c>
      <c r="AC16">
        <f>AH16*$AI$31*$AJ$31+$AM$31*$AN$31*$AO$31*$AP$31*AQ16*$AR$31+$AU$31*AV16*$AW$31*$AX$31*$AY$31*$AZ$31+$BC$31*$BD$31*$BE$31*BF16*$BG$31*$BH$31*$BI$31</f>
        <v>3.0083985936609617E-2</v>
      </c>
      <c r="AD16">
        <f>$AH$31*$AI$31*$AJ$31+$AM$31*$AN$31*$AO$31*$AP$31*$AQ$31*$AR$31+$AU$31*$AV$31*$AW$31*$AX$31*$AY$31*$AZ$31+$BC$31*$BD$31*$BE$31*$BF$31*$BG$31*BH16*$BI$31</f>
        <v>2.6743637869212009E-2</v>
      </c>
      <c r="AE16">
        <f>$AH$31*$AI$31*AJ16+$AM$31*$AN$31*AO16*$AP$31*$AQ$31*$AR$31+$AU$31*$AV$31*$AW$31*$AX$31*AY16*$AZ$31+$BC$31*$BD$31*$BE$31*$BF$31*$BG$31*$BH$31*BI16</f>
        <v>3.0106706914975141E-2</v>
      </c>
      <c r="AF16">
        <f>$AH$31*AI16*$AJ$31+$AM$31*$AN$31*$AO$31*AP16*$AQ$31*$AR$31+$AU$31*$AV$31*$AW$31*$AX$31*$AY$31*$AZ$31+$BC$31*$BD$31*$BE$31*$BF$31*$BG$31*$BH$31*$BI$31</f>
        <v>2.9862490062098668E-2</v>
      </c>
      <c r="AH16">
        <v>4.7323382125000001E-4</v>
      </c>
      <c r="AI16">
        <v>0.879741828615487</v>
      </c>
      <c r="AJ16">
        <v>1.0329169721892899</v>
      </c>
      <c r="AK16">
        <v>4.30027699213053E-4</v>
      </c>
      <c r="AM16">
        <v>3.6252229238999999E-3</v>
      </c>
      <c r="AN16">
        <v>1.31403932085034</v>
      </c>
      <c r="AO16">
        <v>0.68200105159385105</v>
      </c>
      <c r="AP16">
        <v>0.75529323105078605</v>
      </c>
      <c r="AQ16">
        <v>1.19360624350092</v>
      </c>
      <c r="AR16">
        <v>1.01225144358699</v>
      </c>
      <c r="AS16">
        <v>2.9647849825478701E-3</v>
      </c>
      <c r="AU16">
        <v>6.6923291199E-3</v>
      </c>
      <c r="AV16">
        <v>1.2093594213966701</v>
      </c>
      <c r="AW16">
        <v>1.11160772202116</v>
      </c>
      <c r="AX16">
        <v>1</v>
      </c>
      <c r="AY16">
        <v>1.1942511211311599</v>
      </c>
      <c r="AZ16">
        <v>1.0564566479999999</v>
      </c>
      <c r="BA16">
        <v>1.1350933417230299E-2</v>
      </c>
      <c r="BC16">
        <v>5.8784408509880703E-3</v>
      </c>
      <c r="BD16">
        <v>4.6898645652023703</v>
      </c>
      <c r="BE16">
        <v>0.69734611113330602</v>
      </c>
      <c r="BF16">
        <v>1.1064462003444</v>
      </c>
      <c r="BG16">
        <v>0.74441917653698597</v>
      </c>
      <c r="BH16">
        <v>0.80003471890103095</v>
      </c>
      <c r="BI16">
        <v>1</v>
      </c>
      <c r="BJ16">
        <v>1.2668567960734199E-2</v>
      </c>
      <c r="BL16">
        <v>2.74143140597254E-2</v>
      </c>
    </row>
    <row r="17" spans="1:64" x14ac:dyDescent="0.25">
      <c r="A17" t="s">
        <v>51</v>
      </c>
      <c r="B17">
        <v>3538304</v>
      </c>
      <c r="C17">
        <v>2012</v>
      </c>
      <c r="D17">
        <v>4</v>
      </c>
      <c r="E17" s="1">
        <v>42461</v>
      </c>
      <c r="F17" t="s">
        <v>52</v>
      </c>
      <c r="G17">
        <v>1066126.08</v>
      </c>
      <c r="H17">
        <v>100</v>
      </c>
      <c r="I17">
        <v>0</v>
      </c>
      <c r="J17">
        <v>0</v>
      </c>
      <c r="K17">
        <v>90.9</v>
      </c>
      <c r="L17">
        <v>9.1</v>
      </c>
      <c r="M17">
        <v>138.97</v>
      </c>
      <c r="N17">
        <v>723.26</v>
      </c>
      <c r="O17">
        <v>48</v>
      </c>
      <c r="P17">
        <v>88999.59</v>
      </c>
      <c r="Q17">
        <v>80.34</v>
      </c>
      <c r="R17">
        <v>658</v>
      </c>
      <c r="S17">
        <v>4.3540000000000001</v>
      </c>
      <c r="T17">
        <v>110.74</v>
      </c>
      <c r="U17">
        <v>110.74</v>
      </c>
      <c r="V17">
        <v>60.006370821071897</v>
      </c>
      <c r="W17">
        <v>0</v>
      </c>
      <c r="X17" s="2">
        <v>8.7999999999999998E-5</v>
      </c>
      <c r="Y17" s="2"/>
      <c r="Z17">
        <f>$AH$31*$AI$31*$AJ$31+$AM$31*$AN$31*$AO$31*$AP$31*$AQ$31*AR17+$AU$31*$AV$31*$AW$31*$AX$31*$AY$31*$AZ$31+$BC$31*$BD$31*$BE$31*$BF$31*$BG$31*$BH$31*$BI$31</f>
        <v>3.0245496586302333E-2</v>
      </c>
      <c r="AA17">
        <f>$AH$31*$AI$31*$AJ$31+$AM$31*AN17*$AO$31*$AP$31*$AQ$31*$AR$31+$AU$31*$AV$31*$AW$31*AX17*$AY$31*$AZ$31+BC17*$BD$31*$BE$31*$BF$31*$BG$31*$BH$31*$BI$31</f>
        <v>3.3418360020714119E-2</v>
      </c>
      <c r="AB17">
        <f>$AH$31*$AI$31*$AJ$31+$AM$31*$AN$31*$AO$31*$AP$31*$AQ$31*$AR$31+$AU$31*$AV$31*$AW$31*$AX$31*$AY$31*$AZ$31+$BC$31*$BD$31*$BE$31*$BF$31*BG17*$BH$31*$BI$31</f>
        <v>2.9397382435217043E-2</v>
      </c>
      <c r="AC17">
        <f>AH17*$AI$31*$AJ$31+$AM$31*$AN$31*$AO$31*$AP$31*AQ17*$AR$31+$AU$31*AV17*$AW$31*$AX$31*$AY$31*$AZ$31+$BC$31*$BD$31*$BE$31*BF17*$BG$31*$BH$31*$BI$31</f>
        <v>3.0083985936609617E-2</v>
      </c>
      <c r="AD17">
        <f>$AH$31*$AI$31*$AJ$31+$AM$31*$AN$31*$AO$31*$AP$31*$AQ$31*$AR$31+$AU$31*$AV$31*$AW$31*$AX$31*$AY$31*$AZ$31+$BC$31*$BD$31*$BE$31*$BF$31*$BG$31*BH17*$BI$31</f>
        <v>2.7819590628435434E-2</v>
      </c>
      <c r="AE17">
        <f>$AH$31*$AI$31*AJ17+$AM$31*$AN$31*AO17*$AP$31*$AQ$31*$AR$31+$AU$31*$AV$31*$AW$31*$AX$31*AY17*$AZ$31+$BC$31*$BD$31*$BE$31*$BF$31*$BG$31*$BH$31*BI17</f>
        <v>3.0118231825204941E-2</v>
      </c>
      <c r="AF17">
        <f>$AH$31*AI17*$AJ$31+$AM$31*$AN$31*$AO$31*AP17*$AQ$31*$AR$31+$AU$31*$AV$31*$AW$31*$AX$31*$AY$31*$AZ$31+$BC$31*$BD$31*$BE$31*$BF$31*$BG$31*$BH$31*$BI$31</f>
        <v>3.1489182542475014E-2</v>
      </c>
      <c r="AG17" s="2"/>
      <c r="AH17">
        <v>4.7323382125000001E-4</v>
      </c>
      <c r="AI17">
        <v>0.85449427489257102</v>
      </c>
      <c r="AJ17">
        <v>0.97647546184460399</v>
      </c>
      <c r="AK17">
        <v>3.9486284192539399E-4</v>
      </c>
      <c r="AM17">
        <v>3.6252229238999999E-3</v>
      </c>
      <c r="AN17">
        <v>1.32492778528292</v>
      </c>
      <c r="AO17">
        <v>0.956308716933984</v>
      </c>
      <c r="AP17">
        <v>1.1793962091193</v>
      </c>
      <c r="AQ17">
        <v>1.19360624350092</v>
      </c>
      <c r="AR17">
        <v>1.0172069801494701</v>
      </c>
      <c r="AS17">
        <v>6.5774140384290596E-3</v>
      </c>
      <c r="AU17">
        <v>6.6923291199E-3</v>
      </c>
      <c r="AV17">
        <v>1.2093594213966701</v>
      </c>
      <c r="AW17">
        <v>1.11160772202116</v>
      </c>
      <c r="AX17">
        <v>1</v>
      </c>
      <c r="AY17">
        <v>1.07097478456516</v>
      </c>
      <c r="AZ17">
        <v>1.0564566479999999</v>
      </c>
      <c r="BA17">
        <v>1.01792355527516E-2</v>
      </c>
      <c r="BC17">
        <v>6.0145927991518498E-3</v>
      </c>
      <c r="BD17">
        <v>4.6898645652023703</v>
      </c>
      <c r="BE17">
        <v>0.69734611113330602</v>
      </c>
      <c r="BF17">
        <v>1.1064462003444</v>
      </c>
      <c r="BG17">
        <v>0.75425904869696803</v>
      </c>
      <c r="BH17">
        <v>0.87353957514070102</v>
      </c>
      <c r="BI17">
        <v>1</v>
      </c>
      <c r="BJ17">
        <v>1.43399728976005E-2</v>
      </c>
      <c r="BL17">
        <v>3.1491485330706503E-2</v>
      </c>
    </row>
    <row r="18" spans="1:64" x14ac:dyDescent="0.25">
      <c r="A18" t="s">
        <v>51</v>
      </c>
      <c r="B18">
        <v>3538674</v>
      </c>
      <c r="C18">
        <v>2012</v>
      </c>
      <c r="D18">
        <v>4</v>
      </c>
      <c r="E18" s="1">
        <v>42461</v>
      </c>
      <c r="F18" t="s">
        <v>52</v>
      </c>
      <c r="G18">
        <v>1555373619.95</v>
      </c>
      <c r="H18">
        <v>100</v>
      </c>
      <c r="I18">
        <v>0</v>
      </c>
      <c r="J18">
        <v>0</v>
      </c>
      <c r="K18">
        <v>93.63</v>
      </c>
      <c r="L18">
        <v>6.37</v>
      </c>
      <c r="M18">
        <v>124.44</v>
      </c>
      <c r="N18">
        <v>685.59</v>
      </c>
      <c r="O18">
        <v>48</v>
      </c>
      <c r="P18">
        <v>150709.53</v>
      </c>
      <c r="Q18">
        <v>68.73</v>
      </c>
      <c r="R18">
        <v>679</v>
      </c>
      <c r="S18">
        <v>4.2919999999999998</v>
      </c>
      <c r="T18">
        <v>110.74</v>
      </c>
      <c r="U18">
        <v>110.74</v>
      </c>
      <c r="V18">
        <v>60.006370821071897</v>
      </c>
      <c r="W18">
        <v>2.3600000000000001E-3</v>
      </c>
      <c r="X18">
        <v>2.155E-2</v>
      </c>
      <c r="Z18">
        <f>$AH$31*$AI$31*$AJ$31+$AM$31*$AN$31*$AO$31*$AP$31*$AQ$31*AR18+$AU$31*$AV$31*$AW$31*$AX$31*$AY$31*$AZ$31+$BC$31*$BD$31*$BE$31*$BF$31*$BG$31*$BH$31*$BI$31</f>
        <v>3.0226347825146823E-2</v>
      </c>
      <c r="AA18">
        <f>$AH$31*$AI$31*$AJ$31+$AM$31*AN18*$AO$31*$AP$31*$AQ$31*$AR$31+$AU$31*$AV$31*$AW$31*AX18*$AY$31*$AZ$31+BC18*$BD$31*$BE$31*$BF$31*$BG$31*$BH$31*$BI$31</f>
        <v>3.1648725419714627E-2</v>
      </c>
      <c r="AB18">
        <f>$AH$31*$AI$31*$AJ$31+$AM$31*$AN$31*$AO$31*$AP$31*$AQ$31*$AR$31+$AU$31*$AV$31*$AW$31*$AX$31*$AY$31*$AZ$31+$BC$31*$BD$31*$BE$31*$BF$31*BG18*$BH$31*$BI$31</f>
        <v>2.9731746825048866E-2</v>
      </c>
      <c r="AC18">
        <f>AH18*$AI$31*$AJ$31+$AM$31*$AN$31*$AO$31*$AP$31*AQ18*$AR$31+$AU$31*AV18*$AW$31*$AX$31*$AY$31*$AZ$31+$BC$31*$BD$31*$BE$31*BF18*$BG$31*$BH$31*$BI$31</f>
        <v>3.0083985936609617E-2</v>
      </c>
      <c r="AD18">
        <f>$AH$31*$AI$31*$AJ$31+$AM$31*$AN$31*$AO$31*$AP$31*$AQ$31*$AR$31+$AU$31*$AV$31*$AW$31*$AX$31*$AY$31*$AZ$31+$BC$31*$BD$31*$BE$31*$BF$31*$BG$31*BH18*$BI$31</f>
        <v>3.0170915167495888E-2</v>
      </c>
      <c r="AE18">
        <f>$AH$31*$AI$31*AJ18+$AM$31*$AN$31*AO18*$AP$31*$AQ$31*$AR$31+$AU$31*$AV$31*$AW$31*$AX$31*AY18*$AZ$31+$BC$31*$BD$31*$BE$31*$BF$31*$BG$31*$BH$31*BI18</f>
        <v>3.0205590673668632E-2</v>
      </c>
      <c r="AF18">
        <f>$AH$31*AI18*$AJ$31+$AM$31*$AN$31*$AO$31*AP18*$AQ$31*$AR$31+$AU$31*$AV$31*$AW$31*$AX$31*$AY$31*$AZ$31+$BC$31*$BD$31*$BE$31*$BF$31*$BG$31*$BH$31*$BI$31</f>
        <v>3.0920078537612077E-2</v>
      </c>
      <c r="AH18">
        <v>4.7323382125000001E-4</v>
      </c>
      <c r="AI18">
        <v>0.85814956902949502</v>
      </c>
      <c r="AJ18">
        <v>1.0237020014998199</v>
      </c>
      <c r="AK18">
        <v>4.15730910549968E-4</v>
      </c>
      <c r="AM18">
        <v>3.6252229238999999E-3</v>
      </c>
      <c r="AN18">
        <v>1.27918601683779</v>
      </c>
      <c r="AO18">
        <v>0.72971832880808396</v>
      </c>
      <c r="AP18">
        <v>1.03171075481687</v>
      </c>
      <c r="AQ18">
        <v>1.19360624350092</v>
      </c>
      <c r="AR18">
        <v>1.0113104257662699</v>
      </c>
      <c r="AS18">
        <v>4.2143169982010497E-3</v>
      </c>
      <c r="AU18">
        <v>6.6923291199E-3</v>
      </c>
      <c r="AV18">
        <v>1.2093594213966701</v>
      </c>
      <c r="AW18">
        <v>1.11160772202116</v>
      </c>
      <c r="AX18">
        <v>1</v>
      </c>
      <c r="AY18">
        <v>1.1828956257202099</v>
      </c>
      <c r="AZ18">
        <v>1.0564566479999999</v>
      </c>
      <c r="BA18">
        <v>1.12430034600809E-2</v>
      </c>
      <c r="BC18">
        <v>5.4661585068280496E-3</v>
      </c>
      <c r="BD18">
        <v>4.6898645652023703</v>
      </c>
      <c r="BE18">
        <v>0.69734611113330602</v>
      </c>
      <c r="BF18">
        <v>1.1064462003444</v>
      </c>
      <c r="BG18">
        <v>0.77181600150445095</v>
      </c>
      <c r="BH18">
        <v>1.03417280995037</v>
      </c>
      <c r="BI18">
        <v>1</v>
      </c>
      <c r="BJ18">
        <v>1.5788035744645899E-2</v>
      </c>
      <c r="BL18">
        <v>3.1661087113477697E-2</v>
      </c>
    </row>
    <row r="19" spans="1:64" x14ac:dyDescent="0.25">
      <c r="A19" t="s">
        <v>51</v>
      </c>
      <c r="B19">
        <v>3540187</v>
      </c>
      <c r="C19">
        <v>2012</v>
      </c>
      <c r="D19">
        <v>4</v>
      </c>
      <c r="E19" s="1">
        <v>42461</v>
      </c>
      <c r="F19" t="s">
        <v>52</v>
      </c>
      <c r="G19">
        <v>1347857.66</v>
      </c>
      <c r="H19">
        <v>100</v>
      </c>
      <c r="I19">
        <v>0</v>
      </c>
      <c r="J19">
        <v>0</v>
      </c>
      <c r="K19">
        <v>100</v>
      </c>
      <c r="L19">
        <v>0</v>
      </c>
      <c r="M19">
        <v>114.44</v>
      </c>
      <c r="N19">
        <v>968.45</v>
      </c>
      <c r="O19">
        <v>47</v>
      </c>
      <c r="P19">
        <v>61373.32</v>
      </c>
      <c r="Q19">
        <v>74.48</v>
      </c>
      <c r="R19">
        <v>664</v>
      </c>
      <c r="S19">
        <v>4.375</v>
      </c>
      <c r="T19">
        <v>110.74</v>
      </c>
      <c r="U19">
        <v>110.74</v>
      </c>
      <c r="V19">
        <v>60.006370821071897</v>
      </c>
      <c r="W19">
        <v>0</v>
      </c>
      <c r="X19">
        <v>1.16E-4</v>
      </c>
      <c r="Z19">
        <f>$AH$31*$AI$31*$AJ$31+$AM$31*$AN$31*$AO$31*$AP$31*$AQ$31*AR19+$AU$31*$AV$31*$AW$31*$AX$31*$AY$31*$AZ$31+$BC$31*$BD$31*$BE$31*$BF$31*$BG$31*$BH$31*$BI$31</f>
        <v>3.0210506206292662E-2</v>
      </c>
      <c r="AA19">
        <f>$AH$31*$AI$31*$AJ$31+$AM$31*AN19*$AO$31*$AP$31*$AQ$31*$AR$31+$AU$31*$AV$31*$AW$31*AX19*$AY$31*$AZ$31+BC19*$BD$31*$BE$31*$BF$31*$BG$31*$BH$31*$BI$31</f>
        <v>3.0370876425453025E-2</v>
      </c>
      <c r="AB19">
        <f>$AH$31*$AI$31*$AJ$31+$AM$31*$AN$31*$AO$31*$AP$31*$AQ$31*$AR$31+$AU$31*$AV$31*$AW$31*$AX$31*$AY$31*$AZ$31+$BC$31*$BD$31*$BE$31*$BF$31*BG19*$BH$31*$BI$31</f>
        <v>2.7613271921705037E-2</v>
      </c>
      <c r="AC19">
        <f>AH19*$AI$31*$AJ$31+$AM$31*$AN$31*$AO$31*$AP$31*AQ19*$AR$31+$AU$31*AV19*$AW$31*$AX$31*$AY$31*$AZ$31+$BC$31*$BD$31*$BE$31*BF19*$BG$31*$BH$31*$BI$31</f>
        <v>3.0054996885660407E-2</v>
      </c>
      <c r="AD19">
        <f>$AH$31*$AI$31*$AJ$31+$AM$31*$AN$31*$AO$31*$AP$31*$AQ$31*$AR$31+$AU$31*$AV$31*$AW$31*$AX$31*$AY$31*$AZ$31+$BC$31*$BD$31*$BE$31*$BF$31*$BG$31*BH19*$BI$31</f>
        <v>2.6685583256929681E-2</v>
      </c>
      <c r="AE19">
        <f>$AH$31*$AI$31*AJ19+$AM$31*$AN$31*AO19*$AP$31*$AQ$31*$AR$31+$AU$31*$AV$31*$AW$31*$AX$31*AY19*$AZ$31+$BC$31*$BD$31*$BE$31*$BF$31*$BG$31*$BH$31*BI19</f>
        <v>3.0366305050556437E-2</v>
      </c>
      <c r="AF19">
        <f>$AH$31*AI19*$AJ$31+$AM$31*$AN$31*$AO$31*AP19*$AQ$31*$AR$31+$AU$31*$AV$31*$AW$31*$AX$31*$AY$31*$AZ$31+$BC$31*$BD$31*$BE$31*$BF$31*$BG$31*$BH$31*$BI$31</f>
        <v>3.1320290059253145E-2</v>
      </c>
      <c r="AH19">
        <v>4.6931186089E-4</v>
      </c>
      <c r="AI19">
        <v>0.85408792874538297</v>
      </c>
      <c r="AJ19">
        <v>0.99992929717645895</v>
      </c>
      <c r="AK19">
        <v>4.0080525513623002E-4</v>
      </c>
      <c r="AM19">
        <v>3.6252229238999999E-3</v>
      </c>
      <c r="AN19">
        <v>1.24569222813945</v>
      </c>
      <c r="AO19">
        <v>0.86048505641351702</v>
      </c>
      <c r="AP19">
        <v>1.13576599627304</v>
      </c>
      <c r="AQ19">
        <v>1.1930904276321701</v>
      </c>
      <c r="AR19">
        <v>1.0064322529</v>
      </c>
      <c r="AS19">
        <v>5.2995082744384699E-3</v>
      </c>
      <c r="AU19">
        <v>6.6923291199E-3</v>
      </c>
      <c r="AV19">
        <v>1.2070101794428201</v>
      </c>
      <c r="AW19">
        <v>1.11160772202116</v>
      </c>
      <c r="AX19">
        <v>1</v>
      </c>
      <c r="AY19">
        <v>1.14019247511151</v>
      </c>
      <c r="AZ19">
        <v>1.0564566479999999</v>
      </c>
      <c r="BA19">
        <v>1.08160734916276E-2</v>
      </c>
      <c r="BC19">
        <v>5.0705593490722404E-3</v>
      </c>
      <c r="BD19">
        <v>4.6898645652023703</v>
      </c>
      <c r="BE19">
        <v>0.69734611113330602</v>
      </c>
      <c r="BF19">
        <v>1.10628124907915</v>
      </c>
      <c r="BG19">
        <v>0.66057818721282802</v>
      </c>
      <c r="BH19">
        <v>0.79606865636410096</v>
      </c>
      <c r="BI19">
        <v>1</v>
      </c>
      <c r="BJ19">
        <v>9.6472794754171795E-3</v>
      </c>
      <c r="BL19">
        <v>2.6163666496619501E-2</v>
      </c>
    </row>
    <row r="20" spans="1:64" x14ac:dyDescent="0.25">
      <c r="A20" t="s">
        <v>51</v>
      </c>
      <c r="B20">
        <v>3540323</v>
      </c>
      <c r="C20">
        <v>2012</v>
      </c>
      <c r="D20">
        <v>4</v>
      </c>
      <c r="E20" s="1">
        <v>42461</v>
      </c>
      <c r="F20" t="s">
        <v>52</v>
      </c>
      <c r="G20">
        <v>6177748.1200000001</v>
      </c>
      <c r="H20">
        <v>100</v>
      </c>
      <c r="I20">
        <v>0</v>
      </c>
      <c r="J20">
        <v>0</v>
      </c>
      <c r="K20">
        <v>97.78</v>
      </c>
      <c r="L20">
        <v>2.2200000000000002</v>
      </c>
      <c r="M20">
        <v>134.16999999999999</v>
      </c>
      <c r="N20">
        <v>751.51</v>
      </c>
      <c r="O20">
        <v>47</v>
      </c>
      <c r="P20">
        <v>64471.05</v>
      </c>
      <c r="Q20">
        <v>68</v>
      </c>
      <c r="R20">
        <v>696</v>
      </c>
      <c r="S20">
        <v>4.2569999999999997</v>
      </c>
      <c r="T20">
        <v>110.74</v>
      </c>
      <c r="U20">
        <v>110.74</v>
      </c>
      <c r="V20">
        <v>60.006370821071897</v>
      </c>
      <c r="W20">
        <v>0</v>
      </c>
      <c r="X20">
        <v>2.2744E-2</v>
      </c>
      <c r="Z20">
        <f>$AH$31*$AI$31*$AJ$31+$AM$31*$AN$31*$AO$31*$AP$31*$AQ$31*AR20+$AU$31*$AV$31*$AW$31*$AX$31*$AY$31*$AZ$31+$BC$31*$BD$31*$BE$31*$BF$31*$BG$31*$BH$31*$BI$31</f>
        <v>3.0214720644755458E-2</v>
      </c>
      <c r="AA20">
        <f>$AH$31*$AI$31*$AJ$31+$AM$31*AN20*$AO$31*$AP$31*$AQ$31*$AR$31+$AU$31*$AV$31*$AW$31*AX20*$AY$31*$AZ$31+BC20*$BD$31*$BE$31*$BF$31*$BG$31*$BH$31*$BI$31</f>
        <v>3.2874383643592422E-2</v>
      </c>
      <c r="AB20">
        <f>$AH$31*$AI$31*$AJ$31+$AM$31*$AN$31*$AO$31*$AP$31*$AQ$31*$AR$31+$AU$31*$AV$31*$AW$31*$AX$31*$AY$31*$AZ$31+$BC$31*$BD$31*$BE$31*$BF$31*BG20*$BH$31*$BI$31</f>
        <v>2.915882607675379E-2</v>
      </c>
      <c r="AC20">
        <f>AH20*$AI$31*$AJ$31+$AM$31*$AN$31*$AO$31*$AP$31*AQ20*$AR$31+$AU$31*AV20*$AW$31*$AX$31*$AY$31*$AZ$31+$BC$31*$BD$31*$BE$31*BF20*$BG$31*$BH$31*$BI$31</f>
        <v>3.0054996885660407E-2</v>
      </c>
      <c r="AD20">
        <f>$AH$31*$AI$31*$AJ$31+$AM$31*$AN$31*$AO$31*$AP$31*$AQ$31*$AR$31+$AU$31*$AV$31*$AW$31*$AX$31*$AY$31*$AZ$31+$BC$31*$BD$31*$BE$31*$BF$31*$BG$31*BH20*$BI$31</f>
        <v>2.6788556335431452E-2</v>
      </c>
      <c r="AE20">
        <f>$AH$31*$AI$31*AJ20+$AM$31*$AN$31*AO20*$AP$31*$AQ$31*$AR$31+$AU$31*$AV$31*$AW$31*$AX$31*AY20*$AZ$31+$BC$31*$BD$31*$BE$31*$BF$31*$BG$31*$BH$31*BI20</f>
        <v>3.0173681265073353E-2</v>
      </c>
      <c r="AF20">
        <f>$AH$31*AI20*$AJ$31+$AM$31*$AN$31*$AO$31*AP20*$AQ$31*$AR$31+$AU$31*$AV$31*$AW$31*$AX$31*$AY$31*$AZ$31+$BC$31*$BD$31*$BE$31*$BF$31*$BG$31*$BH$31*$BI$31</f>
        <v>3.0433426236245925E-2</v>
      </c>
      <c r="AH20">
        <v>4.6931186089E-4</v>
      </c>
      <c r="AI20">
        <v>0.86456947183377897</v>
      </c>
      <c r="AJ20">
        <v>1.0269273987185199</v>
      </c>
      <c r="AK20">
        <v>4.1667857263621598E-4</v>
      </c>
      <c r="AM20">
        <v>3.6252229238999999E-3</v>
      </c>
      <c r="AN20">
        <v>1.32020744110526</v>
      </c>
      <c r="AO20">
        <v>0.71354490293428596</v>
      </c>
      <c r="AP20">
        <v>0.90498393751244999</v>
      </c>
      <c r="AQ20">
        <v>1.1930904276321701</v>
      </c>
      <c r="AR20">
        <v>1.007730021742</v>
      </c>
      <c r="AS20">
        <v>3.7158367988087198E-3</v>
      </c>
      <c r="AU20">
        <v>6.6923291199E-3</v>
      </c>
      <c r="AV20">
        <v>1.2070101794428201</v>
      </c>
      <c r="AW20">
        <v>1.11160772202116</v>
      </c>
      <c r="AX20">
        <v>1</v>
      </c>
      <c r="AY20">
        <v>1.1869075377985601</v>
      </c>
      <c r="AZ20">
        <v>1.0564566479999999</v>
      </c>
      <c r="BA20">
        <v>1.1259221084878999E-2</v>
      </c>
      <c r="BC20">
        <v>5.8374682705951298E-3</v>
      </c>
      <c r="BD20">
        <v>4.6898645652023703</v>
      </c>
      <c r="BE20">
        <v>0.69734611113330602</v>
      </c>
      <c r="BF20">
        <v>1.10628124907915</v>
      </c>
      <c r="BG20">
        <v>0.74173282624376102</v>
      </c>
      <c r="BH20">
        <v>0.80310337165893597</v>
      </c>
      <c r="BI20">
        <v>1</v>
      </c>
      <c r="BJ20">
        <v>1.2581074028396699E-2</v>
      </c>
      <c r="BL20">
        <v>2.7972810484720601E-2</v>
      </c>
    </row>
    <row r="21" spans="1:64" x14ac:dyDescent="0.25">
      <c r="A21" t="s">
        <v>51</v>
      </c>
      <c r="B21">
        <v>3540510</v>
      </c>
      <c r="C21">
        <v>2012</v>
      </c>
      <c r="D21">
        <v>4</v>
      </c>
      <c r="E21" s="1">
        <v>42461</v>
      </c>
      <c r="F21" t="s">
        <v>52</v>
      </c>
      <c r="G21">
        <v>3681178.34</v>
      </c>
      <c r="H21">
        <v>100</v>
      </c>
      <c r="I21">
        <v>0</v>
      </c>
      <c r="J21">
        <v>0</v>
      </c>
      <c r="K21">
        <v>96.61</v>
      </c>
      <c r="L21">
        <v>3.39</v>
      </c>
      <c r="M21">
        <v>142.84</v>
      </c>
      <c r="N21">
        <v>755.28</v>
      </c>
      <c r="O21">
        <v>46</v>
      </c>
      <c r="P21">
        <v>61463.85</v>
      </c>
      <c r="Q21">
        <v>69.180000000000007</v>
      </c>
      <c r="R21">
        <v>656</v>
      </c>
      <c r="S21">
        <v>4.2949999999999999</v>
      </c>
      <c r="T21">
        <v>110.74</v>
      </c>
      <c r="U21">
        <v>110.74</v>
      </c>
      <c r="V21">
        <v>60.006370821071897</v>
      </c>
      <c r="W21">
        <v>0</v>
      </c>
      <c r="X21">
        <v>1.9324000000000001E-2</v>
      </c>
      <c r="Z21">
        <f>$AH$31*$AI$31*$AJ$31+$AM$31*$AN$31*$AO$31*$AP$31*$AQ$31*AR21+$AU$31*$AV$31*$AW$31*$AX$31*$AY$31*$AZ$31+$BC$31*$BD$31*$BE$31*$BF$31*$BG$31*$BH$31*$BI$31</f>
        <v>3.0216893164204367E-2</v>
      </c>
      <c r="AA21">
        <f>$AH$31*$AI$31*$AJ$31+$AM$31*AN21*$AO$31*$AP$31*$AQ$31*$AR$31+$AU$31*$AV$31*$AW$31*AX21*$AY$31*$AZ$31+BC21*$BD$31*$BE$31*$BF$31*$BG$31*$BH$31*$BI$31</f>
        <v>3.3923852487406432E-2</v>
      </c>
      <c r="AB21">
        <f>$AH$31*$AI$31*$AJ$31+$AM$31*$AN$31*$AO$31*$AP$31*$AQ$31*$AR$31+$AU$31*$AV$31*$AW$31*$AX$31*$AY$31*$AZ$31+$BC$31*$BD$31*$BE$31*$BF$31*BG21*$BH$31*$BI$31</f>
        <v>2.9127746282090063E-2</v>
      </c>
      <c r="AC21">
        <f>AH21*$AI$31*$AJ$31+$AM$31*$AN$31*$AO$31*$AP$31*AQ21*$AR$31+$AU$31*AV21*$AW$31*$AX$31*$AY$31*$AZ$31+$BC$31*$BD$31*$BE$31*BF21*$BG$31*$BH$31*$BI$31</f>
        <v>3.0023847207528334E-2</v>
      </c>
      <c r="AD21">
        <f>$AH$31*$AI$31*$AJ$31+$AM$31*$AN$31*$AO$31*$AP$31*$AQ$31*$AR$31+$AU$31*$AV$31*$AW$31*$AX$31*$AY$31*$AZ$31+$BC$31*$BD$31*$BE$31*$BF$31*$BG$31*BH21*$BI$31</f>
        <v>2.6688311215639287E-2</v>
      </c>
      <c r="AE21">
        <f>$AH$31*$AI$31*AJ21+$AM$31*$AN$31*AO21*$AP$31*$AQ$31*$AR$31+$AU$31*$AV$31*$AW$31*$AX$31*AY21*$AZ$31+$BC$31*$BD$31*$BE$31*$BF$31*$BG$31*$BH$31*BI21</f>
        <v>3.022490601986752E-2</v>
      </c>
      <c r="AF21">
        <f>$AH$31*AI21*$AJ$31+$AM$31*$AN$31*$AO$31*AP21*$AQ$31*$AR$31+$AU$31*$AV$31*$AW$31*$AX$31*$AY$31*$AZ$31+$BC$31*$BD$31*$BE$31*$BF$31*$BG$31*$BH$31*$BI$31</f>
        <v>3.1544436864031383E-2</v>
      </c>
      <c r="AH21">
        <v>4.6538105019999998E-4</v>
      </c>
      <c r="AI21">
        <v>0.85209872356737004</v>
      </c>
      <c r="AJ21">
        <v>1.02216753314271</v>
      </c>
      <c r="AK21">
        <v>4.0534114739058501E-4</v>
      </c>
      <c r="AM21">
        <v>3.6252229238999999E-3</v>
      </c>
      <c r="AN21">
        <v>1.35676731945536</v>
      </c>
      <c r="AO21">
        <v>0.739882490840852</v>
      </c>
      <c r="AP21">
        <v>1.19400632841359</v>
      </c>
      <c r="AQ21">
        <v>1.19249591467175</v>
      </c>
      <c r="AR21">
        <v>1.0083990143193799</v>
      </c>
      <c r="AS21">
        <v>5.2251502441988404E-3</v>
      </c>
      <c r="AU21">
        <v>6.6923291199E-3</v>
      </c>
      <c r="AV21">
        <v>1.2044493786894599</v>
      </c>
      <c r="AW21">
        <v>1.11160772202116</v>
      </c>
      <c r="AX21">
        <v>1</v>
      </c>
      <c r="AY21">
        <v>1.1802744953473401</v>
      </c>
      <c r="AZ21">
        <v>1.0564566479999999</v>
      </c>
      <c r="BA21">
        <v>1.11725446946386E-2</v>
      </c>
      <c r="BC21">
        <v>6.1540898310091597E-3</v>
      </c>
      <c r="BD21">
        <v>4.6898645652023703</v>
      </c>
      <c r="BE21">
        <v>0.69734611113330602</v>
      </c>
      <c r="BF21">
        <v>1.1061181686264501</v>
      </c>
      <c r="BG21">
        <v>0.74010087468201802</v>
      </c>
      <c r="BH21">
        <v>0.79625501976254798</v>
      </c>
      <c r="BI21">
        <v>1</v>
      </c>
      <c r="BJ21">
        <v>1.3119495731294201E-2</v>
      </c>
      <c r="BL21">
        <v>2.9922531817522299E-2</v>
      </c>
    </row>
    <row r="22" spans="1:64" x14ac:dyDescent="0.25">
      <c r="A22" t="s">
        <v>51</v>
      </c>
      <c r="B22">
        <v>3543082</v>
      </c>
      <c r="C22">
        <v>2012</v>
      </c>
      <c r="D22">
        <v>4</v>
      </c>
      <c r="E22" s="1">
        <v>42461</v>
      </c>
      <c r="F22" t="s">
        <v>52</v>
      </c>
      <c r="G22">
        <v>944158.49</v>
      </c>
      <c r="H22">
        <v>100</v>
      </c>
      <c r="I22">
        <v>0</v>
      </c>
      <c r="J22">
        <v>0</v>
      </c>
      <c r="K22">
        <v>80.87</v>
      </c>
      <c r="L22">
        <v>19.13</v>
      </c>
      <c r="M22">
        <v>145.09</v>
      </c>
      <c r="N22">
        <v>797.67</v>
      </c>
      <c r="O22">
        <v>45</v>
      </c>
      <c r="P22">
        <v>55634.58</v>
      </c>
      <c r="Q22">
        <v>75.180000000000007</v>
      </c>
      <c r="R22">
        <v>666</v>
      </c>
      <c r="S22">
        <v>4.3170000000000002</v>
      </c>
      <c r="T22">
        <v>110.74</v>
      </c>
      <c r="U22">
        <v>110.74</v>
      </c>
      <c r="V22">
        <v>60.006370821071897</v>
      </c>
      <c r="W22">
        <v>0</v>
      </c>
      <c r="X22" s="2">
        <v>5.0000000000000004E-6</v>
      </c>
      <c r="Y22" s="2"/>
      <c r="Z22">
        <f>$AH$31*$AI$31*$AJ$31+$AM$31*$AN$31*$AO$31*$AP$31*$AQ$31*AR22+$AU$31*$AV$31*$AW$31*$AX$31*$AY$31*$AZ$31+$BC$31*$BD$31*$BE$31*$BF$31*$BG$31*$BH$31*$BI$31</f>
        <v>3.0992172786132425E-2</v>
      </c>
      <c r="AA22">
        <f>$AH$31*$AI$31*$AJ$31+$AM$31*AN22*$AO$31*$AP$31*$AQ$31*$AR$31+$AU$31*$AV$31*$AW$31*AX22*$AY$31*$AZ$31+BC22*$BD$31*$BE$31*$BF$31*$BG$31*$BH$31*$BI$31</f>
        <v>3.4211249711301052E-2</v>
      </c>
      <c r="AB22">
        <f>$AH$31*$AI$31*$AJ$31+$AM$31*$AN$31*$AO$31*$AP$31*$AQ$31*$AR$31+$AU$31*$AV$31*$AW$31*$AX$31*$AY$31*$AZ$31+$BC$31*$BD$31*$BE$31*$BF$31*BG22*$BH$31*$BI$31</f>
        <v>2.8789936923250971E-2</v>
      </c>
      <c r="AC22">
        <f>AH22*$AI$31*$AJ$31+$AM$31*$AN$31*$AO$31*$AP$31*AQ22*$AR$31+$AU$31*AV22*$AW$31*$AX$31*$AY$31*$AZ$31+$BC$31*$BD$31*$BE$31*BF22*$BG$31*$BH$31*$BI$31</f>
        <v>2.9990441967776282E-2</v>
      </c>
      <c r="AD22">
        <f>$AH$31*$AI$31*$AJ$31+$AM$31*$AN$31*$AO$31*$AP$31*$AQ$31*$AR$31+$AU$31*$AV$31*$AW$31*$AX$31*$AY$31*$AZ$31+$BC$31*$BD$31*$BE$31*$BF$31*$BG$31*BH22*$BI$31</f>
        <v>2.6554993949823864E-2</v>
      </c>
      <c r="AE22">
        <f>$AH$31*$AI$31*AJ22+$AM$31*$AN$31*AO22*$AP$31*$AQ$31*$AR$31+$AU$31*$AV$31*$AW$31*$AX$31*AY22*$AZ$31+$BC$31*$BD$31*$BE$31*$BF$31*$BG$31*$BH$31*BI22</f>
        <v>3.0366156746573395E-2</v>
      </c>
      <c r="AF22">
        <f>$AH$31*AI22*$AJ$31+$AM$31*$AN$31*$AO$31*AP22*$AQ$31*$AR$31+$AU$31*$AV$31*$AW$31*$AX$31*$AY$31*$AZ$31+$BC$31*$BD$31*$BE$31*$BF$31*$BG$31*$BH$31*$BI$31</f>
        <v>3.1263539995833575E-2</v>
      </c>
      <c r="AG22" s="2"/>
      <c r="AH22">
        <v>4.6144830721E-4</v>
      </c>
      <c r="AI22">
        <v>0.85218010493743601</v>
      </c>
      <c r="AJ22">
        <v>0.997001563869507</v>
      </c>
      <c r="AK22">
        <v>3.9205797063229298E-4</v>
      </c>
      <c r="AM22">
        <v>3.6252229238999999E-3</v>
      </c>
      <c r="AN22">
        <v>1.3745014864095</v>
      </c>
      <c r="AO22">
        <v>0.87512954484336003</v>
      </c>
      <c r="AP22">
        <v>1.1213411972759</v>
      </c>
      <c r="AQ22">
        <v>1.1918158691597001</v>
      </c>
      <c r="AR22">
        <v>1.24713395992553</v>
      </c>
      <c r="AS22">
        <v>7.2679565920296301E-3</v>
      </c>
      <c r="AU22">
        <v>6.6923291199E-3</v>
      </c>
      <c r="AV22">
        <v>1.2016678987165099</v>
      </c>
      <c r="AW22">
        <v>1.11160772202116</v>
      </c>
      <c r="AX22">
        <v>1</v>
      </c>
      <c r="AY22">
        <v>1.13352741517512</v>
      </c>
      <c r="AZ22">
        <v>1.0564566479999999</v>
      </c>
      <c r="BA22">
        <v>1.0705254937841999E-2</v>
      </c>
      <c r="BC22">
        <v>6.2337372918202802E-3</v>
      </c>
      <c r="BD22">
        <v>4.6898645652023703</v>
      </c>
      <c r="BE22">
        <v>0.69734611113330602</v>
      </c>
      <c r="BF22">
        <v>1.10595711990225</v>
      </c>
      <c r="BG22">
        <v>0.72236303192296403</v>
      </c>
      <c r="BH22">
        <v>0.78714730906240404</v>
      </c>
      <c r="BI22">
        <v>1</v>
      </c>
      <c r="BJ22">
        <v>1.2820560031851599E-2</v>
      </c>
      <c r="BL22">
        <v>3.1185829532355599E-2</v>
      </c>
    </row>
    <row r="23" spans="1:64" x14ac:dyDescent="0.25">
      <c r="A23" t="s">
        <v>51</v>
      </c>
      <c r="B23">
        <v>3543925</v>
      </c>
      <c r="C23">
        <v>2012</v>
      </c>
      <c r="D23">
        <v>4</v>
      </c>
      <c r="E23" s="1">
        <v>42461</v>
      </c>
      <c r="F23" t="s">
        <v>52</v>
      </c>
      <c r="G23">
        <v>3067530.6</v>
      </c>
      <c r="H23">
        <v>100</v>
      </c>
      <c r="I23">
        <v>0</v>
      </c>
      <c r="J23">
        <v>0</v>
      </c>
      <c r="K23">
        <v>93.88</v>
      </c>
      <c r="L23">
        <v>6.12</v>
      </c>
      <c r="M23">
        <v>190.44</v>
      </c>
      <c r="N23">
        <v>1063.8399999999999</v>
      </c>
      <c r="O23">
        <v>44</v>
      </c>
      <c r="P23">
        <v>93107.49</v>
      </c>
      <c r="Q23">
        <v>72.760000000000005</v>
      </c>
      <c r="R23">
        <v>677</v>
      </c>
      <c r="S23">
        <v>4.7350000000000003</v>
      </c>
      <c r="T23">
        <v>110.74</v>
      </c>
      <c r="U23">
        <v>110.74</v>
      </c>
      <c r="V23">
        <v>60.006370821071897</v>
      </c>
      <c r="W23">
        <v>0</v>
      </c>
      <c r="X23">
        <v>2.12E-4</v>
      </c>
      <c r="Z23">
        <f>$AH$31*$AI$31*$AJ$31+$AM$31*$AN$31*$AO$31*$AP$31*$AQ$31*AR23+$AU$31*$AV$31*$AW$31*$AX$31*$AY$31*$AZ$31+$BC$31*$BD$31*$BE$31*$BF$31*$BG$31*$BH$31*$BI$31</f>
        <v>3.0225200635454627E-2</v>
      </c>
      <c r="AA23">
        <f>$AH$31*$AI$31*$AJ$31+$AM$31*AN23*$AO$31*$AP$31*$AQ$31*$AR$31+$AU$31*$AV$31*$AW$31*AX23*$AY$31*$AZ$31+BC23*$BD$31*$BE$31*$BF$31*$BG$31*$BH$31*$BI$31</f>
        <v>3.8540558231881905E-2</v>
      </c>
      <c r="AB23">
        <f>$AH$31*$AI$31*$AJ$31+$AM$31*$AN$31*$AO$31*$AP$31*$AQ$31*$AR$31+$AU$31*$AV$31*$AW$31*$AX$31*$AY$31*$AZ$31+$BC$31*$BD$31*$BE$31*$BF$31*BG23*$BH$31*$BI$31</f>
        <v>2.7052324614990991E-2</v>
      </c>
      <c r="AC23">
        <f>AH23*$AI$31*$AJ$31+$AM$31*$AN$31*$AO$31*$AP$31*AQ23*$AR$31+$AU$31*AV23*$AW$31*$AX$31*$AY$31*$AZ$31+$BC$31*$BD$31*$BE$31*BF23*$BG$31*$BH$31*$BI$31</f>
        <v>2.9954686231985501E-2</v>
      </c>
      <c r="AD23">
        <f>$AH$31*$AI$31*$AJ$31+$AM$31*$AN$31*$AO$31*$AP$31*$AQ$31*$AR$31+$AU$31*$AV$31*$AW$31*$AX$31*$AY$31*$AZ$31+$BC$31*$BD$31*$BE$31*$BF$31*$BG$31*BH23*$BI$31</f>
        <v>2.7975810812026061E-2</v>
      </c>
      <c r="AE23">
        <f>$AH$31*$AI$31*AJ23+$AM$31*$AN$31*AO23*$AP$31*$AQ$31*$AR$31+$AU$31*$AV$31*$AW$31*$AX$31*AY23*$AZ$31+$BC$31*$BD$31*$BE$31*$BF$31*$BG$31*$BH$31*BI23</f>
        <v>3.0344049825899055E-2</v>
      </c>
      <c r="AF23">
        <f>$AH$31*AI23*$AJ$31+$AM$31*$AN$31*$AO$31*AP23*$AQ$31*$AR$31+$AU$31*$AV$31*$AW$31*$AX$31*$AY$31*$AZ$31+$BC$31*$BD$31*$BE$31*$BF$31*$BG$31*$BH$31*$BI$31</f>
        <v>3.0969257761913789E-2</v>
      </c>
      <c r="AH23">
        <v>4.5752054996999999E-4</v>
      </c>
      <c r="AI23">
        <v>0.85330170714646103</v>
      </c>
      <c r="AJ23">
        <v>1.0072175666079599</v>
      </c>
      <c r="AK23">
        <v>3.9322082647927999E-4</v>
      </c>
      <c r="AM23">
        <v>3.6252229238999999E-3</v>
      </c>
      <c r="AN23">
        <v>1.5002847907438299</v>
      </c>
      <c r="AO23">
        <v>0.82245485594969703</v>
      </c>
      <c r="AP23">
        <v>1.0450756129685701</v>
      </c>
      <c r="AQ23">
        <v>1.1910434556360601</v>
      </c>
      <c r="AR23">
        <v>1.01095716706964</v>
      </c>
      <c r="AS23">
        <v>5.6289652740947899E-3</v>
      </c>
      <c r="AU23">
        <v>6.6923291199E-3</v>
      </c>
      <c r="AV23">
        <v>1.1986566191039201</v>
      </c>
      <c r="AW23">
        <v>1.11160772202116</v>
      </c>
      <c r="AX23">
        <v>1</v>
      </c>
      <c r="AY23">
        <v>1.1551511798790699</v>
      </c>
      <c r="AZ23">
        <v>1.0564566479999999</v>
      </c>
      <c r="BA23">
        <v>1.0882135774530901E-2</v>
      </c>
      <c r="BC23">
        <v>7.56276255879367E-3</v>
      </c>
      <c r="BD23">
        <v>4.6898645652023703</v>
      </c>
      <c r="BE23">
        <v>0.69734611113330602</v>
      </c>
      <c r="BF23">
        <v>1.1057982638225099</v>
      </c>
      <c r="BG23">
        <v>0.63112371870194195</v>
      </c>
      <c r="BH23">
        <v>0.884211923009256</v>
      </c>
      <c r="BI23">
        <v>1</v>
      </c>
      <c r="BJ23">
        <v>1.5262860067956401E-2</v>
      </c>
      <c r="BL23">
        <v>3.2167181943061403E-2</v>
      </c>
    </row>
    <row r="24" spans="1:64" x14ac:dyDescent="0.25">
      <c r="A24" t="s">
        <v>51</v>
      </c>
      <c r="B24">
        <v>3544017</v>
      </c>
      <c r="C24">
        <v>2012</v>
      </c>
      <c r="D24">
        <v>4</v>
      </c>
      <c r="E24" s="1">
        <v>42461</v>
      </c>
      <c r="F24" t="s">
        <v>52</v>
      </c>
      <c r="G24">
        <v>701876.78</v>
      </c>
      <c r="H24">
        <v>100</v>
      </c>
      <c r="I24">
        <v>0</v>
      </c>
      <c r="J24">
        <v>0</v>
      </c>
      <c r="K24">
        <v>90.8</v>
      </c>
      <c r="L24">
        <v>9.1999999999999993</v>
      </c>
      <c r="M24">
        <v>153.13999999999999</v>
      </c>
      <c r="N24">
        <v>766.15</v>
      </c>
      <c r="O24">
        <v>43</v>
      </c>
      <c r="P24">
        <v>78120.679999999993</v>
      </c>
      <c r="Q24">
        <v>62.64</v>
      </c>
      <c r="R24">
        <v>703</v>
      </c>
      <c r="S24">
        <v>4.3620000000000001</v>
      </c>
      <c r="T24">
        <v>110.74</v>
      </c>
      <c r="U24">
        <v>110.74</v>
      </c>
      <c r="V24">
        <v>60.006370821071897</v>
      </c>
      <c r="W24">
        <v>0</v>
      </c>
      <c r="X24">
        <v>0</v>
      </c>
      <c r="Z24">
        <f>$AH$31*$AI$31*$AJ$31+$AM$31*$AN$31*$AO$31*$AP$31*$AQ$31*AR24+$AU$31*$AV$31*$AW$31*$AX$31*$AY$31*$AZ$31+$BC$31*$BD$31*$BE$31*$BF$31*$BG$31*$BH$31*$BI$31</f>
        <v>3.0246473404942301E-2</v>
      </c>
      <c r="AA24">
        <f>$AH$31*$AI$31*$AJ$31+$AM$31*AN24*$AO$31*$AP$31*$AQ$31*$AR$31+$AU$31*$AV$31*$AW$31*AX24*$AY$31*$AZ$31+BC24*$BD$31*$BE$31*$BF$31*$BG$31*$BH$31*$BI$31</f>
        <v>3.5169045945545693E-2</v>
      </c>
      <c r="AB24">
        <f>$AH$31*$AI$31*$AJ$31+$AM$31*$AN$31*$AO$31*$AP$31*$AQ$31*$AR$31+$AU$31*$AV$31*$AW$31*$AX$31*$AY$31*$AZ$31+$BC$31*$BD$31*$BE$31*$BF$31*BG24*$BH$31*$BI$31</f>
        <v>2.9039102600026977E-2</v>
      </c>
      <c r="AC24">
        <f>AH24*$AI$31*$AJ$31+$AM$31*$AN$31*$AO$31*$AP$31*AQ24*$AR$31+$AU$31*AV24*$AW$31*$AX$31*$AY$31*$AZ$31+$BC$31*$BD$31*$BE$31*BF24*$BG$31*$BH$31*$BI$31</f>
        <v>2.991648506573702E-2</v>
      </c>
      <c r="AD24">
        <f>$AH$31*$AI$31*$AJ$31+$AM$31*$AN$31*$AO$31*$AP$31*$AQ$31*$AR$31+$AU$31*$AV$31*$AW$31*$AX$31*$AY$31*$AZ$31+$BC$31*$BD$31*$BE$31*$BF$31*$BG$31*BH24*$BI$31</f>
        <v>2.7378581992454652E-2</v>
      </c>
      <c r="AE24">
        <f>$AH$31*$AI$31*AJ24+$AM$31*$AN$31*AO24*$AP$31*$AQ$31*$AR$31+$AU$31*$AV$31*$AW$31*$AX$31*AY24*$AZ$31+$BC$31*$BD$31*$BE$31*$BF$31*$BG$31*$BH$31*BI24</f>
        <v>2.9953797565960519E-2</v>
      </c>
      <c r="AF24">
        <f>$AH$31*AI24*$AJ$31+$AM$31*$AN$31*$AO$31*AP24*$AQ$31*$AR$31+$AU$31*$AV$31*$AW$31*$AX$31*$AY$31*$AZ$31+$BC$31*$BD$31*$BE$31*$BF$31*$BG$31*$BH$31*$BI$31</f>
        <v>3.0204786275976205E-2</v>
      </c>
      <c r="AH24">
        <v>4.5360469652999999E-4</v>
      </c>
      <c r="AI24">
        <v>0.86606421809425205</v>
      </c>
      <c r="AJ24">
        <v>1.05046730141092</v>
      </c>
      <c r="AK24">
        <v>4.1267691639698001E-4</v>
      </c>
      <c r="AM24">
        <v>3.6252229238999999E-3</v>
      </c>
      <c r="AN24">
        <v>1.42266468137904</v>
      </c>
      <c r="AO24">
        <v>0.61602750828325004</v>
      </c>
      <c r="AP24">
        <v>0.84564719077577299</v>
      </c>
      <c r="AQ24">
        <v>1.19017183864087</v>
      </c>
      <c r="AR24">
        <v>1.01750777580859</v>
      </c>
      <c r="AS24">
        <v>3.2536736524795599E-3</v>
      </c>
      <c r="AU24">
        <v>6.6923291199E-3</v>
      </c>
      <c r="AV24">
        <v>1.1954064194316301</v>
      </c>
      <c r="AW24">
        <v>1.11160772202116</v>
      </c>
      <c r="AX24">
        <v>1</v>
      </c>
      <c r="AY24">
        <v>1.2080376657444201</v>
      </c>
      <c r="AZ24">
        <v>1.0564566479999999</v>
      </c>
      <c r="BA24">
        <v>1.13494962428334E-2</v>
      </c>
      <c r="BC24">
        <v>6.5091747036190497E-3</v>
      </c>
      <c r="BD24">
        <v>4.6898645652023703</v>
      </c>
      <c r="BE24">
        <v>0.69734611113330602</v>
      </c>
      <c r="BF24">
        <v>1.1056417613031799</v>
      </c>
      <c r="BG24">
        <v>0.73544633313994201</v>
      </c>
      <c r="BH24">
        <v>0.84341160148169303</v>
      </c>
      <c r="BI24">
        <v>1</v>
      </c>
      <c r="BJ24">
        <v>1.4599554521025401E-2</v>
      </c>
      <c r="BL24">
        <v>2.9615401332735301E-2</v>
      </c>
    </row>
    <row r="25" spans="1:64" x14ac:dyDescent="0.25">
      <c r="A25" t="s">
        <v>51</v>
      </c>
      <c r="B25">
        <v>3544947</v>
      </c>
      <c r="C25">
        <v>2012</v>
      </c>
      <c r="D25">
        <v>4</v>
      </c>
      <c r="E25" s="1">
        <v>42461</v>
      </c>
      <c r="F25" t="s">
        <v>52</v>
      </c>
      <c r="G25">
        <v>954267.12</v>
      </c>
      <c r="H25">
        <v>100</v>
      </c>
      <c r="I25">
        <v>0</v>
      </c>
      <c r="J25">
        <v>0</v>
      </c>
      <c r="K25">
        <v>100</v>
      </c>
      <c r="L25">
        <v>0</v>
      </c>
      <c r="M25">
        <v>148.94</v>
      </c>
      <c r="N25">
        <v>727.72</v>
      </c>
      <c r="O25">
        <v>43</v>
      </c>
      <c r="P25">
        <v>73547.06</v>
      </c>
      <c r="Q25">
        <v>68.63</v>
      </c>
      <c r="R25">
        <v>661</v>
      </c>
      <c r="S25">
        <v>4.32</v>
      </c>
      <c r="T25">
        <v>110.74</v>
      </c>
      <c r="U25">
        <v>110.74</v>
      </c>
      <c r="V25">
        <v>60.006370821071897</v>
      </c>
      <c r="W25">
        <v>0</v>
      </c>
      <c r="X25">
        <v>6.3100000000000005E-4</v>
      </c>
      <c r="Z25">
        <f>$AH$31*$AI$31*$AJ$31+$AM$31*$AN$31*$AO$31*$AP$31*$AQ$31*AR25+$AU$31*$AV$31*$AW$31*$AX$31*$AY$31*$AZ$31+$BC$31*$BD$31*$BE$31*$BF$31*$BG$31*$BH$31*$BI$31</f>
        <v>3.0210506206292662E-2</v>
      </c>
      <c r="AA25">
        <f>$AH$31*$AI$31*$AJ$31+$AM$31*AN25*$AO$31*$AP$31*$AQ$31*$AR$31+$AU$31*$AV$31*$AW$31*AX25*$AY$31*$AZ$31+BC25*$BD$31*$BE$31*$BF$31*$BG$31*$BH$31*$BI$31</f>
        <v>3.4708785869342229E-2</v>
      </c>
      <c r="AB25">
        <f>$AH$31*$AI$31*$AJ$31+$AM$31*$AN$31*$AO$31*$AP$31*$AQ$31*$AR$31+$AU$31*$AV$31*$AW$31*$AX$31*$AY$31*$AZ$31+$BC$31*$BD$31*$BE$31*$BF$31*BG25*$BH$31*$BI$31</f>
        <v>2.9359043675697975E-2</v>
      </c>
      <c r="AC25">
        <f>AH25*$AI$31*$AJ$31+$AM$31*$AN$31*$AO$31*$AP$31*AQ25*$AR$31+$AU$31*AV25*$AW$31*$AX$31*$AY$31*$AZ$31+$BC$31*$BD$31*$BE$31*BF25*$BG$31*$BH$31*$BI$31</f>
        <v>2.991648506573702E-2</v>
      </c>
      <c r="AD25">
        <f>$AH$31*$AI$31*$AJ$31+$AM$31*$AN$31*$AO$31*$AP$31*$AQ$31*$AR$31+$AU$31*$AV$31*$AW$31*$AX$31*$AY$31*$AZ$31+$BC$31*$BD$31*$BE$31*$BF$31*$BG$31*BH25*$BI$31</f>
        <v>2.716940098261969E-2</v>
      </c>
      <c r="AE25">
        <f>$AH$31*$AI$31*AJ25+$AM$31*$AN$31*AO25*$AP$31*$AQ$31*$AR$31+$AU$31*$AV$31*$AW$31*$AX$31*AY25*$AZ$31+$BC$31*$BD$31*$BE$31*$BF$31*$BG$31*$BH$31*BI25</f>
        <v>3.0201668608857684E-2</v>
      </c>
      <c r="AF25">
        <f>$AH$31*AI25*$AJ$31+$AM$31*$AN$31*$AO$31*AP25*$AQ$31*$AR$31+$AU$31*$AV$31*$AW$31*$AX$31*$AY$31*$AZ$31+$BC$31*$BD$31*$BE$31*$BF$31*$BG$31*$BH$31*$BI$31</f>
        <v>3.1401976449917123E-2</v>
      </c>
      <c r="AH25">
        <v>4.5360469652999999E-4</v>
      </c>
      <c r="AI25">
        <v>0.84931445106215597</v>
      </c>
      <c r="AJ25">
        <v>1.0250298526308701</v>
      </c>
      <c r="AK25">
        <v>3.9489585024472102E-4</v>
      </c>
      <c r="AM25">
        <v>3.6252229238999999E-3</v>
      </c>
      <c r="AN25">
        <v>1.4098319534759101</v>
      </c>
      <c r="AO25">
        <v>0.72747794571747904</v>
      </c>
      <c r="AP25">
        <v>1.1575289813626</v>
      </c>
      <c r="AQ25">
        <v>1.19017183864087</v>
      </c>
      <c r="AR25">
        <v>1.0064322529</v>
      </c>
      <c r="AS25">
        <v>5.1552293134749698E-3</v>
      </c>
      <c r="AU25">
        <v>6.6923291199E-3</v>
      </c>
      <c r="AV25">
        <v>1.1954064194316301</v>
      </c>
      <c r="AW25">
        <v>1.11160772202116</v>
      </c>
      <c r="AX25">
        <v>1</v>
      </c>
      <c r="AY25">
        <v>1.1834626406020401</v>
      </c>
      <c r="AZ25">
        <v>1.0564566479999999</v>
      </c>
      <c r="BA25">
        <v>1.1118614240202201E-2</v>
      </c>
      <c r="BC25">
        <v>6.3673892572871102E-3</v>
      </c>
      <c r="BD25">
        <v>4.6898645652023703</v>
      </c>
      <c r="BE25">
        <v>0.69734611113330602</v>
      </c>
      <c r="BF25">
        <v>1.1056417613031799</v>
      </c>
      <c r="BG25">
        <v>0.75224594020801605</v>
      </c>
      <c r="BH25">
        <v>0.82912117848293099</v>
      </c>
      <c r="BI25">
        <v>1</v>
      </c>
      <c r="BJ25">
        <v>1.4360262551127699E-2</v>
      </c>
      <c r="BL25">
        <v>3.1029001955049599E-2</v>
      </c>
    </row>
    <row r="26" spans="1:64" x14ac:dyDescent="0.25">
      <c r="A26" t="s">
        <v>51</v>
      </c>
      <c r="B26">
        <v>3544967</v>
      </c>
      <c r="C26">
        <v>2012</v>
      </c>
      <c r="D26">
        <v>4</v>
      </c>
      <c r="E26" s="1">
        <v>42461</v>
      </c>
      <c r="F26" t="s">
        <v>52</v>
      </c>
      <c r="G26">
        <v>996631.81</v>
      </c>
      <c r="H26">
        <v>100</v>
      </c>
      <c r="I26">
        <v>0</v>
      </c>
      <c r="J26">
        <v>0</v>
      </c>
      <c r="K26">
        <v>88.8</v>
      </c>
      <c r="L26">
        <v>11.2</v>
      </c>
      <c r="M26">
        <v>145.04</v>
      </c>
      <c r="N26">
        <v>668.7</v>
      </c>
      <c r="O26">
        <v>42</v>
      </c>
      <c r="P26">
        <v>124795.17</v>
      </c>
      <c r="Q26">
        <v>68.64</v>
      </c>
      <c r="R26">
        <v>669</v>
      </c>
      <c r="S26">
        <v>4.2809999999999997</v>
      </c>
      <c r="T26">
        <v>110.74</v>
      </c>
      <c r="U26">
        <v>110.74</v>
      </c>
      <c r="V26">
        <v>60.006370821071897</v>
      </c>
      <c r="W26">
        <v>0</v>
      </c>
      <c r="X26">
        <v>0</v>
      </c>
      <c r="Z26">
        <f>$AH$31*$AI$31*$AJ$31+$AM$31*$AN$31*$AO$31*$AP$31*$AQ$31*AR26+$AU$31*$AV$31*$AW$31*$AX$31*$AY$31*$AZ$31+$BC$31*$BD$31*$BE$31*$BF$31*$BG$31*$BH$31*$BI$31</f>
        <v>3.0271145747230201E-2</v>
      </c>
      <c r="AA26">
        <f>$AH$31*$AI$31*$AJ$31+$AM$31*AN26*$AO$31*$AP$31*$AQ$31*$AR$31+$AU$31*$AV$31*$AW$31*AX26*$AY$31*$AZ$31+BC26*$BD$31*$BE$31*$BF$31*$BG$31*$BH$31*$BI$31</f>
        <v>3.4302188322617257E-2</v>
      </c>
      <c r="AB26">
        <f>$AH$31*$AI$31*$AJ$31+$AM$31*$AN$31*$AO$31*$AP$31*$AQ$31*$AR$31+$AU$31*$AV$31*$AW$31*$AX$31*$AY$31*$AZ$31+$BC$31*$BD$31*$BE$31*$BF$31*BG26*$BH$31*$BI$31</f>
        <v>2.9888013523419514E-2</v>
      </c>
      <c r="AC26">
        <f>AH26*$AI$31*$AJ$31+$AM$31*$AN$31*$AO$31*$AP$31*AQ26*$AR$31+$AU$31*AV26*$AW$31*$AX$31*$AY$31*$AZ$31+$BC$31*$BD$31*$BE$31*BF26*$BG$31*$BH$31*$BI$31</f>
        <v>2.9875743534585004E-2</v>
      </c>
      <c r="AD26">
        <f>$AH$31*$AI$31*$AJ$31+$AM$31*$AN$31*$AO$31*$AP$31*$AQ$31*$AR$31+$AU$31*$AV$31*$AW$31*$AX$31*$AY$31*$AZ$31+$BC$31*$BD$31*$BE$31*$BF$31*$BG$31*BH26*$BI$31</f>
        <v>2.9314373363112416E-2</v>
      </c>
      <c r="AE26">
        <f>$AH$31*$AI$31*AJ26+$AM$31*$AN$31*AO26*$AP$31*$AQ$31*$AR$31+$AU$31*$AV$31*$AW$31*$AX$31*AY26*$AZ$31+$BC$31*$BD$31*$BE$31*$BF$31*$BG$31*$BH$31*BI26</f>
        <v>3.0202182296949435E-2</v>
      </c>
      <c r="AF26">
        <f>$AH$31*AI26*$AJ$31+$AM$31*$AN$31*$AO$31*AP26*$AQ$31*$AR$31+$AU$31*$AV$31*$AW$31*$AX$31*$AY$31*$AZ$31+$BC$31*$BD$31*$BE$31*$BF$31*$BG$31*$BH$31*$BI$31</f>
        <v>3.1179089826431996E-2</v>
      </c>
      <c r="AH26">
        <v>4.4970766490999998E-4</v>
      </c>
      <c r="AI26">
        <v>0.84939256988701195</v>
      </c>
      <c r="AJ26">
        <v>1.0251692368246601</v>
      </c>
      <c r="AK26">
        <v>3.9159245272859502E-4</v>
      </c>
      <c r="AM26">
        <v>3.6252229238999999E-3</v>
      </c>
      <c r="AN26">
        <v>1.40960435780486</v>
      </c>
      <c r="AO26">
        <v>0.72770165900981099</v>
      </c>
      <c r="AP26">
        <v>1.0998687030786101</v>
      </c>
      <c r="AQ26">
        <v>1.1891941827141701</v>
      </c>
      <c r="AR26">
        <v>1.02510522855658</v>
      </c>
      <c r="AS26">
        <v>4.9859438728127601E-3</v>
      </c>
      <c r="AU26">
        <v>6.6923291199E-3</v>
      </c>
      <c r="AV26">
        <v>1.19190817927959</v>
      </c>
      <c r="AW26">
        <v>1.11160772202116</v>
      </c>
      <c r="AX26">
        <v>1</v>
      </c>
      <c r="AY26">
        <v>1.1834061903120301</v>
      </c>
      <c r="AZ26">
        <v>1.0564566479999999</v>
      </c>
      <c r="BA26">
        <v>1.1085547903754199E-2</v>
      </c>
      <c r="BC26">
        <v>6.2319794066966602E-3</v>
      </c>
      <c r="BD26">
        <v>4.6898645652023703</v>
      </c>
      <c r="BE26">
        <v>0.69734611113330602</v>
      </c>
      <c r="BF26">
        <v>1.10548777326021</v>
      </c>
      <c r="BG26">
        <v>0.78002132220278997</v>
      </c>
      <c r="BH26">
        <v>0.97565724627458505</v>
      </c>
      <c r="BI26">
        <v>1</v>
      </c>
      <c r="BJ26">
        <v>1.71471673599209E-2</v>
      </c>
      <c r="BL26">
        <v>3.3610251589216503E-2</v>
      </c>
    </row>
    <row r="27" spans="1:64" x14ac:dyDescent="0.25">
      <c r="A27" t="s">
        <v>51</v>
      </c>
      <c r="B27">
        <v>3545054</v>
      </c>
      <c r="C27">
        <v>2012</v>
      </c>
      <c r="D27">
        <v>4</v>
      </c>
      <c r="E27" s="1">
        <v>42461</v>
      </c>
      <c r="F27" t="s">
        <v>52</v>
      </c>
      <c r="G27">
        <v>724663.83</v>
      </c>
      <c r="H27">
        <v>100</v>
      </c>
      <c r="I27">
        <v>0</v>
      </c>
      <c r="J27">
        <v>0</v>
      </c>
      <c r="K27">
        <v>100</v>
      </c>
      <c r="L27">
        <v>0</v>
      </c>
      <c r="M27">
        <v>170.54</v>
      </c>
      <c r="N27">
        <v>894.71</v>
      </c>
      <c r="O27">
        <v>42</v>
      </c>
      <c r="P27">
        <v>90730.85</v>
      </c>
      <c r="Q27">
        <v>72.53</v>
      </c>
      <c r="R27">
        <v>710</v>
      </c>
      <c r="S27">
        <v>4.5359999999999996</v>
      </c>
      <c r="T27">
        <v>110.74</v>
      </c>
      <c r="U27">
        <v>110.74</v>
      </c>
      <c r="V27">
        <v>60.006370821071897</v>
      </c>
      <c r="W27">
        <v>0</v>
      </c>
      <c r="X27" s="2">
        <v>1.9999999999999999E-6</v>
      </c>
      <c r="Y27" s="2"/>
      <c r="Z27">
        <f>$AH$31*$AI$31*$AJ$31+$AM$31*$AN$31*$AO$31*$AP$31*$AQ$31*AR27+$AU$31*$AV$31*$AW$31*$AX$31*$AY$31*$AZ$31+$BC$31*$BD$31*$BE$31*$BF$31*$BG$31*$BH$31*$BI$31</f>
        <v>3.0210506206292662E-2</v>
      </c>
      <c r="AA27">
        <f>$AH$31*$AI$31*$AJ$31+$AM$31*AN27*$AO$31*$AP$31*$AQ$31*$AR$31+$AU$31*$AV$31*$AW$31*AX27*$AY$31*$AZ$31+BC27*$BD$31*$BE$31*$BF$31*$BG$31*$BH$31*$BI$31</f>
        <v>3.694893805107724E-2</v>
      </c>
      <c r="AB27">
        <f>$AH$31*$AI$31*$AJ$31+$AM$31*$AN$31*$AO$31*$AP$31*$AQ$31*$AR$31+$AU$31*$AV$31*$AW$31*$AX$31*$AY$31*$AZ$31+$BC$31*$BD$31*$BE$31*$BF$31*BG27*$BH$31*$BI$31</f>
        <v>2.8089218749247118E-2</v>
      </c>
      <c r="AC27">
        <f>AH27*$AI$31*$AJ$31+$AM$31*$AN$31*$AO$31*$AP$31*AQ27*$AR$31+$AU$31*AV27*$AW$31*$AX$31*$AY$31*$AZ$31+$BC$31*$BD$31*$BE$31*BF27*$BG$31*$BH$31*$BI$31</f>
        <v>2.9875743534585004E-2</v>
      </c>
      <c r="AD27">
        <f>$AH$31*$AI$31*$AJ$31+$AM$31*$AN$31*$AO$31*$AP$31*$AQ$31*$AR$31+$AU$31*$AV$31*$AW$31*$AX$31*$AY$31*$AZ$31+$BC$31*$BD$31*$BE$31*$BF$31*$BG$31*BH27*$BI$31</f>
        <v>2.7884315106479238E-2</v>
      </c>
      <c r="AE27">
        <f>$AH$31*$AI$31*AJ27+$AM$31*$AN$31*AO27*$AP$31*$AQ$31*$AR$31+$AU$31*$AV$31*$AW$31*$AX$31*AY27*$AZ$31+$BC$31*$BD$31*$BE$31*$BF$31*$BG$31*$BH$31*BI27</f>
        <v>3.0339011676075028E-2</v>
      </c>
      <c r="AF27">
        <f>$AH$31*AI27*$AJ$31+$AM$31*$AN$31*$AO$31*AP27*$AQ$31*$AR$31+$AU$31*$AV$31*$AW$31*$AX$31*$AY$31*$AZ$31+$BC$31*$BD$31*$BE$31*$BF$31*$BG$31*$BH$31*$BI$31</f>
        <v>2.9911770488819524E-2</v>
      </c>
      <c r="AG27" s="2"/>
      <c r="AH27">
        <v>4.4970766490999998E-4</v>
      </c>
      <c r="AI27">
        <v>0.872927963197903</v>
      </c>
      <c r="AJ27">
        <v>1.0083167722578199</v>
      </c>
      <c r="AK27">
        <v>3.9582724800859198E-4</v>
      </c>
      <c r="AM27">
        <v>3.6252229238999999E-3</v>
      </c>
      <c r="AN27">
        <v>1.4851117927611199</v>
      </c>
      <c r="AO27">
        <v>0.81721062956526602</v>
      </c>
      <c r="AP27">
        <v>0.76894567382000001</v>
      </c>
      <c r="AQ27">
        <v>1.1891941827141701</v>
      </c>
      <c r="AR27">
        <v>1.0064322529</v>
      </c>
      <c r="AS27">
        <v>4.0491218967494197E-3</v>
      </c>
      <c r="AU27">
        <v>6.6923291199E-3</v>
      </c>
      <c r="AV27">
        <v>1.19190817927959</v>
      </c>
      <c r="AW27">
        <v>1.11160772202116</v>
      </c>
      <c r="AX27">
        <v>1</v>
      </c>
      <c r="AY27">
        <v>1.15700393042498</v>
      </c>
      <c r="AZ27">
        <v>1.0564566479999999</v>
      </c>
      <c r="BA27">
        <v>1.0838224948085E-2</v>
      </c>
      <c r="BC27">
        <v>7.0457588603289904E-3</v>
      </c>
      <c r="BD27">
        <v>4.6898645652023703</v>
      </c>
      <c r="BE27">
        <v>0.69734611113330602</v>
      </c>
      <c r="BF27">
        <v>1.10548777326021</v>
      </c>
      <c r="BG27">
        <v>0.68556941308538699</v>
      </c>
      <c r="BH27">
        <v>0.87796129664567801</v>
      </c>
      <c r="BI27">
        <v>1</v>
      </c>
      <c r="BJ27">
        <v>1.5332649504071099E-2</v>
      </c>
      <c r="BL27">
        <v>3.0615823596914098E-2</v>
      </c>
    </row>
    <row r="28" spans="1:64" x14ac:dyDescent="0.25">
      <c r="A28" t="s">
        <v>51</v>
      </c>
      <c r="B28">
        <v>3546186</v>
      </c>
      <c r="C28">
        <v>2012</v>
      </c>
      <c r="D28">
        <v>4</v>
      </c>
      <c r="E28" s="1">
        <v>42461</v>
      </c>
      <c r="F28" t="s">
        <v>52</v>
      </c>
      <c r="G28">
        <v>1112105.03</v>
      </c>
      <c r="H28">
        <v>100</v>
      </c>
      <c r="I28">
        <v>0</v>
      </c>
      <c r="J28">
        <v>0</v>
      </c>
      <c r="K28">
        <v>100</v>
      </c>
      <c r="L28">
        <v>0</v>
      </c>
      <c r="M28">
        <v>141.94</v>
      </c>
      <c r="N28">
        <v>630.41</v>
      </c>
      <c r="O28">
        <v>41</v>
      </c>
      <c r="P28">
        <v>123780.43</v>
      </c>
      <c r="Q28">
        <v>75.77</v>
      </c>
      <c r="R28">
        <v>710</v>
      </c>
      <c r="S28">
        <v>4.25</v>
      </c>
      <c r="T28">
        <v>110.74</v>
      </c>
      <c r="U28">
        <v>110.74</v>
      </c>
      <c r="V28">
        <v>60.006370821071897</v>
      </c>
      <c r="W28">
        <v>0</v>
      </c>
      <c r="X28">
        <v>0.110055</v>
      </c>
      <c r="Z28">
        <f>$AH$31*$AI$31*$AJ$31+$AM$31*$AN$31*$AO$31*$AP$31*$AQ$31*AR28+$AU$31*$AV$31*$AW$31*$AX$31*$AY$31*$AZ$31+$BC$31*$BD$31*$BE$31*$BF$31*$BG$31*$BH$31*$BI$31</f>
        <v>3.0210506206292662E-2</v>
      </c>
      <c r="AA28">
        <f>$AH$31*$AI$31*$AJ$31+$AM$31*AN28*$AO$31*$AP$31*$AQ$31*$AR$31+$AU$31*$AV$31*$AW$31*AX28*$AY$31*$AZ$31+BC28*$BD$31*$BE$31*$BF$31*$BG$31*$BH$31*$BI$31</f>
        <v>3.3977067151052517E-2</v>
      </c>
      <c r="AB28">
        <f>$AH$31*$AI$31*$AJ$31+$AM$31*$AN$31*$AO$31*$AP$31*$AQ$31*$AR$31+$AU$31*$AV$31*$AW$31*$AX$31*$AY$31*$AZ$31+$BC$31*$BD$31*$BE$31*$BF$31*BG28*$BH$31*$BI$31</f>
        <v>3.0257637032084783E-2</v>
      </c>
      <c r="AC28">
        <f>AH28*$AI$31*$AJ$31+$AM$31*$AN$31*$AO$31*$AP$31*AQ28*$AR$31+$AU$31*AV28*$AW$31*$AX$31*$AY$31*$AZ$31+$BC$31*$BD$31*$BE$31*BF28*$BG$31*$BH$31*$BI$31</f>
        <v>2.9832366704119373E-2</v>
      </c>
      <c r="AD28">
        <f>$AH$31*$AI$31*$AJ$31+$AM$31*$AN$31*$AO$31*$AP$31*$AQ$31*$AR$31+$AU$31*$AV$31*$AW$31*$AX$31*$AY$31*$AZ$31+$BC$31*$BD$31*$BE$31*$BF$31*$BG$31*BH28*$BI$31</f>
        <v>2.9272708366539554E-2</v>
      </c>
      <c r="AE28">
        <f>$AH$31*$AI$31*AJ28+$AM$31*$AN$31*AO28*$AP$31*$AQ$31*$AR$31+$AU$31*$AV$31*$AW$31*$AX$31*AY28*$AZ$31+$BC$31*$BD$31*$BE$31*$BF$31*$BG$31*$BH$31*BI28</f>
        <v>3.0360667775269534E-2</v>
      </c>
      <c r="AF28">
        <f>$AH$31*AI28*$AJ$31+$AM$31*$AN$31*$AO$31*AP28*$AQ$31*$AR$31+$AU$31*$AV$31*$AW$31*$AX$31*$AY$31*$AZ$31+$BC$31*$BD$31*$BE$31*$BF$31*$BG$31*$BH$31*$BI$31</f>
        <v>2.9911297128539467E-2</v>
      </c>
      <c r="AH28">
        <v>4.4583637317000002E-4</v>
      </c>
      <c r="AI28">
        <v>0.872007151337018</v>
      </c>
      <c r="AJ28">
        <v>0.99438331997294305</v>
      </c>
      <c r="AK28">
        <v>3.8658889496239498E-4</v>
      </c>
      <c r="AM28">
        <v>3.6252229238999999E-3</v>
      </c>
      <c r="AN28">
        <v>1.4113673312886701</v>
      </c>
      <c r="AO28">
        <v>0.88697954843357596</v>
      </c>
      <c r="AP28">
        <v>0.76894567382000001</v>
      </c>
      <c r="AQ28">
        <v>1.188103652396</v>
      </c>
      <c r="AR28">
        <v>1.0064322529</v>
      </c>
      <c r="AS28">
        <v>4.1727553182238503E-3</v>
      </c>
      <c r="AU28">
        <v>6.6923291199E-3</v>
      </c>
      <c r="AV28">
        <v>1.1881527782277299</v>
      </c>
      <c r="AW28">
        <v>1.11160772202116</v>
      </c>
      <c r="AX28">
        <v>1</v>
      </c>
      <c r="AY28">
        <v>1.1275850392267801</v>
      </c>
      <c r="AZ28">
        <v>1.0564566479999999</v>
      </c>
      <c r="BA28">
        <v>1.05293635056219E-2</v>
      </c>
      <c r="BC28">
        <v>6.1219257489935402E-3</v>
      </c>
      <c r="BD28">
        <v>4.6898645652023703</v>
      </c>
      <c r="BE28">
        <v>0.69734611113330602</v>
      </c>
      <c r="BF28">
        <v>1.1053364606095499</v>
      </c>
      <c r="BG28">
        <v>0.79942967636824502</v>
      </c>
      <c r="BH28">
        <v>0.97281085775328502</v>
      </c>
      <c r="BI28">
        <v>1</v>
      </c>
      <c r="BJ28">
        <v>1.72107546545557E-2</v>
      </c>
      <c r="BL28">
        <v>3.2299462373363799E-2</v>
      </c>
    </row>
    <row r="29" spans="1:64" x14ac:dyDescent="0.25">
      <c r="A29" t="s">
        <v>51</v>
      </c>
      <c r="B29">
        <v>3548144</v>
      </c>
      <c r="C29">
        <v>2013</v>
      </c>
      <c r="D29">
        <v>4</v>
      </c>
      <c r="E29" s="1">
        <v>42461</v>
      </c>
      <c r="F29" t="s">
        <v>52</v>
      </c>
      <c r="G29">
        <v>1673568.13</v>
      </c>
      <c r="H29">
        <v>100</v>
      </c>
      <c r="I29">
        <v>0</v>
      </c>
      <c r="J29">
        <v>0</v>
      </c>
      <c r="K29">
        <v>81.48</v>
      </c>
      <c r="L29">
        <v>18.52</v>
      </c>
      <c r="M29">
        <v>105.8</v>
      </c>
      <c r="N29">
        <v>675.59</v>
      </c>
      <c r="O29">
        <v>40</v>
      </c>
      <c r="P29">
        <v>152403.68</v>
      </c>
      <c r="Q29">
        <v>72.25</v>
      </c>
      <c r="R29">
        <v>614</v>
      </c>
      <c r="S29">
        <v>4.25</v>
      </c>
      <c r="T29">
        <v>110.74</v>
      </c>
      <c r="U29">
        <v>110.74</v>
      </c>
      <c r="V29">
        <v>60.006370821071897</v>
      </c>
      <c r="W29">
        <v>0</v>
      </c>
      <c r="X29">
        <v>1.45E-4</v>
      </c>
      <c r="Z29">
        <f>$AH$31*$AI$31*$AJ$31+$AM$31*$AN$31*$AO$31*$AP$31*$AQ$31*AR29+$AU$31*$AV$31*$AW$31*$AX$31*$AY$31*$AZ$31+$BC$31*$BD$31*$BE$31*$BF$31*$BG$31*$BH$31*$BI$31</f>
        <v>3.0846518437968484E-2</v>
      </c>
      <c r="AA29">
        <f>$AH$31*$AI$31*$AJ$31+$AM$31*AN29*$AO$31*$AP$31*$AQ$31*$AR$31+$AU$31*$AV$31*$AW$31*AX29*$AY$31*$AZ$31+BC29*$BD$31*$BE$31*$BF$31*$BG$31*$BH$31*$BI$31</f>
        <v>2.9336798513854456E-2</v>
      </c>
      <c r="AB29">
        <f>$AH$31*$AI$31*$AJ$31+$AM$31*$AN$31*$AO$31*$AP$31*$AQ$31*$AR$31+$AU$31*$AV$31*$AW$31*$AX$31*$AY$31*$AZ$31+$BC$31*$BD$31*$BE$31*$BF$31*BG29*$BH$31*$BI$31</f>
        <v>2.9823778881354637E-2</v>
      </c>
      <c r="AC29">
        <f>AH29*$AI$31*$AJ$31+$AM$31*$AN$31*$AO$31*$AP$31*AQ29*$AR$31+$AU$31*AV29*$AW$31*$AX$31*$AY$31*$AZ$31+$BC$31*$BD$31*$BE$31*BF29*$BG$31*$BH$31*$BI$31</f>
        <v>2.9786259639912285E-2</v>
      </c>
      <c r="AD29">
        <f>$AH$31*$AI$31*$AJ$31+$AM$31*$AN$31*$AO$31*$AP$31*$AQ$31*$AR$31+$AU$31*$AV$31*$AW$31*$AX$31*$AY$31*$AZ$31+$BC$31*$BD$31*$BE$31*$BF$31*$BG$31*BH29*$BI$31</f>
        <v>3.0206989640455584E-2</v>
      </c>
      <c r="AE29">
        <f>$AH$31*$AI$31*AJ29+$AM$31*$AN$31*AO29*$AP$31*$AQ$31*$AR$31+$AU$31*$AV$31*$AW$31*$AX$31*AY29*$AZ$31+$BC$31*$BD$31*$BE$31*$BF$31*$BG$31*$BH$31*BI29</f>
        <v>3.0332292894723632E-2</v>
      </c>
      <c r="AF29">
        <f>$AH$31*AI29*$AJ$31+$AM$31*$AN$31*$AO$31*AP29*$AQ$31*$AR$31+$AU$31*$AV$31*$AW$31*$AX$31*$AY$31*$AZ$31+$BC$31*$BD$31*$BE$31*$BF$31*$BG$31*$BH$31*$BI$31</f>
        <v>3.2740304166464645E-2</v>
      </c>
      <c r="AH29">
        <v>4.4199773935000002E-4</v>
      </c>
      <c r="AI29">
        <v>0.84380860588686601</v>
      </c>
      <c r="AJ29">
        <v>1.00966475649314</v>
      </c>
      <c r="AK29">
        <v>3.7656607828860401E-4</v>
      </c>
      <c r="AM29">
        <v>3.6252229238999999E-3</v>
      </c>
      <c r="AN29">
        <v>1.25154494683249</v>
      </c>
      <c r="AO29">
        <v>0.81079233450565202</v>
      </c>
      <c r="AP29">
        <v>1.5044211244597301</v>
      </c>
      <c r="AQ29">
        <v>1.1868934122264101</v>
      </c>
      <c r="AR29">
        <v>1.2022820356614301</v>
      </c>
      <c r="AS29">
        <v>7.8972939419314908E-3</v>
      </c>
      <c r="AU29">
        <v>6.6923291199E-3</v>
      </c>
      <c r="AV29">
        <v>1.1841310958560001</v>
      </c>
      <c r="AW29">
        <v>1.11160772202116</v>
      </c>
      <c r="AX29">
        <v>1</v>
      </c>
      <c r="AY29">
        <v>1.1592136294394799</v>
      </c>
      <c r="AZ29">
        <v>1.0564566479999999</v>
      </c>
      <c r="BA29">
        <v>1.0788070874741601E-2</v>
      </c>
      <c r="BC29">
        <v>4.7202991736562403E-3</v>
      </c>
      <c r="BD29">
        <v>4.6898645652023703</v>
      </c>
      <c r="BE29">
        <v>0.69734611113330602</v>
      </c>
      <c r="BF29">
        <v>1.1051879842671499</v>
      </c>
      <c r="BG29">
        <v>0.77664846129524601</v>
      </c>
      <c r="BH29">
        <v>1.0366372759095801</v>
      </c>
      <c r="BI29">
        <v>1</v>
      </c>
      <c r="BJ29">
        <v>1.3736170468394499E-2</v>
      </c>
      <c r="BL29">
        <v>3.2798101363356098E-2</v>
      </c>
    </row>
    <row r="31" spans="1:64" x14ac:dyDescent="0.25">
      <c r="AH31">
        <f t="shared" ref="AH31:AK31" si="0">SUMPRODUCT($G$2:$G$29,AH2:AH29)/SUM($G$2:$G$29)</f>
        <v>5.0355739774169414E-4</v>
      </c>
      <c r="AI31">
        <f t="shared" si="0"/>
        <v>0.8793551177765252</v>
      </c>
      <c r="AJ31">
        <f t="shared" si="0"/>
        <v>1.0208734939443318</v>
      </c>
      <c r="AK31">
        <f t="shared" si="0"/>
        <v>4.5243540568093882E-4</v>
      </c>
      <c r="AM31">
        <f t="shared" ref="AM31:AS31" si="1">SUMPRODUCT($G$2:$G$29,AM2:AM29)/SUM($G$2:$G$29)</f>
        <v>3.625222923899999E-3</v>
      </c>
      <c r="AN31">
        <f t="shared" si="1"/>
        <v>1.1960989400131017</v>
      </c>
      <c r="AO31">
        <f t="shared" si="1"/>
        <v>0.73890481838480138</v>
      </c>
      <c r="AP31">
        <f t="shared" si="1"/>
        <v>0.84791907759263851</v>
      </c>
      <c r="AQ31">
        <f t="shared" si="1"/>
        <v>1.195357045029835</v>
      </c>
      <c r="AR31">
        <f t="shared" si="1"/>
        <v>1.009479596657008</v>
      </c>
      <c r="AS31">
        <f t="shared" si="1"/>
        <v>3.2949424198030139E-3</v>
      </c>
      <c r="AU31">
        <f t="shared" ref="AU31:BA31" si="2">SUMPRODUCT($G$2:$G$29,AU2:AU29)/SUM($G$2:$G$29)</f>
        <v>6.6923291199E-3</v>
      </c>
      <c r="AV31">
        <f t="shared" si="2"/>
        <v>1.2184228706820814</v>
      </c>
      <c r="AW31">
        <f t="shared" si="2"/>
        <v>1.1116077220211598</v>
      </c>
      <c r="AX31">
        <f t="shared" si="2"/>
        <v>1</v>
      </c>
      <c r="AY31">
        <f t="shared" si="2"/>
        <v>1.1803169814539713</v>
      </c>
      <c r="AZ31">
        <f t="shared" si="2"/>
        <v>1.0564566479999999</v>
      </c>
      <c r="BA31">
        <f t="shared" si="2"/>
        <v>1.1302324638257389E-2</v>
      </c>
      <c r="BC31">
        <f t="shared" ref="BC31:BL31" si="3">SUMPRODUCT($G$2:$G$29,BC2:BC29)/SUM($G$2:$G$29)</f>
        <v>5.0657062067731113E-3</v>
      </c>
      <c r="BD31">
        <f t="shared" si="3"/>
        <v>4.6898645652023685</v>
      </c>
      <c r="BE31">
        <f t="shared" si="3"/>
        <v>0.69734611113330591</v>
      </c>
      <c r="BF31">
        <f t="shared" si="3"/>
        <v>1.1079283154867763</v>
      </c>
      <c r="BG31">
        <f t="shared" si="3"/>
        <v>0.79747453866562201</v>
      </c>
      <c r="BH31">
        <f t="shared" si="3"/>
        <v>1.0375535760361307</v>
      </c>
      <c r="BI31">
        <f t="shared" si="3"/>
        <v>1</v>
      </c>
      <c r="BJ31">
        <f t="shared" si="3"/>
        <v>1.5086714353837155E-2</v>
      </c>
      <c r="BL31">
        <f t="shared" si="3"/>
        <v>3.0136416817578501E-2</v>
      </c>
    </row>
    <row r="32" spans="1:64" x14ac:dyDescent="0.25">
      <c r="Z32" s="3">
        <f>STDEV(Z2:Z29)</f>
        <v>1.845363582520906E-4</v>
      </c>
      <c r="AA32" s="3">
        <f>STDEV(AA2:AA29)</f>
        <v>2.8351273509463937E-3</v>
      </c>
      <c r="AB32" s="3">
        <f t="shared" ref="AB32:AF32" si="4">STDEV(AB2:AB29)</f>
        <v>1.4840815652186611E-3</v>
      </c>
      <c r="AC32" s="3">
        <f>STDEV(AC2:AC29)</f>
        <v>1.8890608099544364E-4</v>
      </c>
      <c r="AD32" s="3">
        <f t="shared" si="4"/>
        <v>1.4200364392353982E-3</v>
      </c>
      <c r="AE32" s="3">
        <f t="shared" si="4"/>
        <v>1.0376376163671678E-4</v>
      </c>
      <c r="AF32" s="3">
        <f t="shared" si="4"/>
        <v>7.91385829068275E-4</v>
      </c>
    </row>
    <row r="36" spans="25:28" x14ac:dyDescent="0.25">
      <c r="Y36" t="s">
        <v>53</v>
      </c>
      <c r="Z36" t="s">
        <v>54</v>
      </c>
      <c r="AA36" t="s">
        <v>55</v>
      </c>
    </row>
    <row r="37" spans="25:28" x14ac:dyDescent="0.25">
      <c r="Y37">
        <v>1</v>
      </c>
      <c r="Z37" t="s">
        <v>12</v>
      </c>
      <c r="AA37">
        <v>2.8351273509463937E-3</v>
      </c>
    </row>
    <row r="38" spans="25:28" x14ac:dyDescent="0.25">
      <c r="Y38">
        <v>2</v>
      </c>
      <c r="Z38" t="s">
        <v>13</v>
      </c>
      <c r="AA38">
        <v>1.4840815652186611E-3</v>
      </c>
      <c r="AB38">
        <f>CORREL($M$2:$M$29,N2:N29)</f>
        <v>0.64244543783465957</v>
      </c>
    </row>
    <row r="39" spans="25:28" x14ac:dyDescent="0.25">
      <c r="Y39">
        <v>3</v>
      </c>
      <c r="Z39" t="s">
        <v>15</v>
      </c>
      <c r="AA39">
        <v>1.4200364392353982E-3</v>
      </c>
      <c r="AB39">
        <f>CORREL($M$2:$M$29,P2:P29)</f>
        <v>-0.31671515199343953</v>
      </c>
    </row>
    <row r="40" spans="25:28" x14ac:dyDescent="0.25">
      <c r="Y40">
        <v>4</v>
      </c>
      <c r="Z40" t="s">
        <v>17</v>
      </c>
      <c r="AA40">
        <v>7.91385829068275E-4</v>
      </c>
      <c r="AB40">
        <f>CORREL($M$2:$M$29,R2:R29)</f>
        <v>-0.25910664615308021</v>
      </c>
    </row>
    <row r="41" spans="25:28" x14ac:dyDescent="0.25">
      <c r="Y41">
        <v>5</v>
      </c>
      <c r="Z41" t="s">
        <v>14</v>
      </c>
      <c r="AA41">
        <v>1.8890608099544364E-4</v>
      </c>
    </row>
    <row r="42" spans="25:28" x14ac:dyDescent="0.25">
      <c r="Y42">
        <v>6</v>
      </c>
      <c r="Z42" t="s">
        <v>11</v>
      </c>
      <c r="AA42">
        <v>1.845363582520906E-4</v>
      </c>
    </row>
    <row r="43" spans="25:28" x14ac:dyDescent="0.25">
      <c r="Y43">
        <v>7</v>
      </c>
      <c r="Z43" t="s">
        <v>16</v>
      </c>
      <c r="AA43">
        <v>1.0376376163671678E-4</v>
      </c>
    </row>
    <row r="50" spans="3:9" x14ac:dyDescent="0.25">
      <c r="C50" s="1"/>
    </row>
    <row r="55" spans="3:9" x14ac:dyDescent="0.25">
      <c r="D55" s="1"/>
      <c r="I55" s="4"/>
    </row>
    <row r="56" spans="3:9" x14ac:dyDescent="0.25">
      <c r="D56" s="1"/>
      <c r="I56" s="4"/>
    </row>
    <row r="57" spans="3:9" x14ac:dyDescent="0.25">
      <c r="D57" s="1"/>
      <c r="I57" s="4"/>
    </row>
    <row r="58" spans="3:9" x14ac:dyDescent="0.25">
      <c r="D58" s="1"/>
      <c r="I58" s="4"/>
    </row>
  </sheetData>
  <sortState ref="Z37:AA43">
    <sortCondition descending="1" ref="AA37:AA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ginnie_g1421_gs_pool_v1_out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Morris</dc:creator>
  <cp:lastModifiedBy>Robert Morris</cp:lastModifiedBy>
  <dcterms:created xsi:type="dcterms:W3CDTF">2016-06-01T19:05:35Z</dcterms:created>
  <dcterms:modified xsi:type="dcterms:W3CDTF">2016-06-02T20:44:24Z</dcterms:modified>
</cp:coreProperties>
</file>