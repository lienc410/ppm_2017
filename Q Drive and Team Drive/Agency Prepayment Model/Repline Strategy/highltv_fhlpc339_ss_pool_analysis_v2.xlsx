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cello-it-dev\trunk\Research\AgencyPrepayment\Baton\output\"/>
    </mc:Choice>
  </mc:AlternateContent>
  <bookViews>
    <workbookView xWindow="0" yWindow="0" windowWidth="38370" windowHeight="20190"/>
  </bookViews>
  <sheets>
    <sheet name="highltv_fhlpc339_ss_pool_v1_out" sheetId="1" r:id="rId1"/>
  </sheets>
  <calcPr calcId="0"/>
</workbook>
</file>

<file path=xl/calcChain.xml><?xml version="1.0" encoding="utf-8"?>
<calcChain xmlns="http://schemas.openxmlformats.org/spreadsheetml/2006/main">
  <c r="AH2" i="1" l="1"/>
  <c r="AH3" i="1"/>
  <c r="AH4" i="1"/>
  <c r="AH130" i="1" s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G2" i="1"/>
  <c r="AG3" i="1"/>
  <c r="AG4" i="1"/>
  <c r="AG130" i="1" s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D2" i="1"/>
  <c r="AE2" i="1"/>
  <c r="AE130" i="1" s="1"/>
  <c r="AD3" i="1"/>
  <c r="AE3" i="1"/>
  <c r="AD4" i="1"/>
  <c r="AD130" i="1" s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D82" i="1"/>
  <c r="AE82" i="1"/>
  <c r="AD83" i="1"/>
  <c r="AE83" i="1"/>
  <c r="AD84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D95" i="1"/>
  <c r="AE95" i="1"/>
  <c r="AD96" i="1"/>
  <c r="AE96" i="1"/>
  <c r="AD97" i="1"/>
  <c r="AE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D109" i="1"/>
  <c r="AE109" i="1"/>
  <c r="AD110" i="1"/>
  <c r="AE110" i="1"/>
  <c r="AD111" i="1"/>
  <c r="AE111" i="1"/>
  <c r="AD112" i="1"/>
  <c r="AE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E127" i="1"/>
  <c r="AD127" i="1"/>
  <c r="AC127" i="1"/>
  <c r="AC2" i="1"/>
  <c r="AC3" i="1"/>
  <c r="AC4" i="1"/>
  <c r="AC5" i="1"/>
  <c r="AC130" i="1" s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2" i="1"/>
  <c r="AB3" i="1"/>
  <c r="AB4" i="1"/>
  <c r="AB5" i="1"/>
  <c r="AB6" i="1"/>
  <c r="AB7" i="1"/>
  <c r="AB8" i="1"/>
  <c r="AB9" i="1"/>
  <c r="AB10" i="1"/>
  <c r="BS130" i="1"/>
  <c r="AA130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F13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BS129" i="1"/>
  <c r="BQ129" i="1"/>
  <c r="BP129" i="1"/>
  <c r="BO129" i="1"/>
  <c r="BN129" i="1"/>
  <c r="BM129" i="1"/>
  <c r="BL129" i="1"/>
  <c r="BK129" i="1"/>
  <c r="BJ129" i="1"/>
  <c r="BH129" i="1"/>
  <c r="BG129" i="1"/>
  <c r="BF129" i="1"/>
  <c r="BE129" i="1"/>
  <c r="BD129" i="1"/>
  <c r="BC129" i="1"/>
  <c r="BB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M129" i="1"/>
  <c r="AL129" i="1"/>
  <c r="AK129" i="1"/>
  <c r="AJ129" i="1"/>
  <c r="AB130" i="1" l="1"/>
</calcChain>
</file>

<file path=xl/sharedStrings.xml><?xml version="1.0" encoding="utf-8"?>
<sst xmlns="http://schemas.openxmlformats.org/spreadsheetml/2006/main" count="454" uniqueCount="63">
  <si>
    <t>ybName</t>
  </si>
  <si>
    <t>issueId</t>
  </si>
  <si>
    <t>marketTicket</t>
  </si>
  <si>
    <t>vintage</t>
  </si>
  <si>
    <t>origCoupon</t>
  </si>
  <si>
    <t>asOfDate</t>
  </si>
  <si>
    <t>monthBucket</t>
  </si>
  <si>
    <t>schambal</t>
  </si>
  <si>
    <t>pct_owner</t>
  </si>
  <si>
    <t>pct_2nd</t>
  </si>
  <si>
    <t>pct_inv</t>
  </si>
  <si>
    <t>pct_CURRENT</t>
  </si>
  <si>
    <t>pct_DELQ</t>
  </si>
  <si>
    <t>incentive</t>
  </si>
  <si>
    <t>burnout</t>
  </si>
  <si>
    <t>wala</t>
  </si>
  <si>
    <t>wacls</t>
  </si>
  <si>
    <t>cltv</t>
  </si>
  <si>
    <t>fico</t>
  </si>
  <si>
    <t>wac</t>
  </si>
  <si>
    <t>hpa2yr</t>
  </si>
  <si>
    <t>credit_availability</t>
  </si>
  <si>
    <t>media_refi</t>
  </si>
  <si>
    <t>mdr</t>
  </si>
  <si>
    <t>smm</t>
  </si>
  <si>
    <t>curtail_base_smm</t>
  </si>
  <si>
    <t>curtail_fico_mult</t>
  </si>
  <si>
    <t>curtail_cltv_mult</t>
  </si>
  <si>
    <t>curtail_smm</t>
  </si>
  <si>
    <t>default_base_mdr</t>
  </si>
  <si>
    <t>pct_curr</t>
  </si>
  <si>
    <t>pct_delq</t>
  </si>
  <si>
    <t>default_cltv_mult</t>
  </si>
  <si>
    <t>default_fico_mult</t>
  </si>
  <si>
    <t>default_wala_mult</t>
  </si>
  <si>
    <t>default_occupancy_mult</t>
  </si>
  <si>
    <t>delq_cltv_mult</t>
  </si>
  <si>
    <t>delq_fico_mult</t>
  </si>
  <si>
    <t>delq_wala_mult</t>
  </si>
  <si>
    <t>delq_occupancy_mult</t>
  </si>
  <si>
    <t>default_mdr</t>
  </si>
  <si>
    <t>turnover_base_smm</t>
  </si>
  <si>
    <t>turnover_wala_mult</t>
  </si>
  <si>
    <t>turnover_hpa_mult</t>
  </si>
  <si>
    <t>turnover_incentive_mult</t>
  </si>
  <si>
    <t>turnover_cltv_mult</t>
  </si>
  <si>
    <t>turnover_seasonality_mult</t>
  </si>
  <si>
    <t>turnover_smm</t>
  </si>
  <si>
    <t>refi_base_smm</t>
  </si>
  <si>
    <t>refi_media_mult</t>
  </si>
  <si>
    <t>refi_credit_mult</t>
  </si>
  <si>
    <t>refi_wala_mult</t>
  </si>
  <si>
    <t>refi_burnout_mult</t>
  </si>
  <si>
    <t>refi_wacls_mult</t>
  </si>
  <si>
    <t>refi_cltv_mult</t>
  </si>
  <si>
    <t>refi_smm</t>
  </si>
  <si>
    <t>smm_total</t>
  </si>
  <si>
    <t>FHL.PC.339(S5)</t>
  </si>
  <si>
    <t>FGU9</t>
  </si>
  <si>
    <t>Apr</t>
  </si>
  <si>
    <t>Rank</t>
  </si>
  <si>
    <t>Variable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</si>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</sst>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140625" bestFit="1" customWidth="1"/>
    <col min="2" max="2" width="8" bestFit="1" customWidth="1"/>
    <col min="3" max="3" width="12.5703125" bestFit="1" customWidth="1"/>
    <col min="4" max="4" width="7.5703125" bestFit="1" customWidth="1"/>
    <col min="5" max="5" width="11.28515625" bestFit="1" customWidth="1"/>
    <col min="7" max="7" width="12.85546875" bestFit="1" customWidth="1"/>
    <col min="8" max="8" width="12" bestFit="1" customWidth="1"/>
    <col min="9" max="9" width="10.42578125" bestFit="1" customWidth="1"/>
    <col min="10" max="10" width="8" bestFit="1" customWidth="1"/>
    <col min="11" max="11" width="7.42578125" bestFit="1" customWidth="1"/>
    <col min="12" max="12" width="12.85546875" bestFit="1" customWidth="1"/>
    <col min="13" max="14" width="9.28515625" bestFit="1" customWidth="1"/>
    <col min="15" max="15" width="10" bestFit="1" customWidth="1"/>
    <col min="16" max="16" width="5.140625" bestFit="1" customWidth="1"/>
    <col min="17" max="17" width="10" bestFit="1" customWidth="1"/>
    <col min="18" max="18" width="7" bestFit="1" customWidth="1"/>
    <col min="19" max="19" width="4.28515625" bestFit="1" customWidth="1"/>
    <col min="20" max="20" width="6" bestFit="1" customWidth="1"/>
    <col min="21" max="21" width="7" bestFit="1" customWidth="1"/>
    <col min="22" max="22" width="17" bestFit="1" customWidth="1"/>
    <col min="23" max="23" width="12" bestFit="1" customWidth="1"/>
    <col min="24" max="25" width="9" bestFit="1" customWidth="1"/>
    <col min="26" max="26" width="9" customWidth="1"/>
    <col min="27" max="27" width="10.42578125" bestFit="1" customWidth="1"/>
    <col min="28" max="28" width="9.28515625" bestFit="1" customWidth="1"/>
    <col min="29" max="35" width="9" customWidth="1"/>
    <col min="36" max="36" width="17.28515625" bestFit="1" customWidth="1"/>
    <col min="37" max="37" width="16.140625" bestFit="1" customWidth="1"/>
    <col min="38" max="38" width="16" bestFit="1" customWidth="1"/>
    <col min="39" max="39" width="12" bestFit="1" customWidth="1"/>
    <col min="40" max="40" width="12" customWidth="1"/>
    <col min="41" max="41" width="17.42578125" bestFit="1" customWidth="1"/>
    <col min="42" max="42" width="8.140625" bestFit="1" customWidth="1"/>
    <col min="43" max="43" width="8.7109375" bestFit="1" customWidth="1"/>
    <col min="44" max="44" width="16.85546875" bestFit="1" customWidth="1"/>
    <col min="45" max="45" width="17" bestFit="1" customWidth="1"/>
    <col min="46" max="46" width="18" bestFit="1" customWidth="1"/>
    <col min="47" max="47" width="23.140625" bestFit="1" customWidth="1"/>
    <col min="48" max="48" width="14.42578125" bestFit="1" customWidth="1"/>
    <col min="49" max="49" width="14.5703125" bestFit="1" customWidth="1"/>
    <col min="50" max="50" width="15.42578125" bestFit="1" customWidth="1"/>
    <col min="51" max="51" width="20.5703125" bestFit="1" customWidth="1"/>
    <col min="52" max="52" width="12" bestFit="1" customWidth="1"/>
    <col min="53" max="53" width="12" customWidth="1"/>
    <col min="54" max="54" width="19.42578125" bestFit="1" customWidth="1"/>
    <col min="55" max="55" width="19.28515625" bestFit="1" customWidth="1"/>
    <col min="56" max="56" width="18.42578125" bestFit="1" customWidth="1"/>
    <col min="57" max="57" width="23.5703125" bestFit="1" customWidth="1"/>
    <col min="58" max="58" width="18.28515625" bestFit="1" customWidth="1"/>
    <col min="59" max="59" width="25.28515625" bestFit="1" customWidth="1"/>
    <col min="60" max="60" width="14.140625" bestFit="1" customWidth="1"/>
    <col min="61" max="61" width="14.140625" customWidth="1"/>
    <col min="62" max="62" width="14.7109375" bestFit="1" customWidth="1"/>
    <col min="63" max="63" width="16" bestFit="1" customWidth="1"/>
    <col min="64" max="64" width="15.5703125" bestFit="1" customWidth="1"/>
    <col min="65" max="65" width="14.5703125" bestFit="1" customWidth="1"/>
    <col min="66" max="66" width="17.7109375" bestFit="1" customWidth="1"/>
    <col min="67" max="67" width="15.28515625" bestFit="1" customWidth="1"/>
    <col min="68" max="68" width="13.5703125" bestFit="1" customWidth="1"/>
    <col min="69" max="69" width="12" bestFit="1" customWidth="1"/>
    <col min="70" max="70" width="12" customWidth="1"/>
    <col min="71" max="71" width="12" bestFit="1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t="s">
        <v>8</v>
      </c>
      <c r="AB1" t="s">
        <v>12</v>
      </c>
      <c r="AC1" t="s">
        <v>13</v>
      </c>
      <c r="AD1" t="s">
        <v>14</v>
      </c>
      <c r="AE1" t="s">
        <v>15</v>
      </c>
      <c r="AF1" t="s">
        <v>16</v>
      </c>
      <c r="AG1" t="s">
        <v>17</v>
      </c>
      <c r="AH1" t="s">
        <v>18</v>
      </c>
      <c r="AJ1" t="s">
        <v>25</v>
      </c>
      <c r="AK1" t="s">
        <v>26</v>
      </c>
      <c r="AL1" t="s">
        <v>27</v>
      </c>
      <c r="AM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S1" t="s">
        <v>56</v>
      </c>
    </row>
    <row r="2" spans="1:71" x14ac:dyDescent="0.25">
      <c r="A2" t="s">
        <v>57</v>
      </c>
      <c r="B2">
        <v>1599747</v>
      </c>
      <c r="C2" t="s">
        <v>58</v>
      </c>
      <c r="D2">
        <v>2012</v>
      </c>
      <c r="E2">
        <v>4.5</v>
      </c>
      <c r="F2" s="1">
        <v>42461</v>
      </c>
      <c r="G2" t="s">
        <v>59</v>
      </c>
      <c r="H2">
        <v>10601140.84</v>
      </c>
      <c r="I2">
        <v>82.36</v>
      </c>
      <c r="J2">
        <v>1.63</v>
      </c>
      <c r="K2">
        <v>16.010000000000002</v>
      </c>
      <c r="L2">
        <v>100</v>
      </c>
      <c r="M2">
        <v>0</v>
      </c>
      <c r="N2">
        <v>-56.47</v>
      </c>
      <c r="O2">
        <v>1069.0889</v>
      </c>
      <c r="P2">
        <v>45</v>
      </c>
      <c r="Q2">
        <v>225925.43</v>
      </c>
      <c r="R2">
        <v>107.97</v>
      </c>
      <c r="S2">
        <v>753</v>
      </c>
      <c r="T2">
        <v>4.8010000000000002</v>
      </c>
      <c r="U2">
        <v>110.97</v>
      </c>
      <c r="V2">
        <v>110.97</v>
      </c>
      <c r="W2">
        <v>60.006370821071897</v>
      </c>
      <c r="X2">
        <v>0</v>
      </c>
      <c r="Y2">
        <v>1.25E-4</v>
      </c>
      <c r="AA2">
        <f t="shared" ref="AA2:AA65" si="0">$AJ$129*$AK$129*$AL$129+1.5*$AO$129*$AP$129/100*$AR$129*$AS$129*$AT$129*AU2+$AO$129*$AQ$129/100*$AV$129*$AW$129*$AX$129*$AY$129+$BB$129*$BC$129*$BD$129*$BE$129*$BF$129*$BG$129+$BJ$129*$BK$129*$BL$129*$BM$129*$BN$129*$BO$129*$BP$129</f>
        <v>1.4301631165227653E-2</v>
      </c>
      <c r="AB2">
        <f t="shared" ref="AB2:AB65" si="1">$AJ$129*$AK$129*$AL$129+1.5*$AO$129*$AP$127/100*$AR$129*$AS$129*$AT$129*$AU$129+$AO$129*$AQ$127/100*$AV$129*$AW$129*$AX$129*$AY$129+$BB$129*$BC$129*$BD$129*$BE$129*$BF$129*$BG$129+$BJ$129*$BK$129*$BL$129*$BM$129*$BN$129*$BO$129*$BP$129</f>
        <v>1.5234667945004167E-2</v>
      </c>
      <c r="AC2">
        <f t="shared" ref="AC2:AC65" si="2">$AJ$129*$AK$129*$AL$129+1.5*$AO$129*$AP$129/100*$AR$129*$AS$129*$AT$129*$AU$129+$AO$129*$AQ$129/100*$AV$129*$AW$129*$AX$129*$AY$129+$BB$129*$BC$129*$BD$129*BE2*$BF$129*$BG$129+BJ2*$BK$129*$BL$129*$BM$129*$BN$129*$BO$129*$BP$129</f>
        <v>1.4758300175007727E-2</v>
      </c>
      <c r="AD2">
        <f t="shared" ref="AD2:AD65" si="3">$AJ$129*$AK$129*$AL$129+1.5*$AO$129*$AP$129/100*$AR$129*$AS$129*$AT$129*$AU$129+$AO$129*$AQ$129/100*$AV$129*$AW$129*$AX$129*$AY$129+$BB$129*$BC$129*$BD$129*$BE$129*$BF$129*$BG$129+$BJ$129*$BK$129*$BL$129*$BM$129*BN2*$BO$129*$BP$129</f>
        <v>1.4963407587613912E-2</v>
      </c>
      <c r="AE2">
        <f t="shared" ref="AE2:AE65" si="4">AJ2*$AK$129*$AL$129+1.5*$AO$129*$AP$129/100*$AR$129*$AS$129*AT2*$AU$129+$AO$129*$AQ$129/100*$AV$129*$AW$129*AX2*$AY$129+$BB$129*BC2*$BD$129*$BE$129*$BF$129*$BG$129+$BJ$129*$BK$129*$BL$129*BM2*$BN$129*$BO$129*$BP$129</f>
        <v>2.4710973858506947E-2</v>
      </c>
      <c r="AF2">
        <f t="shared" ref="AF2:AF65" si="5">$AJ$129*$AK$129*$AL$129+1.5*$AO$129*$AP$129/100*$AR$129*$AS$129*$AT$129*$AU$129+$AO$129*$AQ$129/100*$AV$129*$AW$129*$AX$129*$AY$129+$BB$129*$BC$129*$BD$129*$BE$129*$BF$129*$BG$129+$BJ$129*$BK$129*$BL$129*$BM$129*$BN$129*BO2*$BP$129</f>
        <v>1.5002197889161623E-2</v>
      </c>
      <c r="AG2">
        <f t="shared" ref="AG2:AG65" si="6">$AJ$129*$AK$129*AL2+1.5*$AO$129*$AP$129/100*AR2*$AS$129*$AT$129*$AU$129+$AO$129*$AQ$129/100*AV2*$AW$129*$AX$129*$AY$129+$BB$129*$BC$129*$BD$129*$BE$129*BF2*$BG$129+$BJ$129*$BK$129*$BL$129*$BM$129*$BN$129*$BO$129*BP2</f>
        <v>1.2773738616271476E-2</v>
      </c>
      <c r="AH2">
        <f t="shared" ref="AH2:AH65" si="7">$AJ$129*AK2*$AL$129+1.5*$AO$129*$AP$129/100*$AR$129*AS2*$AT$129*$AU$129+$AO$129*$AQ$129/100*$AV$129*AW2*$AX$129*$AY$129+$BB$129*$BC$129*$BD$129*$BE$129*$BF$129*$BG$129+$BJ$129*$BK$129*$BL$129*$BM$129*$BN$129*$BO$129*$BP$129</f>
        <v>7.3551203326476782E-3</v>
      </c>
      <c r="AJ2">
        <v>4.6144830721E-4</v>
      </c>
      <c r="AK2">
        <v>1.0354804482220901</v>
      </c>
      <c r="AL2">
        <v>0.89337658710760304</v>
      </c>
      <c r="AM2">
        <v>4.26873826198511E-4</v>
      </c>
      <c r="AO2">
        <v>1.1492924691999999E-3</v>
      </c>
      <c r="AP2">
        <v>100</v>
      </c>
      <c r="AQ2">
        <v>0</v>
      </c>
      <c r="AR2">
        <v>4.7973900418247899</v>
      </c>
      <c r="AS2">
        <v>0.51808140563045202</v>
      </c>
      <c r="AT2">
        <v>1.3667511906204399</v>
      </c>
      <c r="AU2">
        <v>1.0347549326754599</v>
      </c>
      <c r="AV2">
        <v>2.8154960730087599</v>
      </c>
      <c r="AW2">
        <v>0.73037267564197195</v>
      </c>
      <c r="AX2">
        <v>1.2820624464533901</v>
      </c>
      <c r="AY2">
        <v>1.0093102861781</v>
      </c>
      <c r="AZ2">
        <v>6.0597097261225101E-3</v>
      </c>
      <c r="BB2">
        <v>5.0294603598999999E-3</v>
      </c>
      <c r="BC2">
        <v>1.2718368252700001</v>
      </c>
      <c r="BD2">
        <v>0.98140197517581296</v>
      </c>
      <c r="BE2">
        <v>0.95445463835833699</v>
      </c>
      <c r="BF2">
        <v>0.341724407556945</v>
      </c>
      <c r="BG2">
        <v>1.0564566479999999</v>
      </c>
      <c r="BH2">
        <v>2.1631303227190699E-3</v>
      </c>
      <c r="BJ2">
        <v>4.10245595593978E-4</v>
      </c>
      <c r="BK2">
        <v>5.1633231645166404</v>
      </c>
      <c r="BL2">
        <v>0.59521760730442497</v>
      </c>
      <c r="BM2">
        <v>1.00244290959955</v>
      </c>
      <c r="BN2">
        <v>0.80328531533278003</v>
      </c>
      <c r="BO2">
        <v>1.1382463449046201</v>
      </c>
      <c r="BP2">
        <v>0.59015236623796996</v>
      </c>
      <c r="BQ2">
        <v>6.8199139963734498E-4</v>
      </c>
      <c r="BS2">
        <v>9.3317052746774293E-3</v>
      </c>
    </row>
    <row r="3" spans="1:71" x14ac:dyDescent="0.25">
      <c r="A3" t="s">
        <v>57</v>
      </c>
      <c r="B3">
        <v>1600156</v>
      </c>
      <c r="C3" t="s">
        <v>58</v>
      </c>
      <c r="D3">
        <v>2012</v>
      </c>
      <c r="E3">
        <v>4.5</v>
      </c>
      <c r="F3" s="1">
        <v>42461</v>
      </c>
      <c r="G3" t="s">
        <v>59</v>
      </c>
      <c r="H3">
        <v>2146958.96</v>
      </c>
      <c r="I3">
        <v>79.47</v>
      </c>
      <c r="J3">
        <v>9.1999999999999993</v>
      </c>
      <c r="K3">
        <v>11.33</v>
      </c>
      <c r="L3">
        <v>100</v>
      </c>
      <c r="M3">
        <v>0</v>
      </c>
      <c r="N3">
        <v>-47.3</v>
      </c>
      <c r="O3">
        <v>1099.7070000000001</v>
      </c>
      <c r="P3">
        <v>45</v>
      </c>
      <c r="Q3">
        <v>239013.9</v>
      </c>
      <c r="R3">
        <v>114.69</v>
      </c>
      <c r="S3">
        <v>744</v>
      </c>
      <c r="T3">
        <v>4.8259999999999996</v>
      </c>
      <c r="U3">
        <v>110.97</v>
      </c>
      <c r="V3">
        <v>110.97</v>
      </c>
      <c r="W3">
        <v>60.006370821071897</v>
      </c>
      <c r="X3">
        <v>0</v>
      </c>
      <c r="Y3">
        <v>2.6499999999999999E-4</v>
      </c>
      <c r="AA3">
        <f t="shared" si="0"/>
        <v>1.4450977642303953E-2</v>
      </c>
      <c r="AB3">
        <f t="shared" si="1"/>
        <v>1.5234667945004167E-2</v>
      </c>
      <c r="AC3">
        <f t="shared" si="2"/>
        <v>1.4790642561424202E-2</v>
      </c>
      <c r="AD3">
        <f t="shared" si="3"/>
        <v>1.4960876101160505E-2</v>
      </c>
      <c r="AE3">
        <f t="shared" si="4"/>
        <v>2.4710973858506947E-2</v>
      </c>
      <c r="AF3">
        <f t="shared" si="5"/>
        <v>1.5002459553591745E-2</v>
      </c>
      <c r="AG3">
        <f t="shared" si="6"/>
        <v>1.2397400012191509E-2</v>
      </c>
      <c r="AH3">
        <f t="shared" si="7"/>
        <v>8.6105353519559322E-3</v>
      </c>
      <c r="AJ3">
        <v>4.6144830721E-4</v>
      </c>
      <c r="AK3">
        <v>0.97754118722837402</v>
      </c>
      <c r="AL3">
        <v>0.88197884711391294</v>
      </c>
      <c r="AM3">
        <v>3.97847186653959E-4</v>
      </c>
      <c r="AO3">
        <v>1.1492924691999999E-3</v>
      </c>
      <c r="AP3">
        <v>100</v>
      </c>
      <c r="AQ3">
        <v>0</v>
      </c>
      <c r="AR3">
        <v>5.85143865918013</v>
      </c>
      <c r="AS3">
        <v>0.62340825512745501</v>
      </c>
      <c r="AT3">
        <v>1.3667511906204399</v>
      </c>
      <c r="AU3">
        <v>1.04643851093258</v>
      </c>
      <c r="AV3">
        <v>3.19711076720561</v>
      </c>
      <c r="AW3">
        <v>0.76853290461401003</v>
      </c>
      <c r="AX3">
        <v>1.2820624464533901</v>
      </c>
      <c r="AY3">
        <v>1.0123704862793601</v>
      </c>
      <c r="AZ3">
        <v>8.9941515400412692E-3</v>
      </c>
      <c r="BB3">
        <v>5.0294603598999999E-3</v>
      </c>
      <c r="BC3">
        <v>1.2718368252700001</v>
      </c>
      <c r="BD3">
        <v>0.98140197517581296</v>
      </c>
      <c r="BE3">
        <v>1.02388018655723</v>
      </c>
      <c r="BF3">
        <v>0.14677873431614699</v>
      </c>
      <c r="BG3">
        <v>1.0564566479999999</v>
      </c>
      <c r="BH3">
        <v>9.9669819217397797E-4</v>
      </c>
      <c r="BJ3">
        <v>4.43357483320279E-4</v>
      </c>
      <c r="BK3">
        <v>5.1633231645166404</v>
      </c>
      <c r="BL3">
        <v>0.59521760730442497</v>
      </c>
      <c r="BM3">
        <v>1.00244290959955</v>
      </c>
      <c r="BN3">
        <v>0.79686991272458996</v>
      </c>
      <c r="BO3">
        <v>1.13908352805091</v>
      </c>
      <c r="BP3">
        <v>0.35285932214350602</v>
      </c>
      <c r="BQ3">
        <v>4.3748520022892501E-4</v>
      </c>
      <c r="BS3">
        <v>1.08261821190981E-2</v>
      </c>
    </row>
    <row r="4" spans="1:71" x14ac:dyDescent="0.25">
      <c r="A4" t="s">
        <v>57</v>
      </c>
      <c r="B4">
        <v>1600167</v>
      </c>
      <c r="C4" t="s">
        <v>58</v>
      </c>
      <c r="D4">
        <v>2012</v>
      </c>
      <c r="E4">
        <v>4.5</v>
      </c>
      <c r="F4" s="1">
        <v>42461</v>
      </c>
      <c r="G4" t="s">
        <v>59</v>
      </c>
      <c r="H4">
        <v>846811</v>
      </c>
      <c r="I4">
        <v>86.13</v>
      </c>
      <c r="J4">
        <v>0</v>
      </c>
      <c r="K4">
        <v>13.87</v>
      </c>
      <c r="L4">
        <v>100</v>
      </c>
      <c r="M4">
        <v>0</v>
      </c>
      <c r="N4">
        <v>-58.57</v>
      </c>
      <c r="O4">
        <v>1026.0061000000001</v>
      </c>
      <c r="P4">
        <v>45</v>
      </c>
      <c r="Q4">
        <v>169657.89</v>
      </c>
      <c r="R4">
        <v>104.99</v>
      </c>
      <c r="S4">
        <v>749</v>
      </c>
      <c r="T4">
        <v>4.75</v>
      </c>
      <c r="U4">
        <v>110.97</v>
      </c>
      <c r="V4">
        <v>110.97</v>
      </c>
      <c r="W4">
        <v>60.006370821071897</v>
      </c>
      <c r="X4">
        <v>0</v>
      </c>
      <c r="Y4" s="2">
        <v>5.5999999999999999E-5</v>
      </c>
      <c r="Z4" s="2"/>
      <c r="AA4">
        <f t="shared" si="0"/>
        <v>1.4106808944266656E-2</v>
      </c>
      <c r="AB4">
        <f t="shared" si="1"/>
        <v>1.5234667945004167E-2</v>
      </c>
      <c r="AC4">
        <f t="shared" si="2"/>
        <v>1.4751538723331776E-2</v>
      </c>
      <c r="AD4">
        <f t="shared" si="3"/>
        <v>1.4967002498037415E-2</v>
      </c>
      <c r="AE4">
        <f t="shared" si="4"/>
        <v>2.4710973858506947E-2</v>
      </c>
      <c r="AF4">
        <f t="shared" si="5"/>
        <v>1.4997298105110085E-2</v>
      </c>
      <c r="AG4">
        <f t="shared" si="6"/>
        <v>1.2796622687215342E-2</v>
      </c>
      <c r="AH4">
        <f t="shared" si="7"/>
        <v>7.8927633093482646E-3</v>
      </c>
      <c r="AI4" s="2"/>
      <c r="AJ4">
        <v>4.6144830721E-4</v>
      </c>
      <c r="AK4">
        <v>1.00761997453952</v>
      </c>
      <c r="AL4">
        <v>0.89942848675908105</v>
      </c>
      <c r="AM4">
        <v>4.18202345019675E-4</v>
      </c>
      <c r="AO4">
        <v>1.1492924691999999E-3</v>
      </c>
      <c r="AP4">
        <v>100</v>
      </c>
      <c r="AQ4">
        <v>0</v>
      </c>
      <c r="AR4">
        <v>4.2214038825170999</v>
      </c>
      <c r="AS4">
        <v>0.56327142857447199</v>
      </c>
      <c r="AT4">
        <v>1.3667511906204399</v>
      </c>
      <c r="AU4">
        <v>1.0195137250528601</v>
      </c>
      <c r="AV4">
        <v>2.61706196724943</v>
      </c>
      <c r="AW4">
        <v>0.74716432529127796</v>
      </c>
      <c r="AX4">
        <v>1.2820624464533901</v>
      </c>
      <c r="AY4">
        <v>1.00531826044048</v>
      </c>
      <c r="AZ4">
        <v>5.71187882556215E-3</v>
      </c>
      <c r="BB4">
        <v>5.0294603598999999E-3</v>
      </c>
      <c r="BC4">
        <v>1.2718368252700001</v>
      </c>
      <c r="BD4">
        <v>0.98140197517581296</v>
      </c>
      <c r="BE4">
        <v>0.94006169851285004</v>
      </c>
      <c r="BF4">
        <v>0.4385141145482</v>
      </c>
      <c r="BG4">
        <v>1.0564566479999999</v>
      </c>
      <c r="BH4">
        <v>2.73395478747414E-3</v>
      </c>
      <c r="BJ4">
        <v>4.0326036764013601E-4</v>
      </c>
      <c r="BK4">
        <v>5.1633231645166404</v>
      </c>
      <c r="BL4">
        <v>0.59521760730442497</v>
      </c>
      <c r="BM4">
        <v>1.00244290959955</v>
      </c>
      <c r="BN4">
        <v>0.81239569302257697</v>
      </c>
      <c r="BO4">
        <v>1.1225697142426301</v>
      </c>
      <c r="BP4">
        <v>0.67502198287510895</v>
      </c>
      <c r="BQ4">
        <v>7.6480218041969803E-4</v>
      </c>
      <c r="BS4">
        <v>9.6288381384756708E-3</v>
      </c>
    </row>
    <row r="5" spans="1:71" x14ac:dyDescent="0.25">
      <c r="A5" t="s">
        <v>57</v>
      </c>
      <c r="B5">
        <v>1600169</v>
      </c>
      <c r="C5" t="s">
        <v>58</v>
      </c>
      <c r="D5">
        <v>2012</v>
      </c>
      <c r="E5">
        <v>4.5</v>
      </c>
      <c r="F5" s="1">
        <v>42461</v>
      </c>
      <c r="G5" t="s">
        <v>59</v>
      </c>
      <c r="H5">
        <v>4950276.1500000004</v>
      </c>
      <c r="I5">
        <v>82.02</v>
      </c>
      <c r="J5">
        <v>8.34</v>
      </c>
      <c r="K5">
        <v>9.64</v>
      </c>
      <c r="L5">
        <v>100</v>
      </c>
      <c r="M5">
        <v>0</v>
      </c>
      <c r="N5">
        <v>-51.22</v>
      </c>
      <c r="O5">
        <v>1008.6146</v>
      </c>
      <c r="P5">
        <v>44</v>
      </c>
      <c r="Q5">
        <v>225376.9</v>
      </c>
      <c r="R5">
        <v>106.88</v>
      </c>
      <c r="S5">
        <v>755</v>
      </c>
      <c r="T5">
        <v>4.7629999999999999</v>
      </c>
      <c r="U5">
        <v>110.97</v>
      </c>
      <c r="V5">
        <v>110.97</v>
      </c>
      <c r="W5">
        <v>60.006370821071897</v>
      </c>
      <c r="X5">
        <v>0</v>
      </c>
      <c r="Y5">
        <v>1.1819E-2</v>
      </c>
      <c r="AA5">
        <f t="shared" si="0"/>
        <v>1.4319201339001403E-2</v>
      </c>
      <c r="AB5">
        <f t="shared" si="1"/>
        <v>1.5234667945004167E-2</v>
      </c>
      <c r="AC5">
        <f t="shared" si="2"/>
        <v>1.4776231464970388E-2</v>
      </c>
      <c r="AD5">
        <f t="shared" si="3"/>
        <v>1.4968464721345633E-2</v>
      </c>
      <c r="AE5">
        <f t="shared" si="4"/>
        <v>2.4318398021886664E-2</v>
      </c>
      <c r="AF5">
        <f t="shared" si="5"/>
        <v>1.500218846647689E-2</v>
      </c>
      <c r="AG5">
        <f t="shared" si="6"/>
        <v>1.2981463849986946E-2</v>
      </c>
      <c r="AH5">
        <f t="shared" si="7"/>
        <v>7.0992557584035505E-3</v>
      </c>
      <c r="AJ5">
        <v>4.5752054996999999E-4</v>
      </c>
      <c r="AK5">
        <v>1.05108750087313</v>
      </c>
      <c r="AL5">
        <v>0.89474094442186203</v>
      </c>
      <c r="AM5">
        <v>4.3027566935487999E-4</v>
      </c>
      <c r="AO5">
        <v>1.1492924691999999E-3</v>
      </c>
      <c r="AP5">
        <v>100</v>
      </c>
      <c r="AQ5">
        <v>0</v>
      </c>
      <c r="AR5">
        <v>4.7024035870845697</v>
      </c>
      <c r="AS5">
        <v>0.49651097834739299</v>
      </c>
      <c r="AT5">
        <v>1.34408643320945</v>
      </c>
      <c r="AU5">
        <v>1.0361294712939499</v>
      </c>
      <c r="AV5">
        <v>2.7451323709298698</v>
      </c>
      <c r="AW5">
        <v>0.72209718229543995</v>
      </c>
      <c r="AX5">
        <v>1.2764801647302</v>
      </c>
      <c r="AY5">
        <v>1.0096703097194299</v>
      </c>
      <c r="AZ5">
        <v>5.6054669969908804E-3</v>
      </c>
      <c r="BB5">
        <v>5.0294603598999999E-3</v>
      </c>
      <c r="BC5">
        <v>1.2795259892745601</v>
      </c>
      <c r="BD5">
        <v>0.98140197517581296</v>
      </c>
      <c r="BE5">
        <v>0.99280969656729801</v>
      </c>
      <c r="BF5">
        <v>0.37681193706510202</v>
      </c>
      <c r="BG5">
        <v>1.0564566479999999</v>
      </c>
      <c r="BH5">
        <v>2.49608730659223E-3</v>
      </c>
      <c r="BJ5">
        <v>4.28674131022503E-4</v>
      </c>
      <c r="BK5">
        <v>5.1633231645166404</v>
      </c>
      <c r="BL5">
        <v>0.59521760730442497</v>
      </c>
      <c r="BM5">
        <v>1.0032707482406999</v>
      </c>
      <c r="BN5">
        <v>0.81610132265874102</v>
      </c>
      <c r="BO5">
        <v>1.1382161974640701</v>
      </c>
      <c r="BP5">
        <v>0.62363141928121602</v>
      </c>
      <c r="BQ5">
        <v>7.65680054608721E-4</v>
      </c>
      <c r="BS5">
        <v>9.2975100275467099E-3</v>
      </c>
    </row>
    <row r="6" spans="1:71" x14ac:dyDescent="0.25">
      <c r="A6" t="s">
        <v>57</v>
      </c>
      <c r="B6">
        <v>1600170</v>
      </c>
      <c r="C6" t="s">
        <v>58</v>
      </c>
      <c r="D6">
        <v>2012</v>
      </c>
      <c r="E6">
        <v>4.5</v>
      </c>
      <c r="F6" s="1">
        <v>42461</v>
      </c>
      <c r="G6" t="s">
        <v>59</v>
      </c>
      <c r="H6">
        <v>2698027.64</v>
      </c>
      <c r="I6">
        <v>79.45</v>
      </c>
      <c r="J6">
        <v>0</v>
      </c>
      <c r="K6">
        <v>20.55</v>
      </c>
      <c r="L6">
        <v>100</v>
      </c>
      <c r="M6">
        <v>0</v>
      </c>
      <c r="N6">
        <v>-64.680000000000007</v>
      </c>
      <c r="O6">
        <v>1025.289</v>
      </c>
      <c r="P6">
        <v>44</v>
      </c>
      <c r="Q6">
        <v>207895.04000000001</v>
      </c>
      <c r="R6">
        <v>117.44</v>
      </c>
      <c r="S6">
        <v>744</v>
      </c>
      <c r="T6">
        <v>4.7830000000000004</v>
      </c>
      <c r="U6">
        <v>110.97</v>
      </c>
      <c r="V6">
        <v>110.97</v>
      </c>
      <c r="W6">
        <v>60.006370821071897</v>
      </c>
      <c r="X6">
        <v>0</v>
      </c>
      <c r="Y6" s="2">
        <v>7.8999999999999996E-5</v>
      </c>
      <c r="Z6" s="2"/>
      <c r="AA6">
        <f t="shared" si="0"/>
        <v>1.4452011181937674E-2</v>
      </c>
      <c r="AB6">
        <f t="shared" si="1"/>
        <v>1.5234667945004167E-2</v>
      </c>
      <c r="AC6">
        <f t="shared" si="2"/>
        <v>1.4733309383894855E-2</v>
      </c>
      <c r="AD6">
        <f t="shared" si="3"/>
        <v>1.4967062663134231E-2</v>
      </c>
      <c r="AE6">
        <f t="shared" si="4"/>
        <v>2.4318398021886664E-2</v>
      </c>
      <c r="AF6">
        <f t="shared" si="5"/>
        <v>1.5001756710829161E-2</v>
      </c>
      <c r="AG6">
        <f t="shared" si="6"/>
        <v>1.2591913473343909E-2</v>
      </c>
      <c r="AH6">
        <f t="shared" si="7"/>
        <v>8.6104777210851031E-3</v>
      </c>
      <c r="AI6" s="2"/>
      <c r="AJ6">
        <v>4.5752054996999999E-4</v>
      </c>
      <c r="AK6">
        <v>0.97737482565228795</v>
      </c>
      <c r="AL6">
        <v>0.87721996614431197</v>
      </c>
      <c r="AM6">
        <v>3.9226563448056898E-4</v>
      </c>
      <c r="AO6">
        <v>1.1492924691999999E-3</v>
      </c>
      <c r="AP6">
        <v>100</v>
      </c>
      <c r="AQ6">
        <v>0</v>
      </c>
      <c r="AR6">
        <v>6.3882967328801401</v>
      </c>
      <c r="AS6">
        <v>0.62340825512745501</v>
      </c>
      <c r="AT6">
        <v>1.34408643320945</v>
      </c>
      <c r="AU6">
        <v>1.04651936614543</v>
      </c>
      <c r="AV6">
        <v>3.3360761210489298</v>
      </c>
      <c r="AW6">
        <v>0.76853290461401003</v>
      </c>
      <c r="AX6">
        <v>1.2764801647302</v>
      </c>
      <c r="AY6">
        <v>1.0123916641347299</v>
      </c>
      <c r="AZ6">
        <v>9.6572598352939205E-3</v>
      </c>
      <c r="BB6">
        <v>5.0294603598999999E-3</v>
      </c>
      <c r="BC6">
        <v>1.2795259892745601</v>
      </c>
      <c r="BD6">
        <v>0.98140197517581296</v>
      </c>
      <c r="BE6">
        <v>0.901788381090316</v>
      </c>
      <c r="BF6">
        <v>8.48129564841065E-2</v>
      </c>
      <c r="BG6">
        <v>1.0564566479999999</v>
      </c>
      <c r="BH6">
        <v>5.1031219529325505E-4</v>
      </c>
      <c r="BJ6">
        <v>3.84151778767884E-4</v>
      </c>
      <c r="BK6">
        <v>5.1633231645166404</v>
      </c>
      <c r="BL6">
        <v>0.59521760730442497</v>
      </c>
      <c r="BM6">
        <v>1.0032707482406999</v>
      </c>
      <c r="BN6">
        <v>0.81254816601666002</v>
      </c>
      <c r="BO6">
        <v>1.1368348153961101</v>
      </c>
      <c r="BP6">
        <v>0.26447229271670197</v>
      </c>
      <c r="BQ6">
        <v>2.8936948794063401E-4</v>
      </c>
      <c r="BS6">
        <v>1.0849207153008401E-2</v>
      </c>
    </row>
    <row r="7" spans="1:71" x14ac:dyDescent="0.25">
      <c r="A7" t="s">
        <v>57</v>
      </c>
      <c r="B7">
        <v>1601958</v>
      </c>
      <c r="C7" t="s">
        <v>58</v>
      </c>
      <c r="D7">
        <v>2012</v>
      </c>
      <c r="E7">
        <v>4.5</v>
      </c>
      <c r="F7" s="1">
        <v>42461</v>
      </c>
      <c r="G7" t="s">
        <v>59</v>
      </c>
      <c r="H7">
        <v>5523922.29</v>
      </c>
      <c r="I7">
        <v>79.290000000000006</v>
      </c>
      <c r="J7">
        <v>0</v>
      </c>
      <c r="K7">
        <v>20.71</v>
      </c>
      <c r="L7">
        <v>91.4</v>
      </c>
      <c r="M7">
        <v>8.6</v>
      </c>
      <c r="N7">
        <v>-61.41</v>
      </c>
      <c r="O7">
        <v>1054.8168000000001</v>
      </c>
      <c r="P7">
        <v>44</v>
      </c>
      <c r="Q7">
        <v>240567.13</v>
      </c>
      <c r="R7">
        <v>109.05</v>
      </c>
      <c r="S7">
        <v>729</v>
      </c>
      <c r="T7">
        <v>4.8179999999999996</v>
      </c>
      <c r="U7">
        <v>110.97</v>
      </c>
      <c r="V7">
        <v>110.97</v>
      </c>
      <c r="W7">
        <v>60.006370821071897</v>
      </c>
      <c r="X7">
        <v>0</v>
      </c>
      <c r="Y7">
        <v>5.9293999999999999E-2</v>
      </c>
      <c r="AA7">
        <f t="shared" si="0"/>
        <v>1.4460279499007689E-2</v>
      </c>
      <c r="AB7">
        <f t="shared" si="1"/>
        <v>1.5234667945004167E-2</v>
      </c>
      <c r="AC7">
        <f t="shared" si="2"/>
        <v>1.4742791024633106E-2</v>
      </c>
      <c r="AD7">
        <f t="shared" si="3"/>
        <v>1.4964594193303248E-2</v>
      </c>
      <c r="AE7">
        <f t="shared" si="4"/>
        <v>2.4318398021886664E-2</v>
      </c>
      <c r="AF7">
        <f t="shared" si="5"/>
        <v>1.5002494768370758E-2</v>
      </c>
      <c r="AG7">
        <f t="shared" si="6"/>
        <v>1.2939274813588026E-2</v>
      </c>
      <c r="AH7">
        <f t="shared" si="7"/>
        <v>1.1016301408553142E-2</v>
      </c>
      <c r="AJ7">
        <v>4.5752054996999999E-4</v>
      </c>
      <c r="AK7">
        <v>0.91407822575977504</v>
      </c>
      <c r="AL7">
        <v>0.89053630213271495</v>
      </c>
      <c r="AM7">
        <v>3.7243080626872901E-4</v>
      </c>
      <c r="AO7">
        <v>1.1492924691999999E-3</v>
      </c>
      <c r="AP7">
        <v>91.4</v>
      </c>
      <c r="AQ7">
        <v>8.6</v>
      </c>
      <c r="AR7">
        <v>5.1105792869025004</v>
      </c>
      <c r="AS7">
        <v>0.82395469372850505</v>
      </c>
      <c r="AT7">
        <v>1.34408643320945</v>
      </c>
      <c r="AU7">
        <v>1.04716620784825</v>
      </c>
      <c r="AV7">
        <v>2.8824505790032098</v>
      </c>
      <c r="AW7">
        <v>0.83461508940618401</v>
      </c>
      <c r="AX7">
        <v>1.2764801647302</v>
      </c>
      <c r="AY7">
        <v>1.01256108697771</v>
      </c>
      <c r="AZ7">
        <v>9.7996571330505097E-3</v>
      </c>
      <c r="BB7">
        <v>5.0294603598999999E-3</v>
      </c>
      <c r="BC7">
        <v>1.2795259892745601</v>
      </c>
      <c r="BD7">
        <v>0.98140197517581296</v>
      </c>
      <c r="BE7">
        <v>0.92156947554519397</v>
      </c>
      <c r="BF7">
        <v>0.30756690060362002</v>
      </c>
      <c r="BG7">
        <v>1.0564566479999999</v>
      </c>
      <c r="BH7">
        <v>1.89119707240397E-3</v>
      </c>
      <c r="BJ7">
        <v>3.94156233892898E-4</v>
      </c>
      <c r="BK7">
        <v>5.1633231645166404</v>
      </c>
      <c r="BL7">
        <v>0.59521760730442497</v>
      </c>
      <c r="BM7">
        <v>1.0032707482406999</v>
      </c>
      <c r="BN7">
        <v>0.80629246286224998</v>
      </c>
      <c r="BO7">
        <v>1.1391961960947701</v>
      </c>
      <c r="BP7">
        <v>0.55444528460210596</v>
      </c>
      <c r="BQ7">
        <v>6.1892987713765E-4</v>
      </c>
      <c r="BS7">
        <v>1.26822148888609E-2</v>
      </c>
    </row>
    <row r="8" spans="1:71" x14ac:dyDescent="0.25">
      <c r="A8" t="s">
        <v>57</v>
      </c>
      <c r="B8">
        <v>1601979</v>
      </c>
      <c r="C8" t="s">
        <v>58</v>
      </c>
      <c r="D8">
        <v>2012</v>
      </c>
      <c r="E8">
        <v>4.5</v>
      </c>
      <c r="F8" s="1">
        <v>42461</v>
      </c>
      <c r="G8" t="s">
        <v>59</v>
      </c>
      <c r="H8">
        <v>2692105.19</v>
      </c>
      <c r="I8">
        <v>88.23</v>
      </c>
      <c r="J8">
        <v>0</v>
      </c>
      <c r="K8">
        <v>11.77</v>
      </c>
      <c r="L8">
        <v>100</v>
      </c>
      <c r="M8">
        <v>0</v>
      </c>
      <c r="N8">
        <v>-54.2</v>
      </c>
      <c r="O8">
        <v>995.27120000000002</v>
      </c>
      <c r="P8">
        <v>43</v>
      </c>
      <c r="Q8">
        <v>207414.73</v>
      </c>
      <c r="R8">
        <v>117.38</v>
      </c>
      <c r="S8">
        <v>725</v>
      </c>
      <c r="T8">
        <v>4.7640000000000002</v>
      </c>
      <c r="U8">
        <v>110.97</v>
      </c>
      <c r="V8">
        <v>110.97</v>
      </c>
      <c r="W8">
        <v>60.006370821071897</v>
      </c>
      <c r="X8">
        <v>0</v>
      </c>
      <c r="Y8" s="2">
        <v>4.5000000000000003E-5</v>
      </c>
      <c r="Z8" s="2"/>
      <c r="AA8">
        <f t="shared" si="0"/>
        <v>1.3998287282723381E-2</v>
      </c>
      <c r="AB8">
        <f t="shared" si="1"/>
        <v>1.5234667945004167E-2</v>
      </c>
      <c r="AC8">
        <f t="shared" si="2"/>
        <v>1.4765877867501671E-2</v>
      </c>
      <c r="AD8">
        <f t="shared" si="3"/>
        <v>1.4969590950659603E-2</v>
      </c>
      <c r="AE8">
        <f t="shared" si="4"/>
        <v>2.3927016245895581E-2</v>
      </c>
      <c r="AF8">
        <f t="shared" si="5"/>
        <v>1.5001737752610206E-2</v>
      </c>
      <c r="AG8">
        <f t="shared" si="6"/>
        <v>1.2870227352946639E-2</v>
      </c>
      <c r="AH8">
        <f t="shared" si="7"/>
        <v>1.1722857120859973E-2</v>
      </c>
      <c r="AI8" s="2"/>
      <c r="AJ8">
        <v>4.5360469652999999E-4</v>
      </c>
      <c r="AK8">
        <v>0.90211310217098795</v>
      </c>
      <c r="AL8">
        <v>0.87639791780714904</v>
      </c>
      <c r="AM8">
        <v>3.5862442924966201E-4</v>
      </c>
      <c r="AO8">
        <v>1.1492924691999999E-3</v>
      </c>
      <c r="AP8">
        <v>100</v>
      </c>
      <c r="AQ8">
        <v>0</v>
      </c>
      <c r="AR8">
        <v>6.5439148051185203</v>
      </c>
      <c r="AS8">
        <v>0.88267641216577197</v>
      </c>
      <c r="AT8">
        <v>1.3214979690694699</v>
      </c>
      <c r="AU8">
        <v>1.0110239277034001</v>
      </c>
      <c r="AV8">
        <v>3.33313203104704</v>
      </c>
      <c r="AW8">
        <v>0.85264414086312501</v>
      </c>
      <c r="AX8">
        <v>1.2706113289604399</v>
      </c>
      <c r="AY8">
        <v>1.00309458562642</v>
      </c>
      <c r="AZ8">
        <v>1.33042044997475E-2</v>
      </c>
      <c r="BB8">
        <v>5.0294603598999999E-3</v>
      </c>
      <c r="BC8">
        <v>1.28658712829648</v>
      </c>
      <c r="BD8">
        <v>0.98140197517581296</v>
      </c>
      <c r="BE8">
        <v>0.97064540028524204</v>
      </c>
      <c r="BF8">
        <v>8.6014759490661993E-2</v>
      </c>
      <c r="BG8">
        <v>1.0564566479999999</v>
      </c>
      <c r="BH8">
        <v>5.6013508976377705E-4</v>
      </c>
      <c r="BJ8">
        <v>4.1804274102822601E-4</v>
      </c>
      <c r="BK8">
        <v>5.1633231645166404</v>
      </c>
      <c r="BL8">
        <v>0.59521760730442497</v>
      </c>
      <c r="BM8">
        <v>1.00425953699065</v>
      </c>
      <c r="BN8">
        <v>0.81895546176287703</v>
      </c>
      <c r="BO8">
        <v>1.13677415945833</v>
      </c>
      <c r="BP8">
        <v>0.26621389254616101</v>
      </c>
      <c r="BQ8">
        <v>3.1976941397969999E-4</v>
      </c>
      <c r="BS8">
        <v>1.4542733432740601E-2</v>
      </c>
    </row>
    <row r="9" spans="1:71" x14ac:dyDescent="0.25">
      <c r="A9" t="s">
        <v>57</v>
      </c>
      <c r="B9">
        <v>1609387</v>
      </c>
      <c r="C9" t="s">
        <v>58</v>
      </c>
      <c r="D9">
        <v>2013</v>
      </c>
      <c r="E9">
        <v>4.5</v>
      </c>
      <c r="F9" s="1">
        <v>42461</v>
      </c>
      <c r="G9" t="s">
        <v>59</v>
      </c>
      <c r="H9">
        <v>1744846.65</v>
      </c>
      <c r="I9">
        <v>10.78</v>
      </c>
      <c r="J9">
        <v>0</v>
      </c>
      <c r="K9">
        <v>89.22</v>
      </c>
      <c r="L9">
        <v>100</v>
      </c>
      <c r="M9">
        <v>0</v>
      </c>
      <c r="N9">
        <v>-116.5</v>
      </c>
      <c r="O9">
        <v>1209.5969</v>
      </c>
      <c r="P9">
        <v>39</v>
      </c>
      <c r="Q9">
        <v>174745.51</v>
      </c>
      <c r="R9">
        <v>109.19</v>
      </c>
      <c r="S9">
        <v>753</v>
      </c>
      <c r="T9">
        <v>5.234</v>
      </c>
      <c r="U9">
        <v>110.97</v>
      </c>
      <c r="V9">
        <v>110.97</v>
      </c>
      <c r="W9">
        <v>60.006370821071897</v>
      </c>
      <c r="X9">
        <v>0</v>
      </c>
      <c r="Y9" s="2">
        <v>4.3000000000000002E-5</v>
      </c>
      <c r="Z9" s="2"/>
      <c r="AA9">
        <f t="shared" si="0"/>
        <v>1.8000669514402781E-2</v>
      </c>
      <c r="AB9">
        <f t="shared" si="1"/>
        <v>1.5234667945004167E-2</v>
      </c>
      <c r="AC9">
        <f t="shared" si="2"/>
        <v>1.4648406942905182E-2</v>
      </c>
      <c r="AD9">
        <f t="shared" si="3"/>
        <v>1.4951945396244391E-2</v>
      </c>
      <c r="AE9">
        <f t="shared" si="4"/>
        <v>2.1959094144358746E-2</v>
      </c>
      <c r="AF9">
        <f t="shared" si="5"/>
        <v>1.4998356560989461E-2</v>
      </c>
      <c r="AG9">
        <f t="shared" si="6"/>
        <v>1.3828925678568435E-2</v>
      </c>
      <c r="AH9">
        <f t="shared" si="7"/>
        <v>7.3556666043894364E-3</v>
      </c>
      <c r="AI9" s="2"/>
      <c r="AJ9">
        <v>4.3819868147E-4</v>
      </c>
      <c r="AK9">
        <v>1.0370573570319599</v>
      </c>
      <c r="AL9">
        <v>0.88624255970440602</v>
      </c>
      <c r="AM9">
        <v>4.02741557628475E-4</v>
      </c>
      <c r="AO9">
        <v>1.1492924691999999E-3</v>
      </c>
      <c r="AP9">
        <v>100</v>
      </c>
      <c r="AQ9">
        <v>0</v>
      </c>
      <c r="AR9">
        <v>5.6624421136196297</v>
      </c>
      <c r="AS9">
        <v>0.51808140563045202</v>
      </c>
      <c r="AT9">
        <v>1.20793246257598</v>
      </c>
      <c r="AU9">
        <v>1.32413573947277</v>
      </c>
      <c r="AV9">
        <v>2.8909184790523001</v>
      </c>
      <c r="AW9">
        <v>0.73037267564197195</v>
      </c>
      <c r="AX9">
        <v>1.24398180781501</v>
      </c>
      <c r="AY9">
        <v>1.0851058305544901</v>
      </c>
      <c r="AZ9">
        <v>8.0890731215966499E-3</v>
      </c>
      <c r="BB9">
        <v>5.0294603598999999E-3</v>
      </c>
      <c r="BC9">
        <v>1.30582545522496</v>
      </c>
      <c r="BD9">
        <v>0.98140197517581296</v>
      </c>
      <c r="BE9">
        <v>0.74037203928668605</v>
      </c>
      <c r="BF9">
        <v>0.30319373215377099</v>
      </c>
      <c r="BG9">
        <v>1.0564566479999999</v>
      </c>
      <c r="BH9">
        <v>1.52853488853515E-3</v>
      </c>
      <c r="BJ9">
        <v>2.8640397047930999E-4</v>
      </c>
      <c r="BK9">
        <v>5.1633231645166404</v>
      </c>
      <c r="BL9">
        <v>0.59521760730442497</v>
      </c>
      <c r="BM9">
        <v>1.0101419925577999</v>
      </c>
      <c r="BN9">
        <v>0.77423733353985902</v>
      </c>
      <c r="BO9">
        <v>1.1259561944871599</v>
      </c>
      <c r="BP9">
        <v>0.54966632702630702</v>
      </c>
      <c r="BQ9">
        <v>4.2605069053355501E-4</v>
      </c>
      <c r="BS9">
        <v>1.0446400258293799E-2</v>
      </c>
    </row>
    <row r="10" spans="1:71" x14ac:dyDescent="0.25">
      <c r="A10" t="s">
        <v>57</v>
      </c>
      <c r="B10">
        <v>1610921</v>
      </c>
      <c r="C10" t="s">
        <v>58</v>
      </c>
      <c r="D10">
        <v>2013</v>
      </c>
      <c r="E10">
        <v>4.5</v>
      </c>
      <c r="F10" s="1">
        <v>42461</v>
      </c>
      <c r="G10" t="s">
        <v>59</v>
      </c>
      <c r="H10">
        <v>600706.13</v>
      </c>
      <c r="I10">
        <v>0</v>
      </c>
      <c r="J10">
        <v>0</v>
      </c>
      <c r="K10">
        <v>100</v>
      </c>
      <c r="L10">
        <v>100</v>
      </c>
      <c r="M10">
        <v>0</v>
      </c>
      <c r="N10">
        <v>-137.91999999999999</v>
      </c>
      <c r="O10">
        <v>1133.8445999999999</v>
      </c>
      <c r="P10">
        <v>39</v>
      </c>
      <c r="Q10">
        <v>200525.69</v>
      </c>
      <c r="R10">
        <v>122.12</v>
      </c>
      <c r="S10">
        <v>722</v>
      </c>
      <c r="T10">
        <v>5.1719999999999997</v>
      </c>
      <c r="U10">
        <v>110.97</v>
      </c>
      <c r="V10">
        <v>110.97</v>
      </c>
      <c r="W10">
        <v>60.006370821071897</v>
      </c>
      <c r="X10">
        <v>0</v>
      </c>
      <c r="Y10" s="2">
        <v>1.9999999999999999E-6</v>
      </c>
      <c r="Z10" s="2"/>
      <c r="AA10">
        <f t="shared" si="0"/>
        <v>1.8557747376991625E-2</v>
      </c>
      <c r="AB10">
        <f t="shared" si="1"/>
        <v>1.5234667945004167E-2</v>
      </c>
      <c r="AC10">
        <f t="shared" si="2"/>
        <v>1.4644930371729165E-2</v>
      </c>
      <c r="AD10">
        <f t="shared" si="3"/>
        <v>1.495807608983071E-2</v>
      </c>
      <c r="AE10">
        <f t="shared" si="4"/>
        <v>2.1959094144358746E-2</v>
      </c>
      <c r="AF10">
        <f t="shared" si="5"/>
        <v>1.5001396447655897E-2</v>
      </c>
      <c r="AG10">
        <f t="shared" si="6"/>
        <v>1.4124633517333798E-2</v>
      </c>
      <c r="AH10">
        <f t="shared" si="7"/>
        <v>1.227532884445794E-2</v>
      </c>
      <c r="AI10" s="2"/>
      <c r="AJ10">
        <v>4.3819868147E-4</v>
      </c>
      <c r="AK10">
        <v>0.89175632889870504</v>
      </c>
      <c r="AL10">
        <v>0.86682902131764294</v>
      </c>
      <c r="AM10">
        <v>3.3872769726401501E-4</v>
      </c>
      <c r="AO10">
        <v>1.1492924691999999E-3</v>
      </c>
      <c r="AP10">
        <v>100</v>
      </c>
      <c r="AQ10">
        <v>0</v>
      </c>
      <c r="AR10">
        <v>7.7634101944659397</v>
      </c>
      <c r="AS10">
        <v>0.92862604096526802</v>
      </c>
      <c r="AT10">
        <v>1.20793246257598</v>
      </c>
      <c r="AU10">
        <v>1.3677166992000001</v>
      </c>
      <c r="AV10">
        <v>3.5550400305938701</v>
      </c>
      <c r="AW10">
        <v>0.86625472856145702</v>
      </c>
      <c r="AX10">
        <v>1.24398180781501</v>
      </c>
      <c r="AY10">
        <v>1.0965206945999999</v>
      </c>
      <c r="AZ10">
        <v>2.05330759760027E-2</v>
      </c>
      <c r="BB10">
        <v>5.0294603598999999E-3</v>
      </c>
      <c r="BC10">
        <v>1.30582545522496</v>
      </c>
      <c r="BD10">
        <v>0.98140197517581296</v>
      </c>
      <c r="BE10">
        <v>0.70248375457174805</v>
      </c>
      <c r="BF10">
        <v>1.6031441216233001E-2</v>
      </c>
      <c r="BG10">
        <v>1.0564566479999999</v>
      </c>
      <c r="BH10" s="2">
        <v>7.6685628299135906E-5</v>
      </c>
      <c r="BI10" s="2"/>
      <c r="BJ10">
        <v>2.9865407752038299E-4</v>
      </c>
      <c r="BK10">
        <v>5.1633231645166404</v>
      </c>
      <c r="BL10">
        <v>0.59521760730442497</v>
      </c>
      <c r="BM10">
        <v>1.0101419925577999</v>
      </c>
      <c r="BN10">
        <v>0.78977400274492005</v>
      </c>
      <c r="BO10">
        <v>1.13568217016747</v>
      </c>
      <c r="BP10">
        <v>0.16258507963537899</v>
      </c>
      <c r="BQ10">
        <v>1.35206098484524E-4</v>
      </c>
      <c r="BS10">
        <v>2.1083695400050399E-2</v>
      </c>
    </row>
    <row r="11" spans="1:71" x14ac:dyDescent="0.25">
      <c r="A11" t="s">
        <v>57</v>
      </c>
      <c r="B11">
        <v>1611299</v>
      </c>
      <c r="C11" t="s">
        <v>58</v>
      </c>
      <c r="D11">
        <v>2013</v>
      </c>
      <c r="E11">
        <v>4.5</v>
      </c>
      <c r="F11" s="1">
        <v>42461</v>
      </c>
      <c r="G11" t="s">
        <v>59</v>
      </c>
      <c r="H11">
        <v>1853096.87</v>
      </c>
      <c r="I11">
        <v>19.260000000000002</v>
      </c>
      <c r="J11">
        <v>0</v>
      </c>
      <c r="K11">
        <v>80.739999999999995</v>
      </c>
      <c r="L11">
        <v>100</v>
      </c>
      <c r="M11">
        <v>0</v>
      </c>
      <c r="N11">
        <v>-140.74</v>
      </c>
      <c r="O11">
        <v>1090.2131999999999</v>
      </c>
      <c r="P11">
        <v>43</v>
      </c>
      <c r="Q11">
        <v>168728.52</v>
      </c>
      <c r="R11">
        <v>100.69</v>
      </c>
      <c r="S11">
        <v>748</v>
      </c>
      <c r="T11">
        <v>4.8719999999999999</v>
      </c>
      <c r="U11">
        <v>110.97</v>
      </c>
      <c r="V11">
        <v>110.97</v>
      </c>
      <c r="W11">
        <v>60.006370821071897</v>
      </c>
      <c r="X11">
        <v>0</v>
      </c>
      <c r="Y11" s="2">
        <v>6.0000000000000002E-6</v>
      </c>
      <c r="Z11" s="2"/>
      <c r="AA11">
        <f t="shared" si="0"/>
        <v>1.7562448709694669E-2</v>
      </c>
      <c r="AB11">
        <f t="shared" ref="AB11:AB74" si="8">$AJ$129*$AK$129*$AL$129+1.5*$AO$129*AP11/100*$AR$129*$AS$129*$AT$129*$AU$129+$AO$129*AQ11/100*$AV$129*$AW$129*$AX$129*$AY$129+$BB$129*$BC$129*$BD$129*$BE$129*$BF$129*$BG$129+$BJ$129*$BK$129*$BL$129*$BM$129*$BN$129*$BO$129*$BP$129</f>
        <v>1.5234667945004167E-2</v>
      </c>
      <c r="AC11">
        <f t="shared" si="2"/>
        <v>1.4645934212320898E-2</v>
      </c>
      <c r="AD11">
        <f t="shared" si="3"/>
        <v>1.4961658989994818E-2</v>
      </c>
      <c r="AE11">
        <f t="shared" si="4"/>
        <v>2.3927016245895581E-2</v>
      </c>
      <c r="AF11">
        <f t="shared" si="5"/>
        <v>1.4997084531474789E-2</v>
      </c>
      <c r="AG11">
        <f t="shared" si="6"/>
        <v>1.3001929228528827E-2</v>
      </c>
      <c r="AH11">
        <f t="shared" si="7"/>
        <v>8.0323571285459694E-3</v>
      </c>
      <c r="AI11" s="2"/>
      <c r="AJ11">
        <v>4.5360469652999999E-4</v>
      </c>
      <c r="AK11">
        <v>1.0012076954412401</v>
      </c>
      <c r="AL11">
        <v>0.90800435162375004</v>
      </c>
      <c r="AM11">
        <v>4.1237245797240798E-4</v>
      </c>
      <c r="AO11">
        <v>1.1492924691999999E-3</v>
      </c>
      <c r="AP11">
        <v>100</v>
      </c>
      <c r="AQ11">
        <v>0</v>
      </c>
      <c r="AR11">
        <v>3.5168607862498402</v>
      </c>
      <c r="AS11">
        <v>0.57498220550183998</v>
      </c>
      <c r="AT11">
        <v>1.3214979690694699</v>
      </c>
      <c r="AU11">
        <v>1.28985312922352</v>
      </c>
      <c r="AV11">
        <v>2.3019276279178502</v>
      </c>
      <c r="AW11">
        <v>0.75140779001693303</v>
      </c>
      <c r="AX11">
        <v>1.2706113289604399</v>
      </c>
      <c r="AY11">
        <v>1.0761264198767599</v>
      </c>
      <c r="AZ11">
        <v>5.9420754681814899E-3</v>
      </c>
      <c r="BB11">
        <v>5.0294603598999999E-3</v>
      </c>
      <c r="BC11">
        <v>1.28658712829648</v>
      </c>
      <c r="BD11">
        <v>0.98140197517581296</v>
      </c>
      <c r="BE11">
        <v>0.69694596149738197</v>
      </c>
      <c r="BF11">
        <v>0.57789313109152696</v>
      </c>
      <c r="BG11">
        <v>1.0564566479999999</v>
      </c>
      <c r="BH11">
        <v>2.70212750460109E-3</v>
      </c>
      <c r="BJ11">
        <v>3.0367895739546102E-4</v>
      </c>
      <c r="BK11">
        <v>5.1633231645166404</v>
      </c>
      <c r="BL11">
        <v>0.59521760730442497</v>
      </c>
      <c r="BM11">
        <v>1.00425953699065</v>
      </c>
      <c r="BN11">
        <v>0.79885394351519901</v>
      </c>
      <c r="BO11">
        <v>1.12188639535256</v>
      </c>
      <c r="BP11">
        <v>0.77990341121805695</v>
      </c>
      <c r="BQ11">
        <v>6.5512296963122899E-4</v>
      </c>
      <c r="BS11">
        <v>9.7116984003862098E-3</v>
      </c>
    </row>
    <row r="12" spans="1:71" x14ac:dyDescent="0.25">
      <c r="A12" t="s">
        <v>57</v>
      </c>
      <c r="B12">
        <v>1612563</v>
      </c>
      <c r="C12" t="s">
        <v>58</v>
      </c>
      <c r="D12">
        <v>2013</v>
      </c>
      <c r="E12">
        <v>4.5</v>
      </c>
      <c r="F12" s="1">
        <v>42461</v>
      </c>
      <c r="G12" t="s">
        <v>59</v>
      </c>
      <c r="H12">
        <v>1780631.9</v>
      </c>
      <c r="I12">
        <v>82.28</v>
      </c>
      <c r="J12">
        <v>0</v>
      </c>
      <c r="K12">
        <v>17.72</v>
      </c>
      <c r="L12">
        <v>100</v>
      </c>
      <c r="M12">
        <v>0</v>
      </c>
      <c r="N12">
        <v>-64</v>
      </c>
      <c r="O12">
        <v>821.39430000000004</v>
      </c>
      <c r="P12">
        <v>39</v>
      </c>
      <c r="Q12">
        <v>254777.41</v>
      </c>
      <c r="R12">
        <v>104.14</v>
      </c>
      <c r="S12">
        <v>737</v>
      </c>
      <c r="T12">
        <v>4.75</v>
      </c>
      <c r="U12">
        <v>110.97</v>
      </c>
      <c r="V12">
        <v>110.97</v>
      </c>
      <c r="W12">
        <v>60.006370821071897</v>
      </c>
      <c r="X12">
        <v>0</v>
      </c>
      <c r="Y12">
        <v>0.101052</v>
      </c>
      <c r="AA12">
        <f t="shared" si="0"/>
        <v>1.4305765323762661E-2</v>
      </c>
      <c r="AB12">
        <f t="shared" si="8"/>
        <v>1.5234667945004167E-2</v>
      </c>
      <c r="AC12">
        <f t="shared" si="2"/>
        <v>1.47352275259155E-2</v>
      </c>
      <c r="AD12">
        <f t="shared" si="3"/>
        <v>1.4984803875636487E-2</v>
      </c>
      <c r="AE12">
        <f t="shared" si="4"/>
        <v>2.1959094144358746E-2</v>
      </c>
      <c r="AF12">
        <f t="shared" si="5"/>
        <v>1.5002823355239421E-2</v>
      </c>
      <c r="AG12">
        <f t="shared" si="6"/>
        <v>1.3627356516491211E-2</v>
      </c>
      <c r="AH12">
        <f t="shared" si="7"/>
        <v>9.6907883840452163E-3</v>
      </c>
      <c r="AJ12">
        <v>4.3819868147E-4</v>
      </c>
      <c r="AK12">
        <v>0.94107733492589396</v>
      </c>
      <c r="AL12">
        <v>0.89688800408924896</v>
      </c>
      <c r="AM12">
        <v>3.6985764130668697E-4</v>
      </c>
      <c r="AO12">
        <v>1.1492924691999999E-3</v>
      </c>
      <c r="AP12">
        <v>100</v>
      </c>
      <c r="AQ12">
        <v>0</v>
      </c>
      <c r="AR12">
        <v>4.5443721630394096</v>
      </c>
      <c r="AS12">
        <v>0.71367907997604096</v>
      </c>
      <c r="AT12">
        <v>1.20793246257598</v>
      </c>
      <c r="AU12">
        <v>1.0350783535268699</v>
      </c>
      <c r="AV12">
        <v>2.5571822701482199</v>
      </c>
      <c r="AW12">
        <v>0.799036791852759</v>
      </c>
      <c r="AX12">
        <v>1.24398180781501</v>
      </c>
      <c r="AY12">
        <v>1.0093949975995899</v>
      </c>
      <c r="AZ12">
        <v>6.9906016732995298E-3</v>
      </c>
      <c r="BB12">
        <v>5.0294603598999999E-3</v>
      </c>
      <c r="BC12">
        <v>1.30582545522496</v>
      </c>
      <c r="BD12">
        <v>0.98140197517581296</v>
      </c>
      <c r="BE12">
        <v>0.90576133815216997</v>
      </c>
      <c r="BF12">
        <v>0.46638665086215098</v>
      </c>
      <c r="BG12">
        <v>1.0564566479999999</v>
      </c>
      <c r="BH12">
        <v>2.8765042395689998E-3</v>
      </c>
      <c r="BJ12">
        <v>3.86190636190083E-4</v>
      </c>
      <c r="BK12">
        <v>5.1633231645166404</v>
      </c>
      <c r="BL12">
        <v>0.59521760730442497</v>
      </c>
      <c r="BM12">
        <v>1.0101419925577999</v>
      </c>
      <c r="BN12">
        <v>0.85750871510678595</v>
      </c>
      <c r="BO12">
        <v>1.1402474944634799</v>
      </c>
      <c r="BP12">
        <v>0.69698847825408805</v>
      </c>
      <c r="BQ12">
        <v>8.1705729241063297E-4</v>
      </c>
      <c r="BS12">
        <v>1.10540208465859E-2</v>
      </c>
    </row>
    <row r="13" spans="1:71" x14ac:dyDescent="0.25">
      <c r="A13" t="s">
        <v>57</v>
      </c>
      <c r="B13">
        <v>1612696</v>
      </c>
      <c r="C13" t="s">
        <v>58</v>
      </c>
      <c r="D13">
        <v>2013</v>
      </c>
      <c r="E13">
        <v>4.5</v>
      </c>
      <c r="F13" s="1">
        <v>42461</v>
      </c>
      <c r="G13" t="s">
        <v>59</v>
      </c>
      <c r="H13">
        <v>843360.22</v>
      </c>
      <c r="I13">
        <v>0</v>
      </c>
      <c r="J13">
        <v>0</v>
      </c>
      <c r="K13">
        <v>100</v>
      </c>
      <c r="L13">
        <v>100</v>
      </c>
      <c r="M13">
        <v>0</v>
      </c>
      <c r="N13">
        <v>-132.12</v>
      </c>
      <c r="O13">
        <v>1141.4527</v>
      </c>
      <c r="P13">
        <v>38</v>
      </c>
      <c r="Q13">
        <v>168912.9</v>
      </c>
      <c r="R13">
        <v>136.78</v>
      </c>
      <c r="S13">
        <v>733</v>
      </c>
      <c r="T13">
        <v>5.23</v>
      </c>
      <c r="U13">
        <v>110.97</v>
      </c>
      <c r="V13">
        <v>110.97</v>
      </c>
      <c r="W13">
        <v>60.006370821071897</v>
      </c>
      <c r="X13">
        <v>0</v>
      </c>
      <c r="Y13" s="2">
        <v>9.9999999999999995E-7</v>
      </c>
      <c r="Z13" s="2"/>
      <c r="AA13">
        <f t="shared" si="0"/>
        <v>1.8557747376991625E-2</v>
      </c>
      <c r="AB13">
        <f t="shared" si="8"/>
        <v>1.5234667945004167E-2</v>
      </c>
      <c r="AC13">
        <f t="shared" si="2"/>
        <v>1.4644432404633694E-2</v>
      </c>
      <c r="AD13">
        <f t="shared" si="3"/>
        <v>1.4957455251998108E-2</v>
      </c>
      <c r="AE13">
        <f t="shared" si="4"/>
        <v>2.1175528246019627E-2</v>
      </c>
      <c r="AF13">
        <f t="shared" si="5"/>
        <v>1.4997127417163896E-2</v>
      </c>
      <c r="AG13">
        <f t="shared" si="6"/>
        <v>1.6784010005056572E-2</v>
      </c>
      <c r="AH13">
        <f t="shared" si="7"/>
        <v>1.0339628190525601E-2</v>
      </c>
      <c r="AI13" s="2"/>
      <c r="AJ13">
        <v>4.344461176E-4</v>
      </c>
      <c r="AK13">
        <v>0.92422350627833605</v>
      </c>
      <c r="AL13">
        <v>0.85357003764601702</v>
      </c>
      <c r="AM13">
        <v>3.4272997746984601E-4</v>
      </c>
      <c r="AO13">
        <v>1.1492924691999999E-3</v>
      </c>
      <c r="AP13">
        <v>100</v>
      </c>
      <c r="AQ13">
        <v>0</v>
      </c>
      <c r="AR13">
        <v>9.5489594012855896</v>
      </c>
      <c r="AS13">
        <v>0.76776056226507206</v>
      </c>
      <c r="AT13">
        <v>1.16268110283687</v>
      </c>
      <c r="AU13">
        <v>1.3677166992000001</v>
      </c>
      <c r="AV13">
        <v>4.1296128074923102</v>
      </c>
      <c r="AW13">
        <v>0.81673940715011695</v>
      </c>
      <c r="AX13">
        <v>1.2364637236118801</v>
      </c>
      <c r="AY13">
        <v>1.0965206945999999</v>
      </c>
      <c r="AZ13">
        <v>2.0098351167622101E-2</v>
      </c>
      <c r="BB13">
        <v>5.0294603598999999E-3</v>
      </c>
      <c r="BC13">
        <v>1.3077019848340801</v>
      </c>
      <c r="BD13">
        <v>0.98140197517581296</v>
      </c>
      <c r="BE13">
        <v>0.71311686366285798</v>
      </c>
      <c r="BF13">
        <v>4.5557898536577101E-4</v>
      </c>
      <c r="BG13">
        <v>1.0564566479999999</v>
      </c>
      <c r="BH13" s="2">
        <v>2.2154051975285698E-6</v>
      </c>
      <c r="BI13" s="2"/>
      <c r="BJ13">
        <v>2.9206377654357701E-4</v>
      </c>
      <c r="BK13">
        <v>5.1633231645166404</v>
      </c>
      <c r="BL13">
        <v>0.59521760730442497</v>
      </c>
      <c r="BM13">
        <v>1.01217388146127</v>
      </c>
      <c r="BN13">
        <v>0.78820064862122896</v>
      </c>
      <c r="BO13">
        <v>1.1220236061156801</v>
      </c>
      <c r="BP13">
        <v>4.7673896935645499E-2</v>
      </c>
      <c r="BQ13" s="2">
        <v>3.8305164848196501E-5</v>
      </c>
      <c r="BR13" s="2"/>
      <c r="BS13">
        <v>2.0481601715137601E-2</v>
      </c>
    </row>
    <row r="14" spans="1:71" x14ac:dyDescent="0.25">
      <c r="A14" t="s">
        <v>57</v>
      </c>
      <c r="B14">
        <v>1621896</v>
      </c>
      <c r="C14" t="s">
        <v>58</v>
      </c>
      <c r="D14">
        <v>2013</v>
      </c>
      <c r="E14">
        <v>4.5</v>
      </c>
      <c r="F14" s="1">
        <v>42461</v>
      </c>
      <c r="G14" t="s">
        <v>59</v>
      </c>
      <c r="H14">
        <v>1760498.86</v>
      </c>
      <c r="I14">
        <v>100</v>
      </c>
      <c r="J14">
        <v>0</v>
      </c>
      <c r="K14">
        <v>0</v>
      </c>
      <c r="L14">
        <v>100</v>
      </c>
      <c r="M14">
        <v>0</v>
      </c>
      <c r="N14">
        <v>-23.1</v>
      </c>
      <c r="O14">
        <v>725.74659999999994</v>
      </c>
      <c r="P14">
        <v>33</v>
      </c>
      <c r="Q14">
        <v>195900.88</v>
      </c>
      <c r="R14">
        <v>118.4</v>
      </c>
      <c r="S14">
        <v>724</v>
      </c>
      <c r="T14">
        <v>4.899</v>
      </c>
      <c r="U14">
        <v>110.97</v>
      </c>
      <c r="V14">
        <v>110.97</v>
      </c>
      <c r="W14">
        <v>60.006370821071897</v>
      </c>
      <c r="X14">
        <v>0</v>
      </c>
      <c r="Y14" s="2">
        <v>3.3000000000000003E-5</v>
      </c>
      <c r="Z14" s="2"/>
      <c r="AA14">
        <f t="shared" si="0"/>
        <v>1.3390049208264185E-2</v>
      </c>
      <c r="AB14">
        <f t="shared" si="8"/>
        <v>1.5234667945004167E-2</v>
      </c>
      <c r="AC14">
        <f t="shared" si="2"/>
        <v>1.4890094280756874E-2</v>
      </c>
      <c r="AD14">
        <f t="shared" si="3"/>
        <v>1.499398524820298E-2</v>
      </c>
      <c r="AE14">
        <f t="shared" si="4"/>
        <v>1.7541046707880845E-2</v>
      </c>
      <c r="AF14">
        <f t="shared" si="5"/>
        <v>1.500108054984484E-2</v>
      </c>
      <c r="AG14">
        <f t="shared" si="6"/>
        <v>1.3794265383652294E-2</v>
      </c>
      <c r="AH14">
        <f t="shared" si="7"/>
        <v>1.1902468025633063E-2</v>
      </c>
      <c r="AI14" s="2"/>
      <c r="AJ14">
        <v>4.1662283959999999E-4</v>
      </c>
      <c r="AK14">
        <v>0.89224572418190196</v>
      </c>
      <c r="AL14">
        <v>0.86593198826136597</v>
      </c>
      <c r="AM14">
        <v>3.2189285230083901E-4</v>
      </c>
      <c r="AO14">
        <v>1.1492924691999999E-3</v>
      </c>
      <c r="AP14">
        <v>100</v>
      </c>
      <c r="AQ14">
        <v>0</v>
      </c>
      <c r="AR14">
        <v>7.2220687636574201</v>
      </c>
      <c r="AS14">
        <v>0.89780040276312001</v>
      </c>
      <c r="AT14">
        <v>0.95303836606937797</v>
      </c>
      <c r="AU14">
        <v>0.96344063493999998</v>
      </c>
      <c r="AV14">
        <v>3.3826793272915099</v>
      </c>
      <c r="AW14">
        <v>0.85717305933400101</v>
      </c>
      <c r="AX14">
        <v>1.1929874850939099</v>
      </c>
      <c r="AY14">
        <v>0.99063141773999996</v>
      </c>
      <c r="AZ14">
        <v>1.0263573077061E-2</v>
      </c>
      <c r="BB14">
        <v>5.0294603598999999E-3</v>
      </c>
      <c r="BC14">
        <v>1.2957952226845399</v>
      </c>
      <c r="BD14">
        <v>0.98140197517581296</v>
      </c>
      <c r="BE14">
        <v>1.2445015297497799</v>
      </c>
      <c r="BF14">
        <v>6.6590404071345005E-2</v>
      </c>
      <c r="BG14">
        <v>1.0564566479999999</v>
      </c>
      <c r="BH14">
        <v>5.5996831927077799E-4</v>
      </c>
      <c r="BJ14">
        <v>5.4146528671939398E-4</v>
      </c>
      <c r="BK14">
        <v>5.1633231645166404</v>
      </c>
      <c r="BL14">
        <v>0.59521760730442497</v>
      </c>
      <c r="BM14">
        <v>1.02760629796085</v>
      </c>
      <c r="BN14">
        <v>0.88077654710745401</v>
      </c>
      <c r="BO14">
        <v>1.1346714698470499</v>
      </c>
      <c r="BP14">
        <v>0.23805792726729</v>
      </c>
      <c r="BQ14">
        <v>4.06837501950558E-4</v>
      </c>
      <c r="BS14">
        <v>1.15522717505831E-2</v>
      </c>
    </row>
    <row r="15" spans="1:71" x14ac:dyDescent="0.25">
      <c r="A15" t="s">
        <v>57</v>
      </c>
      <c r="B15">
        <v>1622548</v>
      </c>
      <c r="C15" t="s">
        <v>58</v>
      </c>
      <c r="D15">
        <v>2013</v>
      </c>
      <c r="E15">
        <v>4.5</v>
      </c>
      <c r="F15" s="1">
        <v>42461</v>
      </c>
      <c r="G15" t="s">
        <v>59</v>
      </c>
      <c r="H15">
        <v>884729</v>
      </c>
      <c r="I15">
        <v>0</v>
      </c>
      <c r="J15">
        <v>0</v>
      </c>
      <c r="K15">
        <v>100</v>
      </c>
      <c r="L15">
        <v>100</v>
      </c>
      <c r="M15">
        <v>0</v>
      </c>
      <c r="N15">
        <v>-144.02000000000001</v>
      </c>
      <c r="O15">
        <v>838.14589999999998</v>
      </c>
      <c r="P15">
        <v>33</v>
      </c>
      <c r="Q15">
        <v>221500.17</v>
      </c>
      <c r="R15">
        <v>117.83</v>
      </c>
      <c r="S15">
        <v>651</v>
      </c>
      <c r="T15">
        <v>5.0510000000000002</v>
      </c>
      <c r="U15">
        <v>110.97</v>
      </c>
      <c r="V15">
        <v>110.97</v>
      </c>
      <c r="W15">
        <v>60.006370821071897</v>
      </c>
      <c r="X15">
        <v>0</v>
      </c>
      <c r="Y15">
        <v>1.0089999999999999E-3</v>
      </c>
      <c r="AA15">
        <f t="shared" si="0"/>
        <v>1.8557747376991625E-2</v>
      </c>
      <c r="AB15">
        <f t="shared" si="8"/>
        <v>1.5234667945004167E-2</v>
      </c>
      <c r="AC15">
        <f t="shared" si="2"/>
        <v>1.4647531053973251E-2</v>
      </c>
      <c r="AD15">
        <f t="shared" si="3"/>
        <v>1.498325934978577E-2</v>
      </c>
      <c r="AE15">
        <f t="shared" si="4"/>
        <v>1.7541046707880845E-2</v>
      </c>
      <c r="AF15">
        <f t="shared" si="5"/>
        <v>1.5002119829563912E-2</v>
      </c>
      <c r="AG15">
        <f t="shared" si="6"/>
        <v>1.3769891091212296E-2</v>
      </c>
      <c r="AH15">
        <f t="shared" si="7"/>
        <v>3.2945911918487822E-2</v>
      </c>
      <c r="AJ15">
        <v>4.1662283959999999E-4</v>
      </c>
      <c r="AK15">
        <v>0.83730929692656597</v>
      </c>
      <c r="AL15">
        <v>0.86673129801594295</v>
      </c>
      <c r="AM15">
        <v>3.0235243279506702E-4</v>
      </c>
      <c r="AO15">
        <v>1.1492924691999999E-3</v>
      </c>
      <c r="AP15">
        <v>100</v>
      </c>
      <c r="AQ15">
        <v>0</v>
      </c>
      <c r="AR15">
        <v>7.1352951335895103</v>
      </c>
      <c r="AS15">
        <v>2.6400687178333802</v>
      </c>
      <c r="AT15">
        <v>0.95303836606937797</v>
      </c>
      <c r="AU15">
        <v>1.3677166992000001</v>
      </c>
      <c r="AV15">
        <v>3.3551218398992999</v>
      </c>
      <c r="AW15">
        <v>1.20114177728968</v>
      </c>
      <c r="AX15">
        <v>1.1929874850939099</v>
      </c>
      <c r="AY15">
        <v>1.0965206945999999</v>
      </c>
      <c r="AZ15">
        <v>4.23307074082429E-2</v>
      </c>
      <c r="BB15">
        <v>5.0294603598999999E-3</v>
      </c>
      <c r="BC15">
        <v>1.2957952226845399</v>
      </c>
      <c r="BD15">
        <v>0.98140197517581296</v>
      </c>
      <c r="BE15">
        <v>0.69009390326916997</v>
      </c>
      <c r="BF15">
        <v>7.7178972306733304E-2</v>
      </c>
      <c r="BG15">
        <v>1.0564566479999999</v>
      </c>
      <c r="BH15">
        <v>3.5988484120663401E-4</v>
      </c>
      <c r="BJ15">
        <v>3.1065527503128601E-4</v>
      </c>
      <c r="BK15">
        <v>5.1633231645166404</v>
      </c>
      <c r="BL15">
        <v>0.59521760730442497</v>
      </c>
      <c r="BM15">
        <v>1.02760629796085</v>
      </c>
      <c r="BN15">
        <v>0.85359451080292204</v>
      </c>
      <c r="BO15">
        <v>1.1379965968606101</v>
      </c>
      <c r="BP15">
        <v>0.25340324784452201</v>
      </c>
      <c r="BQ15">
        <v>2.4149899125815101E-4</v>
      </c>
      <c r="BS15">
        <v>4.3234443673502702E-2</v>
      </c>
    </row>
    <row r="16" spans="1:71" x14ac:dyDescent="0.25">
      <c r="A16" t="s">
        <v>57</v>
      </c>
      <c r="B16">
        <v>1622924</v>
      </c>
      <c r="C16" t="s">
        <v>58</v>
      </c>
      <c r="D16">
        <v>2013</v>
      </c>
      <c r="E16">
        <v>4.5</v>
      </c>
      <c r="F16" s="1">
        <v>42461</v>
      </c>
      <c r="G16" t="s">
        <v>59</v>
      </c>
      <c r="H16">
        <v>1136319.06</v>
      </c>
      <c r="I16">
        <v>48.21</v>
      </c>
      <c r="J16">
        <v>0</v>
      </c>
      <c r="K16">
        <v>51.79</v>
      </c>
      <c r="L16">
        <v>100</v>
      </c>
      <c r="M16">
        <v>0</v>
      </c>
      <c r="N16">
        <v>-71.78</v>
      </c>
      <c r="O16">
        <v>682.89850000000001</v>
      </c>
      <c r="P16">
        <v>32</v>
      </c>
      <c r="Q16">
        <v>142260.22</v>
      </c>
      <c r="R16">
        <v>142.28</v>
      </c>
      <c r="S16">
        <v>736</v>
      </c>
      <c r="T16">
        <v>4.8230000000000004</v>
      </c>
      <c r="U16">
        <v>110.97</v>
      </c>
      <c r="V16">
        <v>110.97</v>
      </c>
      <c r="W16">
        <v>60.006370821071897</v>
      </c>
      <c r="X16">
        <v>0</v>
      </c>
      <c r="Y16" s="2">
        <v>9.2999999999999997E-5</v>
      </c>
      <c r="Z16" s="2"/>
      <c r="AA16">
        <f t="shared" si="0"/>
        <v>1.6066400089848071E-2</v>
      </c>
      <c r="AB16">
        <f t="shared" si="8"/>
        <v>1.5234667945004167E-2</v>
      </c>
      <c r="AC16">
        <f t="shared" si="2"/>
        <v>1.471504320890296E-2</v>
      </c>
      <c r="AD16">
        <f t="shared" si="3"/>
        <v>1.4998272188554361E-2</v>
      </c>
      <c r="AE16">
        <f t="shared" si="4"/>
        <v>1.6863500006189053E-2</v>
      </c>
      <c r="AF16">
        <f t="shared" si="5"/>
        <v>1.4965107821735104E-2</v>
      </c>
      <c r="AG16">
        <f t="shared" si="6"/>
        <v>1.763608757147625E-2</v>
      </c>
      <c r="AH16">
        <f t="shared" si="7"/>
        <v>9.8497522735935331E-3</v>
      </c>
      <c r="AI16" s="2"/>
      <c r="AJ16">
        <v>4.1329451855999998E-4</v>
      </c>
      <c r="AK16">
        <v>0.93360718920478303</v>
      </c>
      <c r="AL16">
        <v>0.84439876893099297</v>
      </c>
      <c r="AM16">
        <v>3.25815262195555E-4</v>
      </c>
      <c r="AO16">
        <v>1.1492924691999999E-3</v>
      </c>
      <c r="AP16">
        <v>100</v>
      </c>
      <c r="AQ16">
        <v>0</v>
      </c>
      <c r="AR16">
        <v>10.0703118287927</v>
      </c>
      <c r="AS16">
        <v>0.72702408159910503</v>
      </c>
      <c r="AT16">
        <v>0.91397538553573898</v>
      </c>
      <c r="AU16">
        <v>1.1728152086202499</v>
      </c>
      <c r="AV16">
        <v>4.3004757558222897</v>
      </c>
      <c r="AW16">
        <v>0.80344514342858797</v>
      </c>
      <c r="AX16">
        <v>1.1830140507296001</v>
      </c>
      <c r="AY16">
        <v>1.04547147422579</v>
      </c>
      <c r="AZ16">
        <v>1.3529371563052501E-2</v>
      </c>
      <c r="BB16">
        <v>5.0294603598999999E-3</v>
      </c>
      <c r="BC16">
        <v>1.29093287777327</v>
      </c>
      <c r="BD16">
        <v>0.98140197517581296</v>
      </c>
      <c r="BE16">
        <v>0.86511340044295704</v>
      </c>
      <c r="BF16">
        <v>1.65524134219613E-4</v>
      </c>
      <c r="BG16">
        <v>1.0564566479999999</v>
      </c>
      <c r="BH16" s="2">
        <v>9.639578036052829E-7</v>
      </c>
      <c r="BI16" s="2"/>
      <c r="BJ16">
        <v>3.64133881592191E-4</v>
      </c>
      <c r="BK16">
        <v>5.1633231645166404</v>
      </c>
      <c r="BL16">
        <v>0.59521760730442497</v>
      </c>
      <c r="BM16">
        <v>1.03207282476023</v>
      </c>
      <c r="BN16">
        <v>0.89164069701210202</v>
      </c>
      <c r="BO16">
        <v>1.01957840318354</v>
      </c>
      <c r="BP16">
        <v>3.2539917098159801E-2</v>
      </c>
      <c r="BQ16" s="2">
        <v>3.4166733757426697E-5</v>
      </c>
      <c r="BR16" s="2"/>
      <c r="BS16">
        <v>1.38903175168091E-2</v>
      </c>
    </row>
    <row r="17" spans="1:71" x14ac:dyDescent="0.25">
      <c r="A17" t="s">
        <v>57</v>
      </c>
      <c r="B17">
        <v>1623721</v>
      </c>
      <c r="C17" t="s">
        <v>58</v>
      </c>
      <c r="D17">
        <v>2013</v>
      </c>
      <c r="E17">
        <v>4.5</v>
      </c>
      <c r="F17" s="1">
        <v>42461</v>
      </c>
      <c r="G17" t="s">
        <v>59</v>
      </c>
      <c r="H17">
        <v>3621076.14</v>
      </c>
      <c r="I17">
        <v>49.89</v>
      </c>
      <c r="J17">
        <v>4.43</v>
      </c>
      <c r="K17">
        <v>45.67</v>
      </c>
      <c r="L17">
        <v>100</v>
      </c>
      <c r="M17">
        <v>0</v>
      </c>
      <c r="N17">
        <v>-49.73</v>
      </c>
      <c r="O17">
        <v>785.42430000000002</v>
      </c>
      <c r="P17">
        <v>32</v>
      </c>
      <c r="Q17">
        <v>190858.66</v>
      </c>
      <c r="R17">
        <v>123.49</v>
      </c>
      <c r="S17">
        <v>694</v>
      </c>
      <c r="T17">
        <v>5.0119999999999996</v>
      </c>
      <c r="U17">
        <v>110.97</v>
      </c>
      <c r="V17">
        <v>110.97</v>
      </c>
      <c r="W17">
        <v>60.006370821071897</v>
      </c>
      <c r="X17">
        <v>0</v>
      </c>
      <c r="Y17">
        <v>7.1506E-2</v>
      </c>
      <c r="AA17">
        <f t="shared" si="0"/>
        <v>1.5977834463420961E-2</v>
      </c>
      <c r="AB17">
        <f t="shared" si="8"/>
        <v>1.5234667945004167E-2</v>
      </c>
      <c r="AC17">
        <f t="shared" si="2"/>
        <v>1.4781575278884504E-2</v>
      </c>
      <c r="AD17">
        <f t="shared" si="3"/>
        <v>1.4988187532507529E-2</v>
      </c>
      <c r="AE17">
        <f t="shared" si="4"/>
        <v>1.6863500006189053E-2</v>
      </c>
      <c r="AF17">
        <f t="shared" si="5"/>
        <v>1.5000639037743861E-2</v>
      </c>
      <c r="AG17">
        <f t="shared" si="6"/>
        <v>1.4319131081655511E-2</v>
      </c>
      <c r="AH17">
        <f t="shared" si="7"/>
        <v>1.8740483049493065E-2</v>
      </c>
      <c r="AJ17">
        <v>4.1329451855999998E-4</v>
      </c>
      <c r="AK17">
        <v>0.84791908718543696</v>
      </c>
      <c r="AL17">
        <v>0.85863330801044302</v>
      </c>
      <c r="AM17">
        <v>3.00899723422133E-4</v>
      </c>
      <c r="AO17">
        <v>1.1492924691999999E-3</v>
      </c>
      <c r="AP17">
        <v>100</v>
      </c>
      <c r="AQ17">
        <v>0</v>
      </c>
      <c r="AR17">
        <v>7.95299662614116</v>
      </c>
      <c r="AS17">
        <v>1.46443451139596</v>
      </c>
      <c r="AT17">
        <v>0.91397538553573898</v>
      </c>
      <c r="AU17">
        <v>1.1658865990707701</v>
      </c>
      <c r="AV17">
        <v>3.6155810477195001</v>
      </c>
      <c r="AW17">
        <v>0.99509447858781397</v>
      </c>
      <c r="AX17">
        <v>1.1830140507296001</v>
      </c>
      <c r="AY17">
        <v>1.0435828823050901</v>
      </c>
      <c r="AZ17">
        <v>2.13950538342941E-2</v>
      </c>
      <c r="BB17">
        <v>5.0294603598999999E-3</v>
      </c>
      <c r="BC17">
        <v>1.29093287777327</v>
      </c>
      <c r="BD17">
        <v>0.98140197517581296</v>
      </c>
      <c r="BE17">
        <v>1.00425028779903</v>
      </c>
      <c r="BF17">
        <v>6.5492232495398296E-3</v>
      </c>
      <c r="BG17">
        <v>1.0564566479999999</v>
      </c>
      <c r="BH17" s="2">
        <v>4.4274678784526501E-5</v>
      </c>
      <c r="BI17" s="2"/>
      <c r="BJ17">
        <v>4.3416085047607499E-4</v>
      </c>
      <c r="BK17">
        <v>5.1633231645166404</v>
      </c>
      <c r="BL17">
        <v>0.59521760730442497</v>
      </c>
      <c r="BM17">
        <v>1.03207282476023</v>
      </c>
      <c r="BN17">
        <v>0.86608372489460805</v>
      </c>
      <c r="BO17">
        <v>1.1332588724617301</v>
      </c>
      <c r="BP17">
        <v>0.14173332350818901</v>
      </c>
      <c r="BQ17">
        <v>1.91569804563221E-4</v>
      </c>
      <c r="BS17">
        <v>2.1931798041063998E-2</v>
      </c>
    </row>
    <row r="18" spans="1:71" x14ac:dyDescent="0.25">
      <c r="A18" t="s">
        <v>57</v>
      </c>
      <c r="B18">
        <v>1623988</v>
      </c>
      <c r="C18" t="s">
        <v>58</v>
      </c>
      <c r="D18">
        <v>2013</v>
      </c>
      <c r="E18">
        <v>4.5</v>
      </c>
      <c r="F18" s="1">
        <v>42461</v>
      </c>
      <c r="G18" t="s">
        <v>59</v>
      </c>
      <c r="H18">
        <v>988175.8</v>
      </c>
      <c r="I18">
        <v>42.97</v>
      </c>
      <c r="J18">
        <v>0</v>
      </c>
      <c r="K18">
        <v>57.03</v>
      </c>
      <c r="L18">
        <v>100</v>
      </c>
      <c r="M18">
        <v>0</v>
      </c>
      <c r="N18">
        <v>-81.61</v>
      </c>
      <c r="O18">
        <v>678.53020000000004</v>
      </c>
      <c r="P18">
        <v>32</v>
      </c>
      <c r="Q18">
        <v>164939.31</v>
      </c>
      <c r="R18">
        <v>119.76</v>
      </c>
      <c r="S18">
        <v>719</v>
      </c>
      <c r="T18">
        <v>4.8499999999999996</v>
      </c>
      <c r="U18">
        <v>110.97</v>
      </c>
      <c r="V18">
        <v>110.97</v>
      </c>
      <c r="W18">
        <v>60.006370821071897</v>
      </c>
      <c r="X18">
        <v>0</v>
      </c>
      <c r="Y18">
        <v>0</v>
      </c>
      <c r="AA18">
        <f t="shared" si="0"/>
        <v>1.6337187473889469E-2</v>
      </c>
      <c r="AB18">
        <f t="shared" si="8"/>
        <v>1.5234667945004167E-2</v>
      </c>
      <c r="AC18">
        <f t="shared" si="2"/>
        <v>1.4694564263971886E-2</v>
      </c>
      <c r="AD18">
        <f t="shared" si="3"/>
        <v>1.4998714441123003E-2</v>
      </c>
      <c r="AE18">
        <f t="shared" si="4"/>
        <v>1.6863500006189053E-2</v>
      </c>
      <c r="AF18">
        <f t="shared" si="5"/>
        <v>1.4996145254063668E-2</v>
      </c>
      <c r="AG18">
        <f t="shared" si="6"/>
        <v>1.387931436870497E-2</v>
      </c>
      <c r="AH18">
        <f t="shared" si="7"/>
        <v>1.2849231586232123E-2</v>
      </c>
      <c r="AJ18">
        <v>4.1329451855999998E-4</v>
      </c>
      <c r="AK18">
        <v>0.87950068877447996</v>
      </c>
      <c r="AL18">
        <v>0.86317579675664802</v>
      </c>
      <c r="AM18">
        <v>3.1375819911554499E-4</v>
      </c>
      <c r="AO18">
        <v>1.1492924691999999E-3</v>
      </c>
      <c r="AP18">
        <v>100</v>
      </c>
      <c r="AQ18">
        <v>0</v>
      </c>
      <c r="AR18">
        <v>7.42482283530373</v>
      </c>
      <c r="AS18">
        <v>0.97640589183385995</v>
      </c>
      <c r="AT18">
        <v>0.91397538553573898</v>
      </c>
      <c r="AU18">
        <v>1.1939992743874801</v>
      </c>
      <c r="AV18">
        <v>3.4471461723139001</v>
      </c>
      <c r="AW18">
        <v>0.87993219645491305</v>
      </c>
      <c r="AX18">
        <v>1.1830140507296001</v>
      </c>
      <c r="AY18">
        <v>1.0510200723332599</v>
      </c>
      <c r="AZ18">
        <v>1.3638822250911901E-2</v>
      </c>
      <c r="BB18">
        <v>5.0294603598999999E-3</v>
      </c>
      <c r="BC18">
        <v>1.29093287777327</v>
      </c>
      <c r="BD18">
        <v>0.98140197517581296</v>
      </c>
      <c r="BE18">
        <v>0.82711108072455097</v>
      </c>
      <c r="BF18">
        <v>4.4214377196442903E-2</v>
      </c>
      <c r="BG18">
        <v>1.0564566479999999</v>
      </c>
      <c r="BH18">
        <v>2.4617900400496798E-4</v>
      </c>
      <c r="BJ18">
        <v>3.4007217853419499E-4</v>
      </c>
      <c r="BK18">
        <v>5.1633231645166404</v>
      </c>
      <c r="BL18">
        <v>0.59521760730442497</v>
      </c>
      <c r="BM18">
        <v>1.03207282476023</v>
      </c>
      <c r="BN18">
        <v>0.89276147262538597</v>
      </c>
      <c r="BO18">
        <v>1.11888122106153</v>
      </c>
      <c r="BP18">
        <v>0.20597040338522399</v>
      </c>
      <c r="BQ18">
        <v>2.2192731977462401E-4</v>
      </c>
      <c r="BS18">
        <v>1.4420686773807E-2</v>
      </c>
    </row>
    <row r="19" spans="1:71" x14ac:dyDescent="0.25">
      <c r="A19" t="s">
        <v>57</v>
      </c>
      <c r="B19">
        <v>1623992</v>
      </c>
      <c r="C19" t="s">
        <v>58</v>
      </c>
      <c r="D19">
        <v>2013</v>
      </c>
      <c r="E19">
        <v>4.5</v>
      </c>
      <c r="F19" s="1">
        <v>42461</v>
      </c>
      <c r="G19" t="s">
        <v>59</v>
      </c>
      <c r="H19">
        <v>937898.35</v>
      </c>
      <c r="I19">
        <v>31.69</v>
      </c>
      <c r="J19">
        <v>0</v>
      </c>
      <c r="K19">
        <v>68.31</v>
      </c>
      <c r="L19">
        <v>100</v>
      </c>
      <c r="M19">
        <v>0</v>
      </c>
      <c r="N19">
        <v>-54.49</v>
      </c>
      <c r="O19">
        <v>914.08860000000004</v>
      </c>
      <c r="P19">
        <v>32</v>
      </c>
      <c r="Q19">
        <v>234799.95</v>
      </c>
      <c r="R19">
        <v>108.5</v>
      </c>
      <c r="S19">
        <v>741</v>
      </c>
      <c r="T19">
        <v>5.2290000000000001</v>
      </c>
      <c r="U19">
        <v>110.97</v>
      </c>
      <c r="V19">
        <v>110.97</v>
      </c>
      <c r="W19">
        <v>60.006370821071897</v>
      </c>
      <c r="X19">
        <v>0</v>
      </c>
      <c r="Y19">
        <v>0</v>
      </c>
      <c r="AA19">
        <f t="shared" si="0"/>
        <v>1.6920103827321953E-2</v>
      </c>
      <c r="AB19">
        <f t="shared" si="8"/>
        <v>1.5234667945004167E-2</v>
      </c>
      <c r="AC19">
        <f t="shared" si="2"/>
        <v>1.4764894600574599E-2</v>
      </c>
      <c r="AD19">
        <f t="shared" si="3"/>
        <v>1.4976526042711326E-2</v>
      </c>
      <c r="AE19">
        <f t="shared" si="4"/>
        <v>1.6863500006189053E-2</v>
      </c>
      <c r="AF19">
        <f t="shared" si="5"/>
        <v>1.5002364742069823E-2</v>
      </c>
      <c r="AG19">
        <f t="shared" si="6"/>
        <v>1.3823948513564051E-2</v>
      </c>
      <c r="AH19">
        <f t="shared" si="7"/>
        <v>9.06290437296969E-3</v>
      </c>
      <c r="AJ19">
        <v>4.1329451855999998E-4</v>
      </c>
      <c r="AK19">
        <v>0.95821606935243098</v>
      </c>
      <c r="AL19">
        <v>0.88200288008837902</v>
      </c>
      <c r="AM19">
        <v>3.4929558665874498E-4</v>
      </c>
      <c r="AO19">
        <v>1.1492924691999999E-3</v>
      </c>
      <c r="AP19">
        <v>100</v>
      </c>
      <c r="AQ19">
        <v>0</v>
      </c>
      <c r="AR19">
        <v>5.52301749252387</v>
      </c>
      <c r="AS19">
        <v>0.66132441469925896</v>
      </c>
      <c r="AT19">
        <v>0.91397538553573898</v>
      </c>
      <c r="AU19">
        <v>1.23960161443601</v>
      </c>
      <c r="AV19">
        <v>2.84870906224549</v>
      </c>
      <c r="AW19">
        <v>0.781526941271944</v>
      </c>
      <c r="AX19">
        <v>1.1830140507296001</v>
      </c>
      <c r="AY19">
        <v>1.0629643827630699</v>
      </c>
      <c r="AZ19">
        <v>7.1339395992812398E-3</v>
      </c>
      <c r="BB19">
        <v>5.0294603598999999E-3</v>
      </c>
      <c r="BC19">
        <v>1.29093287777327</v>
      </c>
      <c r="BD19">
        <v>0.98140197517581296</v>
      </c>
      <c r="BE19">
        <v>0.96854215526506604</v>
      </c>
      <c r="BF19">
        <v>0.324873916178814</v>
      </c>
      <c r="BG19">
        <v>1.0564566479999999</v>
      </c>
      <c r="BH19">
        <v>2.11815155462877E-3</v>
      </c>
      <c r="BJ19">
        <v>4.1703222594997999E-4</v>
      </c>
      <c r="BK19">
        <v>5.1633231645166404</v>
      </c>
      <c r="BL19">
        <v>0.59521760730442497</v>
      </c>
      <c r="BM19">
        <v>1.03207282476023</v>
      </c>
      <c r="BN19">
        <v>0.836530672397237</v>
      </c>
      <c r="BO19">
        <v>1.1387801830063</v>
      </c>
      <c r="BP19">
        <v>0.57290348220908205</v>
      </c>
      <c r="BQ19">
        <v>7.2191866242535198E-4</v>
      </c>
      <c r="BS19">
        <v>1.03233054029941E-2</v>
      </c>
    </row>
    <row r="20" spans="1:71" x14ac:dyDescent="0.25">
      <c r="A20" t="s">
        <v>57</v>
      </c>
      <c r="B20">
        <v>1624323</v>
      </c>
      <c r="C20" t="s">
        <v>58</v>
      </c>
      <c r="D20">
        <v>2013</v>
      </c>
      <c r="E20">
        <v>4.5</v>
      </c>
      <c r="F20" s="1">
        <v>42461</v>
      </c>
      <c r="G20" t="s">
        <v>59</v>
      </c>
      <c r="H20">
        <v>6803311.4299999997</v>
      </c>
      <c r="I20">
        <v>66.34</v>
      </c>
      <c r="J20">
        <v>17.46</v>
      </c>
      <c r="K20">
        <v>16.2</v>
      </c>
      <c r="L20">
        <v>95.14</v>
      </c>
      <c r="M20">
        <v>4.8600000000000003</v>
      </c>
      <c r="N20">
        <v>14.03</v>
      </c>
      <c r="O20">
        <v>876.31600000000003</v>
      </c>
      <c r="P20">
        <v>31</v>
      </c>
      <c r="Q20">
        <v>158443.06</v>
      </c>
      <c r="R20">
        <v>126.13</v>
      </c>
      <c r="S20">
        <v>722</v>
      </c>
      <c r="T20">
        <v>5.1790000000000003</v>
      </c>
      <c r="U20">
        <v>110.97</v>
      </c>
      <c r="V20">
        <v>110.97</v>
      </c>
      <c r="W20">
        <v>60.006370821071897</v>
      </c>
      <c r="X20">
        <v>0</v>
      </c>
      <c r="Y20">
        <v>2.14E-4</v>
      </c>
      <c r="AA20">
        <f t="shared" si="0"/>
        <v>1.5129496411857892E-2</v>
      </c>
      <c r="AB20">
        <f t="shared" si="8"/>
        <v>1.4761656584635683E-2</v>
      </c>
      <c r="AC20">
        <f t="shared" si="2"/>
        <v>1.5205005255556155E-2</v>
      </c>
      <c r="AD20">
        <f t="shared" si="3"/>
        <v>1.4979819666515567E-2</v>
      </c>
      <c r="AE20">
        <f t="shared" si="4"/>
        <v>1.6200114408968094E-2</v>
      </c>
      <c r="AF20">
        <f t="shared" si="5"/>
        <v>1.4993979219921997E-2</v>
      </c>
      <c r="AG20">
        <f t="shared" si="6"/>
        <v>1.4811873326961614E-2</v>
      </c>
      <c r="AH20">
        <f t="shared" si="7"/>
        <v>1.2273201315190416E-2</v>
      </c>
      <c r="AJ20">
        <v>4.1006111781000001E-4</v>
      </c>
      <c r="AK20">
        <v>0.88561484401352597</v>
      </c>
      <c r="AL20">
        <v>0.85486090774644297</v>
      </c>
      <c r="AM20">
        <v>3.1044804980090099E-4</v>
      </c>
      <c r="AO20">
        <v>1.1492924691999999E-3</v>
      </c>
      <c r="AP20">
        <v>95.14</v>
      </c>
      <c r="AQ20">
        <v>4.8600000000000003</v>
      </c>
      <c r="AR20">
        <v>8.3058340657429603</v>
      </c>
      <c r="AS20">
        <v>0.92862604096526802</v>
      </c>
      <c r="AT20">
        <v>0.87573275326150102</v>
      </c>
      <c r="AU20">
        <v>1.09951995816992</v>
      </c>
      <c r="AV20">
        <v>3.72848376511533</v>
      </c>
      <c r="AW20">
        <v>0.86625472856145702</v>
      </c>
      <c r="AX20">
        <v>1.1725808797583099</v>
      </c>
      <c r="AY20">
        <v>1.02627374833108</v>
      </c>
      <c r="AZ20">
        <v>1.2506666817599901E-2</v>
      </c>
      <c r="BB20">
        <v>5.0294603598999999E-3</v>
      </c>
      <c r="BC20">
        <v>1.2854866153979201</v>
      </c>
      <c r="BD20">
        <v>0.98140197517581296</v>
      </c>
      <c r="BE20">
        <v>1.452612</v>
      </c>
      <c r="BF20">
        <v>2.2293840012678401E-3</v>
      </c>
      <c r="BG20">
        <v>1.0564566479999999</v>
      </c>
      <c r="BH20" s="2">
        <v>2.17081125420354E-5</v>
      </c>
      <c r="BI20" s="2"/>
      <c r="BJ20">
        <v>1.1069790459874199E-3</v>
      </c>
      <c r="BK20">
        <v>5.1633231645166404</v>
      </c>
      <c r="BL20">
        <v>0.59521760730442497</v>
      </c>
      <c r="BM20">
        <v>1.0369067277891399</v>
      </c>
      <c r="BN20">
        <v>0.84487751648786302</v>
      </c>
      <c r="BO20">
        <v>1.1119510957982399</v>
      </c>
      <c r="BP20">
        <v>0.10932200404648</v>
      </c>
      <c r="BQ20">
        <v>3.6230238632307602E-4</v>
      </c>
      <c r="BS20">
        <v>1.3201125366265901E-2</v>
      </c>
    </row>
    <row r="21" spans="1:71" x14ac:dyDescent="0.25">
      <c r="A21" t="s">
        <v>57</v>
      </c>
      <c r="B21">
        <v>1624582</v>
      </c>
      <c r="C21" t="s">
        <v>58</v>
      </c>
      <c r="D21">
        <v>2013</v>
      </c>
      <c r="E21">
        <v>4.5</v>
      </c>
      <c r="F21" s="1">
        <v>42461</v>
      </c>
      <c r="G21" t="s">
        <v>59</v>
      </c>
      <c r="H21">
        <v>6854723.8200000003</v>
      </c>
      <c r="I21">
        <v>46.56</v>
      </c>
      <c r="J21">
        <v>11.62</v>
      </c>
      <c r="K21">
        <v>41.83</v>
      </c>
      <c r="L21">
        <v>100</v>
      </c>
      <c r="M21">
        <v>0</v>
      </c>
      <c r="N21">
        <v>-37.130000000000003</v>
      </c>
      <c r="O21">
        <v>783.56610000000001</v>
      </c>
      <c r="P21">
        <v>31</v>
      </c>
      <c r="Q21">
        <v>163448.53</v>
      </c>
      <c r="R21">
        <v>134.1</v>
      </c>
      <c r="S21">
        <v>725</v>
      </c>
      <c r="T21">
        <v>5.0289999999999999</v>
      </c>
      <c r="U21">
        <v>110.97</v>
      </c>
      <c r="V21">
        <v>110.97</v>
      </c>
      <c r="W21">
        <v>60.006370821071897</v>
      </c>
      <c r="X21">
        <v>0</v>
      </c>
      <c r="Y21">
        <v>1.8799999999999999E-4</v>
      </c>
      <c r="AA21">
        <f t="shared" si="0"/>
        <v>1.6153415406824672E-2</v>
      </c>
      <c r="AB21">
        <f t="shared" si="8"/>
        <v>1.5234667945004167E-2</v>
      </c>
      <c r="AC21">
        <f t="shared" si="2"/>
        <v>1.4832200793934335E-2</v>
      </c>
      <c r="AD21">
        <f t="shared" si="3"/>
        <v>1.4988364711571021E-2</v>
      </c>
      <c r="AE21">
        <f t="shared" si="4"/>
        <v>1.6200114408968094E-2</v>
      </c>
      <c r="AF21">
        <f t="shared" si="5"/>
        <v>1.4995744490033443E-2</v>
      </c>
      <c r="AG21">
        <f t="shared" si="6"/>
        <v>1.6330897564646573E-2</v>
      </c>
      <c r="AH21">
        <f t="shared" si="7"/>
        <v>1.1719886909190095E-2</v>
      </c>
      <c r="AJ21">
        <v>4.1006111781000001E-4</v>
      </c>
      <c r="AK21">
        <v>0.89353906732465105</v>
      </c>
      <c r="AL21">
        <v>0.84811997034558195</v>
      </c>
      <c r="AM21">
        <v>3.1075593099334E-4</v>
      </c>
      <c r="AO21">
        <v>1.1492924691999999E-3</v>
      </c>
      <c r="AP21">
        <v>100</v>
      </c>
      <c r="AQ21">
        <v>0</v>
      </c>
      <c r="AR21">
        <v>9.27220695034279</v>
      </c>
      <c r="AS21">
        <v>0.88267641216577197</v>
      </c>
      <c r="AT21">
        <v>0.87573275326150102</v>
      </c>
      <c r="AU21">
        <v>1.1796225353504599</v>
      </c>
      <c r="AV21">
        <v>4.0395259825720302</v>
      </c>
      <c r="AW21">
        <v>0.85264414086312501</v>
      </c>
      <c r="AX21">
        <v>1.1725808797583099</v>
      </c>
      <c r="AY21">
        <v>1.0473282993634401</v>
      </c>
      <c r="AZ21">
        <v>1.45754211069156E-2</v>
      </c>
      <c r="BB21">
        <v>5.0294603598999999E-3</v>
      </c>
      <c r="BC21">
        <v>1.2854866153979201</v>
      </c>
      <c r="BD21">
        <v>0.98140197517581296</v>
      </c>
      <c r="BE21">
        <v>1.11599802707118</v>
      </c>
      <c r="BF21">
        <v>7.2318487285728003E-4</v>
      </c>
      <c r="BG21">
        <v>1.0564566479999999</v>
      </c>
      <c r="BH21" s="2">
        <v>5.4100380151518902E-6</v>
      </c>
      <c r="BI21" s="2"/>
      <c r="BJ21">
        <v>4.8439255939052998E-4</v>
      </c>
      <c r="BK21">
        <v>5.1633231645166404</v>
      </c>
      <c r="BL21">
        <v>0.59521760730442497</v>
      </c>
      <c r="BM21">
        <v>1.0369067277891399</v>
      </c>
      <c r="BN21">
        <v>0.86653273975088496</v>
      </c>
      <c r="BO21">
        <v>1.1175989952290499</v>
      </c>
      <c r="BP21">
        <v>5.6558080526360403E-2</v>
      </c>
      <c r="BQ21" s="2">
        <v>8.45488829021132E-5</v>
      </c>
      <c r="BR21" s="2"/>
      <c r="BS21">
        <v>1.4976135958826201E-2</v>
      </c>
    </row>
    <row r="22" spans="1:71" x14ac:dyDescent="0.25">
      <c r="A22" t="s">
        <v>57</v>
      </c>
      <c r="B22">
        <v>1624597</v>
      </c>
      <c r="C22" t="s">
        <v>58</v>
      </c>
      <c r="D22">
        <v>2013</v>
      </c>
      <c r="E22">
        <v>4.5</v>
      </c>
      <c r="F22" s="1">
        <v>42461</v>
      </c>
      <c r="G22" t="s">
        <v>59</v>
      </c>
      <c r="H22">
        <v>1805943.88</v>
      </c>
      <c r="I22">
        <v>84.73</v>
      </c>
      <c r="J22">
        <v>0</v>
      </c>
      <c r="K22">
        <v>15.27</v>
      </c>
      <c r="L22">
        <v>100</v>
      </c>
      <c r="M22">
        <v>0</v>
      </c>
      <c r="N22">
        <v>-8.51</v>
      </c>
      <c r="O22">
        <v>751.20180000000005</v>
      </c>
      <c r="P22">
        <v>31</v>
      </c>
      <c r="Q22">
        <v>129198.72</v>
      </c>
      <c r="R22">
        <v>138.19999999999999</v>
      </c>
      <c r="S22">
        <v>713</v>
      </c>
      <c r="T22">
        <v>4.9539999999999997</v>
      </c>
      <c r="U22">
        <v>110.97</v>
      </c>
      <c r="V22">
        <v>110.97</v>
      </c>
      <c r="W22">
        <v>60.006370821071897</v>
      </c>
      <c r="X22">
        <v>0</v>
      </c>
      <c r="Y22">
        <v>4.6000000000000001E-4</v>
      </c>
      <c r="AA22">
        <f t="shared" si="0"/>
        <v>1.4179156718628841E-2</v>
      </c>
      <c r="AB22">
        <f t="shared" si="8"/>
        <v>1.5234667945004167E-2</v>
      </c>
      <c r="AC22">
        <f t="shared" si="2"/>
        <v>1.4981503329456435E-2</v>
      </c>
      <c r="AD22">
        <f t="shared" si="3"/>
        <v>1.4991485936846275E-2</v>
      </c>
      <c r="AE22">
        <f t="shared" si="4"/>
        <v>1.6200114408968094E-2</v>
      </c>
      <c r="AF22">
        <f t="shared" si="5"/>
        <v>1.4942789133171045E-2</v>
      </c>
      <c r="AG22">
        <f t="shared" si="6"/>
        <v>1.7009090550819762E-2</v>
      </c>
      <c r="AH22">
        <f t="shared" si="7"/>
        <v>1.4076038161860574E-2</v>
      </c>
      <c r="AJ22">
        <v>4.1006111781000001E-4</v>
      </c>
      <c r="AK22">
        <v>0.86737684554000605</v>
      </c>
      <c r="AL22">
        <v>0.84550030084733596</v>
      </c>
      <c r="AM22">
        <v>3.00725449187783E-4</v>
      </c>
      <c r="AO22">
        <v>1.1492924691999999E-3</v>
      </c>
      <c r="AP22">
        <v>100</v>
      </c>
      <c r="AQ22">
        <v>0</v>
      </c>
      <c r="AR22">
        <v>9.6881039577664794</v>
      </c>
      <c r="AS22">
        <v>1.07815646731486</v>
      </c>
      <c r="AT22">
        <v>0.87573275326150102</v>
      </c>
      <c r="AU22">
        <v>1.0251735899525001</v>
      </c>
      <c r="AV22">
        <v>4.1750920608389901</v>
      </c>
      <c r="AW22">
        <v>0.90745453286085098</v>
      </c>
      <c r="AX22">
        <v>1.1725808797583099</v>
      </c>
      <c r="AY22">
        <v>1.00680071031652</v>
      </c>
      <c r="AZ22">
        <v>1.6166328720092701E-2</v>
      </c>
      <c r="BB22">
        <v>5.0294603598999999E-3</v>
      </c>
      <c r="BC22">
        <v>1.2854866153979201</v>
      </c>
      <c r="BD22">
        <v>0.98140197517581296</v>
      </c>
      <c r="BE22">
        <v>1.37594446483044</v>
      </c>
      <c r="BF22">
        <v>3.5115942041367499E-4</v>
      </c>
      <c r="BG22">
        <v>1.0564566479999999</v>
      </c>
      <c r="BH22" s="2">
        <v>3.2388645474396701E-6</v>
      </c>
      <c r="BI22" s="2"/>
      <c r="BJ22">
        <v>6.68706331261949E-4</v>
      </c>
      <c r="BK22">
        <v>5.1633231645166404</v>
      </c>
      <c r="BL22">
        <v>0.59521760730442497</v>
      </c>
      <c r="BM22">
        <v>1.0369067277891399</v>
      </c>
      <c r="BN22">
        <v>0.87444268402281899</v>
      </c>
      <c r="BO22">
        <v>0.94817079954254702</v>
      </c>
      <c r="BP22">
        <v>4.3595508093792902E-2</v>
      </c>
      <c r="BQ22" s="2">
        <v>7.7026448392151199E-5</v>
      </c>
      <c r="BR22" s="2"/>
      <c r="BS22">
        <v>1.6547319482220098E-2</v>
      </c>
    </row>
    <row r="23" spans="1:71" x14ac:dyDescent="0.25">
      <c r="A23" t="s">
        <v>57</v>
      </c>
      <c r="B23">
        <v>1624713</v>
      </c>
      <c r="C23" t="s">
        <v>58</v>
      </c>
      <c r="D23">
        <v>2013</v>
      </c>
      <c r="E23">
        <v>4.5</v>
      </c>
      <c r="F23" s="1">
        <v>42461</v>
      </c>
      <c r="G23" t="s">
        <v>59</v>
      </c>
      <c r="H23">
        <v>5232438.54</v>
      </c>
      <c r="I23">
        <v>73.36</v>
      </c>
      <c r="J23">
        <v>10.42</v>
      </c>
      <c r="K23">
        <v>16.22</v>
      </c>
      <c r="L23">
        <v>100</v>
      </c>
      <c r="M23">
        <v>0</v>
      </c>
      <c r="N23">
        <v>-9.5299999999999994</v>
      </c>
      <c r="O23">
        <v>741.72919999999999</v>
      </c>
      <c r="P23">
        <v>31</v>
      </c>
      <c r="Q23">
        <v>131021</v>
      </c>
      <c r="R23">
        <v>122.81</v>
      </c>
      <c r="S23">
        <v>691</v>
      </c>
      <c r="T23">
        <v>4.9630000000000001</v>
      </c>
      <c r="U23">
        <v>110.97</v>
      </c>
      <c r="V23">
        <v>110.97</v>
      </c>
      <c r="W23">
        <v>60.006370821071897</v>
      </c>
      <c r="X23">
        <v>0</v>
      </c>
      <c r="Y23">
        <v>2.2800000000000001E-4</v>
      </c>
      <c r="AA23">
        <f t="shared" si="0"/>
        <v>1.4766724000413125E-2</v>
      </c>
      <c r="AB23">
        <f t="shared" si="8"/>
        <v>1.5234667945004167E-2</v>
      </c>
      <c r="AC23">
        <f t="shared" si="2"/>
        <v>1.4973134936768655E-2</v>
      </c>
      <c r="AD23">
        <f t="shared" si="3"/>
        <v>1.4992411614064265E-2</v>
      </c>
      <c r="AE23">
        <f t="shared" si="4"/>
        <v>1.6200114408968094E-2</v>
      </c>
      <c r="AF23">
        <f t="shared" si="5"/>
        <v>1.4945515954487031E-2</v>
      </c>
      <c r="AG23">
        <f t="shared" si="6"/>
        <v>1.4215627843292332E-2</v>
      </c>
      <c r="AH23">
        <f t="shared" si="7"/>
        <v>1.9554363637344266E-2</v>
      </c>
      <c r="AJ23">
        <v>4.1006111781000001E-4</v>
      </c>
      <c r="AK23">
        <v>0.84505040750908</v>
      </c>
      <c r="AL23">
        <v>0.85845801642768504</v>
      </c>
      <c r="AM23">
        <v>2.97474858932992E-4</v>
      </c>
      <c r="AO23">
        <v>1.1492924691999999E-3</v>
      </c>
      <c r="AP23">
        <v>100</v>
      </c>
      <c r="AQ23">
        <v>0</v>
      </c>
      <c r="AR23">
        <v>7.8594939099961403</v>
      </c>
      <c r="AS23">
        <v>1.5318371659763901</v>
      </c>
      <c r="AT23">
        <v>0.87573275326150102</v>
      </c>
      <c r="AU23">
        <v>1.0711397784588601</v>
      </c>
      <c r="AV23">
        <v>3.58571141526917</v>
      </c>
      <c r="AW23">
        <v>1.00868997911855</v>
      </c>
      <c r="AX23">
        <v>1.1725808797583099</v>
      </c>
      <c r="AY23">
        <v>1.0188403210954999</v>
      </c>
      <c r="AZ23">
        <v>1.9469138964657101E-2</v>
      </c>
      <c r="BB23">
        <v>5.0294603598999999E-3</v>
      </c>
      <c r="BC23">
        <v>1.2854866153979201</v>
      </c>
      <c r="BD23">
        <v>0.98140197517581296</v>
      </c>
      <c r="BE23">
        <v>1.3667551725356599</v>
      </c>
      <c r="BF23">
        <v>1.0586686406483701E-2</v>
      </c>
      <c r="BG23">
        <v>1.0564566479999999</v>
      </c>
      <c r="BH23" s="2">
        <v>9.6992539801375496E-5</v>
      </c>
      <c r="BI23" s="2"/>
      <c r="BJ23">
        <v>6.5557971081321297E-4</v>
      </c>
      <c r="BK23">
        <v>5.1633231645166404</v>
      </c>
      <c r="BL23">
        <v>0.59521760730442497</v>
      </c>
      <c r="BM23">
        <v>1.0369067277891399</v>
      </c>
      <c r="BN23">
        <v>0.87678857531947196</v>
      </c>
      <c r="BO23">
        <v>0.95689513722810704</v>
      </c>
      <c r="BP23">
        <v>0.15171260511696899</v>
      </c>
      <c r="BQ23">
        <v>2.6592010269943002E-4</v>
      </c>
      <c r="BS23">
        <v>2.01295264660909E-2</v>
      </c>
    </row>
    <row r="24" spans="1:71" x14ac:dyDescent="0.25">
      <c r="A24" t="s">
        <v>57</v>
      </c>
      <c r="B24">
        <v>1624718</v>
      </c>
      <c r="C24" t="s">
        <v>58</v>
      </c>
      <c r="D24">
        <v>2013</v>
      </c>
      <c r="E24">
        <v>4.5</v>
      </c>
      <c r="F24" s="1">
        <v>42461</v>
      </c>
      <c r="G24" t="s">
        <v>59</v>
      </c>
      <c r="H24">
        <v>4105865.63</v>
      </c>
      <c r="I24">
        <v>67</v>
      </c>
      <c r="J24">
        <v>4.45</v>
      </c>
      <c r="K24">
        <v>28.55</v>
      </c>
      <c r="L24">
        <v>100</v>
      </c>
      <c r="M24">
        <v>0</v>
      </c>
      <c r="N24">
        <v>-15.01</v>
      </c>
      <c r="O24">
        <v>819.40070000000003</v>
      </c>
      <c r="P24">
        <v>31</v>
      </c>
      <c r="Q24">
        <v>141787.34</v>
      </c>
      <c r="R24">
        <v>141.58000000000001</v>
      </c>
      <c r="S24">
        <v>711</v>
      </c>
      <c r="T24">
        <v>5.0869999999999997</v>
      </c>
      <c r="U24">
        <v>110.97</v>
      </c>
      <c r="V24">
        <v>110.97</v>
      </c>
      <c r="W24">
        <v>60.006370821071897</v>
      </c>
      <c r="X24">
        <v>0</v>
      </c>
      <c r="Y24">
        <v>2.03E-4</v>
      </c>
      <c r="AA24">
        <f t="shared" si="0"/>
        <v>1.5095389603944239E-2</v>
      </c>
      <c r="AB24">
        <f t="shared" si="8"/>
        <v>1.5234667945004167E-2</v>
      </c>
      <c r="AC24">
        <f t="shared" si="2"/>
        <v>1.4934024378641974E-2</v>
      </c>
      <c r="AD24">
        <f t="shared" si="3"/>
        <v>1.4984989048544705E-2</v>
      </c>
      <c r="AE24">
        <f t="shared" si="4"/>
        <v>1.6200114408968094E-2</v>
      </c>
      <c r="AF24">
        <f t="shared" si="5"/>
        <v>1.4964082869804621E-2</v>
      </c>
      <c r="AG24">
        <f t="shared" si="6"/>
        <v>1.7529577649082112E-2</v>
      </c>
      <c r="AH24">
        <f t="shared" si="7"/>
        <v>1.4509721375570675E-2</v>
      </c>
      <c r="AJ24">
        <v>4.1006111781000001E-4</v>
      </c>
      <c r="AK24">
        <v>0.86425403381596699</v>
      </c>
      <c r="AL24">
        <v>0.843687971722619</v>
      </c>
      <c r="AM24">
        <v>2.9900046517287603E-4</v>
      </c>
      <c r="AO24">
        <v>1.1492924691999999E-3</v>
      </c>
      <c r="AP24">
        <v>100</v>
      </c>
      <c r="AQ24">
        <v>0</v>
      </c>
      <c r="AR24">
        <v>10.0058926709989</v>
      </c>
      <c r="AS24">
        <v>1.1140978385944</v>
      </c>
      <c r="AT24">
        <v>0.87573275326150102</v>
      </c>
      <c r="AU24">
        <v>1.0968517361457999</v>
      </c>
      <c r="AV24">
        <v>4.2793114026248897</v>
      </c>
      <c r="AW24">
        <v>0.91666921704057103</v>
      </c>
      <c r="AX24">
        <v>1.1725808797583099</v>
      </c>
      <c r="AY24">
        <v>1.0255748791038</v>
      </c>
      <c r="AZ24">
        <v>1.8459524586035E-2</v>
      </c>
      <c r="BB24">
        <v>5.0294603598999999E-3</v>
      </c>
      <c r="BC24">
        <v>1.2854866153979201</v>
      </c>
      <c r="BD24">
        <v>0.98140197517581296</v>
      </c>
      <c r="BE24">
        <v>1.3173852482991699</v>
      </c>
      <c r="BF24">
        <v>1.87147537003286E-4</v>
      </c>
      <c r="BG24">
        <v>1.0564566479999999</v>
      </c>
      <c r="BH24" s="2">
        <v>1.6526636257725399E-6</v>
      </c>
      <c r="BI24" s="2"/>
      <c r="BJ24">
        <v>5.9756842721057901E-4</v>
      </c>
      <c r="BK24">
        <v>5.1633231645166404</v>
      </c>
      <c r="BL24">
        <v>0.59521760730442497</v>
      </c>
      <c r="BM24">
        <v>1.0369067277891399</v>
      </c>
      <c r="BN24">
        <v>0.85797798831058103</v>
      </c>
      <c r="BO24">
        <v>1.01629911726166</v>
      </c>
      <c r="BP24">
        <v>3.4212727957538401E-2</v>
      </c>
      <c r="BQ24" s="2">
        <v>5.6809087251912798E-5</v>
      </c>
      <c r="BR24" s="2"/>
      <c r="BS24">
        <v>1.88169868020856E-2</v>
      </c>
    </row>
    <row r="25" spans="1:71" x14ac:dyDescent="0.25">
      <c r="A25" t="s">
        <v>57</v>
      </c>
      <c r="B25">
        <v>1624722</v>
      </c>
      <c r="C25" t="s">
        <v>58</v>
      </c>
      <c r="D25">
        <v>2013</v>
      </c>
      <c r="E25">
        <v>4.5</v>
      </c>
      <c r="F25" s="1">
        <v>42461</v>
      </c>
      <c r="G25" t="s">
        <v>59</v>
      </c>
      <c r="H25">
        <v>9559211.4800000004</v>
      </c>
      <c r="I25">
        <v>59.09</v>
      </c>
      <c r="J25">
        <v>6.82</v>
      </c>
      <c r="K25">
        <v>34.090000000000003</v>
      </c>
      <c r="L25">
        <v>99.02</v>
      </c>
      <c r="M25">
        <v>0.98</v>
      </c>
      <c r="N25">
        <v>-42.6</v>
      </c>
      <c r="O25">
        <v>673.56899999999996</v>
      </c>
      <c r="P25">
        <v>31</v>
      </c>
      <c r="Q25">
        <v>170954.59</v>
      </c>
      <c r="R25">
        <v>123.59</v>
      </c>
      <c r="S25">
        <v>720</v>
      </c>
      <c r="T25">
        <v>4.8650000000000002</v>
      </c>
      <c r="U25">
        <v>110.97</v>
      </c>
      <c r="V25">
        <v>110.97</v>
      </c>
      <c r="W25">
        <v>60.006370821071897</v>
      </c>
      <c r="X25">
        <v>0</v>
      </c>
      <c r="Y25" s="2">
        <v>3.4E-5</v>
      </c>
      <c r="Z25" s="2"/>
      <c r="AA25">
        <f t="shared" si="0"/>
        <v>1.5504154529090632E-2</v>
      </c>
      <c r="AB25">
        <f t="shared" si="8"/>
        <v>1.5139287053407228E-2</v>
      </c>
      <c r="AC25">
        <f t="shared" si="2"/>
        <v>1.4809372929151998E-2</v>
      </c>
      <c r="AD25">
        <f t="shared" si="3"/>
        <v>1.499921781911698E-2</v>
      </c>
      <c r="AE25">
        <f t="shared" si="4"/>
        <v>1.6200114408968094E-2</v>
      </c>
      <c r="AF25">
        <f t="shared" si="5"/>
        <v>1.4997585414576291E-2</v>
      </c>
      <c r="AG25">
        <f t="shared" si="6"/>
        <v>1.4334892607967003E-2</v>
      </c>
      <c r="AH25">
        <f t="shared" si="7"/>
        <v>1.2654412991014222E-2</v>
      </c>
      <c r="AI25" s="2"/>
      <c r="AJ25">
        <v>4.1006111781000001E-4</v>
      </c>
      <c r="AK25">
        <v>0.88089243644775905</v>
      </c>
      <c r="AL25">
        <v>0.85756537107896602</v>
      </c>
      <c r="AM25">
        <v>3.0976953793878401E-4</v>
      </c>
      <c r="AO25">
        <v>1.1492924691999999E-3</v>
      </c>
      <c r="AP25">
        <v>99.02</v>
      </c>
      <c r="AQ25">
        <v>0.98</v>
      </c>
      <c r="AR25">
        <v>7.9666508077715896</v>
      </c>
      <c r="AS25">
        <v>0.96026511119812497</v>
      </c>
      <c r="AT25">
        <v>0.87573275326150102</v>
      </c>
      <c r="AU25">
        <v>1.1288299728287701</v>
      </c>
      <c r="AV25">
        <v>3.6199447065427601</v>
      </c>
      <c r="AW25">
        <v>0.87536612232008004</v>
      </c>
      <c r="AX25">
        <v>1.1725808797583099</v>
      </c>
      <c r="AY25">
        <v>1.03395072090343</v>
      </c>
      <c r="AZ25">
        <v>1.29744762762863E-2</v>
      </c>
      <c r="BB25">
        <v>5.0294603598999999E-3</v>
      </c>
      <c r="BC25">
        <v>1.2854866153979201</v>
      </c>
      <c r="BD25">
        <v>0.98140197517581296</v>
      </c>
      <c r="BE25">
        <v>1.06504287568681</v>
      </c>
      <c r="BF25">
        <v>6.0697041348268498E-3</v>
      </c>
      <c r="BG25">
        <v>1.0564566479999999</v>
      </c>
      <c r="BH25" s="2">
        <v>4.3333340602399E-5</v>
      </c>
      <c r="BI25" s="2"/>
      <c r="BJ25">
        <v>4.6203651542563499E-4</v>
      </c>
      <c r="BK25">
        <v>5.1633231645166404</v>
      </c>
      <c r="BL25">
        <v>0.59521760730442497</v>
      </c>
      <c r="BM25">
        <v>1.0369067277891399</v>
      </c>
      <c r="BN25">
        <v>0.89403715493888303</v>
      </c>
      <c r="BO25">
        <v>1.1234889474863901</v>
      </c>
      <c r="BP25">
        <v>0.14032545124153301</v>
      </c>
      <c r="BQ25">
        <v>2.0753047936983201E-4</v>
      </c>
      <c r="BS25">
        <v>1.3535109634197301E-2</v>
      </c>
    </row>
    <row r="26" spans="1:71" x14ac:dyDescent="0.25">
      <c r="A26" t="s">
        <v>57</v>
      </c>
      <c r="B26">
        <v>1624828</v>
      </c>
      <c r="C26" t="s">
        <v>58</v>
      </c>
      <c r="D26">
        <v>2013</v>
      </c>
      <c r="E26">
        <v>4.5</v>
      </c>
      <c r="F26" s="1">
        <v>42461</v>
      </c>
      <c r="G26" t="s">
        <v>59</v>
      </c>
      <c r="H26">
        <v>18473926.899999999</v>
      </c>
      <c r="I26">
        <v>59.75</v>
      </c>
      <c r="J26">
        <v>2.96</v>
      </c>
      <c r="K26">
        <v>37.29</v>
      </c>
      <c r="L26">
        <v>99.65</v>
      </c>
      <c r="M26">
        <v>0.35</v>
      </c>
      <c r="N26">
        <v>-24.88</v>
      </c>
      <c r="O26">
        <v>842.32740000000001</v>
      </c>
      <c r="P26">
        <v>31</v>
      </c>
      <c r="Q26">
        <v>179614.85</v>
      </c>
      <c r="R26">
        <v>125.94</v>
      </c>
      <c r="S26">
        <v>718</v>
      </c>
      <c r="T26">
        <v>5.12</v>
      </c>
      <c r="U26">
        <v>110.97</v>
      </c>
      <c r="V26">
        <v>110.97</v>
      </c>
      <c r="W26">
        <v>60.006370821071897</v>
      </c>
      <c r="X26">
        <v>0</v>
      </c>
      <c r="Y26" s="2">
        <v>3.4999999999999997E-5</v>
      </c>
      <c r="Z26" s="2"/>
      <c r="AA26">
        <f t="shared" si="0"/>
        <v>1.5470047721176978E-2</v>
      </c>
      <c r="AB26">
        <f t="shared" si="8"/>
        <v>1.5200603340862404E-2</v>
      </c>
      <c r="AC26">
        <f t="shared" si="2"/>
        <v>1.4882000904809588E-2</v>
      </c>
      <c r="AD26">
        <f t="shared" si="3"/>
        <v>1.4982877050095432E-2</v>
      </c>
      <c r="AE26">
        <f t="shared" si="4"/>
        <v>1.6200114408968094E-2</v>
      </c>
      <c r="AF26">
        <f t="shared" si="5"/>
        <v>1.4999205832434973E-2</v>
      </c>
      <c r="AG26">
        <f t="shared" si="6"/>
        <v>1.4774348092566E-2</v>
      </c>
      <c r="AH26">
        <f t="shared" si="7"/>
        <v>1.3046208908574329E-2</v>
      </c>
      <c r="AI26" s="2"/>
      <c r="AJ26">
        <v>4.1006111781000001E-4</v>
      </c>
      <c r="AK26">
        <v>0.87657864348305103</v>
      </c>
      <c r="AL26">
        <v>0.85505290618532603</v>
      </c>
      <c r="AM26">
        <v>3.0734946689936699E-4</v>
      </c>
      <c r="AO26">
        <v>1.1492924691999999E-3</v>
      </c>
      <c r="AP26">
        <v>99.65</v>
      </c>
      <c r="AQ26">
        <v>0.35</v>
      </c>
      <c r="AR26">
        <v>8.2809389490847405</v>
      </c>
      <c r="AS26">
        <v>0.99276948068661897</v>
      </c>
      <c r="AT26">
        <v>0.87573275326150102</v>
      </c>
      <c r="AU26">
        <v>1.12616175080465</v>
      </c>
      <c r="AV26">
        <v>3.7205083931674401</v>
      </c>
      <c r="AW26">
        <v>0.88450477839013997</v>
      </c>
      <c r="AX26">
        <v>1.1725808797583099</v>
      </c>
      <c r="AY26">
        <v>1.03325185167615</v>
      </c>
      <c r="AZ26">
        <v>1.39524011579605E-2</v>
      </c>
      <c r="BB26">
        <v>5.0294603598999999E-3</v>
      </c>
      <c r="BC26">
        <v>1.2854866153979201</v>
      </c>
      <c r="BD26">
        <v>0.98140197517581296</v>
      </c>
      <c r="BE26">
        <v>1.22846530489955</v>
      </c>
      <c r="BF26">
        <v>2.2809815403127898E-3</v>
      </c>
      <c r="BG26">
        <v>1.0564566479999999</v>
      </c>
      <c r="BH26" s="2">
        <v>1.87833141749157E-5</v>
      </c>
      <c r="BI26" s="2"/>
      <c r="BJ26">
        <v>5.3248470490897598E-4</v>
      </c>
      <c r="BK26">
        <v>5.1633231645166404</v>
      </c>
      <c r="BL26">
        <v>0.59521760730442497</v>
      </c>
      <c r="BM26">
        <v>1.0369067277891399</v>
      </c>
      <c r="BN26">
        <v>0.85262567037037396</v>
      </c>
      <c r="BO26">
        <v>1.1286733988869899</v>
      </c>
      <c r="BP26">
        <v>0.111342780199801</v>
      </c>
      <c r="BQ26">
        <v>1.8181958502566401E-4</v>
      </c>
      <c r="BS26">
        <v>1.44603535240604E-2</v>
      </c>
    </row>
    <row r="27" spans="1:71" x14ac:dyDescent="0.25">
      <c r="A27" t="s">
        <v>57</v>
      </c>
      <c r="B27">
        <v>1625364</v>
      </c>
      <c r="C27" t="s">
        <v>58</v>
      </c>
      <c r="D27">
        <v>2013</v>
      </c>
      <c r="E27">
        <v>4.5</v>
      </c>
      <c r="F27" s="1">
        <v>42461</v>
      </c>
      <c r="G27" t="s">
        <v>59</v>
      </c>
      <c r="H27">
        <v>11077119.82</v>
      </c>
      <c r="I27">
        <v>65.61</v>
      </c>
      <c r="J27">
        <v>7.4</v>
      </c>
      <c r="K27">
        <v>26.98</v>
      </c>
      <c r="L27">
        <v>98.26</v>
      </c>
      <c r="M27">
        <v>1.74</v>
      </c>
      <c r="N27">
        <v>-34.770000000000003</v>
      </c>
      <c r="O27">
        <v>677.55970000000002</v>
      </c>
      <c r="P27">
        <v>31</v>
      </c>
      <c r="Q27">
        <v>160775.89000000001</v>
      </c>
      <c r="R27">
        <v>125.06</v>
      </c>
      <c r="S27">
        <v>708</v>
      </c>
      <c r="T27">
        <v>4.8650000000000002</v>
      </c>
      <c r="U27">
        <v>110.97</v>
      </c>
      <c r="V27">
        <v>110.97</v>
      </c>
      <c r="W27">
        <v>60.006370821071897</v>
      </c>
      <c r="X27">
        <v>0</v>
      </c>
      <c r="Y27">
        <v>1.9599999999999999E-4</v>
      </c>
      <c r="AA27">
        <f t="shared" si="0"/>
        <v>1.5165472311296904E-2</v>
      </c>
      <c r="AB27">
        <f t="shared" si="8"/>
        <v>1.5065318198699402E-2</v>
      </c>
      <c r="AC27">
        <f t="shared" si="2"/>
        <v>1.4841709225106367E-2</v>
      </c>
      <c r="AD27">
        <f t="shared" si="3"/>
        <v>1.4998812819509686E-2</v>
      </c>
      <c r="AE27">
        <f t="shared" si="4"/>
        <v>1.6200114408968094E-2</v>
      </c>
      <c r="AF27">
        <f t="shared" si="5"/>
        <v>1.4994979926903957E-2</v>
      </c>
      <c r="AG27">
        <f t="shared" si="6"/>
        <v>1.4600361196107789E-2</v>
      </c>
      <c r="AH27">
        <f t="shared" si="7"/>
        <v>1.5185477901774115E-2</v>
      </c>
      <c r="AJ27">
        <v>4.1006111781000001E-4</v>
      </c>
      <c r="AK27">
        <v>0.860086829338232</v>
      </c>
      <c r="AL27">
        <v>0.85596348982570303</v>
      </c>
      <c r="AM27">
        <v>3.0188819394775602E-4</v>
      </c>
      <c r="AO27">
        <v>1.1492924691999999E-3</v>
      </c>
      <c r="AP27">
        <v>98.26</v>
      </c>
      <c r="AQ27">
        <v>1.74</v>
      </c>
      <c r="AR27">
        <v>8.1646693453227197</v>
      </c>
      <c r="AS27">
        <v>1.17008616983616</v>
      </c>
      <c r="AT27">
        <v>0.87573275326150102</v>
      </c>
      <c r="AU27">
        <v>1.1023344017690899</v>
      </c>
      <c r="AV27">
        <v>3.6832785916055499</v>
      </c>
      <c r="AW27">
        <v>0.93052081572146395</v>
      </c>
      <c r="AX27">
        <v>1.1725808797583099</v>
      </c>
      <c r="AY27">
        <v>1.02693708798269</v>
      </c>
      <c r="AZ27">
        <v>1.5745919782069E-2</v>
      </c>
      <c r="BB27">
        <v>5.0294603598999999E-3</v>
      </c>
      <c r="BC27">
        <v>1.2854866153979201</v>
      </c>
      <c r="BD27">
        <v>0.98140197517581296</v>
      </c>
      <c r="BE27">
        <v>1.1382499312025001</v>
      </c>
      <c r="BF27">
        <v>2.5308641957019198E-3</v>
      </c>
      <c r="BG27">
        <v>1.0564566479999999</v>
      </c>
      <c r="BH27" s="2">
        <v>1.9310522781630201E-5</v>
      </c>
      <c r="BI27" s="2"/>
      <c r="BJ27">
        <v>4.9317046838270298E-4</v>
      </c>
      <c r="BK27">
        <v>5.1633231645166404</v>
      </c>
      <c r="BL27">
        <v>0.59521760730442497</v>
      </c>
      <c r="BM27">
        <v>1.0369067277891399</v>
      </c>
      <c r="BN27">
        <v>0.89301078739365802</v>
      </c>
      <c r="BO27">
        <v>1.1151528111375399</v>
      </c>
      <c r="BP27">
        <v>0.121308197316737</v>
      </c>
      <c r="BQ27">
        <v>1.8985545066509501E-4</v>
      </c>
      <c r="BS27">
        <v>1.6256973949463498E-2</v>
      </c>
    </row>
    <row r="28" spans="1:71" x14ac:dyDescent="0.25">
      <c r="A28" t="s">
        <v>57</v>
      </c>
      <c r="B28">
        <v>1625406</v>
      </c>
      <c r="C28" t="s">
        <v>58</v>
      </c>
      <c r="D28">
        <v>2013</v>
      </c>
      <c r="E28">
        <v>4.5</v>
      </c>
      <c r="F28" s="1">
        <v>42461</v>
      </c>
      <c r="G28" t="s">
        <v>59</v>
      </c>
      <c r="H28">
        <v>8914541.4000000004</v>
      </c>
      <c r="I28">
        <v>63.15</v>
      </c>
      <c r="J28">
        <v>1.7</v>
      </c>
      <c r="K28">
        <v>35.15</v>
      </c>
      <c r="L28">
        <v>100</v>
      </c>
      <c r="M28">
        <v>0</v>
      </c>
      <c r="N28">
        <v>-48</v>
      </c>
      <c r="O28">
        <v>687.80719999999997</v>
      </c>
      <c r="P28">
        <v>32</v>
      </c>
      <c r="Q28">
        <v>175057.21</v>
      </c>
      <c r="R28">
        <v>114.58</v>
      </c>
      <c r="S28">
        <v>713</v>
      </c>
      <c r="T28">
        <v>4.8570000000000002</v>
      </c>
      <c r="U28">
        <v>110.97</v>
      </c>
      <c r="V28">
        <v>110.97</v>
      </c>
      <c r="W28">
        <v>60.006370821071897</v>
      </c>
      <c r="X28">
        <v>0</v>
      </c>
      <c r="Y28">
        <v>2.2000000000000001E-4</v>
      </c>
      <c r="AA28">
        <f t="shared" si="0"/>
        <v>1.5294345983440247E-2</v>
      </c>
      <c r="AB28">
        <f t="shared" si="8"/>
        <v>1.5234667945004167E-2</v>
      </c>
      <c r="AC28">
        <f t="shared" si="2"/>
        <v>1.4787982550676062E-2</v>
      </c>
      <c r="AD28">
        <f t="shared" si="3"/>
        <v>1.4997776325283254E-2</v>
      </c>
      <c r="AE28">
        <f t="shared" si="4"/>
        <v>1.6863500006189053E-2</v>
      </c>
      <c r="AF28">
        <f t="shared" si="5"/>
        <v>1.4998415555877026E-2</v>
      </c>
      <c r="AG28">
        <f t="shared" si="6"/>
        <v>1.3729351708714638E-2</v>
      </c>
      <c r="AH28">
        <f t="shared" si="7"/>
        <v>1.4076346505675196E-2</v>
      </c>
      <c r="AJ28">
        <v>4.1329451855999998E-4</v>
      </c>
      <c r="AK28">
        <v>0.868266933824972</v>
      </c>
      <c r="AL28">
        <v>0.87079298413841499</v>
      </c>
      <c r="AM28">
        <v>3.12484031355018E-4</v>
      </c>
      <c r="AO28">
        <v>1.1492924691999999E-3</v>
      </c>
      <c r="AP28">
        <v>100</v>
      </c>
      <c r="AQ28">
        <v>0</v>
      </c>
      <c r="AR28">
        <v>6.6184214276882196</v>
      </c>
      <c r="AS28">
        <v>1.07815646731486</v>
      </c>
      <c r="AT28">
        <v>0.91397538553573898</v>
      </c>
      <c r="AU28">
        <v>1.11241636461981</v>
      </c>
      <c r="AV28">
        <v>3.1913733541829599</v>
      </c>
      <c r="AW28">
        <v>0.90745453286085098</v>
      </c>
      <c r="AX28">
        <v>1.1830140507296001</v>
      </c>
      <c r="AY28">
        <v>1.0296516162629099</v>
      </c>
      <c r="AZ28">
        <v>1.25071943572427E-2</v>
      </c>
      <c r="BB28">
        <v>5.0294603598999999E-3</v>
      </c>
      <c r="BC28">
        <v>1.29093287777327</v>
      </c>
      <c r="BD28">
        <v>0.98140197517581296</v>
      </c>
      <c r="BE28">
        <v>1.01808896515564</v>
      </c>
      <c r="BF28">
        <v>0.14952701153242801</v>
      </c>
      <c r="BG28">
        <v>1.0564566479999999</v>
      </c>
      <c r="BH28">
        <v>1.0247762295477901E-3</v>
      </c>
      <c r="BJ28">
        <v>4.40676425368516E-4</v>
      </c>
      <c r="BK28">
        <v>5.1633231645166404</v>
      </c>
      <c r="BL28">
        <v>0.59521760730442497</v>
      </c>
      <c r="BM28">
        <v>1.03207282476023</v>
      </c>
      <c r="BN28">
        <v>0.89038405883476202</v>
      </c>
      <c r="BO28">
        <v>1.1261449458797901</v>
      </c>
      <c r="BP28">
        <v>0.356681973488504</v>
      </c>
      <c r="BQ28">
        <v>4.9990567521093299E-4</v>
      </c>
      <c r="BS28">
        <v>1.43443602933564E-2</v>
      </c>
    </row>
    <row r="29" spans="1:71" x14ac:dyDescent="0.25">
      <c r="A29" t="s">
        <v>57</v>
      </c>
      <c r="B29">
        <v>1625407</v>
      </c>
      <c r="C29" t="s">
        <v>58</v>
      </c>
      <c r="D29">
        <v>2013</v>
      </c>
      <c r="E29">
        <v>4.5</v>
      </c>
      <c r="F29" s="1">
        <v>42461</v>
      </c>
      <c r="G29" t="s">
        <v>59</v>
      </c>
      <c r="H29">
        <v>1430530.33</v>
      </c>
      <c r="I29">
        <v>72.67</v>
      </c>
      <c r="J29">
        <v>14.13</v>
      </c>
      <c r="K29">
        <v>13.2</v>
      </c>
      <c r="L29">
        <v>100</v>
      </c>
      <c r="M29">
        <v>0</v>
      </c>
      <c r="N29">
        <v>5.2</v>
      </c>
      <c r="O29">
        <v>794.14829999999995</v>
      </c>
      <c r="P29">
        <v>31</v>
      </c>
      <c r="Q29">
        <v>238778.52</v>
      </c>
      <c r="R29">
        <v>123.44</v>
      </c>
      <c r="S29">
        <v>745</v>
      </c>
      <c r="T29">
        <v>5.0469999999999997</v>
      </c>
      <c r="U29">
        <v>110.97</v>
      </c>
      <c r="V29">
        <v>110.97</v>
      </c>
      <c r="W29">
        <v>60.006370821071897</v>
      </c>
      <c r="X29">
        <v>0</v>
      </c>
      <c r="Y29">
        <v>5.4000000000000001E-4</v>
      </c>
      <c r="AA29">
        <f t="shared" si="0"/>
        <v>1.480238111777742E-2</v>
      </c>
      <c r="AB29">
        <f t="shared" si="8"/>
        <v>1.5234667945004167E-2</v>
      </c>
      <c r="AC29">
        <f t="shared" si="2"/>
        <v>1.5113104509787399E-2</v>
      </c>
      <c r="AD29">
        <f t="shared" si="3"/>
        <v>1.4987358755193367E-2</v>
      </c>
      <c r="AE29">
        <f t="shared" si="4"/>
        <v>1.6200114408968094E-2</v>
      </c>
      <c r="AF29">
        <f t="shared" si="5"/>
        <v>1.5002454229243437E-2</v>
      </c>
      <c r="AG29">
        <f t="shared" si="6"/>
        <v>1.4310828317424298E-2</v>
      </c>
      <c r="AH29">
        <f t="shared" si="7"/>
        <v>8.4624674644237213E-3</v>
      </c>
      <c r="AJ29">
        <v>4.1006111781000001E-4</v>
      </c>
      <c r="AK29">
        <v>0.98140133524059303</v>
      </c>
      <c r="AL29">
        <v>0.85773469038579697</v>
      </c>
      <c r="AM29">
        <v>3.4518205574551701E-4</v>
      </c>
      <c r="AO29">
        <v>1.1492924691999999E-3</v>
      </c>
      <c r="AP29">
        <v>100</v>
      </c>
      <c r="AQ29">
        <v>0</v>
      </c>
      <c r="AR29">
        <v>7.9461604191959001</v>
      </c>
      <c r="AS29">
        <v>0.61106897762358403</v>
      </c>
      <c r="AT29">
        <v>0.87573275326150102</v>
      </c>
      <c r="AU29">
        <v>1.07392928330226</v>
      </c>
      <c r="AV29">
        <v>3.6133964764098598</v>
      </c>
      <c r="AW29">
        <v>0.764229553165505</v>
      </c>
      <c r="AX29">
        <v>1.1725808797583099</v>
      </c>
      <c r="AY29">
        <v>1.01957095710584</v>
      </c>
      <c r="AZ29">
        <v>7.8725723846121993E-3</v>
      </c>
      <c r="BB29">
        <v>5.0294603598999999E-3</v>
      </c>
      <c r="BC29">
        <v>1.2854866153979201</v>
      </c>
      <c r="BD29">
        <v>0.98140197517581296</v>
      </c>
      <c r="BE29">
        <v>1.452612</v>
      </c>
      <c r="BF29">
        <v>6.8000898209758997E-3</v>
      </c>
      <c r="BG29">
        <v>1.0564566479999999</v>
      </c>
      <c r="BH29" s="2">
        <v>6.6214306304227994E-5</v>
      </c>
      <c r="BI29" s="2"/>
      <c r="BJ29">
        <v>9.1038720943124798E-4</v>
      </c>
      <c r="BK29">
        <v>5.1633231645166404</v>
      </c>
      <c r="BL29">
        <v>0.59521760730442497</v>
      </c>
      <c r="BM29">
        <v>1.0369067277891399</v>
      </c>
      <c r="BN29">
        <v>0.86398340153094999</v>
      </c>
      <c r="BO29">
        <v>1.1390664930467</v>
      </c>
      <c r="BP29">
        <v>0.142442917851208</v>
      </c>
      <c r="BQ29">
        <v>4.0669258516655698E-4</v>
      </c>
      <c r="BS29">
        <v>8.6906613318284993E-3</v>
      </c>
    </row>
    <row r="30" spans="1:71" x14ac:dyDescent="0.25">
      <c r="A30" t="s">
        <v>57</v>
      </c>
      <c r="B30">
        <v>1625516</v>
      </c>
      <c r="C30" t="s">
        <v>58</v>
      </c>
      <c r="D30">
        <v>2013</v>
      </c>
      <c r="E30">
        <v>4.5</v>
      </c>
      <c r="F30" s="1">
        <v>42461</v>
      </c>
      <c r="G30" t="s">
        <v>59</v>
      </c>
      <c r="H30">
        <v>8025293.79</v>
      </c>
      <c r="I30">
        <v>84.33</v>
      </c>
      <c r="J30">
        <v>1.47</v>
      </c>
      <c r="K30">
        <v>14.2</v>
      </c>
      <c r="L30">
        <v>90.76</v>
      </c>
      <c r="M30">
        <v>9.24</v>
      </c>
      <c r="N30">
        <v>11.45</v>
      </c>
      <c r="O30">
        <v>855.09119999999996</v>
      </c>
      <c r="P30">
        <v>31</v>
      </c>
      <c r="Q30">
        <v>167435.82</v>
      </c>
      <c r="R30">
        <v>130.96</v>
      </c>
      <c r="S30">
        <v>699</v>
      </c>
      <c r="T30">
        <v>5.1420000000000003</v>
      </c>
      <c r="U30">
        <v>110.97</v>
      </c>
      <c r="V30">
        <v>110.97</v>
      </c>
      <c r="W30">
        <v>60.006370821071897</v>
      </c>
      <c r="X30">
        <v>0</v>
      </c>
      <c r="Y30" s="2">
        <v>8.3999999999999995E-5</v>
      </c>
      <c r="Z30" s="2"/>
      <c r="AA30">
        <f t="shared" si="0"/>
        <v>1.4199827511303749E-2</v>
      </c>
      <c r="AB30">
        <f t="shared" si="8"/>
        <v>1.4335362395661619E-2</v>
      </c>
      <c r="AC30">
        <f t="shared" si="2"/>
        <v>1.5177617265189026E-2</v>
      </c>
      <c r="AD30">
        <f t="shared" si="3"/>
        <v>1.4981718318558462E-2</v>
      </c>
      <c r="AE30">
        <f t="shared" si="4"/>
        <v>1.6200114408968094E-2</v>
      </c>
      <c r="AF30">
        <f t="shared" si="5"/>
        <v>1.4996776615217696E-2</v>
      </c>
      <c r="AG30">
        <f t="shared" si="6"/>
        <v>1.5759628760541804E-2</v>
      </c>
      <c r="AH30">
        <f t="shared" si="7"/>
        <v>1.7412271335291614E-2</v>
      </c>
      <c r="AI30" s="2"/>
      <c r="AJ30">
        <v>4.1006111781000001E-4</v>
      </c>
      <c r="AK30">
        <v>0.85062445339023496</v>
      </c>
      <c r="AL30">
        <v>0.85048953265635696</v>
      </c>
      <c r="AM30">
        <v>2.9665756497840898E-4</v>
      </c>
      <c r="AO30">
        <v>1.1492924691999999E-3</v>
      </c>
      <c r="AP30">
        <v>90.76</v>
      </c>
      <c r="AQ30">
        <v>9.24</v>
      </c>
      <c r="AR30">
        <v>8.9162927579580291</v>
      </c>
      <c r="AS30">
        <v>1.35450089661558</v>
      </c>
      <c r="AT30">
        <v>0.87573275326150102</v>
      </c>
      <c r="AU30">
        <v>1.0267906942095399</v>
      </c>
      <c r="AV30">
        <v>3.9244556836227198</v>
      </c>
      <c r="AW30">
        <v>0.97220097434356301</v>
      </c>
      <c r="AX30">
        <v>1.1725808797583099</v>
      </c>
      <c r="AY30">
        <v>1.00722426742396</v>
      </c>
      <c r="AZ30">
        <v>1.7709358751643801E-2</v>
      </c>
      <c r="BB30">
        <v>5.0294603598999999E-3</v>
      </c>
      <c r="BC30">
        <v>1.2854866153979201</v>
      </c>
      <c r="BD30">
        <v>0.98140197517581296</v>
      </c>
      <c r="BE30">
        <v>1.452612</v>
      </c>
      <c r="BF30">
        <v>1.17540572241049E-3</v>
      </c>
      <c r="BG30">
        <v>1.0564566479999999</v>
      </c>
      <c r="BH30" s="2">
        <v>1.14452421342078E-5</v>
      </c>
      <c r="BI30" s="2"/>
      <c r="BJ30">
        <v>1.0483913241923801E-3</v>
      </c>
      <c r="BK30">
        <v>5.1633231645166404</v>
      </c>
      <c r="BL30">
        <v>0.59521760730442497</v>
      </c>
      <c r="BM30">
        <v>1.0369067277891399</v>
      </c>
      <c r="BN30">
        <v>0.84968916272505102</v>
      </c>
      <c r="BO30">
        <v>1.12090123164198</v>
      </c>
      <c r="BP30">
        <v>7.1159227314189596E-2</v>
      </c>
      <c r="BQ30">
        <v>2.2642628298926199E-4</v>
      </c>
      <c r="BS30">
        <v>1.8243887841745701E-2</v>
      </c>
    </row>
    <row r="31" spans="1:71" x14ac:dyDescent="0.25">
      <c r="A31" t="s">
        <v>57</v>
      </c>
      <c r="B31">
        <v>1625556</v>
      </c>
      <c r="C31" t="s">
        <v>58</v>
      </c>
      <c r="D31">
        <v>2013</v>
      </c>
      <c r="E31">
        <v>4.5</v>
      </c>
      <c r="F31" s="1">
        <v>42461</v>
      </c>
      <c r="G31" t="s">
        <v>59</v>
      </c>
      <c r="H31">
        <v>1847077.28</v>
      </c>
      <c r="I31">
        <v>81.180000000000007</v>
      </c>
      <c r="J31">
        <v>0</v>
      </c>
      <c r="K31">
        <v>18.82</v>
      </c>
      <c r="L31">
        <v>100</v>
      </c>
      <c r="M31">
        <v>0</v>
      </c>
      <c r="N31">
        <v>-15.49</v>
      </c>
      <c r="O31">
        <v>720.41690000000006</v>
      </c>
      <c r="P31">
        <v>31</v>
      </c>
      <c r="Q31">
        <v>168181.71</v>
      </c>
      <c r="R31">
        <v>117.87</v>
      </c>
      <c r="S31">
        <v>766</v>
      </c>
      <c r="T31">
        <v>4.9130000000000003</v>
      </c>
      <c r="U31">
        <v>110.97</v>
      </c>
      <c r="V31">
        <v>110.97</v>
      </c>
      <c r="W31">
        <v>60.006370821071897</v>
      </c>
      <c r="X31">
        <v>0</v>
      </c>
      <c r="Y31">
        <v>8.5800000000000004E-4</v>
      </c>
      <c r="AA31">
        <f t="shared" si="0"/>
        <v>1.4362610003618664E-2</v>
      </c>
      <c r="AB31">
        <f t="shared" si="8"/>
        <v>1.5234667945004167E-2</v>
      </c>
      <c r="AC31">
        <f t="shared" si="2"/>
        <v>1.493101003992881E-2</v>
      </c>
      <c r="AD31">
        <f t="shared" si="3"/>
        <v>1.4994513198375406E-2</v>
      </c>
      <c r="AE31">
        <f t="shared" si="4"/>
        <v>1.6200114408968094E-2</v>
      </c>
      <c r="AF31">
        <f t="shared" si="5"/>
        <v>1.4996955836838237E-2</v>
      </c>
      <c r="AG31">
        <f t="shared" si="6"/>
        <v>1.3770751202725617E-2</v>
      </c>
      <c r="AH31">
        <f t="shared" si="7"/>
        <v>5.8605911971156919E-3</v>
      </c>
      <c r="AJ31">
        <v>4.1006111781000001E-4</v>
      </c>
      <c r="AK31">
        <v>1.1649610409850899</v>
      </c>
      <c r="AL31">
        <v>0.86486063298804094</v>
      </c>
      <c r="AM31">
        <v>4.13148444720765E-4</v>
      </c>
      <c r="AO31">
        <v>1.1492924691999999E-3</v>
      </c>
      <c r="AP31">
        <v>100</v>
      </c>
      <c r="AQ31">
        <v>0</v>
      </c>
      <c r="AR31">
        <v>7.1414202680864101</v>
      </c>
      <c r="AS31">
        <v>0.39103057469041702</v>
      </c>
      <c r="AT31">
        <v>0.87573275326150102</v>
      </c>
      <c r="AU31">
        <v>1.03952539023373</v>
      </c>
      <c r="AV31">
        <v>3.3570664133267099</v>
      </c>
      <c r="AW31">
        <v>0.67776867595821599</v>
      </c>
      <c r="AX31">
        <v>1.1725808797583099</v>
      </c>
      <c r="AY31">
        <v>1.0105597796450501</v>
      </c>
      <c r="AZ31">
        <v>4.3825191497285703E-3</v>
      </c>
      <c r="BB31">
        <v>5.0294603598999999E-3</v>
      </c>
      <c r="BC31">
        <v>1.2854866153979201</v>
      </c>
      <c r="BD31">
        <v>0.98140197517581296</v>
      </c>
      <c r="BE31">
        <v>1.3130608751284401</v>
      </c>
      <c r="BF31">
        <v>7.6413639464650102E-2</v>
      </c>
      <c r="BG31">
        <v>1.0564566479999999</v>
      </c>
      <c r="BH31">
        <v>6.7257899922239001E-4</v>
      </c>
      <c r="BJ31">
        <v>5.9336721159083104E-4</v>
      </c>
      <c r="BK31">
        <v>5.1633231645166404</v>
      </c>
      <c r="BL31">
        <v>0.59521760730442497</v>
      </c>
      <c r="BM31">
        <v>1.0369067277891399</v>
      </c>
      <c r="BN31">
        <v>0.88211450129978597</v>
      </c>
      <c r="BO31">
        <v>1.12147464286221</v>
      </c>
      <c r="BP31">
        <v>0.252293332279247</v>
      </c>
      <c r="BQ31">
        <v>4.7194186783534598E-4</v>
      </c>
      <c r="BS31">
        <v>5.9401884615070703E-3</v>
      </c>
    </row>
    <row r="32" spans="1:71" x14ac:dyDescent="0.25">
      <c r="A32" t="s">
        <v>57</v>
      </c>
      <c r="B32">
        <v>1625725</v>
      </c>
      <c r="C32" t="s">
        <v>58</v>
      </c>
      <c r="D32">
        <v>2013</v>
      </c>
      <c r="E32">
        <v>4.5</v>
      </c>
      <c r="F32" s="1">
        <v>42461</v>
      </c>
      <c r="G32" t="s">
        <v>59</v>
      </c>
      <c r="H32">
        <v>14420423.300000001</v>
      </c>
      <c r="I32">
        <v>70.16</v>
      </c>
      <c r="J32">
        <v>6.02</v>
      </c>
      <c r="K32">
        <v>23.83</v>
      </c>
      <c r="L32">
        <v>100</v>
      </c>
      <c r="M32">
        <v>0</v>
      </c>
      <c r="N32">
        <v>-32.090000000000003</v>
      </c>
      <c r="O32">
        <v>674.23479999999995</v>
      </c>
      <c r="P32">
        <v>32</v>
      </c>
      <c r="Q32">
        <v>171932.68</v>
      </c>
      <c r="R32">
        <v>120.36</v>
      </c>
      <c r="S32">
        <v>703</v>
      </c>
      <c r="T32">
        <v>4.8449999999999998</v>
      </c>
      <c r="U32">
        <v>110.97</v>
      </c>
      <c r="V32">
        <v>110.97</v>
      </c>
      <c r="W32">
        <v>60.006370821071897</v>
      </c>
      <c r="X32">
        <v>0</v>
      </c>
      <c r="Y32">
        <v>2.5399999999999999E-4</v>
      </c>
      <c r="AA32">
        <f t="shared" si="0"/>
        <v>1.4933838639004998E-2</v>
      </c>
      <c r="AB32">
        <f t="shared" si="8"/>
        <v>1.5234667945004167E-2</v>
      </c>
      <c r="AC32">
        <f t="shared" si="2"/>
        <v>1.4852345457199049E-2</v>
      </c>
      <c r="AD32">
        <f t="shared" si="3"/>
        <v>1.4999150197857443E-2</v>
      </c>
      <c r="AE32">
        <f t="shared" si="4"/>
        <v>1.6863500006189053E-2</v>
      </c>
      <c r="AF32">
        <f t="shared" si="5"/>
        <v>1.4997794054989896E-2</v>
      </c>
      <c r="AG32">
        <f t="shared" si="6"/>
        <v>1.3930220555376334E-2</v>
      </c>
      <c r="AH32">
        <f t="shared" si="7"/>
        <v>1.6384508980241207E-2</v>
      </c>
      <c r="AJ32">
        <v>4.1329451855999998E-4</v>
      </c>
      <c r="AK32">
        <v>0.85531025020400897</v>
      </c>
      <c r="AL32">
        <v>0.86239527060258903</v>
      </c>
      <c r="AM32">
        <v>3.0485244901951801E-4</v>
      </c>
      <c r="AO32">
        <v>1.1492924691999999E-3</v>
      </c>
      <c r="AP32">
        <v>100</v>
      </c>
      <c r="AQ32">
        <v>0</v>
      </c>
      <c r="AR32">
        <v>7.5124388143606504</v>
      </c>
      <c r="AS32">
        <v>1.26936901364002</v>
      </c>
      <c r="AT32">
        <v>0.91397538553573898</v>
      </c>
      <c r="AU32">
        <v>1.0842133841851</v>
      </c>
      <c r="AV32">
        <v>3.4750373290837802</v>
      </c>
      <c r="AW32">
        <v>0.95366515478870995</v>
      </c>
      <c r="AX32">
        <v>1.1830140507296001</v>
      </c>
      <c r="AY32">
        <v>1.02233843002448</v>
      </c>
      <c r="AZ32">
        <v>1.6290706694608501E-2</v>
      </c>
      <c r="BB32">
        <v>5.0294603598999999E-3</v>
      </c>
      <c r="BC32">
        <v>1.29093287777327</v>
      </c>
      <c r="BD32">
        <v>0.98140197517581296</v>
      </c>
      <c r="BE32">
        <v>1.1632577930219901</v>
      </c>
      <c r="BF32">
        <v>3.5714442814346103E-2</v>
      </c>
      <c r="BG32">
        <v>1.0564566479999999</v>
      </c>
      <c r="BH32">
        <v>2.7966847161615201E-4</v>
      </c>
      <c r="BJ32">
        <v>5.0292892050779903E-4</v>
      </c>
      <c r="BK32">
        <v>5.1633231645166404</v>
      </c>
      <c r="BL32">
        <v>0.59521760730442497</v>
      </c>
      <c r="BM32">
        <v>1.03207282476023</v>
      </c>
      <c r="BN32">
        <v>0.89386578621430901</v>
      </c>
      <c r="BO32">
        <v>1.1241564827636299</v>
      </c>
      <c r="BP32">
        <v>0.19394891136867101</v>
      </c>
      <c r="BQ32">
        <v>3.1089122236902899E-4</v>
      </c>
      <c r="BS32">
        <v>1.7186118837613201E-2</v>
      </c>
    </row>
    <row r="33" spans="1:71" x14ac:dyDescent="0.25">
      <c r="A33" t="s">
        <v>57</v>
      </c>
      <c r="B33">
        <v>1625727</v>
      </c>
      <c r="C33" t="s">
        <v>58</v>
      </c>
      <c r="D33">
        <v>2013</v>
      </c>
      <c r="E33">
        <v>4.5</v>
      </c>
      <c r="F33" s="1">
        <v>42461</v>
      </c>
      <c r="G33" t="s">
        <v>59</v>
      </c>
      <c r="H33">
        <v>3963178.12</v>
      </c>
      <c r="I33">
        <v>65.489999999999995</v>
      </c>
      <c r="J33">
        <v>0</v>
      </c>
      <c r="K33">
        <v>34.51</v>
      </c>
      <c r="L33">
        <v>100</v>
      </c>
      <c r="M33">
        <v>0</v>
      </c>
      <c r="N33">
        <v>-22.69</v>
      </c>
      <c r="O33">
        <v>822.23820000000001</v>
      </c>
      <c r="P33">
        <v>30</v>
      </c>
      <c r="Q33">
        <v>141748.49</v>
      </c>
      <c r="R33">
        <v>148.35</v>
      </c>
      <c r="S33">
        <v>713</v>
      </c>
      <c r="T33">
        <v>5.101</v>
      </c>
      <c r="U33">
        <v>110.97</v>
      </c>
      <c r="V33">
        <v>110.97</v>
      </c>
      <c r="W33">
        <v>60.006370821071897</v>
      </c>
      <c r="X33">
        <v>0</v>
      </c>
      <c r="Y33">
        <v>1.2300000000000001E-4</v>
      </c>
      <c r="AA33">
        <f t="shared" si="0"/>
        <v>1.5173421846292074E-2</v>
      </c>
      <c r="AB33">
        <f t="shared" si="8"/>
        <v>1.5234667945004167E-2</v>
      </c>
      <c r="AC33">
        <f t="shared" si="2"/>
        <v>1.4892022571210447E-2</v>
      </c>
      <c r="AD33">
        <f t="shared" si="3"/>
        <v>1.4984725577133196E-2</v>
      </c>
      <c r="AE33">
        <f t="shared" si="4"/>
        <v>1.5549974265619451E-2</v>
      </c>
      <c r="AF33">
        <f t="shared" si="5"/>
        <v>1.4963999113003832E-2</v>
      </c>
      <c r="AG33">
        <f t="shared" si="6"/>
        <v>1.8577036546472796E-2</v>
      </c>
      <c r="AH33">
        <f t="shared" si="7"/>
        <v>1.4075729818045951E-2</v>
      </c>
      <c r="AJ33">
        <v>4.0692955538000001E-4</v>
      </c>
      <c r="AK33">
        <v>0.86648675725503999</v>
      </c>
      <c r="AL33">
        <v>0.83975665504084096</v>
      </c>
      <c r="AM33">
        <v>2.9609741632635799E-4</v>
      </c>
      <c r="AO33">
        <v>1.1492924691999999E-3</v>
      </c>
      <c r="AP33">
        <v>100</v>
      </c>
      <c r="AQ33">
        <v>0</v>
      </c>
      <c r="AR33">
        <v>10.634505071489</v>
      </c>
      <c r="AS33">
        <v>1.07815646731486</v>
      </c>
      <c r="AT33">
        <v>0.83825959284747298</v>
      </c>
      <c r="AU33">
        <v>1.1029563047161299</v>
      </c>
      <c r="AV33">
        <v>4.4856811222741904</v>
      </c>
      <c r="AW33">
        <v>0.90745453286085098</v>
      </c>
      <c r="AX33">
        <v>1.1616735403</v>
      </c>
      <c r="AY33">
        <v>1.0271738071843901</v>
      </c>
      <c r="AZ33">
        <v>1.82750146898321E-2</v>
      </c>
      <c r="BB33">
        <v>5.0294603598999999E-3</v>
      </c>
      <c r="BC33">
        <v>1.2793706093121899</v>
      </c>
      <c r="BD33">
        <v>0.98140197517581296</v>
      </c>
      <c r="BE33">
        <v>1.2481952666226901</v>
      </c>
      <c r="BF33" s="2">
        <v>8.8237521796987104E-5</v>
      </c>
      <c r="BG33">
        <v>1.0564566479999999</v>
      </c>
      <c r="BH33" s="2">
        <v>7.3477132736772602E-7</v>
      </c>
      <c r="BI33" s="2"/>
      <c r="BJ33">
        <v>5.4367093881655098E-4</v>
      </c>
      <c r="BK33">
        <v>5.1633231645166404</v>
      </c>
      <c r="BL33">
        <v>0.59521760730442497</v>
      </c>
      <c r="BM33">
        <v>1.04204686263156</v>
      </c>
      <c r="BN33">
        <v>0.85731028764866501</v>
      </c>
      <c r="BO33">
        <v>1.01603114128199</v>
      </c>
      <c r="BP33">
        <v>2.27981954803891E-2</v>
      </c>
      <c r="BQ33" s="2">
        <v>3.4575938293264402E-5</v>
      </c>
      <c r="BR33" s="2"/>
      <c r="BS33">
        <v>1.8606422815779101E-2</v>
      </c>
    </row>
    <row r="34" spans="1:71" x14ac:dyDescent="0.25">
      <c r="A34" t="s">
        <v>57</v>
      </c>
      <c r="B34">
        <v>1625768</v>
      </c>
      <c r="C34" t="s">
        <v>58</v>
      </c>
      <c r="D34">
        <v>2013</v>
      </c>
      <c r="E34">
        <v>4.5</v>
      </c>
      <c r="F34" s="1">
        <v>42461</v>
      </c>
      <c r="G34" t="s">
        <v>59</v>
      </c>
      <c r="H34">
        <v>1662223.2</v>
      </c>
      <c r="I34">
        <v>100</v>
      </c>
      <c r="J34">
        <v>0</v>
      </c>
      <c r="K34">
        <v>0</v>
      </c>
      <c r="L34">
        <v>81.099999999999994</v>
      </c>
      <c r="M34">
        <v>18.899999999999999</v>
      </c>
      <c r="N34">
        <v>30</v>
      </c>
      <c r="O34">
        <v>827.66470000000004</v>
      </c>
      <c r="P34">
        <v>30</v>
      </c>
      <c r="Q34">
        <v>184955.86</v>
      </c>
      <c r="R34">
        <v>132.05000000000001</v>
      </c>
      <c r="S34">
        <v>743</v>
      </c>
      <c r="T34">
        <v>5.1100000000000003</v>
      </c>
      <c r="U34">
        <v>110.97</v>
      </c>
      <c r="V34">
        <v>110.97</v>
      </c>
      <c r="W34">
        <v>60.006370821071897</v>
      </c>
      <c r="X34">
        <v>0</v>
      </c>
      <c r="Y34" s="2">
        <v>3.8999999999999999E-5</v>
      </c>
      <c r="Z34" s="2"/>
      <c r="AA34">
        <f t="shared" si="0"/>
        <v>1.3390049208264185E-2</v>
      </c>
      <c r="AB34">
        <f t="shared" si="8"/>
        <v>1.3395179321348955E-2</v>
      </c>
      <c r="AC34">
        <f t="shared" si="2"/>
        <v>1.5399022572286994E-2</v>
      </c>
      <c r="AD34">
        <f t="shared" si="3"/>
        <v>1.4984223327618864E-2</v>
      </c>
      <c r="AE34">
        <f t="shared" si="4"/>
        <v>1.5549974265619451E-2</v>
      </c>
      <c r="AF34">
        <f t="shared" si="5"/>
        <v>1.4999971433911763E-2</v>
      </c>
      <c r="AG34">
        <f t="shared" si="6"/>
        <v>1.5963579226306597E-2</v>
      </c>
      <c r="AH34">
        <f t="shared" si="7"/>
        <v>8.7588203584554238E-3</v>
      </c>
      <c r="AI34" s="2"/>
      <c r="AJ34">
        <v>4.0692955538000001E-4</v>
      </c>
      <c r="AK34">
        <v>0.96903419810970404</v>
      </c>
      <c r="AL34">
        <v>0.84861892112760895</v>
      </c>
      <c r="AM34">
        <v>3.3463475810234701E-4</v>
      </c>
      <c r="AO34">
        <v>1.1492924691999999E-3</v>
      </c>
      <c r="AP34">
        <v>81.099999999999994</v>
      </c>
      <c r="AQ34">
        <v>18.899999999999999</v>
      </c>
      <c r="AR34">
        <v>9.0443638792902199</v>
      </c>
      <c r="AS34">
        <v>0.63589881253800895</v>
      </c>
      <c r="AT34">
        <v>0.83825959284747298</v>
      </c>
      <c r="AU34">
        <v>0.96344063493999998</v>
      </c>
      <c r="AV34">
        <v>3.9657601368436102</v>
      </c>
      <c r="AW34">
        <v>0.772850458299562</v>
      </c>
      <c r="AX34">
        <v>1.1616735403</v>
      </c>
      <c r="AY34">
        <v>0.99063141773999996</v>
      </c>
      <c r="AZ34">
        <v>7.6432150181318702E-3</v>
      </c>
      <c r="BB34">
        <v>5.0294603598999999E-3</v>
      </c>
      <c r="BC34">
        <v>1.2793706093121899</v>
      </c>
      <c r="BD34">
        <v>0.98140197517581296</v>
      </c>
      <c r="BE34">
        <v>1.452612</v>
      </c>
      <c r="BF34">
        <v>9.9976000476856308E-4</v>
      </c>
      <c r="BG34">
        <v>1.0564566479999999</v>
      </c>
      <c r="BH34" s="2">
        <v>9.6886162287217804E-6</v>
      </c>
      <c r="BI34" s="2"/>
      <c r="BJ34">
        <v>1.5220161634857999E-3</v>
      </c>
      <c r="BK34">
        <v>5.1633231645166404</v>
      </c>
      <c r="BL34">
        <v>0.59521760730442497</v>
      </c>
      <c r="BM34">
        <v>1.04204686263156</v>
      </c>
      <c r="BN34">
        <v>0.85603746517715995</v>
      </c>
      <c r="BO34">
        <v>1.1311229051223</v>
      </c>
      <c r="BP34">
        <v>6.5400925136488999E-2</v>
      </c>
      <c r="BQ34">
        <v>3.0867258099970501E-4</v>
      </c>
      <c r="BS34">
        <v>8.2962109734626404E-3</v>
      </c>
    </row>
    <row r="35" spans="1:71" x14ac:dyDescent="0.25">
      <c r="A35" t="s">
        <v>57</v>
      </c>
      <c r="B35">
        <v>1625912</v>
      </c>
      <c r="C35" t="s">
        <v>58</v>
      </c>
      <c r="D35">
        <v>2013</v>
      </c>
      <c r="E35">
        <v>4.5</v>
      </c>
      <c r="F35" s="1">
        <v>42461</v>
      </c>
      <c r="G35" t="s">
        <v>59</v>
      </c>
      <c r="H35">
        <v>7347483.6799999997</v>
      </c>
      <c r="I35">
        <v>76.400000000000006</v>
      </c>
      <c r="J35">
        <v>7.67</v>
      </c>
      <c r="K35">
        <v>15.94</v>
      </c>
      <c r="L35">
        <v>100</v>
      </c>
      <c r="M35">
        <v>0</v>
      </c>
      <c r="N35">
        <v>12.1</v>
      </c>
      <c r="O35">
        <v>865.43730000000005</v>
      </c>
      <c r="P35">
        <v>30</v>
      </c>
      <c r="Q35">
        <v>175190.99</v>
      </c>
      <c r="R35">
        <v>123.96</v>
      </c>
      <c r="S35">
        <v>714</v>
      </c>
      <c r="T35">
        <v>5.1680000000000001</v>
      </c>
      <c r="U35">
        <v>110.97</v>
      </c>
      <c r="V35">
        <v>110.97</v>
      </c>
      <c r="W35">
        <v>60.006370821071897</v>
      </c>
      <c r="X35">
        <v>0</v>
      </c>
      <c r="Y35" s="2">
        <v>3.8999999999999999E-5</v>
      </c>
      <c r="Z35" s="2"/>
      <c r="AA35">
        <f t="shared" si="0"/>
        <v>1.4611374273276455E-2</v>
      </c>
      <c r="AB35">
        <f t="shared" si="8"/>
        <v>1.5234667945004167E-2</v>
      </c>
      <c r="AC35">
        <f t="shared" si="2"/>
        <v>1.5184493640595436E-2</v>
      </c>
      <c r="AD35">
        <f t="shared" si="3"/>
        <v>1.4980788341858004E-2</v>
      </c>
      <c r="AE35">
        <f t="shared" si="4"/>
        <v>1.5549974265619451E-2</v>
      </c>
      <c r="AF35">
        <f t="shared" si="5"/>
        <v>1.4998440676136792E-2</v>
      </c>
      <c r="AG35">
        <f t="shared" si="6"/>
        <v>1.4396257498328719E-2</v>
      </c>
      <c r="AH35">
        <f t="shared" si="7"/>
        <v>1.3863707143349007E-2</v>
      </c>
      <c r="AI35" s="2"/>
      <c r="AJ35">
        <v>4.0692955538000001E-4</v>
      </c>
      <c r="AK35">
        <v>0.86817214563728795</v>
      </c>
      <c r="AL35">
        <v>0.85619371252071597</v>
      </c>
      <c r="AM35">
        <v>3.0248031457568499E-4</v>
      </c>
      <c r="AO35">
        <v>1.1492924691999999E-3</v>
      </c>
      <c r="AP35">
        <v>100</v>
      </c>
      <c r="AQ35">
        <v>0</v>
      </c>
      <c r="AR35">
        <v>8.0169625019260806</v>
      </c>
      <c r="AS35">
        <v>1.0605815863302399</v>
      </c>
      <c r="AT35">
        <v>0.83825959284747298</v>
      </c>
      <c r="AU35">
        <v>1.0589865577752799</v>
      </c>
      <c r="AV35">
        <v>3.6360274387407601</v>
      </c>
      <c r="AW35">
        <v>0.902854028585652</v>
      </c>
      <c r="AX35">
        <v>1.1616735403</v>
      </c>
      <c r="AY35">
        <v>1.0157309391484199</v>
      </c>
      <c r="AZ35">
        <v>1.3012020370500799E-2</v>
      </c>
      <c r="BB35">
        <v>5.0294603598999999E-3</v>
      </c>
      <c r="BC35">
        <v>1.2793706093121899</v>
      </c>
      <c r="BD35">
        <v>0.98140197517581296</v>
      </c>
      <c r="BE35">
        <v>1.452612</v>
      </c>
      <c r="BF35">
        <v>4.55538727779717E-3</v>
      </c>
      <c r="BG35">
        <v>1.0564566479999999</v>
      </c>
      <c r="BH35" s="2">
        <v>4.4145993935809997E-5</v>
      </c>
      <c r="BI35" s="2"/>
      <c r="BJ35">
        <v>1.0631010989465199E-3</v>
      </c>
      <c r="BK35">
        <v>5.1633231645166404</v>
      </c>
      <c r="BL35">
        <v>0.59521760730442497</v>
      </c>
      <c r="BM35">
        <v>1.04204686263156</v>
      </c>
      <c r="BN35">
        <v>0.84733237549372098</v>
      </c>
      <c r="BO35">
        <v>1.1262253169798899</v>
      </c>
      <c r="BP35">
        <v>0.135246002973822</v>
      </c>
      <c r="BQ35">
        <v>4.3941048966481802E-4</v>
      </c>
      <c r="BS35">
        <v>1.3798057168677101E-2</v>
      </c>
    </row>
    <row r="36" spans="1:71" x14ac:dyDescent="0.25">
      <c r="A36" t="s">
        <v>57</v>
      </c>
      <c r="B36">
        <v>1626228</v>
      </c>
      <c r="C36" t="s">
        <v>58</v>
      </c>
      <c r="D36">
        <v>2013</v>
      </c>
      <c r="E36">
        <v>4.5</v>
      </c>
      <c r="F36" s="1">
        <v>42461</v>
      </c>
      <c r="G36" t="s">
        <v>59</v>
      </c>
      <c r="H36">
        <v>2222691.7599999998</v>
      </c>
      <c r="I36">
        <v>57.44</v>
      </c>
      <c r="J36">
        <v>0</v>
      </c>
      <c r="K36">
        <v>42.56</v>
      </c>
      <c r="L36">
        <v>100</v>
      </c>
      <c r="M36">
        <v>0</v>
      </c>
      <c r="N36">
        <v>-42.46</v>
      </c>
      <c r="O36">
        <v>763.53319999999997</v>
      </c>
      <c r="P36">
        <v>31</v>
      </c>
      <c r="Q36">
        <v>185490.42</v>
      </c>
      <c r="R36">
        <v>137.63999999999999</v>
      </c>
      <c r="S36">
        <v>737</v>
      </c>
      <c r="T36">
        <v>4.9859999999999998</v>
      </c>
      <c r="U36">
        <v>110.97</v>
      </c>
      <c r="V36">
        <v>110.97</v>
      </c>
      <c r="W36">
        <v>60.006370821071897</v>
      </c>
      <c r="X36">
        <v>0</v>
      </c>
      <c r="Y36" s="2">
        <v>4.6999999999999997E-5</v>
      </c>
      <c r="Z36" s="2"/>
      <c r="AA36">
        <f t="shared" si="0"/>
        <v>1.5589421548874634E-2</v>
      </c>
      <c r="AB36">
        <f t="shared" si="8"/>
        <v>1.5234667945004167E-2</v>
      </c>
      <c r="AC36">
        <f t="shared" si="2"/>
        <v>1.4809951259838946E-2</v>
      </c>
      <c r="AD36">
        <f t="shared" si="3"/>
        <v>1.4990288973797545E-2</v>
      </c>
      <c r="AE36">
        <f t="shared" si="4"/>
        <v>1.6200114408968094E-2</v>
      </c>
      <c r="AF36">
        <f t="shared" si="5"/>
        <v>1.5000039242073561E-2</v>
      </c>
      <c r="AG36">
        <f t="shared" si="6"/>
        <v>1.6920109148114405E-2</v>
      </c>
      <c r="AH36">
        <f t="shared" si="7"/>
        <v>9.6896302591110723E-3</v>
      </c>
      <c r="AI36" s="2"/>
      <c r="AJ36">
        <v>4.1006111781000001E-4</v>
      </c>
      <c r="AK36">
        <v>0.93773420499261095</v>
      </c>
      <c r="AL36">
        <v>0.84582932241563102</v>
      </c>
      <c r="AM36">
        <v>3.2524534214895603E-4</v>
      </c>
      <c r="AO36">
        <v>1.1492924691999999E-3</v>
      </c>
      <c r="AP36">
        <v>100</v>
      </c>
      <c r="AQ36">
        <v>0</v>
      </c>
      <c r="AR36">
        <v>9.6337449855291801</v>
      </c>
      <c r="AS36">
        <v>0.71367907997604096</v>
      </c>
      <c r="AT36">
        <v>0.87573275326150102</v>
      </c>
      <c r="AU36">
        <v>1.13550052788906</v>
      </c>
      <c r="AV36">
        <v>4.1573114355158802</v>
      </c>
      <c r="AW36">
        <v>0.799036791852759</v>
      </c>
      <c r="AX36">
        <v>1.1725808797583099</v>
      </c>
      <c r="AY36">
        <v>1.0356978939716199</v>
      </c>
      <c r="AZ36">
        <v>1.17863373122609E-2</v>
      </c>
      <c r="BB36">
        <v>5.0294603598999999E-3</v>
      </c>
      <c r="BC36">
        <v>1.2854866153979201</v>
      </c>
      <c r="BD36">
        <v>0.98140197517581296</v>
      </c>
      <c r="BE36">
        <v>1.06631775682323</v>
      </c>
      <c r="BF36">
        <v>3.89522999894061E-4</v>
      </c>
      <c r="BG36">
        <v>1.0564566479999999</v>
      </c>
      <c r="BH36" s="2">
        <v>2.7842440761771402E-6</v>
      </c>
      <c r="BI36" s="2"/>
      <c r="BJ36">
        <v>4.6261122630446701E-4</v>
      </c>
      <c r="BK36">
        <v>5.1633231645166404</v>
      </c>
      <c r="BL36">
        <v>0.59521760730442497</v>
      </c>
      <c r="BM36">
        <v>1.0369067277891399</v>
      </c>
      <c r="BN36">
        <v>0.87140928842459697</v>
      </c>
      <c r="BO36">
        <v>1.1313398541749899</v>
      </c>
      <c r="BP36">
        <v>4.5180443269483797E-2</v>
      </c>
      <c r="BQ36" s="2">
        <v>6.56639034597968E-5</v>
      </c>
      <c r="BR36" s="2"/>
      <c r="BS36">
        <v>1.21800308019459E-2</v>
      </c>
    </row>
    <row r="37" spans="1:71" x14ac:dyDescent="0.25">
      <c r="A37" t="s">
        <v>57</v>
      </c>
      <c r="B37">
        <v>1626230</v>
      </c>
      <c r="C37" t="s">
        <v>58</v>
      </c>
      <c r="D37">
        <v>2013</v>
      </c>
      <c r="E37">
        <v>4.5</v>
      </c>
      <c r="F37" s="1">
        <v>42461</v>
      </c>
      <c r="G37" t="s">
        <v>59</v>
      </c>
      <c r="H37">
        <v>1116140.1000000001</v>
      </c>
      <c r="I37">
        <v>100</v>
      </c>
      <c r="J37">
        <v>0</v>
      </c>
      <c r="K37">
        <v>0</v>
      </c>
      <c r="L37">
        <v>100</v>
      </c>
      <c r="M37">
        <v>0</v>
      </c>
      <c r="N37">
        <v>39.299999999999997</v>
      </c>
      <c r="O37">
        <v>899.85760000000005</v>
      </c>
      <c r="P37">
        <v>31</v>
      </c>
      <c r="Q37">
        <v>186281.13</v>
      </c>
      <c r="R37">
        <v>118.51</v>
      </c>
      <c r="S37">
        <v>727</v>
      </c>
      <c r="T37">
        <v>5.2030000000000003</v>
      </c>
      <c r="U37">
        <v>110.97</v>
      </c>
      <c r="V37">
        <v>110.97</v>
      </c>
      <c r="W37">
        <v>60.006370821071897</v>
      </c>
      <c r="X37">
        <v>0</v>
      </c>
      <c r="Y37" s="2">
        <v>6.2000000000000003E-5</v>
      </c>
      <c r="Z37" s="2"/>
      <c r="AA37">
        <f t="shared" si="0"/>
        <v>1.3390049208264185E-2</v>
      </c>
      <c r="AB37">
        <f t="shared" si="8"/>
        <v>1.5234667945004167E-2</v>
      </c>
      <c r="AC37">
        <f t="shared" si="2"/>
        <v>1.5551785656956219E-2</v>
      </c>
      <c r="AD37">
        <f t="shared" si="3"/>
        <v>1.4977756675251653E-2</v>
      </c>
      <c r="AE37">
        <f t="shared" si="4"/>
        <v>1.6200114408968094E-2</v>
      </c>
      <c r="AF37">
        <f t="shared" si="5"/>
        <v>1.5000136753554421E-2</v>
      </c>
      <c r="AG37">
        <f t="shared" si="6"/>
        <v>1.3799047815746101E-2</v>
      </c>
      <c r="AH37">
        <f t="shared" si="7"/>
        <v>1.1362452151720296E-2</v>
      </c>
      <c r="AI37" s="2"/>
      <c r="AJ37">
        <v>4.1006111781000001E-4</v>
      </c>
      <c r="AK37">
        <v>0.89943483182698303</v>
      </c>
      <c r="AL37">
        <v>0.86395379083989599</v>
      </c>
      <c r="AM37">
        <v>3.1864624717856902E-4</v>
      </c>
      <c r="AO37">
        <v>1.1492924691999999E-3</v>
      </c>
      <c r="AP37">
        <v>100</v>
      </c>
      <c r="AQ37">
        <v>0</v>
      </c>
      <c r="AR37">
        <v>7.23868976427352</v>
      </c>
      <c r="AS37">
        <v>0.85297367096294496</v>
      </c>
      <c r="AT37">
        <v>0.87573275326150102</v>
      </c>
      <c r="AU37">
        <v>0.96344063493999998</v>
      </c>
      <c r="AV37">
        <v>3.38796004197504</v>
      </c>
      <c r="AW37">
        <v>0.84361167509441004</v>
      </c>
      <c r="AX37">
        <v>1.1725808797583099</v>
      </c>
      <c r="AY37">
        <v>0.99063141773999996</v>
      </c>
      <c r="AZ37">
        <v>8.9807780317459791E-3</v>
      </c>
      <c r="BB37">
        <v>5.0294603598999999E-3</v>
      </c>
      <c r="BC37">
        <v>1.2854866153979201</v>
      </c>
      <c r="BD37">
        <v>0.98140197517581296</v>
      </c>
      <c r="BE37">
        <v>1.452612</v>
      </c>
      <c r="BF37">
        <v>6.4626844837286798E-2</v>
      </c>
      <c r="BG37">
        <v>1.0564566479999999</v>
      </c>
      <c r="BH37">
        <v>6.2928899649707896E-4</v>
      </c>
      <c r="BJ37">
        <v>1.84880323275155E-3</v>
      </c>
      <c r="BK37">
        <v>5.1633231645166404</v>
      </c>
      <c r="BL37">
        <v>0.59521760730442497</v>
      </c>
      <c r="BM37">
        <v>1.0369067277891399</v>
      </c>
      <c r="BN37">
        <v>0.83964939467928001</v>
      </c>
      <c r="BO37">
        <v>1.1316518376123601</v>
      </c>
      <c r="BP37">
        <v>0.23521734941752201</v>
      </c>
      <c r="BQ37">
        <v>1.31678728891716E-3</v>
      </c>
      <c r="BS37">
        <v>1.12455005643388E-2</v>
      </c>
    </row>
    <row r="38" spans="1:71" x14ac:dyDescent="0.25">
      <c r="A38" t="s">
        <v>57</v>
      </c>
      <c r="B38">
        <v>1626240</v>
      </c>
      <c r="C38" t="s">
        <v>58</v>
      </c>
      <c r="D38">
        <v>2013</v>
      </c>
      <c r="E38">
        <v>4.5</v>
      </c>
      <c r="F38" s="1">
        <v>42461</v>
      </c>
      <c r="G38" t="s">
        <v>59</v>
      </c>
      <c r="H38">
        <v>3555901.05</v>
      </c>
      <c r="I38">
        <v>50.4</v>
      </c>
      <c r="J38">
        <v>5.88</v>
      </c>
      <c r="K38">
        <v>43.71</v>
      </c>
      <c r="L38">
        <v>100</v>
      </c>
      <c r="M38">
        <v>0</v>
      </c>
      <c r="N38">
        <v>-26.38</v>
      </c>
      <c r="O38">
        <v>875.85850000000005</v>
      </c>
      <c r="P38">
        <v>30</v>
      </c>
      <c r="Q38">
        <v>148398.66</v>
      </c>
      <c r="R38">
        <v>121.5</v>
      </c>
      <c r="S38">
        <v>720</v>
      </c>
      <c r="T38">
        <v>5.1630000000000003</v>
      </c>
      <c r="U38">
        <v>110.97</v>
      </c>
      <c r="V38">
        <v>110.97</v>
      </c>
      <c r="W38">
        <v>60.006370821071897</v>
      </c>
      <c r="X38">
        <v>0</v>
      </c>
      <c r="Y38">
        <v>4.7121000000000003E-2</v>
      </c>
      <c r="AA38">
        <f t="shared" si="0"/>
        <v>1.5951479202760396E-2</v>
      </c>
      <c r="AB38">
        <f t="shared" si="8"/>
        <v>1.5234667945004167E-2</v>
      </c>
      <c r="AC38">
        <f t="shared" si="2"/>
        <v>1.4875488957151071E-2</v>
      </c>
      <c r="AD38">
        <f t="shared" si="3"/>
        <v>1.4979860211558416E-2</v>
      </c>
      <c r="AE38">
        <f t="shared" si="4"/>
        <v>1.5549974265619451E-2</v>
      </c>
      <c r="AF38">
        <f t="shared" si="5"/>
        <v>1.4978592395576452E-2</v>
      </c>
      <c r="AG38">
        <f t="shared" si="6"/>
        <v>1.4046459807425266E-2</v>
      </c>
      <c r="AH38">
        <f t="shared" si="7"/>
        <v>1.2654136070436925E-2</v>
      </c>
      <c r="AJ38">
        <v>4.0692955538000001E-4</v>
      </c>
      <c r="AK38">
        <v>0.88009305682660299</v>
      </c>
      <c r="AL38">
        <v>0.859087289387092</v>
      </c>
      <c r="AM38">
        <v>3.0766997920925898E-4</v>
      </c>
      <c r="AO38">
        <v>1.1492924691999999E-3</v>
      </c>
      <c r="AP38">
        <v>100</v>
      </c>
      <c r="AQ38">
        <v>0</v>
      </c>
      <c r="AR38">
        <v>7.6759915657747504</v>
      </c>
      <c r="AS38">
        <v>0.96026511119812497</v>
      </c>
      <c r="AT38">
        <v>0.83825959284747298</v>
      </c>
      <c r="AU38">
        <v>1.1638247911430399</v>
      </c>
      <c r="AV38">
        <v>3.5271550192314298</v>
      </c>
      <c r="AW38">
        <v>0.87536612232008004</v>
      </c>
      <c r="AX38">
        <v>1.1616735403</v>
      </c>
      <c r="AY38">
        <v>1.0430428469930999</v>
      </c>
      <c r="AZ38">
        <v>1.23969141936648E-2</v>
      </c>
      <c r="BB38">
        <v>5.0294603598999999E-3</v>
      </c>
      <c r="BC38">
        <v>1.2793706093121899</v>
      </c>
      <c r="BD38">
        <v>0.98140197517581296</v>
      </c>
      <c r="BE38">
        <v>1.21495163041015</v>
      </c>
      <c r="BF38">
        <v>2.2039610686777601E-2</v>
      </c>
      <c r="BG38">
        <v>1.0564566479999999</v>
      </c>
      <c r="BH38">
        <v>1.7864023201370901E-4</v>
      </c>
      <c r="BJ38">
        <v>5.25576335454117E-4</v>
      </c>
      <c r="BK38">
        <v>5.1633231645166404</v>
      </c>
      <c r="BL38">
        <v>0.59521760730442497</v>
      </c>
      <c r="BM38">
        <v>1.04204686263156</v>
      </c>
      <c r="BN38">
        <v>0.84498026749144595</v>
      </c>
      <c r="BO38">
        <v>1.0627216685849601</v>
      </c>
      <c r="BP38">
        <v>0.17302298300670399</v>
      </c>
      <c r="BQ38">
        <v>2.6151585763326701E-4</v>
      </c>
      <c r="BS38">
        <v>1.3144740262521E-2</v>
      </c>
    </row>
    <row r="39" spans="1:71" x14ac:dyDescent="0.25">
      <c r="A39" t="s">
        <v>57</v>
      </c>
      <c r="B39">
        <v>1626242</v>
      </c>
      <c r="C39" t="s">
        <v>58</v>
      </c>
      <c r="D39">
        <v>2013</v>
      </c>
      <c r="E39">
        <v>4.5</v>
      </c>
      <c r="F39" s="1">
        <v>42461</v>
      </c>
      <c r="G39" t="s">
        <v>59</v>
      </c>
      <c r="H39">
        <v>2597166.64</v>
      </c>
      <c r="I39">
        <v>54.56</v>
      </c>
      <c r="J39">
        <v>11.46</v>
      </c>
      <c r="K39">
        <v>33.979999999999997</v>
      </c>
      <c r="L39">
        <v>100</v>
      </c>
      <c r="M39">
        <v>0</v>
      </c>
      <c r="N39">
        <v>-13.9</v>
      </c>
      <c r="O39">
        <v>889.77779999999996</v>
      </c>
      <c r="P39">
        <v>30</v>
      </c>
      <c r="Q39">
        <v>152987</v>
      </c>
      <c r="R39">
        <v>119.28</v>
      </c>
      <c r="S39">
        <v>673</v>
      </c>
      <c r="T39">
        <v>5.2149999999999999</v>
      </c>
      <c r="U39">
        <v>110.97</v>
      </c>
      <c r="V39">
        <v>110.97</v>
      </c>
      <c r="W39">
        <v>60.006370821071897</v>
      </c>
      <c r="X39">
        <v>0</v>
      </c>
      <c r="Y39" s="2">
        <v>1E-4</v>
      </c>
      <c r="Z39" s="2"/>
      <c r="AA39">
        <f t="shared" si="0"/>
        <v>1.573825125613388E-2</v>
      </c>
      <c r="AB39">
        <f t="shared" si="8"/>
        <v>1.5234667945004167E-2</v>
      </c>
      <c r="AC39">
        <f t="shared" si="2"/>
        <v>1.4941230414998499E-2</v>
      </c>
      <c r="AD39">
        <f t="shared" si="3"/>
        <v>1.4978634326973272E-2</v>
      </c>
      <c r="AE39">
        <f t="shared" si="4"/>
        <v>1.5549974265619451E-2</v>
      </c>
      <c r="AF39">
        <f t="shared" si="5"/>
        <v>1.4987383491601751E-2</v>
      </c>
      <c r="AG39">
        <f t="shared" si="6"/>
        <v>1.3843856348735209E-2</v>
      </c>
      <c r="AH39">
        <f t="shared" si="7"/>
        <v>2.4867454783420204E-2</v>
      </c>
      <c r="AI39" s="2"/>
      <c r="AJ39">
        <v>4.0692955538000001E-4</v>
      </c>
      <c r="AK39">
        <v>0.83715434786833098</v>
      </c>
      <c r="AL39">
        <v>0.86197431099407196</v>
      </c>
      <c r="AM39">
        <v>2.9364262244698501E-4</v>
      </c>
      <c r="AO39">
        <v>1.1492924691999999E-3</v>
      </c>
      <c r="AP39">
        <v>100</v>
      </c>
      <c r="AQ39">
        <v>0</v>
      </c>
      <c r="AR39">
        <v>7.3539345323215697</v>
      </c>
      <c r="AS39">
        <v>1.97160857396026</v>
      </c>
      <c r="AT39">
        <v>0.83825959284747298</v>
      </c>
      <c r="AU39">
        <v>1.14714367853974</v>
      </c>
      <c r="AV39">
        <v>3.4245946391875099</v>
      </c>
      <c r="AW39">
        <v>1.0905787029121401</v>
      </c>
      <c r="AX39">
        <v>1.1616735403</v>
      </c>
      <c r="AY39">
        <v>1.03874750514518</v>
      </c>
      <c r="AZ39">
        <v>2.4035802442274101E-2</v>
      </c>
      <c r="BB39">
        <v>5.0294603598999999E-3</v>
      </c>
      <c r="BC39">
        <v>1.2793706093121899</v>
      </c>
      <c r="BD39">
        <v>0.98140197517581296</v>
      </c>
      <c r="BE39">
        <v>1.3273853610395701</v>
      </c>
      <c r="BF39">
        <v>5.1631007467374999E-2</v>
      </c>
      <c r="BG39">
        <v>1.0564566479999999</v>
      </c>
      <c r="BH39">
        <v>4.5721870619555598E-4</v>
      </c>
      <c r="BJ39">
        <v>6.0778725350364498E-4</v>
      </c>
      <c r="BK39">
        <v>5.1633231645166404</v>
      </c>
      <c r="BL39">
        <v>0.59521760730442497</v>
      </c>
      <c r="BM39">
        <v>1.04204686263156</v>
      </c>
      <c r="BN39">
        <v>0.84187357768305804</v>
      </c>
      <c r="BO39">
        <v>1.09084837050755</v>
      </c>
      <c r="BP39">
        <v>0.21651352221957901</v>
      </c>
      <c r="BQ39">
        <v>3.8702605872509901E-4</v>
      </c>
      <c r="BS39">
        <v>2.5173689829641702E-2</v>
      </c>
    </row>
    <row r="40" spans="1:71" x14ac:dyDescent="0.25">
      <c r="A40" t="s">
        <v>57</v>
      </c>
      <c r="B40">
        <v>1626245</v>
      </c>
      <c r="C40" t="s">
        <v>58</v>
      </c>
      <c r="D40">
        <v>2013</v>
      </c>
      <c r="E40">
        <v>4.5</v>
      </c>
      <c r="F40" s="1">
        <v>42461</v>
      </c>
      <c r="G40" t="s">
        <v>59</v>
      </c>
      <c r="H40">
        <v>1922673.81</v>
      </c>
      <c r="I40">
        <v>63.68</v>
      </c>
      <c r="J40">
        <v>0</v>
      </c>
      <c r="K40">
        <v>36.32</v>
      </c>
      <c r="L40">
        <v>100</v>
      </c>
      <c r="M40">
        <v>0</v>
      </c>
      <c r="N40">
        <v>16.170000000000002</v>
      </c>
      <c r="O40">
        <v>1067.2438</v>
      </c>
      <c r="P40">
        <v>30</v>
      </c>
      <c r="Q40">
        <v>137515.45000000001</v>
      </c>
      <c r="R40">
        <v>133.34</v>
      </c>
      <c r="S40">
        <v>705</v>
      </c>
      <c r="T40">
        <v>5.5170000000000003</v>
      </c>
      <c r="U40">
        <v>110.97</v>
      </c>
      <c r="V40">
        <v>110.97</v>
      </c>
      <c r="W40">
        <v>60.006370821071897</v>
      </c>
      <c r="X40">
        <v>0</v>
      </c>
      <c r="Y40" s="2">
        <v>3.0000000000000001E-6</v>
      </c>
      <c r="Z40" s="2"/>
      <c r="AA40">
        <f t="shared" si="0"/>
        <v>1.5266957183145967E-2</v>
      </c>
      <c r="AB40">
        <f t="shared" si="8"/>
        <v>1.5234667945004167E-2</v>
      </c>
      <c r="AC40">
        <f t="shared" si="2"/>
        <v>1.5228059703960642E-2</v>
      </c>
      <c r="AD40">
        <f t="shared" si="3"/>
        <v>1.4963560754881382E-2</v>
      </c>
      <c r="AE40">
        <f t="shared" si="4"/>
        <v>1.5549974265619451E-2</v>
      </c>
      <c r="AF40">
        <f t="shared" si="5"/>
        <v>1.4955516221993773E-2</v>
      </c>
      <c r="AG40">
        <f t="shared" si="6"/>
        <v>1.61969722271765E-2</v>
      </c>
      <c r="AH40">
        <f t="shared" si="7"/>
        <v>1.5893031251379478E-2</v>
      </c>
      <c r="AI40" s="2"/>
      <c r="AJ40">
        <v>4.0692955538000001E-4</v>
      </c>
      <c r="AK40">
        <v>0.855507969741925</v>
      </c>
      <c r="AL40">
        <v>0.84764691432572703</v>
      </c>
      <c r="AM40">
        <v>2.9509257289539898E-4</v>
      </c>
      <c r="AO40">
        <v>1.1492924691999999E-3</v>
      </c>
      <c r="AP40">
        <v>100</v>
      </c>
      <c r="AQ40">
        <v>0</v>
      </c>
      <c r="AR40">
        <v>9.1895784938327996</v>
      </c>
      <c r="AS40">
        <v>1.2287216319396399</v>
      </c>
      <c r="AT40">
        <v>0.83825959284747298</v>
      </c>
      <c r="AU40">
        <v>1.1102737014792301</v>
      </c>
      <c r="AV40">
        <v>4.0127320382376404</v>
      </c>
      <c r="AW40">
        <v>0.94440051463674501</v>
      </c>
      <c r="AX40">
        <v>1.1616735403</v>
      </c>
      <c r="AY40">
        <v>1.0290904030955501</v>
      </c>
      <c r="AZ40">
        <v>1.8116717030442799E-2</v>
      </c>
      <c r="BB40">
        <v>5.0294603598999999E-3</v>
      </c>
      <c r="BC40">
        <v>1.2793706093121899</v>
      </c>
      <c r="BD40">
        <v>0.98140197517581296</v>
      </c>
      <c r="BE40">
        <v>1.452612</v>
      </c>
      <c r="BF40">
        <v>8.1790782161449995E-4</v>
      </c>
      <c r="BG40">
        <v>1.0564566479999999</v>
      </c>
      <c r="BH40" s="2">
        <v>7.9262972676399098E-6</v>
      </c>
      <c r="BI40" s="2"/>
      <c r="BJ40">
        <v>1.15629656038531E-3</v>
      </c>
      <c r="BK40">
        <v>5.1633231645166404</v>
      </c>
      <c r="BL40">
        <v>0.59521760730442497</v>
      </c>
      <c r="BM40">
        <v>1.04204686263156</v>
      </c>
      <c r="BN40">
        <v>0.80367347845562997</v>
      </c>
      <c r="BO40">
        <v>0.988890526938206</v>
      </c>
      <c r="BP40">
        <v>5.9572886495576599E-2</v>
      </c>
      <c r="BQ40">
        <v>1.7532266292101699E-4</v>
      </c>
      <c r="BS40">
        <v>1.85950585635269E-2</v>
      </c>
    </row>
    <row r="41" spans="1:71" x14ac:dyDescent="0.25">
      <c r="A41" t="s">
        <v>57</v>
      </c>
      <c r="B41">
        <v>1626248</v>
      </c>
      <c r="C41" t="s">
        <v>58</v>
      </c>
      <c r="D41">
        <v>2013</v>
      </c>
      <c r="E41">
        <v>4.5</v>
      </c>
      <c r="F41" s="1">
        <v>42461</v>
      </c>
      <c r="G41" t="s">
        <v>59</v>
      </c>
      <c r="H41">
        <v>3204336.93</v>
      </c>
      <c r="I41">
        <v>76.97</v>
      </c>
      <c r="J41">
        <v>9.69</v>
      </c>
      <c r="K41">
        <v>13.34</v>
      </c>
      <c r="L41">
        <v>100</v>
      </c>
      <c r="M41">
        <v>0</v>
      </c>
      <c r="N41">
        <v>13.87</v>
      </c>
      <c r="O41">
        <v>862.21519999999998</v>
      </c>
      <c r="P41">
        <v>32</v>
      </c>
      <c r="Q41">
        <v>188776.56</v>
      </c>
      <c r="R41">
        <v>127.23</v>
      </c>
      <c r="S41">
        <v>732</v>
      </c>
      <c r="T41">
        <v>5.1369999999999996</v>
      </c>
      <c r="U41">
        <v>110.97</v>
      </c>
      <c r="V41">
        <v>110.97</v>
      </c>
      <c r="W41">
        <v>60.006370821071897</v>
      </c>
      <c r="X41">
        <v>0</v>
      </c>
      <c r="Y41">
        <v>4.9281999999999999E-2</v>
      </c>
      <c r="AA41">
        <f t="shared" si="0"/>
        <v>1.4580170096522141E-2</v>
      </c>
      <c r="AB41">
        <f t="shared" si="8"/>
        <v>1.5234667945004167E-2</v>
      </c>
      <c r="AC41">
        <f t="shared" si="2"/>
        <v>1.52032970190952E-2</v>
      </c>
      <c r="AD41">
        <f t="shared" si="3"/>
        <v>1.4981077062861262E-2</v>
      </c>
      <c r="AE41">
        <f t="shared" si="4"/>
        <v>1.6863500006189053E-2</v>
      </c>
      <c r="AF41">
        <f t="shared" si="5"/>
        <v>1.5000423355056802E-2</v>
      </c>
      <c r="AG41">
        <f t="shared" si="6"/>
        <v>1.5029226060389936E-2</v>
      </c>
      <c r="AH41">
        <f t="shared" si="7"/>
        <v>1.0504640904243081E-2</v>
      </c>
      <c r="AJ41">
        <v>4.1329451855999998E-4</v>
      </c>
      <c r="AK41">
        <v>0.91715905529229402</v>
      </c>
      <c r="AL41">
        <v>0.85476194150749996</v>
      </c>
      <c r="AM41">
        <v>3.2400333502816901E-4</v>
      </c>
      <c r="AO41">
        <v>1.1492924691999999E-3</v>
      </c>
      <c r="AP41">
        <v>100</v>
      </c>
      <c r="AQ41">
        <v>0</v>
      </c>
      <c r="AR41">
        <v>8.4485964169183791</v>
      </c>
      <c r="AS41">
        <v>0.78159482576303996</v>
      </c>
      <c r="AT41">
        <v>0.91397538553573898</v>
      </c>
      <c r="AU41">
        <v>1.0565454125390801</v>
      </c>
      <c r="AV41">
        <v>3.7742442953805901</v>
      </c>
      <c r="AW41">
        <v>0.82119287213042003</v>
      </c>
      <c r="AX41">
        <v>1.1830140507296001</v>
      </c>
      <c r="AY41">
        <v>1.01501771820086</v>
      </c>
      <c r="AZ41">
        <v>1.0992860805585499E-2</v>
      </c>
      <c r="BB41">
        <v>5.0294603598999999E-3</v>
      </c>
      <c r="BC41">
        <v>1.29093287777327</v>
      </c>
      <c r="BD41">
        <v>0.98140197517581296</v>
      </c>
      <c r="BE41">
        <v>1.452612</v>
      </c>
      <c r="BF41">
        <v>1.9465972272989E-3</v>
      </c>
      <c r="BG41">
        <v>1.0564566479999999</v>
      </c>
      <c r="BH41" s="2">
        <v>1.9034846864727999E-5</v>
      </c>
      <c r="BI41" s="2"/>
      <c r="BJ41">
        <v>1.1033248281644599E-3</v>
      </c>
      <c r="BK41">
        <v>5.1633231645166404</v>
      </c>
      <c r="BL41">
        <v>0.59521760730442497</v>
      </c>
      <c r="BM41">
        <v>1.03207282476023</v>
      </c>
      <c r="BN41">
        <v>0.84806406476460405</v>
      </c>
      <c r="BO41">
        <v>1.1325688057588601</v>
      </c>
      <c r="BP41">
        <v>9.8484451695164094E-2</v>
      </c>
      <c r="BQ41">
        <v>3.3103944086572E-4</v>
      </c>
      <c r="BS41">
        <v>1.16669384283441E-2</v>
      </c>
    </row>
    <row r="42" spans="1:71" x14ac:dyDescent="0.25">
      <c r="A42" t="s">
        <v>57</v>
      </c>
      <c r="B42">
        <v>1626249</v>
      </c>
      <c r="C42" t="s">
        <v>58</v>
      </c>
      <c r="D42">
        <v>2013</v>
      </c>
      <c r="E42">
        <v>4.5</v>
      </c>
      <c r="F42" s="1">
        <v>42461</v>
      </c>
      <c r="G42" t="s">
        <v>59</v>
      </c>
      <c r="H42">
        <v>2371282.8199999998</v>
      </c>
      <c r="I42">
        <v>82.42</v>
      </c>
      <c r="J42">
        <v>0</v>
      </c>
      <c r="K42">
        <v>17.579999999999998</v>
      </c>
      <c r="L42">
        <v>100</v>
      </c>
      <c r="M42">
        <v>0</v>
      </c>
      <c r="N42">
        <v>28.89</v>
      </c>
      <c r="O42">
        <v>976.59360000000004</v>
      </c>
      <c r="P42">
        <v>31</v>
      </c>
      <c r="Q42">
        <v>197905.8</v>
      </c>
      <c r="R42">
        <v>125.09</v>
      </c>
      <c r="S42">
        <v>736</v>
      </c>
      <c r="T42">
        <v>5.3470000000000004</v>
      </c>
      <c r="U42">
        <v>110.97</v>
      </c>
      <c r="V42">
        <v>110.97</v>
      </c>
      <c r="W42">
        <v>60.006370821071897</v>
      </c>
      <c r="X42">
        <v>0</v>
      </c>
      <c r="Y42">
        <v>3.7399999999999998E-4</v>
      </c>
      <c r="AA42">
        <f t="shared" si="0"/>
        <v>1.4298530546326495E-2</v>
      </c>
      <c r="AB42">
        <f t="shared" si="8"/>
        <v>1.5234667945004167E-2</v>
      </c>
      <c r="AC42">
        <f t="shared" si="2"/>
        <v>1.5383149058768078E-2</v>
      </c>
      <c r="AD42">
        <f t="shared" si="3"/>
        <v>1.4971173810134067E-2</v>
      </c>
      <c r="AE42">
        <f t="shared" si="4"/>
        <v>1.6200114408968094E-2</v>
      </c>
      <c r="AF42">
        <f t="shared" si="5"/>
        <v>1.5001227149218227E-2</v>
      </c>
      <c r="AG42">
        <f t="shared" si="6"/>
        <v>1.4606297859594476E-2</v>
      </c>
      <c r="AH42">
        <f t="shared" si="7"/>
        <v>9.849596869843066E-3</v>
      </c>
      <c r="AJ42">
        <v>4.1006111781000001E-4</v>
      </c>
      <c r="AK42">
        <v>0.93315858913184202</v>
      </c>
      <c r="AL42">
        <v>0.85593186197981397</v>
      </c>
      <c r="AM42">
        <v>3.2752408520192499E-4</v>
      </c>
      <c r="AO42">
        <v>1.1492924691999999E-3</v>
      </c>
      <c r="AP42">
        <v>100</v>
      </c>
      <c r="AQ42">
        <v>0</v>
      </c>
      <c r="AR42">
        <v>8.16866000102649</v>
      </c>
      <c r="AS42">
        <v>0.72702408159910503</v>
      </c>
      <c r="AT42">
        <v>0.87573275326150102</v>
      </c>
      <c r="AU42">
        <v>1.0345123670369101</v>
      </c>
      <c r="AV42">
        <v>3.6845559023599401</v>
      </c>
      <c r="AW42">
        <v>0.80344514342858797</v>
      </c>
      <c r="AX42">
        <v>1.1725808797583099</v>
      </c>
      <c r="AY42">
        <v>1.0092467526119899</v>
      </c>
      <c r="AZ42">
        <v>9.2753160409486599E-3</v>
      </c>
      <c r="BB42">
        <v>5.0294603598999999E-3</v>
      </c>
      <c r="BC42">
        <v>1.2854866153979201</v>
      </c>
      <c r="BD42">
        <v>0.98140197517581296</v>
      </c>
      <c r="BE42">
        <v>1.452612</v>
      </c>
      <c r="BF42">
        <v>2.5220458711500198E-3</v>
      </c>
      <c r="BG42">
        <v>1.0564566479999999</v>
      </c>
      <c r="BH42" s="2">
        <v>2.4557840002424401E-5</v>
      </c>
      <c r="BI42" s="2"/>
      <c r="BJ42">
        <v>1.4880599300605001E-3</v>
      </c>
      <c r="BK42">
        <v>5.1633231645166404</v>
      </c>
      <c r="BL42">
        <v>0.59521760730442497</v>
      </c>
      <c r="BM42">
        <v>1.0369067277891399</v>
      </c>
      <c r="BN42">
        <v>0.82296681279626305</v>
      </c>
      <c r="BO42">
        <v>1.1351405077082499</v>
      </c>
      <c r="BP42">
        <v>0.120951610299438</v>
      </c>
      <c r="BQ42">
        <v>5.3580750293508997E-4</v>
      </c>
      <c r="BS42">
        <v>1.01632054690881E-2</v>
      </c>
    </row>
    <row r="43" spans="1:71" x14ac:dyDescent="0.25">
      <c r="A43" t="s">
        <v>57</v>
      </c>
      <c r="B43">
        <v>1626341</v>
      </c>
      <c r="C43" t="s">
        <v>58</v>
      </c>
      <c r="D43">
        <v>2013</v>
      </c>
      <c r="E43">
        <v>4.5</v>
      </c>
      <c r="F43" s="1">
        <v>42461</v>
      </c>
      <c r="G43" t="s">
        <v>59</v>
      </c>
      <c r="H43">
        <v>3575853.52</v>
      </c>
      <c r="I43">
        <v>87.61</v>
      </c>
      <c r="J43">
        <v>3.48</v>
      </c>
      <c r="K43">
        <v>8.91</v>
      </c>
      <c r="L43">
        <v>100</v>
      </c>
      <c r="M43">
        <v>0</v>
      </c>
      <c r="N43">
        <v>15.92</v>
      </c>
      <c r="O43">
        <v>818.41409999999996</v>
      </c>
      <c r="P43">
        <v>31</v>
      </c>
      <c r="Q43">
        <v>123492.66</v>
      </c>
      <c r="R43">
        <v>125.16</v>
      </c>
      <c r="S43">
        <v>733</v>
      </c>
      <c r="T43">
        <v>5.0949999999999998</v>
      </c>
      <c r="U43">
        <v>110.97</v>
      </c>
      <c r="V43">
        <v>110.97</v>
      </c>
      <c r="W43">
        <v>60.006370821071897</v>
      </c>
      <c r="X43">
        <v>0</v>
      </c>
      <c r="Y43">
        <v>1.45E-4</v>
      </c>
      <c r="AA43">
        <f t="shared" si="0"/>
        <v>1.4030327011369465E-2</v>
      </c>
      <c r="AB43">
        <f t="shared" si="8"/>
        <v>1.5234667945004167E-2</v>
      </c>
      <c r="AC43">
        <f t="shared" si="2"/>
        <v>1.5225343125597649E-2</v>
      </c>
      <c r="AD43">
        <f t="shared" si="3"/>
        <v>1.4985080792908024E-2</v>
      </c>
      <c r="AE43">
        <f t="shared" si="4"/>
        <v>1.6200114408968094E-2</v>
      </c>
      <c r="AF43">
        <f t="shared" si="5"/>
        <v>1.4934276579087519E-2</v>
      </c>
      <c r="AG43">
        <f t="shared" si="6"/>
        <v>1.4620148568166409E-2</v>
      </c>
      <c r="AH43">
        <f t="shared" si="7"/>
        <v>1.0338334154528664E-2</v>
      </c>
      <c r="AJ43">
        <v>4.1006111781000001E-4</v>
      </c>
      <c r="AK43">
        <v>0.92048804532022599</v>
      </c>
      <c r="AL43">
        <v>0.85585822590203597</v>
      </c>
      <c r="AM43">
        <v>3.23049127881804E-4</v>
      </c>
      <c r="AO43">
        <v>1.1492924691999999E-3</v>
      </c>
      <c r="AP43">
        <v>100</v>
      </c>
      <c r="AQ43">
        <v>0</v>
      </c>
      <c r="AR43">
        <v>8.1779639847421297</v>
      </c>
      <c r="AS43">
        <v>0.76776056226507206</v>
      </c>
      <c r="AT43">
        <v>0.87573275326150102</v>
      </c>
      <c r="AU43">
        <v>1.0135304393018101</v>
      </c>
      <c r="AV43">
        <v>3.6875340205354599</v>
      </c>
      <c r="AW43">
        <v>0.81673940715011695</v>
      </c>
      <c r="AX43">
        <v>1.1725808797583099</v>
      </c>
      <c r="AY43">
        <v>1.0037510991429499</v>
      </c>
      <c r="AZ43">
        <v>9.6072966951928594E-3</v>
      </c>
      <c r="BB43">
        <v>5.0294603598999999E-3</v>
      </c>
      <c r="BC43">
        <v>1.2854866153979201</v>
      </c>
      <c r="BD43">
        <v>0.98140197517581296</v>
      </c>
      <c r="BE43">
        <v>1.452612</v>
      </c>
      <c r="BF43">
        <v>2.50155290514737E-3</v>
      </c>
      <c r="BG43">
        <v>1.0564566479999999</v>
      </c>
      <c r="BH43" s="2">
        <v>2.4358294472335099E-5</v>
      </c>
      <c r="BI43" s="2"/>
      <c r="BJ43">
        <v>1.15048532212971E-3</v>
      </c>
      <c r="BK43">
        <v>5.1633231645166404</v>
      </c>
      <c r="BL43">
        <v>0.59521760730442497</v>
      </c>
      <c r="BM43">
        <v>1.0369067277891399</v>
      </c>
      <c r="BN43">
        <v>0.85821049084952605</v>
      </c>
      <c r="BO43">
        <v>0.92093527957800203</v>
      </c>
      <c r="BP43">
        <v>0.120124292836361</v>
      </c>
      <c r="BQ43">
        <v>3.48080445100403E-4</v>
      </c>
      <c r="BS43">
        <v>1.03027845626474E-2</v>
      </c>
    </row>
    <row r="44" spans="1:71" x14ac:dyDescent="0.25">
      <c r="A44" t="s">
        <v>57</v>
      </c>
      <c r="B44">
        <v>1626765</v>
      </c>
      <c r="C44" t="s">
        <v>58</v>
      </c>
      <c r="D44">
        <v>2013</v>
      </c>
      <c r="E44">
        <v>4.5</v>
      </c>
      <c r="F44" s="1">
        <v>42461</v>
      </c>
      <c r="G44" t="s">
        <v>59</v>
      </c>
      <c r="H44">
        <v>1054005.08</v>
      </c>
      <c r="I44">
        <v>84.19</v>
      </c>
      <c r="J44">
        <v>0</v>
      </c>
      <c r="K44">
        <v>15.81</v>
      </c>
      <c r="L44">
        <v>100</v>
      </c>
      <c r="M44">
        <v>0</v>
      </c>
      <c r="N44">
        <v>-10.5</v>
      </c>
      <c r="O44">
        <v>749.85519999999997</v>
      </c>
      <c r="P44">
        <v>32</v>
      </c>
      <c r="Q44">
        <v>175922.95</v>
      </c>
      <c r="R44">
        <v>112.05</v>
      </c>
      <c r="S44">
        <v>697</v>
      </c>
      <c r="T44">
        <v>4.9470000000000001</v>
      </c>
      <c r="U44">
        <v>110.97</v>
      </c>
      <c r="V44">
        <v>110.97</v>
      </c>
      <c r="W44">
        <v>60.006370821071897</v>
      </c>
      <c r="X44">
        <v>0</v>
      </c>
      <c r="Y44" s="2">
        <v>3.0000000000000001E-5</v>
      </c>
      <c r="Z44" s="2"/>
      <c r="AA44">
        <f t="shared" si="0"/>
        <v>1.4207062288740045E-2</v>
      </c>
      <c r="AB44">
        <f t="shared" si="8"/>
        <v>1.5234667945004167E-2</v>
      </c>
      <c r="AC44">
        <f t="shared" si="2"/>
        <v>1.4965528564346065E-2</v>
      </c>
      <c r="AD44">
        <f t="shared" si="3"/>
        <v>1.4991617204094478E-2</v>
      </c>
      <c r="AE44">
        <f t="shared" si="4"/>
        <v>1.6863500006189053E-2</v>
      </c>
      <c r="AF44">
        <f t="shared" si="5"/>
        <v>1.4998576007761359E-2</v>
      </c>
      <c r="AG44">
        <f t="shared" si="6"/>
        <v>1.3771022054993878E-2</v>
      </c>
      <c r="AH44">
        <f t="shared" si="7"/>
        <v>1.793994011547689E-2</v>
      </c>
      <c r="AI44" s="2"/>
      <c r="AJ44">
        <v>4.1329451855999998E-4</v>
      </c>
      <c r="AK44">
        <v>0.85003524451578405</v>
      </c>
      <c r="AL44">
        <v>0.87513788369349799</v>
      </c>
      <c r="AM44">
        <v>3.0744898434551302E-4</v>
      </c>
      <c r="AO44">
        <v>1.1492924691999999E-3</v>
      </c>
      <c r="AP44">
        <v>100</v>
      </c>
      <c r="AQ44">
        <v>0</v>
      </c>
      <c r="AR44">
        <v>6.1873455332476199</v>
      </c>
      <c r="AS44">
        <v>1.3981600080247201</v>
      </c>
      <c r="AT44">
        <v>0.91397538553573898</v>
      </c>
      <c r="AU44">
        <v>1.02735668069951</v>
      </c>
      <c r="AV44">
        <v>3.0553102565672399</v>
      </c>
      <c r="AW44">
        <v>0.981402794685724</v>
      </c>
      <c r="AX44">
        <v>1.1830140507296001</v>
      </c>
      <c r="AY44">
        <v>1.00737251241157</v>
      </c>
      <c r="AZ44">
        <v>1.4003571555999799E-2</v>
      </c>
      <c r="BB44">
        <v>5.0294603598999999E-3</v>
      </c>
      <c r="BC44">
        <v>1.29093287777327</v>
      </c>
      <c r="BD44">
        <v>0.98140197517581296</v>
      </c>
      <c r="BE44">
        <v>1.35801633576958</v>
      </c>
      <c r="BF44">
        <v>0.21751895019482301</v>
      </c>
      <c r="BG44">
        <v>1.0564566479999999</v>
      </c>
      <c r="BH44">
        <v>1.9885007174620601E-3</v>
      </c>
      <c r="BJ44">
        <v>6.4384912469036095E-4</v>
      </c>
      <c r="BK44">
        <v>5.1633231645166404</v>
      </c>
      <c r="BL44">
        <v>0.59521760730442497</v>
      </c>
      <c r="BM44">
        <v>1.03207282476023</v>
      </c>
      <c r="BN44">
        <v>0.87477534716836303</v>
      </c>
      <c r="BO44">
        <v>1.1266583042039999</v>
      </c>
      <c r="BP44">
        <v>0.447551804078964</v>
      </c>
      <c r="BQ44">
        <v>9.00806682863728E-4</v>
      </c>
      <c r="BS44">
        <v>1.7200327940671101E-2</v>
      </c>
    </row>
    <row r="45" spans="1:71" x14ac:dyDescent="0.25">
      <c r="A45" t="s">
        <v>57</v>
      </c>
      <c r="B45">
        <v>1626767</v>
      </c>
      <c r="C45" t="s">
        <v>58</v>
      </c>
      <c r="D45">
        <v>2013</v>
      </c>
      <c r="E45">
        <v>4.5</v>
      </c>
      <c r="F45" s="1">
        <v>42461</v>
      </c>
      <c r="G45" t="s">
        <v>59</v>
      </c>
      <c r="H45">
        <v>1946528.8</v>
      </c>
      <c r="I45">
        <v>79.489999999999995</v>
      </c>
      <c r="J45">
        <v>0</v>
      </c>
      <c r="K45">
        <v>20.51</v>
      </c>
      <c r="L45">
        <v>100</v>
      </c>
      <c r="M45">
        <v>0</v>
      </c>
      <c r="N45">
        <v>-5.78</v>
      </c>
      <c r="O45">
        <v>800.85450000000003</v>
      </c>
      <c r="P45">
        <v>30</v>
      </c>
      <c r="Q45">
        <v>162519.25</v>
      </c>
      <c r="R45">
        <v>111.76</v>
      </c>
      <c r="S45">
        <v>717</v>
      </c>
      <c r="T45">
        <v>5.0599999999999996</v>
      </c>
      <c r="U45">
        <v>110.97</v>
      </c>
      <c r="V45">
        <v>110.97</v>
      </c>
      <c r="W45">
        <v>60.006370821071897</v>
      </c>
      <c r="X45">
        <v>0</v>
      </c>
      <c r="Y45">
        <v>9.1100000000000003E-4</v>
      </c>
      <c r="AA45">
        <f t="shared" si="0"/>
        <v>1.4449944102670234E-2</v>
      </c>
      <c r="AB45">
        <f t="shared" si="8"/>
        <v>1.5234667945004167E-2</v>
      </c>
      <c r="AC45">
        <f t="shared" si="2"/>
        <v>1.5005692490473862E-2</v>
      </c>
      <c r="AD45">
        <f t="shared" si="3"/>
        <v>1.4986725143020322E-2</v>
      </c>
      <c r="AE45">
        <f t="shared" si="4"/>
        <v>1.5549974265619451E-2</v>
      </c>
      <c r="AF45">
        <f t="shared" si="5"/>
        <v>1.4995485445617858E-2</v>
      </c>
      <c r="AG45">
        <f t="shared" si="6"/>
        <v>1.3776961421345728E-2</v>
      </c>
      <c r="AH45">
        <f t="shared" si="7"/>
        <v>1.3245976290356565E-2</v>
      </c>
      <c r="AJ45">
        <v>4.0692955538000001E-4</v>
      </c>
      <c r="AK45">
        <v>0.87372307305074703</v>
      </c>
      <c r="AL45">
        <v>0.87398398451051995</v>
      </c>
      <c r="AM45">
        <v>3.10739535987868E-4</v>
      </c>
      <c r="AO45">
        <v>1.1492924691999999E-3</v>
      </c>
      <c r="AP45">
        <v>100</v>
      </c>
      <c r="AQ45">
        <v>0</v>
      </c>
      <c r="AR45">
        <v>6.13618567350328</v>
      </c>
      <c r="AS45">
        <v>1.0093623611595199</v>
      </c>
      <c r="AT45">
        <v>0.83825959284747298</v>
      </c>
      <c r="AU45">
        <v>1.0463576557197301</v>
      </c>
      <c r="AV45">
        <v>3.0391913657665599</v>
      </c>
      <c r="AW45">
        <v>0.88908356034829295</v>
      </c>
      <c r="AX45">
        <v>1.1616735403</v>
      </c>
      <c r="AY45">
        <v>1.0123493084239901</v>
      </c>
      <c r="AZ45">
        <v>9.3653951621345596E-3</v>
      </c>
      <c r="BB45">
        <v>5.0294603598999999E-3</v>
      </c>
      <c r="BC45">
        <v>1.2793706093121899</v>
      </c>
      <c r="BD45">
        <v>0.98140197517581296</v>
      </c>
      <c r="BE45">
        <v>1.4005393359241201</v>
      </c>
      <c r="BF45">
        <v>0.22583516643044099</v>
      </c>
      <c r="BG45">
        <v>1.0564566479999999</v>
      </c>
      <c r="BH45">
        <v>2.1101010239026E-3</v>
      </c>
      <c r="BJ45">
        <v>7.0767147258372605E-4</v>
      </c>
      <c r="BK45">
        <v>5.1633231645166404</v>
      </c>
      <c r="BL45">
        <v>0.59521760730442497</v>
      </c>
      <c r="BM45">
        <v>1.04204686263156</v>
      </c>
      <c r="BN45">
        <v>0.86237767412045196</v>
      </c>
      <c r="BO45">
        <v>1.11677019469714</v>
      </c>
      <c r="BP45">
        <v>0.458119245333378</v>
      </c>
      <c r="BQ45">
        <v>9.9991681688685308E-4</v>
      </c>
      <c r="BS45">
        <v>1.27861525389119E-2</v>
      </c>
    </row>
    <row r="46" spans="1:71" x14ac:dyDescent="0.25">
      <c r="A46" t="s">
        <v>57</v>
      </c>
      <c r="B46">
        <v>1626788</v>
      </c>
      <c r="C46" t="s">
        <v>58</v>
      </c>
      <c r="D46">
        <v>2013</v>
      </c>
      <c r="E46">
        <v>4.5</v>
      </c>
      <c r="F46" s="1">
        <v>42461</v>
      </c>
      <c r="G46" t="s">
        <v>59</v>
      </c>
      <c r="H46">
        <v>2291199.1</v>
      </c>
      <c r="I46">
        <v>95.36</v>
      </c>
      <c r="J46">
        <v>0</v>
      </c>
      <c r="K46">
        <v>4.6399999999999997</v>
      </c>
      <c r="L46">
        <v>94.57</v>
      </c>
      <c r="M46">
        <v>5.43</v>
      </c>
      <c r="N46">
        <v>31.33</v>
      </c>
      <c r="O46">
        <v>893.47029999999995</v>
      </c>
      <c r="P46">
        <v>31</v>
      </c>
      <c r="Q46">
        <v>208581.6</v>
      </c>
      <c r="R46">
        <v>127.43</v>
      </c>
      <c r="S46">
        <v>716</v>
      </c>
      <c r="T46">
        <v>5.1929999999999996</v>
      </c>
      <c r="U46">
        <v>110.97</v>
      </c>
      <c r="V46">
        <v>110.97</v>
      </c>
      <c r="W46">
        <v>60.006370821071897</v>
      </c>
      <c r="X46">
        <v>0</v>
      </c>
      <c r="Y46" s="2">
        <v>8.7999999999999998E-5</v>
      </c>
      <c r="Z46" s="2"/>
      <c r="AA46">
        <f t="shared" si="0"/>
        <v>1.3629830403293139E-2</v>
      </c>
      <c r="AB46">
        <f t="shared" si="8"/>
        <v>1.4706179943604812E-2</v>
      </c>
      <c r="AC46">
        <f t="shared" si="2"/>
        <v>1.5418712072146189E-2</v>
      </c>
      <c r="AD46">
        <f t="shared" si="3"/>
        <v>1.4978311824646446E-2</v>
      </c>
      <c r="AE46">
        <f t="shared" si="4"/>
        <v>1.6200114408968094E-2</v>
      </c>
      <c r="AF46">
        <f t="shared" si="5"/>
        <v>1.5001782856283874E-2</v>
      </c>
      <c r="AG46">
        <f t="shared" si="6"/>
        <v>1.5068287700027572E-2</v>
      </c>
      <c r="AH46">
        <f t="shared" si="7"/>
        <v>1.3449203435149503E-2</v>
      </c>
      <c r="AI46" s="2"/>
      <c r="AJ46">
        <v>4.1006111781000001E-4</v>
      </c>
      <c r="AK46">
        <v>0.87264151528526002</v>
      </c>
      <c r="AL46">
        <v>0.85358980433651299</v>
      </c>
      <c r="AM46">
        <v>3.05445464424171E-4</v>
      </c>
      <c r="AO46">
        <v>1.1492924691999999E-3</v>
      </c>
      <c r="AP46">
        <v>94.57</v>
      </c>
      <c r="AQ46">
        <v>5.43</v>
      </c>
      <c r="AR46">
        <v>8.4743138023845592</v>
      </c>
      <c r="AS46">
        <v>1.02619101665568</v>
      </c>
      <c r="AT46">
        <v>0.87573275326150102</v>
      </c>
      <c r="AU46">
        <v>0.98219904432166405</v>
      </c>
      <c r="AV46">
        <v>3.7824920770460402</v>
      </c>
      <c r="AW46">
        <v>0.89366823455190603</v>
      </c>
      <c r="AX46">
        <v>1.1725808797583099</v>
      </c>
      <c r="AY46">
        <v>0.99554468018630404</v>
      </c>
      <c r="AZ46">
        <v>1.25643081812447E-2</v>
      </c>
      <c r="BB46">
        <v>5.0294603598999999E-3</v>
      </c>
      <c r="BC46">
        <v>1.2854866153979201</v>
      </c>
      <c r="BD46">
        <v>0.98140197517581296</v>
      </c>
      <c r="BE46">
        <v>1.452612</v>
      </c>
      <c r="BF46">
        <v>1.89803874406314E-3</v>
      </c>
      <c r="BG46">
        <v>1.0564566479999999</v>
      </c>
      <c r="BH46" s="2">
        <v>1.8481714519272801E-5</v>
      </c>
      <c r="BI46" s="2"/>
      <c r="BJ46">
        <v>1.56413546192905E-3</v>
      </c>
      <c r="BK46">
        <v>5.1633231645166404</v>
      </c>
      <c r="BL46">
        <v>0.59521760730442497</v>
      </c>
      <c r="BM46">
        <v>1.0369067277891399</v>
      </c>
      <c r="BN46">
        <v>0.84105627831893004</v>
      </c>
      <c r="BO46">
        <v>1.1369184665596499</v>
      </c>
      <c r="BP46">
        <v>9.6665376609719703E-2</v>
      </c>
      <c r="BQ46">
        <v>4.6072784152271698E-4</v>
      </c>
      <c r="BS46">
        <v>1.33489632017109E-2</v>
      </c>
    </row>
    <row r="47" spans="1:71" x14ac:dyDescent="0.25">
      <c r="A47" t="s">
        <v>57</v>
      </c>
      <c r="B47">
        <v>1626961</v>
      </c>
      <c r="C47" t="s">
        <v>58</v>
      </c>
      <c r="D47">
        <v>2013</v>
      </c>
      <c r="E47">
        <v>4.5</v>
      </c>
      <c r="F47" s="1">
        <v>42461</v>
      </c>
      <c r="G47" t="s">
        <v>59</v>
      </c>
      <c r="H47">
        <v>1136965.93</v>
      </c>
      <c r="I47">
        <v>86.68</v>
      </c>
      <c r="J47">
        <v>0</v>
      </c>
      <c r="K47">
        <v>13.32</v>
      </c>
      <c r="L47">
        <v>100</v>
      </c>
      <c r="M47">
        <v>0</v>
      </c>
      <c r="N47">
        <v>14.74</v>
      </c>
      <c r="O47">
        <v>869.38049999999998</v>
      </c>
      <c r="P47">
        <v>31</v>
      </c>
      <c r="Q47">
        <v>227718.95</v>
      </c>
      <c r="R47">
        <v>136.75</v>
      </c>
      <c r="S47">
        <v>764</v>
      </c>
      <c r="T47">
        <v>5.14</v>
      </c>
      <c r="U47">
        <v>110.97</v>
      </c>
      <c r="V47">
        <v>110.97</v>
      </c>
      <c r="W47">
        <v>60.006370821071897</v>
      </c>
      <c r="X47">
        <v>0</v>
      </c>
      <c r="Y47" s="2">
        <v>8.5000000000000006E-5</v>
      </c>
      <c r="Z47" s="2"/>
      <c r="AA47">
        <f t="shared" si="0"/>
        <v>1.4078386604338656E-2</v>
      </c>
      <c r="AB47">
        <f t="shared" si="8"/>
        <v>1.5234667945004167E-2</v>
      </c>
      <c r="AC47">
        <f t="shared" si="2"/>
        <v>1.5212608359179853E-2</v>
      </c>
      <c r="AD47">
        <f t="shared" si="3"/>
        <v>1.4980436128495528E-2</v>
      </c>
      <c r="AE47">
        <f t="shared" si="4"/>
        <v>1.6200114408968094E-2</v>
      </c>
      <c r="AF47">
        <f t="shared" si="5"/>
        <v>1.5002228770493984E-2</v>
      </c>
      <c r="AG47">
        <f t="shared" si="6"/>
        <v>1.6776541901975323E-2</v>
      </c>
      <c r="AH47">
        <f t="shared" si="7"/>
        <v>6.0645095233607064E-3</v>
      </c>
      <c r="AI47" s="2"/>
      <c r="AJ47">
        <v>4.1006111781000001E-4</v>
      </c>
      <c r="AK47">
        <v>1.14319867471722</v>
      </c>
      <c r="AL47">
        <v>0.84637026098276502</v>
      </c>
      <c r="AM47">
        <v>3.9676257359733E-4</v>
      </c>
      <c r="AO47">
        <v>1.1492924691999999E-3</v>
      </c>
      <c r="AP47">
        <v>100</v>
      </c>
      <c r="AQ47">
        <v>0</v>
      </c>
      <c r="AR47">
        <v>9.5459708346391796</v>
      </c>
      <c r="AS47">
        <v>0.40847555363928001</v>
      </c>
      <c r="AT47">
        <v>0.87573275326150102</v>
      </c>
      <c r="AU47">
        <v>1.01729020669943</v>
      </c>
      <c r="AV47">
        <v>4.12863727484197</v>
      </c>
      <c r="AW47">
        <v>0.68570064883749204</v>
      </c>
      <c r="AX47">
        <v>1.1725808797583099</v>
      </c>
      <c r="AY47">
        <v>1.0047358694177499</v>
      </c>
      <c r="AZ47">
        <v>5.9885881959868001E-3</v>
      </c>
      <c r="BB47">
        <v>5.0294603598999999E-3</v>
      </c>
      <c r="BC47">
        <v>1.2854866153979201</v>
      </c>
      <c r="BD47">
        <v>0.98140197517581296</v>
      </c>
      <c r="BE47">
        <v>1.452612</v>
      </c>
      <c r="BF47">
        <v>4.5804563654549001E-4</v>
      </c>
      <c r="BG47">
        <v>1.0564566479999999</v>
      </c>
      <c r="BH47" s="2">
        <v>4.4601137452601298E-6</v>
      </c>
      <c r="BI47" s="2"/>
      <c r="BJ47">
        <v>1.1232434200401701E-3</v>
      </c>
      <c r="BK47">
        <v>5.1633231645166404</v>
      </c>
      <c r="BL47">
        <v>0.59521760730442497</v>
      </c>
      <c r="BM47">
        <v>1.0369067277891399</v>
      </c>
      <c r="BN47">
        <v>0.84643978113627405</v>
      </c>
      <c r="BO47">
        <v>1.1383451482879301</v>
      </c>
      <c r="BP47">
        <v>4.7762826595651398E-2</v>
      </c>
      <c r="BQ47">
        <v>1.64732276599807E-4</v>
      </c>
      <c r="BS47">
        <v>6.5545431599291996E-3</v>
      </c>
    </row>
    <row r="48" spans="1:71" x14ac:dyDescent="0.25">
      <c r="A48" t="s">
        <v>57</v>
      </c>
      <c r="B48">
        <v>1626963</v>
      </c>
      <c r="C48" t="s">
        <v>58</v>
      </c>
      <c r="D48">
        <v>2013</v>
      </c>
      <c r="E48">
        <v>4.5</v>
      </c>
      <c r="F48" s="1">
        <v>42461</v>
      </c>
      <c r="G48" t="s">
        <v>59</v>
      </c>
      <c r="H48">
        <v>729032.71</v>
      </c>
      <c r="I48">
        <v>100</v>
      </c>
      <c r="J48">
        <v>0</v>
      </c>
      <c r="K48">
        <v>0</v>
      </c>
      <c r="L48">
        <v>100</v>
      </c>
      <c r="M48">
        <v>0</v>
      </c>
      <c r="N48">
        <v>37.590000000000003</v>
      </c>
      <c r="O48">
        <v>876.72230000000002</v>
      </c>
      <c r="P48">
        <v>30</v>
      </c>
      <c r="Q48">
        <v>146010.32</v>
      </c>
      <c r="R48">
        <v>119.88</v>
      </c>
      <c r="S48">
        <v>640</v>
      </c>
      <c r="T48">
        <v>5.1859999999999999</v>
      </c>
      <c r="U48">
        <v>110.97</v>
      </c>
      <c r="V48">
        <v>110.97</v>
      </c>
      <c r="W48">
        <v>60.006370821071897</v>
      </c>
      <c r="X48">
        <v>0</v>
      </c>
      <c r="Y48" s="2">
        <v>3.9999999999999998E-6</v>
      </c>
      <c r="Z48" s="2"/>
      <c r="AA48">
        <f t="shared" si="0"/>
        <v>1.3390049208264185E-2</v>
      </c>
      <c r="AB48">
        <f t="shared" si="8"/>
        <v>1.5234667945004167E-2</v>
      </c>
      <c r="AC48">
        <f t="shared" si="2"/>
        <v>1.5521600804735962E-2</v>
      </c>
      <c r="AD48">
        <f t="shared" si="3"/>
        <v>1.4979783673238482E-2</v>
      </c>
      <c r="AE48">
        <f t="shared" si="4"/>
        <v>1.5549974265619451E-2</v>
      </c>
      <c r="AF48">
        <f t="shared" si="5"/>
        <v>1.4973409520107263E-2</v>
      </c>
      <c r="AG48">
        <f t="shared" si="6"/>
        <v>1.3888196961602397E-2</v>
      </c>
      <c r="AH48">
        <f t="shared" si="7"/>
        <v>3.8109412717848949E-2</v>
      </c>
      <c r="AI48" s="2"/>
      <c r="AJ48">
        <v>4.0692955538000001E-4</v>
      </c>
      <c r="AK48">
        <v>0.83331837550274901</v>
      </c>
      <c r="AL48">
        <v>0.86116699166920496</v>
      </c>
      <c r="AM48">
        <v>2.9202334245299601E-4</v>
      </c>
      <c r="AO48">
        <v>1.1492924691999999E-3</v>
      </c>
      <c r="AP48">
        <v>100</v>
      </c>
      <c r="AQ48">
        <v>0</v>
      </c>
      <c r="AR48">
        <v>7.4424334305133399</v>
      </c>
      <c r="AS48">
        <v>3.0675311861056</v>
      </c>
      <c r="AT48">
        <v>0.83825959284747298</v>
      </c>
      <c r="AU48">
        <v>0.96344063493999998</v>
      </c>
      <c r="AV48">
        <v>3.45275062134482</v>
      </c>
      <c r="AW48">
        <v>1.26354778270128</v>
      </c>
      <c r="AX48">
        <v>1.1616735403</v>
      </c>
      <c r="AY48">
        <v>0.99063141773999996</v>
      </c>
      <c r="AZ48">
        <v>3.1785515344365203E-2</v>
      </c>
      <c r="BB48">
        <v>5.0294603598999999E-3</v>
      </c>
      <c r="BC48">
        <v>1.2793706093121899</v>
      </c>
      <c r="BD48">
        <v>0.98140197517581296</v>
      </c>
      <c r="BE48">
        <v>1.452612</v>
      </c>
      <c r="BF48">
        <v>4.24449645328695E-2</v>
      </c>
      <c r="BG48">
        <v>1.0564566479999999</v>
      </c>
      <c r="BH48">
        <v>4.1133168984478202E-4</v>
      </c>
      <c r="BJ48">
        <v>1.7842325322146E-3</v>
      </c>
      <c r="BK48">
        <v>5.1633231645166404</v>
      </c>
      <c r="BL48">
        <v>0.59521760730442497</v>
      </c>
      <c r="BM48">
        <v>1.04204686263156</v>
      </c>
      <c r="BN48">
        <v>0.84478630076621597</v>
      </c>
      <c r="BO48">
        <v>1.0461393001289301</v>
      </c>
      <c r="BP48">
        <v>0.20347721814421399</v>
      </c>
      <c r="BQ48">
        <v>1.0275334131589001E-3</v>
      </c>
      <c r="BS48">
        <v>3.3516403789821902E-2</v>
      </c>
    </row>
    <row r="49" spans="1:71" x14ac:dyDescent="0.25">
      <c r="A49" t="s">
        <v>57</v>
      </c>
      <c r="B49">
        <v>1626965</v>
      </c>
      <c r="C49" t="s">
        <v>58</v>
      </c>
      <c r="D49">
        <v>2013</v>
      </c>
      <c r="E49">
        <v>4.5</v>
      </c>
      <c r="F49" s="1">
        <v>42461</v>
      </c>
      <c r="G49" t="s">
        <v>59</v>
      </c>
      <c r="H49">
        <v>19085502.059999999</v>
      </c>
      <c r="I49">
        <v>74.73</v>
      </c>
      <c r="J49">
        <v>4.03</v>
      </c>
      <c r="K49">
        <v>21.24</v>
      </c>
      <c r="L49">
        <v>94.37</v>
      </c>
      <c r="M49">
        <v>5.63</v>
      </c>
      <c r="N49">
        <v>-8.26</v>
      </c>
      <c r="O49">
        <v>788.81119999999999</v>
      </c>
      <c r="P49">
        <v>30</v>
      </c>
      <c r="Q49">
        <v>187377.48</v>
      </c>
      <c r="R49">
        <v>127.68</v>
      </c>
      <c r="S49">
        <v>712</v>
      </c>
      <c r="T49">
        <v>5.0449999999999999</v>
      </c>
      <c r="U49">
        <v>110.97</v>
      </c>
      <c r="V49">
        <v>110.97</v>
      </c>
      <c r="W49">
        <v>60.006370821071897</v>
      </c>
      <c r="X49">
        <v>0</v>
      </c>
      <c r="Y49">
        <v>1.7382999999999999E-2</v>
      </c>
      <c r="AA49">
        <f t="shared" si="0"/>
        <v>1.4695926535501582E-2</v>
      </c>
      <c r="AB49">
        <f t="shared" si="8"/>
        <v>1.4686714455523804E-2</v>
      </c>
      <c r="AC49">
        <f t="shared" si="2"/>
        <v>1.4983611681801873E-2</v>
      </c>
      <c r="AD49">
        <f t="shared" si="3"/>
        <v>1.4987865177248596E-2</v>
      </c>
      <c r="AE49">
        <f t="shared" si="4"/>
        <v>1.5549974265619451E-2</v>
      </c>
      <c r="AF49">
        <f t="shared" si="5"/>
        <v>1.5000266560528159E-2</v>
      </c>
      <c r="AG49">
        <f t="shared" si="6"/>
        <v>1.5117185072565403E-2</v>
      </c>
      <c r="AH49">
        <f t="shared" si="7"/>
        <v>1.4290937009476876E-2</v>
      </c>
      <c r="AJ49">
        <v>4.0692955538000001E-4</v>
      </c>
      <c r="AK49">
        <v>0.86487812092581595</v>
      </c>
      <c r="AL49">
        <v>0.85236948560705295</v>
      </c>
      <c r="AM49">
        <v>2.9998672617956301E-4</v>
      </c>
      <c r="AO49">
        <v>1.1492924691999999E-3</v>
      </c>
      <c r="AP49">
        <v>94.37</v>
      </c>
      <c r="AQ49">
        <v>5.63</v>
      </c>
      <c r="AR49">
        <v>8.5063619488432707</v>
      </c>
      <c r="AS49">
        <v>1.0959930569352101</v>
      </c>
      <c r="AT49">
        <v>0.83825959284747298</v>
      </c>
      <c r="AU49">
        <v>1.0656011963784999</v>
      </c>
      <c r="AV49">
        <v>3.7927719989594899</v>
      </c>
      <c r="AW49">
        <v>0.91205969827164601</v>
      </c>
      <c r="AX49">
        <v>1.1616735403</v>
      </c>
      <c r="AY49">
        <v>1.01738963800252</v>
      </c>
      <c r="AZ49">
        <v>1.39449800436072E-2</v>
      </c>
      <c r="BB49">
        <v>5.0294603598999999E-3</v>
      </c>
      <c r="BC49">
        <v>1.2793706093121899</v>
      </c>
      <c r="BD49">
        <v>0.98140197517581296</v>
      </c>
      <c r="BE49">
        <v>1.3781967423637</v>
      </c>
      <c r="BF49">
        <v>1.83854879690502E-3</v>
      </c>
      <c r="BG49">
        <v>1.0564566479999999</v>
      </c>
      <c r="BH49" s="2">
        <v>1.6904516247900199E-5</v>
      </c>
      <c r="BI49" s="2"/>
      <c r="BJ49">
        <v>6.7204616298582702E-4</v>
      </c>
      <c r="BK49">
        <v>5.1633231645166404</v>
      </c>
      <c r="BL49">
        <v>0.59521760730442497</v>
      </c>
      <c r="BM49">
        <v>1.04204686263156</v>
      </c>
      <c r="BN49">
        <v>0.86526679823630304</v>
      </c>
      <c r="BO49">
        <v>1.13206714897368</v>
      </c>
      <c r="BP49">
        <v>9.4454114438366099E-2</v>
      </c>
      <c r="BQ49">
        <v>1.9912901323760899E-4</v>
      </c>
      <c r="BS49">
        <v>1.44610002992723E-2</v>
      </c>
    </row>
    <row r="50" spans="1:71" x14ac:dyDescent="0.25">
      <c r="A50" t="s">
        <v>57</v>
      </c>
      <c r="B50">
        <v>1627181</v>
      </c>
      <c r="C50" t="s">
        <v>58</v>
      </c>
      <c r="D50">
        <v>2013</v>
      </c>
      <c r="E50">
        <v>4.5</v>
      </c>
      <c r="F50" s="1">
        <v>42461</v>
      </c>
      <c r="G50" t="s">
        <v>59</v>
      </c>
      <c r="H50">
        <v>2201327.11</v>
      </c>
      <c r="I50">
        <v>84.26</v>
      </c>
      <c r="J50">
        <v>0</v>
      </c>
      <c r="K50">
        <v>15.74</v>
      </c>
      <c r="L50">
        <v>90.65</v>
      </c>
      <c r="M50">
        <v>9.35</v>
      </c>
      <c r="N50">
        <v>4.3</v>
      </c>
      <c r="O50">
        <v>792.23770000000002</v>
      </c>
      <c r="P50">
        <v>29</v>
      </c>
      <c r="Q50">
        <v>183699.88</v>
      </c>
      <c r="R50">
        <v>129.12</v>
      </c>
      <c r="S50">
        <v>693</v>
      </c>
      <c r="T50">
        <v>5.0940000000000003</v>
      </c>
      <c r="U50">
        <v>110.97</v>
      </c>
      <c r="V50">
        <v>110.97</v>
      </c>
      <c r="W50">
        <v>60.006370821071897</v>
      </c>
      <c r="X50">
        <v>0</v>
      </c>
      <c r="Y50" s="2">
        <v>1.0000000000000001E-5</v>
      </c>
      <c r="Z50" s="2"/>
      <c r="AA50">
        <f t="shared" si="0"/>
        <v>1.4203444900021834E-2</v>
      </c>
      <c r="AB50">
        <f t="shared" si="8"/>
        <v>1.4324656377217065E-2</v>
      </c>
      <c r="AC50">
        <f t="shared" si="2"/>
        <v>1.5104294712866433E-2</v>
      </c>
      <c r="AD50">
        <f t="shared" si="3"/>
        <v>1.4987539827665992E-2</v>
      </c>
      <c r="AE50">
        <f t="shared" si="4"/>
        <v>1.4912276343371767E-2</v>
      </c>
      <c r="AF50">
        <f t="shared" si="5"/>
        <v>1.4999806002249434E-2</v>
      </c>
      <c r="AG50">
        <f t="shared" si="6"/>
        <v>1.540019346795965E-2</v>
      </c>
      <c r="AH50">
        <f t="shared" si="7"/>
        <v>1.9009178605622411E-2</v>
      </c>
      <c r="AI50" s="2"/>
      <c r="AJ50">
        <v>4.0390674931999997E-4</v>
      </c>
      <c r="AK50">
        <v>0.84418387554691099</v>
      </c>
      <c r="AL50">
        <v>0.85005798265157795</v>
      </c>
      <c r="AM50">
        <v>2.8984560068588699E-4</v>
      </c>
      <c r="AO50">
        <v>1.1492924691999999E-3</v>
      </c>
      <c r="AP50">
        <v>90.65</v>
      </c>
      <c r="AQ50">
        <v>9.35</v>
      </c>
      <c r="AR50">
        <v>8.6889586543279496</v>
      </c>
      <c r="AS50">
        <v>1.48676642680508</v>
      </c>
      <c r="AT50">
        <v>0.80150819427633502</v>
      </c>
      <c r="AU50">
        <v>1.0270736874545201</v>
      </c>
      <c r="AV50">
        <v>3.85137877021742</v>
      </c>
      <c r="AW50">
        <v>0.99963493955254201</v>
      </c>
      <c r="AX50">
        <v>1.1508532099298701</v>
      </c>
      <c r="AY50">
        <v>1.0072983899177601</v>
      </c>
      <c r="AZ50">
        <v>1.7338581073537501E-2</v>
      </c>
      <c r="BB50">
        <v>5.0294603598999999E-3</v>
      </c>
      <c r="BC50">
        <v>1.2724990332697801</v>
      </c>
      <c r="BD50">
        <v>0.98140197517581296</v>
      </c>
      <c r="BE50">
        <v>1.452612</v>
      </c>
      <c r="BF50">
        <v>1.5212784510125401E-3</v>
      </c>
      <c r="BG50">
        <v>1.0564566479999999</v>
      </c>
      <c r="BH50" s="2">
        <v>1.46634377474288E-5</v>
      </c>
      <c r="BI50" s="2"/>
      <c r="BJ50">
        <v>8.9154150647321496E-4</v>
      </c>
      <c r="BK50">
        <v>5.1633231645166404</v>
      </c>
      <c r="BL50">
        <v>0.59521760730442497</v>
      </c>
      <c r="BM50">
        <v>1.04743208487148</v>
      </c>
      <c r="BN50">
        <v>0.86444228323327199</v>
      </c>
      <c r="BO50">
        <v>1.13059361423053</v>
      </c>
      <c r="BP50">
        <v>8.29939068886031E-2</v>
      </c>
      <c r="BQ50">
        <v>2.3278835778492801E-4</v>
      </c>
      <c r="BS50">
        <v>1.7875878469755802E-2</v>
      </c>
    </row>
    <row r="51" spans="1:71" x14ac:dyDescent="0.25">
      <c r="A51" t="s">
        <v>57</v>
      </c>
      <c r="B51">
        <v>1627197</v>
      </c>
      <c r="C51" t="s">
        <v>58</v>
      </c>
      <c r="D51">
        <v>2013</v>
      </c>
      <c r="E51">
        <v>4.5</v>
      </c>
      <c r="F51" s="1">
        <v>42461</v>
      </c>
      <c r="G51" t="s">
        <v>59</v>
      </c>
      <c r="H51">
        <v>9262238.1400000006</v>
      </c>
      <c r="I51">
        <v>84.37</v>
      </c>
      <c r="J51">
        <v>5.38</v>
      </c>
      <c r="K51">
        <v>10.25</v>
      </c>
      <c r="L51">
        <v>98.75</v>
      </c>
      <c r="M51">
        <v>1.25</v>
      </c>
      <c r="N51">
        <v>17.86</v>
      </c>
      <c r="O51">
        <v>818.49400000000003</v>
      </c>
      <c r="P51">
        <v>29</v>
      </c>
      <c r="Q51">
        <v>175012.41</v>
      </c>
      <c r="R51">
        <v>120.12</v>
      </c>
      <c r="S51">
        <v>716</v>
      </c>
      <c r="T51">
        <v>5.141</v>
      </c>
      <c r="U51">
        <v>110.97</v>
      </c>
      <c r="V51">
        <v>110.97</v>
      </c>
      <c r="W51">
        <v>60.006370821071897</v>
      </c>
      <c r="X51">
        <v>0</v>
      </c>
      <c r="Y51">
        <v>1.35E-4</v>
      </c>
      <c r="AA51">
        <f t="shared" si="0"/>
        <v>1.419776043203631E-2</v>
      </c>
      <c r="AB51">
        <f t="shared" si="8"/>
        <v>1.5113008644497872E-2</v>
      </c>
      <c r="AC51">
        <f t="shared" si="2"/>
        <v>1.5246630195027609E-2</v>
      </c>
      <c r="AD51">
        <f t="shared" si="3"/>
        <v>1.498507336038318E-2</v>
      </c>
      <c r="AE51">
        <f t="shared" si="4"/>
        <v>1.4912276343371767E-2</v>
      </c>
      <c r="AF51">
        <f t="shared" si="5"/>
        <v>1.4998407116844113E-2</v>
      </c>
      <c r="AG51">
        <f t="shared" si="6"/>
        <v>1.3907964197738416E-2</v>
      </c>
      <c r="AH51">
        <f t="shared" si="7"/>
        <v>1.344861122783606E-2</v>
      </c>
      <c r="AJ51">
        <v>4.0390674931999997E-4</v>
      </c>
      <c r="AK51">
        <v>0.87093200542331695</v>
      </c>
      <c r="AL51">
        <v>0.85992209320109902</v>
      </c>
      <c r="AM51">
        <v>3.02499365374043E-4</v>
      </c>
      <c r="AO51">
        <v>1.1492924691999999E-3</v>
      </c>
      <c r="AP51">
        <v>98.75</v>
      </c>
      <c r="AQ51">
        <v>1.25</v>
      </c>
      <c r="AR51">
        <v>7.47752292682505</v>
      </c>
      <c r="AS51">
        <v>1.02619101665568</v>
      </c>
      <c r="AT51">
        <v>0.80150819427633502</v>
      </c>
      <c r="AU51">
        <v>1.02662898378384</v>
      </c>
      <c r="AV51">
        <v>3.4639200163167101</v>
      </c>
      <c r="AW51">
        <v>0.89366823455190603</v>
      </c>
      <c r="AX51">
        <v>1.1508532099298701</v>
      </c>
      <c r="AY51">
        <v>1.0071819117132199</v>
      </c>
      <c r="AZ51">
        <v>1.0826280337704299E-2</v>
      </c>
      <c r="BB51">
        <v>5.0294603598999999E-3</v>
      </c>
      <c r="BC51">
        <v>1.2724990332697801</v>
      </c>
      <c r="BD51">
        <v>0.98140197517581296</v>
      </c>
      <c r="BE51">
        <v>1.452612</v>
      </c>
      <c r="BF51">
        <v>3.90097345985113E-2</v>
      </c>
      <c r="BG51">
        <v>1.0564566479999999</v>
      </c>
      <c r="BH51">
        <v>3.7601059454188998E-4</v>
      </c>
      <c r="BJ51">
        <v>1.19602210248038E-3</v>
      </c>
      <c r="BK51">
        <v>5.1633231645166404</v>
      </c>
      <c r="BL51">
        <v>0.59521760730442497</v>
      </c>
      <c r="BM51">
        <v>1.04743208487148</v>
      </c>
      <c r="BN51">
        <v>0.85819165502316697</v>
      </c>
      <c r="BO51">
        <v>1.12611794558738</v>
      </c>
      <c r="BP51">
        <v>0.19865165161555901</v>
      </c>
      <c r="BQ51">
        <v>7.3914646242985904E-4</v>
      </c>
      <c r="BS51">
        <v>1.22439367600501E-2</v>
      </c>
    </row>
    <row r="52" spans="1:71" x14ac:dyDescent="0.25">
      <c r="A52" t="s">
        <v>57</v>
      </c>
      <c r="B52">
        <v>1627305</v>
      </c>
      <c r="C52" t="s">
        <v>58</v>
      </c>
      <c r="D52">
        <v>2013</v>
      </c>
      <c r="E52">
        <v>4.5</v>
      </c>
      <c r="F52" s="1">
        <v>42461</v>
      </c>
      <c r="G52" t="s">
        <v>59</v>
      </c>
      <c r="H52">
        <v>1395335.95</v>
      </c>
      <c r="I52">
        <v>72.709999999999994</v>
      </c>
      <c r="J52">
        <v>0</v>
      </c>
      <c r="K52">
        <v>27.29</v>
      </c>
      <c r="L52">
        <v>100</v>
      </c>
      <c r="M52">
        <v>0</v>
      </c>
      <c r="N52">
        <v>-18.41</v>
      </c>
      <c r="O52">
        <v>745.94029999999998</v>
      </c>
      <c r="P52">
        <v>29</v>
      </c>
      <c r="Q52">
        <v>174698.21</v>
      </c>
      <c r="R52">
        <v>126.25</v>
      </c>
      <c r="S52">
        <v>733</v>
      </c>
      <c r="T52">
        <v>5.0110000000000001</v>
      </c>
      <c r="U52">
        <v>110.97</v>
      </c>
      <c r="V52">
        <v>110.97</v>
      </c>
      <c r="W52">
        <v>60.006370821071897</v>
      </c>
      <c r="X52">
        <v>0</v>
      </c>
      <c r="Y52">
        <v>0</v>
      </c>
      <c r="AA52">
        <f t="shared" si="0"/>
        <v>1.480031403850985E-2</v>
      </c>
      <c r="AB52">
        <f t="shared" si="8"/>
        <v>1.5234667945004167E-2</v>
      </c>
      <c r="AC52">
        <f t="shared" si="2"/>
        <v>1.4913891210024382E-2</v>
      </c>
      <c r="AD52">
        <f t="shared" si="3"/>
        <v>1.4991999444022753E-2</v>
      </c>
      <c r="AE52">
        <f t="shared" si="4"/>
        <v>1.4912276343371767E-2</v>
      </c>
      <c r="AF52">
        <f t="shared" si="5"/>
        <v>1.4998347551426018E-2</v>
      </c>
      <c r="AG52">
        <f t="shared" si="6"/>
        <v>1.4834868766496449E-2</v>
      </c>
      <c r="AH52">
        <f t="shared" si="7"/>
        <v>1.0337964429958109E-2</v>
      </c>
      <c r="AJ52">
        <v>4.0390674931999997E-4</v>
      </c>
      <c r="AK52">
        <v>0.919420770760766</v>
      </c>
      <c r="AL52">
        <v>0.852790683238418</v>
      </c>
      <c r="AM52">
        <v>3.1669256539739501E-4</v>
      </c>
      <c r="AO52">
        <v>1.1492924691999999E-3</v>
      </c>
      <c r="AP52">
        <v>100</v>
      </c>
      <c r="AQ52">
        <v>0</v>
      </c>
      <c r="AR52">
        <v>8.3215204073219091</v>
      </c>
      <c r="AS52">
        <v>0.76776056226507206</v>
      </c>
      <c r="AT52">
        <v>0.80150819427633502</v>
      </c>
      <c r="AU52">
        <v>1.0737675728765499</v>
      </c>
      <c r="AV52">
        <v>3.7335097131381798</v>
      </c>
      <c r="AW52">
        <v>0.81673940715011695</v>
      </c>
      <c r="AX52">
        <v>1.1508532099298701</v>
      </c>
      <c r="AY52">
        <v>1.0195286013950899</v>
      </c>
      <c r="AZ52">
        <v>9.4791316200348603E-3</v>
      </c>
      <c r="BB52">
        <v>5.0294603598999999E-3</v>
      </c>
      <c r="BC52">
        <v>1.2724990332697801</v>
      </c>
      <c r="BD52">
        <v>0.98140197517581296</v>
      </c>
      <c r="BE52">
        <v>1.2867542700707799</v>
      </c>
      <c r="BF52">
        <v>2.1972197395456099E-3</v>
      </c>
      <c r="BG52">
        <v>1.0564566479999999</v>
      </c>
      <c r="BH52" s="2">
        <v>1.8760593304671099E-5</v>
      </c>
      <c r="BI52" s="2"/>
      <c r="BJ52">
        <v>5.7041618315619997E-4</v>
      </c>
      <c r="BK52">
        <v>5.1633231645166404</v>
      </c>
      <c r="BL52">
        <v>0.59521760730442497</v>
      </c>
      <c r="BM52">
        <v>1.04743208487148</v>
      </c>
      <c r="BN52">
        <v>0.87574403614930196</v>
      </c>
      <c r="BO52">
        <v>1.12592736880892</v>
      </c>
      <c r="BP52">
        <v>0.10806892495088199</v>
      </c>
      <c r="BQ52">
        <v>1.9566411569061401E-4</v>
      </c>
      <c r="BS52">
        <v>1.00102488944275E-2</v>
      </c>
    </row>
    <row r="53" spans="1:71" x14ac:dyDescent="0.25">
      <c r="A53" t="s">
        <v>57</v>
      </c>
      <c r="B53">
        <v>1627368</v>
      </c>
      <c r="C53" t="s">
        <v>58</v>
      </c>
      <c r="D53">
        <v>2013</v>
      </c>
      <c r="E53">
        <v>4.5</v>
      </c>
      <c r="F53" s="1">
        <v>42461</v>
      </c>
      <c r="G53" t="s">
        <v>59</v>
      </c>
      <c r="H53">
        <v>5666563.6100000003</v>
      </c>
      <c r="I53">
        <v>75.56</v>
      </c>
      <c r="J53">
        <v>0</v>
      </c>
      <c r="K53">
        <v>24.44</v>
      </c>
      <c r="L53">
        <v>100</v>
      </c>
      <c r="M53">
        <v>0</v>
      </c>
      <c r="N53">
        <v>3.31</v>
      </c>
      <c r="O53">
        <v>851.11919999999998</v>
      </c>
      <c r="P53">
        <v>29</v>
      </c>
      <c r="Q53">
        <v>171968.17</v>
      </c>
      <c r="R53">
        <v>127.81</v>
      </c>
      <c r="S53">
        <v>733</v>
      </c>
      <c r="T53">
        <v>5.1879999999999997</v>
      </c>
      <c r="U53">
        <v>110.97</v>
      </c>
      <c r="V53">
        <v>110.97</v>
      </c>
      <c r="W53">
        <v>60.006370821071897</v>
      </c>
      <c r="X53">
        <v>0</v>
      </c>
      <c r="Y53" s="2">
        <v>5.8999999999999998E-5</v>
      </c>
      <c r="Z53" s="2"/>
      <c r="AA53">
        <f t="shared" si="0"/>
        <v>1.4653034640701119E-2</v>
      </c>
      <c r="AB53">
        <f t="shared" si="8"/>
        <v>1.5234667945004167E-2</v>
      </c>
      <c r="AC53">
        <f t="shared" si="2"/>
        <v>1.5094781797869552E-2</v>
      </c>
      <c r="AD53">
        <f t="shared" si="3"/>
        <v>1.4982077567588561E-2</v>
      </c>
      <c r="AE53">
        <f t="shared" si="4"/>
        <v>1.4912276343371767E-2</v>
      </c>
      <c r="AF53">
        <f t="shared" si="5"/>
        <v>1.4997801496780124E-2</v>
      </c>
      <c r="AG53">
        <f t="shared" si="6"/>
        <v>1.5142435106451637E-2</v>
      </c>
      <c r="AH53">
        <f t="shared" si="7"/>
        <v>1.0337964429958109E-2</v>
      </c>
      <c r="AI53" s="2"/>
      <c r="AJ53">
        <v>4.0390674931999997E-4</v>
      </c>
      <c r="AK53">
        <v>0.919420770760766</v>
      </c>
      <c r="AL53">
        <v>0.85126190680885505</v>
      </c>
      <c r="AM53">
        <v>3.1612483859301798E-4</v>
      </c>
      <c r="AO53">
        <v>1.1492924691999999E-3</v>
      </c>
      <c r="AP53">
        <v>100</v>
      </c>
      <c r="AQ53">
        <v>0</v>
      </c>
      <c r="AR53">
        <v>8.5229845172248808</v>
      </c>
      <c r="AS53">
        <v>0.76776056226507206</v>
      </c>
      <c r="AT53">
        <v>0.80150819427633502</v>
      </c>
      <c r="AU53">
        <v>1.0622457050451399</v>
      </c>
      <c r="AV53">
        <v>3.7981047145560201</v>
      </c>
      <c r="AW53">
        <v>0.81673940715011695</v>
      </c>
      <c r="AX53">
        <v>1.1508532099298701</v>
      </c>
      <c r="AY53">
        <v>1.0165107570045799</v>
      </c>
      <c r="AZ53">
        <v>9.6044449124061404E-3</v>
      </c>
      <c r="BB53">
        <v>5.0294603598999999E-3</v>
      </c>
      <c r="BC53">
        <v>1.2724990332697801</v>
      </c>
      <c r="BD53">
        <v>0.98140197517581296</v>
      </c>
      <c r="BE53">
        <v>1.452612</v>
      </c>
      <c r="BF53">
        <v>1.8081399104525899E-3</v>
      </c>
      <c r="BG53">
        <v>1.0564566479999999</v>
      </c>
      <c r="BH53" s="2">
        <v>1.7428464195963599E-5</v>
      </c>
      <c r="BI53" s="2"/>
      <c r="BJ53">
        <v>8.7119171045583002E-4</v>
      </c>
      <c r="BK53">
        <v>5.1633231645166404</v>
      </c>
      <c r="BL53">
        <v>0.59521760730442497</v>
      </c>
      <c r="BM53">
        <v>1.04743208487148</v>
      </c>
      <c r="BN53">
        <v>0.85059958717610396</v>
      </c>
      <c r="BO53">
        <v>1.1241802924245501</v>
      </c>
      <c r="BP53">
        <v>9.3331258110675899E-2</v>
      </c>
      <c r="BQ53">
        <v>2.50283915307471E-4</v>
      </c>
      <c r="BS53">
        <v>1.01882821305026E-2</v>
      </c>
    </row>
    <row r="54" spans="1:71" x14ac:dyDescent="0.25">
      <c r="A54" t="s">
        <v>57</v>
      </c>
      <c r="B54">
        <v>1627645</v>
      </c>
      <c r="C54" t="s">
        <v>58</v>
      </c>
      <c r="D54">
        <v>2013</v>
      </c>
      <c r="E54">
        <v>4.5</v>
      </c>
      <c r="F54" s="1">
        <v>42461</v>
      </c>
      <c r="G54" t="s">
        <v>59</v>
      </c>
      <c r="H54">
        <v>1366895.54</v>
      </c>
      <c r="I54">
        <v>89.98</v>
      </c>
      <c r="J54">
        <v>10.02</v>
      </c>
      <c r="K54">
        <v>0</v>
      </c>
      <c r="L54">
        <v>100</v>
      </c>
      <c r="M54">
        <v>0</v>
      </c>
      <c r="N54">
        <v>40</v>
      </c>
      <c r="O54">
        <v>887.04169999999999</v>
      </c>
      <c r="P54">
        <v>30</v>
      </c>
      <c r="Q54">
        <v>195539.53</v>
      </c>
      <c r="R54">
        <v>119.76</v>
      </c>
      <c r="S54">
        <v>729</v>
      </c>
      <c r="T54">
        <v>5.21</v>
      </c>
      <c r="U54">
        <v>110.97</v>
      </c>
      <c r="V54">
        <v>110.97</v>
      </c>
      <c r="W54">
        <v>60.006370821071897</v>
      </c>
      <c r="X54">
        <v>0</v>
      </c>
      <c r="Y54" s="2">
        <v>1.7E-5</v>
      </c>
      <c r="Z54" s="2"/>
      <c r="AA54">
        <f t="shared" si="0"/>
        <v>1.3907852564770649E-2</v>
      </c>
      <c r="AB54">
        <f t="shared" si="8"/>
        <v>1.5234667945004167E-2</v>
      </c>
      <c r="AC54">
        <f t="shared" si="2"/>
        <v>1.5564369065877983E-2</v>
      </c>
      <c r="AD54">
        <f t="shared" si="3"/>
        <v>1.4978874033165918E-2</v>
      </c>
      <c r="AE54">
        <f t="shared" si="4"/>
        <v>1.5549974265619451E-2</v>
      </c>
      <c r="AF54">
        <f t="shared" si="5"/>
        <v>1.5001052463223374E-2</v>
      </c>
      <c r="AG54">
        <f t="shared" si="6"/>
        <v>1.3878652647836543E-2</v>
      </c>
      <c r="AH54">
        <f t="shared" si="7"/>
        <v>1.1013237367925158E-2</v>
      </c>
      <c r="AI54" s="2"/>
      <c r="AJ54">
        <v>4.0692955538000001E-4</v>
      </c>
      <c r="AK54">
        <v>0.90523333723504595</v>
      </c>
      <c r="AL54">
        <v>0.86132682103714298</v>
      </c>
      <c r="AM54">
        <v>3.1728368753792602E-4</v>
      </c>
      <c r="AO54">
        <v>1.1492924691999999E-3</v>
      </c>
      <c r="AP54">
        <v>100</v>
      </c>
      <c r="AQ54">
        <v>0</v>
      </c>
      <c r="AR54">
        <v>7.42482283530373</v>
      </c>
      <c r="AS54">
        <v>0.82395469372850505</v>
      </c>
      <c r="AT54">
        <v>0.83825959284747298</v>
      </c>
      <c r="AU54">
        <v>1.00394909657885</v>
      </c>
      <c r="AV54">
        <v>3.4471461723139001</v>
      </c>
      <c r="AW54">
        <v>0.83461508940618401</v>
      </c>
      <c r="AX54">
        <v>1.1616735403</v>
      </c>
      <c r="AY54">
        <v>1.0012415232813701</v>
      </c>
      <c r="AZ54">
        <v>8.8756766654261004E-3</v>
      </c>
      <c r="BB54">
        <v>5.0294603598999999E-3</v>
      </c>
      <c r="BC54">
        <v>1.2793706093121899</v>
      </c>
      <c r="BD54">
        <v>0.98140197517581296</v>
      </c>
      <c r="BE54">
        <v>1.452612</v>
      </c>
      <c r="BF54">
        <v>4.4214377196442903E-2</v>
      </c>
      <c r="BG54">
        <v>1.0564566479999999</v>
      </c>
      <c r="BH54">
        <v>4.2847896535674001E-4</v>
      </c>
      <c r="BJ54">
        <v>1.8757213545728001E-3</v>
      </c>
      <c r="BK54">
        <v>5.1633231645166404</v>
      </c>
      <c r="BL54">
        <v>0.59521760730442497</v>
      </c>
      <c r="BM54">
        <v>1.04204686263156</v>
      </c>
      <c r="BN54">
        <v>0.84248105149806496</v>
      </c>
      <c r="BO54">
        <v>1.1345816080109701</v>
      </c>
      <c r="BP54">
        <v>0.20597040338522399</v>
      </c>
      <c r="BQ54">
        <v>1.1826639290336901E-3</v>
      </c>
      <c r="BS54">
        <v>1.08041032473545E-2</v>
      </c>
    </row>
    <row r="55" spans="1:71" x14ac:dyDescent="0.25">
      <c r="A55" t="s">
        <v>57</v>
      </c>
      <c r="B55">
        <v>1627653</v>
      </c>
      <c r="C55" t="s">
        <v>58</v>
      </c>
      <c r="D55">
        <v>2013</v>
      </c>
      <c r="E55">
        <v>4.5</v>
      </c>
      <c r="F55" s="1">
        <v>42461</v>
      </c>
      <c r="G55" t="s">
        <v>59</v>
      </c>
      <c r="H55">
        <v>3755191.46</v>
      </c>
      <c r="I55">
        <v>63.7</v>
      </c>
      <c r="J55">
        <v>14.5</v>
      </c>
      <c r="K55">
        <v>21.8</v>
      </c>
      <c r="L55">
        <v>89.12</v>
      </c>
      <c r="M55">
        <v>10.88</v>
      </c>
      <c r="N55">
        <v>10.11</v>
      </c>
      <c r="O55">
        <v>870.55309999999997</v>
      </c>
      <c r="P55">
        <v>29</v>
      </c>
      <c r="Q55">
        <v>144641.01</v>
      </c>
      <c r="R55">
        <v>131.09</v>
      </c>
      <c r="S55">
        <v>687</v>
      </c>
      <c r="T55">
        <v>5.2450000000000001</v>
      </c>
      <c r="U55">
        <v>110.97</v>
      </c>
      <c r="V55">
        <v>110.97</v>
      </c>
      <c r="W55">
        <v>60.006370821071897</v>
      </c>
      <c r="X55">
        <v>0</v>
      </c>
      <c r="Y55">
        <v>3.8733999999999998E-2</v>
      </c>
      <c r="AA55">
        <f t="shared" si="0"/>
        <v>1.5265923643512244E-2</v>
      </c>
      <c r="AB55">
        <f t="shared" si="8"/>
        <v>1.4175745393397356E-2</v>
      </c>
      <c r="AC55">
        <f t="shared" si="2"/>
        <v>1.5163454490164131E-2</v>
      </c>
      <c r="AD55">
        <f t="shared" si="3"/>
        <v>1.4980331629683491E-2</v>
      </c>
      <c r="AE55">
        <f t="shared" si="4"/>
        <v>1.4912276343371767E-2</v>
      </c>
      <c r="AF55">
        <f t="shared" si="5"/>
        <v>1.4970367950823911E-2</v>
      </c>
      <c r="AG55">
        <f t="shared" si="6"/>
        <v>1.5783637638457859E-2</v>
      </c>
      <c r="AH55">
        <f t="shared" si="7"/>
        <v>2.0664920717964285E-2</v>
      </c>
      <c r="AJ55">
        <v>4.0390674931999997E-4</v>
      </c>
      <c r="AK55">
        <v>0.84087236367066298</v>
      </c>
      <c r="AL55">
        <v>0.84837627445470498</v>
      </c>
      <c r="AM55">
        <v>2.8813744711355402E-4</v>
      </c>
      <c r="AO55">
        <v>1.1492924691999999E-3</v>
      </c>
      <c r="AP55">
        <v>89.12</v>
      </c>
      <c r="AQ55">
        <v>10.88</v>
      </c>
      <c r="AR55">
        <v>8.9318429258096899</v>
      </c>
      <c r="AS55">
        <v>1.6238222833815099</v>
      </c>
      <c r="AT55">
        <v>0.80150819427633502</v>
      </c>
      <c r="AU55">
        <v>1.1101928462663799</v>
      </c>
      <c r="AV55">
        <v>3.92946479195757</v>
      </c>
      <c r="AW55">
        <v>1.02673978011914</v>
      </c>
      <c r="AX55">
        <v>1.1508532099298701</v>
      </c>
      <c r="AY55">
        <v>1.0290692252401801</v>
      </c>
      <c r="AZ55">
        <v>2.0724393474698798E-2</v>
      </c>
      <c r="BB55">
        <v>5.0294603598999999E-3</v>
      </c>
      <c r="BC55">
        <v>1.2724990332697801</v>
      </c>
      <c r="BD55">
        <v>0.98140197517581296</v>
      </c>
      <c r="BE55">
        <v>1.452612</v>
      </c>
      <c r="BF55">
        <v>1.1533540164155899E-3</v>
      </c>
      <c r="BG55">
        <v>1.0564566479999999</v>
      </c>
      <c r="BH55" s="2">
        <v>1.11170540864498E-5</v>
      </c>
      <c r="BI55" s="2"/>
      <c r="BJ55">
        <v>1.01809466087822E-3</v>
      </c>
      <c r="BK55">
        <v>5.1633231645166404</v>
      </c>
      <c r="BL55">
        <v>0.59521760730442497</v>
      </c>
      <c r="BM55">
        <v>1.04743208487148</v>
      </c>
      <c r="BN55">
        <v>0.84617495572099299</v>
      </c>
      <c r="BO55">
        <v>1.0364079409942399</v>
      </c>
      <c r="BP55">
        <v>7.0427636513286401E-2</v>
      </c>
      <c r="BQ55">
        <v>2.02419861691024E-4</v>
      </c>
      <c r="BS55">
        <v>2.1226067837589801E-2</v>
      </c>
    </row>
    <row r="56" spans="1:71" x14ac:dyDescent="0.25">
      <c r="A56" t="s">
        <v>57</v>
      </c>
      <c r="B56">
        <v>1627655</v>
      </c>
      <c r="C56" t="s">
        <v>58</v>
      </c>
      <c r="D56">
        <v>2013</v>
      </c>
      <c r="E56">
        <v>4.5</v>
      </c>
      <c r="F56" s="1">
        <v>42461</v>
      </c>
      <c r="G56" t="s">
        <v>59</v>
      </c>
      <c r="H56">
        <v>2836695.24</v>
      </c>
      <c r="I56">
        <v>89.47</v>
      </c>
      <c r="J56">
        <v>10.53</v>
      </c>
      <c r="K56">
        <v>0</v>
      </c>
      <c r="L56">
        <v>100</v>
      </c>
      <c r="M56">
        <v>0</v>
      </c>
      <c r="N56">
        <v>43.67</v>
      </c>
      <c r="O56">
        <v>911.08780000000002</v>
      </c>
      <c r="P56">
        <v>30</v>
      </c>
      <c r="Q56">
        <v>189378.99</v>
      </c>
      <c r="R56">
        <v>125.29</v>
      </c>
      <c r="S56">
        <v>653</v>
      </c>
      <c r="T56">
        <v>5.2519999999999998</v>
      </c>
      <c r="U56">
        <v>110.97</v>
      </c>
      <c r="V56">
        <v>110.97</v>
      </c>
      <c r="W56">
        <v>60.006370821071897</v>
      </c>
      <c r="X56">
        <v>0</v>
      </c>
      <c r="Y56" s="2">
        <v>8.7999999999999998E-5</v>
      </c>
      <c r="Z56" s="2"/>
      <c r="AA56">
        <f t="shared" si="0"/>
        <v>1.393420782543121E-2</v>
      </c>
      <c r="AB56">
        <f t="shared" si="8"/>
        <v>1.5234667945004167E-2</v>
      </c>
      <c r="AC56">
        <f t="shared" si="2"/>
        <v>1.5632764017458032E-2</v>
      </c>
      <c r="AD56">
        <f t="shared" si="3"/>
        <v>1.4976785162666201E-2</v>
      </c>
      <c r="AE56">
        <f t="shared" si="4"/>
        <v>1.5549974265619451E-2</v>
      </c>
      <c r="AF56">
        <f t="shared" si="5"/>
        <v>1.5000487892698774E-2</v>
      </c>
      <c r="AG56">
        <f t="shared" si="6"/>
        <v>1.464551923361092E-2</v>
      </c>
      <c r="AH56">
        <f t="shared" si="7"/>
        <v>3.2114915783392102E-2</v>
      </c>
      <c r="AI56" s="2"/>
      <c r="AJ56">
        <v>4.0692955538000001E-4</v>
      </c>
      <c r="AK56">
        <v>0.83415567731604401</v>
      </c>
      <c r="AL56">
        <v>0.85475376578719797</v>
      </c>
      <c r="AM56">
        <v>2.9013983966804399E-4</v>
      </c>
      <c r="AO56">
        <v>1.1492924691999999E-3</v>
      </c>
      <c r="AP56">
        <v>100</v>
      </c>
      <c r="AQ56">
        <v>0</v>
      </c>
      <c r="AR56">
        <v>8.1952149542710107</v>
      </c>
      <c r="AS56">
        <v>2.5713924699039299</v>
      </c>
      <c r="AT56">
        <v>0.83825959284747298</v>
      </c>
      <c r="AU56">
        <v>1.0060109045065799</v>
      </c>
      <c r="AV56">
        <v>3.6930564176113898</v>
      </c>
      <c r="AW56">
        <v>1.1902230464760499</v>
      </c>
      <c r="AX56">
        <v>1.1616735403</v>
      </c>
      <c r="AY56">
        <v>1.00178155859336</v>
      </c>
      <c r="AZ56">
        <v>3.06359785930591E-2</v>
      </c>
      <c r="BB56">
        <v>5.0294603598999999E-3</v>
      </c>
      <c r="BC56">
        <v>1.2793706093121899</v>
      </c>
      <c r="BD56">
        <v>0.98140197517581296</v>
      </c>
      <c r="BE56">
        <v>1.452612</v>
      </c>
      <c r="BF56">
        <v>2.4638023221624401E-3</v>
      </c>
      <c r="BG56">
        <v>1.0564566479999999</v>
      </c>
      <c r="BH56" s="2">
        <v>2.3876565424710501E-5</v>
      </c>
      <c r="BI56" s="2"/>
      <c r="BJ56">
        <v>2.0220301688247001E-3</v>
      </c>
      <c r="BK56">
        <v>5.1633231645166404</v>
      </c>
      <c r="BL56">
        <v>0.59521760730442497</v>
      </c>
      <c r="BM56">
        <v>1.04204686263156</v>
      </c>
      <c r="BN56">
        <v>0.83718734540929396</v>
      </c>
      <c r="BO56">
        <v>1.13277529093583</v>
      </c>
      <c r="BP56">
        <v>0.118605273254906</v>
      </c>
      <c r="BQ56">
        <v>7.2836719878004099E-4</v>
      </c>
      <c r="BS56">
        <v>3.1678362196931903E-2</v>
      </c>
    </row>
    <row r="57" spans="1:71" x14ac:dyDescent="0.25">
      <c r="A57" t="s">
        <v>57</v>
      </c>
      <c r="B57">
        <v>1627657</v>
      </c>
      <c r="C57" t="s">
        <v>58</v>
      </c>
      <c r="D57">
        <v>2013</v>
      </c>
      <c r="E57">
        <v>4.5</v>
      </c>
      <c r="F57" s="1">
        <v>42461</v>
      </c>
      <c r="G57" t="s">
        <v>59</v>
      </c>
      <c r="H57">
        <v>1585801.76</v>
      </c>
      <c r="I57">
        <v>100</v>
      </c>
      <c r="J57">
        <v>0</v>
      </c>
      <c r="K57">
        <v>0</v>
      </c>
      <c r="L57">
        <v>83.12</v>
      </c>
      <c r="M57">
        <v>16.88</v>
      </c>
      <c r="N57">
        <v>58.9</v>
      </c>
      <c r="O57">
        <v>969.36019999999996</v>
      </c>
      <c r="P57">
        <v>29</v>
      </c>
      <c r="Q57">
        <v>226843.37</v>
      </c>
      <c r="R57">
        <v>119.74</v>
      </c>
      <c r="S57">
        <v>688</v>
      </c>
      <c r="T57">
        <v>5.399</v>
      </c>
      <c r="U57">
        <v>110.97</v>
      </c>
      <c r="V57">
        <v>110.97</v>
      </c>
      <c r="W57">
        <v>60.006370821071897</v>
      </c>
      <c r="X57">
        <v>0</v>
      </c>
      <c r="Y57" s="2">
        <v>3.0000000000000001E-6</v>
      </c>
      <c r="Z57" s="2"/>
      <c r="AA57">
        <f t="shared" si="0"/>
        <v>1.3390049208264185E-2</v>
      </c>
      <c r="AB57">
        <f t="shared" si="8"/>
        <v>1.359178075096713E-2</v>
      </c>
      <c r="AC57">
        <f t="shared" si="2"/>
        <v>1.5975311278026403E-2</v>
      </c>
      <c r="AD57">
        <f t="shared" si="3"/>
        <v>1.49717888345249E-2</v>
      </c>
      <c r="AE57">
        <f t="shared" si="4"/>
        <v>1.4912276343371767E-2</v>
      </c>
      <c r="AF57">
        <f t="shared" si="5"/>
        <v>1.5002213654894214E-2</v>
      </c>
      <c r="AG57">
        <f t="shared" si="6"/>
        <v>1.3876764603740984E-2</v>
      </c>
      <c r="AH57">
        <f t="shared" si="7"/>
        <v>2.0384075697431038E-2</v>
      </c>
      <c r="AI57" s="2"/>
      <c r="AJ57">
        <v>4.0390674931999997E-4</v>
      </c>
      <c r="AK57">
        <v>0.84135903071666496</v>
      </c>
      <c r="AL57">
        <v>0.86042922856270099</v>
      </c>
      <c r="AM57">
        <v>2.9240017334888598E-4</v>
      </c>
      <c r="AO57">
        <v>1.1492924691999999E-3</v>
      </c>
      <c r="AP57">
        <v>83.12</v>
      </c>
      <c r="AQ57">
        <v>16.88</v>
      </c>
      <c r="AR57">
        <v>7.4218834377065299</v>
      </c>
      <c r="AS57">
        <v>1.60057626292865</v>
      </c>
      <c r="AT57">
        <v>0.80150819427633502</v>
      </c>
      <c r="AU57">
        <v>0.96344063493999998</v>
      </c>
      <c r="AV57">
        <v>3.4462108082223399</v>
      </c>
      <c r="AW57">
        <v>1.02223100291021</v>
      </c>
      <c r="AX57">
        <v>1.1508532099298701</v>
      </c>
      <c r="AY57">
        <v>0.99063141773999996</v>
      </c>
      <c r="AZ57">
        <v>1.4313441176433701E-2</v>
      </c>
      <c r="BB57">
        <v>5.0294603598999999E-3</v>
      </c>
      <c r="BC57">
        <v>1.2724990332697801</v>
      </c>
      <c r="BD57">
        <v>0.98140197517581296</v>
      </c>
      <c r="BE57">
        <v>1.452612</v>
      </c>
      <c r="BF57">
        <v>4.4512608688095E-2</v>
      </c>
      <c r="BG57">
        <v>1.0564566479999999</v>
      </c>
      <c r="BH57">
        <v>4.2905220016697601E-4</v>
      </c>
      <c r="BJ57">
        <v>2.7547989238451399E-3</v>
      </c>
      <c r="BK57">
        <v>5.1633231645166404</v>
      </c>
      <c r="BL57">
        <v>0.59521760730442497</v>
      </c>
      <c r="BM57">
        <v>1.04743208487148</v>
      </c>
      <c r="BN57">
        <v>0.82452543424404601</v>
      </c>
      <c r="BO57">
        <v>1.1382967866311</v>
      </c>
      <c r="BP57">
        <v>0.20639159222458101</v>
      </c>
      <c r="BQ57">
        <v>1.71779930775594E-3</v>
      </c>
      <c r="BS57">
        <v>1.67526928577055E-2</v>
      </c>
    </row>
    <row r="58" spans="1:71" x14ac:dyDescent="0.25">
      <c r="A58" t="s">
        <v>57</v>
      </c>
      <c r="B58">
        <v>1627758</v>
      </c>
      <c r="C58" t="s">
        <v>58</v>
      </c>
      <c r="D58">
        <v>2013</v>
      </c>
      <c r="E58">
        <v>4.5</v>
      </c>
      <c r="F58" s="1">
        <v>42461</v>
      </c>
      <c r="G58" t="s">
        <v>59</v>
      </c>
      <c r="H58">
        <v>8185799.7800000003</v>
      </c>
      <c r="I58">
        <v>67.209999999999994</v>
      </c>
      <c r="J58">
        <v>11.41</v>
      </c>
      <c r="K58">
        <v>21.38</v>
      </c>
      <c r="L58">
        <v>96.19</v>
      </c>
      <c r="M58">
        <v>3.81</v>
      </c>
      <c r="N58">
        <v>-1.24</v>
      </c>
      <c r="O58">
        <v>805.33619999999996</v>
      </c>
      <c r="P58">
        <v>29</v>
      </c>
      <c r="Q58">
        <v>138946.56</v>
      </c>
      <c r="R58">
        <v>134.44</v>
      </c>
      <c r="S58">
        <v>706</v>
      </c>
      <c r="T58">
        <v>5.1150000000000002</v>
      </c>
      <c r="U58">
        <v>110.97</v>
      </c>
      <c r="V58">
        <v>110.97</v>
      </c>
      <c r="W58">
        <v>60.006370821071897</v>
      </c>
      <c r="X58">
        <v>2.6179999999999998E-2</v>
      </c>
      <c r="Y58">
        <v>2.6259999999999999E-2</v>
      </c>
      <c r="AA58">
        <f t="shared" si="0"/>
        <v>1.5084537437789862E-2</v>
      </c>
      <c r="AB58">
        <f t="shared" si="8"/>
        <v>1.4863850397060977E-2</v>
      </c>
      <c r="AC58">
        <f t="shared" si="2"/>
        <v>1.5051097619590555E-2</v>
      </c>
      <c r="AD58">
        <f t="shared" si="3"/>
        <v>1.4986303417171923E-2</v>
      </c>
      <c r="AE58">
        <f t="shared" si="4"/>
        <v>1.4912276343371767E-2</v>
      </c>
      <c r="AF58">
        <f t="shared" si="5"/>
        <v>1.4958210386624609E-2</v>
      </c>
      <c r="AG58">
        <f t="shared" si="6"/>
        <v>1.638903075335087E-2</v>
      </c>
      <c r="AH58">
        <f t="shared" si="7"/>
        <v>1.5653041732666233E-2</v>
      </c>
      <c r="AJ58">
        <v>4.0390674931999997E-4</v>
      </c>
      <c r="AK58">
        <v>0.85570847084291402</v>
      </c>
      <c r="AL58">
        <v>0.84584146353314504</v>
      </c>
      <c r="AM58">
        <v>2.92345162700332E-4</v>
      </c>
      <c r="AO58">
        <v>1.1492924691999999E-3</v>
      </c>
      <c r="AP58">
        <v>96.19</v>
      </c>
      <c r="AQ58">
        <v>3.81</v>
      </c>
      <c r="AR58">
        <v>9.30852531128828</v>
      </c>
      <c r="AS58">
        <v>1.2088715465819799</v>
      </c>
      <c r="AT58">
        <v>0.80150819427633502</v>
      </c>
      <c r="AU58">
        <v>1.0960027564108501</v>
      </c>
      <c r="AV58">
        <v>4.0513181772963103</v>
      </c>
      <c r="AW58">
        <v>0.93977133904582999</v>
      </c>
      <c r="AX58">
        <v>1.1508532099298701</v>
      </c>
      <c r="AY58">
        <v>1.0253525116223901</v>
      </c>
      <c r="AZ58">
        <v>1.6687109773412999E-2</v>
      </c>
      <c r="BB58">
        <v>5.0294603598999999E-3</v>
      </c>
      <c r="BC58">
        <v>1.2724990332697801</v>
      </c>
      <c r="BD58">
        <v>0.98140197517581296</v>
      </c>
      <c r="BE58">
        <v>1.44144070072037</v>
      </c>
      <c r="BF58">
        <v>6.8364458664751698E-4</v>
      </c>
      <c r="BG58">
        <v>1.0564566479999999</v>
      </c>
      <c r="BH58" s="2">
        <v>6.5388988397477699E-6</v>
      </c>
      <c r="BI58" s="2"/>
      <c r="BJ58">
        <v>7.8354829097109998E-4</v>
      </c>
      <c r="BK58">
        <v>5.1633231645166404</v>
      </c>
      <c r="BL58">
        <v>0.59521760730442497</v>
      </c>
      <c r="BM58">
        <v>1.04743208487148</v>
      </c>
      <c r="BN58">
        <v>0.86130891821061395</v>
      </c>
      <c r="BO58">
        <v>0.99751038108197299</v>
      </c>
      <c r="BP58">
        <v>5.52948928132889E-2</v>
      </c>
      <c r="BQ58">
        <v>1.1982794373920599E-4</v>
      </c>
      <c r="BS58">
        <v>1.7105821778692298E-2</v>
      </c>
    </row>
    <row r="59" spans="1:71" x14ac:dyDescent="0.25">
      <c r="A59" t="s">
        <v>57</v>
      </c>
      <c r="B59">
        <v>1627761</v>
      </c>
      <c r="C59" t="s">
        <v>58</v>
      </c>
      <c r="D59">
        <v>2013</v>
      </c>
      <c r="E59">
        <v>4.5</v>
      </c>
      <c r="F59" s="1">
        <v>42461</v>
      </c>
      <c r="G59" t="s">
        <v>59</v>
      </c>
      <c r="H59">
        <v>5199520.66</v>
      </c>
      <c r="I59">
        <v>62.19</v>
      </c>
      <c r="J59">
        <v>13.6</v>
      </c>
      <c r="K59">
        <v>24.21</v>
      </c>
      <c r="L59">
        <v>96.2</v>
      </c>
      <c r="M59">
        <v>3.8</v>
      </c>
      <c r="N59">
        <v>-7.16</v>
      </c>
      <c r="O59">
        <v>788.12850000000003</v>
      </c>
      <c r="P59">
        <v>29</v>
      </c>
      <c r="Q59">
        <v>179547.41</v>
      </c>
      <c r="R59">
        <v>125.12</v>
      </c>
      <c r="S59">
        <v>729</v>
      </c>
      <c r="T59">
        <v>5.08</v>
      </c>
      <c r="U59">
        <v>110.97</v>
      </c>
      <c r="V59">
        <v>110.97</v>
      </c>
      <c r="W59">
        <v>60.006370821071897</v>
      </c>
      <c r="X59">
        <v>0</v>
      </c>
      <c r="Y59" s="2">
        <v>7.7999999999999999E-5</v>
      </c>
      <c r="Z59" s="2"/>
      <c r="AA59">
        <f t="shared" si="0"/>
        <v>1.5343955885860081E-2</v>
      </c>
      <c r="AB59">
        <f t="shared" si="8"/>
        <v>1.4864823671465023E-2</v>
      </c>
      <c r="AC59">
        <f t="shared" si="2"/>
        <v>1.4993148640579752E-2</v>
      </c>
      <c r="AD59">
        <f t="shared" si="3"/>
        <v>1.4987930093597649E-2</v>
      </c>
      <c r="AE59">
        <f t="shared" si="4"/>
        <v>1.4912276343371767E-2</v>
      </c>
      <c r="AF59">
        <f t="shared" si="5"/>
        <v>1.4999195093832145E-2</v>
      </c>
      <c r="AG59">
        <f t="shared" si="6"/>
        <v>1.4611541904927319E-2</v>
      </c>
      <c r="AH59">
        <f t="shared" si="7"/>
        <v>1.1013018507880301E-2</v>
      </c>
      <c r="AI59" s="2"/>
      <c r="AJ59">
        <v>4.0390674931999997E-4</v>
      </c>
      <c r="AK59">
        <v>0.90460155948327903</v>
      </c>
      <c r="AL59">
        <v>0.85396605138600701</v>
      </c>
      <c r="AM59">
        <v>3.12017568760057E-4</v>
      </c>
      <c r="AO59">
        <v>1.1492924691999999E-3</v>
      </c>
      <c r="AP59">
        <v>96.2</v>
      </c>
      <c r="AQ59">
        <v>3.8</v>
      </c>
      <c r="AR59">
        <v>8.1726487141974395</v>
      </c>
      <c r="AS59">
        <v>0.82395469372850505</v>
      </c>
      <c r="AT59">
        <v>0.80150819427633502</v>
      </c>
      <c r="AU59">
        <v>1.11629741483671</v>
      </c>
      <c r="AV59">
        <v>3.6858326278651599</v>
      </c>
      <c r="AW59">
        <v>0.83461508940618401</v>
      </c>
      <c r="AX59">
        <v>1.1508532099298701</v>
      </c>
      <c r="AY59">
        <v>1.03066815332077</v>
      </c>
      <c r="AZ59">
        <v>1.0231003375217E-2</v>
      </c>
      <c r="BB59">
        <v>5.0294603598999999E-3</v>
      </c>
      <c r="BC59">
        <v>1.2724990332697801</v>
      </c>
      <c r="BD59">
        <v>0.98140197517581296</v>
      </c>
      <c r="BE59">
        <v>1.3881067635869699</v>
      </c>
      <c r="BF59">
        <v>2.51324893313239E-3</v>
      </c>
      <c r="BG59">
        <v>1.0564566479999999</v>
      </c>
      <c r="BH59" s="2">
        <v>2.3149191942488001E-5</v>
      </c>
      <c r="BI59" s="2"/>
      <c r="BJ59">
        <v>6.8729805412522603E-4</v>
      </c>
      <c r="BK59">
        <v>5.1633231645166404</v>
      </c>
      <c r="BL59">
        <v>0.59521760730442497</v>
      </c>
      <c r="BM59">
        <v>1.04743208487148</v>
      </c>
      <c r="BN59">
        <v>0.86543131205958401</v>
      </c>
      <c r="BO59">
        <v>1.12863904122784</v>
      </c>
      <c r="BP59">
        <v>0.120596237923281</v>
      </c>
      <c r="BQ59">
        <v>2.60613853648626E-4</v>
      </c>
      <c r="BS59">
        <v>1.0826783989568101E-2</v>
      </c>
    </row>
    <row r="60" spans="1:71" x14ac:dyDescent="0.25">
      <c r="A60" t="s">
        <v>57</v>
      </c>
      <c r="B60">
        <v>1627900</v>
      </c>
      <c r="C60" t="s">
        <v>58</v>
      </c>
      <c r="D60">
        <v>2013</v>
      </c>
      <c r="E60">
        <v>4.5</v>
      </c>
      <c r="F60" s="1">
        <v>42461</v>
      </c>
      <c r="G60" t="s">
        <v>59</v>
      </c>
      <c r="H60">
        <v>8631531.4499999993</v>
      </c>
      <c r="I60">
        <v>45.31</v>
      </c>
      <c r="J60">
        <v>0</v>
      </c>
      <c r="K60">
        <v>54.69</v>
      </c>
      <c r="L60">
        <v>100</v>
      </c>
      <c r="M60">
        <v>0</v>
      </c>
      <c r="N60">
        <v>-31.37</v>
      </c>
      <c r="O60">
        <v>895.1481</v>
      </c>
      <c r="P60">
        <v>29</v>
      </c>
      <c r="Q60">
        <v>176395.16</v>
      </c>
      <c r="R60">
        <v>133.88999999999999</v>
      </c>
      <c r="S60">
        <v>726</v>
      </c>
      <c r="T60">
        <v>5.2679999999999998</v>
      </c>
      <c r="U60">
        <v>110.97</v>
      </c>
      <c r="V60">
        <v>110.97</v>
      </c>
      <c r="W60">
        <v>60.006370821071897</v>
      </c>
      <c r="X60">
        <v>0</v>
      </c>
      <c r="Y60" s="2">
        <v>7.6000000000000004E-5</v>
      </c>
      <c r="Z60" s="2"/>
      <c r="AA60">
        <f t="shared" si="0"/>
        <v>1.6216263336741171E-2</v>
      </c>
      <c r="AB60">
        <f t="shared" si="8"/>
        <v>1.5234667945004167E-2</v>
      </c>
      <c r="AC60">
        <f t="shared" si="2"/>
        <v>1.4855195939330101E-2</v>
      </c>
      <c r="AD60">
        <f t="shared" si="3"/>
        <v>1.4978165664814988E-2</v>
      </c>
      <c r="AE60">
        <f t="shared" si="4"/>
        <v>1.4912276343371767E-2</v>
      </c>
      <c r="AF60">
        <f t="shared" si="5"/>
        <v>1.4998661437117665E-2</v>
      </c>
      <c r="AG60">
        <f t="shared" si="6"/>
        <v>1.6293541671146078E-2</v>
      </c>
      <c r="AH60">
        <f t="shared" si="7"/>
        <v>1.1539594795163161E-2</v>
      </c>
      <c r="AI60" s="2"/>
      <c r="AJ60">
        <v>4.0390674931999997E-4</v>
      </c>
      <c r="AK60">
        <v>0.89503224646663604</v>
      </c>
      <c r="AL60">
        <v>0.84623134356492002</v>
      </c>
      <c r="AM60">
        <v>3.0592072507661799E-4</v>
      </c>
      <c r="AO60">
        <v>1.1492924691999999E-3</v>
      </c>
      <c r="AP60">
        <v>100</v>
      </c>
      <c r="AQ60">
        <v>0</v>
      </c>
      <c r="AR60">
        <v>9.2495791204108002</v>
      </c>
      <c r="AS60">
        <v>0.86773632936675205</v>
      </c>
      <c r="AT60">
        <v>0.80150819427633502</v>
      </c>
      <c r="AU60">
        <v>1.1845392144837901</v>
      </c>
      <c r="AV60">
        <v>4.0321836556950403</v>
      </c>
      <c r="AW60">
        <v>0.848123576857439</v>
      </c>
      <c r="AX60">
        <v>1.1508532099298701</v>
      </c>
      <c r="AY60">
        <v>1.0485422632547301</v>
      </c>
      <c r="AZ60">
        <v>1.31367816532571E-2</v>
      </c>
      <c r="BB60">
        <v>5.0294603598999999E-3</v>
      </c>
      <c r="BC60">
        <v>1.2724990332697801</v>
      </c>
      <c r="BD60">
        <v>0.98140197517581296</v>
      </c>
      <c r="BE60">
        <v>1.16988359747987</v>
      </c>
      <c r="BF60">
        <v>7.4847230362556005E-4</v>
      </c>
      <c r="BG60">
        <v>1.0564566479999999</v>
      </c>
      <c r="BH60" s="2">
        <v>5.8102637221131903E-6</v>
      </c>
      <c r="BI60" s="2"/>
      <c r="BJ60">
        <v>5.05583773121391E-4</v>
      </c>
      <c r="BK60">
        <v>5.1633231645166404</v>
      </c>
      <c r="BL60">
        <v>0.59521760730442497</v>
      </c>
      <c r="BM60">
        <v>1.04743208487148</v>
      </c>
      <c r="BN60">
        <v>0.84068587374390702</v>
      </c>
      <c r="BO60">
        <v>1.1269316314470801</v>
      </c>
      <c r="BP60">
        <v>5.7363636949277798E-2</v>
      </c>
      <c r="BQ60" s="2">
        <v>8.8448826392055499E-5</v>
      </c>
      <c r="BR60" s="2"/>
      <c r="BS60">
        <v>1.35369614684478E-2</v>
      </c>
    </row>
    <row r="61" spans="1:71" x14ac:dyDescent="0.25">
      <c r="A61" t="s">
        <v>57</v>
      </c>
      <c r="B61">
        <v>1628257</v>
      </c>
      <c r="C61" t="s">
        <v>58</v>
      </c>
      <c r="D61">
        <v>2013</v>
      </c>
      <c r="E61">
        <v>4.5</v>
      </c>
      <c r="F61" s="1">
        <v>42461</v>
      </c>
      <c r="G61" t="s">
        <v>59</v>
      </c>
      <c r="H61">
        <v>1687516.37</v>
      </c>
      <c r="I61">
        <v>88.09</v>
      </c>
      <c r="J61">
        <v>0</v>
      </c>
      <c r="K61">
        <v>11.91</v>
      </c>
      <c r="L61">
        <v>100</v>
      </c>
      <c r="M61">
        <v>0</v>
      </c>
      <c r="N61">
        <v>4.13</v>
      </c>
      <c r="O61">
        <v>786.25040000000001</v>
      </c>
      <c r="P61">
        <v>30</v>
      </c>
      <c r="Q61">
        <v>187770.74</v>
      </c>
      <c r="R61">
        <v>138.26</v>
      </c>
      <c r="S61">
        <v>705</v>
      </c>
      <c r="T61">
        <v>5.03</v>
      </c>
      <c r="U61">
        <v>110.97</v>
      </c>
      <c r="V61">
        <v>110.97</v>
      </c>
      <c r="W61">
        <v>60.006370821071897</v>
      </c>
      <c r="X61">
        <v>0</v>
      </c>
      <c r="Y61" s="2">
        <v>6.7999999999999999E-5</v>
      </c>
      <c r="Z61" s="2"/>
      <c r="AA61">
        <f t="shared" si="0"/>
        <v>1.4005522060159674E-2</v>
      </c>
      <c r="AB61">
        <f t="shared" si="8"/>
        <v>1.5234667945004167E-2</v>
      </c>
      <c r="AC61">
        <f t="shared" si="2"/>
        <v>1.5102647605562817E-2</v>
      </c>
      <c r="AD61">
        <f t="shared" si="3"/>
        <v>1.4988108836883039E-2</v>
      </c>
      <c r="AE61">
        <f t="shared" si="4"/>
        <v>1.5549974265619451E-2</v>
      </c>
      <c r="AF61">
        <f t="shared" si="5"/>
        <v>1.5000311623447589E-2</v>
      </c>
      <c r="AG61">
        <f t="shared" si="6"/>
        <v>1.7018194812982251E-2</v>
      </c>
      <c r="AH61">
        <f t="shared" si="7"/>
        <v>1.5893031251379478E-2</v>
      </c>
      <c r="AI61" s="2"/>
      <c r="AJ61">
        <v>4.0692955538000001E-4</v>
      </c>
      <c r="AK61">
        <v>0.855507969741925</v>
      </c>
      <c r="AL61">
        <v>0.84442841309032002</v>
      </c>
      <c r="AM61">
        <v>2.93972111304173E-4</v>
      </c>
      <c r="AO61">
        <v>1.1492924691999999E-3</v>
      </c>
      <c r="AP61">
        <v>100</v>
      </c>
      <c r="AQ61">
        <v>0</v>
      </c>
      <c r="AR61">
        <v>9.6938917453607605</v>
      </c>
      <c r="AS61">
        <v>1.2287216319396399</v>
      </c>
      <c r="AT61">
        <v>0.83825959284747298</v>
      </c>
      <c r="AU61">
        <v>1.01158991419337</v>
      </c>
      <c r="AV61">
        <v>4.1769861850323498</v>
      </c>
      <c r="AW61">
        <v>0.94440051463674501</v>
      </c>
      <c r="AX61">
        <v>1.1616735403</v>
      </c>
      <c r="AY61">
        <v>1.00324283061403</v>
      </c>
      <c r="AZ61">
        <v>1.74123148911139E-2</v>
      </c>
      <c r="BB61">
        <v>5.0294603598999999E-3</v>
      </c>
      <c r="BC61">
        <v>1.2793706093121899</v>
      </c>
      <c r="BD61">
        <v>0.98140197517581296</v>
      </c>
      <c r="BE61">
        <v>1.452612</v>
      </c>
      <c r="BF61">
        <v>3.4725765442204001E-4</v>
      </c>
      <c r="BG61">
        <v>1.0564566479999999</v>
      </c>
      <c r="BH61" s="2">
        <v>3.36525379104367E-6</v>
      </c>
      <c r="BI61" s="2"/>
      <c r="BJ61">
        <v>8.88018054654472E-4</v>
      </c>
      <c r="BK61">
        <v>5.1633231645166404</v>
      </c>
      <c r="BL61">
        <v>0.59521760730442497</v>
      </c>
      <c r="BM61">
        <v>1.04204686263156</v>
      </c>
      <c r="BN61">
        <v>0.86588429103473896</v>
      </c>
      <c r="BO61">
        <v>1.1322113256837201</v>
      </c>
      <c r="BP61">
        <v>4.3426581508192799E-2</v>
      </c>
      <c r="BQ61">
        <v>1.21075737361124E-4</v>
      </c>
      <c r="BS61">
        <v>1.78307279935703E-2</v>
      </c>
    </row>
    <row r="62" spans="1:71" x14ac:dyDescent="0.25">
      <c r="A62" t="s">
        <v>57</v>
      </c>
      <c r="B62">
        <v>1629301</v>
      </c>
      <c r="C62" t="s">
        <v>58</v>
      </c>
      <c r="D62">
        <v>2013</v>
      </c>
      <c r="E62">
        <v>4.5</v>
      </c>
      <c r="F62" s="1">
        <v>42461</v>
      </c>
      <c r="G62" t="s">
        <v>59</v>
      </c>
      <c r="H62">
        <v>3081598.2</v>
      </c>
      <c r="I62">
        <v>51.13</v>
      </c>
      <c r="J62">
        <v>6.55</v>
      </c>
      <c r="K62">
        <v>42.32</v>
      </c>
      <c r="L62">
        <v>100</v>
      </c>
      <c r="M62">
        <v>0</v>
      </c>
      <c r="N62">
        <v>-52.73</v>
      </c>
      <c r="O62">
        <v>672.25980000000004</v>
      </c>
      <c r="P62">
        <v>28</v>
      </c>
      <c r="Q62">
        <v>146958.43</v>
      </c>
      <c r="R62">
        <v>128.47</v>
      </c>
      <c r="S62">
        <v>713</v>
      </c>
      <c r="T62">
        <v>4.9160000000000004</v>
      </c>
      <c r="U62">
        <v>110.97</v>
      </c>
      <c r="V62">
        <v>110.97</v>
      </c>
      <c r="W62">
        <v>60.006370821071897</v>
      </c>
      <c r="X62">
        <v>0</v>
      </c>
      <c r="Y62">
        <v>3.0800000000000001E-4</v>
      </c>
      <c r="AA62">
        <f t="shared" si="0"/>
        <v>1.5915503303321258E-2</v>
      </c>
      <c r="AB62">
        <f t="shared" si="8"/>
        <v>1.5234667945004167E-2</v>
      </c>
      <c r="AC62">
        <f t="shared" si="2"/>
        <v>1.4770928925455281E-2</v>
      </c>
      <c r="AD62">
        <f t="shared" si="3"/>
        <v>1.4999350846923798E-2</v>
      </c>
      <c r="AE62">
        <f t="shared" si="4"/>
        <v>1.4286229345507821E-2</v>
      </c>
      <c r="AF62">
        <f t="shared" si="5"/>
        <v>1.4975494230233088E-2</v>
      </c>
      <c r="AG62">
        <f t="shared" si="6"/>
        <v>1.5271993938365156E-2</v>
      </c>
      <c r="AH62">
        <f t="shared" si="7"/>
        <v>1.4075113130416705E-2</v>
      </c>
      <c r="AJ62">
        <v>4.0099961766999997E-4</v>
      </c>
      <c r="AK62">
        <v>0.86470658068510697</v>
      </c>
      <c r="AL62">
        <v>0.84965740407959101</v>
      </c>
      <c r="AM62">
        <v>2.9461616290330102E-4</v>
      </c>
      <c r="AO62">
        <v>1.1492924691999999E-3</v>
      </c>
      <c r="AP62">
        <v>100</v>
      </c>
      <c r="AQ62">
        <v>0</v>
      </c>
      <c r="AR62">
        <v>8.6069433452598503</v>
      </c>
      <c r="AS62">
        <v>1.07815646731486</v>
      </c>
      <c r="AT62">
        <v>0.765433863336755</v>
      </c>
      <c r="AU62">
        <v>1.16101034754386</v>
      </c>
      <c r="AV62">
        <v>3.8250475570636202</v>
      </c>
      <c r="AW62">
        <v>0.90745453286085098</v>
      </c>
      <c r="AX62">
        <v>1.14028124100616</v>
      </c>
      <c r="AY62">
        <v>1.0423795073414801</v>
      </c>
      <c r="AZ62">
        <v>1.4216618810816701E-2</v>
      </c>
      <c r="BB62">
        <v>5.0294603598999999E-3</v>
      </c>
      <c r="BC62">
        <v>1.2647860610243999</v>
      </c>
      <c r="BD62">
        <v>0.98140197517581296</v>
      </c>
      <c r="BE62">
        <v>0.98145613961257905</v>
      </c>
      <c r="BF62">
        <v>1.6592192722018899E-3</v>
      </c>
      <c r="BG62">
        <v>1.0564566479999999</v>
      </c>
      <c r="BH62" s="2">
        <v>1.07401846485185E-5</v>
      </c>
      <c r="BI62" s="2"/>
      <c r="BJ62">
        <v>4.2323048094193799E-4</v>
      </c>
      <c r="BK62">
        <v>5.1633231645166404</v>
      </c>
      <c r="BL62">
        <v>0.59521760730442497</v>
      </c>
      <c r="BM62">
        <v>1.05300125009289</v>
      </c>
      <c r="BN62">
        <v>0.89437427976831896</v>
      </c>
      <c r="BO62">
        <v>1.05280923299457</v>
      </c>
      <c r="BP62">
        <v>8.7906488443691005E-2</v>
      </c>
      <c r="BQ62">
        <v>1.13370697960029E-4</v>
      </c>
      <c r="BS62">
        <v>1.4635345856328599E-2</v>
      </c>
    </row>
    <row r="63" spans="1:71" x14ac:dyDescent="0.25">
      <c r="A63" t="s">
        <v>57</v>
      </c>
      <c r="B63">
        <v>1629302</v>
      </c>
      <c r="C63" t="s">
        <v>58</v>
      </c>
      <c r="D63">
        <v>2013</v>
      </c>
      <c r="E63">
        <v>4.5</v>
      </c>
      <c r="F63" s="1">
        <v>42461</v>
      </c>
      <c r="G63" t="s">
        <v>59</v>
      </c>
      <c r="H63">
        <v>1297222.3700000001</v>
      </c>
      <c r="I63">
        <v>73.34</v>
      </c>
      <c r="J63">
        <v>0</v>
      </c>
      <c r="K63">
        <v>26.66</v>
      </c>
      <c r="L63">
        <v>100</v>
      </c>
      <c r="M63">
        <v>0</v>
      </c>
      <c r="N63">
        <v>-26.72</v>
      </c>
      <c r="O63">
        <v>688.22119999999995</v>
      </c>
      <c r="P63">
        <v>28</v>
      </c>
      <c r="Q63">
        <v>144398.19</v>
      </c>
      <c r="R63">
        <v>121.09</v>
      </c>
      <c r="S63">
        <v>708</v>
      </c>
      <c r="T63">
        <v>4.9429999999999996</v>
      </c>
      <c r="U63">
        <v>110.97</v>
      </c>
      <c r="V63">
        <v>110.97</v>
      </c>
      <c r="W63">
        <v>60.006370821071897</v>
      </c>
      <c r="X63">
        <v>0</v>
      </c>
      <c r="Y63">
        <v>1.26E-4</v>
      </c>
      <c r="AA63">
        <f t="shared" si="0"/>
        <v>1.4767757540046972E-2</v>
      </c>
      <c r="AB63">
        <f t="shared" si="8"/>
        <v>1.5234667945004167E-2</v>
      </c>
      <c r="AC63">
        <f t="shared" si="2"/>
        <v>1.487404677477615E-2</v>
      </c>
      <c r="AD63">
        <f t="shared" si="3"/>
        <v>1.4997734557993169E-2</v>
      </c>
      <c r="AE63">
        <f t="shared" si="4"/>
        <v>1.4286229345507821E-2</v>
      </c>
      <c r="AF63">
        <f t="shared" si="5"/>
        <v>1.4969827537495893E-2</v>
      </c>
      <c r="AG63">
        <f t="shared" si="6"/>
        <v>1.4000648119718573E-2</v>
      </c>
      <c r="AH63">
        <f t="shared" si="7"/>
        <v>1.5184502023294973E-2</v>
      </c>
      <c r="AJ63">
        <v>4.0099961766999997E-4</v>
      </c>
      <c r="AK63">
        <v>0.85726978563363299</v>
      </c>
      <c r="AL63">
        <v>0.85772811768685897</v>
      </c>
      <c r="AM63">
        <v>2.9485678310319099E-4</v>
      </c>
      <c r="AO63">
        <v>1.1492924691999999E-3</v>
      </c>
      <c r="AP63">
        <v>100</v>
      </c>
      <c r="AQ63">
        <v>0</v>
      </c>
      <c r="AR63">
        <v>7.6175987698278904</v>
      </c>
      <c r="AS63">
        <v>1.17008616983616</v>
      </c>
      <c r="AT63">
        <v>0.765433863336755</v>
      </c>
      <c r="AU63">
        <v>1.07122063367172</v>
      </c>
      <c r="AV63">
        <v>3.50853965095967</v>
      </c>
      <c r="AW63">
        <v>0.93052081572146395</v>
      </c>
      <c r="AX63">
        <v>1.14028124100616</v>
      </c>
      <c r="AY63">
        <v>1.01886149895088</v>
      </c>
      <c r="AZ63">
        <v>1.2599240364092301E-2</v>
      </c>
      <c r="BB63">
        <v>5.0294603598999999E-3</v>
      </c>
      <c r="BC63">
        <v>1.2647860610243999</v>
      </c>
      <c r="BD63">
        <v>0.98140197517581296</v>
      </c>
      <c r="BE63">
        <v>1.21188853060302</v>
      </c>
      <c r="BF63">
        <v>2.65738700418039E-2</v>
      </c>
      <c r="BG63">
        <v>1.0564566479999999</v>
      </c>
      <c r="BH63">
        <v>2.12400018572746E-4</v>
      </c>
      <c r="BJ63">
        <v>5.2408286906057897E-4</v>
      </c>
      <c r="BK63">
        <v>5.1633231645166404</v>
      </c>
      <c r="BL63">
        <v>0.59521760730442497</v>
      </c>
      <c r="BM63">
        <v>1.05300125009289</v>
      </c>
      <c r="BN63">
        <v>0.89027821035930299</v>
      </c>
      <c r="BO63">
        <v>1.03467891374344</v>
      </c>
      <c r="BP63">
        <v>0.18028519308570501</v>
      </c>
      <c r="BQ63">
        <v>2.8166010062158602E-4</v>
      </c>
      <c r="BS63">
        <v>1.3388157266389899E-2</v>
      </c>
    </row>
    <row r="64" spans="1:71" x14ac:dyDescent="0.25">
      <c r="A64" t="s">
        <v>57</v>
      </c>
      <c r="B64">
        <v>1629305</v>
      </c>
      <c r="C64" t="s">
        <v>58</v>
      </c>
      <c r="D64">
        <v>2013</v>
      </c>
      <c r="E64">
        <v>4.5</v>
      </c>
      <c r="F64" s="1">
        <v>42461</v>
      </c>
      <c r="G64" t="s">
        <v>59</v>
      </c>
      <c r="H64">
        <v>3538249.93</v>
      </c>
      <c r="I64">
        <v>53.86</v>
      </c>
      <c r="J64">
        <v>0</v>
      </c>
      <c r="K64">
        <v>46.14</v>
      </c>
      <c r="L64">
        <v>100</v>
      </c>
      <c r="M64">
        <v>0</v>
      </c>
      <c r="N64">
        <v>-38.6</v>
      </c>
      <c r="O64">
        <v>779.71759999999995</v>
      </c>
      <c r="P64">
        <v>29</v>
      </c>
      <c r="Q64">
        <v>186515.85</v>
      </c>
      <c r="R64">
        <v>124.23</v>
      </c>
      <c r="S64">
        <v>729</v>
      </c>
      <c r="T64">
        <v>5.0750000000000002</v>
      </c>
      <c r="U64">
        <v>110.97</v>
      </c>
      <c r="V64">
        <v>110.97</v>
      </c>
      <c r="W64">
        <v>60.006370821071897</v>
      </c>
      <c r="X64">
        <v>0</v>
      </c>
      <c r="Y64">
        <v>1.63E-4</v>
      </c>
      <c r="AA64">
        <f t="shared" si="0"/>
        <v>1.5774425143314973E-2</v>
      </c>
      <c r="AB64">
        <f t="shared" si="8"/>
        <v>1.5234667945004167E-2</v>
      </c>
      <c r="AC64">
        <f t="shared" si="2"/>
        <v>1.4826153019642522E-2</v>
      </c>
      <c r="AD64">
        <f t="shared" si="3"/>
        <v>1.4988732383079998E-2</v>
      </c>
      <c r="AE64">
        <f t="shared" si="4"/>
        <v>1.4912276343371767E-2</v>
      </c>
      <c r="AF64">
        <f t="shared" si="5"/>
        <v>1.5000165067202509E-2</v>
      </c>
      <c r="AG64">
        <f t="shared" si="6"/>
        <v>1.4443084842940287E-2</v>
      </c>
      <c r="AH64">
        <f t="shared" si="7"/>
        <v>1.1013018507880301E-2</v>
      </c>
      <c r="AJ64">
        <v>4.0390674931999997E-4</v>
      </c>
      <c r="AK64">
        <v>0.90460155948327903</v>
      </c>
      <c r="AL64">
        <v>0.85493385769288699</v>
      </c>
      <c r="AM64">
        <v>3.1237118067520698E-4</v>
      </c>
      <c r="AO64">
        <v>1.1492924691999999E-3</v>
      </c>
      <c r="AP64">
        <v>100</v>
      </c>
      <c r="AQ64">
        <v>0</v>
      </c>
      <c r="AR64">
        <v>8.0534726528741203</v>
      </c>
      <c r="AS64">
        <v>0.82395469372850505</v>
      </c>
      <c r="AT64">
        <v>0.80150819427633502</v>
      </c>
      <c r="AU64">
        <v>1.14997361098956</v>
      </c>
      <c r="AV64">
        <v>3.64770216726341</v>
      </c>
      <c r="AW64">
        <v>0.83461508940618401</v>
      </c>
      <c r="AX64">
        <v>1.1508532099298701</v>
      </c>
      <c r="AY64">
        <v>1.0394887300832001</v>
      </c>
      <c r="AZ64">
        <v>1.05439704872127E-2</v>
      </c>
      <c r="BB64">
        <v>5.0294603598999999E-3</v>
      </c>
      <c r="BC64">
        <v>1.2724990332697801</v>
      </c>
      <c r="BD64">
        <v>0.98140197517581296</v>
      </c>
      <c r="BE64">
        <v>1.10214678796559</v>
      </c>
      <c r="BF64">
        <v>3.7119553747807402E-3</v>
      </c>
      <c r="BG64">
        <v>1.0564566479999999</v>
      </c>
      <c r="BH64" s="2">
        <v>2.7146862579596401E-5</v>
      </c>
      <c r="BI64" s="2"/>
      <c r="BJ64">
        <v>4.7865253999286302E-4</v>
      </c>
      <c r="BK64">
        <v>5.1633231645166404</v>
      </c>
      <c r="BL64">
        <v>0.59521760730442497</v>
      </c>
      <c r="BM64">
        <v>1.04743208487148</v>
      </c>
      <c r="BN64">
        <v>0.867464508812684</v>
      </c>
      <c r="BO64">
        <v>1.1317424258095301</v>
      </c>
      <c r="BP64">
        <v>0.131666093798121</v>
      </c>
      <c r="BQ64">
        <v>1.9917030185850299E-4</v>
      </c>
      <c r="BS64">
        <v>1.1082658832326E-2</v>
      </c>
    </row>
    <row r="65" spans="1:71" x14ac:dyDescent="0.25">
      <c r="A65" t="s">
        <v>57</v>
      </c>
      <c r="B65">
        <v>1629509</v>
      </c>
      <c r="C65" t="s">
        <v>58</v>
      </c>
      <c r="D65">
        <v>2013</v>
      </c>
      <c r="E65">
        <v>4.5</v>
      </c>
      <c r="F65" s="1">
        <v>42461</v>
      </c>
      <c r="G65" t="s">
        <v>59</v>
      </c>
      <c r="H65">
        <v>5146606.7699999996</v>
      </c>
      <c r="I65">
        <v>58.85</v>
      </c>
      <c r="J65">
        <v>12.63</v>
      </c>
      <c r="K65">
        <v>28.52</v>
      </c>
      <c r="L65">
        <v>96.93</v>
      </c>
      <c r="M65">
        <v>3.07</v>
      </c>
      <c r="N65">
        <v>-22.15</v>
      </c>
      <c r="O65">
        <v>715.26689999999996</v>
      </c>
      <c r="P65">
        <v>28</v>
      </c>
      <c r="Q65">
        <v>156180.41</v>
      </c>
      <c r="R65">
        <v>132.43</v>
      </c>
      <c r="S65">
        <v>728</v>
      </c>
      <c r="T65">
        <v>4.9909999999999997</v>
      </c>
      <c r="U65">
        <v>110.97</v>
      </c>
      <c r="V65">
        <v>110.97</v>
      </c>
      <c r="W65">
        <v>60.006370821071897</v>
      </c>
      <c r="X65">
        <v>0</v>
      </c>
      <c r="Y65" s="2">
        <v>7.7000000000000001E-5</v>
      </c>
      <c r="Z65" s="2"/>
      <c r="AA65">
        <f t="shared" si="0"/>
        <v>1.5516557004695525E-2</v>
      </c>
      <c r="AB65">
        <f t="shared" si="8"/>
        <v>1.4935872702960703E-2</v>
      </c>
      <c r="AC65">
        <f t="shared" si="2"/>
        <v>1.4894602190159827E-2</v>
      </c>
      <c r="AD65">
        <f t="shared" si="3"/>
        <v>1.4995024823886443E-2</v>
      </c>
      <c r="AE65">
        <f t="shared" si="4"/>
        <v>1.4286229345507821E-2</v>
      </c>
      <c r="AF65">
        <f t="shared" si="5"/>
        <v>1.49919062385794E-2</v>
      </c>
      <c r="AG65">
        <f t="shared" si="6"/>
        <v>1.6032519988123013E-2</v>
      </c>
      <c r="AH65">
        <f t="shared" si="7"/>
        <v>1.1186258093488891E-2</v>
      </c>
      <c r="AI65" s="2"/>
      <c r="AJ65">
        <v>4.0099961766999997E-4</v>
      </c>
      <c r="AK65">
        <v>0.90061926184707497</v>
      </c>
      <c r="AL65">
        <v>0.84630428942787395</v>
      </c>
      <c r="AM65">
        <v>3.0564108431032001E-4</v>
      </c>
      <c r="AO65">
        <v>1.1492924691999999E-3</v>
      </c>
      <c r="AP65">
        <v>96.93</v>
      </c>
      <c r="AQ65">
        <v>3.07</v>
      </c>
      <c r="AR65">
        <v>9.0878248652132108</v>
      </c>
      <c r="AS65">
        <v>0.83838195355123502</v>
      </c>
      <c r="AT65">
        <v>0.765433863336755</v>
      </c>
      <c r="AU65">
        <v>1.1298002353829899</v>
      </c>
      <c r="AV65">
        <v>3.9798026940951101</v>
      </c>
      <c r="AW65">
        <v>0.83910874335150298</v>
      </c>
      <c r="AX65">
        <v>1.14028124100616</v>
      </c>
      <c r="AY65">
        <v>1.03420485516789</v>
      </c>
      <c r="AZ65">
        <v>1.12185284869449E-2</v>
      </c>
      <c r="BB65">
        <v>5.0294603598999999E-3</v>
      </c>
      <c r="BC65">
        <v>1.2647860610243999</v>
      </c>
      <c r="BD65">
        <v>0.98140197517581296</v>
      </c>
      <c r="BE65">
        <v>1.2530601881916299</v>
      </c>
      <c r="BF65">
        <v>9.4334237176784698E-4</v>
      </c>
      <c r="BG65">
        <v>1.0564566479999999</v>
      </c>
      <c r="BH65" s="2">
        <v>7.7961168926641201E-6</v>
      </c>
      <c r="BI65" s="2"/>
      <c r="BJ65">
        <v>5.46661338557124E-4</v>
      </c>
      <c r="BK65">
        <v>5.1633231645166404</v>
      </c>
      <c r="BL65">
        <v>0.59521760730442497</v>
      </c>
      <c r="BM65">
        <v>1.05300125009289</v>
      </c>
      <c r="BN65">
        <v>0.88341108482821296</v>
      </c>
      <c r="BO65">
        <v>1.1053186886277899</v>
      </c>
      <c r="BP65">
        <v>6.3581511901430396E-2</v>
      </c>
      <c r="BQ65">
        <v>1.09833173672932E-4</v>
      </c>
      <c r="BS65">
        <v>1.1641798861820801E-2</v>
      </c>
    </row>
    <row r="66" spans="1:71" x14ac:dyDescent="0.25">
      <c r="A66" t="s">
        <v>57</v>
      </c>
      <c r="B66">
        <v>1629605</v>
      </c>
      <c r="C66" t="s">
        <v>58</v>
      </c>
      <c r="D66">
        <v>2013</v>
      </c>
      <c r="E66">
        <v>4.5</v>
      </c>
      <c r="F66" s="1">
        <v>42461</v>
      </c>
      <c r="G66" t="s">
        <v>59</v>
      </c>
      <c r="H66">
        <v>2449062</v>
      </c>
      <c r="I66">
        <v>52.88</v>
      </c>
      <c r="J66">
        <v>0</v>
      </c>
      <c r="K66">
        <v>47.12</v>
      </c>
      <c r="L66">
        <v>100</v>
      </c>
      <c r="M66">
        <v>0</v>
      </c>
      <c r="N66">
        <v>-26.09</v>
      </c>
      <c r="O66">
        <v>842.56290000000001</v>
      </c>
      <c r="P66">
        <v>28</v>
      </c>
      <c r="Q66">
        <v>136259.51999999999</v>
      </c>
      <c r="R66">
        <v>128.41999999999999</v>
      </c>
      <c r="S66">
        <v>724</v>
      </c>
      <c r="T66">
        <v>5.2140000000000004</v>
      </c>
      <c r="U66">
        <v>110.97</v>
      </c>
      <c r="V66">
        <v>110.97</v>
      </c>
      <c r="W66">
        <v>60.006370821071897</v>
      </c>
      <c r="X66">
        <v>0</v>
      </c>
      <c r="Y66" s="2">
        <v>1E-4</v>
      </c>
      <c r="Z66" s="2"/>
      <c r="AA66">
        <f t="shared" ref="AA66:AA110" si="9">$AJ$129*$AK$129*$AL$129+1.5*$AO$129*$AP$129/100*$AR$129*$AS$129*$AT$129*AU66+$AO$129*$AQ$129/100*$AV$129*$AW$129*$AX$129*$AY$129+$BB$129*$BC$129*$BD$129*$BE$129*$BF$129*$BG$129+$BJ$129*$BK$129*$BL$129*$BM$129*$BN$129*$BO$129*$BP$129</f>
        <v>1.5825068585368526E-2</v>
      </c>
      <c r="AB66">
        <f t="shared" si="8"/>
        <v>1.5234667945004167E-2</v>
      </c>
      <c r="AC66">
        <f t="shared" ref="AC66:AC126" si="10">$AJ$129*$AK$129*$AL$129+1.5*$AO$129*$AP$129/100*$AR$129*$AS$129*$AT$129*$AU$129+$AO$129*$AQ$129/100*$AV$129*$AW$129*$AX$129*$AY$129+$BB$129*$BC$129*$BD$129*BE66*$BF$129*$BG$129+BJ66*$BK$129*$BL$129*$BM$129*$BN$129*$BO$129*$BP$129</f>
        <v>1.4876728420396196E-2</v>
      </c>
      <c r="AD66">
        <f t="shared" ref="AD66:AD126" si="11">$AJ$129*$AK$129*$AL$129+1.5*$AO$129*$AP$129/100*$AR$129*$AS$129*$AT$129*$AU$129+$AO$129*$AQ$129/100*$AV$129*$AW$129*$AX$129*$AY$129+$BB$129*$BC$129*$BD$129*$BE$129*$BF$129*$BG$129+$BJ$129*$BK$129*$BL$129*$BM$129*BN66*$BO$129*$BP$129</f>
        <v>1.4982855558316691E-2</v>
      </c>
      <c r="AE66">
        <f t="shared" ref="AE66:AE126" si="12">AJ66*$AK$129*$AL$129+1.5*$AO$129*$AP$129/100*$AR$129*$AS$129*AT66*$AU$129+$AO$129*$AQ$129/100*$AV$129*$AW$129*AX66*$AY$129+$BB$129*BC66*$BD$129*$BE$129*$BF$129*$BG$129+$BJ$129*$BK$129*$BL$129*BM66*$BN$129*$BO$129*$BP$129</f>
        <v>1.4286229345507821E-2</v>
      </c>
      <c r="AF66">
        <f t="shared" ref="AF66:AF126" si="13">$AJ$129*$AK$129*$AL$129+1.5*$AO$129*$AP$129/100*$AR$129*$AS$129*$AT$129*$AU$129+$AO$129*$AQ$129/100*$AV$129*$AW$129*$AX$129*$AY$129+$BB$129*$BC$129*$BD$129*$BE$129*$BF$129*$BG$129+$BJ$129*$BK$129*$BL$129*$BM$129*$BN$129*BO66*$BP$129</f>
        <v>1.4953348682883623E-2</v>
      </c>
      <c r="AG66">
        <f t="shared" ref="AG66:AG126" si="14">$AJ$129*$AK$129*AL66+1.5*$AO$129*$AP$129/100*AR66*$AS$129*$AT$129*$AU$129+$AO$129*$AQ$129/100*AV66*$AW$129*$AX$129*$AY$129+$BB$129*$BC$129*$BD$129*$BE$129*BF66*$BG$129+$BJ$129*$BK$129*$BL$129*$BM$129*$BN$129*$BO$129*BP66</f>
        <v>1.5262155919092283E-2</v>
      </c>
      <c r="AH66">
        <f t="shared" ref="AH66:AH126" si="15">$AJ$129*AK66*$AL$129+1.5*$AO$129*$AP$129/100*$AR$129*AS66*$AT$129*$AU$129+$AO$129*$AQ$129/100*$AV$129*AW66*$AX$129*$AY$129+$BB$129*$BC$129*$BD$129*$BE$129*$BF$129*$BG$129+$BJ$129*$BK$129*$BL$129*$BM$129*$BN$129*$BO$129*$BP$129</f>
        <v>1.1901198360077315E-2</v>
      </c>
      <c r="AI66" s="2"/>
      <c r="AJ66">
        <v>4.0099961766999997E-4</v>
      </c>
      <c r="AK66">
        <v>0.88858061275951805</v>
      </c>
      <c r="AL66">
        <v>0.84970369538635704</v>
      </c>
      <c r="AM66">
        <v>3.0276683368377701E-4</v>
      </c>
      <c r="AO66">
        <v>1.1492924691999999E-3</v>
      </c>
      <c r="AP66">
        <v>100</v>
      </c>
      <c r="AQ66">
        <v>0</v>
      </c>
      <c r="AR66">
        <v>8.6006074901411207</v>
      </c>
      <c r="AS66">
        <v>0.89780040276312001</v>
      </c>
      <c r="AT66">
        <v>0.765433863336755</v>
      </c>
      <c r="AU66">
        <v>1.1539355164193099</v>
      </c>
      <c r="AV66">
        <v>3.8230139002078301</v>
      </c>
      <c r="AW66">
        <v>0.85717305933400101</v>
      </c>
      <c r="AX66">
        <v>1.14028124100616</v>
      </c>
      <c r="AY66">
        <v>1.04052644499643</v>
      </c>
      <c r="AZ66">
        <v>1.17576345202572E-2</v>
      </c>
      <c r="BB66">
        <v>5.0294603598999999E-3</v>
      </c>
      <c r="BC66">
        <v>1.2647860610243999</v>
      </c>
      <c r="BD66">
        <v>0.98140197517581296</v>
      </c>
      <c r="BE66">
        <v>1.21756427428658</v>
      </c>
      <c r="BF66">
        <v>1.67018522313411E-3</v>
      </c>
      <c r="BG66">
        <v>1.0564566479999999</v>
      </c>
      <c r="BH66" s="2">
        <v>1.3412001762946E-5</v>
      </c>
      <c r="BI66" s="2"/>
      <c r="BJ66">
        <v>5.26870211094356E-4</v>
      </c>
      <c r="BK66">
        <v>5.1633231645166404</v>
      </c>
      <c r="BL66">
        <v>0.59521760730442497</v>
      </c>
      <c r="BM66">
        <v>1.05300125009289</v>
      </c>
      <c r="BN66">
        <v>0.85257120497388805</v>
      </c>
      <c r="BO66">
        <v>0.98195558659842597</v>
      </c>
      <c r="BP66">
        <v>8.8301695899754201E-2</v>
      </c>
      <c r="BQ66">
        <v>1.2604602642814699E-4</v>
      </c>
      <c r="BS66">
        <v>1.2199859382132101E-2</v>
      </c>
    </row>
    <row r="67" spans="1:71" x14ac:dyDescent="0.25">
      <c r="A67" t="s">
        <v>57</v>
      </c>
      <c r="B67">
        <v>1629860</v>
      </c>
      <c r="C67" t="s">
        <v>58</v>
      </c>
      <c r="D67">
        <v>2013</v>
      </c>
      <c r="E67">
        <v>4.5</v>
      </c>
      <c r="F67" s="1">
        <v>42461</v>
      </c>
      <c r="G67" t="s">
        <v>59</v>
      </c>
      <c r="H67">
        <v>959736.21</v>
      </c>
      <c r="I67">
        <v>67.78</v>
      </c>
      <c r="J67">
        <v>18.809999999999999</v>
      </c>
      <c r="K67">
        <v>13.41</v>
      </c>
      <c r="L67">
        <v>100</v>
      </c>
      <c r="M67">
        <v>0</v>
      </c>
      <c r="N67">
        <v>20.53</v>
      </c>
      <c r="O67">
        <v>860.77970000000005</v>
      </c>
      <c r="P67">
        <v>29</v>
      </c>
      <c r="Q67">
        <v>137292.75</v>
      </c>
      <c r="R67">
        <v>126.35</v>
      </c>
      <c r="S67">
        <v>715</v>
      </c>
      <c r="T67">
        <v>5.2110000000000003</v>
      </c>
      <c r="U67">
        <v>110.97</v>
      </c>
      <c r="V67">
        <v>110.97</v>
      </c>
      <c r="W67">
        <v>60.006370821071897</v>
      </c>
      <c r="X67">
        <v>0</v>
      </c>
      <c r="Y67">
        <v>1.07E-4</v>
      </c>
      <c r="AA67">
        <f t="shared" si="9"/>
        <v>1.5055081558228142E-2</v>
      </c>
      <c r="AB67">
        <f t="shared" si="8"/>
        <v>1.5234667945004167E-2</v>
      </c>
      <c r="AC67">
        <f t="shared" si="10"/>
        <v>1.5276893491948829E-2</v>
      </c>
      <c r="AD67">
        <f t="shared" si="11"/>
        <v>1.4981205957022682E-2</v>
      </c>
      <c r="AE67">
        <f t="shared" si="12"/>
        <v>1.4912276343371767E-2</v>
      </c>
      <c r="AF67">
        <f t="shared" si="13"/>
        <v>1.49551174157329E-2</v>
      </c>
      <c r="AG67">
        <f t="shared" si="14"/>
        <v>1.4854608658063402E-2</v>
      </c>
      <c r="AH67">
        <f t="shared" si="15"/>
        <v>1.3654491597917425E-2</v>
      </c>
      <c r="AJ67">
        <v>4.0390674931999997E-4</v>
      </c>
      <c r="AK67">
        <v>0.86907056975841501</v>
      </c>
      <c r="AL67">
        <v>0.85268947074496204</v>
      </c>
      <c r="AM67">
        <v>2.9931401579670901E-4</v>
      </c>
      <c r="AO67">
        <v>1.1492924691999999E-3</v>
      </c>
      <c r="AP67">
        <v>100</v>
      </c>
      <c r="AQ67">
        <v>0</v>
      </c>
      <c r="AR67">
        <v>8.3345708007990194</v>
      </c>
      <c r="AS67">
        <v>1.04326193057821</v>
      </c>
      <c r="AT67">
        <v>0.80150819427633502</v>
      </c>
      <c r="AU67">
        <v>1.0936983828445701</v>
      </c>
      <c r="AV67">
        <v>3.7376914983009701</v>
      </c>
      <c r="AW67">
        <v>0.89825849322351503</v>
      </c>
      <c r="AX67">
        <v>1.1508532099298701</v>
      </c>
      <c r="AY67">
        <v>1.02474894274429</v>
      </c>
      <c r="AZ67">
        <v>1.3140259951455799E-2</v>
      </c>
      <c r="BB67">
        <v>5.0294603598999999E-3</v>
      </c>
      <c r="BC67">
        <v>1.2724990332697801</v>
      </c>
      <c r="BD67">
        <v>0.98140197517581296</v>
      </c>
      <c r="BE67">
        <v>1.452612</v>
      </c>
      <c r="BF67">
        <v>2.17066528106869E-3</v>
      </c>
      <c r="BG67">
        <v>1.0564566479999999</v>
      </c>
      <c r="BH67" s="2">
        <v>2.09228068656798E-5</v>
      </c>
      <c r="BI67" s="2"/>
      <c r="BJ67">
        <v>1.26076061001064E-3</v>
      </c>
      <c r="BK67">
        <v>5.1633231645166404</v>
      </c>
      <c r="BL67">
        <v>0.59521760730442497</v>
      </c>
      <c r="BM67">
        <v>1.04743208487148</v>
      </c>
      <c r="BN67">
        <v>0.84839071393084298</v>
      </c>
      <c r="BO67">
        <v>0.98761456489750798</v>
      </c>
      <c r="BP67">
        <v>0.107038261936345</v>
      </c>
      <c r="BQ67">
        <v>3.6398712588936E-4</v>
      </c>
      <c r="BS67">
        <v>1.38244839000076E-2</v>
      </c>
    </row>
    <row r="68" spans="1:71" x14ac:dyDescent="0.25">
      <c r="A68" t="s">
        <v>57</v>
      </c>
      <c r="B68">
        <v>1629906</v>
      </c>
      <c r="C68" t="s">
        <v>58</v>
      </c>
      <c r="D68">
        <v>2013</v>
      </c>
      <c r="E68">
        <v>4.5</v>
      </c>
      <c r="F68" s="1">
        <v>42461</v>
      </c>
      <c r="G68" t="s">
        <v>59</v>
      </c>
      <c r="H68">
        <v>3021228.05</v>
      </c>
      <c r="I68">
        <v>56.9</v>
      </c>
      <c r="J68">
        <v>10.61</v>
      </c>
      <c r="K68">
        <v>32.49</v>
      </c>
      <c r="L68">
        <v>100</v>
      </c>
      <c r="M68">
        <v>0</v>
      </c>
      <c r="N68">
        <v>-13.75</v>
      </c>
      <c r="O68">
        <v>791.56899999999996</v>
      </c>
      <c r="P68">
        <v>28</v>
      </c>
      <c r="Q68">
        <v>151275.68</v>
      </c>
      <c r="R68">
        <v>123.42</v>
      </c>
      <c r="S68">
        <v>726</v>
      </c>
      <c r="T68">
        <v>5.1310000000000002</v>
      </c>
      <c r="U68">
        <v>110.97</v>
      </c>
      <c r="V68">
        <v>110.97</v>
      </c>
      <c r="W68">
        <v>60.006370821071897</v>
      </c>
      <c r="X68">
        <v>0</v>
      </c>
      <c r="Y68">
        <v>3.4200000000000002E-4</v>
      </c>
      <c r="AA68">
        <f t="shared" si="9"/>
        <v>1.561732711898571E-2</v>
      </c>
      <c r="AB68">
        <f t="shared" si="8"/>
        <v>1.5234667945004167E-2</v>
      </c>
      <c r="AC68">
        <f t="shared" si="10"/>
        <v>1.4942230185974422E-2</v>
      </c>
      <c r="AD68">
        <f t="shared" si="11"/>
        <v>1.4987603259879948E-2</v>
      </c>
      <c r="AE68">
        <f t="shared" si="12"/>
        <v>1.4286229345507821E-2</v>
      </c>
      <c r="AF68">
        <f t="shared" si="13"/>
        <v>1.4984354829466409E-2</v>
      </c>
      <c r="AG68">
        <f t="shared" si="14"/>
        <v>1.430663587390584E-2</v>
      </c>
      <c r="AH68">
        <f t="shared" si="15"/>
        <v>1.1539353981507064E-2</v>
      </c>
      <c r="AJ68">
        <v>4.0099961766999997E-4</v>
      </c>
      <c r="AK68">
        <v>0.89433709578098397</v>
      </c>
      <c r="AL68">
        <v>0.85489340400247005</v>
      </c>
      <c r="AM68">
        <v>3.0658942422396598E-4</v>
      </c>
      <c r="AO68">
        <v>1.1492924691999999E-3</v>
      </c>
      <c r="AP68">
        <v>100</v>
      </c>
      <c r="AQ68">
        <v>0</v>
      </c>
      <c r="AR68">
        <v>7.9434242279108798</v>
      </c>
      <c r="AS68">
        <v>0.86773632936675205</v>
      </c>
      <c r="AT68">
        <v>0.765433863336755</v>
      </c>
      <c r="AU68">
        <v>1.1376836186360599</v>
      </c>
      <c r="AV68">
        <v>3.61252213403839</v>
      </c>
      <c r="AW68">
        <v>0.848123576857439</v>
      </c>
      <c r="AX68">
        <v>1.14028124100616</v>
      </c>
      <c r="AY68">
        <v>1.03626969606666</v>
      </c>
      <c r="AZ68">
        <v>1.03477644502094E-2</v>
      </c>
      <c r="BB68">
        <v>5.0294603598999999E-3</v>
      </c>
      <c r="BC68">
        <v>1.2647860610243999</v>
      </c>
      <c r="BD68">
        <v>0.98140197517581296</v>
      </c>
      <c r="BE68">
        <v>1.3287367276056901</v>
      </c>
      <c r="BF68">
        <v>6.9025035231907598E-3</v>
      </c>
      <c r="BG68">
        <v>1.0564566479999999</v>
      </c>
      <c r="BH68" s="2">
        <v>6.0489869113682E-5</v>
      </c>
      <c r="BI68" s="2"/>
      <c r="BJ68">
        <v>6.0922375664478003E-4</v>
      </c>
      <c r="BK68">
        <v>5.1633231645166404</v>
      </c>
      <c r="BL68">
        <v>0.59521760730442497</v>
      </c>
      <c r="BM68">
        <v>1.05300125009289</v>
      </c>
      <c r="BN68">
        <v>0.86460303589710996</v>
      </c>
      <c r="BO68">
        <v>1.0811583071912301</v>
      </c>
      <c r="BP68">
        <v>0.14272781577730501</v>
      </c>
      <c r="BQ68">
        <v>2.63042219220905E-4</v>
      </c>
      <c r="BS68">
        <v>1.09778859627679E-2</v>
      </c>
    </row>
    <row r="69" spans="1:71" x14ac:dyDescent="0.25">
      <c r="A69" t="s">
        <v>57</v>
      </c>
      <c r="B69">
        <v>1630018</v>
      </c>
      <c r="C69" t="s">
        <v>58</v>
      </c>
      <c r="D69">
        <v>2013</v>
      </c>
      <c r="E69">
        <v>4.5</v>
      </c>
      <c r="F69" s="1">
        <v>42461</v>
      </c>
      <c r="G69" t="s">
        <v>59</v>
      </c>
      <c r="H69">
        <v>8305772.3799999999</v>
      </c>
      <c r="I69">
        <v>72.23</v>
      </c>
      <c r="J69">
        <v>11</v>
      </c>
      <c r="K69">
        <v>16.77</v>
      </c>
      <c r="L69">
        <v>90.5</v>
      </c>
      <c r="M69">
        <v>9.5</v>
      </c>
      <c r="N69">
        <v>19.72</v>
      </c>
      <c r="O69">
        <v>859.74760000000003</v>
      </c>
      <c r="P69">
        <v>28</v>
      </c>
      <c r="Q69">
        <v>173270.22</v>
      </c>
      <c r="R69">
        <v>122.68</v>
      </c>
      <c r="S69">
        <v>682</v>
      </c>
      <c r="T69">
        <v>5.2640000000000002</v>
      </c>
      <c r="U69">
        <v>110.97</v>
      </c>
      <c r="V69">
        <v>110.97</v>
      </c>
      <c r="W69">
        <v>60.006370821071897</v>
      </c>
      <c r="X69">
        <v>0</v>
      </c>
      <c r="Y69" s="2">
        <v>8.2999999999999998E-5</v>
      </c>
      <c r="Z69" s="2"/>
      <c r="AA69">
        <f t="shared" si="9"/>
        <v>1.482511898971977E-2</v>
      </c>
      <c r="AB69">
        <f t="shared" si="8"/>
        <v>1.4310057261156311E-2</v>
      </c>
      <c r="AC69">
        <f t="shared" si="10"/>
        <v>1.5267573838709286E-2</v>
      </c>
      <c r="AD69">
        <f t="shared" si="11"/>
        <v>1.4981298729903654E-2</v>
      </c>
      <c r="AE69">
        <f t="shared" si="12"/>
        <v>1.4286229345507821E-2</v>
      </c>
      <c r="AF69">
        <f t="shared" si="13"/>
        <v>1.4998068375782478E-2</v>
      </c>
      <c r="AG69">
        <f t="shared" si="14"/>
        <v>1.4196123760460351E-2</v>
      </c>
      <c r="AH69">
        <f t="shared" si="15"/>
        <v>2.210321155147545E-2</v>
      </c>
      <c r="AI69" s="2"/>
      <c r="AJ69">
        <v>4.0099961766999997E-4</v>
      </c>
      <c r="AK69">
        <v>0.83769953710165901</v>
      </c>
      <c r="AL69">
        <v>0.85576296772293203</v>
      </c>
      <c r="AM69">
        <v>2.8746549493226302E-4</v>
      </c>
      <c r="AO69">
        <v>1.1492924691999999E-3</v>
      </c>
      <c r="AP69">
        <v>90.5</v>
      </c>
      <c r="AQ69">
        <v>9.5</v>
      </c>
      <c r="AR69">
        <v>7.8414857471017401</v>
      </c>
      <c r="AS69">
        <v>1.74289694859928</v>
      </c>
      <c r="AT69">
        <v>0.765433863336755</v>
      </c>
      <c r="AU69">
        <v>1.075708097985</v>
      </c>
      <c r="AV69">
        <v>3.5799611672434901</v>
      </c>
      <c r="AW69">
        <v>1.0493164468054199</v>
      </c>
      <c r="AX69">
        <v>1.14028124100616</v>
      </c>
      <c r="AY69">
        <v>1.0200368699240201</v>
      </c>
      <c r="AZ69">
        <v>1.8272267177890902E-2</v>
      </c>
      <c r="BB69">
        <v>5.0294603598999999E-3</v>
      </c>
      <c r="BC69">
        <v>1.2647860610243999</v>
      </c>
      <c r="BD69">
        <v>0.98140197517581296</v>
      </c>
      <c r="BE69">
        <v>1.452612</v>
      </c>
      <c r="BF69">
        <v>1.1510248159151399E-2</v>
      </c>
      <c r="BG69">
        <v>1.0564566479999999</v>
      </c>
      <c r="BH69">
        <v>1.10273556855466E-4</v>
      </c>
      <c r="BJ69">
        <v>1.24082423483651E-3</v>
      </c>
      <c r="BK69">
        <v>5.1633231645166404</v>
      </c>
      <c r="BL69">
        <v>0.59521760730442497</v>
      </c>
      <c r="BM69">
        <v>1.05300125009289</v>
      </c>
      <c r="BN69">
        <v>0.84862582298377098</v>
      </c>
      <c r="BO69">
        <v>1.12503415935161</v>
      </c>
      <c r="BP69">
        <v>0.15370256864454801</v>
      </c>
      <c r="BQ69">
        <v>5.8926047128450196E-4</v>
      </c>
      <c r="BS69">
        <v>1.9259266700963101E-2</v>
      </c>
    </row>
    <row r="70" spans="1:71" x14ac:dyDescent="0.25">
      <c r="A70" t="s">
        <v>57</v>
      </c>
      <c r="B70">
        <v>1630019</v>
      </c>
      <c r="C70" t="s">
        <v>58</v>
      </c>
      <c r="D70">
        <v>2013</v>
      </c>
      <c r="E70">
        <v>4.5</v>
      </c>
      <c r="F70" s="1">
        <v>42461</v>
      </c>
      <c r="G70" t="s">
        <v>59</v>
      </c>
      <c r="H70">
        <v>2178061.5299999998</v>
      </c>
      <c r="I70">
        <v>69.34</v>
      </c>
      <c r="J70">
        <v>7.82</v>
      </c>
      <c r="K70">
        <v>22.83</v>
      </c>
      <c r="L70">
        <v>87.38</v>
      </c>
      <c r="M70">
        <v>12.62</v>
      </c>
      <c r="N70">
        <v>6.24</v>
      </c>
      <c r="O70">
        <v>843.27189999999996</v>
      </c>
      <c r="P70">
        <v>28</v>
      </c>
      <c r="Q70">
        <v>167775.95</v>
      </c>
      <c r="R70">
        <v>127.63</v>
      </c>
      <c r="S70">
        <v>694</v>
      </c>
      <c r="T70">
        <v>5.2220000000000004</v>
      </c>
      <c r="U70">
        <v>110.97</v>
      </c>
      <c r="V70">
        <v>110.97</v>
      </c>
      <c r="W70">
        <v>60.006370821071897</v>
      </c>
      <c r="X70">
        <v>0</v>
      </c>
      <c r="Y70">
        <v>0.12620200000000001</v>
      </c>
      <c r="AA70">
        <f t="shared" si="9"/>
        <v>1.4972717169603474E-2</v>
      </c>
      <c r="AB70">
        <f t="shared" si="8"/>
        <v>1.4006395647092587E-2</v>
      </c>
      <c r="AC70">
        <f t="shared" si="10"/>
        <v>1.5123463607926097E-2</v>
      </c>
      <c r="AD70">
        <f t="shared" si="11"/>
        <v>1.4982790880130924E-2</v>
      </c>
      <c r="AE70">
        <f t="shared" si="12"/>
        <v>1.4286229345507821E-2</v>
      </c>
      <c r="AF70">
        <f t="shared" si="13"/>
        <v>1.4996858869806626E-2</v>
      </c>
      <c r="AG70">
        <f t="shared" si="14"/>
        <v>1.5106632450248358E-2</v>
      </c>
      <c r="AH70">
        <f t="shared" si="15"/>
        <v>1.8739059163747442E-2</v>
      </c>
      <c r="AJ70">
        <v>4.0099961766999997E-4</v>
      </c>
      <c r="AK70">
        <v>0.843808792244503</v>
      </c>
      <c r="AL70">
        <v>0.85044903760922796</v>
      </c>
      <c r="AM70">
        <v>2.8776389212523899E-4</v>
      </c>
      <c r="AO70">
        <v>1.1492924691999999E-3</v>
      </c>
      <c r="AP70">
        <v>87.38</v>
      </c>
      <c r="AQ70">
        <v>12.62</v>
      </c>
      <c r="AR70">
        <v>8.4999609679176906</v>
      </c>
      <c r="AS70">
        <v>1.46443451139596</v>
      </c>
      <c r="AT70">
        <v>0.765433863336755</v>
      </c>
      <c r="AU70">
        <v>1.0872549045722</v>
      </c>
      <c r="AV70">
        <v>3.7907186298636599</v>
      </c>
      <c r="AW70">
        <v>0.99509447858781397</v>
      </c>
      <c r="AX70">
        <v>1.14028124100616</v>
      </c>
      <c r="AY70">
        <v>1.02298741795582</v>
      </c>
      <c r="AZ70">
        <v>1.6562159797265202E-2</v>
      </c>
      <c r="BB70">
        <v>5.0294603598999999E-3</v>
      </c>
      <c r="BC70">
        <v>1.2647860610243999</v>
      </c>
      <c r="BD70">
        <v>0.98140197517581296</v>
      </c>
      <c r="BE70">
        <v>1.452612</v>
      </c>
      <c r="BF70">
        <v>1.85034004085702E-3</v>
      </c>
      <c r="BG70">
        <v>1.0564566479999999</v>
      </c>
      <c r="BH70" s="2">
        <v>1.7727122376172701E-5</v>
      </c>
      <c r="BI70" s="2"/>
      <c r="BJ70">
        <v>9.3254713981175499E-4</v>
      </c>
      <c r="BK70">
        <v>5.1633231645166404</v>
      </c>
      <c r="BL70">
        <v>0.59521760730442497</v>
      </c>
      <c r="BM70">
        <v>1.05300125009289</v>
      </c>
      <c r="BN70">
        <v>0.85240729471432497</v>
      </c>
      <c r="BO70">
        <v>1.1211644013648401</v>
      </c>
      <c r="BP70">
        <v>9.4890871110741196E-2</v>
      </c>
      <c r="BQ70">
        <v>2.73681631173206E-4</v>
      </c>
      <c r="BS70">
        <v>1.7141332442939899E-2</v>
      </c>
    </row>
    <row r="71" spans="1:71" x14ac:dyDescent="0.25">
      <c r="A71" t="s">
        <v>57</v>
      </c>
      <c r="B71">
        <v>1630022</v>
      </c>
      <c r="C71" t="s">
        <v>58</v>
      </c>
      <c r="D71">
        <v>2013</v>
      </c>
      <c r="E71">
        <v>4.5</v>
      </c>
      <c r="F71" s="1">
        <v>42461</v>
      </c>
      <c r="G71" t="s">
        <v>59</v>
      </c>
      <c r="H71">
        <v>3846049.37</v>
      </c>
      <c r="I71">
        <v>66.66</v>
      </c>
      <c r="J71">
        <v>4.8</v>
      </c>
      <c r="K71">
        <v>28.54</v>
      </c>
      <c r="L71">
        <v>96.39</v>
      </c>
      <c r="M71">
        <v>3.61</v>
      </c>
      <c r="N71">
        <v>-10.39</v>
      </c>
      <c r="O71">
        <v>800.28369999999995</v>
      </c>
      <c r="P71">
        <v>28</v>
      </c>
      <c r="Q71">
        <v>175064.14</v>
      </c>
      <c r="R71">
        <v>153.08000000000001</v>
      </c>
      <c r="S71">
        <v>716</v>
      </c>
      <c r="T71">
        <v>5.133</v>
      </c>
      <c r="U71">
        <v>110.97</v>
      </c>
      <c r="V71">
        <v>110.97</v>
      </c>
      <c r="W71">
        <v>60.006370821071897</v>
      </c>
      <c r="X71">
        <v>0</v>
      </c>
      <c r="Y71">
        <v>2.6499999999999999E-4</v>
      </c>
      <c r="AA71">
        <f t="shared" si="9"/>
        <v>1.5112959777717861E-2</v>
      </c>
      <c r="AB71">
        <f t="shared" si="8"/>
        <v>1.4883315885141983E-2</v>
      </c>
      <c r="AC71">
        <f t="shared" si="10"/>
        <v>1.4966374929673525E-2</v>
      </c>
      <c r="AD71">
        <f t="shared" si="11"/>
        <v>1.4986778954009843E-2</v>
      </c>
      <c r="AE71">
        <f t="shared" si="12"/>
        <v>1.4286229345507821E-2</v>
      </c>
      <c r="AF71">
        <f t="shared" si="13"/>
        <v>1.4998416860087762E-2</v>
      </c>
      <c r="AG71">
        <f t="shared" si="14"/>
        <v>1.9371456281277528E-2</v>
      </c>
      <c r="AH71">
        <f t="shared" si="15"/>
        <v>1.3448315124179338E-2</v>
      </c>
      <c r="AJ71">
        <v>4.0099961766999997E-4</v>
      </c>
      <c r="AK71">
        <v>0.87007725049234497</v>
      </c>
      <c r="AL71">
        <v>0.83607474377442503</v>
      </c>
      <c r="AM71">
        <v>2.9170701719619601E-4</v>
      </c>
      <c r="AO71">
        <v>1.1492924691999999E-3</v>
      </c>
      <c r="AP71">
        <v>96.39</v>
      </c>
      <c r="AQ71">
        <v>3.61</v>
      </c>
      <c r="AR71">
        <v>11.103765048621399</v>
      </c>
      <c r="AS71">
        <v>1.02619101665568</v>
      </c>
      <c r="AT71">
        <v>0.765433863336755</v>
      </c>
      <c r="AU71">
        <v>1.0982262747642799</v>
      </c>
      <c r="AV71">
        <v>4.6389074884035999</v>
      </c>
      <c r="AW71">
        <v>0.89366823455190603</v>
      </c>
      <c r="AX71">
        <v>1.14028124100616</v>
      </c>
      <c r="AY71">
        <v>1.0259349026451201</v>
      </c>
      <c r="AZ71">
        <v>1.6218477301679201E-2</v>
      </c>
      <c r="BB71">
        <v>5.0294603598999999E-3</v>
      </c>
      <c r="BC71">
        <v>1.2647860610243999</v>
      </c>
      <c r="BD71">
        <v>0.98140197517581296</v>
      </c>
      <c r="BE71">
        <v>1.3590073378774099</v>
      </c>
      <c r="BF71" s="2">
        <v>7.6657180798583104E-5</v>
      </c>
      <c r="BG71">
        <v>1.0564566479999999</v>
      </c>
      <c r="BH71" s="2">
        <v>6.8708697104701299E-7</v>
      </c>
      <c r="BI71" s="2"/>
      <c r="BJ71">
        <v>6.4514471491325105E-4</v>
      </c>
      <c r="BK71">
        <v>5.1633231645166404</v>
      </c>
      <c r="BL71">
        <v>0.59521760730442497</v>
      </c>
      <c r="BM71">
        <v>1.05300125009289</v>
      </c>
      <c r="BN71">
        <v>0.86251404426063205</v>
      </c>
      <c r="BO71">
        <v>1.12614911864124</v>
      </c>
      <c r="BP71">
        <v>1.9714415963936999E-2</v>
      </c>
      <c r="BQ71" s="2">
        <v>3.9979476256348497E-5</v>
      </c>
      <c r="BR71" s="2"/>
      <c r="BS71">
        <v>1.6550850882102799E-2</v>
      </c>
    </row>
    <row r="72" spans="1:71" x14ac:dyDescent="0.25">
      <c r="A72" t="s">
        <v>57</v>
      </c>
      <c r="B72">
        <v>1630023</v>
      </c>
      <c r="C72" t="s">
        <v>58</v>
      </c>
      <c r="D72">
        <v>2013</v>
      </c>
      <c r="E72">
        <v>4.5</v>
      </c>
      <c r="F72" s="1">
        <v>42461</v>
      </c>
      <c r="G72" t="s">
        <v>59</v>
      </c>
      <c r="H72">
        <v>3300182.23</v>
      </c>
      <c r="I72">
        <v>82.3</v>
      </c>
      <c r="J72">
        <v>0</v>
      </c>
      <c r="K72">
        <v>17.7</v>
      </c>
      <c r="L72">
        <v>100</v>
      </c>
      <c r="M72">
        <v>0</v>
      </c>
      <c r="N72">
        <v>5.96</v>
      </c>
      <c r="O72">
        <v>804.6979</v>
      </c>
      <c r="P72">
        <v>28</v>
      </c>
      <c r="Q72">
        <v>194398.09</v>
      </c>
      <c r="R72">
        <v>122.91</v>
      </c>
      <c r="S72">
        <v>662</v>
      </c>
      <c r="T72">
        <v>5.1529999999999996</v>
      </c>
      <c r="U72">
        <v>110.97</v>
      </c>
      <c r="V72">
        <v>110.97</v>
      </c>
      <c r="W72">
        <v>60.006370821071897</v>
      </c>
      <c r="X72">
        <v>0</v>
      </c>
      <c r="Y72">
        <v>1.15E-4</v>
      </c>
      <c r="AA72">
        <f t="shared" si="9"/>
        <v>1.4304731784128942E-2</v>
      </c>
      <c r="AB72">
        <f t="shared" si="8"/>
        <v>1.5234667945004167E-2</v>
      </c>
      <c r="AC72">
        <f t="shared" si="10"/>
        <v>1.5120656523072462E-2</v>
      </c>
      <c r="AD72">
        <f t="shared" si="11"/>
        <v>1.4986363396394741E-2</v>
      </c>
      <c r="AE72">
        <f t="shared" si="12"/>
        <v>1.4286229345507821E-2</v>
      </c>
      <c r="AF72">
        <f t="shared" si="13"/>
        <v>1.5000960271062243E-2</v>
      </c>
      <c r="AG72">
        <f t="shared" si="14"/>
        <v>1.4229093571093513E-2</v>
      </c>
      <c r="AH72">
        <f t="shared" si="15"/>
        <v>2.8633230344026032E-2</v>
      </c>
      <c r="AJ72">
        <v>4.0099961766999997E-4</v>
      </c>
      <c r="AK72">
        <v>0.832951450520521</v>
      </c>
      <c r="AL72">
        <v>0.85548970071430297</v>
      </c>
      <c r="AM72">
        <v>2.8574486379201198E-4</v>
      </c>
      <c r="AO72">
        <v>1.1492924691999999E-3</v>
      </c>
      <c r="AP72">
        <v>100</v>
      </c>
      <c r="AQ72">
        <v>0</v>
      </c>
      <c r="AR72">
        <v>7.8733169877134603</v>
      </c>
      <c r="AS72">
        <v>2.2833197149575901</v>
      </c>
      <c r="AT72">
        <v>0.765433863336755</v>
      </c>
      <c r="AU72">
        <v>1.03499749831402</v>
      </c>
      <c r="AV72">
        <v>3.5901258592849898</v>
      </c>
      <c r="AW72">
        <v>1.1435162860938399</v>
      </c>
      <c r="AX72">
        <v>1.14028124100616</v>
      </c>
      <c r="AY72">
        <v>1.0093738197442199</v>
      </c>
      <c r="AZ72">
        <v>2.4552360679792402E-2</v>
      </c>
      <c r="BB72">
        <v>5.0294603598999999E-3</v>
      </c>
      <c r="BC72">
        <v>1.2647860610243999</v>
      </c>
      <c r="BD72">
        <v>0.98140197517581296</v>
      </c>
      <c r="BE72">
        <v>1.452612</v>
      </c>
      <c r="BF72">
        <v>9.9090382757401098E-3</v>
      </c>
      <c r="BG72">
        <v>1.0564566479999999</v>
      </c>
      <c r="BH72" s="2">
        <v>9.4933217822419302E-5</v>
      </c>
      <c r="BI72" s="2"/>
      <c r="BJ72">
        <v>9.2654229227620002E-4</v>
      </c>
      <c r="BK72">
        <v>5.1633231645166404</v>
      </c>
      <c r="BL72">
        <v>0.59521760730442497</v>
      </c>
      <c r="BM72">
        <v>1.05300125009289</v>
      </c>
      <c r="BN72">
        <v>0.86146092015475795</v>
      </c>
      <c r="BO72">
        <v>1.1342866434891099</v>
      </c>
      <c r="BP72">
        <v>0.15020003318039499</v>
      </c>
      <c r="BQ72">
        <v>4.4007595411875102E-4</v>
      </c>
      <c r="BS72">
        <v>2.5373114715525599E-2</v>
      </c>
    </row>
    <row r="73" spans="1:71" x14ac:dyDescent="0.25">
      <c r="A73" t="s">
        <v>57</v>
      </c>
      <c r="B73">
        <v>1630489</v>
      </c>
      <c r="C73" t="s">
        <v>58</v>
      </c>
      <c r="D73">
        <v>2014</v>
      </c>
      <c r="E73">
        <v>4.5</v>
      </c>
      <c r="F73" s="1">
        <v>42461</v>
      </c>
      <c r="G73" t="s">
        <v>59</v>
      </c>
      <c r="H73">
        <v>1705192.02</v>
      </c>
      <c r="I73">
        <v>78.61</v>
      </c>
      <c r="J73">
        <v>0</v>
      </c>
      <c r="K73">
        <v>21.39</v>
      </c>
      <c r="L73">
        <v>94.23</v>
      </c>
      <c r="M73">
        <v>5.77</v>
      </c>
      <c r="N73">
        <v>-6.37</v>
      </c>
      <c r="O73">
        <v>730.75609999999995</v>
      </c>
      <c r="P73">
        <v>27</v>
      </c>
      <c r="Q73">
        <v>213445.37</v>
      </c>
      <c r="R73">
        <v>123.58</v>
      </c>
      <c r="S73">
        <v>752</v>
      </c>
      <c r="T73">
        <v>5.048</v>
      </c>
      <c r="U73">
        <v>110.97</v>
      </c>
      <c r="V73">
        <v>110.97</v>
      </c>
      <c r="W73">
        <v>60.006370821071897</v>
      </c>
      <c r="X73">
        <v>0</v>
      </c>
      <c r="Y73">
        <v>0</v>
      </c>
      <c r="AA73">
        <f t="shared" si="9"/>
        <v>1.4495419846554934E-2</v>
      </c>
      <c r="AB73">
        <f t="shared" si="8"/>
        <v>1.46730886138671E-2</v>
      </c>
      <c r="AC73">
        <f t="shared" si="10"/>
        <v>1.5000252566704524E-2</v>
      </c>
      <c r="AD73">
        <f t="shared" si="11"/>
        <v>1.4993490455835666E-2</v>
      </c>
      <c r="AE73">
        <f t="shared" si="12"/>
        <v>1.3671013714282535E-2</v>
      </c>
      <c r="AF73">
        <f t="shared" si="13"/>
        <v>1.500193950934926E-2</v>
      </c>
      <c r="AG73">
        <f t="shared" si="14"/>
        <v>1.4331902995225266E-2</v>
      </c>
      <c r="AH73">
        <f t="shared" si="15"/>
        <v>7.4876691178264194E-3</v>
      </c>
      <c r="AJ73">
        <v>3.9821507847000002E-4</v>
      </c>
      <c r="AK73">
        <v>1.03194993329969</v>
      </c>
      <c r="AL73">
        <v>0.85375317832410103</v>
      </c>
      <c r="AM73">
        <v>3.5083964379911198E-4</v>
      </c>
      <c r="AO73">
        <v>1.1492924691999999E-3</v>
      </c>
      <c r="AP73">
        <v>94.23</v>
      </c>
      <c r="AQ73">
        <v>5.77</v>
      </c>
      <c r="AR73">
        <v>7.9652864799286398</v>
      </c>
      <c r="AS73">
        <v>0.52912627246168498</v>
      </c>
      <c r="AT73">
        <v>0.72999477697872595</v>
      </c>
      <c r="AU73">
        <v>1.04991528508521</v>
      </c>
      <c r="AV73">
        <v>3.6195086686152602</v>
      </c>
      <c r="AW73">
        <v>0.73453990436423899</v>
      </c>
      <c r="AX73">
        <v>1.1293434638233899</v>
      </c>
      <c r="AY73">
        <v>1.01328113406035</v>
      </c>
      <c r="AZ73">
        <v>5.5500537089679504E-3</v>
      </c>
      <c r="BB73">
        <v>5.0294603598999999E-3</v>
      </c>
      <c r="BC73">
        <v>1.25614586632976</v>
      </c>
      <c r="BD73">
        <v>0.98140197517581296</v>
      </c>
      <c r="BE73">
        <v>1.3952239607519401</v>
      </c>
      <c r="BF73">
        <v>6.1163199033797203E-3</v>
      </c>
      <c r="BG73">
        <v>1.0564566479999999</v>
      </c>
      <c r="BH73" s="2">
        <v>5.5897732301417697E-5</v>
      </c>
      <c r="BI73" s="2"/>
      <c r="BJ73">
        <v>6.9879643831349098E-4</v>
      </c>
      <c r="BK73">
        <v>5.1633231645166404</v>
      </c>
      <c r="BL73">
        <v>0.59521760730442497</v>
      </c>
      <c r="BM73">
        <v>1.05869321387977</v>
      </c>
      <c r="BN73">
        <v>0.879522622860888</v>
      </c>
      <c r="BO73">
        <v>1.1374196707397299</v>
      </c>
      <c r="BP73">
        <v>0.140465561595255</v>
      </c>
      <c r="BQ73">
        <v>3.1949458282390798E-4</v>
      </c>
      <c r="BS73">
        <v>6.2762856678923902E-3</v>
      </c>
    </row>
    <row r="74" spans="1:71" x14ac:dyDescent="0.25">
      <c r="A74" t="s">
        <v>57</v>
      </c>
      <c r="B74">
        <v>1630728</v>
      </c>
      <c r="C74" t="s">
        <v>58</v>
      </c>
      <c r="D74">
        <v>2014</v>
      </c>
      <c r="E74">
        <v>4.5</v>
      </c>
      <c r="F74" s="1">
        <v>42461</v>
      </c>
      <c r="G74" t="s">
        <v>59</v>
      </c>
      <c r="H74">
        <v>1891705.72</v>
      </c>
      <c r="I74">
        <v>67.55</v>
      </c>
      <c r="J74">
        <v>0</v>
      </c>
      <c r="K74">
        <v>32.450000000000003</v>
      </c>
      <c r="L74">
        <v>100</v>
      </c>
      <c r="M74">
        <v>0</v>
      </c>
      <c r="N74">
        <v>-10.68</v>
      </c>
      <c r="O74">
        <v>808.33019999999999</v>
      </c>
      <c r="P74">
        <v>28</v>
      </c>
      <c r="Q74">
        <v>172211.67</v>
      </c>
      <c r="R74">
        <v>117.61</v>
      </c>
      <c r="S74">
        <v>698</v>
      </c>
      <c r="T74">
        <v>5.2</v>
      </c>
      <c r="U74">
        <v>110.97</v>
      </c>
      <c r="V74">
        <v>110.97</v>
      </c>
      <c r="W74">
        <v>60.006370821071897</v>
      </c>
      <c r="X74">
        <v>0</v>
      </c>
      <c r="Y74">
        <v>3.0499999999999999E-4</v>
      </c>
      <c r="AA74">
        <f t="shared" si="9"/>
        <v>1.506696726401624E-2</v>
      </c>
      <c r="AB74">
        <f t="shared" si="8"/>
        <v>1.5234667945004167E-2</v>
      </c>
      <c r="AC74">
        <f t="shared" si="10"/>
        <v>1.4964152145069656E-2</v>
      </c>
      <c r="AD74">
        <f t="shared" si="11"/>
        <v>1.4986022456486626E-2</v>
      </c>
      <c r="AE74">
        <f t="shared" si="12"/>
        <v>1.4286229345507821E-2</v>
      </c>
      <c r="AF74">
        <f t="shared" si="13"/>
        <v>1.499785231431877E-2</v>
      </c>
      <c r="AG74">
        <f t="shared" si="14"/>
        <v>1.3760493210012143E-2</v>
      </c>
      <c r="AH74">
        <f t="shared" si="15"/>
        <v>1.7674306968173858E-2</v>
      </c>
      <c r="AJ74">
        <v>4.0099961766999997E-4</v>
      </c>
      <c r="AK74">
        <v>0.84677975354944601</v>
      </c>
      <c r="AL74">
        <v>0.86252263441496102</v>
      </c>
      <c r="AM74">
        <v>2.9287676898298701E-4</v>
      </c>
      <c r="AO74">
        <v>1.1492924691999999E-3</v>
      </c>
      <c r="AP74">
        <v>100</v>
      </c>
      <c r="AQ74">
        <v>0</v>
      </c>
      <c r="AR74">
        <v>7.1015091209128602</v>
      </c>
      <c r="AS74">
        <v>1.3762832062279799</v>
      </c>
      <c r="AT74">
        <v>0.765433863336755</v>
      </c>
      <c r="AU74">
        <v>1.0946282177923701</v>
      </c>
      <c r="AV74">
        <v>3.3443973918824601</v>
      </c>
      <c r="AW74">
        <v>0.976810317415443</v>
      </c>
      <c r="AX74">
        <v>1.14028124100616</v>
      </c>
      <c r="AY74">
        <v>1.0249924880810699</v>
      </c>
      <c r="AZ74">
        <v>1.4117395800565801E-2</v>
      </c>
      <c r="BB74">
        <v>5.0294603598999999E-3</v>
      </c>
      <c r="BC74">
        <v>1.2647860610243999</v>
      </c>
      <c r="BD74">
        <v>0.98140197517581296</v>
      </c>
      <c r="BE74">
        <v>1.35639469595606</v>
      </c>
      <c r="BF74">
        <v>8.1447220612708496E-2</v>
      </c>
      <c r="BG74">
        <v>1.0564566479999999</v>
      </c>
      <c r="BH74">
        <v>7.2861720101733297E-4</v>
      </c>
      <c r="BJ74">
        <v>6.4174734116118103E-4</v>
      </c>
      <c r="BK74">
        <v>5.1633231645166404</v>
      </c>
      <c r="BL74">
        <v>0.59521760730442497</v>
      </c>
      <c r="BM74">
        <v>1.05300125009289</v>
      </c>
      <c r="BN74">
        <v>0.86059689547360296</v>
      </c>
      <c r="BO74">
        <v>1.12434288077051</v>
      </c>
      <c r="BP74">
        <v>0.25959300735986302</v>
      </c>
      <c r="BQ74">
        <v>5.2166245556023005E-4</v>
      </c>
      <c r="BS74">
        <v>1.56605522261264E-2</v>
      </c>
    </row>
    <row r="75" spans="1:71" x14ac:dyDescent="0.25">
      <c r="A75" t="s">
        <v>57</v>
      </c>
      <c r="B75">
        <v>1630729</v>
      </c>
      <c r="C75" t="s">
        <v>58</v>
      </c>
      <c r="D75">
        <v>2014</v>
      </c>
      <c r="E75">
        <v>4.5</v>
      </c>
      <c r="F75" s="1">
        <v>42461</v>
      </c>
      <c r="G75" t="s">
        <v>59</v>
      </c>
      <c r="H75">
        <v>4985432.8600000003</v>
      </c>
      <c r="I75">
        <v>55.9</v>
      </c>
      <c r="J75">
        <v>11.55</v>
      </c>
      <c r="K75">
        <v>32.549999999999997</v>
      </c>
      <c r="L75">
        <v>97.66</v>
      </c>
      <c r="M75">
        <v>2.34</v>
      </c>
      <c r="N75">
        <v>2.36</v>
      </c>
      <c r="O75">
        <v>883.56320000000005</v>
      </c>
      <c r="P75">
        <v>27</v>
      </c>
      <c r="Q75">
        <v>146838.82</v>
      </c>
      <c r="R75">
        <v>120.86</v>
      </c>
      <c r="S75">
        <v>727</v>
      </c>
      <c r="T75">
        <v>5.2930000000000001</v>
      </c>
      <c r="U75">
        <v>110.97</v>
      </c>
      <c r="V75">
        <v>110.97</v>
      </c>
      <c r="W75">
        <v>60.006370821071897</v>
      </c>
      <c r="X75">
        <v>0</v>
      </c>
      <c r="Y75">
        <v>1.003E-3</v>
      </c>
      <c r="AA75">
        <f t="shared" si="9"/>
        <v>1.5669004100672984E-2</v>
      </c>
      <c r="AB75">
        <f t="shared" ref="AB75:AB126" si="16">$AJ$129*$AK$129*$AL$129+1.5*$AO$129*AP75/100*$AR$129*$AS$129*$AT$129*$AU$129+$AO$129*AQ75/100*$AV$129*$AW$129*$AX$129*$AY$129+$BB$129*$BC$129*$BD$129*$BE$129*$BF$129*$BG$129+$BJ$129*$BK$129*$BL$129*$BM$129*$BN$129*$BO$129*$BP$129</f>
        <v>1.5006921734456379E-2</v>
      </c>
      <c r="AC75">
        <f t="shared" si="10"/>
        <v>1.50858398545189E-2</v>
      </c>
      <c r="AD75">
        <f t="shared" si="11"/>
        <v>1.4979179678134277E-2</v>
      </c>
      <c r="AE75">
        <f t="shared" si="12"/>
        <v>1.3671013714282535E-2</v>
      </c>
      <c r="AF75">
        <f t="shared" si="13"/>
        <v>1.497523278557031E-2</v>
      </c>
      <c r="AG75">
        <f t="shared" si="14"/>
        <v>1.3976532045298947E-2</v>
      </c>
      <c r="AH75">
        <f t="shared" si="15"/>
        <v>1.1361516910880975E-2</v>
      </c>
      <c r="AJ75">
        <v>3.9821507847000002E-4</v>
      </c>
      <c r="AK75">
        <v>0.89673509576864696</v>
      </c>
      <c r="AL75">
        <v>0.85708960006761203</v>
      </c>
      <c r="AM75">
        <v>3.0606107070082198E-4</v>
      </c>
      <c r="AO75">
        <v>1.1492924691999999E-3</v>
      </c>
      <c r="AP75">
        <v>97.66</v>
      </c>
      <c r="AQ75">
        <v>2.34</v>
      </c>
      <c r="AR75">
        <v>7.5846330537383704</v>
      </c>
      <c r="AS75">
        <v>0.85297367096294496</v>
      </c>
      <c r="AT75">
        <v>0.72999477697872595</v>
      </c>
      <c r="AU75">
        <v>1.1417263792786601</v>
      </c>
      <c r="AV75">
        <v>3.4980342071037298</v>
      </c>
      <c r="AW75">
        <v>0.84361167509441004</v>
      </c>
      <c r="AX75">
        <v>1.1293434638233899</v>
      </c>
      <c r="AY75">
        <v>1.0373285888352599</v>
      </c>
      <c r="AZ75">
        <v>9.21746636610217E-3</v>
      </c>
      <c r="BB75">
        <v>5.0294603598999999E-3</v>
      </c>
      <c r="BC75">
        <v>1.25614586632976</v>
      </c>
      <c r="BD75">
        <v>0.98140197517581296</v>
      </c>
      <c r="BE75">
        <v>1.452612</v>
      </c>
      <c r="BF75">
        <v>2.9308205928482999E-2</v>
      </c>
      <c r="BG75">
        <v>1.0564566479999999</v>
      </c>
      <c r="BH75">
        <v>2.7886816121914598E-4</v>
      </c>
      <c r="BJ75">
        <v>8.5206332307463304E-4</v>
      </c>
      <c r="BK75">
        <v>5.1633231645166404</v>
      </c>
      <c r="BL75">
        <v>0.59521760730442497</v>
      </c>
      <c r="BM75">
        <v>1.05869321387977</v>
      </c>
      <c r="BN75">
        <v>0.84325563021427896</v>
      </c>
      <c r="BO75">
        <v>1.05197275298365</v>
      </c>
      <c r="BP75">
        <v>0.184487613603183</v>
      </c>
      <c r="BQ75">
        <v>4.5370966670415602E-4</v>
      </c>
      <c r="BS75">
        <v>1.02561052647263E-2</v>
      </c>
    </row>
    <row r="76" spans="1:71" x14ac:dyDescent="0.25">
      <c r="A76" t="s">
        <v>57</v>
      </c>
      <c r="B76">
        <v>1630738</v>
      </c>
      <c r="C76" t="s">
        <v>58</v>
      </c>
      <c r="D76">
        <v>2014</v>
      </c>
      <c r="E76">
        <v>4.5</v>
      </c>
      <c r="F76" s="1">
        <v>42461</v>
      </c>
      <c r="G76" t="s">
        <v>59</v>
      </c>
      <c r="H76">
        <v>879255.93</v>
      </c>
      <c r="I76">
        <v>100</v>
      </c>
      <c r="J76">
        <v>0</v>
      </c>
      <c r="K76">
        <v>0</v>
      </c>
      <c r="L76">
        <v>100</v>
      </c>
      <c r="M76">
        <v>0</v>
      </c>
      <c r="N76">
        <v>12.19</v>
      </c>
      <c r="O76">
        <v>695.85379999999998</v>
      </c>
      <c r="P76">
        <v>28</v>
      </c>
      <c r="Q76">
        <v>146752.74</v>
      </c>
      <c r="R76">
        <v>117.49</v>
      </c>
      <c r="S76">
        <v>717</v>
      </c>
      <c r="T76">
        <v>4.9320000000000004</v>
      </c>
      <c r="U76">
        <v>110.97</v>
      </c>
      <c r="V76">
        <v>110.97</v>
      </c>
      <c r="W76">
        <v>60.006370821071897</v>
      </c>
      <c r="X76">
        <v>0</v>
      </c>
      <c r="Y76">
        <v>1.34E-4</v>
      </c>
      <c r="AA76">
        <f t="shared" si="9"/>
        <v>1.3390049208264185E-2</v>
      </c>
      <c r="AB76">
        <f t="shared" si="16"/>
        <v>1.5234667945004167E-2</v>
      </c>
      <c r="AC76">
        <f t="shared" si="10"/>
        <v>1.5185446575736642E-2</v>
      </c>
      <c r="AD76">
        <f t="shared" si="11"/>
        <v>1.4996966049831056E-2</v>
      </c>
      <c r="AE76">
        <f t="shared" si="12"/>
        <v>1.4286229345507821E-2</v>
      </c>
      <c r="AF76">
        <f t="shared" si="13"/>
        <v>1.4975044317424347E-2</v>
      </c>
      <c r="AG76">
        <f t="shared" si="14"/>
        <v>1.37566168798082E-2</v>
      </c>
      <c r="AH76">
        <f t="shared" si="15"/>
        <v>1.3245393026725874E-2</v>
      </c>
      <c r="AJ76">
        <v>4.0099961766999997E-4</v>
      </c>
      <c r="AK76">
        <v>0.87203938069142395</v>
      </c>
      <c r="AL76">
        <v>0.86270077065406203</v>
      </c>
      <c r="AM76">
        <v>3.01675639720719E-4</v>
      </c>
      <c r="AO76">
        <v>1.1492924691999999E-3</v>
      </c>
      <c r="AP76">
        <v>100</v>
      </c>
      <c r="AQ76">
        <v>0</v>
      </c>
      <c r="AR76">
        <v>7.0830102017036403</v>
      </c>
      <c r="AS76">
        <v>1.0093623611595199</v>
      </c>
      <c r="AT76">
        <v>0.765433863336755</v>
      </c>
      <c r="AU76">
        <v>0.96344063493999998</v>
      </c>
      <c r="AV76">
        <v>3.33852666580262</v>
      </c>
      <c r="AW76">
        <v>0.88908356034829295</v>
      </c>
      <c r="AX76">
        <v>1.14028124100616</v>
      </c>
      <c r="AY76">
        <v>0.99063141773999996</v>
      </c>
      <c r="AZ76">
        <v>9.0890695084931694E-3</v>
      </c>
      <c r="BB76">
        <v>5.0294603598999999E-3</v>
      </c>
      <c r="BC76">
        <v>1.2647860610243999</v>
      </c>
      <c r="BD76">
        <v>0.98140197517581296</v>
      </c>
      <c r="BE76">
        <v>1.452612</v>
      </c>
      <c r="BF76">
        <v>8.3816975038397398E-2</v>
      </c>
      <c r="BG76">
        <v>1.0564566479999999</v>
      </c>
      <c r="BH76">
        <v>8.0300579401507502E-4</v>
      </c>
      <c r="BJ76">
        <v>1.06513959458615E-3</v>
      </c>
      <c r="BK76">
        <v>5.1633231645166404</v>
      </c>
      <c r="BL76">
        <v>0.59521760730442497</v>
      </c>
      <c r="BM76">
        <v>1.05300125009289</v>
      </c>
      <c r="BN76">
        <v>0.88833062369100102</v>
      </c>
      <c r="BO76">
        <v>1.0513697579363701</v>
      </c>
      <c r="BP76">
        <v>0.263028673200213</v>
      </c>
      <c r="BQ76">
        <v>8.4678606418691802E-4</v>
      </c>
      <c r="BS76">
        <v>1.10405370064159E-2</v>
      </c>
    </row>
    <row r="77" spans="1:71" x14ac:dyDescent="0.25">
      <c r="A77" t="s">
        <v>57</v>
      </c>
      <c r="B77">
        <v>1631064</v>
      </c>
      <c r="C77" t="s">
        <v>58</v>
      </c>
      <c r="D77">
        <v>2014</v>
      </c>
      <c r="E77">
        <v>4.5</v>
      </c>
      <c r="F77" s="1">
        <v>42461</v>
      </c>
      <c r="G77" t="s">
        <v>59</v>
      </c>
      <c r="H77">
        <v>9142411.7899999991</v>
      </c>
      <c r="I77">
        <v>71.349999999999994</v>
      </c>
      <c r="J77">
        <v>2.87</v>
      </c>
      <c r="K77">
        <v>25.78</v>
      </c>
      <c r="L77">
        <v>98.66</v>
      </c>
      <c r="M77">
        <v>1.34</v>
      </c>
      <c r="N77">
        <v>-16.47</v>
      </c>
      <c r="O77">
        <v>706.96220000000005</v>
      </c>
      <c r="P77">
        <v>27</v>
      </c>
      <c r="Q77">
        <v>157869.21</v>
      </c>
      <c r="R77">
        <v>122.82</v>
      </c>
      <c r="S77">
        <v>735</v>
      </c>
      <c r="T77">
        <v>5.0090000000000003</v>
      </c>
      <c r="U77">
        <v>110.97</v>
      </c>
      <c r="V77">
        <v>110.97</v>
      </c>
      <c r="W77">
        <v>60.006370821071897</v>
      </c>
      <c r="X77">
        <v>0</v>
      </c>
      <c r="Y77">
        <v>1.55E-4</v>
      </c>
      <c r="AA77">
        <f t="shared" si="9"/>
        <v>1.4870594733604596E-2</v>
      </c>
      <c r="AB77">
        <f t="shared" si="16"/>
        <v>1.5104249174861417E-2</v>
      </c>
      <c r="AC77">
        <f t="shared" si="10"/>
        <v>1.4925037907952451E-2</v>
      </c>
      <c r="AD77">
        <f t="shared" si="11"/>
        <v>1.499585284860437E-2</v>
      </c>
      <c r="AE77">
        <f t="shared" si="12"/>
        <v>1.3671013714282535E-2</v>
      </c>
      <c r="AF77">
        <f t="shared" si="13"/>
        <v>1.4993555231343908E-2</v>
      </c>
      <c r="AG77">
        <f t="shared" si="14"/>
        <v>1.4215706014166119E-2</v>
      </c>
      <c r="AH77">
        <f t="shared" si="15"/>
        <v>1.0010322969624971E-2</v>
      </c>
      <c r="AJ77">
        <v>3.9821507847000002E-4</v>
      </c>
      <c r="AK77">
        <v>0.92685006567305295</v>
      </c>
      <c r="AL77">
        <v>0.85464628269713105</v>
      </c>
      <c r="AM77">
        <v>3.1543769725699401E-4</v>
      </c>
      <c r="AO77">
        <v>1.1492924691999999E-3</v>
      </c>
      <c r="AP77">
        <v>98.66</v>
      </c>
      <c r="AQ77">
        <v>1.34</v>
      </c>
      <c r="AR77">
        <v>7.8608773628371704</v>
      </c>
      <c r="AS77">
        <v>0.74048167358622097</v>
      </c>
      <c r="AT77">
        <v>0.72999477697872595</v>
      </c>
      <c r="AU77">
        <v>1.07926572735049</v>
      </c>
      <c r="AV77">
        <v>3.58615320387289</v>
      </c>
      <c r="AW77">
        <v>0.80786523502173502</v>
      </c>
      <c r="AX77">
        <v>1.1293434638233899</v>
      </c>
      <c r="AY77">
        <v>1.02096869556039</v>
      </c>
      <c r="AZ77">
        <v>7.8771995957317899E-3</v>
      </c>
      <c r="BB77">
        <v>5.0294603598999999E-3</v>
      </c>
      <c r="BC77">
        <v>1.25614586632976</v>
      </c>
      <c r="BD77">
        <v>0.98140197517581296</v>
      </c>
      <c r="BE77">
        <v>1.3042319463643</v>
      </c>
      <c r="BF77">
        <v>1.05176354405273E-2</v>
      </c>
      <c r="BG77">
        <v>1.0564566479999999</v>
      </c>
      <c r="BH77" s="2">
        <v>8.9853090294852997E-5</v>
      </c>
      <c r="BI77" s="2"/>
      <c r="BJ77">
        <v>5.85179365454881E-4</v>
      </c>
      <c r="BK77">
        <v>5.1633231645166404</v>
      </c>
      <c r="BL77">
        <v>0.59521760730442497</v>
      </c>
      <c r="BM77">
        <v>1.05869321387977</v>
      </c>
      <c r="BN77">
        <v>0.88550950092990299</v>
      </c>
      <c r="BO77">
        <v>1.1105945641075201</v>
      </c>
      <c r="BP77">
        <v>0.15156063906532899</v>
      </c>
      <c r="BQ77">
        <v>2.8379151531347801E-4</v>
      </c>
      <c r="BS77">
        <v>8.5662818985971102E-3</v>
      </c>
    </row>
    <row r="78" spans="1:71" x14ac:dyDescent="0.25">
      <c r="A78" t="s">
        <v>57</v>
      </c>
      <c r="B78">
        <v>1631411</v>
      </c>
      <c r="C78" t="s">
        <v>58</v>
      </c>
      <c r="D78">
        <v>2014</v>
      </c>
      <c r="E78">
        <v>4.5</v>
      </c>
      <c r="F78" s="1">
        <v>42461</v>
      </c>
      <c r="G78" t="s">
        <v>59</v>
      </c>
      <c r="H78">
        <v>5963038.3499999996</v>
      </c>
      <c r="I78">
        <v>64.48</v>
      </c>
      <c r="J78">
        <v>13.09</v>
      </c>
      <c r="K78">
        <v>22.43</v>
      </c>
      <c r="L78">
        <v>97.85</v>
      </c>
      <c r="M78">
        <v>2.15</v>
      </c>
      <c r="N78">
        <v>2.21</v>
      </c>
      <c r="O78">
        <v>792.97550000000001</v>
      </c>
      <c r="P78">
        <v>27</v>
      </c>
      <c r="Q78">
        <v>149286.23000000001</v>
      </c>
      <c r="R78">
        <v>136.33000000000001</v>
      </c>
      <c r="S78">
        <v>703</v>
      </c>
      <c r="T78">
        <v>5.165</v>
      </c>
      <c r="U78">
        <v>110.97</v>
      </c>
      <c r="V78">
        <v>110.97</v>
      </c>
      <c r="W78">
        <v>60.006370821071897</v>
      </c>
      <c r="X78">
        <v>0</v>
      </c>
      <c r="Y78">
        <v>2.6977999999999999E-2</v>
      </c>
      <c r="AA78">
        <f t="shared" si="9"/>
        <v>1.5225615597796146E-2</v>
      </c>
      <c r="AB78">
        <f t="shared" si="16"/>
        <v>1.5025413948133339E-2</v>
      </c>
      <c r="AC78">
        <f t="shared" si="10"/>
        <v>1.5084445428133982E-2</v>
      </c>
      <c r="AD78">
        <f t="shared" si="11"/>
        <v>1.4987469875433672E-2</v>
      </c>
      <c r="AE78">
        <f t="shared" si="12"/>
        <v>1.3671013714282535E-2</v>
      </c>
      <c r="AF78">
        <f t="shared" si="13"/>
        <v>1.4980441988813969E-2</v>
      </c>
      <c r="AG78">
        <f t="shared" si="14"/>
        <v>1.6706332898077304E-2</v>
      </c>
      <c r="AH78">
        <f t="shared" si="15"/>
        <v>1.6382815624476996E-2</v>
      </c>
      <c r="AJ78">
        <v>3.9821507847000002E-4</v>
      </c>
      <c r="AK78">
        <v>0.85042208298117195</v>
      </c>
      <c r="AL78">
        <v>0.84251620833476304</v>
      </c>
      <c r="AM78">
        <v>2.8531886927421902E-4</v>
      </c>
      <c r="AO78">
        <v>1.1492924691999999E-3</v>
      </c>
      <c r="AP78">
        <v>97.85</v>
      </c>
      <c r="AQ78">
        <v>2.15</v>
      </c>
      <c r="AR78">
        <v>9.50389672718598</v>
      </c>
      <c r="AS78">
        <v>1.26936901364002</v>
      </c>
      <c r="AT78">
        <v>0.72999477697872595</v>
      </c>
      <c r="AU78">
        <v>1.1070394929651499</v>
      </c>
      <c r="AV78">
        <v>4.1149093954887102</v>
      </c>
      <c r="AW78">
        <v>0.95366515478870995</v>
      </c>
      <c r="AX78">
        <v>1.1293434638233899</v>
      </c>
      <c r="AY78">
        <v>1.0282432888806701</v>
      </c>
      <c r="AZ78">
        <v>1.6614707712705401E-2</v>
      </c>
      <c r="BB78">
        <v>5.0294603598999999E-3</v>
      </c>
      <c r="BC78">
        <v>1.25614586632976</v>
      </c>
      <c r="BD78">
        <v>0.98140197517581296</v>
      </c>
      <c r="BE78">
        <v>1.452612</v>
      </c>
      <c r="BF78">
        <v>4.9376813312342299E-4</v>
      </c>
      <c r="BG78">
        <v>1.0564566479999999</v>
      </c>
      <c r="BH78" s="2">
        <v>4.6982135886700801E-6</v>
      </c>
      <c r="BI78" s="2"/>
      <c r="BJ78">
        <v>8.4908040012160902E-4</v>
      </c>
      <c r="BK78">
        <v>5.1633231645166404</v>
      </c>
      <c r="BL78">
        <v>0.59521760730442497</v>
      </c>
      <c r="BM78">
        <v>1.05869321387977</v>
      </c>
      <c r="BN78">
        <v>0.86426500725651501</v>
      </c>
      <c r="BO78">
        <v>1.0686393559267799</v>
      </c>
      <c r="BP78">
        <v>4.9025786644259599E-2</v>
      </c>
      <c r="BQ78">
        <v>1.2509117943727499E-4</v>
      </c>
      <c r="BS78">
        <v>1.70298159750055E-2</v>
      </c>
    </row>
    <row r="79" spans="1:71" x14ac:dyDescent="0.25">
      <c r="A79" t="s">
        <v>57</v>
      </c>
      <c r="B79">
        <v>1631449</v>
      </c>
      <c r="C79" t="s">
        <v>58</v>
      </c>
      <c r="D79">
        <v>2014</v>
      </c>
      <c r="E79">
        <v>4.5</v>
      </c>
      <c r="F79" s="1">
        <v>42461</v>
      </c>
      <c r="G79" t="s">
        <v>59</v>
      </c>
      <c r="H79">
        <v>12280707.630000001</v>
      </c>
      <c r="I79">
        <v>81.66</v>
      </c>
      <c r="J79">
        <v>3.23</v>
      </c>
      <c r="K79">
        <v>15.11</v>
      </c>
      <c r="L79">
        <v>96.08</v>
      </c>
      <c r="M79">
        <v>3.92</v>
      </c>
      <c r="N79">
        <v>9.75</v>
      </c>
      <c r="O79">
        <v>780.39269999999999</v>
      </c>
      <c r="P79">
        <v>27</v>
      </c>
      <c r="Q79">
        <v>183550.86</v>
      </c>
      <c r="R79">
        <v>124.74</v>
      </c>
      <c r="S79">
        <v>686</v>
      </c>
      <c r="T79">
        <v>5.1390000000000002</v>
      </c>
      <c r="U79">
        <v>110.97</v>
      </c>
      <c r="V79">
        <v>110.97</v>
      </c>
      <c r="W79">
        <v>60.006370821071897</v>
      </c>
      <c r="X79">
        <v>0</v>
      </c>
      <c r="Y79" s="2">
        <v>8.6000000000000003E-5</v>
      </c>
      <c r="Z79" s="2"/>
      <c r="AA79">
        <f t="shared" si="9"/>
        <v>1.4337805052408746E-2</v>
      </c>
      <c r="AB79">
        <f t="shared" si="16"/>
        <v>1.485314437861642E-2</v>
      </c>
      <c r="AC79">
        <f t="shared" si="10"/>
        <v>1.5159651650546958E-2</v>
      </c>
      <c r="AD79">
        <f t="shared" si="11"/>
        <v>1.4988667816813428E-2</v>
      </c>
      <c r="AE79">
        <f t="shared" si="12"/>
        <v>1.3671013714282535E-2</v>
      </c>
      <c r="AF79">
        <f t="shared" si="13"/>
        <v>1.499978579608304E-2</v>
      </c>
      <c r="AG79">
        <f t="shared" si="14"/>
        <v>1.4536530790425533E-2</v>
      </c>
      <c r="AH79">
        <f t="shared" si="15"/>
        <v>2.0947205326587309E-2</v>
      </c>
      <c r="AI79" s="2"/>
      <c r="AJ79">
        <v>3.9821507847000002E-4</v>
      </c>
      <c r="AK79">
        <v>0.838295204651748</v>
      </c>
      <c r="AL79">
        <v>0.85244583772955296</v>
      </c>
      <c r="AM79">
        <v>2.8456499602685199E-4</v>
      </c>
      <c r="AO79">
        <v>1.1492924691999999E-3</v>
      </c>
      <c r="AP79">
        <v>96.08</v>
      </c>
      <c r="AQ79">
        <v>3.92</v>
      </c>
      <c r="AR79">
        <v>8.1219802612005498</v>
      </c>
      <c r="AS79">
        <v>1.6472476553812501</v>
      </c>
      <c r="AT79">
        <v>0.72999477697872595</v>
      </c>
      <c r="AU79">
        <v>1.0375848651252799</v>
      </c>
      <c r="AV79">
        <v>3.6696171656401702</v>
      </c>
      <c r="AW79">
        <v>1.0312486831173999</v>
      </c>
      <c r="AX79">
        <v>1.1293434638233899</v>
      </c>
      <c r="AY79">
        <v>1.0100515111161199</v>
      </c>
      <c r="AZ79">
        <v>1.7076627162319599E-2</v>
      </c>
      <c r="BB79">
        <v>5.0294603598999999E-3</v>
      </c>
      <c r="BC79">
        <v>1.25614586632976</v>
      </c>
      <c r="BD79">
        <v>0.98140197517581296</v>
      </c>
      <c r="BE79">
        <v>1.452612</v>
      </c>
      <c r="BF79">
        <v>2.7330403582738702E-3</v>
      </c>
      <c r="BG79">
        <v>1.0564566479999999</v>
      </c>
      <c r="BH79" s="2">
        <v>2.6004933263719601E-5</v>
      </c>
      <c r="BI79" s="2"/>
      <c r="BJ79">
        <v>1.00995971901007E-3</v>
      </c>
      <c r="BK79">
        <v>5.1633231645166404</v>
      </c>
      <c r="BL79">
        <v>0.59521760730442497</v>
      </c>
      <c r="BM79">
        <v>1.05869321387977</v>
      </c>
      <c r="BN79">
        <v>0.86730088218359802</v>
      </c>
      <c r="BO79">
        <v>1.1305289655430899</v>
      </c>
      <c r="BP79">
        <v>0.125188083299793</v>
      </c>
      <c r="BQ79">
        <v>4.0336083919811E-4</v>
      </c>
      <c r="BS79">
        <v>1.77905579308082E-2</v>
      </c>
    </row>
    <row r="80" spans="1:71" x14ac:dyDescent="0.25">
      <c r="A80" t="s">
        <v>57</v>
      </c>
      <c r="B80">
        <v>1631451</v>
      </c>
      <c r="C80" t="s">
        <v>58</v>
      </c>
      <c r="D80">
        <v>2014</v>
      </c>
      <c r="E80">
        <v>4.5</v>
      </c>
      <c r="F80" s="1">
        <v>42461</v>
      </c>
      <c r="G80" t="s">
        <v>59</v>
      </c>
      <c r="H80">
        <v>2735546.17</v>
      </c>
      <c r="I80">
        <v>70.44</v>
      </c>
      <c r="J80">
        <v>0</v>
      </c>
      <c r="K80">
        <v>29.56</v>
      </c>
      <c r="L80">
        <v>90.12</v>
      </c>
      <c r="M80">
        <v>9.8800000000000008</v>
      </c>
      <c r="N80">
        <v>-21.77</v>
      </c>
      <c r="O80">
        <v>727.97860000000003</v>
      </c>
      <c r="P80">
        <v>27</v>
      </c>
      <c r="Q80">
        <v>182628.13</v>
      </c>
      <c r="R80">
        <v>117.44</v>
      </c>
      <c r="S80">
        <v>712</v>
      </c>
      <c r="T80">
        <v>5.0359999999999996</v>
      </c>
      <c r="U80">
        <v>110.97</v>
      </c>
      <c r="V80">
        <v>110.97</v>
      </c>
      <c r="W80">
        <v>60.006370821071897</v>
      </c>
      <c r="X80">
        <v>0</v>
      </c>
      <c r="Y80">
        <v>3.2899999999999997E-4</v>
      </c>
      <c r="AA80">
        <f t="shared" si="9"/>
        <v>1.4917620786940066E-2</v>
      </c>
      <c r="AB80">
        <f t="shared" si="16"/>
        <v>1.4273072833802396E-2</v>
      </c>
      <c r="AC80">
        <f t="shared" si="10"/>
        <v>1.4896445779104327E-2</v>
      </c>
      <c r="AD80">
        <f t="shared" si="11"/>
        <v>1.4993764618139914E-2</v>
      </c>
      <c r="AE80">
        <f t="shared" si="12"/>
        <v>1.3671013714282535E-2</v>
      </c>
      <c r="AF80">
        <f t="shared" si="13"/>
        <v>1.4999657899409167E-2</v>
      </c>
      <c r="AG80">
        <f t="shared" si="14"/>
        <v>1.3754753121192707E-2</v>
      </c>
      <c r="AH80">
        <f t="shared" si="15"/>
        <v>1.429000083277763E-2</v>
      </c>
      <c r="AJ80">
        <v>3.9821507847000002E-4</v>
      </c>
      <c r="AK80">
        <v>0.86217568334433203</v>
      </c>
      <c r="AL80">
        <v>0.86187246191235101</v>
      </c>
      <c r="AM80">
        <v>2.9590784225222802E-4</v>
      </c>
      <c r="AO80">
        <v>1.1492924691999999E-3</v>
      </c>
      <c r="AP80">
        <v>90.12</v>
      </c>
      <c r="AQ80">
        <v>9.8800000000000008</v>
      </c>
      <c r="AR80">
        <v>7.0752876016978004</v>
      </c>
      <c r="AS80">
        <v>1.0959930569352101</v>
      </c>
      <c r="AT80">
        <v>0.72999477697872595</v>
      </c>
      <c r="AU80">
        <v>1.08294463953526</v>
      </c>
      <c r="AV80">
        <v>3.3360761210489298</v>
      </c>
      <c r="AW80">
        <v>0.91205969827164601</v>
      </c>
      <c r="AX80">
        <v>1.1293434638233899</v>
      </c>
      <c r="AY80">
        <v>1.0219322879798201</v>
      </c>
      <c r="AZ80">
        <v>1.01221504659301E-2</v>
      </c>
      <c r="BB80">
        <v>5.0294603598999999E-3</v>
      </c>
      <c r="BC80">
        <v>1.25614586632976</v>
      </c>
      <c r="BD80">
        <v>0.98140197517581296</v>
      </c>
      <c r="BE80">
        <v>1.2564836514086799</v>
      </c>
      <c r="BF80">
        <v>8.48129564841065E-2</v>
      </c>
      <c r="BG80">
        <v>1.0564566479999999</v>
      </c>
      <c r="BH80">
        <v>6.9803808089268101E-4</v>
      </c>
      <c r="BJ80">
        <v>5.4882623594255204E-4</v>
      </c>
      <c r="BK80">
        <v>5.1633231645166404</v>
      </c>
      <c r="BL80">
        <v>0.59521760730442497</v>
      </c>
      <c r="BM80">
        <v>1.05869321387977</v>
      </c>
      <c r="BN80">
        <v>0.88021741684620702</v>
      </c>
      <c r="BO80">
        <v>1.1301197660971301</v>
      </c>
      <c r="BP80">
        <v>0.26447229271670197</v>
      </c>
      <c r="BQ80">
        <v>4.6979098599325703E-4</v>
      </c>
      <c r="BS80">
        <v>1.15858873750682E-2</v>
      </c>
    </row>
    <row r="81" spans="1:71" x14ac:dyDescent="0.25">
      <c r="A81" t="s">
        <v>57</v>
      </c>
      <c r="B81">
        <v>1631513</v>
      </c>
      <c r="C81" t="s">
        <v>58</v>
      </c>
      <c r="D81">
        <v>2014</v>
      </c>
      <c r="E81">
        <v>4.5</v>
      </c>
      <c r="F81" s="1">
        <v>42461</v>
      </c>
      <c r="G81" t="s">
        <v>59</v>
      </c>
      <c r="H81">
        <v>2088998.85</v>
      </c>
      <c r="I81">
        <v>90.61</v>
      </c>
      <c r="J81">
        <v>0</v>
      </c>
      <c r="K81">
        <v>9.39</v>
      </c>
      <c r="L81">
        <v>100</v>
      </c>
      <c r="M81">
        <v>0</v>
      </c>
      <c r="N81">
        <v>11.02</v>
      </c>
      <c r="O81">
        <v>738.13530000000003</v>
      </c>
      <c r="P81">
        <v>27</v>
      </c>
      <c r="Q81">
        <v>139460.79</v>
      </c>
      <c r="R81">
        <v>125.29</v>
      </c>
      <c r="S81">
        <v>699</v>
      </c>
      <c r="T81">
        <v>5.0640000000000001</v>
      </c>
      <c r="U81">
        <v>110.97</v>
      </c>
      <c r="V81">
        <v>110.97</v>
      </c>
      <c r="W81">
        <v>60.006370821071897</v>
      </c>
      <c r="X81">
        <v>0</v>
      </c>
      <c r="Y81" s="2">
        <v>6.3999999999999997E-5</v>
      </c>
      <c r="Z81" s="2"/>
      <c r="AA81">
        <f t="shared" si="9"/>
        <v>1.387529606630764E-2</v>
      </c>
      <c r="AB81">
        <f t="shared" si="16"/>
        <v>1.5234667945004167E-2</v>
      </c>
      <c r="AC81">
        <f t="shared" si="10"/>
        <v>1.5173072071847118E-2</v>
      </c>
      <c r="AD81">
        <f t="shared" si="11"/>
        <v>1.4992764192934068E-2</v>
      </c>
      <c r="AE81">
        <f t="shared" si="12"/>
        <v>1.3671013714282535E-2</v>
      </c>
      <c r="AF81">
        <f t="shared" si="13"/>
        <v>1.4959228057051853E-2</v>
      </c>
      <c r="AG81">
        <f t="shared" si="14"/>
        <v>1.4644479604336994E-2</v>
      </c>
      <c r="AH81">
        <f t="shared" si="15"/>
        <v>1.7410882165322293E-2</v>
      </c>
      <c r="AI81" s="2"/>
      <c r="AJ81">
        <v>3.9821507847000002E-4</v>
      </c>
      <c r="AK81">
        <v>0.84661437160205399</v>
      </c>
      <c r="AL81">
        <v>0.85184884110294201</v>
      </c>
      <c r="AM81">
        <v>2.8718772547941401E-4</v>
      </c>
      <c r="AO81">
        <v>1.1492924691999999E-3</v>
      </c>
      <c r="AP81">
        <v>100</v>
      </c>
      <c r="AQ81">
        <v>0</v>
      </c>
      <c r="AR81">
        <v>8.1952149542710107</v>
      </c>
      <c r="AS81">
        <v>1.35450089661558</v>
      </c>
      <c r="AT81">
        <v>0.72999477697872595</v>
      </c>
      <c r="AU81">
        <v>1.0014021573740099</v>
      </c>
      <c r="AV81">
        <v>3.6930564176113898</v>
      </c>
      <c r="AW81">
        <v>0.97220097434356301</v>
      </c>
      <c r="AX81">
        <v>1.1293434638233899</v>
      </c>
      <c r="AY81">
        <v>1.0005744208371501</v>
      </c>
      <c r="AZ81">
        <v>1.3989098935205099E-2</v>
      </c>
      <c r="BB81">
        <v>5.0294603598999999E-3</v>
      </c>
      <c r="BC81">
        <v>1.25614586632976</v>
      </c>
      <c r="BD81">
        <v>0.98140197517581296</v>
      </c>
      <c r="BE81">
        <v>1.452612</v>
      </c>
      <c r="BF81">
        <v>2.4638023221624401E-3</v>
      </c>
      <c r="BG81">
        <v>1.0564566479999999</v>
      </c>
      <c r="BH81" s="2">
        <v>2.3443128005360901E-5</v>
      </c>
      <c r="BI81" s="2"/>
      <c r="BJ81">
        <v>1.03866835732074E-3</v>
      </c>
      <c r="BK81">
        <v>5.1633231645166404</v>
      </c>
      <c r="BL81">
        <v>0.59521760730442497</v>
      </c>
      <c r="BM81">
        <v>1.05869321387977</v>
      </c>
      <c r="BN81">
        <v>0.877682095961419</v>
      </c>
      <c r="BO81">
        <v>1.00076637017368</v>
      </c>
      <c r="BP81">
        <v>0.118605273254906</v>
      </c>
      <c r="BQ81">
        <v>3.5206759080105799E-4</v>
      </c>
      <c r="BS81">
        <v>1.46517973794909E-2</v>
      </c>
    </row>
    <row r="82" spans="1:71" x14ac:dyDescent="0.25">
      <c r="A82" t="s">
        <v>57</v>
      </c>
      <c r="B82">
        <v>1632076</v>
      </c>
      <c r="C82" t="s">
        <v>58</v>
      </c>
      <c r="D82">
        <v>2014</v>
      </c>
      <c r="E82">
        <v>4.5</v>
      </c>
      <c r="F82" s="1">
        <v>42461</v>
      </c>
      <c r="G82" t="s">
        <v>59</v>
      </c>
      <c r="H82">
        <v>4873000.96</v>
      </c>
      <c r="I82">
        <v>55.08</v>
      </c>
      <c r="J82">
        <v>8.35</v>
      </c>
      <c r="K82">
        <v>36.57</v>
      </c>
      <c r="L82">
        <v>96.38</v>
      </c>
      <c r="M82">
        <v>3.62</v>
      </c>
      <c r="N82">
        <v>-35.44</v>
      </c>
      <c r="O82">
        <v>708.25599999999997</v>
      </c>
      <c r="P82">
        <v>27</v>
      </c>
      <c r="Q82">
        <v>122003.55</v>
      </c>
      <c r="R82">
        <v>124.91</v>
      </c>
      <c r="S82">
        <v>716</v>
      </c>
      <c r="T82">
        <v>5.0019999999999998</v>
      </c>
      <c r="U82">
        <v>110.97</v>
      </c>
      <c r="V82">
        <v>110.97</v>
      </c>
      <c r="W82">
        <v>60.006370821071897</v>
      </c>
      <c r="X82">
        <v>0</v>
      </c>
      <c r="Y82">
        <v>6.1064E-2</v>
      </c>
      <c r="AA82">
        <f t="shared" si="9"/>
        <v>1.5711379225656522E-2</v>
      </c>
      <c r="AB82">
        <f t="shared" si="16"/>
        <v>1.4882342610737929E-2</v>
      </c>
      <c r="AC82">
        <f t="shared" si="10"/>
        <v>1.4839029320443061E-2</v>
      </c>
      <c r="AD82">
        <f t="shared" si="11"/>
        <v>1.4995723609460219E-2</v>
      </c>
      <c r="AE82">
        <f t="shared" si="12"/>
        <v>1.3671013714282535E-2</v>
      </c>
      <c r="AF82">
        <f t="shared" si="13"/>
        <v>1.4932094262390307E-2</v>
      </c>
      <c r="AG82">
        <f t="shared" si="14"/>
        <v>1.4569397719547629E-2</v>
      </c>
      <c r="AH82">
        <f t="shared" si="15"/>
        <v>1.3448019020522617E-2</v>
      </c>
      <c r="AJ82">
        <v>3.9821507847000002E-4</v>
      </c>
      <c r="AK82">
        <v>0.86922249556137399</v>
      </c>
      <c r="AL82">
        <v>0.85225976700987205</v>
      </c>
      <c r="AM82">
        <v>2.9499906874922902E-4</v>
      </c>
      <c r="AO82">
        <v>1.1492924691999999E-3</v>
      </c>
      <c r="AP82">
        <v>96.38</v>
      </c>
      <c r="AQ82">
        <v>3.62</v>
      </c>
      <c r="AR82">
        <v>8.1446867661135194</v>
      </c>
      <c r="AS82">
        <v>1.02619101665568</v>
      </c>
      <c r="AT82">
        <v>0.72999477697872595</v>
      </c>
      <c r="AU82">
        <v>1.14504144300559</v>
      </c>
      <c r="AV82">
        <v>3.6768832108137199</v>
      </c>
      <c r="AW82">
        <v>0.89366823455190603</v>
      </c>
      <c r="AX82">
        <v>1.1293434638233899</v>
      </c>
      <c r="AY82">
        <v>1.03819688090551</v>
      </c>
      <c r="AZ82">
        <v>1.184829560208E-2</v>
      </c>
      <c r="BB82">
        <v>5.0294603598999999E-3</v>
      </c>
      <c r="BC82">
        <v>1.25614586632976</v>
      </c>
      <c r="BD82">
        <v>0.98140197517581296</v>
      </c>
      <c r="BE82">
        <v>1.1319423465960701</v>
      </c>
      <c r="BF82">
        <v>2.5881080511481599E-3</v>
      </c>
      <c r="BG82">
        <v>1.0564566479999999</v>
      </c>
      <c r="BH82" s="2">
        <v>1.9189638010221601E-5</v>
      </c>
      <c r="BI82" s="2"/>
      <c r="BJ82">
        <v>4.9071516095262099E-4</v>
      </c>
      <c r="BK82">
        <v>5.1633231645166404</v>
      </c>
      <c r="BL82">
        <v>0.59521760730442497</v>
      </c>
      <c r="BM82">
        <v>1.05869321387977</v>
      </c>
      <c r="BN82">
        <v>0.88518197749348404</v>
      </c>
      <c r="BO82">
        <v>0.91395305903729296</v>
      </c>
      <c r="BP82">
        <v>0.12310944707023599</v>
      </c>
      <c r="BQ82">
        <v>1.59020281263136E-4</v>
      </c>
      <c r="BS82">
        <v>1.23215045901025E-2</v>
      </c>
    </row>
    <row r="83" spans="1:71" x14ac:dyDescent="0.25">
      <c r="A83" t="s">
        <v>57</v>
      </c>
      <c r="B83">
        <v>1632755</v>
      </c>
      <c r="C83" t="s">
        <v>58</v>
      </c>
      <c r="D83">
        <v>2014</v>
      </c>
      <c r="E83">
        <v>4.5</v>
      </c>
      <c r="F83" s="1">
        <v>42461</v>
      </c>
      <c r="G83" t="s">
        <v>59</v>
      </c>
      <c r="H83">
        <v>1550187.76</v>
      </c>
      <c r="I83">
        <v>58.56</v>
      </c>
      <c r="J83">
        <v>21.82</v>
      </c>
      <c r="K83">
        <v>19.61</v>
      </c>
      <c r="L83">
        <v>100</v>
      </c>
      <c r="M83">
        <v>0</v>
      </c>
      <c r="N83">
        <v>16.72</v>
      </c>
      <c r="O83">
        <v>805.03599999999994</v>
      </c>
      <c r="P83">
        <v>25</v>
      </c>
      <c r="Q83">
        <v>155236.73000000001</v>
      </c>
      <c r="R83">
        <v>151.31</v>
      </c>
      <c r="S83">
        <v>736</v>
      </c>
      <c r="T83">
        <v>5.2539999999999996</v>
      </c>
      <c r="U83">
        <v>110.97</v>
      </c>
      <c r="V83">
        <v>110.97</v>
      </c>
      <c r="W83">
        <v>60.006370821071897</v>
      </c>
      <c r="X83">
        <v>0</v>
      </c>
      <c r="Y83" s="2">
        <v>1.7E-5</v>
      </c>
      <c r="Z83" s="2"/>
      <c r="AA83">
        <f t="shared" si="9"/>
        <v>1.5529795032192191E-2</v>
      </c>
      <c r="AB83">
        <f t="shared" si="16"/>
        <v>1.5234667945004167E-2</v>
      </c>
      <c r="AC83">
        <f t="shared" si="10"/>
        <v>1.5234062091886203E-2</v>
      </c>
      <c r="AD83">
        <f t="shared" si="11"/>
        <v>1.4986331622597821E-2</v>
      </c>
      <c r="AE83">
        <f t="shared" si="12"/>
        <v>1.2470031832243433E-2</v>
      </c>
      <c r="AF83">
        <f t="shared" si="13"/>
        <v>1.4990745723284023E-2</v>
      </c>
      <c r="AG83">
        <f t="shared" si="14"/>
        <v>1.906997117355343E-2</v>
      </c>
      <c r="AH83">
        <f t="shared" si="15"/>
        <v>9.8486644473402638E-3</v>
      </c>
      <c r="AI83" s="2"/>
      <c r="AJ83">
        <v>3.9304144956999999E-4</v>
      </c>
      <c r="AK83">
        <v>0.93046698869419797</v>
      </c>
      <c r="AL83">
        <v>0.83338737800149199</v>
      </c>
      <c r="AM83">
        <v>3.04779843133263E-4</v>
      </c>
      <c r="AO83">
        <v>1.1492924691999999E-3</v>
      </c>
      <c r="AP83">
        <v>100</v>
      </c>
      <c r="AQ83">
        <v>0</v>
      </c>
      <c r="AR83">
        <v>10.9270144956861</v>
      </c>
      <c r="AS83">
        <v>0.72702408159910503</v>
      </c>
      <c r="AT83">
        <v>0.660868573622449</v>
      </c>
      <c r="AU83">
        <v>1.1308358642994201</v>
      </c>
      <c r="AV83">
        <v>4.5812232173077003</v>
      </c>
      <c r="AW83">
        <v>0.80344514342858797</v>
      </c>
      <c r="AX83">
        <v>1.1039138058587501</v>
      </c>
      <c r="AY83">
        <v>1.0344022820013199</v>
      </c>
      <c r="AZ83">
        <v>1.0234975552106E-2</v>
      </c>
      <c r="BB83">
        <v>5.0294603598999999E-3</v>
      </c>
      <c r="BC83">
        <v>1.2357405046075001</v>
      </c>
      <c r="BD83">
        <v>0.98140197517581296</v>
      </c>
      <c r="BE83">
        <v>1.452612</v>
      </c>
      <c r="BF83" s="2">
        <v>8.0914690966871398E-5</v>
      </c>
      <c r="BG83">
        <v>1.0564566479999999</v>
      </c>
      <c r="BH83" s="2">
        <v>7.5739823199319302E-7</v>
      </c>
      <c r="BI83" s="2"/>
      <c r="BJ83">
        <v>1.16913672241161E-3</v>
      </c>
      <c r="BK83">
        <v>5.1633231645166404</v>
      </c>
      <c r="BL83">
        <v>0.59521760730442497</v>
      </c>
      <c r="BM83">
        <v>1.0702009594858799</v>
      </c>
      <c r="BN83">
        <v>0.86138039762249097</v>
      </c>
      <c r="BO83">
        <v>1.10160567403942</v>
      </c>
      <c r="BP83">
        <v>2.05200375272293E-2</v>
      </c>
      <c r="BQ83" s="2">
        <v>7.4874686064557895E-5</v>
      </c>
      <c r="BR83" s="2"/>
      <c r="BS83">
        <v>1.06153874795358E-2</v>
      </c>
    </row>
    <row r="84" spans="1:71" x14ac:dyDescent="0.25">
      <c r="A84" t="s">
        <v>57</v>
      </c>
      <c r="B84">
        <v>1632992</v>
      </c>
      <c r="C84" t="s">
        <v>58</v>
      </c>
      <c r="D84">
        <v>2014</v>
      </c>
      <c r="E84">
        <v>4.5</v>
      </c>
      <c r="F84" s="1">
        <v>42461</v>
      </c>
      <c r="G84" t="s">
        <v>59</v>
      </c>
      <c r="H84">
        <v>4876987.5</v>
      </c>
      <c r="I84">
        <v>71.89</v>
      </c>
      <c r="J84">
        <v>3.11</v>
      </c>
      <c r="K84">
        <v>25</v>
      </c>
      <c r="L84">
        <v>96.89</v>
      </c>
      <c r="M84">
        <v>3.11</v>
      </c>
      <c r="N84">
        <v>-1.33</v>
      </c>
      <c r="O84">
        <v>783.76080000000002</v>
      </c>
      <c r="P84">
        <v>26</v>
      </c>
      <c r="Q84">
        <v>168406.27</v>
      </c>
      <c r="R84">
        <v>123.51</v>
      </c>
      <c r="S84">
        <v>705</v>
      </c>
      <c r="T84">
        <v>5.1710000000000003</v>
      </c>
      <c r="U84">
        <v>110.97</v>
      </c>
      <c r="V84">
        <v>110.97</v>
      </c>
      <c r="W84">
        <v>60.006370821071897</v>
      </c>
      <c r="X84">
        <v>0</v>
      </c>
      <c r="Y84">
        <v>2.9599999999999998E-4</v>
      </c>
      <c r="AA84">
        <f t="shared" si="9"/>
        <v>1.484268916349352E-2</v>
      </c>
      <c r="AB84">
        <f t="shared" si="16"/>
        <v>1.49319796053445E-2</v>
      </c>
      <c r="AC84">
        <f t="shared" si="10"/>
        <v>1.5050140955791963E-2</v>
      </c>
      <c r="AD84">
        <f t="shared" si="11"/>
        <v>1.4988346136337214E-2</v>
      </c>
      <c r="AE84">
        <f t="shared" si="12"/>
        <v>1.3065857054757752E-2</v>
      </c>
      <c r="AF84">
        <f t="shared" si="13"/>
        <v>1.4997008962306905E-2</v>
      </c>
      <c r="AG84">
        <f t="shared" si="14"/>
        <v>1.4320281026253141E-2</v>
      </c>
      <c r="AH84">
        <f t="shared" si="15"/>
        <v>1.5891696455732955E-2</v>
      </c>
      <c r="AJ84">
        <v>3.9556004975000001E-4</v>
      </c>
      <c r="AK84">
        <v>0.85165484893504295</v>
      </c>
      <c r="AL84">
        <v>0.85287887719909605</v>
      </c>
      <c r="AM84">
        <v>2.8731837722962102E-4</v>
      </c>
      <c r="AO84">
        <v>1.1492924691999999E-3</v>
      </c>
      <c r="AP84">
        <v>96.89</v>
      </c>
      <c r="AQ84">
        <v>3.11</v>
      </c>
      <c r="AR84">
        <v>7.9557294040278697</v>
      </c>
      <c r="AS84">
        <v>1.2287216319396399</v>
      </c>
      <c r="AT84">
        <v>0.69515184439404398</v>
      </c>
      <c r="AU84">
        <v>1.07708263660349</v>
      </c>
      <c r="AV84">
        <v>3.6164543634686699</v>
      </c>
      <c r="AW84">
        <v>0.94440051463674501</v>
      </c>
      <c r="AX84">
        <v>1.1174257086760799</v>
      </c>
      <c r="AY84">
        <v>1.02039689346535</v>
      </c>
      <c r="AZ84">
        <v>1.24341872250206E-2</v>
      </c>
      <c r="BB84">
        <v>5.0294603598999999E-3</v>
      </c>
      <c r="BC84">
        <v>1.2464926229395601</v>
      </c>
      <c r="BD84">
        <v>0.98140197517581296</v>
      </c>
      <c r="BE84">
        <v>1.44062988063939</v>
      </c>
      <c r="BF84">
        <v>6.45094699583446E-3</v>
      </c>
      <c r="BG84">
        <v>1.0564566479999999</v>
      </c>
      <c r="BH84" s="2">
        <v>6.0406768314455498E-5</v>
      </c>
      <c r="BI84" s="2"/>
      <c r="BJ84">
        <v>7.8192312869694201E-4</v>
      </c>
      <c r="BK84">
        <v>5.1633231645166404</v>
      </c>
      <c r="BL84">
        <v>0.59521760730442497</v>
      </c>
      <c r="BM84">
        <v>1.0644468318161</v>
      </c>
      <c r="BN84">
        <v>0.86648566558888496</v>
      </c>
      <c r="BO84">
        <v>1.12164461532269</v>
      </c>
      <c r="BP84">
        <v>0.14145054384765299</v>
      </c>
      <c r="BQ84">
        <v>3.5165305150377E-4</v>
      </c>
      <c r="BS84">
        <v>1.3133565422068399E-2</v>
      </c>
    </row>
    <row r="85" spans="1:71" x14ac:dyDescent="0.25">
      <c r="A85" t="s">
        <v>57</v>
      </c>
      <c r="B85">
        <v>1632997</v>
      </c>
      <c r="C85" t="s">
        <v>58</v>
      </c>
      <c r="D85">
        <v>2014</v>
      </c>
      <c r="E85">
        <v>4.5</v>
      </c>
      <c r="F85" s="1">
        <v>42461</v>
      </c>
      <c r="G85" t="s">
        <v>59</v>
      </c>
      <c r="H85">
        <v>1094276.6100000001</v>
      </c>
      <c r="I85">
        <v>65.42</v>
      </c>
      <c r="J85">
        <v>8.33</v>
      </c>
      <c r="K85">
        <v>26.25</v>
      </c>
      <c r="L85">
        <v>100</v>
      </c>
      <c r="M85">
        <v>0</v>
      </c>
      <c r="N85">
        <v>-4.1500000000000004</v>
      </c>
      <c r="O85">
        <v>767.48659999999995</v>
      </c>
      <c r="P85">
        <v>26</v>
      </c>
      <c r="Q85">
        <v>156558.39999999999</v>
      </c>
      <c r="R85">
        <v>126.8</v>
      </c>
      <c r="S85">
        <v>738</v>
      </c>
      <c r="T85">
        <v>5.1390000000000002</v>
      </c>
      <c r="U85">
        <v>110.97</v>
      </c>
      <c r="V85">
        <v>110.97</v>
      </c>
      <c r="W85">
        <v>60.006370821071897</v>
      </c>
      <c r="X85">
        <v>0</v>
      </c>
      <c r="Y85">
        <v>3.1E-4</v>
      </c>
      <c r="AA85">
        <f t="shared" si="9"/>
        <v>1.517703923501016E-2</v>
      </c>
      <c r="AB85">
        <f t="shared" si="16"/>
        <v>1.5234667945004167E-2</v>
      </c>
      <c r="AC85">
        <f t="shared" si="10"/>
        <v>1.5021295254729798E-2</v>
      </c>
      <c r="AD85">
        <f t="shared" si="11"/>
        <v>1.4989907214007189E-2</v>
      </c>
      <c r="AE85">
        <f t="shared" si="12"/>
        <v>1.3065857054757752E-2</v>
      </c>
      <c r="AF85">
        <f t="shared" si="13"/>
        <v>1.4992324792171304E-2</v>
      </c>
      <c r="AG85">
        <f t="shared" si="14"/>
        <v>1.4942344242642749E-2</v>
      </c>
      <c r="AH85">
        <f t="shared" si="15"/>
        <v>9.530340748891513E-3</v>
      </c>
      <c r="AJ85">
        <v>3.9556004975000001E-4</v>
      </c>
      <c r="AK85">
        <v>0.94056476288798496</v>
      </c>
      <c r="AL85">
        <v>0.84930389535395201</v>
      </c>
      <c r="AM85">
        <v>3.1598338211565898E-4</v>
      </c>
      <c r="AO85">
        <v>1.1492924691999999E-3</v>
      </c>
      <c r="AP85">
        <v>100</v>
      </c>
      <c r="AQ85">
        <v>0</v>
      </c>
      <c r="AR85">
        <v>8.3930598040344595</v>
      </c>
      <c r="AS85">
        <v>0.70044018531391306</v>
      </c>
      <c r="AT85">
        <v>0.69515184439404398</v>
      </c>
      <c r="AU85">
        <v>1.1032392979611101</v>
      </c>
      <c r="AV85">
        <v>3.7564377639603999</v>
      </c>
      <c r="AW85">
        <v>0.79464048807171395</v>
      </c>
      <c r="AX85">
        <v>1.1174257086760799</v>
      </c>
      <c r="AY85">
        <v>1.02724792967819</v>
      </c>
      <c r="AZ85">
        <v>7.7725333570383996E-3</v>
      </c>
      <c r="BB85">
        <v>5.0294603598999999E-3</v>
      </c>
      <c r="BC85">
        <v>1.2464926229395601</v>
      </c>
      <c r="BD85">
        <v>0.98140197517581296</v>
      </c>
      <c r="BE85">
        <v>1.4152241863992101</v>
      </c>
      <c r="BF85">
        <v>2.0539457228660601E-3</v>
      </c>
      <c r="BG85">
        <v>1.0564566479999999</v>
      </c>
      <c r="BH85" s="2">
        <v>1.88940001810699E-5</v>
      </c>
      <c r="BI85" s="2"/>
      <c r="BJ85">
        <v>7.3341814156073905E-4</v>
      </c>
      <c r="BK85">
        <v>5.1633231645166404</v>
      </c>
      <c r="BL85">
        <v>0.59521760730442497</v>
      </c>
      <c r="BM85">
        <v>1.0644468318161</v>
      </c>
      <c r="BN85">
        <v>0.87044181622996697</v>
      </c>
      <c r="BO85">
        <v>1.10665783133357</v>
      </c>
      <c r="BP85">
        <v>0.102550156146827</v>
      </c>
      <c r="BQ85">
        <v>2.3701189004069999E-4</v>
      </c>
      <c r="BS85">
        <v>8.3444226293758299E-3</v>
      </c>
    </row>
    <row r="86" spans="1:71" x14ac:dyDescent="0.25">
      <c r="A86" t="s">
        <v>57</v>
      </c>
      <c r="B86">
        <v>1633003</v>
      </c>
      <c r="C86" t="s">
        <v>58</v>
      </c>
      <c r="D86">
        <v>2014</v>
      </c>
      <c r="E86">
        <v>4.5</v>
      </c>
      <c r="F86" s="1">
        <v>42461</v>
      </c>
      <c r="G86" t="s">
        <v>59</v>
      </c>
      <c r="H86">
        <v>1282734.17</v>
      </c>
      <c r="I86">
        <v>41.12</v>
      </c>
      <c r="J86">
        <v>6.68</v>
      </c>
      <c r="K86">
        <v>52.2</v>
      </c>
      <c r="L86">
        <v>100</v>
      </c>
      <c r="M86">
        <v>0</v>
      </c>
      <c r="N86">
        <v>-47.17</v>
      </c>
      <c r="O86">
        <v>757.36649999999997</v>
      </c>
      <c r="P86">
        <v>27</v>
      </c>
      <c r="Q86">
        <v>142764.48000000001</v>
      </c>
      <c r="R86">
        <v>120.78</v>
      </c>
      <c r="S86">
        <v>722</v>
      </c>
      <c r="T86">
        <v>5.0750000000000002</v>
      </c>
      <c r="U86">
        <v>110.97</v>
      </c>
      <c r="V86">
        <v>110.97</v>
      </c>
      <c r="W86">
        <v>60.006370821071897</v>
      </c>
      <c r="X86">
        <v>0</v>
      </c>
      <c r="Y86">
        <v>2.3900000000000001E-4</v>
      </c>
      <c r="AA86">
        <f t="shared" si="9"/>
        <v>1.6432789890010926E-2</v>
      </c>
      <c r="AB86">
        <f t="shared" si="16"/>
        <v>1.5234667945004167E-2</v>
      </c>
      <c r="AC86">
        <f t="shared" si="10"/>
        <v>1.4791140635180298E-2</v>
      </c>
      <c r="AD86">
        <f t="shared" si="11"/>
        <v>1.499088639297416E-2</v>
      </c>
      <c r="AE86">
        <f t="shared" si="12"/>
        <v>1.3671013714282535E-2</v>
      </c>
      <c r="AF86">
        <f t="shared" si="13"/>
        <v>1.496621055658522E-2</v>
      </c>
      <c r="AG86">
        <f t="shared" si="14"/>
        <v>1.3968515721096222E-2</v>
      </c>
      <c r="AH86">
        <f t="shared" si="15"/>
        <v>1.2272137550556656E-2</v>
      </c>
      <c r="AJ86">
        <v>3.9821507847000002E-4</v>
      </c>
      <c r="AK86">
        <v>0.88254410157093599</v>
      </c>
      <c r="AL86">
        <v>0.85719375909802498</v>
      </c>
      <c r="AM86">
        <v>3.01254205098241E-4</v>
      </c>
      <c r="AO86">
        <v>1.1492924691999999E-3</v>
      </c>
      <c r="AP86">
        <v>100</v>
      </c>
      <c r="AQ86">
        <v>0</v>
      </c>
      <c r="AR86">
        <v>7.5731310301465404</v>
      </c>
      <c r="AS86">
        <v>0.92862604096526802</v>
      </c>
      <c r="AT86">
        <v>0.72999477697872595</v>
      </c>
      <c r="AU86">
        <v>1.2014783815762899</v>
      </c>
      <c r="AV86">
        <v>3.4943694280331399</v>
      </c>
      <c r="AW86">
        <v>0.86625472856145702</v>
      </c>
      <c r="AX86">
        <v>1.1293434638233899</v>
      </c>
      <c r="AY86">
        <v>1.05297902395517</v>
      </c>
      <c r="AZ86">
        <v>1.06334419114001E-2</v>
      </c>
      <c r="BB86">
        <v>5.0294603598999999E-3</v>
      </c>
      <c r="BC86">
        <v>1.25614586632976</v>
      </c>
      <c r="BD86">
        <v>0.98140197517581296</v>
      </c>
      <c r="BE86">
        <v>1.02496697391839</v>
      </c>
      <c r="BF86">
        <v>3.0290944799012801E-2</v>
      </c>
      <c r="BG86">
        <v>1.0564566479999999</v>
      </c>
      <c r="BH86">
        <v>2.03368067911982E-4</v>
      </c>
      <c r="BJ86">
        <v>4.43858245794273E-4</v>
      </c>
      <c r="BK86">
        <v>5.1633231645166404</v>
      </c>
      <c r="BL86">
        <v>0.59521760730442497</v>
      </c>
      <c r="BM86">
        <v>1.05869321387977</v>
      </c>
      <c r="BN86">
        <v>0.87292329397603396</v>
      </c>
      <c r="BO86">
        <v>1.02310655193082</v>
      </c>
      <c r="BP86">
        <v>0.18597127350343201</v>
      </c>
      <c r="BQ86">
        <v>2.3986247627763501E-4</v>
      </c>
      <c r="BS86">
        <v>1.1377926660688001E-2</v>
      </c>
    </row>
    <row r="87" spans="1:71" x14ac:dyDescent="0.25">
      <c r="A87" t="s">
        <v>57</v>
      </c>
      <c r="B87">
        <v>1634114</v>
      </c>
      <c r="C87" t="s">
        <v>58</v>
      </c>
      <c r="D87">
        <v>2014</v>
      </c>
      <c r="E87">
        <v>4.5</v>
      </c>
      <c r="F87" s="1">
        <v>42461</v>
      </c>
      <c r="G87" t="s">
        <v>59</v>
      </c>
      <c r="H87">
        <v>3172954.42</v>
      </c>
      <c r="I87">
        <v>50.09</v>
      </c>
      <c r="J87">
        <v>5.33</v>
      </c>
      <c r="K87">
        <v>44.57</v>
      </c>
      <c r="L87">
        <v>93.62</v>
      </c>
      <c r="M87">
        <v>6.38</v>
      </c>
      <c r="N87">
        <v>-48.85</v>
      </c>
      <c r="O87">
        <v>670.17200000000003</v>
      </c>
      <c r="P87">
        <v>25</v>
      </c>
      <c r="Q87">
        <v>158886.01</v>
      </c>
      <c r="R87">
        <v>124.01</v>
      </c>
      <c r="S87">
        <v>716</v>
      </c>
      <c r="T87">
        <v>4.9889999999999999</v>
      </c>
      <c r="U87">
        <v>110.97</v>
      </c>
      <c r="V87">
        <v>110.97</v>
      </c>
      <c r="W87">
        <v>60.006370821071897</v>
      </c>
      <c r="X87">
        <v>0</v>
      </c>
      <c r="Y87" s="2">
        <v>6.7000000000000002E-5</v>
      </c>
      <c r="Z87" s="2"/>
      <c r="AA87">
        <f t="shared" si="9"/>
        <v>1.5967499067083505E-2</v>
      </c>
      <c r="AB87">
        <f t="shared" si="16"/>
        <v>1.4613718875220026E-2</v>
      </c>
      <c r="AC87">
        <f t="shared" si="10"/>
        <v>1.4784803924283448E-2</v>
      </c>
      <c r="AD87">
        <f t="shared" si="11"/>
        <v>1.4999563152905022E-2</v>
      </c>
      <c r="AE87">
        <f t="shared" si="12"/>
        <v>1.2470031832243433E-2</v>
      </c>
      <c r="AF87">
        <f t="shared" si="13"/>
        <v>1.4994255871955577E-2</v>
      </c>
      <c r="AG87">
        <f t="shared" si="14"/>
        <v>1.4403139289971334E-2</v>
      </c>
      <c r="AH87">
        <f t="shared" si="15"/>
        <v>1.3447426813209174E-2</v>
      </c>
      <c r="AI87" s="2"/>
      <c r="AJ87">
        <v>3.9304144956999999E-4</v>
      </c>
      <c r="AK87">
        <v>0.86751298569943103</v>
      </c>
      <c r="AL87">
        <v>0.85134264883030397</v>
      </c>
      <c r="AM87">
        <v>2.9028107824724899E-4</v>
      </c>
      <c r="AO87">
        <v>1.1492924691999999E-3</v>
      </c>
      <c r="AP87">
        <v>93.62</v>
      </c>
      <c r="AQ87">
        <v>6.38</v>
      </c>
      <c r="AR87">
        <v>8.0237364810393395</v>
      </c>
      <c r="AS87">
        <v>1.02619101665568</v>
      </c>
      <c r="AT87">
        <v>0.660868573622449</v>
      </c>
      <c r="AU87">
        <v>1.1650780469422499</v>
      </c>
      <c r="AV87">
        <v>3.6381932895907498</v>
      </c>
      <c r="AW87">
        <v>0.89366823455190603</v>
      </c>
      <c r="AX87">
        <v>1.1039138058587501</v>
      </c>
      <c r="AY87">
        <v>1.04337110375137</v>
      </c>
      <c r="AZ87">
        <v>1.0644003134187299E-2</v>
      </c>
      <c r="BB87">
        <v>5.0294603598999999E-3</v>
      </c>
      <c r="BC87">
        <v>1.2357405046075001</v>
      </c>
      <c r="BD87">
        <v>0.98140197517581296</v>
      </c>
      <c r="BE87">
        <v>1.01120156058638</v>
      </c>
      <c r="BF87">
        <v>4.3824217171028702E-3</v>
      </c>
      <c r="BG87">
        <v>1.0564566479999999</v>
      </c>
      <c r="BH87" s="2">
        <v>2.8556118659898899E-5</v>
      </c>
      <c r="BI87" s="2"/>
      <c r="BJ87">
        <v>4.3745554438359002E-4</v>
      </c>
      <c r="BK87">
        <v>5.1633231645166404</v>
      </c>
      <c r="BL87">
        <v>0.59521760730442497</v>
      </c>
      <c r="BM87">
        <v>1.0702009594858799</v>
      </c>
      <c r="BN87">
        <v>0.89491231478084798</v>
      </c>
      <c r="BO87">
        <v>1.1128362310831199</v>
      </c>
      <c r="BP87">
        <v>0.13457506791482901</v>
      </c>
      <c r="BQ87">
        <v>1.9283270233721501E-4</v>
      </c>
      <c r="BS87">
        <v>1.11556730334317E-2</v>
      </c>
    </row>
    <row r="88" spans="1:71" x14ac:dyDescent="0.25">
      <c r="A88" t="s">
        <v>57</v>
      </c>
      <c r="B88">
        <v>1634116</v>
      </c>
      <c r="C88" t="s">
        <v>58</v>
      </c>
      <c r="D88">
        <v>2014</v>
      </c>
      <c r="E88">
        <v>4.5</v>
      </c>
      <c r="F88" s="1">
        <v>42461</v>
      </c>
      <c r="G88" t="s">
        <v>59</v>
      </c>
      <c r="H88">
        <v>1641893.94</v>
      </c>
      <c r="I88">
        <v>56.69</v>
      </c>
      <c r="J88">
        <v>4.32</v>
      </c>
      <c r="K88">
        <v>39</v>
      </c>
      <c r="L88">
        <v>95.68</v>
      </c>
      <c r="M88">
        <v>4.32</v>
      </c>
      <c r="N88">
        <v>-40.93</v>
      </c>
      <c r="O88">
        <v>654.34670000000006</v>
      </c>
      <c r="P88">
        <v>25</v>
      </c>
      <c r="Q88">
        <v>117467.88</v>
      </c>
      <c r="R88">
        <v>152.19</v>
      </c>
      <c r="S88">
        <v>726</v>
      </c>
      <c r="T88">
        <v>4.9509999999999996</v>
      </c>
      <c r="U88">
        <v>110.97</v>
      </c>
      <c r="V88">
        <v>110.97</v>
      </c>
      <c r="W88">
        <v>60.006370821071897</v>
      </c>
      <c r="X88">
        <v>0</v>
      </c>
      <c r="Y88">
        <v>1.4300000000000001E-4</v>
      </c>
      <c r="AA88">
        <f t="shared" si="9"/>
        <v>1.5629927582332684E-2</v>
      </c>
      <c r="AB88">
        <f t="shared" si="16"/>
        <v>1.4814213402454405E-2</v>
      </c>
      <c r="AC88">
        <f t="shared" si="10"/>
        <v>1.4816336258580916E-2</v>
      </c>
      <c r="AD88">
        <f t="shared" si="11"/>
        <v>1.500117883483505E-2</v>
      </c>
      <c r="AE88">
        <f t="shared" si="12"/>
        <v>1.2470031832243433E-2</v>
      </c>
      <c r="AF88">
        <f t="shared" si="13"/>
        <v>1.4925655807598069E-2</v>
      </c>
      <c r="AG88">
        <f t="shared" si="14"/>
        <v>1.9219183219564021E-2</v>
      </c>
      <c r="AH88">
        <f t="shared" si="15"/>
        <v>1.1538631540538774E-2</v>
      </c>
      <c r="AJ88">
        <v>3.9304144956999999E-4</v>
      </c>
      <c r="AK88">
        <v>0.89225164372402999</v>
      </c>
      <c r="AL88">
        <v>0.83310905966223503</v>
      </c>
      <c r="AM88">
        <v>2.9216458190353201E-4</v>
      </c>
      <c r="AO88">
        <v>1.1492924691999999E-3</v>
      </c>
      <c r="AP88">
        <v>95.68</v>
      </c>
      <c r="AQ88">
        <v>4.32</v>
      </c>
      <c r="AR88">
        <v>11.0148904768064</v>
      </c>
      <c r="AS88">
        <v>0.86773632936675205</v>
      </c>
      <c r="AT88">
        <v>0.660868573622449</v>
      </c>
      <c r="AU88">
        <v>1.1386693700409301</v>
      </c>
      <c r="AV88">
        <v>4.6099024029373004</v>
      </c>
      <c r="AW88">
        <v>0.848123576857439</v>
      </c>
      <c r="AX88">
        <v>1.1039138058587501</v>
      </c>
      <c r="AY88">
        <v>1.03660171561753</v>
      </c>
      <c r="AZ88">
        <v>1.21969953806415E-2</v>
      </c>
      <c r="BB88">
        <v>5.0294603598999999E-3</v>
      </c>
      <c r="BC88">
        <v>1.2357405046075001</v>
      </c>
      <c r="BD88">
        <v>0.98140197517581296</v>
      </c>
      <c r="BE88">
        <v>1.0803818666041201</v>
      </c>
      <c r="BF88" s="2">
        <v>7.8797962747609402E-5</v>
      </c>
      <c r="BG88">
        <v>1.0564566479999999</v>
      </c>
      <c r="BH88" s="2">
        <v>5.4857947595189097E-7</v>
      </c>
      <c r="BI88" s="2"/>
      <c r="BJ88">
        <v>4.6896201845770998E-4</v>
      </c>
      <c r="BK88">
        <v>5.1633231645166404</v>
      </c>
      <c r="BL88">
        <v>0.59521760730442497</v>
      </c>
      <c r="BM88">
        <v>1.0702009594858799</v>
      </c>
      <c r="BN88">
        <v>0.899006845902656</v>
      </c>
      <c r="BO88">
        <v>0.89335352306792004</v>
      </c>
      <c r="BP88">
        <v>2.0074670472888301E-2</v>
      </c>
      <c r="BQ88" s="2">
        <v>2.4868114719888699E-5</v>
      </c>
      <c r="BR88" s="2"/>
      <c r="BS88">
        <v>1.2514576656740901E-2</v>
      </c>
    </row>
    <row r="89" spans="1:71" x14ac:dyDescent="0.25">
      <c r="A89" t="s">
        <v>57</v>
      </c>
      <c r="B89">
        <v>1634118</v>
      </c>
      <c r="C89" t="s">
        <v>58</v>
      </c>
      <c r="D89">
        <v>2014</v>
      </c>
      <c r="E89">
        <v>4.5</v>
      </c>
      <c r="F89" s="1">
        <v>42461</v>
      </c>
      <c r="G89" t="s">
        <v>59</v>
      </c>
      <c r="H89">
        <v>1225083.26</v>
      </c>
      <c r="I89">
        <v>51.88</v>
      </c>
      <c r="J89">
        <v>22.32</v>
      </c>
      <c r="K89">
        <v>25.8</v>
      </c>
      <c r="L89">
        <v>100</v>
      </c>
      <c r="M89">
        <v>0</v>
      </c>
      <c r="N89">
        <v>-7.78</v>
      </c>
      <c r="O89">
        <v>719.18870000000004</v>
      </c>
      <c r="P89">
        <v>24</v>
      </c>
      <c r="Q89">
        <v>245349.06</v>
      </c>
      <c r="R89">
        <v>116.51</v>
      </c>
      <c r="S89">
        <v>751</v>
      </c>
      <c r="T89">
        <v>5.0940000000000003</v>
      </c>
      <c r="U89">
        <v>110.97</v>
      </c>
      <c r="V89">
        <v>110.97</v>
      </c>
      <c r="W89">
        <v>60.006370821071897</v>
      </c>
      <c r="X89">
        <v>0</v>
      </c>
      <c r="Y89" s="2">
        <v>3.3000000000000003E-5</v>
      </c>
      <c r="Z89" s="2"/>
      <c r="AA89">
        <f t="shared" si="9"/>
        <v>1.5876745567055803E-2</v>
      </c>
      <c r="AB89">
        <f t="shared" si="16"/>
        <v>1.5234667945004167E-2</v>
      </c>
      <c r="AC89">
        <f t="shared" si="10"/>
        <v>1.4987721591026012E-2</v>
      </c>
      <c r="AD89">
        <f t="shared" si="11"/>
        <v>1.4994635082769756E-2</v>
      </c>
      <c r="AE89">
        <f t="shared" si="12"/>
        <v>1.1882853161703254E-2</v>
      </c>
      <c r="AF89">
        <f t="shared" si="13"/>
        <v>1.5002604056718903E-2</v>
      </c>
      <c r="AG89">
        <f t="shared" si="14"/>
        <v>1.3732658461240693E-2</v>
      </c>
      <c r="AH89">
        <f t="shared" si="15"/>
        <v>7.6208801690412047E-3</v>
      </c>
      <c r="AI89" s="2"/>
      <c r="AJ89">
        <v>3.9066619595E-4</v>
      </c>
      <c r="AK89">
        <v>1.0244038723914299</v>
      </c>
      <c r="AL89">
        <v>0.86061516334070698</v>
      </c>
      <c r="AM89">
        <v>3.4441815733827499E-4</v>
      </c>
      <c r="AO89">
        <v>1.1492924691999999E-3</v>
      </c>
      <c r="AP89">
        <v>100</v>
      </c>
      <c r="AQ89">
        <v>0</v>
      </c>
      <c r="AR89">
        <v>6.9300404652587799</v>
      </c>
      <c r="AS89">
        <v>0.54034112395941702</v>
      </c>
      <c r="AT89">
        <v>0.62711094349026397</v>
      </c>
      <c r="AU89">
        <v>1.15797827706191</v>
      </c>
      <c r="AV89">
        <v>3.290014715206</v>
      </c>
      <c r="AW89">
        <v>0.73872766132803402</v>
      </c>
      <c r="AX89">
        <v>1.0881935856659199</v>
      </c>
      <c r="AY89">
        <v>1.0415853377650299</v>
      </c>
      <c r="AZ89">
        <v>4.6878143519061598E-3</v>
      </c>
      <c r="BB89">
        <v>5.0294603598999999E-3</v>
      </c>
      <c r="BC89">
        <v>1.22380368508729</v>
      </c>
      <c r="BD89">
        <v>0.98140197517581296</v>
      </c>
      <c r="BE89">
        <v>1.3825211152438499</v>
      </c>
      <c r="BF89">
        <v>0.104232326533979</v>
      </c>
      <c r="BG89">
        <v>1.0564566479999999</v>
      </c>
      <c r="BH89">
        <v>9.1961481439616099E-4</v>
      </c>
      <c r="BJ89">
        <v>6.7859099650446897E-4</v>
      </c>
      <c r="BK89">
        <v>5.1633231645166404</v>
      </c>
      <c r="BL89">
        <v>0.59521760730442497</v>
      </c>
      <c r="BM89">
        <v>1.07589445247309</v>
      </c>
      <c r="BN89">
        <v>0.88242338601072701</v>
      </c>
      <c r="BO89">
        <v>1.13954585907002</v>
      </c>
      <c r="BP89">
        <v>0.29253250732034403</v>
      </c>
      <c r="BQ89">
        <v>6.6003321157761001E-4</v>
      </c>
      <c r="BS89">
        <v>6.6118805352182002E-3</v>
      </c>
    </row>
    <row r="90" spans="1:71" x14ac:dyDescent="0.25">
      <c r="A90" t="s">
        <v>57</v>
      </c>
      <c r="B90">
        <v>1634189</v>
      </c>
      <c r="C90" t="s">
        <v>58</v>
      </c>
      <c r="D90">
        <v>2014</v>
      </c>
      <c r="E90">
        <v>4.5</v>
      </c>
      <c r="F90" s="1">
        <v>42461</v>
      </c>
      <c r="G90" t="s">
        <v>59</v>
      </c>
      <c r="H90">
        <v>1077454.76</v>
      </c>
      <c r="I90">
        <v>67.13</v>
      </c>
      <c r="J90">
        <v>0</v>
      </c>
      <c r="K90">
        <v>32.869999999999997</v>
      </c>
      <c r="L90">
        <v>100</v>
      </c>
      <c r="M90">
        <v>0</v>
      </c>
      <c r="N90">
        <v>-12.82</v>
      </c>
      <c r="O90">
        <v>756.35209999999995</v>
      </c>
      <c r="P90">
        <v>24</v>
      </c>
      <c r="Q90">
        <v>179816.07</v>
      </c>
      <c r="R90">
        <v>121.18</v>
      </c>
      <c r="S90">
        <v>677</v>
      </c>
      <c r="T90">
        <v>5.2080000000000002</v>
      </c>
      <c r="U90">
        <v>110.97</v>
      </c>
      <c r="V90">
        <v>110.97</v>
      </c>
      <c r="W90">
        <v>60.006370821071897</v>
      </c>
      <c r="X90">
        <v>0</v>
      </c>
      <c r="Y90" s="2">
        <v>6.0000000000000002E-6</v>
      </c>
      <c r="Z90" s="2"/>
      <c r="AA90">
        <f t="shared" si="9"/>
        <v>1.5088671596324868E-2</v>
      </c>
      <c r="AB90">
        <f t="shared" si="16"/>
        <v>1.5234667945004167E-2</v>
      </c>
      <c r="AC90">
        <f t="shared" si="10"/>
        <v>1.4948572034083367E-2</v>
      </c>
      <c r="AD90">
        <f t="shared" si="11"/>
        <v>1.4990984889514281E-2</v>
      </c>
      <c r="AE90">
        <f t="shared" si="12"/>
        <v>1.1882853161703254E-2</v>
      </c>
      <c r="AF90">
        <f t="shared" si="13"/>
        <v>1.4999237708195065E-2</v>
      </c>
      <c r="AG90">
        <f t="shared" si="14"/>
        <v>1.4008912251357617E-2</v>
      </c>
      <c r="AH90">
        <f t="shared" si="15"/>
        <v>2.3606285381967327E-2</v>
      </c>
      <c r="AI90" s="2"/>
      <c r="AJ90">
        <v>3.9066619595E-4</v>
      </c>
      <c r="AK90">
        <v>0.83172842878564701</v>
      </c>
      <c r="AL90">
        <v>0.85386624234247599</v>
      </c>
      <c r="AM90">
        <v>2.77445205229535E-4</v>
      </c>
      <c r="AO90">
        <v>1.1492924691999999E-3</v>
      </c>
      <c r="AP90">
        <v>100</v>
      </c>
      <c r="AQ90">
        <v>0</v>
      </c>
      <c r="AR90">
        <v>7.6304572848052397</v>
      </c>
      <c r="AS90">
        <v>1.8674197134275801</v>
      </c>
      <c r="AT90">
        <v>0.62711094349026397</v>
      </c>
      <c r="AU90">
        <v>1.0963261772622599</v>
      </c>
      <c r="AV90">
        <v>3.5126381355866099</v>
      </c>
      <c r="AW90">
        <v>1.07208934448548</v>
      </c>
      <c r="AX90">
        <v>1.0881935856659199</v>
      </c>
      <c r="AY90">
        <v>1.02543722304388</v>
      </c>
      <c r="AZ90">
        <v>1.68887881583045E-2</v>
      </c>
      <c r="BB90">
        <v>5.0294603598999999E-3</v>
      </c>
      <c r="BC90">
        <v>1.22380368508729</v>
      </c>
      <c r="BD90">
        <v>0.98140197517581296</v>
      </c>
      <c r="BE90">
        <v>1.3371152002258599</v>
      </c>
      <c r="BF90">
        <v>2.55409872079219E-2</v>
      </c>
      <c r="BG90">
        <v>1.0564566479999999</v>
      </c>
      <c r="BH90">
        <v>2.1794065894721799E-4</v>
      </c>
      <c r="BJ90">
        <v>6.18436551706456E-4</v>
      </c>
      <c r="BK90">
        <v>5.1633231645166404</v>
      </c>
      <c r="BL90">
        <v>0.59521760730442497</v>
      </c>
      <c r="BM90">
        <v>1.07589445247309</v>
      </c>
      <c r="BN90">
        <v>0.87317290817386095</v>
      </c>
      <c r="BO90">
        <v>1.1287753838954699</v>
      </c>
      <c r="BP90">
        <v>0.17866606303159699</v>
      </c>
      <c r="BQ90">
        <v>3.6009720093700101E-4</v>
      </c>
      <c r="BS90">
        <v>1.77442712234183E-2</v>
      </c>
    </row>
    <row r="91" spans="1:71" x14ac:dyDescent="0.25">
      <c r="A91" t="s">
        <v>57</v>
      </c>
      <c r="B91">
        <v>1634261</v>
      </c>
      <c r="C91" t="s">
        <v>58</v>
      </c>
      <c r="D91">
        <v>2014</v>
      </c>
      <c r="E91">
        <v>4.5</v>
      </c>
      <c r="F91" s="1">
        <v>42461</v>
      </c>
      <c r="G91" t="s">
        <v>59</v>
      </c>
      <c r="H91">
        <v>2395036.13</v>
      </c>
      <c r="I91">
        <v>82.51</v>
      </c>
      <c r="J91">
        <v>2.7</v>
      </c>
      <c r="K91">
        <v>14.79</v>
      </c>
      <c r="L91">
        <v>92.13</v>
      </c>
      <c r="M91">
        <v>7.87</v>
      </c>
      <c r="N91">
        <v>-4.72</v>
      </c>
      <c r="O91">
        <v>661.59569999999997</v>
      </c>
      <c r="P91">
        <v>24</v>
      </c>
      <c r="Q91">
        <v>109028.93</v>
      </c>
      <c r="R91">
        <v>136.18</v>
      </c>
      <c r="S91">
        <v>711</v>
      </c>
      <c r="T91">
        <v>4.984</v>
      </c>
      <c r="U91">
        <v>110.97</v>
      </c>
      <c r="V91">
        <v>110.97</v>
      </c>
      <c r="W91">
        <v>60.006370821071897</v>
      </c>
      <c r="X91">
        <v>7.8793000000000002E-2</v>
      </c>
      <c r="Y91">
        <v>7.8793000000000002E-2</v>
      </c>
      <c r="AA91">
        <f t="shared" si="9"/>
        <v>1.4293879617974563E-2</v>
      </c>
      <c r="AB91">
        <f t="shared" si="16"/>
        <v>1.4468700989016521E-2</v>
      </c>
      <c r="AC91">
        <f t="shared" si="10"/>
        <v>1.5015745437193806E-2</v>
      </c>
      <c r="AD91">
        <f t="shared" si="11"/>
        <v>1.5000437358851699E-2</v>
      </c>
      <c r="AE91">
        <f t="shared" si="12"/>
        <v>1.1882853161703254E-2</v>
      </c>
      <c r="AF91">
        <f t="shared" si="13"/>
        <v>1.4915049424591653E-2</v>
      </c>
      <c r="AG91">
        <f t="shared" si="14"/>
        <v>1.6680519731810055E-2</v>
      </c>
      <c r="AH91">
        <f t="shared" si="15"/>
        <v>1.4507512145934848E-2</v>
      </c>
      <c r="AJ91">
        <v>3.9066619595E-4</v>
      </c>
      <c r="AK91">
        <v>0.85787670654557602</v>
      </c>
      <c r="AL91">
        <v>0.839528007800319</v>
      </c>
      <c r="AM91">
        <v>2.8136229572931398E-4</v>
      </c>
      <c r="AO91">
        <v>1.1492924691999999E-3</v>
      </c>
      <c r="AP91">
        <v>92.13</v>
      </c>
      <c r="AQ91">
        <v>7.87</v>
      </c>
      <c r="AR91">
        <v>9.4887611682094199</v>
      </c>
      <c r="AS91">
        <v>1.1140978385944</v>
      </c>
      <c r="AT91">
        <v>0.62711094349026397</v>
      </c>
      <c r="AU91">
        <v>1.03414851857907</v>
      </c>
      <c r="AV91">
        <v>4.1099737746632004</v>
      </c>
      <c r="AW91">
        <v>0.91666921704057103</v>
      </c>
      <c r="AX91">
        <v>1.0881935856659199</v>
      </c>
      <c r="AY91">
        <v>1.00915145226281</v>
      </c>
      <c r="AZ91">
        <v>1.1450195815336E-2</v>
      </c>
      <c r="BB91">
        <v>5.0294603598999999E-3</v>
      </c>
      <c r="BC91">
        <v>1.22380368508729</v>
      </c>
      <c r="BD91">
        <v>0.98140197517581296</v>
      </c>
      <c r="BE91">
        <v>1.4100889932091301</v>
      </c>
      <c r="BF91">
        <v>5.0707250857513905E-4</v>
      </c>
      <c r="BG91">
        <v>1.0564566479999999</v>
      </c>
      <c r="BH91" s="2">
        <v>4.5629776582810898E-6</v>
      </c>
      <c r="BI91" s="2"/>
      <c r="BJ91">
        <v>7.2421440099644605E-4</v>
      </c>
      <c r="BK91">
        <v>5.1633231645166404</v>
      </c>
      <c r="BL91">
        <v>0.59521760730442497</v>
      </c>
      <c r="BM91">
        <v>1.07589445247309</v>
      </c>
      <c r="BN91">
        <v>0.89712776535252903</v>
      </c>
      <c r="BO91">
        <v>0.85941889507161395</v>
      </c>
      <c r="BP91">
        <v>4.9485821669150498E-2</v>
      </c>
      <c r="BQ91" s="2">
        <v>9.1365426028601994E-5</v>
      </c>
      <c r="BR91" s="2"/>
      <c r="BS91">
        <v>1.1827486514752201E-2</v>
      </c>
    </row>
    <row r="92" spans="1:71" x14ac:dyDescent="0.25">
      <c r="A92" t="s">
        <v>57</v>
      </c>
      <c r="B92">
        <v>1634689</v>
      </c>
      <c r="C92" t="s">
        <v>58</v>
      </c>
      <c r="D92">
        <v>2014</v>
      </c>
      <c r="E92">
        <v>4.5</v>
      </c>
      <c r="F92" s="1">
        <v>42461</v>
      </c>
      <c r="G92" t="s">
        <v>59</v>
      </c>
      <c r="H92">
        <v>745092.14</v>
      </c>
      <c r="I92">
        <v>53.91</v>
      </c>
      <c r="J92">
        <v>0</v>
      </c>
      <c r="K92">
        <v>46.09</v>
      </c>
      <c r="L92">
        <v>100</v>
      </c>
      <c r="M92">
        <v>0</v>
      </c>
      <c r="N92">
        <v>-39.369999999999997</v>
      </c>
      <c r="O92">
        <v>720.16639999999995</v>
      </c>
      <c r="P92">
        <v>24</v>
      </c>
      <c r="Q92">
        <v>149238.76</v>
      </c>
      <c r="R92">
        <v>131.06</v>
      </c>
      <c r="S92">
        <v>692</v>
      </c>
      <c r="T92">
        <v>5.1219999999999999</v>
      </c>
      <c r="U92">
        <v>110.97</v>
      </c>
      <c r="V92">
        <v>110.97</v>
      </c>
      <c r="W92">
        <v>60.006370821071897</v>
      </c>
      <c r="X92">
        <v>0</v>
      </c>
      <c r="Y92" s="2">
        <v>6.8999999999999997E-5</v>
      </c>
      <c r="Z92" s="2"/>
      <c r="AA92">
        <f t="shared" si="9"/>
        <v>1.577184129423061E-2</v>
      </c>
      <c r="AB92">
        <f t="shared" si="16"/>
        <v>1.5234667945004167E-2</v>
      </c>
      <c r="AC92">
        <f t="shared" si="10"/>
        <v>1.4822934276653725E-2</v>
      </c>
      <c r="AD92">
        <f t="shared" si="11"/>
        <v>1.499453805086526E-2</v>
      </c>
      <c r="AE92">
        <f t="shared" si="12"/>
        <v>1.1882853161703254E-2</v>
      </c>
      <c r="AF92">
        <f t="shared" si="13"/>
        <v>1.4980344467876132E-2</v>
      </c>
      <c r="AG92">
        <f t="shared" si="14"/>
        <v>1.577614371120625E-2</v>
      </c>
      <c r="AH92">
        <f t="shared" si="15"/>
        <v>1.9278762546128834E-2</v>
      </c>
      <c r="AI92" s="2"/>
      <c r="AJ92">
        <v>3.9066619595E-4</v>
      </c>
      <c r="AK92">
        <v>0.83838236329081595</v>
      </c>
      <c r="AL92">
        <v>0.84338093201334097</v>
      </c>
      <c r="AM92">
        <v>2.7623057355191899E-4</v>
      </c>
      <c r="AO92">
        <v>1.1492924691999999E-3</v>
      </c>
      <c r="AP92">
        <v>100</v>
      </c>
      <c r="AQ92">
        <v>0</v>
      </c>
      <c r="AR92">
        <v>8.9282612339832497</v>
      </c>
      <c r="AS92">
        <v>1.5092314068360499</v>
      </c>
      <c r="AT92">
        <v>0.62711094349026397</v>
      </c>
      <c r="AU92">
        <v>1.14977147295743</v>
      </c>
      <c r="AV92">
        <v>3.9283108913549198</v>
      </c>
      <c r="AW92">
        <v>1.00416625816609</v>
      </c>
      <c r="AX92">
        <v>1.0881935856659199</v>
      </c>
      <c r="AY92">
        <v>1.03943578544477</v>
      </c>
      <c r="AZ92">
        <v>1.6749446186449499E-2</v>
      </c>
      <c r="BB92">
        <v>5.0294603598999999E-3</v>
      </c>
      <c r="BC92">
        <v>1.22380368508729</v>
      </c>
      <c r="BD92">
        <v>0.98140197517581296</v>
      </c>
      <c r="BE92">
        <v>1.0949196848010201</v>
      </c>
      <c r="BF92">
        <v>1.15841587416107E-3</v>
      </c>
      <c r="BG92">
        <v>1.0564566479999999</v>
      </c>
      <c r="BH92" s="2">
        <v>8.0942854898869197E-6</v>
      </c>
      <c r="BI92" s="2"/>
      <c r="BJ92">
        <v>4.7552235309681598E-4</v>
      </c>
      <c r="BK92">
        <v>5.1633231645166404</v>
      </c>
      <c r="BL92">
        <v>0.59521760730442497</v>
      </c>
      <c r="BM92">
        <v>1.07589445247309</v>
      </c>
      <c r="BN92">
        <v>0.88217748355592895</v>
      </c>
      <c r="BO92">
        <v>1.0683273422322599</v>
      </c>
      <c r="BP92">
        <v>7.0595337948145098E-2</v>
      </c>
      <c r="BQ92">
        <v>1.04612123177875E-4</v>
      </c>
      <c r="BS92">
        <v>1.71383831686692E-2</v>
      </c>
    </row>
    <row r="93" spans="1:71" x14ac:dyDescent="0.25">
      <c r="A93" t="s">
        <v>57</v>
      </c>
      <c r="B93">
        <v>1634914</v>
      </c>
      <c r="C93" t="s">
        <v>58</v>
      </c>
      <c r="D93">
        <v>2014</v>
      </c>
      <c r="E93">
        <v>4.5</v>
      </c>
      <c r="F93" s="1">
        <v>42461</v>
      </c>
      <c r="G93" t="s">
        <v>59</v>
      </c>
      <c r="H93">
        <v>811293.48</v>
      </c>
      <c r="I93">
        <v>81.06</v>
      </c>
      <c r="J93">
        <v>0</v>
      </c>
      <c r="K93">
        <v>18.940000000000001</v>
      </c>
      <c r="L93">
        <v>100</v>
      </c>
      <c r="M93">
        <v>0</v>
      </c>
      <c r="N93">
        <v>4.63</v>
      </c>
      <c r="O93">
        <v>700.46820000000002</v>
      </c>
      <c r="P93">
        <v>24</v>
      </c>
      <c r="Q93">
        <v>162479.99</v>
      </c>
      <c r="R93">
        <v>130.36000000000001</v>
      </c>
      <c r="S93">
        <v>703</v>
      </c>
      <c r="T93">
        <v>5.0960000000000001</v>
      </c>
      <c r="U93">
        <v>110.97</v>
      </c>
      <c r="V93">
        <v>110.97</v>
      </c>
      <c r="W93">
        <v>60.006370821071897</v>
      </c>
      <c r="X93">
        <v>0</v>
      </c>
      <c r="Y93" s="2">
        <v>9.6000000000000002E-5</v>
      </c>
      <c r="Z93" s="2"/>
      <c r="AA93">
        <f t="shared" si="9"/>
        <v>1.4368811241421111E-2</v>
      </c>
      <c r="AB93">
        <f t="shared" si="16"/>
        <v>1.5234667945004167E-2</v>
      </c>
      <c r="AC93">
        <f t="shared" si="10"/>
        <v>1.510750763324643E-2</v>
      </c>
      <c r="AD93">
        <f t="shared" si="11"/>
        <v>1.4996502858985348E-2</v>
      </c>
      <c r="AE93">
        <f t="shared" si="12"/>
        <v>1.1882853161703254E-2</v>
      </c>
      <c r="AF93">
        <f t="shared" si="13"/>
        <v>1.4995474343502511E-2</v>
      </c>
      <c r="AG93">
        <f t="shared" si="14"/>
        <v>1.5641683016512347E-2</v>
      </c>
      <c r="AH93">
        <f t="shared" si="15"/>
        <v>1.6381799611018471E-2</v>
      </c>
      <c r="AI93" s="2"/>
      <c r="AJ93">
        <v>3.9066619595E-4</v>
      </c>
      <c r="AK93">
        <v>0.84748918264746897</v>
      </c>
      <c r="AL93">
        <v>0.84398141823405104</v>
      </c>
      <c r="AM93">
        <v>2.7942990442810103E-4</v>
      </c>
      <c r="AO93">
        <v>1.1492924691999999E-3</v>
      </c>
      <c r="AP93">
        <v>100</v>
      </c>
      <c r="AQ93">
        <v>0</v>
      </c>
      <c r="AR93">
        <v>8.8435098571125401</v>
      </c>
      <c r="AS93">
        <v>1.26936901364002</v>
      </c>
      <c r="AT93">
        <v>0.62711094349026397</v>
      </c>
      <c r="AU93">
        <v>1.0400105215108399</v>
      </c>
      <c r="AV93">
        <v>3.9010321184619401</v>
      </c>
      <c r="AW93">
        <v>0.95366515478870995</v>
      </c>
      <c r="AX93">
        <v>1.0881935856659199</v>
      </c>
      <c r="AY93">
        <v>1.01068684677728</v>
      </c>
      <c r="AZ93">
        <v>1.26216603587966E-2</v>
      </c>
      <c r="BB93">
        <v>5.0294603598999999E-3</v>
      </c>
      <c r="BC93">
        <v>1.22380368508729</v>
      </c>
      <c r="BD93">
        <v>0.98140197517581296</v>
      </c>
      <c r="BE93">
        <v>1.452612</v>
      </c>
      <c r="BF93">
        <v>1.2811739942564201E-3</v>
      </c>
      <c r="BG93">
        <v>1.0564566479999999</v>
      </c>
      <c r="BH93" s="2">
        <v>1.1876527983937799E-5</v>
      </c>
      <c r="BI93" s="2"/>
      <c r="BJ93">
        <v>8.9841450748021296E-4</v>
      </c>
      <c r="BK93">
        <v>5.1633231645166404</v>
      </c>
      <c r="BL93">
        <v>0.59521760730442497</v>
      </c>
      <c r="BM93">
        <v>1.07589445247309</v>
      </c>
      <c r="BN93">
        <v>0.887156785389143</v>
      </c>
      <c r="BO93">
        <v>1.11673467399663</v>
      </c>
      <c r="BP93">
        <v>7.4705512855195999E-2</v>
      </c>
      <c r="BQ93">
        <v>2.1986420661107301E-4</v>
      </c>
      <c r="BS93">
        <v>1.31328309978197E-2</v>
      </c>
    </row>
    <row r="94" spans="1:71" x14ac:dyDescent="0.25">
      <c r="A94" t="s">
        <v>57</v>
      </c>
      <c r="B94">
        <v>1634948</v>
      </c>
      <c r="C94" t="s">
        <v>58</v>
      </c>
      <c r="D94">
        <v>2014</v>
      </c>
      <c r="E94">
        <v>4.5</v>
      </c>
      <c r="F94" s="1">
        <v>42461</v>
      </c>
      <c r="G94" t="s">
        <v>59</v>
      </c>
      <c r="H94">
        <v>4785386.51</v>
      </c>
      <c r="I94">
        <v>63.01</v>
      </c>
      <c r="J94">
        <v>3.56</v>
      </c>
      <c r="K94">
        <v>33.43</v>
      </c>
      <c r="L94">
        <v>100</v>
      </c>
      <c r="M94">
        <v>0</v>
      </c>
      <c r="N94">
        <v>-7.07</v>
      </c>
      <c r="O94">
        <v>730.39769999999999</v>
      </c>
      <c r="P94">
        <v>24</v>
      </c>
      <c r="Q94">
        <v>184309.87</v>
      </c>
      <c r="R94">
        <v>129.88999999999999</v>
      </c>
      <c r="S94">
        <v>684</v>
      </c>
      <c r="T94">
        <v>5.1340000000000003</v>
      </c>
      <c r="U94">
        <v>110.97</v>
      </c>
      <c r="V94">
        <v>110.97</v>
      </c>
      <c r="W94">
        <v>60.006370821071897</v>
      </c>
      <c r="X94">
        <v>0</v>
      </c>
      <c r="Y94">
        <v>1.3300000000000001E-4</v>
      </c>
      <c r="AA94">
        <f t="shared" si="9"/>
        <v>1.5301580760876414E-2</v>
      </c>
      <c r="AB94">
        <f t="shared" si="16"/>
        <v>1.5234667945004167E-2</v>
      </c>
      <c r="AC94">
        <f t="shared" si="10"/>
        <v>1.4993947367237413E-2</v>
      </c>
      <c r="AD94">
        <f t="shared" si="11"/>
        <v>1.4993525808494768E-2</v>
      </c>
      <c r="AE94">
        <f t="shared" si="12"/>
        <v>1.1882853161703254E-2</v>
      </c>
      <c r="AF94">
        <f t="shared" si="13"/>
        <v>1.4999887428409299E-2</v>
      </c>
      <c r="AG94">
        <f t="shared" si="14"/>
        <v>1.554975170369546E-2</v>
      </c>
      <c r="AH94">
        <f t="shared" si="15"/>
        <v>2.1519017885575073E-2</v>
      </c>
      <c r="AJ94">
        <v>3.9066619595E-4</v>
      </c>
      <c r="AK94">
        <v>0.83423482301604202</v>
      </c>
      <c r="AL94">
        <v>0.84439543288934205</v>
      </c>
      <c r="AM94">
        <v>2.751946735252E-4</v>
      </c>
      <c r="AO94">
        <v>1.1492924691999999E-3</v>
      </c>
      <c r="AP94">
        <v>100</v>
      </c>
      <c r="AQ94">
        <v>0</v>
      </c>
      <c r="AR94">
        <v>8.7853183545668596</v>
      </c>
      <c r="AS94">
        <v>1.6946673119714499</v>
      </c>
      <c r="AT94">
        <v>0.62711094349026397</v>
      </c>
      <c r="AU94">
        <v>1.1129823511097701</v>
      </c>
      <c r="AV94">
        <v>3.8823293076498899</v>
      </c>
      <c r="AW94">
        <v>1.0402730452422499</v>
      </c>
      <c r="AX94">
        <v>1.0881935856659199</v>
      </c>
      <c r="AY94">
        <v>1.0297998612505099</v>
      </c>
      <c r="AZ94">
        <v>1.7914159368235899E-2</v>
      </c>
      <c r="BB94">
        <v>5.0294603598999999E-3</v>
      </c>
      <c r="BC94">
        <v>1.22380368508729</v>
      </c>
      <c r="BD94">
        <v>0.98140197517581296</v>
      </c>
      <c r="BE94">
        <v>1.3889175835120999</v>
      </c>
      <c r="BF94">
        <v>1.3687058585167601E-3</v>
      </c>
      <c r="BG94">
        <v>1.0564566479999999</v>
      </c>
      <c r="BH94" s="2">
        <v>1.21316076552674E-5</v>
      </c>
      <c r="BI94" s="2"/>
      <c r="BJ94">
        <v>6.8858536119599002E-4</v>
      </c>
      <c r="BK94">
        <v>5.1633231645166404</v>
      </c>
      <c r="BL94">
        <v>0.59521760730442497</v>
      </c>
      <c r="BM94">
        <v>1.07589445247309</v>
      </c>
      <c r="BN94">
        <v>0.87961221510069698</v>
      </c>
      <c r="BO94">
        <v>1.1308541334332101</v>
      </c>
      <c r="BP94">
        <v>7.7688412583259397E-2</v>
      </c>
      <c r="BQ94">
        <v>1.7594892607761199E-4</v>
      </c>
      <c r="BS94">
        <v>1.8377434575494001E-2</v>
      </c>
    </row>
    <row r="95" spans="1:71" x14ac:dyDescent="0.25">
      <c r="A95" t="s">
        <v>57</v>
      </c>
      <c r="B95">
        <v>1635031</v>
      </c>
      <c r="C95" t="s">
        <v>58</v>
      </c>
      <c r="D95">
        <v>2014</v>
      </c>
      <c r="E95">
        <v>4.5</v>
      </c>
      <c r="F95" s="1">
        <v>42461</v>
      </c>
      <c r="G95" t="s">
        <v>59</v>
      </c>
      <c r="H95">
        <v>1804740.48</v>
      </c>
      <c r="I95">
        <v>84.05</v>
      </c>
      <c r="J95">
        <v>8.6</v>
      </c>
      <c r="K95">
        <v>7.34</v>
      </c>
      <c r="L95">
        <v>100</v>
      </c>
      <c r="M95">
        <v>0</v>
      </c>
      <c r="N95">
        <v>26.71</v>
      </c>
      <c r="O95">
        <v>761.88900000000001</v>
      </c>
      <c r="P95">
        <v>24</v>
      </c>
      <c r="Q95">
        <v>180718.7</v>
      </c>
      <c r="R95">
        <v>123.95</v>
      </c>
      <c r="S95">
        <v>716</v>
      </c>
      <c r="T95">
        <v>5.1980000000000004</v>
      </c>
      <c r="U95">
        <v>110.97</v>
      </c>
      <c r="V95">
        <v>110.97</v>
      </c>
      <c r="W95">
        <v>60.006370821071897</v>
      </c>
      <c r="X95">
        <v>0</v>
      </c>
      <c r="Y95" s="2">
        <v>2.9E-5</v>
      </c>
      <c r="Z95" s="2"/>
      <c r="AA95">
        <f t="shared" si="9"/>
        <v>1.4212548768983617E-2</v>
      </c>
      <c r="AB95">
        <f t="shared" si="16"/>
        <v>1.5234667945004167E-2</v>
      </c>
      <c r="AC95">
        <f t="shared" si="10"/>
        <v>1.5353336512329934E-2</v>
      </c>
      <c r="AD95">
        <f t="shared" si="11"/>
        <v>1.4990448031993649E-2</v>
      </c>
      <c r="AE95">
        <f t="shared" si="12"/>
        <v>1.1882853161703254E-2</v>
      </c>
      <c r="AF95">
        <f t="shared" si="13"/>
        <v>1.4999377682492635E-2</v>
      </c>
      <c r="AG95">
        <f t="shared" si="14"/>
        <v>1.4392486870151225E-2</v>
      </c>
      <c r="AH95">
        <f t="shared" si="15"/>
        <v>1.3447130709552453E-2</v>
      </c>
      <c r="AI95" s="2"/>
      <c r="AJ95">
        <v>3.9066619595E-4</v>
      </c>
      <c r="AK95">
        <v>0.86665823076846005</v>
      </c>
      <c r="AL95">
        <v>0.85045305458196496</v>
      </c>
      <c r="AM95">
        <v>2.87941355608263E-4</v>
      </c>
      <c r="AO95">
        <v>1.1492924691999999E-3</v>
      </c>
      <c r="AP95">
        <v>100</v>
      </c>
      <c r="AQ95">
        <v>0</v>
      </c>
      <c r="AR95">
        <v>8.0156070009164502</v>
      </c>
      <c r="AS95">
        <v>1.02619101665568</v>
      </c>
      <c r="AT95">
        <v>0.62711094349026397</v>
      </c>
      <c r="AU95">
        <v>1.02778589551955</v>
      </c>
      <c r="AV95">
        <v>3.6355940563718199</v>
      </c>
      <c r="AW95">
        <v>0.89366823455190603</v>
      </c>
      <c r="AX95">
        <v>1.0881935856659199</v>
      </c>
      <c r="AY95">
        <v>1.0074111053297099</v>
      </c>
      <c r="AZ95">
        <v>9.1397323406055501E-3</v>
      </c>
      <c r="BB95">
        <v>5.0294603598999999E-3</v>
      </c>
      <c r="BC95">
        <v>1.22380368508729</v>
      </c>
      <c r="BD95">
        <v>0.98140197517581296</v>
      </c>
      <c r="BE95">
        <v>1.452612</v>
      </c>
      <c r="BF95">
        <v>4.5908909592545103E-3</v>
      </c>
      <c r="BG95">
        <v>1.0564566479999999</v>
      </c>
      <c r="BH95" s="2">
        <v>4.2557720647801801E-5</v>
      </c>
      <c r="BI95" s="2"/>
      <c r="BJ95">
        <v>1.4242856569829101E-3</v>
      </c>
      <c r="BK95">
        <v>5.1633231645166404</v>
      </c>
      <c r="BL95">
        <v>0.59521760730442497</v>
      </c>
      <c r="BM95">
        <v>1.07589445247309</v>
      </c>
      <c r="BN95">
        <v>0.87181238059393096</v>
      </c>
      <c r="BO95">
        <v>1.1292232251354299</v>
      </c>
      <c r="BP95">
        <v>0.135380628560932</v>
      </c>
      <c r="BQ95">
        <v>6.2766976144804695E-4</v>
      </c>
      <c r="BS95">
        <v>1.00979011783097E-2</v>
      </c>
    </row>
    <row r="96" spans="1:71" x14ac:dyDescent="0.25">
      <c r="A96" t="s">
        <v>57</v>
      </c>
      <c r="B96">
        <v>1635282</v>
      </c>
      <c r="C96" t="s">
        <v>58</v>
      </c>
      <c r="D96">
        <v>2014</v>
      </c>
      <c r="E96">
        <v>4.5</v>
      </c>
      <c r="F96" s="1">
        <v>42461</v>
      </c>
      <c r="G96" t="s">
        <v>59</v>
      </c>
      <c r="H96">
        <v>936171.96</v>
      </c>
      <c r="I96">
        <v>100</v>
      </c>
      <c r="J96">
        <v>0</v>
      </c>
      <c r="K96">
        <v>0</v>
      </c>
      <c r="L96">
        <v>100</v>
      </c>
      <c r="M96">
        <v>0</v>
      </c>
      <c r="N96">
        <v>15.79</v>
      </c>
      <c r="O96">
        <v>719.97990000000004</v>
      </c>
      <c r="P96">
        <v>27</v>
      </c>
      <c r="Q96">
        <v>234368.24</v>
      </c>
      <c r="R96">
        <v>110.39</v>
      </c>
      <c r="S96">
        <v>765</v>
      </c>
      <c r="T96">
        <v>5.0179999999999998</v>
      </c>
      <c r="U96">
        <v>110.97</v>
      </c>
      <c r="V96">
        <v>110.97</v>
      </c>
      <c r="W96">
        <v>60.006370821071897</v>
      </c>
      <c r="X96">
        <v>0</v>
      </c>
      <c r="Y96" s="2">
        <v>1.9999999999999999E-6</v>
      </c>
      <c r="Z96" s="2"/>
      <c r="AA96">
        <f t="shared" si="9"/>
        <v>1.3390049208264185E-2</v>
      </c>
      <c r="AB96">
        <f t="shared" si="16"/>
        <v>1.5234667945004167E-2</v>
      </c>
      <c r="AC96">
        <f t="shared" si="10"/>
        <v>1.5223933250786133E-2</v>
      </c>
      <c r="AD96">
        <f t="shared" si="11"/>
        <v>1.4994556556043807E-2</v>
      </c>
      <c r="AE96">
        <f t="shared" si="12"/>
        <v>1.3671013714282535E-2</v>
      </c>
      <c r="AF96">
        <f t="shared" si="13"/>
        <v>1.500235527964653E-2</v>
      </c>
      <c r="AG96">
        <f t="shared" si="14"/>
        <v>1.3807448304557018E-2</v>
      </c>
      <c r="AH96">
        <f t="shared" si="15"/>
        <v>5.96273913034648E-3</v>
      </c>
      <c r="AI96" s="2"/>
      <c r="AJ96">
        <v>3.9821507847000002E-4</v>
      </c>
      <c r="AK96">
        <v>1.1581161498960799</v>
      </c>
      <c r="AL96">
        <v>0.874118451518058</v>
      </c>
      <c r="AM96">
        <v>4.03125347395984E-4</v>
      </c>
      <c r="AO96">
        <v>1.1492924691999999E-3</v>
      </c>
      <c r="AP96">
        <v>100</v>
      </c>
      <c r="AQ96">
        <v>0</v>
      </c>
      <c r="AR96">
        <v>5.8893650463527996</v>
      </c>
      <c r="AS96">
        <v>0.399652874214248</v>
      </c>
      <c r="AT96">
        <v>0.72999477697872595</v>
      </c>
      <c r="AU96">
        <v>0.96344063493999998</v>
      </c>
      <c r="AV96">
        <v>2.9615087258802002</v>
      </c>
      <c r="AW96">
        <v>0.68172865679528005</v>
      </c>
      <c r="AX96">
        <v>1.1293434638233899</v>
      </c>
      <c r="AY96">
        <v>0.99063141773999996</v>
      </c>
      <c r="AZ96">
        <v>2.85376329334032E-3</v>
      </c>
      <c r="BB96">
        <v>5.0294603598999999E-3</v>
      </c>
      <c r="BC96">
        <v>1.25614586632976</v>
      </c>
      <c r="BD96">
        <v>0.98140197517581296</v>
      </c>
      <c r="BE96">
        <v>1.452612</v>
      </c>
      <c r="BF96">
        <v>0.266325950625104</v>
      </c>
      <c r="BG96">
        <v>1.0564566479999999</v>
      </c>
      <c r="BH96">
        <v>2.5340967071473099E-3</v>
      </c>
      <c r="BJ96">
        <v>1.1474693522788501E-3</v>
      </c>
      <c r="BK96">
        <v>5.1633231645166404</v>
      </c>
      <c r="BL96">
        <v>0.59521760730442497</v>
      </c>
      <c r="BM96">
        <v>1.05869321387977</v>
      </c>
      <c r="BN96">
        <v>0.88222438018085902</v>
      </c>
      <c r="BO96">
        <v>1.13874990842408</v>
      </c>
      <c r="BP96">
        <v>0.50762945949685001</v>
      </c>
      <c r="BQ96">
        <v>1.9040157198751001E-3</v>
      </c>
      <c r="BS96">
        <v>7.69500106775871E-3</v>
      </c>
    </row>
    <row r="97" spans="1:71" x14ac:dyDescent="0.25">
      <c r="A97" t="s">
        <v>57</v>
      </c>
      <c r="B97">
        <v>1635284</v>
      </c>
      <c r="C97" t="s">
        <v>58</v>
      </c>
      <c r="D97">
        <v>2014</v>
      </c>
      <c r="E97">
        <v>4.5</v>
      </c>
      <c r="F97" s="1">
        <v>42461</v>
      </c>
      <c r="G97" t="s">
        <v>59</v>
      </c>
      <c r="H97">
        <v>9173690.1799999997</v>
      </c>
      <c r="I97">
        <v>76.790000000000006</v>
      </c>
      <c r="J97">
        <v>3.7</v>
      </c>
      <c r="K97">
        <v>19.510000000000002</v>
      </c>
      <c r="L97">
        <v>98.76</v>
      </c>
      <c r="M97">
        <v>1.24</v>
      </c>
      <c r="N97">
        <v>3.28</v>
      </c>
      <c r="O97">
        <v>691.95540000000005</v>
      </c>
      <c r="P97">
        <v>23</v>
      </c>
      <c r="Q97">
        <v>180121.68</v>
      </c>
      <c r="R97">
        <v>133.80000000000001</v>
      </c>
      <c r="S97">
        <v>687</v>
      </c>
      <c r="T97">
        <v>5.0940000000000003</v>
      </c>
      <c r="U97">
        <v>110.97</v>
      </c>
      <c r="V97">
        <v>110.97</v>
      </c>
      <c r="W97">
        <v>60.006370821071897</v>
      </c>
      <c r="X97">
        <v>0</v>
      </c>
      <c r="Y97" s="2">
        <v>1.0000000000000001E-5</v>
      </c>
      <c r="Z97" s="2"/>
      <c r="AA97">
        <f t="shared" si="9"/>
        <v>1.4589471953225876E-2</v>
      </c>
      <c r="AB97">
        <f t="shared" si="16"/>
        <v>1.511398191890192E-2</v>
      </c>
      <c r="AC97">
        <f t="shared" si="10"/>
        <v>1.5094496564667751E-2</v>
      </c>
      <c r="AD97">
        <f t="shared" si="11"/>
        <v>1.4997358207585855E-2</v>
      </c>
      <c r="AE97">
        <f t="shared" si="12"/>
        <v>1.1303676686093717E-2</v>
      </c>
      <c r="AF97">
        <f t="shared" si="13"/>
        <v>1.4999285650129698E-2</v>
      </c>
      <c r="AG97">
        <f t="shared" si="14"/>
        <v>1.6275594705566967E-2</v>
      </c>
      <c r="AH97">
        <f t="shared" si="15"/>
        <v>2.0662730324823506E-2</v>
      </c>
      <c r="AI97" s="2"/>
      <c r="AJ97">
        <v>3.8844120695E-4</v>
      </c>
      <c r="AK97">
        <v>0.83454941123373505</v>
      </c>
      <c r="AL97">
        <v>0.84018864818589301</v>
      </c>
      <c r="AM97">
        <v>2.7236679438975402E-4</v>
      </c>
      <c r="AO97">
        <v>1.1492924691999999E-3</v>
      </c>
      <c r="AP97">
        <v>98.76</v>
      </c>
      <c r="AQ97">
        <v>1.24</v>
      </c>
      <c r="AR97">
        <v>9.2398346208760103</v>
      </c>
      <c r="AS97">
        <v>1.6238222833815099</v>
      </c>
      <c r="AT97">
        <v>0.59384728069458703</v>
      </c>
      <c r="AU97">
        <v>1.0572731094547501</v>
      </c>
      <c r="AV97">
        <v>4.0290228527333403</v>
      </c>
      <c r="AW97">
        <v>1.02673978011914</v>
      </c>
      <c r="AX97">
        <v>1.0696508783921099</v>
      </c>
      <c r="AY97">
        <v>1.01520831889921</v>
      </c>
      <c r="AZ97">
        <v>1.6134669226088302E-2</v>
      </c>
      <c r="BB97">
        <v>5.0294603598999999E-3</v>
      </c>
      <c r="BC97">
        <v>1.2105963381326399</v>
      </c>
      <c r="BD97">
        <v>0.98140197517581296</v>
      </c>
      <c r="BE97">
        <v>1.452612</v>
      </c>
      <c r="BF97">
        <v>7.5951488789797203E-4</v>
      </c>
      <c r="BG97">
        <v>1.0564566479999999</v>
      </c>
      <c r="BH97" s="2">
        <v>6.9647458354843198E-6</v>
      </c>
      <c r="BI97" s="2"/>
      <c r="BJ97">
        <v>8.7058154653909896E-4</v>
      </c>
      <c r="BK97">
        <v>5.1633231645166404</v>
      </c>
      <c r="BL97">
        <v>0.59521760730442497</v>
      </c>
      <c r="BM97">
        <v>1.08146616636171</v>
      </c>
      <c r="BN97">
        <v>0.88932444685745604</v>
      </c>
      <c r="BO97">
        <v>1.1289287718804399</v>
      </c>
      <c r="BP97">
        <v>5.7715091591411E-2</v>
      </c>
      <c r="BQ97">
        <v>1.6766547111197501E-4</v>
      </c>
      <c r="BS97">
        <v>1.6581666237425501E-2</v>
      </c>
    </row>
    <row r="98" spans="1:71" x14ac:dyDescent="0.25">
      <c r="A98" t="s">
        <v>57</v>
      </c>
      <c r="B98">
        <v>1635285</v>
      </c>
      <c r="C98" t="s">
        <v>58</v>
      </c>
      <c r="D98">
        <v>2014</v>
      </c>
      <c r="E98">
        <v>4.5</v>
      </c>
      <c r="F98" s="1">
        <v>42461</v>
      </c>
      <c r="G98" t="s">
        <v>59</v>
      </c>
      <c r="H98">
        <v>1392479.89</v>
      </c>
      <c r="I98">
        <v>66.67</v>
      </c>
      <c r="J98">
        <v>0</v>
      </c>
      <c r="K98">
        <v>33.33</v>
      </c>
      <c r="L98">
        <v>100</v>
      </c>
      <c r="M98">
        <v>0</v>
      </c>
      <c r="N98">
        <v>-9.4600000000000009</v>
      </c>
      <c r="O98">
        <v>697.89750000000004</v>
      </c>
      <c r="P98">
        <v>23</v>
      </c>
      <c r="Q98">
        <v>174302.24</v>
      </c>
      <c r="R98">
        <v>124.9</v>
      </c>
      <c r="S98">
        <v>725</v>
      </c>
      <c r="T98">
        <v>5.109</v>
      </c>
      <c r="U98">
        <v>110.97</v>
      </c>
      <c r="V98">
        <v>110.97</v>
      </c>
      <c r="W98">
        <v>60.006370821071897</v>
      </c>
      <c r="X98">
        <v>0</v>
      </c>
      <c r="Y98" s="2">
        <v>3.9999999999999998E-6</v>
      </c>
      <c r="Z98" s="2"/>
      <c r="AA98">
        <f t="shared" si="9"/>
        <v>1.5112443007901067E-2</v>
      </c>
      <c r="AB98">
        <f t="shared" si="16"/>
        <v>1.5234667945004167E-2</v>
      </c>
      <c r="AC98">
        <f t="shared" si="10"/>
        <v>1.4973697067773829E-2</v>
      </c>
      <c r="AD98">
        <f t="shared" si="11"/>
        <v>1.4996760770743895E-2</v>
      </c>
      <c r="AE98">
        <f t="shared" si="12"/>
        <v>1.1303676686093717E-2</v>
      </c>
      <c r="AF98">
        <f t="shared" si="13"/>
        <v>1.4998271534300223E-2</v>
      </c>
      <c r="AG98">
        <f t="shared" si="14"/>
        <v>1.4566061286894562E-2</v>
      </c>
      <c r="AH98">
        <f t="shared" si="15"/>
        <v>1.1717906768076844E-2</v>
      </c>
      <c r="AI98" s="2"/>
      <c r="AJ98">
        <v>3.8844120695E-4</v>
      </c>
      <c r="AK98">
        <v>0.88782304409376001</v>
      </c>
      <c r="AL98">
        <v>0.84840846930207903</v>
      </c>
      <c r="AM98">
        <v>2.9258813008050798E-4</v>
      </c>
      <c r="AO98">
        <v>1.1492924691999999E-3</v>
      </c>
      <c r="AP98">
        <v>100</v>
      </c>
      <c r="AQ98">
        <v>0</v>
      </c>
      <c r="AR98">
        <v>8.1433528491058897</v>
      </c>
      <c r="AS98">
        <v>0.88267641216577197</v>
      </c>
      <c r="AT98">
        <v>0.59384728069458703</v>
      </c>
      <c r="AU98">
        <v>1.0981858471578601</v>
      </c>
      <c r="AV98">
        <v>3.6764563264229402</v>
      </c>
      <c r="AW98">
        <v>0.85264414086312501</v>
      </c>
      <c r="AX98">
        <v>1.0696508783921099</v>
      </c>
      <c r="AY98">
        <v>1.0259243137174401</v>
      </c>
      <c r="AZ98">
        <v>8.0812251863139305E-3</v>
      </c>
      <c r="BB98">
        <v>5.0294603598999999E-3</v>
      </c>
      <c r="BC98">
        <v>1.2105963381326399</v>
      </c>
      <c r="BD98">
        <v>0.98140197517581296</v>
      </c>
      <c r="BE98">
        <v>1.3673858102407499</v>
      </c>
      <c r="BF98">
        <v>2.5940950455674498E-3</v>
      </c>
      <c r="BG98">
        <v>1.0564566479999999</v>
      </c>
      <c r="BH98" s="2">
        <v>2.2392176391493099E-5</v>
      </c>
      <c r="BI98" s="2"/>
      <c r="BJ98">
        <v>6.5645452257706701E-4</v>
      </c>
      <c r="BK98">
        <v>5.1633231645166404</v>
      </c>
      <c r="BL98">
        <v>0.59521760730442497</v>
      </c>
      <c r="BM98">
        <v>1.08146616636171</v>
      </c>
      <c r="BN98">
        <v>0.88781039653773897</v>
      </c>
      <c r="BO98">
        <v>1.1256841555585899</v>
      </c>
      <c r="BP98">
        <v>0.123230620796885</v>
      </c>
      <c r="BQ98">
        <v>2.6870644007921001E-4</v>
      </c>
      <c r="BS98">
        <v>8.6649119328651401E-3</v>
      </c>
    </row>
    <row r="99" spans="1:71" x14ac:dyDescent="0.25">
      <c r="A99" t="s">
        <v>57</v>
      </c>
      <c r="B99">
        <v>1635286</v>
      </c>
      <c r="C99" t="s">
        <v>58</v>
      </c>
      <c r="D99">
        <v>2014</v>
      </c>
      <c r="E99">
        <v>4.5</v>
      </c>
      <c r="F99" s="1">
        <v>42461</v>
      </c>
      <c r="G99" t="s">
        <v>59</v>
      </c>
      <c r="H99">
        <v>1605358.75</v>
      </c>
      <c r="I99">
        <v>71.39</v>
      </c>
      <c r="J99">
        <v>0</v>
      </c>
      <c r="K99">
        <v>28.61</v>
      </c>
      <c r="L99">
        <v>95.66</v>
      </c>
      <c r="M99">
        <v>4.34</v>
      </c>
      <c r="N99">
        <v>-8.4499999999999993</v>
      </c>
      <c r="O99">
        <v>657.35360000000003</v>
      </c>
      <c r="P99">
        <v>23</v>
      </c>
      <c r="Q99">
        <v>114826.05</v>
      </c>
      <c r="R99">
        <v>146.30000000000001</v>
      </c>
      <c r="S99">
        <v>677</v>
      </c>
      <c r="T99">
        <v>5.0190000000000001</v>
      </c>
      <c r="U99">
        <v>110.97</v>
      </c>
      <c r="V99">
        <v>110.97</v>
      </c>
      <c r="W99">
        <v>60.006370821071897</v>
      </c>
      <c r="X99">
        <v>0</v>
      </c>
      <c r="Y99" s="2">
        <v>2.0999999999999999E-5</v>
      </c>
      <c r="Z99" s="2"/>
      <c r="AA99">
        <f t="shared" si="9"/>
        <v>1.4868527654337157E-2</v>
      </c>
      <c r="AB99">
        <f t="shared" si="16"/>
        <v>1.4812266853646302E-2</v>
      </c>
      <c r="AC99">
        <f t="shared" si="10"/>
        <v>1.4982007304370755E-2</v>
      </c>
      <c r="AD99">
        <f t="shared" si="11"/>
        <v>1.5000870988485989E-2</v>
      </c>
      <c r="AE99">
        <f t="shared" si="12"/>
        <v>1.1303676686093717E-2</v>
      </c>
      <c r="AF99">
        <f t="shared" si="13"/>
        <v>1.4922106174106142E-2</v>
      </c>
      <c r="AG99">
        <f t="shared" si="14"/>
        <v>1.8248222850303256E-2</v>
      </c>
      <c r="AH99">
        <f t="shared" si="15"/>
        <v>2.3605911711902457E-2</v>
      </c>
      <c r="AI99" s="2"/>
      <c r="AJ99">
        <v>3.8844120695E-4</v>
      </c>
      <c r="AK99">
        <v>0.830649764867606</v>
      </c>
      <c r="AL99">
        <v>0.83309157786920396</v>
      </c>
      <c r="AM99">
        <v>2.6880415986933E-4</v>
      </c>
      <c r="AO99">
        <v>1.1492924691999999E-3</v>
      </c>
      <c r="AP99">
        <v>95.66</v>
      </c>
      <c r="AQ99">
        <v>4.34</v>
      </c>
      <c r="AR99">
        <v>10.4404486188651</v>
      </c>
      <c r="AS99">
        <v>1.8674197134275801</v>
      </c>
      <c r="AT99">
        <v>0.59384728069458703</v>
      </c>
      <c r="AU99">
        <v>1.0791040169247901</v>
      </c>
      <c r="AV99">
        <v>4.4220757791641097</v>
      </c>
      <c r="AW99">
        <v>1.07208934448548</v>
      </c>
      <c r="AX99">
        <v>1.0696508783921099</v>
      </c>
      <c r="AY99">
        <v>1.02092633984965</v>
      </c>
      <c r="AZ99">
        <v>2.0991343664830402E-2</v>
      </c>
      <c r="BB99">
        <v>5.0294603598999999E-3</v>
      </c>
      <c r="BC99">
        <v>1.2105963381326399</v>
      </c>
      <c r="BD99">
        <v>0.98140197517581296</v>
      </c>
      <c r="BE99">
        <v>1.3764850114379601</v>
      </c>
      <c r="BF99" s="2">
        <v>9.8520146328853303E-5</v>
      </c>
      <c r="BG99">
        <v>1.0564566479999999</v>
      </c>
      <c r="BH99" s="2">
        <v>8.5608303056239897E-7</v>
      </c>
      <c r="BI99" s="2"/>
      <c r="BJ99">
        <v>6.69503549101113E-4</v>
      </c>
      <c r="BK99">
        <v>5.1633231645166404</v>
      </c>
      <c r="BL99">
        <v>0.59521760730442497</v>
      </c>
      <c r="BM99">
        <v>1.08146616636171</v>
      </c>
      <c r="BN99">
        <v>0.89822668835212205</v>
      </c>
      <c r="BO99">
        <v>0.88199663618207602</v>
      </c>
      <c r="BP99">
        <v>2.5226539728928798E-2</v>
      </c>
      <c r="BQ99" s="2">
        <v>4.4471467933507597E-5</v>
      </c>
      <c r="BR99" s="2"/>
      <c r="BS99">
        <v>2.1305475375663799E-2</v>
      </c>
    </row>
    <row r="100" spans="1:71" x14ac:dyDescent="0.25">
      <c r="A100" t="s">
        <v>57</v>
      </c>
      <c r="B100">
        <v>1635289</v>
      </c>
      <c r="C100" t="s">
        <v>58</v>
      </c>
      <c r="D100">
        <v>2014</v>
      </c>
      <c r="E100">
        <v>4.5</v>
      </c>
      <c r="F100" s="1">
        <v>42461</v>
      </c>
      <c r="G100" t="s">
        <v>59</v>
      </c>
      <c r="H100">
        <v>1281846.05</v>
      </c>
      <c r="I100">
        <v>29.61</v>
      </c>
      <c r="J100">
        <v>0</v>
      </c>
      <c r="K100">
        <v>70.39</v>
      </c>
      <c r="L100">
        <v>100</v>
      </c>
      <c r="M100">
        <v>0</v>
      </c>
      <c r="N100">
        <v>-55.88</v>
      </c>
      <c r="O100">
        <v>660.86609999999996</v>
      </c>
      <c r="P100">
        <v>23</v>
      </c>
      <c r="Q100">
        <v>116699.62</v>
      </c>
      <c r="R100">
        <v>130.86000000000001</v>
      </c>
      <c r="S100">
        <v>774</v>
      </c>
      <c r="T100">
        <v>5.0270000000000001</v>
      </c>
      <c r="U100">
        <v>110.97</v>
      </c>
      <c r="V100">
        <v>110.97</v>
      </c>
      <c r="W100">
        <v>60.006370821071897</v>
      </c>
      <c r="X100">
        <v>0</v>
      </c>
      <c r="Y100">
        <v>3.6400000000000001E-4</v>
      </c>
      <c r="AA100">
        <f t="shared" si="9"/>
        <v>1.7027591949231379E-2</v>
      </c>
      <c r="AB100">
        <f t="shared" si="16"/>
        <v>1.5234667945004167E-2</v>
      </c>
      <c r="AC100">
        <f t="shared" si="10"/>
        <v>1.4760243264128503E-2</v>
      </c>
      <c r="AD100">
        <f t="shared" si="11"/>
        <v>1.5000511882087262E-2</v>
      </c>
      <c r="AE100">
        <f t="shared" si="12"/>
        <v>1.1303676686093717E-2</v>
      </c>
      <c r="AF100">
        <f t="shared" si="13"/>
        <v>1.4924605746132708E-2</v>
      </c>
      <c r="AG100">
        <f t="shared" si="14"/>
        <v>1.5737668015775624E-2</v>
      </c>
      <c r="AH100">
        <f t="shared" si="15"/>
        <v>5.1521444859819604E-3</v>
      </c>
      <c r="AJ100">
        <v>3.8844120695E-4</v>
      </c>
      <c r="AK100">
        <v>1.2724862001825901</v>
      </c>
      <c r="AL100">
        <v>0.84254767450572299</v>
      </c>
      <c r="AM100">
        <v>4.1645958339085802E-4</v>
      </c>
      <c r="AO100">
        <v>1.1492924691999999E-3</v>
      </c>
      <c r="AP100">
        <v>100</v>
      </c>
      <c r="AQ100">
        <v>0</v>
      </c>
      <c r="AR100">
        <v>8.9042786092928203</v>
      </c>
      <c r="AS100">
        <v>0.32954642634023901</v>
      </c>
      <c r="AT100">
        <v>0.59384728069458703</v>
      </c>
      <c r="AU100">
        <v>1.2480105565726101</v>
      </c>
      <c r="AV100">
        <v>3.9205867409563999</v>
      </c>
      <c r="AW100">
        <v>0.64644261384972601</v>
      </c>
      <c r="AX100">
        <v>1.0696508783921099</v>
      </c>
      <c r="AY100">
        <v>1.0651668797217499</v>
      </c>
      <c r="AZ100">
        <v>3.74912739419266E-3</v>
      </c>
      <c r="BB100">
        <v>5.0294603598999999E-3</v>
      </c>
      <c r="BC100">
        <v>1.2105963381326399</v>
      </c>
      <c r="BD100">
        <v>0.98140197517581296</v>
      </c>
      <c r="BE100">
        <v>0.95860164114967605</v>
      </c>
      <c r="BF100">
        <v>1.1925762970674901E-3</v>
      </c>
      <c r="BG100">
        <v>1.0564566479999999</v>
      </c>
      <c r="BH100" s="2">
        <v>7.2167838019190698E-6</v>
      </c>
      <c r="BI100" s="2"/>
      <c r="BJ100">
        <v>4.1224738347314302E-4</v>
      </c>
      <c r="BK100">
        <v>5.1633231645166404</v>
      </c>
      <c r="BL100">
        <v>0.59521760730442497</v>
      </c>
      <c r="BM100">
        <v>1.08146616636171</v>
      </c>
      <c r="BN100">
        <v>0.89731662536367496</v>
      </c>
      <c r="BO100">
        <v>0.88999390035971504</v>
      </c>
      <c r="BP100">
        <v>7.1730708536368495E-2</v>
      </c>
      <c r="BQ100" s="2">
        <v>7.8489902150266099E-5</v>
      </c>
      <c r="BR100" s="2"/>
      <c r="BS100">
        <v>4.2512936635357096E-3</v>
      </c>
    </row>
    <row r="101" spans="1:71" x14ac:dyDescent="0.25">
      <c r="A101" t="s">
        <v>57</v>
      </c>
      <c r="B101">
        <v>1635290</v>
      </c>
      <c r="C101" t="s">
        <v>58</v>
      </c>
      <c r="D101">
        <v>2014</v>
      </c>
      <c r="E101">
        <v>4.5</v>
      </c>
      <c r="F101" s="1">
        <v>42461</v>
      </c>
      <c r="G101" t="s">
        <v>59</v>
      </c>
      <c r="H101">
        <v>1408476.56</v>
      </c>
      <c r="I101">
        <v>74.98</v>
      </c>
      <c r="J101">
        <v>0</v>
      </c>
      <c r="K101">
        <v>25.02</v>
      </c>
      <c r="L101">
        <v>100</v>
      </c>
      <c r="M101">
        <v>0</v>
      </c>
      <c r="N101">
        <v>6.49</v>
      </c>
      <c r="O101">
        <v>728.10410000000002</v>
      </c>
      <c r="P101">
        <v>23</v>
      </c>
      <c r="Q101">
        <v>128223.39</v>
      </c>
      <c r="R101">
        <v>123.31</v>
      </c>
      <c r="S101">
        <v>742</v>
      </c>
      <c r="T101">
        <v>5.1829999999999998</v>
      </c>
      <c r="U101">
        <v>110.97</v>
      </c>
      <c r="V101">
        <v>110.97</v>
      </c>
      <c r="W101">
        <v>60.006370821071897</v>
      </c>
      <c r="X101">
        <v>0</v>
      </c>
      <c r="Y101">
        <v>4.2700000000000002E-4</v>
      </c>
      <c r="AA101">
        <f t="shared" si="9"/>
        <v>1.4683007290079765E-2</v>
      </c>
      <c r="AB101">
        <f t="shared" si="16"/>
        <v>1.5234667945004167E-2</v>
      </c>
      <c r="AC101">
        <f t="shared" si="10"/>
        <v>1.5125980828764447E-2</v>
      </c>
      <c r="AD101">
        <f t="shared" si="11"/>
        <v>1.4993752220904898E-2</v>
      </c>
      <c r="AE101">
        <f t="shared" si="12"/>
        <v>1.1303676686093717E-2</v>
      </c>
      <c r="AF101">
        <f t="shared" si="13"/>
        <v>1.4941326937872349E-2</v>
      </c>
      <c r="AG101">
        <f t="shared" si="14"/>
        <v>1.4287680763951625E-2</v>
      </c>
      <c r="AH101">
        <f t="shared" si="15"/>
        <v>8.9092486055507621E-3</v>
      </c>
      <c r="AJ101">
        <v>3.8844120695E-4</v>
      </c>
      <c r="AK101">
        <v>0.96152199201111099</v>
      </c>
      <c r="AL101">
        <v>0.85025185200783604</v>
      </c>
      <c r="AM101">
        <v>3.1756461402889901E-4</v>
      </c>
      <c r="AO101">
        <v>1.1492924691999999E-3</v>
      </c>
      <c r="AP101">
        <v>100</v>
      </c>
      <c r="AQ101">
        <v>0</v>
      </c>
      <c r="AR101">
        <v>7.92835765080578</v>
      </c>
      <c r="AS101">
        <v>0.64853831176026899</v>
      </c>
      <c r="AT101">
        <v>0.59384728069458703</v>
      </c>
      <c r="AU101">
        <v>1.06459050621785</v>
      </c>
      <c r="AV101">
        <v>3.6077079804903698</v>
      </c>
      <c r="AW101">
        <v>0.77718190644469598</v>
      </c>
      <c r="AX101">
        <v>1.0696508783921099</v>
      </c>
      <c r="AY101">
        <v>1.01712491481037</v>
      </c>
      <c r="AZ101">
        <v>5.6039990222820704E-3</v>
      </c>
      <c r="BB101">
        <v>5.0294603598999999E-3</v>
      </c>
      <c r="BC101">
        <v>1.2105963381326399</v>
      </c>
      <c r="BD101">
        <v>0.98140197517581296</v>
      </c>
      <c r="BE101">
        <v>1.452612</v>
      </c>
      <c r="BF101">
        <v>7.4868251267399101E-3</v>
      </c>
      <c r="BG101">
        <v>1.0564566479999999</v>
      </c>
      <c r="BH101" s="2">
        <v>6.86541303578315E-5</v>
      </c>
      <c r="BI101" s="2"/>
      <c r="BJ101">
        <v>9.3793191730718196E-4</v>
      </c>
      <c r="BK101">
        <v>5.1633231645166404</v>
      </c>
      <c r="BL101">
        <v>0.59521760730442497</v>
      </c>
      <c r="BM101">
        <v>1.08146616636171</v>
      </c>
      <c r="BN101">
        <v>0.88018599923630503</v>
      </c>
      <c r="BO101">
        <v>0.94349257384683205</v>
      </c>
      <c r="BP101">
        <v>0.14430562659270399</v>
      </c>
      <c r="BQ101">
        <v>3.73581650690373E-4</v>
      </c>
      <c r="BS101">
        <v>6.36379941735918E-3</v>
      </c>
    </row>
    <row r="102" spans="1:71" x14ac:dyDescent="0.25">
      <c r="A102" t="s">
        <v>57</v>
      </c>
      <c r="B102">
        <v>1635291</v>
      </c>
      <c r="C102" t="s">
        <v>58</v>
      </c>
      <c r="D102">
        <v>2014</v>
      </c>
      <c r="E102">
        <v>4.5</v>
      </c>
      <c r="F102" s="1">
        <v>42461</v>
      </c>
      <c r="G102" t="s">
        <v>59</v>
      </c>
      <c r="H102">
        <v>1609999.94</v>
      </c>
      <c r="I102">
        <v>66.05</v>
      </c>
      <c r="J102">
        <v>12.49</v>
      </c>
      <c r="K102">
        <v>21.46</v>
      </c>
      <c r="L102">
        <v>100</v>
      </c>
      <c r="M102">
        <v>0</v>
      </c>
      <c r="N102">
        <v>16.13</v>
      </c>
      <c r="O102">
        <v>743.99440000000004</v>
      </c>
      <c r="P102">
        <v>23</v>
      </c>
      <c r="Q102">
        <v>179139.58</v>
      </c>
      <c r="R102">
        <v>131.5</v>
      </c>
      <c r="S102">
        <v>672</v>
      </c>
      <c r="T102">
        <v>5.2039999999999997</v>
      </c>
      <c r="U102">
        <v>110.97</v>
      </c>
      <c r="V102">
        <v>110.97</v>
      </c>
      <c r="W102">
        <v>60.006370821071897</v>
      </c>
      <c r="X102">
        <v>0</v>
      </c>
      <c r="Y102">
        <v>0</v>
      </c>
      <c r="AA102">
        <f t="shared" si="9"/>
        <v>1.514448273654715E-2</v>
      </c>
      <c r="AB102">
        <f t="shared" si="16"/>
        <v>1.5234667945004167E-2</v>
      </c>
      <c r="AC102">
        <f t="shared" si="10"/>
        <v>1.5227624574327482E-2</v>
      </c>
      <c r="AD102">
        <f t="shared" si="11"/>
        <v>1.4992189773611673E-2</v>
      </c>
      <c r="AE102">
        <f t="shared" si="12"/>
        <v>1.1303676686093717E-2</v>
      </c>
      <c r="AF102">
        <f t="shared" si="13"/>
        <v>1.4999129560174367E-2</v>
      </c>
      <c r="AG102">
        <f t="shared" si="14"/>
        <v>1.5858815263855481E-2</v>
      </c>
      <c r="AH102">
        <f t="shared" si="15"/>
        <v>2.5188001483173038E-2</v>
      </c>
      <c r="AJ102">
        <v>3.8844120695E-4</v>
      </c>
      <c r="AK102">
        <v>0.82931339588559405</v>
      </c>
      <c r="AL102">
        <v>0.84200682436004703</v>
      </c>
      <c r="AM102">
        <v>2.7124365439637103E-4</v>
      </c>
      <c r="AO102">
        <v>1.1492924691999999E-3</v>
      </c>
      <c r="AP102">
        <v>100</v>
      </c>
      <c r="AQ102">
        <v>0</v>
      </c>
      <c r="AR102">
        <v>8.9803892925477005</v>
      </c>
      <c r="AS102">
        <v>1.9983548888046001</v>
      </c>
      <c r="AT102">
        <v>0.59384728069458703</v>
      </c>
      <c r="AU102">
        <v>1.10069235875627</v>
      </c>
      <c r="AV102">
        <v>3.9451134476526399</v>
      </c>
      <c r="AW102">
        <v>1.09525155941987</v>
      </c>
      <c r="AX102">
        <v>1.0696508783921099</v>
      </c>
      <c r="AY102">
        <v>1.02658082723397</v>
      </c>
      <c r="AZ102">
        <v>2.0222289544450201E-2</v>
      </c>
      <c r="BB102">
        <v>5.0294603598999999E-3</v>
      </c>
      <c r="BC102">
        <v>1.2105963381326399</v>
      </c>
      <c r="BD102">
        <v>0.98140197517581296</v>
      </c>
      <c r="BE102">
        <v>1.452612</v>
      </c>
      <c r="BF102">
        <v>1.0857830039881101E-3</v>
      </c>
      <c r="BG102">
        <v>1.0564566479999999</v>
      </c>
      <c r="BH102" s="2">
        <v>9.9566220172391507E-6</v>
      </c>
      <c r="BI102" s="2"/>
      <c r="BJ102">
        <v>1.15536574167424E-3</v>
      </c>
      <c r="BK102">
        <v>5.1633231645166404</v>
      </c>
      <c r="BL102">
        <v>0.59521760730442497</v>
      </c>
      <c r="BM102">
        <v>1.08146616636171</v>
      </c>
      <c r="BN102">
        <v>0.876226377636664</v>
      </c>
      <c r="BO102">
        <v>1.12842936934473</v>
      </c>
      <c r="BP102">
        <v>6.82018668411742E-2</v>
      </c>
      <c r="BQ102">
        <v>2.5895509883539799E-4</v>
      </c>
      <c r="BS102">
        <v>2.07624449196992E-2</v>
      </c>
    </row>
    <row r="103" spans="1:71" x14ac:dyDescent="0.25">
      <c r="A103" t="s">
        <v>57</v>
      </c>
      <c r="B103">
        <v>1635337</v>
      </c>
      <c r="C103" t="s">
        <v>58</v>
      </c>
      <c r="D103">
        <v>2014</v>
      </c>
      <c r="E103">
        <v>4.5</v>
      </c>
      <c r="F103" s="1">
        <v>42461</v>
      </c>
      <c r="G103" t="s">
        <v>59</v>
      </c>
      <c r="H103">
        <v>1447639.29</v>
      </c>
      <c r="I103">
        <v>82.79</v>
      </c>
      <c r="J103">
        <v>17.21</v>
      </c>
      <c r="K103">
        <v>0</v>
      </c>
      <c r="L103">
        <v>100</v>
      </c>
      <c r="M103">
        <v>0</v>
      </c>
      <c r="N103">
        <v>2.0099999999999998</v>
      </c>
      <c r="O103">
        <v>577.44939999999997</v>
      </c>
      <c r="P103">
        <v>24</v>
      </c>
      <c r="Q103">
        <v>181208.33</v>
      </c>
      <c r="R103">
        <v>156.61000000000001</v>
      </c>
      <c r="S103">
        <v>702</v>
      </c>
      <c r="T103">
        <v>4.875</v>
      </c>
      <c r="U103">
        <v>110.97</v>
      </c>
      <c r="V103">
        <v>110.97</v>
      </c>
      <c r="W103">
        <v>60.006370821071897</v>
      </c>
      <c r="X103">
        <v>0</v>
      </c>
      <c r="Y103">
        <v>0</v>
      </c>
      <c r="AA103">
        <f t="shared" si="9"/>
        <v>1.4279410063102229E-2</v>
      </c>
      <c r="AB103">
        <f t="shared" si="16"/>
        <v>1.5234667945004167E-2</v>
      </c>
      <c r="AC103">
        <f t="shared" si="10"/>
        <v>1.5082593798538874E-2</v>
      </c>
      <c r="AD103">
        <f t="shared" si="11"/>
        <v>1.5009172035572732E-2</v>
      </c>
      <c r="AE103">
        <f t="shared" si="12"/>
        <v>1.1882853161703254E-2</v>
      </c>
      <c r="AF103">
        <f t="shared" si="13"/>
        <v>1.4999451573277093E-2</v>
      </c>
      <c r="AG103">
        <f t="shared" si="14"/>
        <v>1.9970880375403448E-2</v>
      </c>
      <c r="AH103">
        <f t="shared" si="15"/>
        <v>1.6633082362662827E-2</v>
      </c>
      <c r="AJ103">
        <v>3.9066619595E-4</v>
      </c>
      <c r="AK103">
        <v>0.846447515270499</v>
      </c>
      <c r="AL103">
        <v>0.830792727968652</v>
      </c>
      <c r="AM103">
        <v>2.7472523565628E-4</v>
      </c>
      <c r="AO103">
        <v>1.1492924691999999E-3</v>
      </c>
      <c r="AP103">
        <v>100</v>
      </c>
      <c r="AQ103">
        <v>0</v>
      </c>
      <c r="AR103">
        <v>11.456267563797599</v>
      </c>
      <c r="AS103">
        <v>1.2901792767889699</v>
      </c>
      <c r="AT103">
        <v>0.62711094349026397</v>
      </c>
      <c r="AU103">
        <v>1.03301654559915</v>
      </c>
      <c r="AV103">
        <v>4.7539501307587004</v>
      </c>
      <c r="AW103">
        <v>0.95830000379482705</v>
      </c>
      <c r="AX103">
        <v>1.0881935856659199</v>
      </c>
      <c r="AY103">
        <v>1.00885496228761</v>
      </c>
      <c r="AZ103">
        <v>1.6506944350212199E-2</v>
      </c>
      <c r="BB103">
        <v>5.0294603598999999E-3</v>
      </c>
      <c r="BC103">
        <v>1.22380368508729</v>
      </c>
      <c r="BD103">
        <v>0.98140197517581296</v>
      </c>
      <c r="BE103">
        <v>1.452612</v>
      </c>
      <c r="BF103" s="2">
        <v>6.8166214191770898E-5</v>
      </c>
      <c r="BG103">
        <v>1.0564566479999999</v>
      </c>
      <c r="BH103" s="2">
        <v>6.31903202872562E-7</v>
      </c>
      <c r="BI103" s="2"/>
      <c r="BJ103">
        <v>8.4511943919927197E-4</v>
      </c>
      <c r="BK103">
        <v>5.1633231645166404</v>
      </c>
      <c r="BL103">
        <v>0.59521760730442497</v>
      </c>
      <c r="BM103">
        <v>1.07589445247309</v>
      </c>
      <c r="BN103">
        <v>0.91926356139535703</v>
      </c>
      <c r="BO103">
        <v>1.12945963525577</v>
      </c>
      <c r="BP103">
        <v>1.8979530605143301E-2</v>
      </c>
      <c r="BQ103" s="2">
        <v>5.5066701701988098E-5</v>
      </c>
      <c r="BR103" s="2"/>
      <c r="BS103">
        <v>1.6837368190773298E-2</v>
      </c>
    </row>
    <row r="104" spans="1:71" x14ac:dyDescent="0.25">
      <c r="A104" t="s">
        <v>57</v>
      </c>
      <c r="B104">
        <v>1635556</v>
      </c>
      <c r="C104" t="s">
        <v>58</v>
      </c>
      <c r="D104">
        <v>2014</v>
      </c>
      <c r="E104">
        <v>4.5</v>
      </c>
      <c r="F104" s="1">
        <v>42461</v>
      </c>
      <c r="G104" t="s">
        <v>59</v>
      </c>
      <c r="H104">
        <v>3753032.71</v>
      </c>
      <c r="I104">
        <v>64.14</v>
      </c>
      <c r="J104">
        <v>4.59</v>
      </c>
      <c r="K104">
        <v>31.27</v>
      </c>
      <c r="L104">
        <v>88.21</v>
      </c>
      <c r="M104">
        <v>11.79</v>
      </c>
      <c r="N104">
        <v>-18.64</v>
      </c>
      <c r="O104">
        <v>664.57960000000003</v>
      </c>
      <c r="P104">
        <v>24</v>
      </c>
      <c r="Q104">
        <v>144557.96</v>
      </c>
      <c r="R104">
        <v>123.46</v>
      </c>
      <c r="S104">
        <v>697</v>
      </c>
      <c r="T104">
        <v>4.9960000000000004</v>
      </c>
      <c r="U104">
        <v>110.97</v>
      </c>
      <c r="V104">
        <v>110.97</v>
      </c>
      <c r="W104">
        <v>60.006370821071897</v>
      </c>
      <c r="X104">
        <v>0</v>
      </c>
      <c r="Y104">
        <v>0</v>
      </c>
      <c r="AA104">
        <f t="shared" si="9"/>
        <v>1.5243185771569896E-2</v>
      </c>
      <c r="AB104">
        <f t="shared" si="16"/>
        <v>1.408717742262877E-2</v>
      </c>
      <c r="AC104">
        <f t="shared" si="10"/>
        <v>1.4912625515851537E-2</v>
      </c>
      <c r="AD104">
        <f t="shared" si="11"/>
        <v>1.5000132823656136E-2</v>
      </c>
      <c r="AE104">
        <f t="shared" si="12"/>
        <v>1.1882853161703254E-2</v>
      </c>
      <c r="AF104">
        <f t="shared" si="13"/>
        <v>1.4970183100066287E-2</v>
      </c>
      <c r="AG104">
        <f t="shared" si="14"/>
        <v>1.4311613098596148E-2</v>
      </c>
      <c r="AH104">
        <f t="shared" si="15"/>
        <v>1.7937131969816417E-2</v>
      </c>
      <c r="AJ104">
        <v>3.9066619595E-4</v>
      </c>
      <c r="AK104">
        <v>0.84192904151663805</v>
      </c>
      <c r="AL104">
        <v>0.85102738174912396</v>
      </c>
      <c r="AM104">
        <v>2.7991415295783501E-4</v>
      </c>
      <c r="AO104">
        <v>1.1492924691999999E-3</v>
      </c>
      <c r="AP104">
        <v>88.21</v>
      </c>
      <c r="AQ104">
        <v>11.79</v>
      </c>
      <c r="AR104">
        <v>7.9488956335025804</v>
      </c>
      <c r="AS104">
        <v>1.3981600080247201</v>
      </c>
      <c r="AT104">
        <v>0.62711094349026397</v>
      </c>
      <c r="AU104">
        <v>1.1084140315836399</v>
      </c>
      <c r="AV104">
        <v>3.6142705249497502</v>
      </c>
      <c r="AW104">
        <v>0.981402794685724</v>
      </c>
      <c r="AX104">
        <v>1.0881935856659199</v>
      </c>
      <c r="AY104">
        <v>1.028603312422</v>
      </c>
      <c r="AZ104">
        <v>1.25545855432655E-2</v>
      </c>
      <c r="BB104">
        <v>5.0294603598999999E-3</v>
      </c>
      <c r="BC104">
        <v>1.22380368508729</v>
      </c>
      <c r="BD104">
        <v>0.98140197517581296</v>
      </c>
      <c r="BE104">
        <v>1.2846821743275401</v>
      </c>
      <c r="BF104">
        <v>6.6988566748928703E-3</v>
      </c>
      <c r="BG104">
        <v>1.0564566479999999</v>
      </c>
      <c r="BH104" s="2">
        <v>5.49196977309853E-5</v>
      </c>
      <c r="BI104" s="2"/>
      <c r="BJ104">
        <v>5.6878532114141005E-4</v>
      </c>
      <c r="BK104">
        <v>5.1633231645166404</v>
      </c>
      <c r="BL104">
        <v>0.59521760730442497</v>
      </c>
      <c r="BM104">
        <v>1.07589445247309</v>
      </c>
      <c r="BN104">
        <v>0.89635599907060204</v>
      </c>
      <c r="BO104">
        <v>1.0358165196123199</v>
      </c>
      <c r="BP104">
        <v>0.14215862614966099</v>
      </c>
      <c r="BQ104">
        <v>2.4823310846576501E-4</v>
      </c>
      <c r="BS104">
        <v>1.31376525024201E-2</v>
      </c>
    </row>
    <row r="105" spans="1:71" x14ac:dyDescent="0.25">
      <c r="A105" t="s">
        <v>57</v>
      </c>
      <c r="B105">
        <v>1635559</v>
      </c>
      <c r="C105" t="s">
        <v>58</v>
      </c>
      <c r="D105">
        <v>2014</v>
      </c>
      <c r="E105">
        <v>4.5</v>
      </c>
      <c r="F105" s="1">
        <v>42461</v>
      </c>
      <c r="G105" t="s">
        <v>59</v>
      </c>
      <c r="H105">
        <v>12980967.529999999</v>
      </c>
      <c r="I105">
        <v>68.599999999999994</v>
      </c>
      <c r="J105">
        <v>4.92</v>
      </c>
      <c r="K105">
        <v>26.48</v>
      </c>
      <c r="L105">
        <v>95.17</v>
      </c>
      <c r="M105">
        <v>4.83</v>
      </c>
      <c r="N105">
        <v>-16.059999999999999</v>
      </c>
      <c r="O105">
        <v>630.19500000000005</v>
      </c>
      <c r="P105">
        <v>23</v>
      </c>
      <c r="Q105">
        <v>162489.70000000001</v>
      </c>
      <c r="R105">
        <v>131.69</v>
      </c>
      <c r="S105">
        <v>706</v>
      </c>
      <c r="T105">
        <v>4.9630000000000001</v>
      </c>
      <c r="U105">
        <v>110.97</v>
      </c>
      <c r="V105">
        <v>110.97</v>
      </c>
      <c r="W105">
        <v>60.006370821071897</v>
      </c>
      <c r="X105">
        <v>0</v>
      </c>
      <c r="Y105" s="2">
        <v>7.2999999999999999E-5</v>
      </c>
      <c r="Z105" s="2"/>
      <c r="AA105">
        <f t="shared" si="9"/>
        <v>1.5012706433244601E-2</v>
      </c>
      <c r="AB105">
        <f t="shared" si="16"/>
        <v>1.4764576407847835E-2</v>
      </c>
      <c r="AC105">
        <f t="shared" si="10"/>
        <v>1.492750728168806E-2</v>
      </c>
      <c r="AD105">
        <f t="shared" si="11"/>
        <v>1.5003665328466122E-2</v>
      </c>
      <c r="AE105">
        <f t="shared" si="12"/>
        <v>1.1303676686093717E-2</v>
      </c>
      <c r="AF105">
        <f t="shared" si="13"/>
        <v>1.4995477090537775E-2</v>
      </c>
      <c r="AG105">
        <f t="shared" si="14"/>
        <v>1.58943252811121E-2</v>
      </c>
      <c r="AH105">
        <f t="shared" si="15"/>
        <v>1.565105555865505E-2</v>
      </c>
      <c r="AI105" s="2"/>
      <c r="AJ105">
        <v>3.8844120695E-4</v>
      </c>
      <c r="AK105">
        <v>0.84997503259826201</v>
      </c>
      <c r="AL105">
        <v>0.84184927144126498</v>
      </c>
      <c r="AM105">
        <v>2.7794944044457598E-4</v>
      </c>
      <c r="AO105">
        <v>1.1492924691999999E-3</v>
      </c>
      <c r="AP105">
        <v>95.17</v>
      </c>
      <c r="AQ105">
        <v>4.83</v>
      </c>
      <c r="AR105">
        <v>9.0026358739140306</v>
      </c>
      <c r="AS105">
        <v>1.2088715465819799</v>
      </c>
      <c r="AT105">
        <v>0.59384728069458703</v>
      </c>
      <c r="AU105">
        <v>1.09038331911764</v>
      </c>
      <c r="AV105">
        <v>3.9522899272968002</v>
      </c>
      <c r="AW105">
        <v>0.93977133904582999</v>
      </c>
      <c r="AX105">
        <v>1.0696508783921099</v>
      </c>
      <c r="AY105">
        <v>1.0238806506740401</v>
      </c>
      <c r="AZ105">
        <v>1.1900519192561699E-2</v>
      </c>
      <c r="BB105">
        <v>5.0294603598999999E-3</v>
      </c>
      <c r="BC105">
        <v>1.2105963381326399</v>
      </c>
      <c r="BD105">
        <v>0.98140197517581296</v>
      </c>
      <c r="BE105">
        <v>1.30792568190361</v>
      </c>
      <c r="BF105">
        <v>1.0554739633878E-3</v>
      </c>
      <c r="BG105">
        <v>1.0564566479999999</v>
      </c>
      <c r="BH105" s="2">
        <v>8.7146499199097395E-6</v>
      </c>
      <c r="BI105" s="2"/>
      <c r="BJ105">
        <v>5.88542490420601E-4</v>
      </c>
      <c r="BK105">
        <v>5.1633231645166404</v>
      </c>
      <c r="BL105">
        <v>0.59521760730442497</v>
      </c>
      <c r="BM105">
        <v>1.08146616636171</v>
      </c>
      <c r="BN105">
        <v>0.90530822575185399</v>
      </c>
      <c r="BO105">
        <v>1.1167434630079001</v>
      </c>
      <c r="BP105">
        <v>6.7211010704747401E-2</v>
      </c>
      <c r="BQ105">
        <v>1.3291871953123401E-4</v>
      </c>
      <c r="BS105">
        <v>1.23201020024574E-2</v>
      </c>
    </row>
    <row r="106" spans="1:71" x14ac:dyDescent="0.25">
      <c r="A106" t="s">
        <v>57</v>
      </c>
      <c r="B106">
        <v>1635560</v>
      </c>
      <c r="C106" t="s">
        <v>58</v>
      </c>
      <c r="D106">
        <v>2014</v>
      </c>
      <c r="E106">
        <v>4.5</v>
      </c>
      <c r="F106" s="1">
        <v>42461</v>
      </c>
      <c r="G106" t="s">
        <v>59</v>
      </c>
      <c r="H106">
        <v>1207216.8400000001</v>
      </c>
      <c r="I106">
        <v>25.06</v>
      </c>
      <c r="J106">
        <v>7.31</v>
      </c>
      <c r="K106">
        <v>67.64</v>
      </c>
      <c r="L106">
        <v>100</v>
      </c>
      <c r="M106">
        <v>0</v>
      </c>
      <c r="N106">
        <v>-53.75</v>
      </c>
      <c r="O106">
        <v>657.76080000000002</v>
      </c>
      <c r="P106">
        <v>23</v>
      </c>
      <c r="Q106">
        <v>120936.46</v>
      </c>
      <c r="R106">
        <v>143.12</v>
      </c>
      <c r="S106">
        <v>725</v>
      </c>
      <c r="T106">
        <v>5.0199999999999996</v>
      </c>
      <c r="U106">
        <v>110.97</v>
      </c>
      <c r="V106">
        <v>110.97</v>
      </c>
      <c r="W106">
        <v>60.006370821071897</v>
      </c>
      <c r="X106">
        <v>0</v>
      </c>
      <c r="Y106">
        <v>2.13E-4</v>
      </c>
      <c r="AA106">
        <f t="shared" si="9"/>
        <v>1.7264470513101073E-2</v>
      </c>
      <c r="AB106">
        <f t="shared" si="16"/>
        <v>1.5234667945004167E-2</v>
      </c>
      <c r="AC106">
        <f t="shared" si="10"/>
        <v>1.4767412292773046E-2</v>
      </c>
      <c r="AD106">
        <f t="shared" si="11"/>
        <v>1.5000829329790327E-2</v>
      </c>
      <c r="AE106">
        <f t="shared" si="12"/>
        <v>1.1303676686093717E-2</v>
      </c>
      <c r="AF106">
        <f t="shared" si="13"/>
        <v>1.4930548043378979E-2</v>
      </c>
      <c r="AG106">
        <f t="shared" si="14"/>
        <v>1.7760061538391034E-2</v>
      </c>
      <c r="AH106">
        <f t="shared" si="15"/>
        <v>1.1717906768076844E-2</v>
      </c>
      <c r="AJ106">
        <v>3.8844120695E-4</v>
      </c>
      <c r="AK106">
        <v>0.88782304409376001</v>
      </c>
      <c r="AL106">
        <v>0.83452133375048898</v>
      </c>
      <c r="AM106">
        <v>2.8779891454314198E-4</v>
      </c>
      <c r="AO106">
        <v>1.1492924691999999E-3</v>
      </c>
      <c r="AP106">
        <v>100</v>
      </c>
      <c r="AQ106">
        <v>0</v>
      </c>
      <c r="AR106">
        <v>10.1473744786736</v>
      </c>
      <c r="AS106">
        <v>0.88267641216577197</v>
      </c>
      <c r="AT106">
        <v>0.59384728069458703</v>
      </c>
      <c r="AU106">
        <v>1.26654188916636</v>
      </c>
      <c r="AV106">
        <v>4.32580070341651</v>
      </c>
      <c r="AW106">
        <v>0.85264414086312501</v>
      </c>
      <c r="AX106">
        <v>1.0696508783921099</v>
      </c>
      <c r="AY106">
        <v>1.0700944938883401</v>
      </c>
      <c r="AZ106">
        <v>1.1613720211516699E-2</v>
      </c>
      <c r="BB106">
        <v>5.0294603598999999E-3</v>
      </c>
      <c r="BC106">
        <v>1.2105963381326399</v>
      </c>
      <c r="BD106">
        <v>0.98140197517581296</v>
      </c>
      <c r="BE106">
        <v>0.97392855478578899</v>
      </c>
      <c r="BF106">
        <v>1.44138699024239E-4</v>
      </c>
      <c r="BG106">
        <v>1.0564566479999999</v>
      </c>
      <c r="BH106" s="2">
        <v>8.8619041942705597E-7</v>
      </c>
      <c r="BI106" s="2"/>
      <c r="BJ106">
        <v>4.1961918872333501E-4</v>
      </c>
      <c r="BK106">
        <v>5.1633231645166404</v>
      </c>
      <c r="BL106">
        <v>0.59521760730442497</v>
      </c>
      <c r="BM106">
        <v>1.08146616636171</v>
      </c>
      <c r="BN106">
        <v>0.89812111508135395</v>
      </c>
      <c r="BO106">
        <v>0.909006003389904</v>
      </c>
      <c r="BP106">
        <v>3.06988009025006E-2</v>
      </c>
      <c r="BQ106" s="2">
        <v>3.4953963220000602E-5</v>
      </c>
      <c r="BR106" s="2"/>
      <c r="BS106">
        <v>1.1937359279699199E-2</v>
      </c>
    </row>
    <row r="107" spans="1:71" x14ac:dyDescent="0.25">
      <c r="A107" t="s">
        <v>57</v>
      </c>
      <c r="B107">
        <v>1635777</v>
      </c>
      <c r="C107" t="s">
        <v>58</v>
      </c>
      <c r="D107">
        <v>2014</v>
      </c>
      <c r="E107">
        <v>4.5</v>
      </c>
      <c r="F107" s="1">
        <v>42461</v>
      </c>
      <c r="G107" t="s">
        <v>59</v>
      </c>
      <c r="H107">
        <v>6246889.9299999997</v>
      </c>
      <c r="I107">
        <v>70.2</v>
      </c>
      <c r="J107">
        <v>5.92</v>
      </c>
      <c r="K107">
        <v>23.89</v>
      </c>
      <c r="L107">
        <v>95.63</v>
      </c>
      <c r="M107">
        <v>4.37</v>
      </c>
      <c r="N107">
        <v>9.86</v>
      </c>
      <c r="O107">
        <v>744.4171</v>
      </c>
      <c r="P107">
        <v>23</v>
      </c>
      <c r="Q107">
        <v>169059.61</v>
      </c>
      <c r="R107">
        <v>126.58</v>
      </c>
      <c r="S107">
        <v>699</v>
      </c>
      <c r="T107">
        <v>5.2050000000000001</v>
      </c>
      <c r="U107">
        <v>110.97</v>
      </c>
      <c r="V107">
        <v>110.97</v>
      </c>
      <c r="W107">
        <v>60.006370821071897</v>
      </c>
      <c r="X107">
        <v>0</v>
      </c>
      <c r="Y107">
        <v>2.2800000000000001E-4</v>
      </c>
      <c r="AA107">
        <f t="shared" si="9"/>
        <v>1.4931771559737557E-2</v>
      </c>
      <c r="AB107">
        <f t="shared" si="16"/>
        <v>1.4809347030434154E-2</v>
      </c>
      <c r="AC107">
        <f t="shared" si="10"/>
        <v>1.5160812270362407E-2</v>
      </c>
      <c r="AD107">
        <f t="shared" si="11"/>
        <v>1.4992148410138538E-2</v>
      </c>
      <c r="AE107">
        <f t="shared" si="12"/>
        <v>1.1303676686093717E-2</v>
      </c>
      <c r="AF107">
        <f t="shared" si="13"/>
        <v>1.499716135853367E-2</v>
      </c>
      <c r="AG107">
        <f t="shared" si="14"/>
        <v>1.4897898833997576E-2</v>
      </c>
      <c r="AH107">
        <f t="shared" si="15"/>
        <v>1.7409492995352976E-2</v>
      </c>
      <c r="AJ107">
        <v>3.8844120695E-4</v>
      </c>
      <c r="AK107">
        <v>0.84260428981387203</v>
      </c>
      <c r="AL107">
        <v>0.84659579838788002</v>
      </c>
      <c r="AM107">
        <v>2.7709269044918399E-4</v>
      </c>
      <c r="AO107">
        <v>1.1492924691999999E-3</v>
      </c>
      <c r="AP107">
        <v>95.63</v>
      </c>
      <c r="AQ107">
        <v>4.37</v>
      </c>
      <c r="AR107">
        <v>8.3645133113152497</v>
      </c>
      <c r="AS107">
        <v>1.35450089661558</v>
      </c>
      <c r="AT107">
        <v>0.59384728069458703</v>
      </c>
      <c r="AU107">
        <v>1.0840516737593999</v>
      </c>
      <c r="AV107">
        <v>3.7472874532634499</v>
      </c>
      <c r="AW107">
        <v>0.97220097434356301</v>
      </c>
      <c r="AX107">
        <v>1.0696508783921099</v>
      </c>
      <c r="AY107">
        <v>1.0222960743137399</v>
      </c>
      <c r="AZ107">
        <v>1.2324445076909701E-2</v>
      </c>
      <c r="BB107">
        <v>5.0294603598999999E-3</v>
      </c>
      <c r="BC107">
        <v>1.2105963381326399</v>
      </c>
      <c r="BD107">
        <v>0.98140197517581296</v>
      </c>
      <c r="BE107">
        <v>1.452612</v>
      </c>
      <c r="BF107">
        <v>2.1104438791651301E-3</v>
      </c>
      <c r="BG107">
        <v>1.0564566479999999</v>
      </c>
      <c r="BH107" s="2">
        <v>1.9352754570906101E-5</v>
      </c>
      <c r="BI107" s="2"/>
      <c r="BJ107">
        <v>1.01244248864544E-3</v>
      </c>
      <c r="BK107">
        <v>5.1633231645166404</v>
      </c>
      <c r="BL107">
        <v>0.59521760730442497</v>
      </c>
      <c r="BM107">
        <v>1.08146616636171</v>
      </c>
      <c r="BN107">
        <v>0.87612155253160495</v>
      </c>
      <c r="BO107">
        <v>1.1221321999460401</v>
      </c>
      <c r="BP107">
        <v>0.104713979440234</v>
      </c>
      <c r="BQ107">
        <v>3.46418782041377E-4</v>
      </c>
      <c r="BS107">
        <v>1.29673093039711E-2</v>
      </c>
    </row>
    <row r="108" spans="1:71" x14ac:dyDescent="0.25">
      <c r="A108" t="s">
        <v>57</v>
      </c>
      <c r="B108">
        <v>1636023</v>
      </c>
      <c r="C108" t="s">
        <v>58</v>
      </c>
      <c r="D108">
        <v>2014</v>
      </c>
      <c r="E108">
        <v>4.5</v>
      </c>
      <c r="F108" s="1">
        <v>42461</v>
      </c>
      <c r="G108" t="s">
        <v>59</v>
      </c>
      <c r="H108">
        <v>1196283.23</v>
      </c>
      <c r="I108">
        <v>50.3</v>
      </c>
      <c r="J108">
        <v>0</v>
      </c>
      <c r="K108">
        <v>49.7</v>
      </c>
      <c r="L108">
        <v>100</v>
      </c>
      <c r="M108">
        <v>0</v>
      </c>
      <c r="N108">
        <v>-35.75</v>
      </c>
      <c r="O108">
        <v>648.41189999999995</v>
      </c>
      <c r="P108">
        <v>23</v>
      </c>
      <c r="Q108">
        <v>239582.85</v>
      </c>
      <c r="R108">
        <v>124.17</v>
      </c>
      <c r="S108">
        <v>704</v>
      </c>
      <c r="T108">
        <v>5</v>
      </c>
      <c r="U108">
        <v>110.97</v>
      </c>
      <c r="V108">
        <v>110.97</v>
      </c>
      <c r="W108">
        <v>60.006370821071897</v>
      </c>
      <c r="X108">
        <v>0</v>
      </c>
      <c r="Y108">
        <v>3.9100000000000002E-4</v>
      </c>
      <c r="AA108">
        <f t="shared" si="9"/>
        <v>1.5958395198121721E-2</v>
      </c>
      <c r="AB108">
        <f t="shared" si="16"/>
        <v>1.5234667945004167E-2</v>
      </c>
      <c r="AC108">
        <f t="shared" si="10"/>
        <v>1.4837784788140681E-2</v>
      </c>
      <c r="AD108">
        <f t="shared" si="11"/>
        <v>1.500178758698621E-2</v>
      </c>
      <c r="AE108">
        <f t="shared" si="12"/>
        <v>1.1303676686093717E-2</v>
      </c>
      <c r="AF108">
        <f t="shared" si="13"/>
        <v>1.500247243661538E-2</v>
      </c>
      <c r="AG108">
        <f t="shared" si="14"/>
        <v>1.4430382677552454E-2</v>
      </c>
      <c r="AH108">
        <f t="shared" si="15"/>
        <v>1.613413804885197E-2</v>
      </c>
      <c r="AJ108">
        <v>3.8844120695E-4</v>
      </c>
      <c r="AK108">
        <v>0.84761134885121203</v>
      </c>
      <c r="AL108">
        <v>0.84923890143616798</v>
      </c>
      <c r="AM108">
        <v>2.7960950951411899E-4</v>
      </c>
      <c r="AO108">
        <v>1.1492924691999999E-3</v>
      </c>
      <c r="AP108">
        <v>100</v>
      </c>
      <c r="AQ108">
        <v>0</v>
      </c>
      <c r="AR108">
        <v>8.0453739358408392</v>
      </c>
      <c r="AS108">
        <v>1.2488852931579399</v>
      </c>
      <c r="AT108">
        <v>0.59384728069458703</v>
      </c>
      <c r="AU108">
        <v>1.16436583887722</v>
      </c>
      <c r="AV108">
        <v>3.6451121921157799</v>
      </c>
      <c r="AW108">
        <v>0.94903188914352699</v>
      </c>
      <c r="AX108">
        <v>1.0696508783921099</v>
      </c>
      <c r="AY108">
        <v>1.04325838833942</v>
      </c>
      <c r="AZ108">
        <v>1.1977187076084601E-2</v>
      </c>
      <c r="BB108">
        <v>5.0294603598999999E-3</v>
      </c>
      <c r="BC108">
        <v>1.2105963381326399</v>
      </c>
      <c r="BD108">
        <v>0.98140197517581296</v>
      </c>
      <c r="BE108">
        <v>1.12901996199871</v>
      </c>
      <c r="BF108">
        <v>3.8801174768063299E-3</v>
      </c>
      <c r="BG108">
        <v>1.0564566479999999</v>
      </c>
      <c r="BH108" s="2">
        <v>2.7654502435447E-5</v>
      </c>
      <c r="BI108" s="2"/>
      <c r="BJ108">
        <v>4.8957138585394402E-4</v>
      </c>
      <c r="BK108">
        <v>5.1633231645166404</v>
      </c>
      <c r="BL108">
        <v>0.59521760730442497</v>
      </c>
      <c r="BM108">
        <v>1.08146616636171</v>
      </c>
      <c r="BN108">
        <v>0.90054957196900798</v>
      </c>
      <c r="BO108">
        <v>1.1391247466844701</v>
      </c>
      <c r="BP108">
        <v>0.13245251202661701</v>
      </c>
      <c r="BQ108">
        <v>2.2109206256101899E-4</v>
      </c>
      <c r="BS108">
        <v>1.25055431505952E-2</v>
      </c>
    </row>
    <row r="109" spans="1:71" x14ac:dyDescent="0.25">
      <c r="A109" t="s">
        <v>57</v>
      </c>
      <c r="B109">
        <v>1636093</v>
      </c>
      <c r="C109" t="s">
        <v>58</v>
      </c>
      <c r="D109">
        <v>2014</v>
      </c>
      <c r="E109">
        <v>4.5</v>
      </c>
      <c r="F109" s="1">
        <v>42461</v>
      </c>
      <c r="G109" t="s">
        <v>59</v>
      </c>
      <c r="H109">
        <v>1095145.3700000001</v>
      </c>
      <c r="I109">
        <v>100</v>
      </c>
      <c r="J109">
        <v>0</v>
      </c>
      <c r="K109">
        <v>0</v>
      </c>
      <c r="L109">
        <v>76</v>
      </c>
      <c r="M109">
        <v>24</v>
      </c>
      <c r="N109">
        <v>1.89</v>
      </c>
      <c r="O109">
        <v>571.81579999999997</v>
      </c>
      <c r="P109">
        <v>22</v>
      </c>
      <c r="Q109">
        <v>182779.67</v>
      </c>
      <c r="R109">
        <v>135.04</v>
      </c>
      <c r="S109">
        <v>707</v>
      </c>
      <c r="T109">
        <v>4.8789999999999996</v>
      </c>
      <c r="U109">
        <v>110.97</v>
      </c>
      <c r="V109">
        <v>110.97</v>
      </c>
      <c r="W109">
        <v>60.006370821071897</v>
      </c>
      <c r="X109">
        <v>0</v>
      </c>
      <c r="Y109">
        <v>1.1900000000000001E-4</v>
      </c>
      <c r="AA109">
        <f t="shared" si="9"/>
        <v>1.3390049208264185E-2</v>
      </c>
      <c r="AB109">
        <f t="shared" si="16"/>
        <v>1.2898809375283262E-2</v>
      </c>
      <c r="AC109">
        <f t="shared" si="10"/>
        <v>1.5081487032369358E-2</v>
      </c>
      <c r="AD109">
        <f t="shared" si="11"/>
        <v>1.5009765611839235E-2</v>
      </c>
      <c r="AE109">
        <f t="shared" si="12"/>
        <v>1.0731896540293674E-2</v>
      </c>
      <c r="AF109">
        <f t="shared" si="13"/>
        <v>1.4999679234805594E-2</v>
      </c>
      <c r="AG109">
        <f t="shared" si="14"/>
        <v>1.648906684240533E-2</v>
      </c>
      <c r="AH109">
        <f t="shared" si="15"/>
        <v>1.5414813142860764E-2</v>
      </c>
      <c r="AJ109">
        <v>3.8637340061E-4</v>
      </c>
      <c r="AK109">
        <v>0.85029653928388205</v>
      </c>
      <c r="AL109">
        <v>0.83826165731382696</v>
      </c>
      <c r="AM109">
        <v>2.7539574980517899E-4</v>
      </c>
      <c r="AO109">
        <v>1.1492924691999999E-3</v>
      </c>
      <c r="AP109">
        <v>76</v>
      </c>
      <c r="AQ109">
        <v>24</v>
      </c>
      <c r="AR109">
        <v>9.3716998304950501</v>
      </c>
      <c r="AS109">
        <v>1.1893285536818601</v>
      </c>
      <c r="AT109">
        <v>0.561048141852036</v>
      </c>
      <c r="AU109">
        <v>0.96344063493999998</v>
      </c>
      <c r="AV109">
        <v>4.0718522556916703</v>
      </c>
      <c r="AW109">
        <v>0.93514467014824698</v>
      </c>
      <c r="AX109">
        <v>1.04767151433184</v>
      </c>
      <c r="AY109">
        <v>0.99063141773999996</v>
      </c>
      <c r="AZ109">
        <v>9.5287897147071903E-3</v>
      </c>
      <c r="BB109">
        <v>5.0294603598999999E-3</v>
      </c>
      <c r="BC109">
        <v>1.1960326374972501</v>
      </c>
      <c r="BD109">
        <v>0.98140197517581296</v>
      </c>
      <c r="BE109">
        <v>1.452612</v>
      </c>
      <c r="BF109">
        <v>6.17989107923343E-4</v>
      </c>
      <c r="BG109">
        <v>1.0564566479999999</v>
      </c>
      <c r="BH109" s="2">
        <v>5.5987809569988903E-6</v>
      </c>
      <c r="BI109" s="2"/>
      <c r="BJ109">
        <v>8.4275187197135198E-4</v>
      </c>
      <c r="BK109">
        <v>5.1633231645166404</v>
      </c>
      <c r="BL109">
        <v>0.59521760730442497</v>
      </c>
      <c r="BM109">
        <v>1.08685495673574</v>
      </c>
      <c r="BN109">
        <v>0.92076782807754998</v>
      </c>
      <c r="BO109">
        <v>1.13018802770342</v>
      </c>
      <c r="BP109">
        <v>5.3178663110237702E-2</v>
      </c>
      <c r="BQ109">
        <v>1.55781057532359E-4</v>
      </c>
      <c r="BS109">
        <v>9.9655653030017305E-3</v>
      </c>
    </row>
    <row r="110" spans="1:71" x14ac:dyDescent="0.25">
      <c r="A110" t="s">
        <v>57</v>
      </c>
      <c r="B110">
        <v>1636166</v>
      </c>
      <c r="C110" t="s">
        <v>58</v>
      </c>
      <c r="D110">
        <v>2014</v>
      </c>
      <c r="E110">
        <v>4.5</v>
      </c>
      <c r="F110" s="1">
        <v>42461</v>
      </c>
      <c r="G110" t="s">
        <v>59</v>
      </c>
      <c r="H110">
        <v>1190055.47</v>
      </c>
      <c r="I110">
        <v>83.89</v>
      </c>
      <c r="J110">
        <v>0</v>
      </c>
      <c r="K110">
        <v>16.11</v>
      </c>
      <c r="L110">
        <v>100</v>
      </c>
      <c r="M110">
        <v>0</v>
      </c>
      <c r="N110">
        <v>24.86</v>
      </c>
      <c r="O110">
        <v>785.83669999999995</v>
      </c>
      <c r="P110">
        <v>23</v>
      </c>
      <c r="Q110">
        <v>132401.46</v>
      </c>
      <c r="R110">
        <v>129.99</v>
      </c>
      <c r="S110">
        <v>709</v>
      </c>
      <c r="T110">
        <v>5.27</v>
      </c>
      <c r="U110">
        <v>110.97</v>
      </c>
      <c r="V110">
        <v>110.97</v>
      </c>
      <c r="W110">
        <v>60.006370821071897</v>
      </c>
      <c r="X110">
        <v>0</v>
      </c>
      <c r="Y110" s="2">
        <v>6.3999999999999997E-5</v>
      </c>
      <c r="Z110" s="2"/>
      <c r="AA110">
        <f t="shared" si="9"/>
        <v>1.4222565383246226E-2</v>
      </c>
      <c r="AB110">
        <f t="shared" si="16"/>
        <v>1.5234667945004167E-2</v>
      </c>
      <c r="AC110">
        <f t="shared" si="10"/>
        <v>1.5329316632697156E-2</v>
      </c>
      <c r="AD110">
        <f t="shared" si="11"/>
        <v>1.4988148240997522E-2</v>
      </c>
      <c r="AE110">
        <f t="shared" si="12"/>
        <v>1.1303676686093717E-2</v>
      </c>
      <c r="AF110">
        <f t="shared" si="13"/>
        <v>1.4947570957162761E-2</v>
      </c>
      <c r="AG110">
        <f t="shared" si="14"/>
        <v>1.5569041422895559E-2</v>
      </c>
      <c r="AH110">
        <f t="shared" si="15"/>
        <v>1.4954180918877007E-2</v>
      </c>
      <c r="AI110" s="2"/>
      <c r="AJ110">
        <v>3.8844120695E-4</v>
      </c>
      <c r="AK110">
        <v>0.85396990447441001</v>
      </c>
      <c r="AL110">
        <v>0.84330857076353205</v>
      </c>
      <c r="AM110">
        <v>2.79739873830257E-4</v>
      </c>
      <c r="AO110">
        <v>1.1492924691999999E-3</v>
      </c>
      <c r="AP110">
        <v>100</v>
      </c>
      <c r="AQ110">
        <v>0</v>
      </c>
      <c r="AR110">
        <v>8.7977729881908893</v>
      </c>
      <c r="AS110">
        <v>1.1511379116417599</v>
      </c>
      <c r="AT110">
        <v>0.59384728069458703</v>
      </c>
      <c r="AU110">
        <v>1.0285695088922899</v>
      </c>
      <c r="AV110">
        <v>3.8863307426062699</v>
      </c>
      <c r="AW110">
        <v>0.92590008354294595</v>
      </c>
      <c r="AX110">
        <v>1.0696508783921099</v>
      </c>
      <c r="AY110">
        <v>1.0076901802421501</v>
      </c>
      <c r="AZ110">
        <v>1.06642507166817E-2</v>
      </c>
      <c r="BB110">
        <v>5.0294603598999999E-3</v>
      </c>
      <c r="BC110">
        <v>1.2105963381326399</v>
      </c>
      <c r="BD110">
        <v>0.98140197517581296</v>
      </c>
      <c r="BE110">
        <v>1.452612</v>
      </c>
      <c r="BF110">
        <v>1.34973193248701E-3</v>
      </c>
      <c r="BG110">
        <v>1.0564566479999999</v>
      </c>
      <c r="BH110" s="2">
        <v>1.23770317153703E-5</v>
      </c>
      <c r="BI110" s="2"/>
      <c r="BJ110">
        <v>1.3729029156203101E-3</v>
      </c>
      <c r="BK110">
        <v>5.1633231645166404</v>
      </c>
      <c r="BL110">
        <v>0.59521760730442497</v>
      </c>
      <c r="BM110">
        <v>1.08146616636171</v>
      </c>
      <c r="BN110">
        <v>0.86598415064824696</v>
      </c>
      <c r="BO110">
        <v>0.96347002249202196</v>
      </c>
      <c r="BP110">
        <v>7.7038070659740596E-2</v>
      </c>
      <c r="BQ110">
        <v>2.9329954533947899E-4</v>
      </c>
      <c r="BS110">
        <v>1.12496671675668E-2</v>
      </c>
    </row>
    <row r="111" spans="1:71" x14ac:dyDescent="0.25">
      <c r="A111" t="s">
        <v>57</v>
      </c>
      <c r="B111">
        <v>1636454</v>
      </c>
      <c r="C111" t="s">
        <v>58</v>
      </c>
      <c r="D111">
        <v>2014</v>
      </c>
      <c r="E111">
        <v>4.5</v>
      </c>
      <c r="F111" s="1">
        <v>42461</v>
      </c>
      <c r="G111" t="s">
        <v>59</v>
      </c>
      <c r="H111">
        <v>1103416.02</v>
      </c>
      <c r="I111">
        <v>90.8</v>
      </c>
      <c r="J111">
        <v>0</v>
      </c>
      <c r="K111">
        <v>9.1999999999999993</v>
      </c>
      <c r="L111">
        <v>100</v>
      </c>
      <c r="M111">
        <v>0</v>
      </c>
      <c r="N111">
        <v>20.91</v>
      </c>
      <c r="O111">
        <v>702.00019999999995</v>
      </c>
      <c r="P111">
        <v>22</v>
      </c>
      <c r="Q111">
        <v>184162.11</v>
      </c>
      <c r="R111">
        <v>143.35</v>
      </c>
      <c r="S111">
        <v>631</v>
      </c>
      <c r="T111">
        <v>5.1639999999999997</v>
      </c>
      <c r="U111">
        <v>110.97</v>
      </c>
      <c r="V111">
        <v>110.97</v>
      </c>
      <c r="W111">
        <v>60.006370821071897</v>
      </c>
      <c r="X111">
        <v>0</v>
      </c>
      <c r="Y111">
        <v>1.9699999999999999E-4</v>
      </c>
      <c r="AA111">
        <f t="shared" ref="AA111:AA126" si="17">$AJ$129*$AK$129*$AL$129+1.5*$AO$129*$AP$129/100*$AR$129*$AS$129*$AT$129*AU111+$AO$129*$AQ$129/100*$AV$129*$AW$129*$AX$129*$AY$129+$BB$129*$BC$129*$BD$129*$BE$129*$BF$129*$BG$129+$BJ$129*$BK$129*$BL$129*$BM$129*$BN$129*$BO$129*$BP$129</f>
        <v>1.3865477439787111E-2</v>
      </c>
      <c r="AB111">
        <f t="shared" si="16"/>
        <v>1.5234667945004167E-2</v>
      </c>
      <c r="AC111">
        <f t="shared" si="10"/>
        <v>1.5281312204585635E-2</v>
      </c>
      <c r="AD111">
        <f t="shared" si="11"/>
        <v>1.499634931832719E-2</v>
      </c>
      <c r="AE111">
        <f t="shared" si="12"/>
        <v>1.0731896540293674E-2</v>
      </c>
      <c r="AF111">
        <f t="shared" si="13"/>
        <v>1.49998678928564E-2</v>
      </c>
      <c r="AG111">
        <f t="shared" si="14"/>
        <v>1.7794600880132339E-2</v>
      </c>
      <c r="AH111">
        <f t="shared" si="15"/>
        <v>4.2971263945615581E-2</v>
      </c>
      <c r="AJ111">
        <v>3.8637340061E-4</v>
      </c>
      <c r="AK111">
        <v>0.82407920261465695</v>
      </c>
      <c r="AL111">
        <v>0.83335579519534997</v>
      </c>
      <c r="AM111">
        <v>2.6534238848000197E-4</v>
      </c>
      <c r="AO111">
        <v>1.1492924691999999E-3</v>
      </c>
      <c r="AP111">
        <v>100</v>
      </c>
      <c r="AQ111">
        <v>0</v>
      </c>
      <c r="AR111">
        <v>10.1684560409714</v>
      </c>
      <c r="AS111">
        <v>3.4702335852033501</v>
      </c>
      <c r="AT111">
        <v>0.561048141852036</v>
      </c>
      <c r="AU111">
        <v>1.0006340328519201</v>
      </c>
      <c r="AV111">
        <v>4.3327292239739696</v>
      </c>
      <c r="AW111">
        <v>1.3170455352111099</v>
      </c>
      <c r="AX111">
        <v>1.04767151433184</v>
      </c>
      <c r="AY111">
        <v>1.00037323121112</v>
      </c>
      <c r="AZ111">
        <v>3.4151591116439103E-2</v>
      </c>
      <c r="BB111">
        <v>5.0294603598999999E-3</v>
      </c>
      <c r="BC111">
        <v>1.1960326374972501</v>
      </c>
      <c r="BD111">
        <v>0.98140197517581296</v>
      </c>
      <c r="BE111">
        <v>1.452612</v>
      </c>
      <c r="BF111">
        <v>1.39080805460198E-4</v>
      </c>
      <c r="BG111">
        <v>1.0564566479999999</v>
      </c>
      <c r="BH111" s="2">
        <v>1.2600270055102899E-6</v>
      </c>
      <c r="BI111" s="2"/>
      <c r="BJ111">
        <v>1.2702130124391199E-3</v>
      </c>
      <c r="BK111">
        <v>5.1633231645166404</v>
      </c>
      <c r="BL111">
        <v>0.59521760730442497</v>
      </c>
      <c r="BM111">
        <v>1.08685495673574</v>
      </c>
      <c r="BN111">
        <v>0.88676767600343698</v>
      </c>
      <c r="BO111">
        <v>1.1307916303423899</v>
      </c>
      <c r="BP111">
        <v>3.0225266194074899E-2</v>
      </c>
      <c r="BQ111">
        <v>1.2859254721021699E-4</v>
      </c>
      <c r="BS111">
        <v>3.4546786079134799E-2</v>
      </c>
    </row>
    <row r="112" spans="1:71" x14ac:dyDescent="0.25">
      <c r="A112" t="s">
        <v>57</v>
      </c>
      <c r="B112">
        <v>1636455</v>
      </c>
      <c r="C112" t="s">
        <v>58</v>
      </c>
      <c r="D112">
        <v>2014</v>
      </c>
      <c r="E112">
        <v>4.5</v>
      </c>
      <c r="F112" s="1">
        <v>42461</v>
      </c>
      <c r="G112" t="s">
        <v>59</v>
      </c>
      <c r="H112">
        <v>2535057.36</v>
      </c>
      <c r="I112">
        <v>73.13</v>
      </c>
      <c r="J112">
        <v>0</v>
      </c>
      <c r="K112">
        <v>26.87</v>
      </c>
      <c r="L112">
        <v>100</v>
      </c>
      <c r="M112">
        <v>0</v>
      </c>
      <c r="N112">
        <v>-3.8</v>
      </c>
      <c r="O112">
        <v>694.11400000000003</v>
      </c>
      <c r="P112">
        <v>23</v>
      </c>
      <c r="Q112">
        <v>181329.4</v>
      </c>
      <c r="R112">
        <v>121.25</v>
      </c>
      <c r="S112">
        <v>722</v>
      </c>
      <c r="T112">
        <v>5.0990000000000002</v>
      </c>
      <c r="U112">
        <v>110.97</v>
      </c>
      <c r="V112">
        <v>110.97</v>
      </c>
      <c r="W112">
        <v>60.006370821071897</v>
      </c>
      <c r="X112">
        <v>0</v>
      </c>
      <c r="Y112" s="2">
        <v>2.8E-5</v>
      </c>
      <c r="Z112" s="2"/>
      <c r="AA112">
        <f t="shared" si="17"/>
        <v>1.4778609706201224E-2</v>
      </c>
      <c r="AB112">
        <f t="shared" si="16"/>
        <v>1.5234667945004167E-2</v>
      </c>
      <c r="AC112">
        <f t="shared" si="10"/>
        <v>1.5024751548358925E-2</v>
      </c>
      <c r="AD112">
        <f t="shared" si="11"/>
        <v>1.4997140969992417E-2</v>
      </c>
      <c r="AE112">
        <f t="shared" si="12"/>
        <v>1.1303676686093717E-2</v>
      </c>
      <c r="AF112">
        <f t="shared" si="13"/>
        <v>1.4999469625533106E-2</v>
      </c>
      <c r="AG112">
        <f t="shared" si="14"/>
        <v>1.4016163986797484E-2</v>
      </c>
      <c r="AH112">
        <f t="shared" si="15"/>
        <v>1.2271073785922895E-2</v>
      </c>
      <c r="AI112" s="2"/>
      <c r="AJ112">
        <v>3.8844120695E-4</v>
      </c>
      <c r="AK112">
        <v>0.87947335912834601</v>
      </c>
      <c r="AL112">
        <v>0.852837532071272</v>
      </c>
      <c r="AM112">
        <v>2.9134950732063601E-4</v>
      </c>
      <c r="AO112">
        <v>1.1492924691999999E-3</v>
      </c>
      <c r="AP112">
        <v>100</v>
      </c>
      <c r="AQ112">
        <v>0</v>
      </c>
      <c r="AR112">
        <v>7.6404424889363201</v>
      </c>
      <c r="AS112">
        <v>0.92862604096526802</v>
      </c>
      <c r="AT112">
        <v>0.59384728069458703</v>
      </c>
      <c r="AU112">
        <v>1.0720696134066601</v>
      </c>
      <c r="AV112">
        <v>3.5158210836799801</v>
      </c>
      <c r="AW112">
        <v>0.86625472856145702</v>
      </c>
      <c r="AX112">
        <v>1.0696508783921099</v>
      </c>
      <c r="AY112">
        <v>1.0190838664322801</v>
      </c>
      <c r="AZ112">
        <v>7.7871573089189497E-3</v>
      </c>
      <c r="BB112">
        <v>5.0294603598999999E-3</v>
      </c>
      <c r="BC112">
        <v>1.2105963381326399</v>
      </c>
      <c r="BD112">
        <v>0.98140197517581296</v>
      </c>
      <c r="BE112">
        <v>1.41837737524777</v>
      </c>
      <c r="BF112">
        <v>2.4752166269110001E-2</v>
      </c>
      <c r="BG112">
        <v>1.0564566479999999</v>
      </c>
      <c r="BH112">
        <v>2.21627864778137E-4</v>
      </c>
      <c r="BJ112">
        <v>7.3917333458381105E-4</v>
      </c>
      <c r="BK112">
        <v>5.1633231645166404</v>
      </c>
      <c r="BL112">
        <v>0.59521760730442497</v>
      </c>
      <c r="BM112">
        <v>1.08146616636171</v>
      </c>
      <c r="BN112">
        <v>0.88877391393966698</v>
      </c>
      <c r="BO112">
        <v>1.1295173926073501</v>
      </c>
      <c r="BP112">
        <v>0.177416503519259</v>
      </c>
      <c r="BQ112">
        <v>4.3756496748187298E-4</v>
      </c>
      <c r="BS112">
        <v>8.7376996484995993E-3</v>
      </c>
    </row>
    <row r="113" spans="1:71" x14ac:dyDescent="0.25">
      <c r="A113" t="s">
        <v>57</v>
      </c>
      <c r="B113">
        <v>1636459</v>
      </c>
      <c r="C113" t="s">
        <v>58</v>
      </c>
      <c r="D113">
        <v>2014</v>
      </c>
      <c r="E113">
        <v>4.5</v>
      </c>
      <c r="F113" s="1">
        <v>42461</v>
      </c>
      <c r="G113" t="s">
        <v>59</v>
      </c>
      <c r="H113">
        <v>1130705.93</v>
      </c>
      <c r="I113">
        <v>24.64</v>
      </c>
      <c r="J113">
        <v>0</v>
      </c>
      <c r="K113">
        <v>75.36</v>
      </c>
      <c r="L113">
        <v>100</v>
      </c>
      <c r="M113">
        <v>0</v>
      </c>
      <c r="N113">
        <v>-55.01</v>
      </c>
      <c r="O113">
        <v>690.00930000000005</v>
      </c>
      <c r="P113">
        <v>23</v>
      </c>
      <c r="Q113">
        <v>161748.82</v>
      </c>
      <c r="R113">
        <v>132.84</v>
      </c>
      <c r="S113">
        <v>746</v>
      </c>
      <c r="T113">
        <v>5.0869999999999997</v>
      </c>
      <c r="U113">
        <v>110.97</v>
      </c>
      <c r="V113">
        <v>110.97</v>
      </c>
      <c r="W113">
        <v>60.006370821071897</v>
      </c>
      <c r="X113">
        <v>0</v>
      </c>
      <c r="Y113" s="2">
        <v>9.9999999999999995E-7</v>
      </c>
      <c r="Z113" s="2"/>
      <c r="AA113">
        <f t="shared" si="17"/>
        <v>1.7284426548217234E-2</v>
      </c>
      <c r="AB113">
        <f t="shared" si="16"/>
        <v>1.5234667945004167E-2</v>
      </c>
      <c r="AC113">
        <f t="shared" si="10"/>
        <v>1.4763142547245549E-2</v>
      </c>
      <c r="AD113">
        <f t="shared" si="11"/>
        <v>1.4997554258644234E-2</v>
      </c>
      <c r="AE113">
        <f t="shared" si="12"/>
        <v>1.1303676686093717E-2</v>
      </c>
      <c r="AF113">
        <f t="shared" si="13"/>
        <v>1.4995265217375337E-2</v>
      </c>
      <c r="AG113">
        <f t="shared" si="14"/>
        <v>1.6105003829547982E-2</v>
      </c>
      <c r="AH113">
        <f t="shared" si="15"/>
        <v>8.31691163746698E-3</v>
      </c>
      <c r="AI113" s="2"/>
      <c r="AJ113">
        <v>3.8844120695E-4</v>
      </c>
      <c r="AK113">
        <v>0.98715785442311699</v>
      </c>
      <c r="AL113">
        <v>0.84092430838794396</v>
      </c>
      <c r="AM113">
        <v>3.2245477090344098E-4</v>
      </c>
      <c r="AO113">
        <v>1.1492924691999999E-3</v>
      </c>
      <c r="AP113">
        <v>100</v>
      </c>
      <c r="AQ113">
        <v>0</v>
      </c>
      <c r="AR113">
        <v>9.1340657864673407</v>
      </c>
      <c r="AS113">
        <v>0.59888331812137297</v>
      </c>
      <c r="AT113">
        <v>0.59384728069458703</v>
      </c>
      <c r="AU113">
        <v>1.2681030769663399</v>
      </c>
      <c r="AV113">
        <v>3.9947580432101</v>
      </c>
      <c r="AW113">
        <v>0.75994071173151301</v>
      </c>
      <c r="AX113">
        <v>1.0696508783921099</v>
      </c>
      <c r="AY113">
        <v>1.0704295767817</v>
      </c>
      <c r="AZ113">
        <v>7.1016211402124196E-3</v>
      </c>
      <c r="BB113">
        <v>5.0294603598999999E-3</v>
      </c>
      <c r="BC113">
        <v>1.2105963381326399</v>
      </c>
      <c r="BD113">
        <v>0.98140197517581296</v>
      </c>
      <c r="BE113">
        <v>0.96479589003717003</v>
      </c>
      <c r="BF113">
        <v>8.8516523595650405E-4</v>
      </c>
      <c r="BG113">
        <v>1.0564566479999999</v>
      </c>
      <c r="BH113" s="2">
        <v>5.3911218438150901E-6</v>
      </c>
      <c r="BI113" s="2"/>
      <c r="BJ113">
        <v>4.1523087023571801E-4</v>
      </c>
      <c r="BK113">
        <v>5.1633231645166404</v>
      </c>
      <c r="BL113">
        <v>0.59521760730442497</v>
      </c>
      <c r="BM113">
        <v>1.08146616636171</v>
      </c>
      <c r="BN113">
        <v>0.88982128794051696</v>
      </c>
      <c r="BO113">
        <v>1.11606558470147</v>
      </c>
      <c r="BP113">
        <v>6.1717302820198702E-2</v>
      </c>
      <c r="BQ113" s="2">
        <v>8.4587676198739304E-5</v>
      </c>
      <c r="BR113" s="2"/>
      <c r="BS113">
        <v>7.5140547091584204E-3</v>
      </c>
    </row>
    <row r="114" spans="1:71" x14ac:dyDescent="0.25">
      <c r="A114" t="s">
        <v>57</v>
      </c>
      <c r="B114">
        <v>1636460</v>
      </c>
      <c r="C114" t="s">
        <v>58</v>
      </c>
      <c r="D114">
        <v>2014</v>
      </c>
      <c r="E114">
        <v>4.5</v>
      </c>
      <c r="F114" s="1">
        <v>42461</v>
      </c>
      <c r="G114" t="s">
        <v>59</v>
      </c>
      <c r="H114">
        <v>1668221.75</v>
      </c>
      <c r="I114">
        <v>73.47</v>
      </c>
      <c r="J114">
        <v>0</v>
      </c>
      <c r="K114">
        <v>26.53</v>
      </c>
      <c r="L114">
        <v>100</v>
      </c>
      <c r="M114">
        <v>0</v>
      </c>
      <c r="N114">
        <v>-19.45</v>
      </c>
      <c r="O114">
        <v>619.2758</v>
      </c>
      <c r="P114">
        <v>23</v>
      </c>
      <c r="Q114">
        <v>139214.26999999999</v>
      </c>
      <c r="R114">
        <v>125.43</v>
      </c>
      <c r="S114">
        <v>690</v>
      </c>
      <c r="T114">
        <v>4.9390000000000001</v>
      </c>
      <c r="U114">
        <v>110.97</v>
      </c>
      <c r="V114">
        <v>110.97</v>
      </c>
      <c r="W114">
        <v>60.006370821071897</v>
      </c>
      <c r="X114">
        <v>0</v>
      </c>
      <c r="Y114" s="2">
        <v>3.4999999999999997E-5</v>
      </c>
      <c r="Z114" s="2"/>
      <c r="AA114">
        <f t="shared" si="17"/>
        <v>1.47610395324276E-2</v>
      </c>
      <c r="AB114">
        <f t="shared" si="16"/>
        <v>1.5234667945004167E-2</v>
      </c>
      <c r="AC114">
        <f t="shared" si="10"/>
        <v>1.4908256364867926E-2</v>
      </c>
      <c r="AD114">
        <f t="shared" si="11"/>
        <v>1.5004797161699066E-2</v>
      </c>
      <c r="AE114">
        <f t="shared" si="12"/>
        <v>1.1303676686093717E-2</v>
      </c>
      <c r="AF114">
        <f t="shared" si="13"/>
        <v>1.4958737223881509E-2</v>
      </c>
      <c r="AG114">
        <f t="shared" si="14"/>
        <v>1.4670778164133426E-2</v>
      </c>
      <c r="AH114">
        <f t="shared" si="15"/>
        <v>1.9826360473261279E-2</v>
      </c>
      <c r="AI114" s="2"/>
      <c r="AJ114">
        <v>3.8844120695E-4</v>
      </c>
      <c r="AK114">
        <v>0.83614491615421105</v>
      </c>
      <c r="AL114">
        <v>0.84782202708059695</v>
      </c>
      <c r="AM114">
        <v>2.7536677868940699E-4</v>
      </c>
      <c r="AO114">
        <v>1.1492924691999999E-3</v>
      </c>
      <c r="AP114">
        <v>100</v>
      </c>
      <c r="AQ114">
        <v>0</v>
      </c>
      <c r="AR114">
        <v>8.2137527899057101</v>
      </c>
      <c r="AS114">
        <v>1.5545914187136001</v>
      </c>
      <c r="AT114">
        <v>0.59384728069458703</v>
      </c>
      <c r="AU114">
        <v>1.07069507478818</v>
      </c>
      <c r="AV114">
        <v>3.6989915205767598</v>
      </c>
      <c r="AW114">
        <v>1.0132076471</v>
      </c>
      <c r="AX114">
        <v>1.0696508783921099</v>
      </c>
      <c r="AY114">
        <v>1.01872384289096</v>
      </c>
      <c r="AZ114">
        <v>1.3996527148527799E-2</v>
      </c>
      <c r="BB114">
        <v>5.0294603598999999E-3</v>
      </c>
      <c r="BC114">
        <v>1.2105963381326399</v>
      </c>
      <c r="BD114">
        <v>0.98140197517581296</v>
      </c>
      <c r="BE114">
        <v>1.2773847934760401</v>
      </c>
      <c r="BF114">
        <v>2.4235932401269998E-3</v>
      </c>
      <c r="BG114">
        <v>1.0564566479999999</v>
      </c>
      <c r="BH114" s="2">
        <v>1.9543431811968898E-5</v>
      </c>
      <c r="BI114" s="2"/>
      <c r="BJ114">
        <v>5.6323072642450102E-4</v>
      </c>
      <c r="BK114">
        <v>5.1633231645166404</v>
      </c>
      <c r="BL114">
        <v>0.59521760730442497</v>
      </c>
      <c r="BM114">
        <v>1.08146616636171</v>
      </c>
      <c r="BN114">
        <v>0.90817656655015699</v>
      </c>
      <c r="BO114">
        <v>0.99919597232610102</v>
      </c>
      <c r="BP114">
        <v>0.11699452694114</v>
      </c>
      <c r="BQ114">
        <v>1.9874255373953501E-4</v>
      </c>
      <c r="BS114">
        <v>1.44901799127688E-2</v>
      </c>
    </row>
    <row r="115" spans="1:71" x14ac:dyDescent="0.25">
      <c r="A115" t="s">
        <v>57</v>
      </c>
      <c r="B115">
        <v>1636598</v>
      </c>
      <c r="C115" t="s">
        <v>58</v>
      </c>
      <c r="D115">
        <v>2014</v>
      </c>
      <c r="E115">
        <v>4.5</v>
      </c>
      <c r="F115" s="1">
        <v>42461</v>
      </c>
      <c r="G115" t="s">
        <v>59</v>
      </c>
      <c r="H115">
        <v>2895770.7</v>
      </c>
      <c r="I115">
        <v>72.8</v>
      </c>
      <c r="J115">
        <v>4.05</v>
      </c>
      <c r="K115">
        <v>23.15</v>
      </c>
      <c r="L115">
        <v>100</v>
      </c>
      <c r="M115">
        <v>0</v>
      </c>
      <c r="N115">
        <v>-16.350000000000001</v>
      </c>
      <c r="O115">
        <v>593.94349999999997</v>
      </c>
      <c r="P115">
        <v>22</v>
      </c>
      <c r="Q115">
        <v>161112.16</v>
      </c>
      <c r="R115">
        <v>133.03</v>
      </c>
      <c r="S115">
        <v>700</v>
      </c>
      <c r="T115">
        <v>4.9269999999999996</v>
      </c>
      <c r="U115">
        <v>110.97</v>
      </c>
      <c r="V115">
        <v>110.97</v>
      </c>
      <c r="W115">
        <v>60.006370821071897</v>
      </c>
      <c r="X115">
        <v>0</v>
      </c>
      <c r="Y115" s="2">
        <v>5.5000000000000002E-5</v>
      </c>
      <c r="Z115" s="2"/>
      <c r="AA115">
        <f t="shared" si="17"/>
        <v>1.4795663110158048E-2</v>
      </c>
      <c r="AB115">
        <f t="shared" si="16"/>
        <v>1.5234667945004167E-2</v>
      </c>
      <c r="AC115">
        <f t="shared" si="10"/>
        <v>1.4925756378249094E-2</v>
      </c>
      <c r="AD115">
        <f t="shared" si="11"/>
        <v>1.5007439798016541E-2</v>
      </c>
      <c r="AE115">
        <f t="shared" si="12"/>
        <v>1.0731896540293674E-2</v>
      </c>
      <c r="AF115">
        <f t="shared" si="13"/>
        <v>1.4995079443261981E-2</v>
      </c>
      <c r="AG115">
        <f t="shared" si="14"/>
        <v>1.6138772067861976E-2</v>
      </c>
      <c r="AH115">
        <f t="shared" si="15"/>
        <v>1.7147139159930262E-2</v>
      </c>
      <c r="AI115" s="2"/>
      <c r="AJ115">
        <v>3.8637340061E-4</v>
      </c>
      <c r="AK115">
        <v>0.842515002283869</v>
      </c>
      <c r="AL115">
        <v>0.83976195790244001</v>
      </c>
      <c r="AM115">
        <v>2.7336383591197201E-4</v>
      </c>
      <c r="AO115">
        <v>1.1492924691999999E-3</v>
      </c>
      <c r="AP115">
        <v>100</v>
      </c>
      <c r="AQ115">
        <v>0</v>
      </c>
      <c r="AR115">
        <v>9.1552721841623406</v>
      </c>
      <c r="AS115">
        <v>1.3328053647</v>
      </c>
      <c r="AT115">
        <v>0.561048141852036</v>
      </c>
      <c r="AU115">
        <v>1.07340372441872</v>
      </c>
      <c r="AV115">
        <v>4.0016217129488103</v>
      </c>
      <c r="AW115">
        <v>0.96757322077999997</v>
      </c>
      <c r="AX115">
        <v>1.04767151433184</v>
      </c>
      <c r="AY115">
        <v>1.01943330104592</v>
      </c>
      <c r="AZ115">
        <v>1.26684370775764E-2</v>
      </c>
      <c r="BB115">
        <v>5.0294603598999999E-3</v>
      </c>
      <c r="BC115">
        <v>1.1960326374972501</v>
      </c>
      <c r="BD115">
        <v>0.98140197517581296</v>
      </c>
      <c r="BE115">
        <v>1.30531303969848</v>
      </c>
      <c r="BF115">
        <v>8.5913541511961199E-4</v>
      </c>
      <c r="BG115">
        <v>1.0564566479999999</v>
      </c>
      <c r="BH115" s="2">
        <v>6.9942206141302799E-6</v>
      </c>
      <c r="BI115" s="2"/>
      <c r="BJ115">
        <v>5.8615455350845595E-4</v>
      </c>
      <c r="BK115">
        <v>5.1633231645166404</v>
      </c>
      <c r="BL115">
        <v>0.59521760730442497</v>
      </c>
      <c r="BM115">
        <v>1.08685495673574</v>
      </c>
      <c r="BN115">
        <v>0.91487364995773801</v>
      </c>
      <c r="BO115">
        <v>1.11547120908593</v>
      </c>
      <c r="BP115">
        <v>6.0886316708466601E-2</v>
      </c>
      <c r="BQ115">
        <v>1.21654449550378E-4</v>
      </c>
      <c r="BS115">
        <v>1.30704495836529E-2</v>
      </c>
    </row>
    <row r="116" spans="1:71" x14ac:dyDescent="0.25">
      <c r="A116" t="s">
        <v>57</v>
      </c>
      <c r="B116">
        <v>1636805</v>
      </c>
      <c r="C116" t="s">
        <v>58</v>
      </c>
      <c r="D116">
        <v>2014</v>
      </c>
      <c r="E116">
        <v>4.5</v>
      </c>
      <c r="F116" s="1">
        <v>42461</v>
      </c>
      <c r="G116" t="s">
        <v>59</v>
      </c>
      <c r="H116">
        <v>2672718.64</v>
      </c>
      <c r="I116">
        <v>92.86</v>
      </c>
      <c r="J116">
        <v>0</v>
      </c>
      <c r="K116">
        <v>7.14</v>
      </c>
      <c r="L116">
        <v>100</v>
      </c>
      <c r="M116">
        <v>0</v>
      </c>
      <c r="N116">
        <v>4.2300000000000004</v>
      </c>
      <c r="O116">
        <v>615.65899999999999</v>
      </c>
      <c r="P116">
        <v>22</v>
      </c>
      <c r="Q116">
        <v>178436.23</v>
      </c>
      <c r="R116">
        <v>128.54</v>
      </c>
      <c r="S116">
        <v>745</v>
      </c>
      <c r="T116">
        <v>4.976</v>
      </c>
      <c r="U116">
        <v>110.97</v>
      </c>
      <c r="V116">
        <v>110.97</v>
      </c>
      <c r="W116">
        <v>60.006370821071897</v>
      </c>
      <c r="X116">
        <v>0</v>
      </c>
      <c r="Y116">
        <v>3.86E-4</v>
      </c>
      <c r="AA116">
        <f t="shared" si="17"/>
        <v>1.3759022857511325E-2</v>
      </c>
      <c r="AB116">
        <f t="shared" si="16"/>
        <v>1.5234667945004167E-2</v>
      </c>
      <c r="AC116">
        <f t="shared" si="10"/>
        <v>1.5103615824520151E-2</v>
      </c>
      <c r="AD116">
        <f t="shared" si="11"/>
        <v>1.5005173057030655E-2</v>
      </c>
      <c r="AE116">
        <f t="shared" si="12"/>
        <v>1.0731896540293674E-2</v>
      </c>
      <c r="AF116">
        <f t="shared" si="13"/>
        <v>1.4999014124164997E-2</v>
      </c>
      <c r="AG116">
        <f t="shared" si="14"/>
        <v>1.5283641383178198E-2</v>
      </c>
      <c r="AH116">
        <f t="shared" si="15"/>
        <v>8.4620782936988999E-3</v>
      </c>
      <c r="AJ116">
        <v>3.8637340061E-4</v>
      </c>
      <c r="AK116">
        <v>0.98027792595982299</v>
      </c>
      <c r="AL116">
        <v>0.843655643122733</v>
      </c>
      <c r="AM116">
        <v>3.1953737222275398E-4</v>
      </c>
      <c r="AO116">
        <v>1.1492924691999999E-3</v>
      </c>
      <c r="AP116">
        <v>100</v>
      </c>
      <c r="AQ116">
        <v>0</v>
      </c>
      <c r="AR116">
        <v>8.6158069261805306</v>
      </c>
      <c r="AS116">
        <v>0.61106897762358403</v>
      </c>
      <c r="AT116">
        <v>0.561048141852036</v>
      </c>
      <c r="AU116">
        <v>0.99230594592816401</v>
      </c>
      <c r="AV116">
        <v>3.8278926722338702</v>
      </c>
      <c r="AW116">
        <v>0.764229553165505</v>
      </c>
      <c r="AX116">
        <v>1.04767151433184</v>
      </c>
      <c r="AY116">
        <v>0.998191912107804</v>
      </c>
      <c r="AZ116">
        <v>5.0530516395300299E-3</v>
      </c>
      <c r="BB116">
        <v>5.0294603598999999E-3</v>
      </c>
      <c r="BC116">
        <v>1.1960326374972501</v>
      </c>
      <c r="BD116">
        <v>0.98140197517581296</v>
      </c>
      <c r="BE116">
        <v>1.452612</v>
      </c>
      <c r="BF116">
        <v>1.6439529564694401E-3</v>
      </c>
      <c r="BG116">
        <v>1.0564566479999999</v>
      </c>
      <c r="BH116" s="2">
        <v>1.4893680792873799E-5</v>
      </c>
      <c r="BI116" s="2"/>
      <c r="BJ116">
        <v>8.9008924506123698E-4</v>
      </c>
      <c r="BK116">
        <v>5.1633231645166404</v>
      </c>
      <c r="BL116">
        <v>0.59521760730442497</v>
      </c>
      <c r="BM116">
        <v>1.08685495673574</v>
      </c>
      <c r="BN116">
        <v>0.90912917677939198</v>
      </c>
      <c r="BO116">
        <v>1.12806003721398</v>
      </c>
      <c r="BP116">
        <v>8.7357435653822396E-2</v>
      </c>
      <c r="BQ116">
        <v>2.66359326611208E-4</v>
      </c>
      <c r="BS116">
        <v>5.6538420191568602E-3</v>
      </c>
    </row>
    <row r="117" spans="1:71" x14ac:dyDescent="0.25">
      <c r="A117" t="s">
        <v>57</v>
      </c>
      <c r="B117">
        <v>1637272</v>
      </c>
      <c r="C117" t="s">
        <v>58</v>
      </c>
      <c r="D117">
        <v>2014</v>
      </c>
      <c r="E117">
        <v>4.5</v>
      </c>
      <c r="F117" s="1">
        <v>42461</v>
      </c>
      <c r="G117" t="s">
        <v>59</v>
      </c>
      <c r="H117">
        <v>1646476.93</v>
      </c>
      <c r="I117">
        <v>68.03</v>
      </c>
      <c r="J117">
        <v>0</v>
      </c>
      <c r="K117">
        <v>31.97</v>
      </c>
      <c r="L117">
        <v>100</v>
      </c>
      <c r="M117">
        <v>0</v>
      </c>
      <c r="N117">
        <v>-6.7</v>
      </c>
      <c r="O117">
        <v>671.47450000000003</v>
      </c>
      <c r="P117">
        <v>22</v>
      </c>
      <c r="Q117">
        <v>164866.63</v>
      </c>
      <c r="R117">
        <v>136.35</v>
      </c>
      <c r="S117">
        <v>710</v>
      </c>
      <c r="T117">
        <v>5.1130000000000004</v>
      </c>
      <c r="U117">
        <v>110.97</v>
      </c>
      <c r="V117">
        <v>110.97</v>
      </c>
      <c r="W117">
        <v>60.006370821071897</v>
      </c>
      <c r="X117">
        <v>0</v>
      </c>
      <c r="Y117" s="2">
        <v>2.3E-5</v>
      </c>
      <c r="Z117" s="2"/>
      <c r="AA117">
        <f t="shared" si="17"/>
        <v>1.5042162312806322E-2</v>
      </c>
      <c r="AB117">
        <f t="shared" si="16"/>
        <v>1.5234667945004167E-2</v>
      </c>
      <c r="AC117">
        <f t="shared" si="10"/>
        <v>1.4997259730356387E-2</v>
      </c>
      <c r="AD117">
        <f t="shared" si="11"/>
        <v>1.4999430679495381E-2</v>
      </c>
      <c r="AE117">
        <f t="shared" si="12"/>
        <v>1.0731896540293674E-2</v>
      </c>
      <c r="AF117">
        <f t="shared" si="13"/>
        <v>1.4996126133212473E-2</v>
      </c>
      <c r="AG117">
        <f t="shared" si="14"/>
        <v>1.6707778876212411E-2</v>
      </c>
      <c r="AH117">
        <f t="shared" si="15"/>
        <v>1.4728661300636893E-2</v>
      </c>
      <c r="AI117" s="2"/>
      <c r="AJ117">
        <v>3.8637340061E-4</v>
      </c>
      <c r="AK117">
        <v>0.85451172598020797</v>
      </c>
      <c r="AL117">
        <v>0.83735626628259296</v>
      </c>
      <c r="AM117">
        <v>2.7646204848544401E-4</v>
      </c>
      <c r="AO117">
        <v>1.1492924691999999E-3</v>
      </c>
      <c r="AP117">
        <v>100</v>
      </c>
      <c r="AQ117">
        <v>0</v>
      </c>
      <c r="AR117">
        <v>9.50591037988608</v>
      </c>
      <c r="AS117">
        <v>1.13247729569555</v>
      </c>
      <c r="AT117">
        <v>0.561048141852036</v>
      </c>
      <c r="AU117">
        <v>1.09268769268392</v>
      </c>
      <c r="AV117">
        <v>4.1155661485077397</v>
      </c>
      <c r="AW117">
        <v>0.92128278139015995</v>
      </c>
      <c r="AX117">
        <v>1.04767151433184</v>
      </c>
      <c r="AY117">
        <v>1.02448421955214</v>
      </c>
      <c r="AZ117">
        <v>1.1377352642031401E-2</v>
      </c>
      <c r="BB117">
        <v>5.0294603598999999E-3</v>
      </c>
      <c r="BC117">
        <v>1.1960326374972501</v>
      </c>
      <c r="BD117">
        <v>0.98140197517581296</v>
      </c>
      <c r="BE117">
        <v>1.3922509543285999</v>
      </c>
      <c r="BF117">
        <v>4.9201616195869002E-4</v>
      </c>
      <c r="BG117">
        <v>1.0564566479999999</v>
      </c>
      <c r="BH117" s="2">
        <v>4.2722821012457496E-6</v>
      </c>
      <c r="BI117" s="2"/>
      <c r="BJ117">
        <v>6.9393903735983904E-4</v>
      </c>
      <c r="BK117">
        <v>5.1633231645166404</v>
      </c>
      <c r="BL117">
        <v>0.59521760730442497</v>
      </c>
      <c r="BM117">
        <v>1.08685495673574</v>
      </c>
      <c r="BN117">
        <v>0.89457659492875097</v>
      </c>
      <c r="BO117">
        <v>1.1188200447894801</v>
      </c>
      <c r="BP117">
        <v>4.8964828454002803E-2</v>
      </c>
      <c r="BQ117">
        <v>1.13595203639628E-4</v>
      </c>
      <c r="BS117">
        <v>1.17716821762577E-2</v>
      </c>
    </row>
    <row r="118" spans="1:71" x14ac:dyDescent="0.25">
      <c r="A118" t="s">
        <v>57</v>
      </c>
      <c r="B118">
        <v>1637663</v>
      </c>
      <c r="C118" t="s">
        <v>58</v>
      </c>
      <c r="D118">
        <v>2014</v>
      </c>
      <c r="E118">
        <v>4.5</v>
      </c>
      <c r="F118" s="1">
        <v>42461</v>
      </c>
      <c r="G118" t="s">
        <v>59</v>
      </c>
      <c r="H118">
        <v>2758147.22</v>
      </c>
      <c r="I118">
        <v>70.86</v>
      </c>
      <c r="J118">
        <v>0</v>
      </c>
      <c r="K118">
        <v>29.14</v>
      </c>
      <c r="L118">
        <v>91.84</v>
      </c>
      <c r="M118">
        <v>8.16</v>
      </c>
      <c r="N118">
        <v>-23.27</v>
      </c>
      <c r="O118">
        <v>570.99770000000001</v>
      </c>
      <c r="P118">
        <v>21</v>
      </c>
      <c r="Q118">
        <v>110490.68</v>
      </c>
      <c r="R118">
        <v>139.08000000000001</v>
      </c>
      <c r="S118">
        <v>704</v>
      </c>
      <c r="T118">
        <v>4.9189999999999996</v>
      </c>
      <c r="U118">
        <v>110.97</v>
      </c>
      <c r="V118">
        <v>110.97</v>
      </c>
      <c r="W118">
        <v>60.006370821071897</v>
      </c>
      <c r="X118">
        <v>0</v>
      </c>
      <c r="Y118" s="2">
        <v>4.6999999999999997E-5</v>
      </c>
      <c r="Z118" s="2"/>
      <c r="AA118">
        <f t="shared" si="17"/>
        <v>1.4895916454631309E-2</v>
      </c>
      <c r="AB118">
        <f t="shared" si="16"/>
        <v>1.444047603129906E-2</v>
      </c>
      <c r="AC118">
        <f t="shared" si="10"/>
        <v>1.4889302157691879E-2</v>
      </c>
      <c r="AD118">
        <f t="shared" si="11"/>
        <v>1.5009851887900588E-2</v>
      </c>
      <c r="AE118">
        <f t="shared" si="12"/>
        <v>1.0166943397751559E-2</v>
      </c>
      <c r="AF118">
        <f t="shared" si="13"/>
        <v>1.491671892743697E-2</v>
      </c>
      <c r="AG118">
        <f t="shared" si="14"/>
        <v>1.7143278741166598E-2</v>
      </c>
      <c r="AH118">
        <f t="shared" si="15"/>
        <v>1.6133465559946172E-2</v>
      </c>
      <c r="AI118" s="2"/>
      <c r="AJ118">
        <v>3.8446969495000002E-4</v>
      </c>
      <c r="AK118">
        <v>0.84567009214868005</v>
      </c>
      <c r="AL118">
        <v>0.83459772509804897</v>
      </c>
      <c r="AM118">
        <v>2.71356532709777E-4</v>
      </c>
      <c r="AO118">
        <v>1.1492924691999999E-3</v>
      </c>
      <c r="AP118">
        <v>91.84</v>
      </c>
      <c r="AQ118">
        <v>8.16</v>
      </c>
      <c r="AR118">
        <v>9.7723495861002192</v>
      </c>
      <c r="AS118">
        <v>1.2488852931579399</v>
      </c>
      <c r="AT118">
        <v>0.52868620033688096</v>
      </c>
      <c r="AU118">
        <v>1.08124668006536</v>
      </c>
      <c r="AV118">
        <v>4.2026795062853504</v>
      </c>
      <c r="AW118">
        <v>0.94903188914352699</v>
      </c>
      <c r="AX118">
        <v>1.02164132377963</v>
      </c>
      <c r="AY118">
        <v>1.021487553017</v>
      </c>
      <c r="AZ118">
        <v>1.1631352977106E-2</v>
      </c>
      <c r="BB118">
        <v>5.0294603598999999E-3</v>
      </c>
      <c r="BC118">
        <v>1.18002675693482</v>
      </c>
      <c r="BD118">
        <v>0.98140197517581296</v>
      </c>
      <c r="BE118">
        <v>1.24296998028179</v>
      </c>
      <c r="BF118">
        <v>2.9781237194780399E-4</v>
      </c>
      <c r="BG118">
        <v>1.0564566479999999</v>
      </c>
      <c r="BH118" s="2">
        <v>2.2777981089544701E-6</v>
      </c>
      <c r="BI118" s="2"/>
      <c r="BJ118">
        <v>5.4056660363428202E-4</v>
      </c>
      <c r="BK118">
        <v>5.1633231645166404</v>
      </c>
      <c r="BL118">
        <v>0.59521760730442497</v>
      </c>
      <c r="BM118">
        <v>1.09199967917915</v>
      </c>
      <c r="BN118">
        <v>0.92098647260882105</v>
      </c>
      <c r="BO118">
        <v>0.86476039159878104</v>
      </c>
      <c r="BP118">
        <v>4.1117722301002801E-2</v>
      </c>
      <c r="BQ118" s="2">
        <v>5.9409362143035903E-5</v>
      </c>
      <c r="BR118" s="2"/>
      <c r="BS118">
        <v>1.19643966700678E-2</v>
      </c>
    </row>
    <row r="119" spans="1:71" x14ac:dyDescent="0.25">
      <c r="A119" t="s">
        <v>57</v>
      </c>
      <c r="B119">
        <v>1637966</v>
      </c>
      <c r="C119" t="s">
        <v>58</v>
      </c>
      <c r="D119">
        <v>2014</v>
      </c>
      <c r="E119">
        <v>4.5</v>
      </c>
      <c r="F119" s="1">
        <v>42461</v>
      </c>
      <c r="G119" t="s">
        <v>59</v>
      </c>
      <c r="H119">
        <v>1139370.6499999999</v>
      </c>
      <c r="I119">
        <v>100</v>
      </c>
      <c r="J119">
        <v>0</v>
      </c>
      <c r="K119">
        <v>0</v>
      </c>
      <c r="L119">
        <v>100</v>
      </c>
      <c r="M119">
        <v>0</v>
      </c>
      <c r="N119">
        <v>2.8</v>
      </c>
      <c r="O119">
        <v>557.35360000000003</v>
      </c>
      <c r="P119">
        <v>21</v>
      </c>
      <c r="Q119">
        <v>142617.12</v>
      </c>
      <c r="R119">
        <v>131.04</v>
      </c>
      <c r="S119">
        <v>691</v>
      </c>
      <c r="T119">
        <v>4.8879999999999999</v>
      </c>
      <c r="U119">
        <v>110.97</v>
      </c>
      <c r="V119">
        <v>110.97</v>
      </c>
      <c r="W119">
        <v>60.006370821071897</v>
      </c>
      <c r="X119">
        <v>0</v>
      </c>
      <c r="Y119">
        <v>2.5099999999999998E-4</v>
      </c>
      <c r="AA119">
        <f t="shared" si="17"/>
        <v>1.3390049208264185E-2</v>
      </c>
      <c r="AB119">
        <f t="shared" si="16"/>
        <v>1.5234667945004167E-2</v>
      </c>
      <c r="AC119">
        <f t="shared" si="10"/>
        <v>1.5089957930272404E-2</v>
      </c>
      <c r="AD119">
        <f t="shared" si="11"/>
        <v>1.5011293589514701E-2</v>
      </c>
      <c r="AE119">
        <f t="shared" si="12"/>
        <v>1.0166943397751559E-2</v>
      </c>
      <c r="AF119">
        <f t="shared" si="13"/>
        <v>1.4965887380825297E-2</v>
      </c>
      <c r="AG119">
        <f t="shared" si="14"/>
        <v>1.5771264892356949E-2</v>
      </c>
      <c r="AH119">
        <f t="shared" si="15"/>
        <v>1.9550761117963888E-2</v>
      </c>
      <c r="AJ119">
        <v>3.8446969495000002E-4</v>
      </c>
      <c r="AK119">
        <v>0.834651105999622</v>
      </c>
      <c r="AL119">
        <v>0.84038624474109902</v>
      </c>
      <c r="AM119">
        <v>2.69678312321821E-4</v>
      </c>
      <c r="AO119">
        <v>1.1492924691999999E-3</v>
      </c>
      <c r="AP119">
        <v>100</v>
      </c>
      <c r="AQ119">
        <v>0</v>
      </c>
      <c r="AR119">
        <v>8.9258711748715704</v>
      </c>
      <c r="AS119">
        <v>1.5318371659763901</v>
      </c>
      <c r="AT119">
        <v>0.52868620033688096</v>
      </c>
      <c r="AU119">
        <v>0.96344063493999998</v>
      </c>
      <c r="AV119">
        <v>3.9275409432749999</v>
      </c>
      <c r="AW119">
        <v>1.00868997911855</v>
      </c>
      <c r="AX119">
        <v>1.02164132377963</v>
      </c>
      <c r="AY119">
        <v>0.99063141773999996</v>
      </c>
      <c r="AZ119">
        <v>1.2006266279398801E-2</v>
      </c>
      <c r="BB119">
        <v>5.0294603598999999E-3</v>
      </c>
      <c r="BC119">
        <v>1.18002675693482</v>
      </c>
      <c r="BD119">
        <v>0.98140197517581296</v>
      </c>
      <c r="BE119">
        <v>1.452612</v>
      </c>
      <c r="BF119">
        <v>1.16179943222789E-3</v>
      </c>
      <c r="BG119">
        <v>1.0564566479999999</v>
      </c>
      <c r="BH119" s="2">
        <v>1.0384668560707E-5</v>
      </c>
      <c r="BI119" s="2"/>
      <c r="BJ119">
        <v>8.6087261040616002E-4</v>
      </c>
      <c r="BK119">
        <v>5.1633231645166404</v>
      </c>
      <c r="BL119">
        <v>0.59521760730442497</v>
      </c>
      <c r="BM119">
        <v>1.09199967917915</v>
      </c>
      <c r="BN119">
        <v>0.92464009527900004</v>
      </c>
      <c r="BO119">
        <v>1.02207256615228</v>
      </c>
      <c r="BP119">
        <v>7.0707513300793695E-2</v>
      </c>
      <c r="BQ119">
        <v>1.9305741903446601E-4</v>
      </c>
      <c r="BS119">
        <v>1.24793866793158E-2</v>
      </c>
    </row>
    <row r="120" spans="1:71" x14ac:dyDescent="0.25">
      <c r="A120" t="s">
        <v>57</v>
      </c>
      <c r="B120">
        <v>1638078</v>
      </c>
      <c r="C120" t="s">
        <v>58</v>
      </c>
      <c r="D120">
        <v>2014</v>
      </c>
      <c r="E120">
        <v>4.5</v>
      </c>
      <c r="F120" s="1">
        <v>42461</v>
      </c>
      <c r="G120" t="s">
        <v>59</v>
      </c>
      <c r="H120">
        <v>830450.81</v>
      </c>
      <c r="I120">
        <v>50.48</v>
      </c>
      <c r="J120">
        <v>32.770000000000003</v>
      </c>
      <c r="K120">
        <v>16.75</v>
      </c>
      <c r="L120">
        <v>100</v>
      </c>
      <c r="M120">
        <v>0</v>
      </c>
      <c r="N120">
        <v>-6.67</v>
      </c>
      <c r="O120">
        <v>613.05579999999998</v>
      </c>
      <c r="P120">
        <v>22</v>
      </c>
      <c r="Q120">
        <v>166336.37</v>
      </c>
      <c r="R120">
        <v>146.16999999999999</v>
      </c>
      <c r="S120">
        <v>696</v>
      </c>
      <c r="T120">
        <v>4.9660000000000002</v>
      </c>
      <c r="U120">
        <v>110.97</v>
      </c>
      <c r="V120">
        <v>110.97</v>
      </c>
      <c r="W120">
        <v>60.006370821071897</v>
      </c>
      <c r="X120">
        <v>0</v>
      </c>
      <c r="Y120">
        <v>1.281E-3</v>
      </c>
      <c r="AA120">
        <f t="shared" si="17"/>
        <v>1.5949093341417985E-2</v>
      </c>
      <c r="AB120">
        <f t="shared" si="16"/>
        <v>1.5234667945004167E-2</v>
      </c>
      <c r="AC120">
        <f t="shared" si="10"/>
        <v>1.4997530311650846E-2</v>
      </c>
      <c r="AD120">
        <f t="shared" si="11"/>
        <v>1.5005443907020419E-2</v>
      </c>
      <c r="AE120">
        <f t="shared" si="12"/>
        <v>1.0731896540293674E-2</v>
      </c>
      <c r="AF120">
        <f t="shared" si="13"/>
        <v>1.4996504606859282E-2</v>
      </c>
      <c r="AG120">
        <f t="shared" si="14"/>
        <v>1.8227548080696855E-2</v>
      </c>
      <c r="AH120">
        <f t="shared" si="15"/>
        <v>1.8201892818975052E-2</v>
      </c>
      <c r="AJ120">
        <v>3.8637340061E-4</v>
      </c>
      <c r="AK120">
        <v>0.83911260563712098</v>
      </c>
      <c r="AL120">
        <v>0.832083107290436</v>
      </c>
      <c r="AM120">
        <v>2.6977032233806202E-4</v>
      </c>
      <c r="AO120">
        <v>1.1492924691999999E-3</v>
      </c>
      <c r="AP120">
        <v>100</v>
      </c>
      <c r="AQ120">
        <v>0</v>
      </c>
      <c r="AR120">
        <v>10.428331244901001</v>
      </c>
      <c r="AS120">
        <v>1.4201390164932901</v>
      </c>
      <c r="AT120">
        <v>0.561048141852036</v>
      </c>
      <c r="AU120">
        <v>1.16363814196155</v>
      </c>
      <c r="AV120">
        <v>4.4180989999851397</v>
      </c>
      <c r="AW120">
        <v>0.98597995084448997</v>
      </c>
      <c r="AX120">
        <v>1.04767151433184</v>
      </c>
      <c r="AY120">
        <v>1.0430677876410701</v>
      </c>
      <c r="AZ120">
        <v>1.6668079894451002E-2</v>
      </c>
      <c r="BB120">
        <v>5.0294603598999999E-3</v>
      </c>
      <c r="BC120">
        <v>1.1960326374972501</v>
      </c>
      <c r="BD120">
        <v>0.98140197517581296</v>
      </c>
      <c r="BE120">
        <v>1.39252122763902</v>
      </c>
      <c r="BF120" s="2">
        <v>9.9538110266348198E-5</v>
      </c>
      <c r="BG120">
        <v>1.0564566479999999</v>
      </c>
      <c r="BH120" s="2">
        <v>8.6447859474109899E-7</v>
      </c>
      <c r="BI120" s="2"/>
      <c r="BJ120">
        <v>6.94377421759745E-4</v>
      </c>
      <c r="BK120">
        <v>5.1633231645166404</v>
      </c>
      <c r="BL120">
        <v>0.59521760730442497</v>
      </c>
      <c r="BM120">
        <v>1.08685495673574</v>
      </c>
      <c r="BN120">
        <v>0.909815576553889</v>
      </c>
      <c r="BO120">
        <v>1.12003095357932</v>
      </c>
      <c r="BP120">
        <v>2.54075103177543E-2</v>
      </c>
      <c r="BQ120" s="2">
        <v>6.0050656888075099E-5</v>
      </c>
      <c r="BR120" s="2"/>
      <c r="BS120">
        <v>1.6998765352271902E-2</v>
      </c>
    </row>
    <row r="121" spans="1:71" x14ac:dyDescent="0.25">
      <c r="A121" t="s">
        <v>57</v>
      </c>
      <c r="B121">
        <v>1638133</v>
      </c>
      <c r="C121" t="s">
        <v>58</v>
      </c>
      <c r="D121">
        <v>2014</v>
      </c>
      <c r="E121">
        <v>4.5</v>
      </c>
      <c r="F121" s="1">
        <v>42461</v>
      </c>
      <c r="G121" t="s">
        <v>59</v>
      </c>
      <c r="H121">
        <v>886236.73</v>
      </c>
      <c r="I121">
        <v>65.13</v>
      </c>
      <c r="J121">
        <v>12.82</v>
      </c>
      <c r="K121">
        <v>22.05</v>
      </c>
      <c r="L121">
        <v>100</v>
      </c>
      <c r="M121">
        <v>0</v>
      </c>
      <c r="N121">
        <v>-2.33</v>
      </c>
      <c r="O121">
        <v>637.72059999999999</v>
      </c>
      <c r="P121">
        <v>21</v>
      </c>
      <c r="Q121">
        <v>126794.2</v>
      </c>
      <c r="R121">
        <v>136.81</v>
      </c>
      <c r="S121">
        <v>682</v>
      </c>
      <c r="T121">
        <v>5.0640000000000001</v>
      </c>
      <c r="U121">
        <v>110.97</v>
      </c>
      <c r="V121">
        <v>110.97</v>
      </c>
      <c r="W121">
        <v>60.006370821071897</v>
      </c>
      <c r="X121">
        <v>0</v>
      </c>
      <c r="Y121">
        <v>2.7099999999999997E-4</v>
      </c>
      <c r="AA121">
        <f t="shared" si="17"/>
        <v>1.5192025559699417E-2</v>
      </c>
      <c r="AB121">
        <f t="shared" si="16"/>
        <v>1.5234667945004167E-2</v>
      </c>
      <c r="AC121">
        <f t="shared" si="10"/>
        <v>1.503965709191713E-2</v>
      </c>
      <c r="AD121">
        <f t="shared" si="11"/>
        <v>1.5002887973451947E-2</v>
      </c>
      <c r="AE121">
        <f t="shared" si="12"/>
        <v>1.0166943397751559E-2</v>
      </c>
      <c r="AF121">
        <f t="shared" si="13"/>
        <v>1.493918580754087E-2</v>
      </c>
      <c r="AG121">
        <f t="shared" si="14"/>
        <v>1.6782617195038669E-2</v>
      </c>
      <c r="AH121">
        <f t="shared" si="15"/>
        <v>2.2100622287277015E-2</v>
      </c>
      <c r="AJ121">
        <v>3.8446969495000002E-4</v>
      </c>
      <c r="AK121">
        <v>0.83022517367870996</v>
      </c>
      <c r="AL121">
        <v>0.83601986755306201</v>
      </c>
      <c r="AM121">
        <v>2.6685454815655499E-4</v>
      </c>
      <c r="AO121">
        <v>1.1492924691999999E-3</v>
      </c>
      <c r="AP121">
        <v>100</v>
      </c>
      <c r="AQ121">
        <v>0</v>
      </c>
      <c r="AR121">
        <v>9.5519457908530807</v>
      </c>
      <c r="AS121">
        <v>1.74289694859928</v>
      </c>
      <c r="AT121">
        <v>0.52868620033688096</v>
      </c>
      <c r="AU121">
        <v>1.1044116985474599</v>
      </c>
      <c r="AV121">
        <v>4.1305876854391901</v>
      </c>
      <c r="AW121">
        <v>1.0493164468054199</v>
      </c>
      <c r="AX121">
        <v>1.02164132377963</v>
      </c>
      <c r="AY121">
        <v>1.0275550085810801</v>
      </c>
      <c r="AZ121">
        <v>1.6757697697128902E-2</v>
      </c>
      <c r="BB121">
        <v>5.0294603598999999E-3</v>
      </c>
      <c r="BC121">
        <v>1.18002675693482</v>
      </c>
      <c r="BD121">
        <v>0.98140197517581296</v>
      </c>
      <c r="BE121">
        <v>1.431620768862</v>
      </c>
      <c r="BF121">
        <v>4.53123522026591E-4</v>
      </c>
      <c r="BG121">
        <v>1.0564566479999999</v>
      </c>
      <c r="BH121" s="2">
        <v>3.9916867290493497E-6</v>
      </c>
      <c r="BI121" s="2"/>
      <c r="BJ121">
        <v>7.6417752035534095E-4</v>
      </c>
      <c r="BK121">
        <v>5.1633231645166404</v>
      </c>
      <c r="BL121">
        <v>0.59521760730442497</v>
      </c>
      <c r="BM121">
        <v>1.09199967917915</v>
      </c>
      <c r="BN121">
        <v>0.90333821900790701</v>
      </c>
      <c r="BO121">
        <v>0.93664212716332296</v>
      </c>
      <c r="BP121">
        <v>4.75851236947867E-2</v>
      </c>
      <c r="BQ121">
        <v>1.03256433626826E-4</v>
      </c>
      <c r="BS121">
        <v>1.7131800365641301E-2</v>
      </c>
    </row>
    <row r="122" spans="1:71" x14ac:dyDescent="0.25">
      <c r="A122" t="s">
        <v>57</v>
      </c>
      <c r="B122">
        <v>1638219</v>
      </c>
      <c r="C122" t="s">
        <v>58</v>
      </c>
      <c r="D122">
        <v>2014</v>
      </c>
      <c r="E122">
        <v>4.5</v>
      </c>
      <c r="F122" s="1">
        <v>42461</v>
      </c>
      <c r="G122" t="s">
        <v>59</v>
      </c>
      <c r="H122">
        <v>2971515.47</v>
      </c>
      <c r="I122">
        <v>89.55</v>
      </c>
      <c r="J122">
        <v>7.92</v>
      </c>
      <c r="K122">
        <v>2.5299999999999998</v>
      </c>
      <c r="L122">
        <v>100</v>
      </c>
      <c r="M122">
        <v>0</v>
      </c>
      <c r="N122">
        <v>8.8000000000000007</v>
      </c>
      <c r="O122">
        <v>594.92550000000006</v>
      </c>
      <c r="P122">
        <v>21</v>
      </c>
      <c r="Q122">
        <v>175038.53</v>
      </c>
      <c r="R122">
        <v>125.66</v>
      </c>
      <c r="S122">
        <v>704</v>
      </c>
      <c r="T122">
        <v>4.9710000000000001</v>
      </c>
      <c r="U122">
        <v>110.97</v>
      </c>
      <c r="V122">
        <v>110.97</v>
      </c>
      <c r="W122">
        <v>60.006370821071897</v>
      </c>
      <c r="X122">
        <v>0</v>
      </c>
      <c r="Y122" s="2">
        <v>5.1E-5</v>
      </c>
      <c r="Z122" s="2"/>
      <c r="AA122">
        <f t="shared" si="17"/>
        <v>1.3930073666896201E-2</v>
      </c>
      <c r="AB122">
        <f t="shared" si="16"/>
        <v>1.5234667945004167E-2</v>
      </c>
      <c r="AC122">
        <f t="shared" si="10"/>
        <v>1.5149689560690177E-2</v>
      </c>
      <c r="AD122">
        <f t="shared" si="11"/>
        <v>1.5007336943232853E-2</v>
      </c>
      <c r="AE122">
        <f t="shared" si="12"/>
        <v>1.0166943397751559E-2</v>
      </c>
      <c r="AF122">
        <f t="shared" si="13"/>
        <v>1.4998412038738187E-2</v>
      </c>
      <c r="AG122">
        <f t="shared" si="14"/>
        <v>1.4715547915279549E-2</v>
      </c>
      <c r="AH122">
        <f t="shared" si="15"/>
        <v>1.6133465559946172E-2</v>
      </c>
      <c r="AI122" s="2"/>
      <c r="AJ122">
        <v>3.8446969495000002E-4</v>
      </c>
      <c r="AK122">
        <v>0.84567009214868005</v>
      </c>
      <c r="AL122">
        <v>0.84563000466434801</v>
      </c>
      <c r="AM122">
        <v>2.7494350765707202E-4</v>
      </c>
      <c r="AO122">
        <v>1.1492924691999999E-3</v>
      </c>
      <c r="AP122">
        <v>100</v>
      </c>
      <c r="AQ122">
        <v>0</v>
      </c>
      <c r="AR122">
        <v>8.2441186774722492</v>
      </c>
      <c r="AS122">
        <v>1.2488852931579399</v>
      </c>
      <c r="AT122">
        <v>0.52868620033688096</v>
      </c>
      <c r="AU122">
        <v>1.0056874836551699</v>
      </c>
      <c r="AV122">
        <v>3.7087151819657702</v>
      </c>
      <c r="AW122">
        <v>0.94903188914352699</v>
      </c>
      <c r="AX122">
        <v>1.02164132377963</v>
      </c>
      <c r="AY122">
        <v>1.0016968471718699</v>
      </c>
      <c r="AZ122">
        <v>9.4373405330690999E-3</v>
      </c>
      <c r="BB122">
        <v>5.0294603598999999E-3</v>
      </c>
      <c r="BC122">
        <v>1.18002675693482</v>
      </c>
      <c r="BD122">
        <v>0.98140197517581296</v>
      </c>
      <c r="BE122">
        <v>1.452612</v>
      </c>
      <c r="BF122">
        <v>2.35853130910735E-3</v>
      </c>
      <c r="BG122">
        <v>1.0564566479999999</v>
      </c>
      <c r="BH122" s="2">
        <v>2.1081578502894199E-5</v>
      </c>
      <c r="BI122" s="2"/>
      <c r="BJ122">
        <v>9.8864905907473E-4</v>
      </c>
      <c r="BK122">
        <v>5.1633231645166404</v>
      </c>
      <c r="BL122">
        <v>0.59521760730442497</v>
      </c>
      <c r="BM122">
        <v>1.09199967917915</v>
      </c>
      <c r="BN122">
        <v>0.91461299091030401</v>
      </c>
      <c r="BO122">
        <v>1.1261336929580299</v>
      </c>
      <c r="BP122">
        <v>0.11440414287734001</v>
      </c>
      <c r="BQ122">
        <v>3.90965841866866E-4</v>
      </c>
      <c r="BS122">
        <v>1.01243314610959E-2</v>
      </c>
    </row>
    <row r="123" spans="1:71" x14ac:dyDescent="0.25">
      <c r="A123" t="s">
        <v>57</v>
      </c>
      <c r="B123">
        <v>1638591</v>
      </c>
      <c r="C123" t="s">
        <v>58</v>
      </c>
      <c r="D123">
        <v>2014</v>
      </c>
      <c r="E123">
        <v>4.5</v>
      </c>
      <c r="F123" s="1">
        <v>42461</v>
      </c>
      <c r="G123" t="s">
        <v>59</v>
      </c>
      <c r="H123">
        <v>1243952.6100000001</v>
      </c>
      <c r="I123">
        <v>59.18</v>
      </c>
      <c r="J123">
        <v>0</v>
      </c>
      <c r="K123">
        <v>40.82</v>
      </c>
      <c r="L123">
        <v>100</v>
      </c>
      <c r="M123">
        <v>0</v>
      </c>
      <c r="N123">
        <v>-13.39</v>
      </c>
      <c r="O123">
        <v>671.4701</v>
      </c>
      <c r="P123">
        <v>21</v>
      </c>
      <c r="Q123">
        <v>177941.13</v>
      </c>
      <c r="R123">
        <v>132.69999999999999</v>
      </c>
      <c r="S123">
        <v>631</v>
      </c>
      <c r="T123">
        <v>5.1470000000000002</v>
      </c>
      <c r="U123">
        <v>110.97</v>
      </c>
      <c r="V123">
        <v>110.97</v>
      </c>
      <c r="W123">
        <v>60.006370821071897</v>
      </c>
      <c r="X123">
        <v>0</v>
      </c>
      <c r="Y123" s="2">
        <v>3.0000000000000001E-6</v>
      </c>
      <c r="Z123" s="2"/>
      <c r="AA123">
        <f t="shared" si="17"/>
        <v>1.54995036007387E-2</v>
      </c>
      <c r="AB123">
        <f t="shared" si="16"/>
        <v>1.5234667945004167E-2</v>
      </c>
      <c r="AC123">
        <f t="shared" si="10"/>
        <v>1.4944655578138804E-2</v>
      </c>
      <c r="AD123">
        <f t="shared" si="11"/>
        <v>1.499943112687421E-2</v>
      </c>
      <c r="AE123">
        <f t="shared" si="12"/>
        <v>1.0166943397751559E-2</v>
      </c>
      <c r="AF123">
        <f t="shared" si="13"/>
        <v>1.4998931011968338E-2</v>
      </c>
      <c r="AG123">
        <f t="shared" si="14"/>
        <v>1.6079010104477251E-2</v>
      </c>
      <c r="AH123">
        <f t="shared" si="15"/>
        <v>4.2970878234412035E-2</v>
      </c>
      <c r="AI123" s="2"/>
      <c r="AJ123">
        <v>3.8446969495000002E-4</v>
      </c>
      <c r="AK123">
        <v>0.82296577984639496</v>
      </c>
      <c r="AL123">
        <v>0.83900928664936003</v>
      </c>
      <c r="AM123">
        <v>2.6546707090243499E-4</v>
      </c>
      <c r="AO123">
        <v>1.1492924691999999E-3</v>
      </c>
      <c r="AP123">
        <v>100</v>
      </c>
      <c r="AQ123">
        <v>0</v>
      </c>
      <c r="AR123">
        <v>9.1183506882688601</v>
      </c>
      <c r="AS123">
        <v>3.4702335852033501</v>
      </c>
      <c r="AT123">
        <v>0.52868620033688096</v>
      </c>
      <c r="AU123">
        <v>1.12846612437093</v>
      </c>
      <c r="AV123">
        <v>3.9896737380843099</v>
      </c>
      <c r="AW123">
        <v>1.3170455352111099</v>
      </c>
      <c r="AX123">
        <v>1.02164132377963</v>
      </c>
      <c r="AY123">
        <v>1.0338554205542501</v>
      </c>
      <c r="AZ123">
        <v>3.25449284253959E-2</v>
      </c>
      <c r="BB123">
        <v>5.0294603598999999E-3</v>
      </c>
      <c r="BC123">
        <v>1.18002675693482</v>
      </c>
      <c r="BD123">
        <v>0.98140197517581296</v>
      </c>
      <c r="BE123">
        <v>1.33198000734707</v>
      </c>
      <c r="BF123">
        <v>9.04720111135331E-4</v>
      </c>
      <c r="BG123">
        <v>1.0564566479999999</v>
      </c>
      <c r="BH123" s="2">
        <v>7.4152159493039602E-6</v>
      </c>
      <c r="BI123" s="2"/>
      <c r="BJ123">
        <v>6.1272685830650602E-4</v>
      </c>
      <c r="BK123">
        <v>5.1633231645166404</v>
      </c>
      <c r="BL123">
        <v>0.59521760730442497</v>
      </c>
      <c r="BM123">
        <v>1.09199967917915</v>
      </c>
      <c r="BN123">
        <v>0.89457772869555097</v>
      </c>
      <c r="BO123">
        <v>1.1277941236151701</v>
      </c>
      <c r="BP123">
        <v>6.2342738769827301E-2</v>
      </c>
      <c r="BQ123">
        <v>1.29338640691674E-4</v>
      </c>
      <c r="BS123">
        <v>3.2947149352939298E-2</v>
      </c>
    </row>
    <row r="124" spans="1:71" x14ac:dyDescent="0.25">
      <c r="A124" t="s">
        <v>57</v>
      </c>
      <c r="B124">
        <v>1638592</v>
      </c>
      <c r="C124" t="s">
        <v>58</v>
      </c>
      <c r="D124">
        <v>2014</v>
      </c>
      <c r="E124">
        <v>4.5</v>
      </c>
      <c r="F124" s="1">
        <v>42461</v>
      </c>
      <c r="G124" t="s">
        <v>59</v>
      </c>
      <c r="H124">
        <v>1676920.94</v>
      </c>
      <c r="I124">
        <v>62.92</v>
      </c>
      <c r="J124">
        <v>0</v>
      </c>
      <c r="K124">
        <v>37.08</v>
      </c>
      <c r="L124">
        <v>83.01</v>
      </c>
      <c r="M124">
        <v>16.989999999999998</v>
      </c>
      <c r="N124">
        <v>-39.03</v>
      </c>
      <c r="O124">
        <v>541.57820000000004</v>
      </c>
      <c r="P124">
        <v>21</v>
      </c>
      <c r="Q124">
        <v>129180.3</v>
      </c>
      <c r="R124">
        <v>134.12</v>
      </c>
      <c r="S124">
        <v>687</v>
      </c>
      <c r="T124">
        <v>4.8520000000000003</v>
      </c>
      <c r="U124">
        <v>110.97</v>
      </c>
      <c r="V124">
        <v>110.97</v>
      </c>
      <c r="W124">
        <v>60.006370821071897</v>
      </c>
      <c r="X124">
        <v>0</v>
      </c>
      <c r="Y124" s="2">
        <v>8.2999999999999998E-5</v>
      </c>
      <c r="Z124" s="2"/>
      <c r="AA124">
        <f t="shared" si="17"/>
        <v>1.5306231689228345E-2</v>
      </c>
      <c r="AB124">
        <f t="shared" si="16"/>
        <v>1.3581074732522576E-2</v>
      </c>
      <c r="AC124">
        <f t="shared" si="10"/>
        <v>1.482436028934208E-2</v>
      </c>
      <c r="AD124">
        <f t="shared" si="11"/>
        <v>1.501296669880435E-2</v>
      </c>
      <c r="AE124">
        <f t="shared" si="12"/>
        <v>1.0166943397751559E-2</v>
      </c>
      <c r="AF124">
        <f t="shared" si="13"/>
        <v>1.4942761524925064E-2</v>
      </c>
      <c r="AG124">
        <f t="shared" si="14"/>
        <v>1.6330726641586822E-2</v>
      </c>
      <c r="AH124">
        <f t="shared" si="15"/>
        <v>2.0662000193776578E-2</v>
      </c>
      <c r="AI124" s="2"/>
      <c r="AJ124">
        <v>3.8446969495000002E-4</v>
      </c>
      <c r="AK124">
        <v>0.83244176042142604</v>
      </c>
      <c r="AL124">
        <v>0.83791171364397299</v>
      </c>
      <c r="AM124">
        <v>2.6817249575535501E-4</v>
      </c>
      <c r="AO124">
        <v>1.1492924691999999E-3</v>
      </c>
      <c r="AP124">
        <v>83.01</v>
      </c>
      <c r="AQ124">
        <v>16.989999999999998</v>
      </c>
      <c r="AR124">
        <v>9.2743540890848202</v>
      </c>
      <c r="AS124">
        <v>1.6238222833815099</v>
      </c>
      <c r="AT124">
        <v>0.52868620033688096</v>
      </c>
      <c r="AU124">
        <v>1.1133461995676099</v>
      </c>
      <c r="AV124">
        <v>4.0402228782671097</v>
      </c>
      <c r="AW124">
        <v>1.02673978011914</v>
      </c>
      <c r="AX124">
        <v>1.02164132377963</v>
      </c>
      <c r="AY124">
        <v>1.0298951615996901</v>
      </c>
      <c r="AZ124">
        <v>1.3963771067810301E-2</v>
      </c>
      <c r="BB124">
        <v>5.0294603598999999E-3</v>
      </c>
      <c r="BC124">
        <v>1.18002675693482</v>
      </c>
      <c r="BD124">
        <v>0.98140197517581296</v>
      </c>
      <c r="BE124">
        <v>1.0981075798051301</v>
      </c>
      <c r="BF124">
        <v>7.20811253638253E-4</v>
      </c>
      <c r="BG124">
        <v>1.0564566479999999</v>
      </c>
      <c r="BH124" s="2">
        <v>4.8705533004283801E-6</v>
      </c>
      <c r="BI124" s="2"/>
      <c r="BJ124">
        <v>4.7691638495138199E-4</v>
      </c>
      <c r="BK124">
        <v>5.1633231645166404</v>
      </c>
      <c r="BL124">
        <v>0.59521760730442497</v>
      </c>
      <c r="BM124">
        <v>1.09199967917915</v>
      </c>
      <c r="BN124">
        <v>0.92888016130272</v>
      </c>
      <c r="BO124">
        <v>0.94808246824653397</v>
      </c>
      <c r="BP124">
        <v>5.6482395243011997E-2</v>
      </c>
      <c r="BQ124" s="2">
        <v>7.9613870910715505E-5</v>
      </c>
      <c r="BR124" s="2"/>
      <c r="BS124">
        <v>1.4316427987776799E-2</v>
      </c>
    </row>
    <row r="125" spans="1:71" x14ac:dyDescent="0.25">
      <c r="A125" t="s">
        <v>57</v>
      </c>
      <c r="B125">
        <v>1638593</v>
      </c>
      <c r="C125" t="s">
        <v>58</v>
      </c>
      <c r="D125">
        <v>2014</v>
      </c>
      <c r="E125">
        <v>4.5</v>
      </c>
      <c r="F125" s="1">
        <v>42461</v>
      </c>
      <c r="G125" t="s">
        <v>59</v>
      </c>
      <c r="H125">
        <v>1146563.83</v>
      </c>
      <c r="I125">
        <v>28.3</v>
      </c>
      <c r="J125">
        <v>0</v>
      </c>
      <c r="K125">
        <v>71.7</v>
      </c>
      <c r="L125">
        <v>100</v>
      </c>
      <c r="M125">
        <v>0</v>
      </c>
      <c r="N125">
        <v>-53.44</v>
      </c>
      <c r="O125">
        <v>636.13829999999996</v>
      </c>
      <c r="P125">
        <v>21</v>
      </c>
      <c r="Q125">
        <v>164053.71</v>
      </c>
      <c r="R125">
        <v>125.34</v>
      </c>
      <c r="S125">
        <v>682</v>
      </c>
      <c r="T125">
        <v>5.0650000000000004</v>
      </c>
      <c r="U125">
        <v>110.97</v>
      </c>
      <c r="V125">
        <v>110.97</v>
      </c>
      <c r="W125">
        <v>60.006370821071897</v>
      </c>
      <c r="X125">
        <v>0</v>
      </c>
      <c r="Y125">
        <v>1.395E-3</v>
      </c>
      <c r="AA125">
        <f t="shared" si="17"/>
        <v>1.7095288795241761E-2</v>
      </c>
      <c r="AB125">
        <f t="shared" si="16"/>
        <v>1.5234667945004167E-2</v>
      </c>
      <c r="AC125">
        <f t="shared" si="10"/>
        <v>1.4768475433406364E-2</v>
      </c>
      <c r="AD125">
        <f t="shared" si="11"/>
        <v>1.5003051228396357E-2</v>
      </c>
      <c r="AE125">
        <f t="shared" si="12"/>
        <v>1.0166943397751559E-2</v>
      </c>
      <c r="AF125">
        <f t="shared" si="13"/>
        <v>1.4995909360655106E-2</v>
      </c>
      <c r="AG125">
        <f t="shared" si="14"/>
        <v>1.4652288432794865E-2</v>
      </c>
      <c r="AH125">
        <f t="shared" si="15"/>
        <v>2.2100622287277015E-2</v>
      </c>
      <c r="AJ125">
        <v>3.8446969495000002E-4</v>
      </c>
      <c r="AK125">
        <v>0.83022517367870996</v>
      </c>
      <c r="AL125">
        <v>0.84598333236145495</v>
      </c>
      <c r="AM125">
        <v>2.7003485044685698E-4</v>
      </c>
      <c r="AO125">
        <v>1.1492924691999999E-3</v>
      </c>
      <c r="AP125">
        <v>100</v>
      </c>
      <c r="AQ125">
        <v>0</v>
      </c>
      <c r="AR125">
        <v>8.20184036417775</v>
      </c>
      <c r="AS125">
        <v>1.74289694859928</v>
      </c>
      <c r="AT125">
        <v>0.52868620033688096</v>
      </c>
      <c r="AU125">
        <v>1.2533065730144199</v>
      </c>
      <c r="AV125">
        <v>3.6951775300927299</v>
      </c>
      <c r="AW125">
        <v>1.0493164468054199</v>
      </c>
      <c r="AX125">
        <v>1.02164132377963</v>
      </c>
      <c r="AY125">
        <v>1.06655402924862</v>
      </c>
      <c r="AZ125">
        <v>1.6329020482470299E-2</v>
      </c>
      <c r="BB125">
        <v>5.0294603598999999E-3</v>
      </c>
      <c r="BC125">
        <v>1.18002675693482</v>
      </c>
      <c r="BD125">
        <v>0.98140197517581296</v>
      </c>
      <c r="BE125">
        <v>0.97620388865033203</v>
      </c>
      <c r="BF125">
        <v>2.44938904373456E-3</v>
      </c>
      <c r="BG125">
        <v>1.0564566479999999</v>
      </c>
      <c r="BH125" s="2">
        <v>1.4713302256707E-5</v>
      </c>
      <c r="BI125" s="2"/>
      <c r="BJ125">
        <v>4.2071114873189902E-4</v>
      </c>
      <c r="BK125">
        <v>5.1633231645166404</v>
      </c>
      <c r="BL125">
        <v>0.59521760730442497</v>
      </c>
      <c r="BM125">
        <v>1.09199967917915</v>
      </c>
      <c r="BN125">
        <v>0.90375194675855797</v>
      </c>
      <c r="BO125">
        <v>1.1181264910973701</v>
      </c>
      <c r="BP125">
        <v>0.118027029706187</v>
      </c>
      <c r="BQ125">
        <v>1.6839658100622701E-4</v>
      </c>
      <c r="BS125">
        <v>1.67821652161801E-2</v>
      </c>
    </row>
    <row r="126" spans="1:71" x14ac:dyDescent="0.25">
      <c r="A126" t="s">
        <v>57</v>
      </c>
      <c r="B126">
        <v>1639169</v>
      </c>
      <c r="C126" t="s">
        <v>58</v>
      </c>
      <c r="D126">
        <v>2014</v>
      </c>
      <c r="E126">
        <v>4.5</v>
      </c>
      <c r="F126" s="1">
        <v>42461</v>
      </c>
      <c r="G126" t="s">
        <v>59</v>
      </c>
      <c r="H126">
        <v>12015177.310000001</v>
      </c>
      <c r="I126">
        <v>79.88</v>
      </c>
      <c r="J126">
        <v>6.15</v>
      </c>
      <c r="K126">
        <v>13.97</v>
      </c>
      <c r="L126">
        <v>92.46</v>
      </c>
      <c r="M126">
        <v>7.54</v>
      </c>
      <c r="N126">
        <v>4.01</v>
      </c>
      <c r="O126">
        <v>594.12040000000002</v>
      </c>
      <c r="P126">
        <v>20</v>
      </c>
      <c r="Q126">
        <v>167102.99</v>
      </c>
      <c r="R126">
        <v>127.85</v>
      </c>
      <c r="S126">
        <v>664</v>
      </c>
      <c r="T126">
        <v>5.0190000000000001</v>
      </c>
      <c r="U126">
        <v>110.97</v>
      </c>
      <c r="V126">
        <v>110.97</v>
      </c>
      <c r="W126">
        <v>60.006370821071897</v>
      </c>
      <c r="X126">
        <v>0</v>
      </c>
      <c r="Y126">
        <v>1.03E-4</v>
      </c>
      <c r="AA126">
        <f t="shared" si="17"/>
        <v>1.4429790079812122E-2</v>
      </c>
      <c r="AB126">
        <f t="shared" si="16"/>
        <v>1.4500819044350185E-2</v>
      </c>
      <c r="AC126">
        <f t="shared" si="10"/>
        <v>1.5101488277671661E-2</v>
      </c>
      <c r="AD126">
        <f t="shared" si="11"/>
        <v>1.5007421267129882E-2</v>
      </c>
      <c r="AE126">
        <f t="shared" si="12"/>
        <v>9.6082825969310975E-3</v>
      </c>
      <c r="AF126">
        <f t="shared" si="13"/>
        <v>1.4996695262952692E-2</v>
      </c>
      <c r="AG126">
        <f t="shared" si="14"/>
        <v>1.5147138275404747E-2</v>
      </c>
      <c r="AH126">
        <f t="shared" si="15"/>
        <v>2.7908518788277187E-2</v>
      </c>
      <c r="AJ126">
        <v>3.8273700804E-4</v>
      </c>
      <c r="AK126">
        <v>0.82446668119745303</v>
      </c>
      <c r="AL126">
        <v>0.84235665087484202</v>
      </c>
      <c r="AM126">
        <v>2.65808935463676E-4</v>
      </c>
      <c r="AO126">
        <v>1.1492924691999999E-3</v>
      </c>
      <c r="AP126">
        <v>92.46</v>
      </c>
      <c r="AQ126">
        <v>7.54</v>
      </c>
      <c r="AR126">
        <v>8.5280933898347708</v>
      </c>
      <c r="AS126">
        <v>2.2235959034509101</v>
      </c>
      <c r="AT126">
        <v>0.49673613773901598</v>
      </c>
      <c r="AU126">
        <v>1.04478097906911</v>
      </c>
      <c r="AV126">
        <v>3.7997438064717999</v>
      </c>
      <c r="AW126">
        <v>1.13360282651023</v>
      </c>
      <c r="AX126">
        <v>0.99094613703000001</v>
      </c>
      <c r="AY126">
        <v>1.0119363402442301</v>
      </c>
      <c r="AZ126">
        <v>1.62482570806428E-2</v>
      </c>
      <c r="BB126">
        <v>5.0294603598999999E-3</v>
      </c>
      <c r="BC126">
        <v>1.16249287019906</v>
      </c>
      <c r="BD126">
        <v>0.98140197517581296</v>
      </c>
      <c r="BE126">
        <v>1.452612</v>
      </c>
      <c r="BF126">
        <v>1.79885525776334E-3</v>
      </c>
      <c r="BG126">
        <v>1.0564566479999999</v>
      </c>
      <c r="BH126" s="2">
        <v>1.5840035224260799E-5</v>
      </c>
      <c r="BI126" s="2"/>
      <c r="BJ126">
        <v>8.85538048672075E-4</v>
      </c>
      <c r="BK126">
        <v>5.1633231645166404</v>
      </c>
      <c r="BL126">
        <v>0.59521760730442497</v>
      </c>
      <c r="BM126">
        <v>1.0968391892759399</v>
      </c>
      <c r="BN126">
        <v>0.91482668818220003</v>
      </c>
      <c r="BO126">
        <v>1.12064094886246</v>
      </c>
      <c r="BP126">
        <v>9.2989432578410497E-2</v>
      </c>
      <c r="BQ126">
        <v>2.8457331557348698E-4</v>
      </c>
      <c r="BS126">
        <v>1.6814479366904299E-2</v>
      </c>
    </row>
    <row r="127" spans="1:71" x14ac:dyDescent="0.25">
      <c r="A127" t="s">
        <v>57</v>
      </c>
      <c r="B127">
        <v>1641046</v>
      </c>
      <c r="C127" t="s">
        <v>58</v>
      </c>
      <c r="D127">
        <v>2014</v>
      </c>
      <c r="E127">
        <v>4.5</v>
      </c>
      <c r="F127" s="1">
        <v>42461</v>
      </c>
      <c r="G127" t="s">
        <v>59</v>
      </c>
      <c r="H127">
        <v>4873325.9800000004</v>
      </c>
      <c r="I127">
        <v>39.31</v>
      </c>
      <c r="J127">
        <v>8.07</v>
      </c>
      <c r="K127">
        <v>52.62</v>
      </c>
      <c r="L127">
        <v>100</v>
      </c>
      <c r="M127">
        <v>0</v>
      </c>
      <c r="N127">
        <v>-53.96</v>
      </c>
      <c r="O127">
        <v>493.37240000000003</v>
      </c>
      <c r="P127">
        <v>18</v>
      </c>
      <c r="Q127">
        <v>125135.33</v>
      </c>
      <c r="R127">
        <v>137.97999999999999</v>
      </c>
      <c r="S127">
        <v>726</v>
      </c>
      <c r="T127">
        <v>4.8630000000000004</v>
      </c>
      <c r="U127">
        <v>110.97</v>
      </c>
      <c r="V127">
        <v>110.97</v>
      </c>
      <c r="W127">
        <v>60.006370821071897</v>
      </c>
      <c r="X127">
        <v>0</v>
      </c>
      <c r="Y127">
        <v>9.9400000000000009E-4</v>
      </c>
      <c r="AA127">
        <f>$AJ$129*$AK$129*$AL$129+1.5*$AO$129*$AP$129/100*$AR$129*$AS$129*$AT$129*AU127+$AO$129*$AQ$129/100*$AV$129*$AW$129*$AX$129*$AY$129+$BB$129*$BC$129*$BD$129*$BE$129*$BF$129*$BG$129+$BJ$129*$BK$129*$BL$129*$BM$129*$BN$129*$BO$129*$BP$129</f>
        <v>1.6526325226864817E-2</v>
      </c>
      <c r="AB127">
        <f>$AJ$129*$AK$129*$AL$129+1.5*$AO$129*AP127/100*$AR$129*$AS$129*$AT$129*$AU$129+$AO$129*AQ127/100*$AV$129*$AW$129*$AX$129*$AY$129+$BB$129*$BC$129*$BD$129*$BE$129*$BF$129*$BG$129+$BJ$129*$BK$129*$BL$129*$BM$129*$BN$129*$BO$129*$BP$129</f>
        <v>1.5234667945004167E-2</v>
      </c>
      <c r="AC127">
        <f>$AJ$129*$AK$129*$AL$129+1.5*$AO$129*$AP$129/100*$AR$129*$AS$129*$AT$129*$AU$129+$AO$129*$AQ$129/100*$AV$129*$AW$129*$AX$129*$AY$129+$BB$129*$BC$129*$BD$129*BE127*$BF$129*$BG$129+BJ127*$BK$129*$BL$129*$BM$129*$BN$129*$BO$129*$BP$129</f>
        <v>1.476669492024419E-2</v>
      </c>
      <c r="AD127">
        <f>$AJ$129*$AK$129*$AL$129+1.5*$AO$129*$AP$129/100*$AR$129*$AS$129*$AT$129*$AU$129+$AO$129*$AQ$129/100*$AV$129*$AW$129*$AX$129*$AY$129+$BB$129*$BC$129*$BD$129*$BE$129*$BF$129*$BG$129+$BJ$129*$BK$129*$BL$129*$BM$129*BN127*$BO$129*$BP$129</f>
        <v>1.5018113735527278E-2</v>
      </c>
      <c r="AE127">
        <f>AJ127*$AK$129*$AL$129+1.5*$AO$129*$AP$129/100*$AR$129*$AS$129*AT127*$AU$129+$AO$129*$AQ$129/100*$AV$129*$AW$129*AX127*$AY$129+$BB$129*BC127*$BD$129*$BE$129*$BF$129*$BG$129+$BJ$129*$BK$129*$BL$129*BM127*$BN$129*$BO$129*$BP$129</f>
        <v>8.4761870134115579E-3</v>
      </c>
      <c r="AF127">
        <f>$AJ$129*$AK$129*$AL$129+1.5*$AO$129*$AP$129/100*$AR$129*$AS$129*$AT$129*$AU$129+$AO$129*$AQ$129/100*$AV$129*$AW$129*$AX$129*$AY$129+$BB$129*$BC$129*$BD$129*$BE$129*$BF$129*$BG$129+$BJ$129*$BK$129*$BL$129*$BM$129*$BN$129*BO127*$BP$129</f>
        <v>1.4936709850129305E-2</v>
      </c>
      <c r="AG127">
        <f>$AJ$129*$AK$129*AL127+1.5*$AO$129*$AP$129/100*AR127*$AS$129*$AT$129*$AU$129+$AO$129*$AQ$129/100*AV127*$AW$129*$AX$129*$AY$129+$BB$129*$BC$129*$BD$129*$BE$129*BF127*$BG$129+$BJ$129*$BK$129*$BL$129*$BM$129*$BN$129*$BO$129*BP127</f>
        <v>1.6969431912164972E-2</v>
      </c>
      <c r="AH127">
        <f>$AJ$129*AK127*$AL$129+1.5*$AO$129*$AP$129/100*$AR$129*AS127*$AT$129*$AU$129+$AO$129*$AQ$129/100*$AV$129*AW127*$AX$129*$AY$129+$BB$129*$BC$129*$BD$129*$BE$129*$BF$129*$BG$129+$BJ$129*$BK$129*$BL$129*$BM$129*$BN$129*$BO$129*$BP$129</f>
        <v>1.1536945844946099E-2</v>
      </c>
      <c r="AJ127">
        <v>3.7981236257999997E-4</v>
      </c>
      <c r="AK127">
        <v>0.88738558892446995</v>
      </c>
      <c r="AL127">
        <v>0.83215988126978502</v>
      </c>
      <c r="AM127">
        <v>2.80471180570535E-4</v>
      </c>
      <c r="AO127">
        <v>1.1492924691999999E-3</v>
      </c>
      <c r="AP127">
        <v>100</v>
      </c>
      <c r="AQ127">
        <v>0</v>
      </c>
      <c r="AR127">
        <v>9.6668231029989506</v>
      </c>
      <c r="AS127">
        <v>0.86773632936675205</v>
      </c>
      <c r="AT127">
        <v>0.43214629611532401</v>
      </c>
      <c r="AU127">
        <v>1.2087957783393899</v>
      </c>
      <c r="AV127">
        <v>4.1681292059310602</v>
      </c>
      <c r="AW127">
        <v>0.848123576857439</v>
      </c>
      <c r="AX127">
        <v>0.91284636007831998</v>
      </c>
      <c r="AY127">
        <v>1.05489561986633</v>
      </c>
      <c r="AZ127">
        <v>7.5540021025460903E-3</v>
      </c>
      <c r="BB127">
        <v>5.0294603598999999E-3</v>
      </c>
      <c r="BC127">
        <v>1.12249777322238</v>
      </c>
      <c r="BD127">
        <v>0.98140197517581296</v>
      </c>
      <c r="BE127">
        <v>0.97239348542922399</v>
      </c>
      <c r="BF127">
        <v>3.6580796465907598E-4</v>
      </c>
      <c r="BG127">
        <v>1.0564566479999999</v>
      </c>
      <c r="BH127" s="2">
        <v>2.0820956817331899E-6</v>
      </c>
      <c r="BI127" s="2"/>
      <c r="BJ127">
        <v>4.1888223913081902E-4</v>
      </c>
      <c r="BK127">
        <v>5.1633231645166404</v>
      </c>
      <c r="BL127">
        <v>0.59521760730442497</v>
      </c>
      <c r="BM127">
        <v>1.1053579947655801</v>
      </c>
      <c r="BN127">
        <v>0.94192400468266901</v>
      </c>
      <c r="BO127">
        <v>0.92872041684555096</v>
      </c>
      <c r="BP127">
        <v>4.42160247583969E-2</v>
      </c>
      <c r="BQ127" s="2">
        <v>5.5040267172564198E-5</v>
      </c>
      <c r="BR127" s="2"/>
      <c r="BS127">
        <v>7.8915956459709204E-3</v>
      </c>
    </row>
    <row r="129" spans="26:71" x14ac:dyDescent="0.25">
      <c r="AJ129">
        <f>SUMPRODUCT($H$2:$H$127,AJ2:AJ127)/SUM($H$2:$H$127)</f>
        <v>4.0551228406334312E-4</v>
      </c>
      <c r="AK129">
        <f t="shared" ref="AK129:AM129" si="18">SUMPRODUCT($H$2:$H$127,AK2:AK127)/SUM($H$2:$H$127)</f>
        <v>0.88255058717971591</v>
      </c>
      <c r="AL129">
        <f t="shared" si="18"/>
        <v>0.85427587348108291</v>
      </c>
      <c r="AM129">
        <f t="shared" si="18"/>
        <v>3.0655445604232419E-4</v>
      </c>
      <c r="AO129">
        <f t="shared" ref="AO129:AZ129" si="19">SUMPRODUCT($H$2:$H$127,AO2:AO127)/SUM($H$2:$H$127)</f>
        <v>1.1492924691999991E-3</v>
      </c>
      <c r="AP129">
        <f t="shared" si="19"/>
        <v>97.477555378900959</v>
      </c>
      <c r="AQ129">
        <f t="shared" si="19"/>
        <v>2.5224446210990266</v>
      </c>
      <c r="AR129">
        <f t="shared" si="19"/>
        <v>8.1817977190100279</v>
      </c>
      <c r="AS129">
        <f t="shared" si="19"/>
        <v>1.1533479608184738</v>
      </c>
      <c r="AT129">
        <f t="shared" si="19"/>
        <v>0.80609007029322544</v>
      </c>
      <c r="AU129">
        <f t="shared" si="19"/>
        <v>1.0885416302937665</v>
      </c>
      <c r="AV129">
        <f t="shared" si="19"/>
        <v>3.7033369401083922</v>
      </c>
      <c r="AW129">
        <f t="shared" si="19"/>
        <v>0.91330605999884207</v>
      </c>
      <c r="AX129">
        <f t="shared" si="19"/>
        <v>1.1416524433213346</v>
      </c>
      <c r="AY129">
        <f t="shared" si="19"/>
        <v>1.0234000131708543</v>
      </c>
      <c r="AZ129">
        <f t="shared" si="19"/>
        <v>1.3417628008442824E-2</v>
      </c>
      <c r="BB129">
        <f t="shared" ref="BB129:BH129" si="20">SUMPRODUCT($H$2:$H$127,BB2:BB127)/SUM($H$2:$H$127)</f>
        <v>5.0294603598999982E-3</v>
      </c>
      <c r="BC129">
        <f t="shared" si="20"/>
        <v>1.2582309814716095</v>
      </c>
      <c r="BD129">
        <f t="shared" si="20"/>
        <v>0.98140197517581229</v>
      </c>
      <c r="BE129">
        <f t="shared" si="20"/>
        <v>1.2834453696243273</v>
      </c>
      <c r="BF129">
        <f t="shared" si="20"/>
        <v>3.7021163339619759E-2</v>
      </c>
      <c r="BG129">
        <f t="shared" si="20"/>
        <v>1.0564566479999995</v>
      </c>
      <c r="BH129">
        <f t="shared" si="20"/>
        <v>2.5487979219854397E-4</v>
      </c>
      <c r="BJ129">
        <f t="shared" ref="BJ129:BQ129" si="21">SUMPRODUCT($H$2:$H$127,BJ2:BJ127)/SUM($H$2:$H$127)</f>
        <v>7.3315909057977365E-4</v>
      </c>
      <c r="BK129">
        <f t="shared" si="21"/>
        <v>5.1633231645166413</v>
      </c>
      <c r="BL129">
        <f t="shared" si="21"/>
        <v>0.59521760730442475</v>
      </c>
      <c r="BM129">
        <f t="shared" si="21"/>
        <v>1.0506388380735516</v>
      </c>
      <c r="BN129">
        <f t="shared" si="21"/>
        <v>0.86856052694818209</v>
      </c>
      <c r="BO129">
        <f t="shared" si="21"/>
        <v>1.0965477963542543</v>
      </c>
      <c r="BP129">
        <f t="shared" si="21"/>
        <v>0.15200832470216513</v>
      </c>
      <c r="BQ129">
        <f t="shared" si="21"/>
        <v>3.0720938789213185E-4</v>
      </c>
      <c r="BS129">
        <f>SUMPRODUCT($H$2:$H$127,BS2:BS127)/SUM($H$2:$H$127)</f>
        <v>1.4286271644575807E-2</v>
      </c>
    </row>
    <row r="130" spans="26:71" x14ac:dyDescent="0.25">
      <c r="AA130" s="3">
        <f>STDEV(AA2:AA127)</f>
        <v>1.08903680168598E-3</v>
      </c>
      <c r="AB130" s="3">
        <f t="shared" ref="AB130:AH130" si="22">STDEV(AB2:AB127)</f>
        <v>4.172440469010528E-4</v>
      </c>
      <c r="AC130" s="3">
        <f t="shared" si="22"/>
        <v>2.2658386564619875E-4</v>
      </c>
      <c r="AD130" s="3">
        <f t="shared" si="22"/>
        <v>1.2553449986206251E-5</v>
      </c>
      <c r="AE130" s="3">
        <f t="shared" si="22"/>
        <v>3.5978786899922991E-3</v>
      </c>
      <c r="AF130" s="3">
        <f t="shared" si="22"/>
        <v>2.3184540710330392E-5</v>
      </c>
      <c r="AG130" s="3">
        <f t="shared" si="22"/>
        <v>1.5200312272682776E-3</v>
      </c>
      <c r="AH130" s="3">
        <f t="shared" si="22"/>
        <v>6.7018561794560264E-3</v>
      </c>
      <c r="BS130">
        <f>STDEV(BS2:BS127)</f>
        <v>5.9473907874630335E-3</v>
      </c>
    </row>
    <row r="134" spans="26:71" x14ac:dyDescent="0.25">
      <c r="Z134" t="s">
        <v>60</v>
      </c>
      <c r="AA134" t="s">
        <v>61</v>
      </c>
      <c r="AB134" t="s">
        <v>62</v>
      </c>
    </row>
    <row r="135" spans="26:71" x14ac:dyDescent="0.25">
      <c r="Z135">
        <v>1</v>
      </c>
      <c r="AA135" t="s">
        <v>18</v>
      </c>
      <c r="AB135">
        <v>6.7018561794560264E-3</v>
      </c>
    </row>
    <row r="136" spans="26:71" x14ac:dyDescent="0.25">
      <c r="Z136">
        <v>2</v>
      </c>
      <c r="AA136" t="s">
        <v>15</v>
      </c>
      <c r="AB136">
        <v>3.5978786899922991E-3</v>
      </c>
    </row>
    <row r="137" spans="26:71" x14ac:dyDescent="0.25">
      <c r="Z137">
        <v>3</v>
      </c>
      <c r="AA137" t="s">
        <v>17</v>
      </c>
      <c r="AB137">
        <v>1.5200312272682776E-3</v>
      </c>
    </row>
    <row r="138" spans="26:71" x14ac:dyDescent="0.25">
      <c r="Z138">
        <v>4</v>
      </c>
      <c r="AA138" t="s">
        <v>8</v>
      </c>
      <c r="AB138">
        <v>1.08903680168598E-3</v>
      </c>
    </row>
    <row r="139" spans="26:71" x14ac:dyDescent="0.25">
      <c r="Z139">
        <v>5</v>
      </c>
      <c r="AA139" t="s">
        <v>12</v>
      </c>
      <c r="AB139">
        <v>4.172440469010528E-4</v>
      </c>
    </row>
    <row r="140" spans="26:71" x14ac:dyDescent="0.25">
      <c r="Z140">
        <v>6</v>
      </c>
      <c r="AA140" t="s">
        <v>13</v>
      </c>
      <c r="AB140">
        <v>2.2658386564619875E-4</v>
      </c>
    </row>
    <row r="141" spans="26:71" x14ac:dyDescent="0.25">
      <c r="Z141">
        <v>7</v>
      </c>
      <c r="AA141" t="s">
        <v>16</v>
      </c>
      <c r="AB141">
        <v>2.3184540710330392E-5</v>
      </c>
    </row>
    <row r="142" spans="26:71" x14ac:dyDescent="0.25">
      <c r="Z142">
        <v>8</v>
      </c>
      <c r="AA142" t="s">
        <v>14</v>
      </c>
      <c r="AB142">
        <v>1.2553449986206251E-5</v>
      </c>
    </row>
  </sheetData>
  <sortState ref="AA135:AB142">
    <sortCondition descending="1" ref="AB135:AB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highltv_fhlpc339_ss_pool_v1_out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Robert Morris</cp:lastModifiedBy>
  <dcterms:created xsi:type="dcterms:W3CDTF">2016-06-02T20:45:25Z</dcterms:created>
  <dcterms:modified xsi:type="dcterms:W3CDTF">2016-06-02T20:45:25Z</dcterms:modified>
</cp:coreProperties>
</file>