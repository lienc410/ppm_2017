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795" windowWidth="9705" windowHeight="9195" activeTab="2"/>
  </bookViews>
  <sheets>
    <sheet name="Housing Stock" sheetId="2" r:id="rId1"/>
    <sheet name="EHS" sheetId="1" r:id="rId2"/>
    <sheet name="Turnover EHS" sheetId="3" r:id="rId3"/>
    <sheet name="OTM Turnover MBS" sheetId="4" r:id="rId4"/>
    <sheet name="Mtg Rate" sheetId="5" r:id="rId5"/>
    <sheet name="OTM Refi" sheetId="6" r:id="rId6"/>
    <sheet name="model vs actual" sheetId="7" r:id="rId7"/>
  </sheets>
  <calcPr calcId="145621"/>
</workbook>
</file>

<file path=xl/calcChain.xml><?xml version="1.0" encoding="utf-8"?>
<calcChain xmlns="http://schemas.openxmlformats.org/spreadsheetml/2006/main">
  <c r="D222" i="3" l="1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S226" i="2" s="1"/>
  <c r="Q225" i="2"/>
  <c r="S225" i="2" s="1"/>
  <c r="Q224" i="2"/>
  <c r="Q223" i="2"/>
  <c r="Q222" i="2"/>
  <c r="Q221" i="2"/>
  <c r="Q220" i="2"/>
  <c r="S220" i="2" s="1"/>
  <c r="Q219" i="2"/>
  <c r="S219" i="2" s="1"/>
  <c r="Q218" i="2"/>
  <c r="S218" i="2" s="1"/>
  <c r="Q217" i="2"/>
  <c r="S217" i="2" s="1"/>
  <c r="Q216" i="2"/>
  <c r="S216" i="2" s="1"/>
  <c r="Q215" i="2"/>
  <c r="S215" i="2" s="1"/>
  <c r="Q214" i="2"/>
  <c r="Q213" i="2"/>
  <c r="Q212" i="2"/>
  <c r="Q211" i="2"/>
  <c r="Q210" i="2"/>
  <c r="Q209" i="2"/>
  <c r="P209" i="2"/>
  <c r="M22" i="2"/>
  <c r="S211" i="2" l="1"/>
  <c r="S212" i="2"/>
  <c r="S209" i="2"/>
  <c r="S210" i="2"/>
  <c r="S213" i="2"/>
  <c r="S222" i="2"/>
  <c r="S223" i="2"/>
  <c r="S214" i="2"/>
  <c r="S224" i="2"/>
  <c r="S221" i="2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F50" i="7"/>
  <c r="E51" i="7"/>
  <c r="F51" i="7"/>
  <c r="E52" i="7"/>
  <c r="F52" i="7"/>
  <c r="E53" i="7"/>
  <c r="F53" i="7"/>
  <c r="E54" i="7"/>
  <c r="F54" i="7"/>
  <c r="E55" i="7"/>
  <c r="F55" i="7"/>
  <c r="E56" i="7"/>
  <c r="F56" i="7"/>
  <c r="E57" i="7"/>
  <c r="F57" i="7"/>
  <c r="E58" i="7"/>
  <c r="F58" i="7"/>
  <c r="E59" i="7"/>
  <c r="F59" i="7"/>
  <c r="E60" i="7"/>
  <c r="F60" i="7"/>
  <c r="E61" i="7"/>
  <c r="F61" i="7"/>
  <c r="E62" i="7"/>
  <c r="F62" i="7"/>
  <c r="E63" i="7"/>
  <c r="F63" i="7"/>
  <c r="E64" i="7"/>
  <c r="F64" i="7"/>
  <c r="E65" i="7"/>
  <c r="F65" i="7"/>
  <c r="E66" i="7"/>
  <c r="F66" i="7"/>
  <c r="E67" i="7"/>
  <c r="F67" i="7"/>
  <c r="E68" i="7"/>
  <c r="F68" i="7"/>
  <c r="E69" i="7"/>
  <c r="F69" i="7"/>
  <c r="E70" i="7"/>
  <c r="F70" i="7"/>
  <c r="E71" i="7"/>
  <c r="F71" i="7"/>
  <c r="E72" i="7"/>
  <c r="F72" i="7"/>
  <c r="E73" i="7"/>
  <c r="F73" i="7"/>
  <c r="E74" i="7"/>
  <c r="F74" i="7"/>
  <c r="E75" i="7"/>
  <c r="F75" i="7"/>
  <c r="E76" i="7"/>
  <c r="F76" i="7"/>
  <c r="E77" i="7"/>
  <c r="F77" i="7"/>
  <c r="E78" i="7"/>
  <c r="F78" i="7"/>
  <c r="E79" i="7"/>
  <c r="F79" i="7"/>
  <c r="E80" i="7"/>
  <c r="F80" i="7"/>
  <c r="E81" i="7"/>
  <c r="F81" i="7"/>
  <c r="E82" i="7"/>
  <c r="F82" i="7"/>
  <c r="E83" i="7"/>
  <c r="F83" i="7"/>
  <c r="E84" i="7"/>
  <c r="F84" i="7"/>
  <c r="E85" i="7"/>
  <c r="F85" i="7"/>
  <c r="E86" i="7"/>
  <c r="F86" i="7"/>
  <c r="E87" i="7"/>
  <c r="F87" i="7"/>
  <c r="E88" i="7"/>
  <c r="F88" i="7"/>
  <c r="E89" i="7"/>
  <c r="F89" i="7"/>
  <c r="E90" i="7"/>
  <c r="F90" i="7"/>
  <c r="E91" i="7"/>
  <c r="F91" i="7"/>
  <c r="E92" i="7"/>
  <c r="F92" i="7"/>
  <c r="E93" i="7"/>
  <c r="F93" i="7"/>
  <c r="E94" i="7"/>
  <c r="F94" i="7"/>
  <c r="E95" i="7"/>
  <c r="F95" i="7"/>
  <c r="E96" i="7"/>
  <c r="F96" i="7"/>
  <c r="E97" i="7"/>
  <c r="F97" i="7"/>
  <c r="E98" i="7"/>
  <c r="F98" i="7"/>
  <c r="E99" i="7"/>
  <c r="F99" i="7"/>
  <c r="E100" i="7"/>
  <c r="F100" i="7"/>
  <c r="E101" i="7"/>
  <c r="F101" i="7"/>
  <c r="E102" i="7"/>
  <c r="F102" i="7"/>
  <c r="E103" i="7"/>
  <c r="F103" i="7"/>
  <c r="E104" i="7"/>
  <c r="F104" i="7"/>
  <c r="E105" i="7"/>
  <c r="F105" i="7"/>
  <c r="E106" i="7"/>
  <c r="F106" i="7"/>
  <c r="E107" i="7"/>
  <c r="F107" i="7"/>
  <c r="E108" i="7"/>
  <c r="F108" i="7"/>
  <c r="E109" i="7"/>
  <c r="F109" i="7"/>
  <c r="E110" i="7"/>
  <c r="F110" i="7"/>
  <c r="E111" i="7"/>
  <c r="F111" i="7"/>
  <c r="E112" i="7"/>
  <c r="F112" i="7"/>
  <c r="E113" i="7"/>
  <c r="F113" i="7"/>
  <c r="E114" i="7"/>
  <c r="F114" i="7"/>
  <c r="E115" i="7"/>
  <c r="F115" i="7"/>
  <c r="E116" i="7"/>
  <c r="F116" i="7"/>
  <c r="E117" i="7"/>
  <c r="F117" i="7"/>
  <c r="E118" i="7"/>
  <c r="F118" i="7"/>
  <c r="E119" i="7"/>
  <c r="F119" i="7"/>
  <c r="E120" i="7"/>
  <c r="F120" i="7"/>
  <c r="E121" i="7"/>
  <c r="F121" i="7"/>
  <c r="E122" i="7"/>
  <c r="F122" i="7"/>
  <c r="E123" i="7"/>
  <c r="F123" i="7"/>
  <c r="E124" i="7"/>
  <c r="F124" i="7"/>
  <c r="E125" i="7"/>
  <c r="F125" i="7"/>
  <c r="E126" i="7"/>
  <c r="F126" i="7"/>
  <c r="E127" i="7"/>
  <c r="F127" i="7"/>
  <c r="E128" i="7"/>
  <c r="F128" i="7"/>
  <c r="E129" i="7"/>
  <c r="F129" i="7"/>
  <c r="E130" i="7"/>
  <c r="F130" i="7"/>
  <c r="E131" i="7"/>
  <c r="F131" i="7"/>
  <c r="E132" i="7"/>
  <c r="F132" i="7"/>
  <c r="E133" i="7"/>
  <c r="F133" i="7"/>
  <c r="E134" i="7"/>
  <c r="F134" i="7"/>
  <c r="E135" i="7"/>
  <c r="F135" i="7"/>
  <c r="E136" i="7"/>
  <c r="F136" i="7"/>
  <c r="E137" i="7"/>
  <c r="F137" i="7"/>
  <c r="E138" i="7"/>
  <c r="F138" i="7"/>
  <c r="E139" i="7"/>
  <c r="F139" i="7"/>
  <c r="E140" i="7"/>
  <c r="F140" i="7"/>
  <c r="E141" i="7"/>
  <c r="F141" i="7"/>
  <c r="E142" i="7"/>
  <c r="F142" i="7"/>
  <c r="E143" i="7"/>
  <c r="F143" i="7"/>
  <c r="E144" i="7"/>
  <c r="F144" i="7"/>
  <c r="E145" i="7"/>
  <c r="F145" i="7"/>
  <c r="E146" i="7"/>
  <c r="F146" i="7"/>
  <c r="E147" i="7"/>
  <c r="F147" i="7"/>
  <c r="E148" i="7"/>
  <c r="F148" i="7"/>
  <c r="E149" i="7"/>
  <c r="F149" i="7"/>
  <c r="E150" i="7"/>
  <c r="F150" i="7"/>
  <c r="E151" i="7"/>
  <c r="F151" i="7"/>
  <c r="E152" i="7"/>
  <c r="F152" i="7"/>
  <c r="E153" i="7"/>
  <c r="F153" i="7"/>
  <c r="E154" i="7"/>
  <c r="F154" i="7"/>
  <c r="E155" i="7"/>
  <c r="F155" i="7"/>
  <c r="E156" i="7"/>
  <c r="F156" i="7"/>
  <c r="E157" i="7"/>
  <c r="F157" i="7"/>
  <c r="E158" i="7"/>
  <c r="F158" i="7"/>
  <c r="E159" i="7"/>
  <c r="F159" i="7"/>
  <c r="E160" i="7"/>
  <c r="F160" i="7"/>
  <c r="E161" i="7"/>
  <c r="F161" i="7"/>
  <c r="E162" i="7"/>
  <c r="F162" i="7"/>
  <c r="E163" i="7"/>
  <c r="F163" i="7"/>
  <c r="E164" i="7"/>
  <c r="F164" i="7"/>
  <c r="E165" i="7"/>
  <c r="F165" i="7"/>
  <c r="E166" i="7"/>
  <c r="F166" i="7"/>
  <c r="E167" i="7"/>
  <c r="F167" i="7"/>
  <c r="E168" i="7"/>
  <c r="F168" i="7"/>
  <c r="E169" i="7"/>
  <c r="F169" i="7"/>
  <c r="E170" i="7"/>
  <c r="F170" i="7"/>
  <c r="E171" i="7"/>
  <c r="F171" i="7"/>
  <c r="E172" i="7"/>
  <c r="F172" i="7"/>
  <c r="E173" i="7"/>
  <c r="F173" i="7"/>
  <c r="E174" i="7"/>
  <c r="F174" i="7"/>
  <c r="E175" i="7"/>
  <c r="F175" i="7"/>
  <c r="E176" i="7"/>
  <c r="F176" i="7"/>
  <c r="E177" i="7"/>
  <c r="F177" i="7"/>
  <c r="E178" i="7"/>
  <c r="F178" i="7"/>
  <c r="E179" i="7"/>
  <c r="F179" i="7"/>
  <c r="E180" i="7"/>
  <c r="F180" i="7"/>
  <c r="E181" i="7"/>
  <c r="F181" i="7"/>
  <c r="E182" i="7"/>
  <c r="F182" i="7"/>
  <c r="E183" i="7"/>
  <c r="F183" i="7"/>
  <c r="E184" i="7"/>
  <c r="F184" i="7"/>
  <c r="E185" i="7"/>
  <c r="F185" i="7"/>
  <c r="E186" i="7"/>
  <c r="F186" i="7"/>
  <c r="E187" i="7"/>
  <c r="F187" i="7"/>
  <c r="E188" i="7"/>
  <c r="F188" i="7"/>
  <c r="E189" i="7"/>
  <c r="F189" i="7"/>
  <c r="E190" i="7"/>
  <c r="F190" i="7"/>
  <c r="E191" i="7"/>
  <c r="F191" i="7"/>
  <c r="E192" i="7"/>
  <c r="F192" i="7"/>
  <c r="E193" i="7"/>
  <c r="F193" i="7"/>
  <c r="E194" i="7"/>
  <c r="F194" i="7"/>
  <c r="E195" i="7"/>
  <c r="F195" i="7"/>
  <c r="E196" i="7"/>
  <c r="F196" i="7"/>
  <c r="E197" i="7"/>
  <c r="F197" i="7"/>
  <c r="E198" i="7"/>
  <c r="F198" i="7"/>
  <c r="E199" i="7"/>
  <c r="F199" i="7"/>
  <c r="E200" i="7"/>
  <c r="F200" i="7"/>
  <c r="E201" i="7"/>
  <c r="F201" i="7"/>
  <c r="E202" i="7"/>
  <c r="F202" i="7"/>
  <c r="E203" i="7"/>
  <c r="F203" i="7"/>
  <c r="E204" i="7"/>
  <c r="F204" i="7"/>
  <c r="E205" i="7"/>
  <c r="F205" i="7"/>
  <c r="E206" i="7"/>
  <c r="F206" i="7"/>
  <c r="E207" i="7"/>
  <c r="F207" i="7"/>
  <c r="E208" i="7"/>
  <c r="F208" i="7"/>
  <c r="E209" i="7"/>
  <c r="F209" i="7"/>
  <c r="E210" i="7"/>
  <c r="F210" i="7"/>
  <c r="E211" i="7"/>
  <c r="F211" i="7"/>
  <c r="E212" i="7"/>
  <c r="F212" i="7"/>
  <c r="E213" i="7"/>
  <c r="F213" i="7"/>
  <c r="E214" i="7"/>
  <c r="F214" i="7"/>
  <c r="E215" i="7"/>
  <c r="F215" i="7"/>
  <c r="E216" i="7"/>
  <c r="F216" i="7"/>
  <c r="E217" i="7"/>
  <c r="F217" i="7"/>
  <c r="E218" i="7"/>
  <c r="F218" i="7"/>
  <c r="E219" i="7"/>
  <c r="F219" i="7"/>
  <c r="E220" i="7"/>
  <c r="F220" i="7"/>
  <c r="E221" i="7"/>
  <c r="F221" i="7"/>
  <c r="E222" i="7"/>
  <c r="F222" i="7"/>
  <c r="E223" i="7"/>
  <c r="F223" i="7"/>
  <c r="E224" i="7"/>
  <c r="F224" i="7"/>
  <c r="E225" i="7"/>
  <c r="F225" i="7"/>
  <c r="E226" i="7"/>
  <c r="F226" i="7"/>
  <c r="E227" i="7"/>
  <c r="F227" i="7"/>
  <c r="E228" i="7"/>
  <c r="F228" i="7"/>
  <c r="E229" i="7"/>
  <c r="F229" i="7"/>
  <c r="E230" i="7"/>
  <c r="F230" i="7"/>
  <c r="E231" i="7"/>
  <c r="F231" i="7"/>
  <c r="E232" i="7"/>
  <c r="F232" i="7"/>
  <c r="E233" i="7"/>
  <c r="F233" i="7"/>
  <c r="E234" i="7"/>
  <c r="F234" i="7"/>
  <c r="E235" i="7"/>
  <c r="F235" i="7"/>
  <c r="E236" i="7"/>
  <c r="F236" i="7"/>
  <c r="E237" i="7"/>
  <c r="F237" i="7"/>
  <c r="E238" i="7"/>
  <c r="F238" i="7"/>
  <c r="E239" i="7"/>
  <c r="F239" i="7"/>
  <c r="E240" i="7"/>
  <c r="F240" i="7"/>
  <c r="E241" i="7"/>
  <c r="F241" i="7"/>
  <c r="E242" i="7"/>
  <c r="F242" i="7"/>
  <c r="E243" i="7"/>
  <c r="F243" i="7"/>
  <c r="E244" i="7"/>
  <c r="F244" i="7"/>
  <c r="E245" i="7"/>
  <c r="F245" i="7"/>
  <c r="E246" i="7"/>
  <c r="F246" i="7"/>
  <c r="E247" i="7"/>
  <c r="F247" i="7"/>
  <c r="E248" i="7"/>
  <c r="F248" i="7"/>
  <c r="E249" i="7"/>
  <c r="F249" i="7"/>
  <c r="E250" i="7"/>
  <c r="F250" i="7"/>
  <c r="E251" i="7"/>
  <c r="F251" i="7"/>
  <c r="E252" i="7"/>
  <c r="F252" i="7"/>
  <c r="E253" i="7"/>
  <c r="F253" i="7"/>
  <c r="E254" i="7"/>
  <c r="F254" i="7"/>
  <c r="E255" i="7"/>
  <c r="F255" i="7"/>
  <c r="E256" i="7"/>
  <c r="F256" i="7"/>
  <c r="E257" i="7"/>
  <c r="F257" i="7"/>
  <c r="E258" i="7"/>
  <c r="F258" i="7"/>
  <c r="E259" i="7"/>
  <c r="F259" i="7"/>
  <c r="E260" i="7"/>
  <c r="F260" i="7"/>
  <c r="E261" i="7"/>
  <c r="F261" i="7"/>
  <c r="E262" i="7"/>
  <c r="F262" i="7"/>
  <c r="E263" i="7"/>
  <c r="F263" i="7"/>
  <c r="F7" i="7"/>
  <c r="E7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" i="7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" i="3"/>
  <c r="J62" i="3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" i="5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" i="3"/>
  <c r="Q197" i="2"/>
  <c r="S197" i="2" s="1"/>
  <c r="Q198" i="2"/>
  <c r="S198" i="2" s="1"/>
  <c r="C195" i="3" s="1"/>
  <c r="D195" i="3" s="1"/>
  <c r="G195" i="3" s="1"/>
  <c r="Q199" i="2"/>
  <c r="S199" i="2" s="1"/>
  <c r="C196" i="3" s="1"/>
  <c r="D196" i="3" s="1"/>
  <c r="G196" i="3" s="1"/>
  <c r="Q200" i="2"/>
  <c r="S200" i="2" s="1"/>
  <c r="C197" i="3" s="1"/>
  <c r="D197" i="3" s="1"/>
  <c r="G197" i="3" s="1"/>
  <c r="Q201" i="2"/>
  <c r="S201" i="2" s="1"/>
  <c r="C198" i="3" s="1"/>
  <c r="D198" i="3" s="1"/>
  <c r="G198" i="3" s="1"/>
  <c r="Q202" i="2"/>
  <c r="S202" i="2" s="1"/>
  <c r="C199" i="3" s="1"/>
  <c r="D199" i="3" s="1"/>
  <c r="G199" i="3" s="1"/>
  <c r="Q203" i="2"/>
  <c r="S203" i="2" s="1"/>
  <c r="C200" i="3" s="1"/>
  <c r="D200" i="3" s="1"/>
  <c r="G200" i="3" s="1"/>
  <c r="Q204" i="2"/>
  <c r="S204" i="2" s="1"/>
  <c r="C201" i="3" s="1"/>
  <c r="D201" i="3" s="1"/>
  <c r="G201" i="3" s="1"/>
  <c r="Q205" i="2"/>
  <c r="S205" i="2" s="1"/>
  <c r="C202" i="3" s="1"/>
  <c r="D202" i="3" s="1"/>
  <c r="G202" i="3" s="1"/>
  <c r="Q206" i="2"/>
  <c r="S206" i="2" s="1"/>
  <c r="C203" i="3" s="1"/>
  <c r="D203" i="3" s="1"/>
  <c r="G203" i="3" s="1"/>
  <c r="Q207" i="2"/>
  <c r="S207" i="2" s="1"/>
  <c r="C204" i="3" s="1"/>
  <c r="D204" i="3" s="1"/>
  <c r="G204" i="3" s="1"/>
  <c r="Q208" i="2"/>
  <c r="S208" i="2" s="1"/>
  <c r="C205" i="3" s="1"/>
  <c r="D205" i="3" s="1"/>
  <c r="G205" i="3" s="1"/>
  <c r="P197" i="2"/>
  <c r="P198" i="2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30" i="2"/>
  <c r="P31" i="2"/>
  <c r="P32" i="2" s="1"/>
  <c r="P29" i="2"/>
  <c r="Q29" i="2" s="1"/>
  <c r="P18" i="2"/>
  <c r="P19" i="2" s="1"/>
  <c r="P17" i="2"/>
  <c r="Q17" i="2" s="1"/>
  <c r="P7" i="2"/>
  <c r="P8" i="2"/>
  <c r="P9" i="2"/>
  <c r="P10" i="2"/>
  <c r="Q10" i="2" s="1"/>
  <c r="P11" i="2"/>
  <c r="P12" i="2" s="1"/>
  <c r="P6" i="2"/>
  <c r="Q6" i="2"/>
  <c r="Q7" i="2"/>
  <c r="Q8" i="2"/>
  <c r="Q9" i="2"/>
  <c r="Q30" i="2"/>
  <c r="Q5" i="2"/>
  <c r="S17" i="2" l="1"/>
  <c r="C14" i="3" s="1"/>
  <c r="D14" i="3" s="1"/>
  <c r="G14" i="3" s="1"/>
  <c r="C194" i="3"/>
  <c r="D194" i="3" s="1"/>
  <c r="G194" i="3" s="1"/>
  <c r="S5" i="2"/>
  <c r="C2" i="3" s="1"/>
  <c r="D2" i="3" s="1"/>
  <c r="G2" i="3" s="1"/>
  <c r="P33" i="2"/>
  <c r="Q32" i="2"/>
  <c r="Q31" i="2"/>
  <c r="P20" i="2"/>
  <c r="Q19" i="2"/>
  <c r="S7" i="2" s="1"/>
  <c r="C4" i="3" s="1"/>
  <c r="D4" i="3" s="1"/>
  <c r="G4" i="3" s="1"/>
  <c r="Q18" i="2"/>
  <c r="S6" i="2" s="1"/>
  <c r="C3" i="3" s="1"/>
  <c r="D3" i="3" s="1"/>
  <c r="G3" i="3" s="1"/>
  <c r="Q12" i="2"/>
  <c r="P13" i="2"/>
  <c r="Q11" i="2"/>
  <c r="B147" i="2"/>
  <c r="B140" i="2"/>
  <c r="B136" i="2"/>
  <c r="B135" i="2"/>
  <c r="B133" i="2" s="1"/>
  <c r="C128" i="2"/>
  <c r="H126" i="2"/>
  <c r="H119" i="2"/>
  <c r="H115" i="2" s="1"/>
  <c r="I114" i="2"/>
  <c r="G114" i="2"/>
  <c r="F114" i="2"/>
  <c r="E114" i="2"/>
  <c r="D114" i="2"/>
  <c r="C114" i="2"/>
  <c r="B114" i="2"/>
  <c r="I93" i="2"/>
  <c r="H93" i="2"/>
  <c r="G93" i="2"/>
  <c r="F93" i="2"/>
  <c r="S18" i="2" l="1"/>
  <c r="C15" i="3" s="1"/>
  <c r="D15" i="3" s="1"/>
  <c r="G15" i="3" s="1"/>
  <c r="S19" i="2"/>
  <c r="C16" i="3" s="1"/>
  <c r="D16" i="3" s="1"/>
  <c r="G16" i="3" s="1"/>
  <c r="Q33" i="2"/>
  <c r="P34" i="2"/>
  <c r="Q20" i="2"/>
  <c r="S8" i="2" s="1"/>
  <c r="C5" i="3" s="1"/>
  <c r="D5" i="3" s="1"/>
  <c r="G5" i="3" s="1"/>
  <c r="P21" i="2"/>
  <c r="P14" i="2"/>
  <c r="Q13" i="2"/>
  <c r="H112" i="2"/>
  <c r="H114" i="2"/>
  <c r="A7" i="1"/>
  <c r="S20" i="2" l="1"/>
  <c r="C17" i="3" s="1"/>
  <c r="D17" i="3" s="1"/>
  <c r="G17" i="3" s="1"/>
  <c r="Q34" i="2"/>
  <c r="P35" i="2"/>
  <c r="Q21" i="2"/>
  <c r="S9" i="2" s="1"/>
  <c r="C6" i="3" s="1"/>
  <c r="D6" i="3" s="1"/>
  <c r="G6" i="3" s="1"/>
  <c r="P22" i="2"/>
  <c r="P15" i="2"/>
  <c r="Q14" i="2"/>
  <c r="S21" i="2" l="1"/>
  <c r="C18" i="3" s="1"/>
  <c r="D18" i="3" s="1"/>
  <c r="G18" i="3" s="1"/>
  <c r="P36" i="2"/>
  <c r="Q35" i="2"/>
  <c r="Q22" i="2"/>
  <c r="S10" i="2" s="1"/>
  <c r="C7" i="3" s="1"/>
  <c r="D7" i="3" s="1"/>
  <c r="G7" i="3" s="1"/>
  <c r="P23" i="2"/>
  <c r="Q15" i="2"/>
  <c r="P16" i="2"/>
  <c r="Q16" i="2" s="1"/>
  <c r="S22" i="2" l="1"/>
  <c r="C19" i="3" s="1"/>
  <c r="D19" i="3" s="1"/>
  <c r="G19" i="3" s="1"/>
  <c r="Q36" i="2"/>
  <c r="P37" i="2"/>
  <c r="Q23" i="2"/>
  <c r="S11" i="2" s="1"/>
  <c r="C8" i="3" s="1"/>
  <c r="D8" i="3" s="1"/>
  <c r="G8" i="3" s="1"/>
  <c r="P24" i="2"/>
  <c r="S23" i="2" l="1"/>
  <c r="C20" i="3" s="1"/>
  <c r="D20" i="3" s="1"/>
  <c r="G20" i="3" s="1"/>
  <c r="P38" i="2"/>
  <c r="Q37" i="2"/>
  <c r="P25" i="2"/>
  <c r="Q24" i="2"/>
  <c r="S12" i="2" s="1"/>
  <c r="C9" i="3" s="1"/>
  <c r="D9" i="3" s="1"/>
  <c r="G9" i="3" s="1"/>
  <c r="S24" i="2" l="1"/>
  <c r="C21" i="3" s="1"/>
  <c r="D21" i="3" s="1"/>
  <c r="G21" i="3" s="1"/>
  <c r="P39" i="2"/>
  <c r="Q38" i="2"/>
  <c r="Q25" i="2"/>
  <c r="S13" i="2" s="1"/>
  <c r="C10" i="3" s="1"/>
  <c r="D10" i="3" s="1"/>
  <c r="G10" i="3" s="1"/>
  <c r="P26" i="2"/>
  <c r="S25" i="2" l="1"/>
  <c r="C22" i="3" s="1"/>
  <c r="D22" i="3" s="1"/>
  <c r="G22" i="3" s="1"/>
  <c r="P40" i="2"/>
  <c r="Q39" i="2"/>
  <c r="Q26" i="2"/>
  <c r="S14" i="2" s="1"/>
  <c r="C11" i="3" s="1"/>
  <c r="D11" i="3" s="1"/>
  <c r="G11" i="3" s="1"/>
  <c r="P27" i="2"/>
  <c r="S26" i="2" l="1"/>
  <c r="C23" i="3" s="1"/>
  <c r="D23" i="3" s="1"/>
  <c r="G23" i="3" s="1"/>
  <c r="P41" i="2"/>
  <c r="Q40" i="2"/>
  <c r="P28" i="2"/>
  <c r="Q28" i="2" s="1"/>
  <c r="S16" i="2" s="1"/>
  <c r="C13" i="3" s="1"/>
  <c r="D13" i="3" s="1"/>
  <c r="G13" i="3" s="1"/>
  <c r="Q27" i="2"/>
  <c r="S15" i="2" s="1"/>
  <c r="C12" i="3" s="1"/>
  <c r="D12" i="3" s="1"/>
  <c r="G12" i="3" s="1"/>
  <c r="S28" i="2" l="1"/>
  <c r="C25" i="3" s="1"/>
  <c r="D25" i="3" s="1"/>
  <c r="G25" i="3" s="1"/>
  <c r="S27" i="2"/>
  <c r="C24" i="3" s="1"/>
  <c r="D24" i="3" s="1"/>
  <c r="G24" i="3" s="1"/>
  <c r="Q41" i="2"/>
  <c r="S29" i="2" s="1"/>
  <c r="C26" i="3" s="1"/>
  <c r="D26" i="3" s="1"/>
  <c r="G26" i="3" s="1"/>
  <c r="P42" i="2"/>
  <c r="Q42" i="2" l="1"/>
  <c r="S30" i="2" s="1"/>
  <c r="C27" i="3" s="1"/>
  <c r="D27" i="3" s="1"/>
  <c r="G27" i="3" s="1"/>
  <c r="P43" i="2"/>
  <c r="P44" i="2" l="1"/>
  <c r="Q43" i="2"/>
  <c r="S31" i="2" s="1"/>
  <c r="C28" i="3" s="1"/>
  <c r="D28" i="3" s="1"/>
  <c r="G28" i="3" s="1"/>
  <c r="Q44" i="2" l="1"/>
  <c r="S32" i="2" s="1"/>
  <c r="C29" i="3" s="1"/>
  <c r="D29" i="3" s="1"/>
  <c r="G29" i="3" s="1"/>
  <c r="P45" i="2"/>
  <c r="P46" i="2" l="1"/>
  <c r="Q45" i="2"/>
  <c r="S33" i="2" s="1"/>
  <c r="C30" i="3" s="1"/>
  <c r="D30" i="3" s="1"/>
  <c r="G30" i="3" s="1"/>
  <c r="P47" i="2" l="1"/>
  <c r="Q46" i="2"/>
  <c r="S34" i="2" s="1"/>
  <c r="C31" i="3" s="1"/>
  <c r="D31" i="3" s="1"/>
  <c r="G31" i="3" s="1"/>
  <c r="P48" i="2" l="1"/>
  <c r="Q47" i="2"/>
  <c r="S35" i="2" s="1"/>
  <c r="C32" i="3" s="1"/>
  <c r="D32" i="3" s="1"/>
  <c r="G32" i="3" s="1"/>
  <c r="P49" i="2" l="1"/>
  <c r="Q48" i="2"/>
  <c r="S36" i="2" s="1"/>
  <c r="C33" i="3" s="1"/>
  <c r="D33" i="3" s="1"/>
  <c r="G33" i="3" s="1"/>
  <c r="Q49" i="2" l="1"/>
  <c r="S37" i="2" s="1"/>
  <c r="C34" i="3" s="1"/>
  <c r="D34" i="3" s="1"/>
  <c r="G34" i="3" s="1"/>
  <c r="P50" i="2"/>
  <c r="Q50" i="2" l="1"/>
  <c r="S38" i="2" s="1"/>
  <c r="C35" i="3" s="1"/>
  <c r="D35" i="3" s="1"/>
  <c r="G35" i="3" s="1"/>
  <c r="P51" i="2"/>
  <c r="P52" i="2" l="1"/>
  <c r="Q51" i="2"/>
  <c r="S39" i="2" s="1"/>
  <c r="C36" i="3" s="1"/>
  <c r="D36" i="3" s="1"/>
  <c r="G36" i="3" s="1"/>
  <c r="Q52" i="2" l="1"/>
  <c r="S40" i="2" s="1"/>
  <c r="C37" i="3" s="1"/>
  <c r="D37" i="3" s="1"/>
  <c r="G37" i="3" s="1"/>
  <c r="P53" i="2"/>
  <c r="P54" i="2" l="1"/>
  <c r="Q53" i="2"/>
  <c r="S41" i="2" s="1"/>
  <c r="C38" i="3" s="1"/>
  <c r="D38" i="3" s="1"/>
  <c r="G38" i="3" s="1"/>
  <c r="P55" i="2" l="1"/>
  <c r="Q54" i="2"/>
  <c r="S42" i="2" s="1"/>
  <c r="C39" i="3" s="1"/>
  <c r="D39" i="3" s="1"/>
  <c r="G39" i="3" s="1"/>
  <c r="P56" i="2" l="1"/>
  <c r="Q55" i="2"/>
  <c r="S43" i="2" s="1"/>
  <c r="C40" i="3" s="1"/>
  <c r="D40" i="3" s="1"/>
  <c r="G40" i="3" s="1"/>
  <c r="P57" i="2" l="1"/>
  <c r="Q56" i="2"/>
  <c r="S44" i="2" s="1"/>
  <c r="C41" i="3" s="1"/>
  <c r="D41" i="3" s="1"/>
  <c r="G41" i="3" s="1"/>
  <c r="Q57" i="2" l="1"/>
  <c r="S45" i="2" s="1"/>
  <c r="C42" i="3" s="1"/>
  <c r="D42" i="3" s="1"/>
  <c r="G42" i="3" s="1"/>
  <c r="P58" i="2"/>
  <c r="Q58" i="2" l="1"/>
  <c r="S46" i="2" s="1"/>
  <c r="C43" i="3" s="1"/>
  <c r="D43" i="3" s="1"/>
  <c r="G43" i="3" s="1"/>
  <c r="P59" i="2"/>
  <c r="P60" i="2" l="1"/>
  <c r="Q59" i="2"/>
  <c r="S47" i="2" s="1"/>
  <c r="C44" i="3" s="1"/>
  <c r="D44" i="3" s="1"/>
  <c r="G44" i="3" s="1"/>
  <c r="Q60" i="2" l="1"/>
  <c r="S48" i="2" s="1"/>
  <c r="C45" i="3" s="1"/>
  <c r="D45" i="3" s="1"/>
  <c r="G45" i="3" s="1"/>
  <c r="P61" i="2"/>
  <c r="P62" i="2" l="1"/>
  <c r="Q61" i="2"/>
  <c r="S49" i="2" s="1"/>
  <c r="C46" i="3" s="1"/>
  <c r="D46" i="3" s="1"/>
  <c r="G46" i="3" s="1"/>
  <c r="P63" i="2" l="1"/>
  <c r="Q62" i="2"/>
  <c r="S50" i="2" s="1"/>
  <c r="C47" i="3" s="1"/>
  <c r="D47" i="3" s="1"/>
  <c r="G47" i="3" s="1"/>
  <c r="P64" i="2" l="1"/>
  <c r="Q63" i="2"/>
  <c r="S51" i="2" s="1"/>
  <c r="C48" i="3" s="1"/>
  <c r="D48" i="3" s="1"/>
  <c r="G48" i="3" s="1"/>
  <c r="P65" i="2" l="1"/>
  <c r="Q64" i="2"/>
  <c r="S52" i="2" s="1"/>
  <c r="C49" i="3" s="1"/>
  <c r="D49" i="3" s="1"/>
  <c r="G49" i="3" s="1"/>
  <c r="Q65" i="2" l="1"/>
  <c r="S53" i="2" s="1"/>
  <c r="C50" i="3" s="1"/>
  <c r="D50" i="3" s="1"/>
  <c r="G50" i="3" s="1"/>
  <c r="P66" i="2"/>
  <c r="Q66" i="2" l="1"/>
  <c r="S54" i="2" s="1"/>
  <c r="C51" i="3" s="1"/>
  <c r="D51" i="3" s="1"/>
  <c r="G51" i="3" s="1"/>
  <c r="P67" i="2"/>
  <c r="P68" i="2" l="1"/>
  <c r="Q67" i="2"/>
  <c r="S55" i="2" s="1"/>
  <c r="C52" i="3" s="1"/>
  <c r="D52" i="3" s="1"/>
  <c r="G52" i="3" s="1"/>
  <c r="Q68" i="2" l="1"/>
  <c r="S56" i="2" s="1"/>
  <c r="C53" i="3" s="1"/>
  <c r="D53" i="3" s="1"/>
  <c r="G53" i="3" s="1"/>
  <c r="P69" i="2"/>
  <c r="P70" i="2" l="1"/>
  <c r="Q69" i="2"/>
  <c r="S57" i="2" s="1"/>
  <c r="C54" i="3" s="1"/>
  <c r="D54" i="3" s="1"/>
  <c r="G54" i="3" s="1"/>
  <c r="P71" i="2" l="1"/>
  <c r="Q70" i="2"/>
  <c r="S58" i="2" s="1"/>
  <c r="C55" i="3" s="1"/>
  <c r="D55" i="3" s="1"/>
  <c r="G55" i="3" s="1"/>
  <c r="P72" i="2" l="1"/>
  <c r="Q71" i="2"/>
  <c r="S59" i="2" s="1"/>
  <c r="C56" i="3" s="1"/>
  <c r="D56" i="3" s="1"/>
  <c r="G56" i="3" s="1"/>
  <c r="P73" i="2" l="1"/>
  <c r="Q72" i="2"/>
  <c r="S60" i="2" s="1"/>
  <c r="C57" i="3" s="1"/>
  <c r="D57" i="3" s="1"/>
  <c r="G57" i="3" s="1"/>
  <c r="Q73" i="2" l="1"/>
  <c r="S61" i="2" s="1"/>
  <c r="C58" i="3" s="1"/>
  <c r="D58" i="3" s="1"/>
  <c r="G58" i="3" s="1"/>
  <c r="P74" i="2"/>
  <c r="Q74" i="2" l="1"/>
  <c r="S62" i="2" s="1"/>
  <c r="C59" i="3" s="1"/>
  <c r="D59" i="3" s="1"/>
  <c r="G59" i="3" s="1"/>
  <c r="P75" i="2"/>
  <c r="P76" i="2" l="1"/>
  <c r="Q75" i="2"/>
  <c r="S63" i="2" s="1"/>
  <c r="C60" i="3" s="1"/>
  <c r="D60" i="3" s="1"/>
  <c r="G60" i="3" s="1"/>
  <c r="Q76" i="2" l="1"/>
  <c r="S64" i="2" s="1"/>
  <c r="C61" i="3" s="1"/>
  <c r="D61" i="3" s="1"/>
  <c r="G61" i="3" s="1"/>
  <c r="P77" i="2"/>
  <c r="P78" i="2" l="1"/>
  <c r="Q77" i="2"/>
  <c r="S65" i="2" s="1"/>
  <c r="C62" i="3" s="1"/>
  <c r="D62" i="3" s="1"/>
  <c r="G62" i="3" s="1"/>
  <c r="P79" i="2" l="1"/>
  <c r="Q78" i="2"/>
  <c r="S66" i="2" s="1"/>
  <c r="C63" i="3" s="1"/>
  <c r="D63" i="3" s="1"/>
  <c r="G63" i="3" s="1"/>
  <c r="P80" i="2" l="1"/>
  <c r="Q79" i="2"/>
  <c r="S67" i="2" s="1"/>
  <c r="C64" i="3" s="1"/>
  <c r="D64" i="3" s="1"/>
  <c r="G64" i="3" s="1"/>
  <c r="P81" i="2" l="1"/>
  <c r="Q80" i="2"/>
  <c r="S68" i="2" s="1"/>
  <c r="C65" i="3" s="1"/>
  <c r="D65" i="3" s="1"/>
  <c r="G65" i="3" s="1"/>
  <c r="Q81" i="2" l="1"/>
  <c r="S69" i="2" s="1"/>
  <c r="C66" i="3" s="1"/>
  <c r="D66" i="3" s="1"/>
  <c r="G66" i="3" s="1"/>
  <c r="P82" i="2"/>
  <c r="Q82" i="2" l="1"/>
  <c r="S70" i="2" s="1"/>
  <c r="C67" i="3" s="1"/>
  <c r="D67" i="3" s="1"/>
  <c r="G67" i="3" s="1"/>
  <c r="P83" i="2"/>
  <c r="P84" i="2" l="1"/>
  <c r="Q83" i="2"/>
  <c r="S71" i="2" s="1"/>
  <c r="C68" i="3" s="1"/>
  <c r="D68" i="3" s="1"/>
  <c r="G68" i="3" s="1"/>
  <c r="Q84" i="2" l="1"/>
  <c r="S72" i="2" s="1"/>
  <c r="C69" i="3" s="1"/>
  <c r="D69" i="3" s="1"/>
  <c r="G69" i="3" s="1"/>
  <c r="P85" i="2"/>
  <c r="P86" i="2" l="1"/>
  <c r="Q85" i="2"/>
  <c r="S73" i="2" s="1"/>
  <c r="C70" i="3" s="1"/>
  <c r="D70" i="3" s="1"/>
  <c r="G70" i="3" s="1"/>
  <c r="Q86" i="2" l="1"/>
  <c r="S74" i="2" s="1"/>
  <c r="C71" i="3" s="1"/>
  <c r="D71" i="3" s="1"/>
  <c r="G71" i="3" s="1"/>
  <c r="P87" i="2"/>
  <c r="P88" i="2" l="1"/>
  <c r="Q87" i="2"/>
  <c r="S75" i="2" s="1"/>
  <c r="C72" i="3" s="1"/>
  <c r="D72" i="3" s="1"/>
  <c r="G72" i="3" s="1"/>
  <c r="P89" i="2" l="1"/>
  <c r="Q88" i="2"/>
  <c r="S76" i="2" s="1"/>
  <c r="C73" i="3" s="1"/>
  <c r="D73" i="3" s="1"/>
  <c r="G73" i="3" s="1"/>
  <c r="Q89" i="2" l="1"/>
  <c r="S77" i="2" s="1"/>
  <c r="C74" i="3" s="1"/>
  <c r="D74" i="3" s="1"/>
  <c r="G74" i="3" s="1"/>
  <c r="P90" i="2"/>
  <c r="Q90" i="2" l="1"/>
  <c r="S78" i="2" s="1"/>
  <c r="C75" i="3" s="1"/>
  <c r="D75" i="3" s="1"/>
  <c r="G75" i="3" s="1"/>
  <c r="P91" i="2"/>
  <c r="P92" i="2" l="1"/>
  <c r="Q91" i="2"/>
  <c r="S79" i="2" s="1"/>
  <c r="C76" i="3" s="1"/>
  <c r="D76" i="3" s="1"/>
  <c r="G76" i="3" s="1"/>
  <c r="Q92" i="2" l="1"/>
  <c r="S80" i="2" s="1"/>
  <c r="C77" i="3" s="1"/>
  <c r="D77" i="3" s="1"/>
  <c r="G77" i="3" s="1"/>
  <c r="P93" i="2"/>
  <c r="P94" i="2" l="1"/>
  <c r="Q93" i="2"/>
  <c r="S81" i="2" s="1"/>
  <c r="C78" i="3" s="1"/>
  <c r="D78" i="3" s="1"/>
  <c r="G78" i="3" s="1"/>
  <c r="P95" i="2" l="1"/>
  <c r="Q94" i="2"/>
  <c r="S82" i="2" s="1"/>
  <c r="C79" i="3" s="1"/>
  <c r="D79" i="3" s="1"/>
  <c r="G79" i="3" s="1"/>
  <c r="P96" i="2" l="1"/>
  <c r="Q95" i="2"/>
  <c r="S83" i="2" s="1"/>
  <c r="C80" i="3" s="1"/>
  <c r="D80" i="3" s="1"/>
  <c r="G80" i="3" s="1"/>
  <c r="P97" i="2" l="1"/>
  <c r="Q96" i="2"/>
  <c r="S84" i="2" s="1"/>
  <c r="C81" i="3" s="1"/>
  <c r="D81" i="3" s="1"/>
  <c r="G81" i="3" s="1"/>
  <c r="Q97" i="2" l="1"/>
  <c r="S85" i="2" s="1"/>
  <c r="C82" i="3" s="1"/>
  <c r="D82" i="3" s="1"/>
  <c r="G82" i="3" s="1"/>
  <c r="P98" i="2"/>
  <c r="Q98" i="2" l="1"/>
  <c r="S86" i="2" s="1"/>
  <c r="C83" i="3" s="1"/>
  <c r="D83" i="3" s="1"/>
  <c r="G83" i="3" s="1"/>
  <c r="P99" i="2"/>
  <c r="P100" i="2" l="1"/>
  <c r="Q99" i="2"/>
  <c r="S87" i="2" s="1"/>
  <c r="C84" i="3" s="1"/>
  <c r="D84" i="3" s="1"/>
  <c r="G84" i="3" s="1"/>
  <c r="Q100" i="2" l="1"/>
  <c r="S88" i="2" s="1"/>
  <c r="C85" i="3" s="1"/>
  <c r="D85" i="3" s="1"/>
  <c r="G85" i="3" s="1"/>
  <c r="P101" i="2"/>
  <c r="P102" i="2" l="1"/>
  <c r="Q101" i="2"/>
  <c r="S89" i="2" s="1"/>
  <c r="C86" i="3" s="1"/>
  <c r="D86" i="3" s="1"/>
  <c r="G86" i="3" s="1"/>
  <c r="P103" i="2" l="1"/>
  <c r="Q102" i="2"/>
  <c r="S90" i="2" s="1"/>
  <c r="C87" i="3" s="1"/>
  <c r="D87" i="3" s="1"/>
  <c r="G87" i="3" s="1"/>
  <c r="P104" i="2" l="1"/>
  <c r="Q103" i="2"/>
  <c r="S91" i="2" s="1"/>
  <c r="C88" i="3" s="1"/>
  <c r="D88" i="3" s="1"/>
  <c r="G88" i="3" s="1"/>
  <c r="P105" i="2" l="1"/>
  <c r="Q104" i="2"/>
  <c r="S92" i="2" s="1"/>
  <c r="C89" i="3" s="1"/>
  <c r="D89" i="3" s="1"/>
  <c r="G89" i="3" s="1"/>
  <c r="Q105" i="2" l="1"/>
  <c r="S93" i="2" s="1"/>
  <c r="C90" i="3" s="1"/>
  <c r="D90" i="3" s="1"/>
  <c r="G90" i="3" s="1"/>
  <c r="P106" i="2"/>
  <c r="Q106" i="2" l="1"/>
  <c r="S94" i="2" s="1"/>
  <c r="C91" i="3" s="1"/>
  <c r="D91" i="3" s="1"/>
  <c r="G91" i="3" s="1"/>
  <c r="P107" i="2"/>
  <c r="P108" i="2" l="1"/>
  <c r="Q107" i="2"/>
  <c r="S95" i="2" s="1"/>
  <c r="C92" i="3" s="1"/>
  <c r="D92" i="3" s="1"/>
  <c r="G92" i="3" s="1"/>
  <c r="Q108" i="2" l="1"/>
  <c r="S96" i="2" s="1"/>
  <c r="C93" i="3" s="1"/>
  <c r="D93" i="3" s="1"/>
  <c r="G93" i="3" s="1"/>
  <c r="P109" i="2"/>
  <c r="P110" i="2" l="1"/>
  <c r="Q109" i="2"/>
  <c r="S97" i="2" s="1"/>
  <c r="C94" i="3" s="1"/>
  <c r="D94" i="3" s="1"/>
  <c r="G94" i="3" s="1"/>
  <c r="Q110" i="2" l="1"/>
  <c r="S98" i="2" s="1"/>
  <c r="C95" i="3" s="1"/>
  <c r="D95" i="3" s="1"/>
  <c r="G95" i="3" s="1"/>
  <c r="P111" i="2"/>
  <c r="P112" i="2" l="1"/>
  <c r="Q111" i="2"/>
  <c r="S99" i="2" s="1"/>
  <c r="C96" i="3" s="1"/>
  <c r="D96" i="3" s="1"/>
  <c r="G96" i="3" s="1"/>
  <c r="P113" i="2" l="1"/>
  <c r="Q112" i="2"/>
  <c r="S100" i="2" s="1"/>
  <c r="C97" i="3" s="1"/>
  <c r="D97" i="3" s="1"/>
  <c r="G97" i="3" s="1"/>
  <c r="Q113" i="2" l="1"/>
  <c r="S101" i="2" s="1"/>
  <c r="C98" i="3" s="1"/>
  <c r="D98" i="3" s="1"/>
  <c r="G98" i="3" s="1"/>
  <c r="P114" i="2"/>
  <c r="Q114" i="2" l="1"/>
  <c r="S102" i="2" s="1"/>
  <c r="C99" i="3" s="1"/>
  <c r="D99" i="3" s="1"/>
  <c r="G99" i="3" s="1"/>
  <c r="P115" i="2"/>
  <c r="P116" i="2" l="1"/>
  <c r="Q115" i="2"/>
  <c r="S103" i="2" s="1"/>
  <c r="C100" i="3" s="1"/>
  <c r="D100" i="3" s="1"/>
  <c r="G100" i="3" s="1"/>
  <c r="Q116" i="2" l="1"/>
  <c r="S104" i="2" s="1"/>
  <c r="C101" i="3" s="1"/>
  <c r="D101" i="3" s="1"/>
  <c r="G101" i="3" s="1"/>
  <c r="P117" i="2"/>
  <c r="P118" i="2" l="1"/>
  <c r="Q117" i="2"/>
  <c r="S105" i="2" s="1"/>
  <c r="C102" i="3" s="1"/>
  <c r="D102" i="3" s="1"/>
  <c r="G102" i="3" s="1"/>
  <c r="P119" i="2" l="1"/>
  <c r="Q118" i="2"/>
  <c r="S106" i="2" s="1"/>
  <c r="C103" i="3" s="1"/>
  <c r="D103" i="3" s="1"/>
  <c r="G103" i="3" s="1"/>
  <c r="P120" i="2" l="1"/>
  <c r="Q119" i="2"/>
  <c r="S107" i="2" s="1"/>
  <c r="C104" i="3" s="1"/>
  <c r="D104" i="3" s="1"/>
  <c r="G104" i="3" s="1"/>
  <c r="Q120" i="2" l="1"/>
  <c r="S108" i="2" s="1"/>
  <c r="C105" i="3" s="1"/>
  <c r="D105" i="3" s="1"/>
  <c r="G105" i="3" s="1"/>
  <c r="P121" i="2"/>
  <c r="Q121" i="2" l="1"/>
  <c r="S109" i="2" s="1"/>
  <c r="C106" i="3" s="1"/>
  <c r="D106" i="3" s="1"/>
  <c r="G106" i="3" s="1"/>
  <c r="P122" i="2"/>
  <c r="Q122" i="2" l="1"/>
  <c r="S110" i="2" s="1"/>
  <c r="C107" i="3" s="1"/>
  <c r="D107" i="3" s="1"/>
  <c r="G107" i="3" s="1"/>
  <c r="P123" i="2"/>
  <c r="P124" i="2" l="1"/>
  <c r="Q123" i="2"/>
  <c r="S111" i="2" s="1"/>
  <c r="C108" i="3" s="1"/>
  <c r="D108" i="3" s="1"/>
  <c r="G108" i="3" s="1"/>
  <c r="Q124" i="2" l="1"/>
  <c r="S112" i="2" s="1"/>
  <c r="C109" i="3" s="1"/>
  <c r="D109" i="3" s="1"/>
  <c r="G109" i="3" s="1"/>
  <c r="P125" i="2"/>
  <c r="P126" i="2" l="1"/>
  <c r="Q125" i="2"/>
  <c r="S113" i="2" s="1"/>
  <c r="C110" i="3" s="1"/>
  <c r="D110" i="3" s="1"/>
  <c r="G110" i="3" s="1"/>
  <c r="P127" i="2" l="1"/>
  <c r="Q126" i="2"/>
  <c r="S114" i="2" s="1"/>
  <c r="C111" i="3" s="1"/>
  <c r="D111" i="3" s="1"/>
  <c r="G111" i="3" s="1"/>
  <c r="P128" i="2" l="1"/>
  <c r="Q127" i="2"/>
  <c r="S115" i="2" s="1"/>
  <c r="C112" i="3" s="1"/>
  <c r="D112" i="3" s="1"/>
  <c r="G112" i="3" s="1"/>
  <c r="Q128" i="2" l="1"/>
  <c r="S116" i="2" s="1"/>
  <c r="C113" i="3" s="1"/>
  <c r="D113" i="3" s="1"/>
  <c r="G113" i="3" s="1"/>
  <c r="P129" i="2"/>
  <c r="Q129" i="2" l="1"/>
  <c r="S117" i="2" s="1"/>
  <c r="C114" i="3" s="1"/>
  <c r="D114" i="3" s="1"/>
  <c r="G114" i="3" s="1"/>
  <c r="P130" i="2"/>
  <c r="Q130" i="2" l="1"/>
  <c r="S118" i="2" s="1"/>
  <c r="C115" i="3" s="1"/>
  <c r="D115" i="3" s="1"/>
  <c r="G115" i="3" s="1"/>
  <c r="P131" i="2"/>
  <c r="P132" i="2" l="1"/>
  <c r="Q131" i="2"/>
  <c r="S119" i="2" s="1"/>
  <c r="C116" i="3" s="1"/>
  <c r="D116" i="3" s="1"/>
  <c r="G116" i="3" s="1"/>
  <c r="Q132" i="2" l="1"/>
  <c r="S120" i="2" s="1"/>
  <c r="C117" i="3" s="1"/>
  <c r="D117" i="3" s="1"/>
  <c r="G117" i="3" s="1"/>
  <c r="P133" i="2"/>
  <c r="P134" i="2" l="1"/>
  <c r="Q133" i="2"/>
  <c r="S121" i="2" s="1"/>
  <c r="C118" i="3" s="1"/>
  <c r="D118" i="3" s="1"/>
  <c r="G118" i="3" s="1"/>
  <c r="P135" i="2" l="1"/>
  <c r="Q134" i="2"/>
  <c r="S122" i="2" s="1"/>
  <c r="C119" i="3" s="1"/>
  <c r="D119" i="3" s="1"/>
  <c r="G119" i="3" s="1"/>
  <c r="P136" i="2" l="1"/>
  <c r="Q135" i="2"/>
  <c r="S123" i="2" s="1"/>
  <c r="C120" i="3" s="1"/>
  <c r="D120" i="3" s="1"/>
  <c r="G120" i="3" s="1"/>
  <c r="Q136" i="2" l="1"/>
  <c r="S124" i="2" s="1"/>
  <c r="C121" i="3" s="1"/>
  <c r="D121" i="3" s="1"/>
  <c r="G121" i="3" s="1"/>
  <c r="P137" i="2"/>
  <c r="Q137" i="2" l="1"/>
  <c r="S125" i="2" s="1"/>
  <c r="C122" i="3" s="1"/>
  <c r="D122" i="3" s="1"/>
  <c r="G122" i="3" s="1"/>
  <c r="P138" i="2"/>
  <c r="Q138" i="2" l="1"/>
  <c r="S126" i="2" s="1"/>
  <c r="C123" i="3" s="1"/>
  <c r="D123" i="3" s="1"/>
  <c r="G123" i="3" s="1"/>
  <c r="P139" i="2"/>
  <c r="P140" i="2" l="1"/>
  <c r="Q139" i="2"/>
  <c r="S127" i="2" s="1"/>
  <c r="C124" i="3" s="1"/>
  <c r="D124" i="3" s="1"/>
  <c r="G124" i="3" s="1"/>
  <c r="Q140" i="2" l="1"/>
  <c r="S128" i="2" s="1"/>
  <c r="C125" i="3" s="1"/>
  <c r="D125" i="3" s="1"/>
  <c r="G125" i="3" s="1"/>
  <c r="P141" i="2"/>
  <c r="P142" i="2" l="1"/>
  <c r="Q141" i="2"/>
  <c r="S129" i="2" s="1"/>
  <c r="C126" i="3" s="1"/>
  <c r="D126" i="3" s="1"/>
  <c r="G126" i="3" s="1"/>
  <c r="P143" i="2" l="1"/>
  <c r="Q142" i="2"/>
  <c r="S130" i="2" s="1"/>
  <c r="C127" i="3" s="1"/>
  <c r="D127" i="3" s="1"/>
  <c r="G127" i="3" s="1"/>
  <c r="P144" i="2" l="1"/>
  <c r="Q143" i="2"/>
  <c r="S131" i="2" s="1"/>
  <c r="C128" i="3" s="1"/>
  <c r="D128" i="3" s="1"/>
  <c r="G128" i="3" s="1"/>
  <c r="Q144" i="2" l="1"/>
  <c r="S132" i="2" s="1"/>
  <c r="C129" i="3" s="1"/>
  <c r="D129" i="3" s="1"/>
  <c r="G129" i="3" s="1"/>
  <c r="P145" i="2"/>
  <c r="Q145" i="2" l="1"/>
  <c r="S133" i="2" s="1"/>
  <c r="C130" i="3" s="1"/>
  <c r="D130" i="3" s="1"/>
  <c r="G130" i="3" s="1"/>
  <c r="P146" i="2"/>
  <c r="Q146" i="2" l="1"/>
  <c r="S134" i="2" s="1"/>
  <c r="C131" i="3" s="1"/>
  <c r="D131" i="3" s="1"/>
  <c r="G131" i="3" s="1"/>
  <c r="P147" i="2"/>
  <c r="P148" i="2" l="1"/>
  <c r="Q147" i="2"/>
  <c r="S135" i="2" s="1"/>
  <c r="C132" i="3" s="1"/>
  <c r="D132" i="3" s="1"/>
  <c r="G132" i="3" s="1"/>
  <c r="Q148" i="2" l="1"/>
  <c r="S136" i="2" s="1"/>
  <c r="C133" i="3" s="1"/>
  <c r="D133" i="3" s="1"/>
  <c r="G133" i="3" s="1"/>
  <c r="P149" i="2"/>
  <c r="P150" i="2" l="1"/>
  <c r="Q149" i="2"/>
  <c r="S137" i="2" s="1"/>
  <c r="C134" i="3" s="1"/>
  <c r="D134" i="3" s="1"/>
  <c r="G134" i="3" s="1"/>
  <c r="P151" i="2" l="1"/>
  <c r="Q150" i="2"/>
  <c r="S138" i="2" s="1"/>
  <c r="C135" i="3" s="1"/>
  <c r="D135" i="3" s="1"/>
  <c r="G135" i="3" s="1"/>
  <c r="P152" i="2" l="1"/>
  <c r="Q151" i="2"/>
  <c r="S139" i="2" s="1"/>
  <c r="C136" i="3" s="1"/>
  <c r="D136" i="3" s="1"/>
  <c r="G136" i="3" s="1"/>
  <c r="Q152" i="2" l="1"/>
  <c r="S140" i="2" s="1"/>
  <c r="C137" i="3" s="1"/>
  <c r="D137" i="3" s="1"/>
  <c r="G137" i="3" s="1"/>
  <c r="P153" i="2"/>
  <c r="Q153" i="2" l="1"/>
  <c r="S141" i="2" s="1"/>
  <c r="C138" i="3" s="1"/>
  <c r="D138" i="3" s="1"/>
  <c r="G138" i="3" s="1"/>
  <c r="P154" i="2"/>
  <c r="Q154" i="2" l="1"/>
  <c r="S142" i="2" s="1"/>
  <c r="C139" i="3" s="1"/>
  <c r="D139" i="3" s="1"/>
  <c r="G139" i="3" s="1"/>
  <c r="P155" i="2"/>
  <c r="P156" i="2" l="1"/>
  <c r="Q155" i="2"/>
  <c r="S143" i="2" s="1"/>
  <c r="C140" i="3" s="1"/>
  <c r="D140" i="3" s="1"/>
  <c r="G140" i="3" s="1"/>
  <c r="Q156" i="2" l="1"/>
  <c r="S144" i="2" s="1"/>
  <c r="C141" i="3" s="1"/>
  <c r="D141" i="3" s="1"/>
  <c r="G141" i="3" s="1"/>
  <c r="P157" i="2"/>
  <c r="P158" i="2" l="1"/>
  <c r="Q157" i="2"/>
  <c r="S145" i="2" s="1"/>
  <c r="C142" i="3" s="1"/>
  <c r="D142" i="3" s="1"/>
  <c r="G142" i="3" s="1"/>
  <c r="P159" i="2" l="1"/>
  <c r="Q158" i="2"/>
  <c r="S146" i="2" s="1"/>
  <c r="C143" i="3" s="1"/>
  <c r="D143" i="3" s="1"/>
  <c r="G143" i="3" s="1"/>
  <c r="P160" i="2" l="1"/>
  <c r="Q159" i="2"/>
  <c r="S147" i="2" s="1"/>
  <c r="C144" i="3" s="1"/>
  <c r="D144" i="3" s="1"/>
  <c r="G144" i="3" s="1"/>
  <c r="Q160" i="2" l="1"/>
  <c r="S148" i="2" s="1"/>
  <c r="C145" i="3" s="1"/>
  <c r="D145" i="3" s="1"/>
  <c r="G145" i="3" s="1"/>
  <c r="P161" i="2"/>
  <c r="Q161" i="2" l="1"/>
  <c r="S149" i="2" s="1"/>
  <c r="C146" i="3" s="1"/>
  <c r="D146" i="3" s="1"/>
  <c r="G146" i="3" s="1"/>
  <c r="P162" i="2"/>
  <c r="Q162" i="2" l="1"/>
  <c r="S150" i="2" s="1"/>
  <c r="C147" i="3" s="1"/>
  <c r="D147" i="3" s="1"/>
  <c r="G147" i="3" s="1"/>
  <c r="P163" i="2"/>
  <c r="P164" i="2" l="1"/>
  <c r="Q163" i="2"/>
  <c r="S151" i="2" s="1"/>
  <c r="C148" i="3" s="1"/>
  <c r="D148" i="3" s="1"/>
  <c r="G148" i="3" s="1"/>
  <c r="Q164" i="2" l="1"/>
  <c r="S152" i="2" s="1"/>
  <c r="C149" i="3" s="1"/>
  <c r="D149" i="3" s="1"/>
  <c r="G149" i="3" s="1"/>
  <c r="P165" i="2"/>
  <c r="P166" i="2" l="1"/>
  <c r="Q165" i="2"/>
  <c r="S153" i="2" s="1"/>
  <c r="C150" i="3" s="1"/>
  <c r="D150" i="3" s="1"/>
  <c r="G150" i="3" s="1"/>
  <c r="Q166" i="2" l="1"/>
  <c r="S154" i="2" s="1"/>
  <c r="C151" i="3" s="1"/>
  <c r="D151" i="3" s="1"/>
  <c r="G151" i="3" s="1"/>
  <c r="P167" i="2"/>
  <c r="P168" i="2" l="1"/>
  <c r="Q167" i="2"/>
  <c r="S155" i="2" s="1"/>
  <c r="C152" i="3" s="1"/>
  <c r="D152" i="3" s="1"/>
  <c r="G152" i="3" s="1"/>
  <c r="Q168" i="2" l="1"/>
  <c r="S156" i="2" s="1"/>
  <c r="C153" i="3" s="1"/>
  <c r="D153" i="3" s="1"/>
  <c r="G153" i="3" s="1"/>
  <c r="P169" i="2"/>
  <c r="Q169" i="2" l="1"/>
  <c r="S157" i="2" s="1"/>
  <c r="C154" i="3" s="1"/>
  <c r="D154" i="3" s="1"/>
  <c r="G154" i="3" s="1"/>
  <c r="P170" i="2"/>
  <c r="Q170" i="2" l="1"/>
  <c r="S158" i="2" s="1"/>
  <c r="C155" i="3" s="1"/>
  <c r="D155" i="3" s="1"/>
  <c r="G155" i="3" s="1"/>
  <c r="P171" i="2"/>
  <c r="P172" i="2" l="1"/>
  <c r="Q171" i="2"/>
  <c r="S159" i="2" s="1"/>
  <c r="C156" i="3" s="1"/>
  <c r="D156" i="3" s="1"/>
  <c r="G156" i="3" s="1"/>
  <c r="Q172" i="2" l="1"/>
  <c r="S160" i="2" s="1"/>
  <c r="C157" i="3" s="1"/>
  <c r="D157" i="3" s="1"/>
  <c r="G157" i="3" s="1"/>
  <c r="P173" i="2"/>
  <c r="P174" i="2" l="1"/>
  <c r="Q173" i="2"/>
  <c r="S161" i="2" s="1"/>
  <c r="C158" i="3" s="1"/>
  <c r="D158" i="3" s="1"/>
  <c r="G158" i="3" s="1"/>
  <c r="Q174" i="2" l="1"/>
  <c r="S162" i="2" s="1"/>
  <c r="C159" i="3" s="1"/>
  <c r="D159" i="3" s="1"/>
  <c r="G159" i="3" s="1"/>
  <c r="P175" i="2"/>
  <c r="P176" i="2" l="1"/>
  <c r="Q175" i="2"/>
  <c r="S163" i="2" s="1"/>
  <c r="C160" i="3" s="1"/>
  <c r="D160" i="3" s="1"/>
  <c r="G160" i="3" s="1"/>
  <c r="Q176" i="2" l="1"/>
  <c r="S164" i="2" s="1"/>
  <c r="C161" i="3" s="1"/>
  <c r="D161" i="3" s="1"/>
  <c r="G161" i="3" s="1"/>
  <c r="P177" i="2"/>
  <c r="Q177" i="2" l="1"/>
  <c r="S165" i="2" s="1"/>
  <c r="C162" i="3" s="1"/>
  <c r="D162" i="3" s="1"/>
  <c r="G162" i="3" s="1"/>
  <c r="P178" i="2"/>
  <c r="Q178" i="2" l="1"/>
  <c r="S166" i="2" s="1"/>
  <c r="C163" i="3" s="1"/>
  <c r="D163" i="3" s="1"/>
  <c r="G163" i="3" s="1"/>
  <c r="P179" i="2"/>
  <c r="P180" i="2" l="1"/>
  <c r="Q179" i="2"/>
  <c r="S167" i="2" s="1"/>
  <c r="C164" i="3" s="1"/>
  <c r="D164" i="3" s="1"/>
  <c r="G164" i="3" s="1"/>
  <c r="Q180" i="2" l="1"/>
  <c r="S168" i="2" s="1"/>
  <c r="C165" i="3" s="1"/>
  <c r="D165" i="3" s="1"/>
  <c r="G165" i="3" s="1"/>
  <c r="P181" i="2"/>
  <c r="P182" i="2" l="1"/>
  <c r="Q181" i="2"/>
  <c r="S169" i="2" s="1"/>
  <c r="C166" i="3" s="1"/>
  <c r="D166" i="3" s="1"/>
  <c r="G166" i="3" s="1"/>
  <c r="Q182" i="2" l="1"/>
  <c r="S170" i="2" s="1"/>
  <c r="C167" i="3" s="1"/>
  <c r="D167" i="3" s="1"/>
  <c r="G167" i="3" s="1"/>
  <c r="P183" i="2"/>
  <c r="P184" i="2" l="1"/>
  <c r="Q183" i="2"/>
  <c r="S171" i="2" s="1"/>
  <c r="C168" i="3" s="1"/>
  <c r="D168" i="3" s="1"/>
  <c r="G168" i="3" s="1"/>
  <c r="Q184" i="2" l="1"/>
  <c r="S172" i="2" s="1"/>
  <c r="C169" i="3" s="1"/>
  <c r="D169" i="3" s="1"/>
  <c r="G169" i="3" s="1"/>
  <c r="P185" i="2"/>
  <c r="Q185" i="2" l="1"/>
  <c r="P186" i="2"/>
  <c r="S173" i="2" l="1"/>
  <c r="C170" i="3" s="1"/>
  <c r="D170" i="3" s="1"/>
  <c r="G170" i="3" s="1"/>
  <c r="S185" i="2"/>
  <c r="C182" i="3" s="1"/>
  <c r="D182" i="3" s="1"/>
  <c r="G182" i="3" s="1"/>
  <c r="Q186" i="2"/>
  <c r="P187" i="2"/>
  <c r="S174" i="2" l="1"/>
  <c r="C171" i="3" s="1"/>
  <c r="D171" i="3" s="1"/>
  <c r="G171" i="3" s="1"/>
  <c r="S186" i="2"/>
  <c r="C183" i="3" s="1"/>
  <c r="D183" i="3" s="1"/>
  <c r="G183" i="3" s="1"/>
  <c r="P188" i="2"/>
  <c r="Q187" i="2"/>
  <c r="S175" i="2" l="1"/>
  <c r="C172" i="3" s="1"/>
  <c r="D172" i="3" s="1"/>
  <c r="G172" i="3" s="1"/>
  <c r="S187" i="2"/>
  <c r="C184" i="3" s="1"/>
  <c r="D184" i="3" s="1"/>
  <c r="G184" i="3" s="1"/>
  <c r="Q188" i="2"/>
  <c r="P189" i="2"/>
  <c r="S176" i="2" l="1"/>
  <c r="C173" i="3" s="1"/>
  <c r="D173" i="3" s="1"/>
  <c r="G173" i="3" s="1"/>
  <c r="S188" i="2"/>
  <c r="C185" i="3" s="1"/>
  <c r="D185" i="3" s="1"/>
  <c r="G185" i="3" s="1"/>
  <c r="P190" i="2"/>
  <c r="Q189" i="2"/>
  <c r="S177" i="2" l="1"/>
  <c r="C174" i="3" s="1"/>
  <c r="D174" i="3" s="1"/>
  <c r="G174" i="3" s="1"/>
  <c r="S189" i="2"/>
  <c r="C186" i="3" s="1"/>
  <c r="D186" i="3" s="1"/>
  <c r="G186" i="3" s="1"/>
  <c r="Q190" i="2"/>
  <c r="P191" i="2"/>
  <c r="S190" i="2" l="1"/>
  <c r="C187" i="3" s="1"/>
  <c r="D187" i="3" s="1"/>
  <c r="G187" i="3" s="1"/>
  <c r="S178" i="2"/>
  <c r="C175" i="3" s="1"/>
  <c r="D175" i="3" s="1"/>
  <c r="G175" i="3" s="1"/>
  <c r="P192" i="2"/>
  <c r="Q191" i="2"/>
  <c r="S191" i="2" l="1"/>
  <c r="C188" i="3" s="1"/>
  <c r="D188" i="3" s="1"/>
  <c r="G188" i="3" s="1"/>
  <c r="S179" i="2"/>
  <c r="C176" i="3" s="1"/>
  <c r="D176" i="3" s="1"/>
  <c r="G176" i="3" s="1"/>
  <c r="Q192" i="2"/>
  <c r="P193" i="2"/>
  <c r="S180" i="2" l="1"/>
  <c r="C177" i="3" s="1"/>
  <c r="D177" i="3" s="1"/>
  <c r="G177" i="3" s="1"/>
  <c r="S192" i="2"/>
  <c r="C189" i="3" s="1"/>
  <c r="D189" i="3" s="1"/>
  <c r="G189" i="3" s="1"/>
  <c r="Q193" i="2"/>
  <c r="P194" i="2"/>
  <c r="S181" i="2" l="1"/>
  <c r="C178" i="3" s="1"/>
  <c r="D178" i="3" s="1"/>
  <c r="G178" i="3" s="1"/>
  <c r="S193" i="2"/>
  <c r="C190" i="3" s="1"/>
  <c r="D190" i="3" s="1"/>
  <c r="G190" i="3" s="1"/>
  <c r="Q194" i="2"/>
  <c r="P195" i="2"/>
  <c r="S182" i="2" l="1"/>
  <c r="C179" i="3" s="1"/>
  <c r="D179" i="3" s="1"/>
  <c r="G179" i="3" s="1"/>
  <c r="S194" i="2"/>
  <c r="C191" i="3" s="1"/>
  <c r="D191" i="3" s="1"/>
  <c r="G191" i="3" s="1"/>
  <c r="P196" i="2"/>
  <c r="Q196" i="2" s="1"/>
  <c r="Q195" i="2"/>
  <c r="S195" i="2" l="1"/>
  <c r="C192" i="3" s="1"/>
  <c r="D192" i="3" s="1"/>
  <c r="G192" i="3" s="1"/>
  <c r="S183" i="2"/>
  <c r="C180" i="3" s="1"/>
  <c r="D180" i="3" s="1"/>
  <c r="G180" i="3" s="1"/>
  <c r="S196" i="2"/>
  <c r="C193" i="3" s="1"/>
  <c r="D193" i="3" s="1"/>
  <c r="G193" i="3" s="1"/>
  <c r="S184" i="2"/>
  <c r="C181" i="3" s="1"/>
  <c r="D181" i="3" s="1"/>
  <c r="G181" i="3" s="1"/>
</calcChain>
</file>

<file path=xl/sharedStrings.xml><?xml version="1.0" encoding="utf-8"?>
<sst xmlns="http://schemas.openxmlformats.org/spreadsheetml/2006/main" count="535" uniqueCount="329">
  <si>
    <t>Security</t>
  </si>
  <si>
    <t xml:space="preserve">ETSLTOTL Index                                                  </t>
  </si>
  <si>
    <t>Start Date</t>
  </si>
  <si>
    <t>End Date</t>
  </si>
  <si>
    <t>Period</t>
  </si>
  <si>
    <t>M</t>
  </si>
  <si>
    <t>Date</t>
  </si>
  <si>
    <t>PX_LAST</t>
  </si>
  <si>
    <t>FIRST_REVISION</t>
  </si>
  <si>
    <t>#N/A N/A</t>
  </si>
  <si>
    <t>Seasonally adjusted annual rate</t>
  </si>
  <si>
    <t>Table with row headings in Column A and column headings are in rows 5, 26, 47, 68, 89, 110, and 131.  Leading dots indicate sub-parts.</t>
  </si>
  <si>
    <t>Table 7. Estimates of the Total Housing Inventory for the United States: 1965 to Present</t>
  </si>
  <si>
    <t>(Numbers in thousands)</t>
  </si>
  <si>
    <t>All housing units</t>
  </si>
  <si>
    <r>
      <t>..</t>
    </r>
    <r>
      <rPr>
        <sz val="10"/>
        <rFont val="Arial"/>
        <family val="2"/>
      </rPr>
      <t>Vacant</t>
    </r>
  </si>
  <si>
    <r>
      <t>….</t>
    </r>
    <r>
      <rPr>
        <sz val="10"/>
        <rFont val="Arial"/>
        <family val="2"/>
      </rPr>
      <t>Year-round vacant</t>
    </r>
  </si>
  <si>
    <r>
      <t>…...</t>
    </r>
    <r>
      <rPr>
        <sz val="10"/>
        <rFont val="Arial"/>
        <family val="2"/>
      </rPr>
      <t>For rent</t>
    </r>
  </si>
  <si>
    <r>
      <t>…...</t>
    </r>
    <r>
      <rPr>
        <sz val="10"/>
        <rFont val="Arial"/>
        <family val="2"/>
      </rPr>
      <t>For sale only</t>
    </r>
  </si>
  <si>
    <r>
      <t>…...</t>
    </r>
    <r>
      <rPr>
        <sz val="10"/>
        <rFont val="Arial"/>
        <family val="2"/>
      </rPr>
      <t>Rented or sold</t>
    </r>
  </si>
  <si>
    <r>
      <t>…...</t>
    </r>
    <r>
      <rPr>
        <sz val="10"/>
        <rFont val="Arial"/>
        <family val="2"/>
      </rPr>
      <t>Held off market</t>
    </r>
  </si>
  <si>
    <r>
      <t>……...</t>
    </r>
    <r>
      <rPr>
        <sz val="10"/>
        <rFont val="Arial"/>
        <family val="2"/>
      </rPr>
      <t>Occasional use</t>
    </r>
  </si>
  <si>
    <r>
      <t>……...</t>
    </r>
    <r>
      <rPr>
        <sz val="10"/>
        <rFont val="Arial"/>
        <family val="2"/>
      </rPr>
      <t>URE</t>
    </r>
  </si>
  <si>
    <r>
      <t>……...</t>
    </r>
    <r>
      <rPr>
        <sz val="10"/>
        <rFont val="Arial"/>
        <family val="2"/>
      </rPr>
      <t>Other</t>
    </r>
  </si>
  <si>
    <r>
      <t>….</t>
    </r>
    <r>
      <rPr>
        <sz val="10"/>
        <rFont val="Arial"/>
        <family val="2"/>
      </rPr>
      <t>Seasonal</t>
    </r>
  </si>
  <si>
    <r>
      <t>..</t>
    </r>
    <r>
      <rPr>
        <sz val="10"/>
        <rFont val="Arial"/>
        <family val="2"/>
      </rPr>
      <t>Total occupied</t>
    </r>
  </si>
  <si>
    <r>
      <t>….</t>
    </r>
    <r>
      <rPr>
        <sz val="10"/>
        <rFont val="Arial"/>
        <family val="2"/>
      </rPr>
      <t>Owner</t>
    </r>
  </si>
  <si>
    <r>
      <t>….</t>
    </r>
    <r>
      <rPr>
        <sz val="10"/>
        <rFont val="Arial"/>
        <family val="2"/>
      </rPr>
      <t>Renter</t>
    </r>
  </si>
  <si>
    <t>1979\r1</t>
  </si>
  <si>
    <t>1981\r2</t>
  </si>
  <si>
    <t>1986\1</t>
  </si>
  <si>
    <t>1987\2</t>
  </si>
  <si>
    <t>1989\r3</t>
  </si>
  <si>
    <t>1993\r4</t>
  </si>
  <si>
    <t>2002\r5</t>
  </si>
  <si>
    <t xml:space="preserve"> </t>
  </si>
  <si>
    <t>Footnotes:</t>
  </si>
  <si>
    <t>Source:  Current Population Survey, Series H-111, Bureau of the Census, Washington, DC 20233</t>
  </si>
  <si>
    <t xml:space="preserve">\1 Beginning in 1986, seasonal vacant mobile homes were included in the count of vacant seasonal housing units. </t>
  </si>
  <si>
    <t xml:space="preserve">\2 Seasonal vacant housing units were underestimated prior to 1987. </t>
  </si>
  <si>
    <t>\r1 Revised to reflect changes made in 1980. See Source and Accuracy Statement for more information.</t>
  </si>
  <si>
    <t>\r2 Revised to reflect updated processing procedures.</t>
  </si>
  <si>
    <t xml:space="preserve">\r3 Revised to include year-round vacant mobile homes.  </t>
  </si>
  <si>
    <t xml:space="preserve">\r4 Revised based on the 1990 Census. </t>
  </si>
  <si>
    <t xml:space="preserve">\r5 Revised based on the 2000 Census. </t>
  </si>
  <si>
    <t>Turnover EHS</t>
  </si>
  <si>
    <t>Housing Stock(K)</t>
  </si>
  <si>
    <t>Existing Home Sale(M)</t>
  </si>
  <si>
    <t>y_vals.act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</si>
  <si>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</si>
  <si>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</si>
  <si>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</si>
  <si>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</si>
  <si>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</si>
  <si>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</si>
  <si>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</si>
  <si>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</si>
  <si>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</si>
  <si>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</si>
  <si>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</si>
  <si>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</si>
  <si>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</si>
  <si>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</si>
  <si>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</si>
  <si>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</si>
  <si>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</si>
  <si>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</si>
  <si>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</si>
  <si>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</si>
  <si>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</si>
  <si>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</si>
  <si>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</si>
  <si>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</si>
  <si>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</si>
  <si>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</si>
  <si>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</si>
  <si>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</si>
  <si>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</si>
  <si>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</si>
  <si>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</si>
  <si>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</si>
  <si>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</si>
  <si>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</si>
  <si>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</si>
  <si>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</si>
  <si>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</si>
  <si>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</si>
  <si>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</si>
  <si>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</si>
  <si>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</si>
  <si>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</si>
  <si>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</si>
  <si>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</si>
  <si>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</si>
  <si>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</si>
  <si>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</si>
  <si>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</si>
  <si>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</si>
  <si>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</si>
  <si>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</si>
  <si>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</si>
  <si>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</si>
  <si>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</si>
  <si>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</si>
  <si>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</si>
  <si>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</si>
  <si>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</si>
  <si>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</si>
  <si>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</si>
  <si>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</si>
  <si>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</si>
  <si>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</si>
  <si>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</si>
  <si>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</si>
  <si>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</si>
  <si>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</si>
  <si>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</si>
  <si>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</si>
  <si>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</si>
  <si>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</si>
  <si>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[72,]</t>
  </si>
  <si>
    <t>[73,]</t>
  </si>
  <si>
    <t>[74,]</t>
  </si>
  <si>
    <t>[75,]</t>
  </si>
  <si>
    <t>[76,]</t>
  </si>
  <si>
    <t>[77,]</t>
  </si>
  <si>
    <t>[78,]</t>
  </si>
  <si>
    <t>[79,]</t>
  </si>
  <si>
    <t>[80,]</t>
  </si>
  <si>
    <t>[81,]</t>
  </si>
  <si>
    <t>[82,]</t>
  </si>
  <si>
    <t>[83,]</t>
  </si>
  <si>
    <t>[84,]</t>
  </si>
  <si>
    <t>[85,]</t>
  </si>
  <si>
    <t>[86,]</t>
  </si>
  <si>
    <t>[87,]</t>
  </si>
  <si>
    <t>[88,]</t>
  </si>
  <si>
    <t>[89,]</t>
  </si>
  <si>
    <t>[90,]</t>
  </si>
  <si>
    <t>[91,]</t>
  </si>
  <si>
    <t>[92,]</t>
  </si>
  <si>
    <t>[93,]</t>
  </si>
  <si>
    <t>[94,]</t>
  </si>
  <si>
    <t>[95,]</t>
  </si>
  <si>
    <t>[96,]</t>
  </si>
  <si>
    <t>[97,]</t>
  </si>
  <si>
    <t>[98,]</t>
  </si>
  <si>
    <t>[99,]</t>
  </si>
  <si>
    <t>[100,]</t>
  </si>
  <si>
    <t>[101,]</t>
  </si>
  <si>
    <t>[102,]</t>
  </si>
  <si>
    <t>[103,]</t>
  </si>
  <si>
    <t>[104,]</t>
  </si>
  <si>
    <t>[105,]</t>
  </si>
  <si>
    <t>[106,]</t>
  </si>
  <si>
    <t>[107,]</t>
  </si>
  <si>
    <t>[108,]</t>
  </si>
  <si>
    <t>[109,]</t>
  </si>
  <si>
    <t>[110,]</t>
  </si>
  <si>
    <t>[111,]</t>
  </si>
  <si>
    <t>[112,]</t>
  </si>
  <si>
    <t>[113,]</t>
  </si>
  <si>
    <t>[114,]</t>
  </si>
  <si>
    <t>[115,]</t>
  </si>
  <si>
    <t>[116,]</t>
  </si>
  <si>
    <t>[117,]</t>
  </si>
  <si>
    <t>[118,]</t>
  </si>
  <si>
    <t>[119,]</t>
  </si>
  <si>
    <t>[120,]</t>
  </si>
  <si>
    <t>[121,]</t>
  </si>
  <si>
    <t>[122,]</t>
  </si>
  <si>
    <t>[123,]</t>
  </si>
  <si>
    <t>[124,]</t>
  </si>
  <si>
    <t>[125,]</t>
  </si>
  <si>
    <t>[126,]</t>
  </si>
  <si>
    <t>[127,]</t>
  </si>
  <si>
    <t>[128,]</t>
  </si>
  <si>
    <t>[129,]</t>
  </si>
  <si>
    <t>[130,]</t>
  </si>
  <si>
    <t>[131,]</t>
  </si>
  <si>
    <t>[132,]</t>
  </si>
  <si>
    <t>[133,]</t>
  </si>
  <si>
    <t>[134,]</t>
  </si>
  <si>
    <t>[135,]</t>
  </si>
  <si>
    <t>[136,]</t>
  </si>
  <si>
    <t>[137,]</t>
  </si>
  <si>
    <t>[138,]</t>
  </si>
  <si>
    <t>[139,]</t>
  </si>
  <si>
    <t>[140,]</t>
  </si>
  <si>
    <t>[141,]</t>
  </si>
  <si>
    <t>[142,]</t>
  </si>
  <si>
    <t>[143,]</t>
  </si>
  <si>
    <t>[144,]</t>
  </si>
  <si>
    <t>[145,]</t>
  </si>
  <si>
    <t>[146,]</t>
  </si>
  <si>
    <t>[147,]</t>
  </si>
  <si>
    <t>[148,]</t>
  </si>
  <si>
    <t>[149,]</t>
  </si>
  <si>
    <t>[150,]</t>
  </si>
  <si>
    <t>[151,]</t>
  </si>
  <si>
    <t>[152,]</t>
  </si>
  <si>
    <t>[153,]</t>
  </si>
  <si>
    <t>[154,]</t>
  </si>
  <si>
    <t>[155,]</t>
  </si>
  <si>
    <t>[156,]</t>
  </si>
  <si>
    <t>[157,]</t>
  </si>
  <si>
    <t>[158,]</t>
  </si>
  <si>
    <t>[159,]</t>
  </si>
  <si>
    <t>[160,]</t>
  </si>
  <si>
    <t>[161,]</t>
  </si>
  <si>
    <t>[162,]</t>
  </si>
  <si>
    <t>[163,]</t>
  </si>
  <si>
    <t>[164,]</t>
  </si>
  <si>
    <t>[165,]</t>
  </si>
  <si>
    <t>[166,]</t>
  </si>
  <si>
    <t>[167,]</t>
  </si>
  <si>
    <t>[168,]</t>
  </si>
  <si>
    <t>[169,]</t>
  </si>
  <si>
    <t>[170,]</t>
  </si>
  <si>
    <t>[171,]</t>
  </si>
  <si>
    <t>[172,]</t>
  </si>
  <si>
    <t>[173,]</t>
  </si>
  <si>
    <t>[174,]</t>
  </si>
  <si>
    <t>[175,]</t>
  </si>
  <si>
    <t>[176,]</t>
  </si>
  <si>
    <t>[177,]</t>
  </si>
  <si>
    <t>[178,]</t>
  </si>
  <si>
    <t>[179,]</t>
  </si>
  <si>
    <t>[180,]</t>
  </si>
  <si>
    <t>[181,]</t>
  </si>
  <si>
    <t>[182,]</t>
  </si>
  <si>
    <t>[183,]</t>
  </si>
  <si>
    <t>[184,]</t>
  </si>
  <si>
    <t>[185,]</t>
  </si>
  <si>
    <t>[186,]</t>
  </si>
  <si>
    <t>[187,]</t>
  </si>
  <si>
    <t>[188,]</t>
  </si>
  <si>
    <t>[189,]</t>
  </si>
  <si>
    <t>[190,]</t>
  </si>
  <si>
    <t>[191,]</t>
  </si>
  <si>
    <t>[192,]</t>
  </si>
  <si>
    <t>[193,]</t>
  </si>
  <si>
    <t>[194,]</t>
  </si>
  <si>
    <t>[195,]</t>
  </si>
  <si>
    <t>[196,]</t>
  </si>
  <si>
    <t>[197,]</t>
  </si>
  <si>
    <t>[198,]</t>
  </si>
  <si>
    <t>[199,]</t>
  </si>
  <si>
    <t>[200,]</t>
  </si>
  <si>
    <t>[201,]</t>
  </si>
  <si>
    <t>[202,]</t>
  </si>
  <si>
    <t>[203,]</t>
  </si>
  <si>
    <t>[204,]</t>
  </si>
  <si>
    <t>[205,]</t>
  </si>
  <si>
    <t>[206,]</t>
  </si>
  <si>
    <t>[207,]</t>
  </si>
  <si>
    <t>[208,]</t>
  </si>
  <si>
    <t>[209,]</t>
  </si>
  <si>
    <t>[210,]</t>
  </si>
  <si>
    <t>[211,]</t>
  </si>
  <si>
    <t>[212,]</t>
  </si>
  <si>
    <t>[213,]</t>
  </si>
  <si>
    <t>[214,]</t>
  </si>
  <si>
    <t>[215,]</t>
  </si>
  <si>
    <t>[216,]</t>
  </si>
  <si>
    <t>[217,]</t>
  </si>
  <si>
    <t>[218,]</t>
  </si>
  <si>
    <t>[219,]</t>
  </si>
  <si>
    <t>[220,]</t>
  </si>
  <si>
    <t>[221,]</t>
  </si>
  <si>
    <t>[222,]</t>
  </si>
  <si>
    <t>[223,]</t>
  </si>
  <si>
    <t>[224,]</t>
  </si>
  <si>
    <t>[225,]</t>
  </si>
  <si>
    <t>[226,]</t>
  </si>
  <si>
    <t>[227,]</t>
  </si>
  <si>
    <t>[228,]</t>
  </si>
  <si>
    <t>[229,]</t>
  </si>
  <si>
    <t>[230,]</t>
  </si>
  <si>
    <t>[231,]</t>
  </si>
  <si>
    <t>[232,]</t>
  </si>
  <si>
    <t>[233,]</t>
  </si>
  <si>
    <t>[234,]</t>
  </si>
  <si>
    <t>[235,]</t>
  </si>
  <si>
    <t>[236,]</t>
  </si>
  <si>
    <t>[237,]</t>
  </si>
  <si>
    <t>[238,]</t>
  </si>
  <si>
    <t>[239,]</t>
  </si>
  <si>
    <t>[240,]</t>
  </si>
  <si>
    <t>[241,]</t>
  </si>
  <si>
    <t>[242,]</t>
  </si>
  <si>
    <t>[243,]</t>
  </si>
  <si>
    <t>[244,]</t>
  </si>
  <si>
    <t>[245,]</t>
  </si>
  <si>
    <t>[246,]</t>
  </si>
  <si>
    <t>[247,]</t>
  </si>
  <si>
    <t>[248,]</t>
  </si>
  <si>
    <t>[249,]</t>
  </si>
  <si>
    <t>[250,]</t>
  </si>
  <si>
    <t>[251,]</t>
  </si>
  <si>
    <t>[252,]</t>
  </si>
  <si>
    <t>[253,]</t>
  </si>
  <si>
    <t>[254,]</t>
  </si>
  <si>
    <t>[255,]</t>
  </si>
  <si>
    <t>[256,]</t>
  </si>
  <si>
    <t>[257,]</t>
  </si>
  <si>
    <t>[258,]</t>
  </si>
  <si>
    <t>[259,]</t>
  </si>
  <si>
    <t>[260,]</t>
  </si>
  <si>
    <t>[261,]</t>
  </si>
  <si>
    <t>[262,]</t>
  </si>
  <si>
    <t>OTM Turnover MBS</t>
  </si>
  <si>
    <t>OTM Turnover MBS- 6m ma</t>
  </si>
  <si>
    <t>Diff</t>
  </si>
  <si>
    <t>rate</t>
  </si>
  <si>
    <t>hpa2yr</t>
  </si>
  <si>
    <t xml:space="preserve"> (110%, 0) and (125%, 1).</t>
  </si>
  <si>
    <t>Multiplier</t>
  </si>
  <si>
    <t>Upper</t>
  </si>
  <si>
    <t>Lower</t>
  </si>
  <si>
    <t>smm.OTMrefi</t>
  </si>
  <si>
    <t>Rate</t>
  </si>
  <si>
    <t>cltv</t>
  </si>
  <si>
    <t>OTM Refi * 3</t>
  </si>
  <si>
    <t>actual</t>
  </si>
  <si>
    <t>model</t>
  </si>
  <si>
    <t>actual-6m ma</t>
  </si>
  <si>
    <t>model-6m ma</t>
  </si>
  <si>
    <t>Diff-6m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</si>
</sst>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sz val="12"/>
      <name val="Arial"/>
      <family val="2"/>
    </font>
    <font>
      <sz val="10"/>
      <color rgb="FFF8F8F8"/>
      <name val="Lucida Console"/>
      <family val="3"/>
    </font>
    <font>
      <sz val="10"/>
      <name val="Lucida Console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</borders>
  <cellStyleXfs count="69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22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0" fillId="0" borderId="0"/>
    <xf numFmtId="0" fontId="20" fillId="0" borderId="0"/>
    <xf numFmtId="0" fontId="1" fillId="0" borderId="0"/>
    <xf numFmtId="0" fontId="25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0" fillId="0" borderId="0"/>
    <xf numFmtId="0" fontId="20" fillId="0" borderId="0"/>
    <xf numFmtId="0" fontId="1" fillId="0" borderId="0"/>
    <xf numFmtId="0" fontId="25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0" fillId="0" borderId="0"/>
    <xf numFmtId="0" fontId="24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1" fillId="0" borderId="0"/>
    <xf numFmtId="0" fontId="20" fillId="0" borderId="0"/>
    <xf numFmtId="0" fontId="1" fillId="0" borderId="0"/>
    <xf numFmtId="0" fontId="24" fillId="0" borderId="0"/>
    <xf numFmtId="0" fontId="20" fillId="0" borderId="0"/>
    <xf numFmtId="0" fontId="1" fillId="0" borderId="0"/>
    <xf numFmtId="0" fontId="20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0" fillId="0" borderId="0"/>
    <xf numFmtId="0" fontId="1" fillId="0" borderId="0"/>
    <xf numFmtId="0" fontId="20" fillId="0" borderId="0"/>
    <xf numFmtId="0" fontId="24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" fillId="0" borderId="0"/>
    <xf numFmtId="0" fontId="25" fillId="0" borderId="0"/>
    <xf numFmtId="0" fontId="1" fillId="0" borderId="0"/>
    <xf numFmtId="0" fontId="20" fillId="0" borderId="0"/>
    <xf numFmtId="0" fontId="25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0" fillId="0" borderId="0"/>
    <xf numFmtId="0" fontId="24" fillId="0" borderId="0"/>
    <xf numFmtId="0" fontId="20" fillId="0" borderId="0"/>
    <xf numFmtId="0" fontId="1" fillId="0" borderId="0"/>
    <xf numFmtId="0" fontId="25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0" fillId="0" borderId="0"/>
    <xf numFmtId="0" fontId="24" fillId="0" borderId="0"/>
    <xf numFmtId="0" fontId="20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9" fontId="19" fillId="0" borderId="0" applyFont="0" applyFill="0" applyBorder="0" applyAlignment="0" applyProtection="0"/>
  </cellStyleXfs>
  <cellXfs count="34">
    <xf numFmtId="0" fontId="0" fillId="0" borderId="0" xfId="0"/>
    <xf numFmtId="22" fontId="20" fillId="0" borderId="0" xfId="42" applyNumberFormat="1" applyFont="1" applyFill="1" applyBorder="1" applyAlignment="1" applyProtection="1"/>
    <xf numFmtId="14" fontId="0" fillId="0" borderId="0" xfId="0" applyNumberFormat="1"/>
    <xf numFmtId="0" fontId="21" fillId="0" borderId="0" xfId="43" applyFont="1"/>
    <xf numFmtId="0" fontId="20" fillId="0" borderId="0" xfId="43"/>
    <xf numFmtId="0" fontId="22" fillId="0" borderId="0" xfId="43" applyFont="1"/>
    <xf numFmtId="0" fontId="20" fillId="0" borderId="0" xfId="43" applyFont="1"/>
    <xf numFmtId="0" fontId="22" fillId="0" borderId="10" xfId="43" applyFont="1" applyBorder="1" applyAlignment="1">
      <alignment horizontal="center"/>
    </xf>
    <xf numFmtId="1" fontId="22" fillId="0" borderId="10" xfId="43" applyNumberFormat="1" applyFont="1" applyBorder="1" applyAlignment="1">
      <alignment horizontal="center"/>
    </xf>
    <xf numFmtId="3" fontId="20" fillId="0" borderId="0" xfId="43" applyNumberFormat="1"/>
    <xf numFmtId="0" fontId="20" fillId="0" borderId="0" xfId="43" applyFont="1" applyProtection="1"/>
    <xf numFmtId="3" fontId="20" fillId="0" borderId="0" xfId="43" applyNumberFormat="1" applyFont="1" applyAlignment="1" applyProtection="1">
      <alignment horizontal="right"/>
    </xf>
    <xf numFmtId="3" fontId="20" fillId="0" borderId="0" xfId="43" applyNumberFormat="1" applyFont="1" applyProtection="1"/>
    <xf numFmtId="3" fontId="20" fillId="0" borderId="0" xfId="43" applyNumberFormat="1" applyAlignment="1">
      <alignment horizontal="right"/>
    </xf>
    <xf numFmtId="0" fontId="21" fillId="0" borderId="0" xfId="43" applyFont="1" applyProtection="1"/>
    <xf numFmtId="0" fontId="21" fillId="33" borderId="0" xfId="43" applyFont="1" applyFill="1" applyProtection="1"/>
    <xf numFmtId="3" fontId="20" fillId="33" borderId="0" xfId="43" applyNumberFormat="1" applyFont="1" applyFill="1" applyAlignment="1" applyProtection="1">
      <alignment horizontal="right"/>
    </xf>
    <xf numFmtId="3" fontId="20" fillId="33" borderId="0" xfId="43" applyNumberFormat="1" applyFont="1" applyFill="1" applyProtection="1"/>
    <xf numFmtId="0" fontId="22" fillId="0" borderId="0" xfId="43" applyFont="1" applyProtection="1"/>
    <xf numFmtId="3" fontId="20" fillId="0" borderId="0" xfId="43" applyNumberFormat="1" applyFont="1" applyAlignment="1">
      <alignment horizontal="right"/>
    </xf>
    <xf numFmtId="3" fontId="20" fillId="33" borderId="0" xfId="43" applyNumberFormat="1" applyFill="1" applyAlignment="1">
      <alignment horizontal="right"/>
    </xf>
    <xf numFmtId="3" fontId="20" fillId="33" borderId="0" xfId="43" applyNumberFormat="1" applyFont="1" applyFill="1" applyAlignment="1">
      <alignment horizontal="right"/>
    </xf>
    <xf numFmtId="3" fontId="20" fillId="33" borderId="0" xfId="43" applyNumberFormat="1" applyFill="1"/>
    <xf numFmtId="0" fontId="23" fillId="0" borderId="0" xfId="44" applyFont="1" applyBorder="1"/>
    <xf numFmtId="0" fontId="23" fillId="0" borderId="0" xfId="45" applyFont="1" applyBorder="1"/>
    <xf numFmtId="0" fontId="20" fillId="0" borderId="0" xfId="46" applyFont="1"/>
    <xf numFmtId="2" fontId="0" fillId="0" borderId="0" xfId="0" applyNumberFormat="1"/>
    <xf numFmtId="10" fontId="0" fillId="0" borderId="0" xfId="696" applyNumberFormat="1" applyFont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0" fontId="0" fillId="0" borderId="0" xfId="0" applyNumberFormat="1"/>
    <xf numFmtId="2" fontId="0" fillId="0" borderId="0" xfId="696" applyNumberFormat="1" applyFont="1"/>
    <xf numFmtId="0" fontId="0" fillId="0" borderId="0" xfId="0" quotePrefix="1"/>
    <xf numFmtId="11" fontId="0" fillId="0" borderId="0" xfId="0" applyNumberFormat="1"/>
  </cellXfs>
  <cellStyles count="69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lp_datetime" xfId="42"/>
    <cellStyle name="Calculation" xfId="11" builtinId="22" customBuiltin="1"/>
    <cellStyle name="Check Cell" xfId="13" builtinId="23" customBuiltin="1"/>
    <cellStyle name="Comma 10" xfId="47"/>
    <cellStyle name="Comma 10 2" xfId="48"/>
    <cellStyle name="Comma 11" xfId="49"/>
    <cellStyle name="Comma 11 2" xfId="50"/>
    <cellStyle name="Comma 12" xfId="51"/>
    <cellStyle name="Comma 12 2" xfId="52"/>
    <cellStyle name="Comma 12 3" xfId="53"/>
    <cellStyle name="Comma 2" xfId="54"/>
    <cellStyle name="Comma 2 2" xfId="55"/>
    <cellStyle name="Comma 2 3" xfId="56"/>
    <cellStyle name="Comma 2 3 2" xfId="57"/>
    <cellStyle name="Comma 2 3 3" xfId="58"/>
    <cellStyle name="Comma 2 3 3 2" xfId="59"/>
    <cellStyle name="Comma 2 3 3 3" xfId="60"/>
    <cellStyle name="Comma 2 3 3 4" xfId="61"/>
    <cellStyle name="Comma 2 3 4" xfId="62"/>
    <cellStyle name="Comma 2 4" xfId="63"/>
    <cellStyle name="Comma 2 5" xfId="64"/>
    <cellStyle name="Comma 2 6" xfId="65"/>
    <cellStyle name="Comma 3" xfId="66"/>
    <cellStyle name="Comma 3 2" xfId="67"/>
    <cellStyle name="Comma 3 2 2" xfId="68"/>
    <cellStyle name="Comma 3 2 3" xfId="69"/>
    <cellStyle name="Comma 3 3" xfId="70"/>
    <cellStyle name="Comma 3 3 2" xfId="71"/>
    <cellStyle name="Comma 3 3 2 2" xfId="72"/>
    <cellStyle name="Comma 3 3 2 3" xfId="73"/>
    <cellStyle name="Comma 3 3 3" xfId="74"/>
    <cellStyle name="Comma 3 3 4" xfId="75"/>
    <cellStyle name="Comma 3 4" xfId="76"/>
    <cellStyle name="Comma 3 4 2" xfId="77"/>
    <cellStyle name="Comma 3 4 3" xfId="78"/>
    <cellStyle name="Comma 3 4 4" xfId="79"/>
    <cellStyle name="Comma 3 5" xfId="80"/>
    <cellStyle name="Comma 3 6" xfId="81"/>
    <cellStyle name="Comma 3 7" xfId="82"/>
    <cellStyle name="Comma 3 8" xfId="83"/>
    <cellStyle name="Comma 4" xfId="84"/>
    <cellStyle name="Comma 4 2" xfId="85"/>
    <cellStyle name="Comma 4 3" xfId="86"/>
    <cellStyle name="Comma 5" xfId="87"/>
    <cellStyle name="Comma 5 2" xfId="88"/>
    <cellStyle name="Comma 5 3" xfId="89"/>
    <cellStyle name="Comma 6" xfId="90"/>
    <cellStyle name="Comma 6 2" xfId="91"/>
    <cellStyle name="Comma 6 3" xfId="92"/>
    <cellStyle name="Comma 6 3 2" xfId="93"/>
    <cellStyle name="Comma 7" xfId="94"/>
    <cellStyle name="Comma 7 2" xfId="95"/>
    <cellStyle name="Comma 7 2 2" xfId="96"/>
    <cellStyle name="Comma 7 2 3" xfId="97"/>
    <cellStyle name="Comma 7 3" xfId="98"/>
    <cellStyle name="Comma 7 3 2" xfId="99"/>
    <cellStyle name="Comma 7 4" xfId="100"/>
    <cellStyle name="Comma 8" xfId="101"/>
    <cellStyle name="Comma 9" xfId="102"/>
    <cellStyle name="Comma 9 2" xfId="10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10" xfId="104"/>
    <cellStyle name="Normal 10 2" xfId="105"/>
    <cellStyle name="Normal 10 3" xfId="106"/>
    <cellStyle name="Normal 10 4" xfId="107"/>
    <cellStyle name="Normal 11" xfId="108"/>
    <cellStyle name="Normal 11 2" xfId="109"/>
    <cellStyle name="Normal 11 3" xfId="110"/>
    <cellStyle name="Normal 11 4" xfId="111"/>
    <cellStyle name="Normal 12" xfId="112"/>
    <cellStyle name="Normal 12 2" xfId="113"/>
    <cellStyle name="Normal 12 3" xfId="114"/>
    <cellStyle name="Normal 12 4" xfId="115"/>
    <cellStyle name="Normal 12 5" xfId="116"/>
    <cellStyle name="Normal 13" xfId="117"/>
    <cellStyle name="Normal 13 2" xfId="118"/>
    <cellStyle name="Normal 13 3" xfId="119"/>
    <cellStyle name="Normal 14" xfId="120"/>
    <cellStyle name="Normal 14 2" xfId="121"/>
    <cellStyle name="Normal 14 3" xfId="122"/>
    <cellStyle name="Normal 15" xfId="123"/>
    <cellStyle name="Normal 15 2" xfId="124"/>
    <cellStyle name="Normal 15 3" xfId="125"/>
    <cellStyle name="Normal 16" xfId="126"/>
    <cellStyle name="Normal 16 2" xfId="127"/>
    <cellStyle name="Normal 16 3" xfId="128"/>
    <cellStyle name="Normal 17" xfId="129"/>
    <cellStyle name="Normal 17 2" xfId="130"/>
    <cellStyle name="Normal 17 3" xfId="131"/>
    <cellStyle name="Normal 18" xfId="132"/>
    <cellStyle name="Normal 18 2" xfId="133"/>
    <cellStyle name="Normal 18 3" xfId="134"/>
    <cellStyle name="Normal 19" xfId="135"/>
    <cellStyle name="Normal 19 2" xfId="136"/>
    <cellStyle name="Normal 19 3" xfId="137"/>
    <cellStyle name="Normal 2" xfId="43"/>
    <cellStyle name="Normal 2 10" xfId="138"/>
    <cellStyle name="Normal 2 11" xfId="139"/>
    <cellStyle name="Normal 2 12" xfId="140"/>
    <cellStyle name="Normal 2 13" xfId="141"/>
    <cellStyle name="Normal 2 14" xfId="142"/>
    <cellStyle name="Normal 2 15" xfId="143"/>
    <cellStyle name="Normal 2 16" xfId="144"/>
    <cellStyle name="Normal 2 17" xfId="145"/>
    <cellStyle name="Normal 2 18" xfId="146"/>
    <cellStyle name="Normal 2 19" xfId="147"/>
    <cellStyle name="Normal 2 2" xfId="148"/>
    <cellStyle name="Normal 2 2 10" xfId="149"/>
    <cellStyle name="Normal 2 2 11" xfId="150"/>
    <cellStyle name="Normal 2 2 12" xfId="151"/>
    <cellStyle name="Normal 2 2 13" xfId="152"/>
    <cellStyle name="Normal 2 2 14" xfId="153"/>
    <cellStyle name="Normal 2 2 15" xfId="154"/>
    <cellStyle name="Normal 2 2 16" xfId="155"/>
    <cellStyle name="Normal 2 2 17" xfId="156"/>
    <cellStyle name="Normal 2 2 18" xfId="157"/>
    <cellStyle name="Normal 2 2 19" xfId="158"/>
    <cellStyle name="Normal 2 2 2" xfId="159"/>
    <cellStyle name="Normal 2 2 2 2" xfId="160"/>
    <cellStyle name="Normal 2 2 2 2 2" xfId="161"/>
    <cellStyle name="Normal 2 2 2 2 2 2" xfId="162"/>
    <cellStyle name="Normal 2 2 2 2 3" xfId="163"/>
    <cellStyle name="Normal 2 2 2 2 4" xfId="164"/>
    <cellStyle name="Normal 2 2 2 3" xfId="165"/>
    <cellStyle name="Normal 2 2 2 3 2" xfId="166"/>
    <cellStyle name="Normal 2 2 2 3 2 2" xfId="167"/>
    <cellStyle name="Normal 2 2 2 4" xfId="168"/>
    <cellStyle name="Normal 2 2 2 5" xfId="169"/>
    <cellStyle name="Normal 2 2 2 6" xfId="170"/>
    <cellStyle name="Normal 2 2 2 7" xfId="171"/>
    <cellStyle name="Normal 2 2 2 8" xfId="172"/>
    <cellStyle name="Normal 2 2 20" xfId="173"/>
    <cellStyle name="Normal 2 2 21" xfId="174"/>
    <cellStyle name="Normal 2 2 22" xfId="175"/>
    <cellStyle name="Normal 2 2 23" xfId="176"/>
    <cellStyle name="Normal 2 2 24" xfId="177"/>
    <cellStyle name="Normal 2 2 25" xfId="178"/>
    <cellStyle name="Normal 2 2 26" xfId="179"/>
    <cellStyle name="Normal 2 2 27" xfId="180"/>
    <cellStyle name="Normal 2 2 28" xfId="181"/>
    <cellStyle name="Normal 2 2 29" xfId="182"/>
    <cellStyle name="Normal 2 2 3" xfId="183"/>
    <cellStyle name="Normal 2 2 3 2" xfId="184"/>
    <cellStyle name="Normal 2 2 3 2 2" xfId="185"/>
    <cellStyle name="Normal 2 2 3 2 3" xfId="186"/>
    <cellStyle name="Normal 2 2 3 3" xfId="187"/>
    <cellStyle name="Normal 2 2 3 3 2" xfId="188"/>
    <cellStyle name="Normal 2 2 3 4" xfId="189"/>
    <cellStyle name="Normal 2 2 3 5" xfId="190"/>
    <cellStyle name="Normal 2 2 30" xfId="191"/>
    <cellStyle name="Normal 2 2 31" xfId="192"/>
    <cellStyle name="Normal 2 2 32" xfId="193"/>
    <cellStyle name="Normal 2 2 33" xfId="194"/>
    <cellStyle name="Normal 2 2 34" xfId="195"/>
    <cellStyle name="Normal 2 2 35" xfId="196"/>
    <cellStyle name="Normal 2 2 36" xfId="197"/>
    <cellStyle name="Normal 2 2 37" xfId="198"/>
    <cellStyle name="Normal 2 2 38" xfId="199"/>
    <cellStyle name="Normal 2 2 39" xfId="200"/>
    <cellStyle name="Normal 2 2 4" xfId="201"/>
    <cellStyle name="Normal 2 2 4 2" xfId="202"/>
    <cellStyle name="Normal 2 2 4 2 2" xfId="203"/>
    <cellStyle name="Normal 2 2 40" xfId="204"/>
    <cellStyle name="Normal 2 2 41" xfId="205"/>
    <cellStyle name="Normal 2 2 42" xfId="206"/>
    <cellStyle name="Normal 2 2 43" xfId="207"/>
    <cellStyle name="Normal 2 2 44" xfId="208"/>
    <cellStyle name="Normal 2 2 45" xfId="209"/>
    <cellStyle name="Normal 2 2 46" xfId="210"/>
    <cellStyle name="Normal 2 2 47" xfId="211"/>
    <cellStyle name="Normal 2 2 48" xfId="212"/>
    <cellStyle name="Normal 2 2 49" xfId="213"/>
    <cellStyle name="Normal 2 2 5" xfId="214"/>
    <cellStyle name="Normal 2 2 50" xfId="215"/>
    <cellStyle name="Normal 2 2 51" xfId="216"/>
    <cellStyle name="Normal 2 2 52" xfId="217"/>
    <cellStyle name="Normal 2 2 6" xfId="218"/>
    <cellStyle name="Normal 2 2 7" xfId="219"/>
    <cellStyle name="Normal 2 2 8" xfId="220"/>
    <cellStyle name="Normal 2 2 9" xfId="221"/>
    <cellStyle name="Normal 2 20" xfId="222"/>
    <cellStyle name="Normal 2 21" xfId="223"/>
    <cellStyle name="Normal 2 22" xfId="224"/>
    <cellStyle name="Normal 2 23" xfId="225"/>
    <cellStyle name="Normal 2 24" xfId="226"/>
    <cellStyle name="Normal 2 25" xfId="227"/>
    <cellStyle name="Normal 2 26" xfId="228"/>
    <cellStyle name="Normal 2 27" xfId="229"/>
    <cellStyle name="Normal 2 28" xfId="230"/>
    <cellStyle name="Normal 2 29" xfId="231"/>
    <cellStyle name="Normal 2 3" xfId="232"/>
    <cellStyle name="Normal 2 3 2" xfId="233"/>
    <cellStyle name="Normal 2 3 2 2" xfId="234"/>
    <cellStyle name="Normal 2 3 2 2 2" xfId="235"/>
    <cellStyle name="Normal 2 3 2 3" xfId="236"/>
    <cellStyle name="Normal 2 3 2 4" xfId="237"/>
    <cellStyle name="Normal 2 3 3" xfId="238"/>
    <cellStyle name="Normal 2 3 3 2" xfId="239"/>
    <cellStyle name="Normal 2 3 3 2 2" xfId="240"/>
    <cellStyle name="Normal 2 3 4" xfId="241"/>
    <cellStyle name="Normal 2 3 5" xfId="242"/>
    <cellStyle name="Normal 2 3 6" xfId="243"/>
    <cellStyle name="Normal 2 3 7" xfId="244"/>
    <cellStyle name="Normal 2 30" xfId="245"/>
    <cellStyle name="Normal 2 31" xfId="246"/>
    <cellStyle name="Normal 2 32" xfId="247"/>
    <cellStyle name="Normal 2 33" xfId="248"/>
    <cellStyle name="Normal 2 34" xfId="249"/>
    <cellStyle name="Normal 2 35" xfId="250"/>
    <cellStyle name="Normal 2 36" xfId="251"/>
    <cellStyle name="Normal 2 37" xfId="252"/>
    <cellStyle name="Normal 2 38" xfId="253"/>
    <cellStyle name="Normal 2 39" xfId="254"/>
    <cellStyle name="Normal 2 4" xfId="255"/>
    <cellStyle name="Normal 2 4 2" xfId="256"/>
    <cellStyle name="Normal 2 4 2 2" xfId="257"/>
    <cellStyle name="Normal 2 4 2 2 2" xfId="258"/>
    <cellStyle name="Normal 2 4 2 2 3" xfId="259"/>
    <cellStyle name="Normal 2 4 2 3" xfId="260"/>
    <cellStyle name="Normal 2 4 3" xfId="261"/>
    <cellStyle name="Normal 2 4 3 2" xfId="262"/>
    <cellStyle name="Normal 2 4 4" xfId="263"/>
    <cellStyle name="Normal 2 4 5" xfId="264"/>
    <cellStyle name="Normal 2 4 6" xfId="265"/>
    <cellStyle name="Normal 2 4 6 2" xfId="266"/>
    <cellStyle name="Normal 2 4 6 3" xfId="267"/>
    <cellStyle name="Normal 2 4 7" xfId="268"/>
    <cellStyle name="Normal 2 40" xfId="269"/>
    <cellStyle name="Normal 2 41" xfId="270"/>
    <cellStyle name="Normal 2 42" xfId="271"/>
    <cellStyle name="Normal 2 43" xfId="272"/>
    <cellStyle name="Normal 2 44" xfId="273"/>
    <cellStyle name="Normal 2 45" xfId="274"/>
    <cellStyle name="Normal 2 46" xfId="275"/>
    <cellStyle name="Normal 2 47" xfId="276"/>
    <cellStyle name="Normal 2 47 2" xfId="277"/>
    <cellStyle name="Normal 2 47 3" xfId="278"/>
    <cellStyle name="Normal 2 48" xfId="279"/>
    <cellStyle name="Normal 2 49" xfId="280"/>
    <cellStyle name="Normal 2 49 2" xfId="281"/>
    <cellStyle name="Normal 2 5" xfId="282"/>
    <cellStyle name="Normal 2 5 2" xfId="283"/>
    <cellStyle name="Normal 2 5 2 2" xfId="284"/>
    <cellStyle name="Normal 2 5 2 3" xfId="285"/>
    <cellStyle name="Normal 2 5 3" xfId="286"/>
    <cellStyle name="Normal 2 5 4" xfId="287"/>
    <cellStyle name="Normal 2 5 5" xfId="288"/>
    <cellStyle name="Normal 2 6" xfId="289"/>
    <cellStyle name="Normal 2 7" xfId="290"/>
    <cellStyle name="Normal 2 8" xfId="291"/>
    <cellStyle name="Normal 2 9" xfId="292"/>
    <cellStyle name="Normal 20" xfId="293"/>
    <cellStyle name="Normal 20 2" xfId="294"/>
    <cellStyle name="Normal 20 3" xfId="295"/>
    <cellStyle name="Normal 21" xfId="296"/>
    <cellStyle name="Normal 21 2" xfId="297"/>
    <cellStyle name="Normal 21 3" xfId="298"/>
    <cellStyle name="Normal 22" xfId="299"/>
    <cellStyle name="Normal 22 2" xfId="300"/>
    <cellStyle name="Normal 22 3" xfId="301"/>
    <cellStyle name="Normal 23" xfId="302"/>
    <cellStyle name="Normal 23 2" xfId="303"/>
    <cellStyle name="Normal 23 3" xfId="304"/>
    <cellStyle name="Normal 24" xfId="305"/>
    <cellStyle name="Normal 24 2" xfId="306"/>
    <cellStyle name="Normal 24 3" xfId="307"/>
    <cellStyle name="Normal 25" xfId="308"/>
    <cellStyle name="Normal 25 2" xfId="309"/>
    <cellStyle name="Normal 25 3" xfId="310"/>
    <cellStyle name="Normal 26" xfId="311"/>
    <cellStyle name="Normal 26 2" xfId="312"/>
    <cellStyle name="Normal 26 3" xfId="313"/>
    <cellStyle name="Normal 27" xfId="314"/>
    <cellStyle name="Normal 27 2" xfId="315"/>
    <cellStyle name="Normal 27 3" xfId="316"/>
    <cellStyle name="Normal 28" xfId="317"/>
    <cellStyle name="Normal 28 2" xfId="318"/>
    <cellStyle name="Normal 28 3" xfId="319"/>
    <cellStyle name="Normal 29" xfId="320"/>
    <cellStyle name="Normal 29 2" xfId="321"/>
    <cellStyle name="Normal 29 3" xfId="322"/>
    <cellStyle name="Normal 3" xfId="323"/>
    <cellStyle name="Normal 3 2" xfId="324"/>
    <cellStyle name="Normal 3 2 2" xfId="325"/>
    <cellStyle name="Normal 3 2 3" xfId="326"/>
    <cellStyle name="Normal 3 3" xfId="327"/>
    <cellStyle name="Normal 3 3 2" xfId="328"/>
    <cellStyle name="Normal 3 3 2 2" xfId="329"/>
    <cellStyle name="Normal 3 3 2 2 2" xfId="330"/>
    <cellStyle name="Normal 3 3 2 2 3" xfId="331"/>
    <cellStyle name="Normal 3 3 2 3" xfId="332"/>
    <cellStyle name="Normal 3 3 3" xfId="333"/>
    <cellStyle name="Normal 3 3 3 2" xfId="334"/>
    <cellStyle name="Normal 3 3 3 2 2" xfId="335"/>
    <cellStyle name="Normal 3 3 3 3" xfId="336"/>
    <cellStyle name="Normal 3 3 4" xfId="337"/>
    <cellStyle name="Normal 3 3 5" xfId="338"/>
    <cellStyle name="Normal 3 4" xfId="339"/>
    <cellStyle name="Normal 3 4 2" xfId="340"/>
    <cellStyle name="Normal 3 4 2 2" xfId="341"/>
    <cellStyle name="Normal 3 4 3" xfId="342"/>
    <cellStyle name="Normal 3 4 4" xfId="343"/>
    <cellStyle name="Normal 3 5" xfId="344"/>
    <cellStyle name="Normal 3 5 2" xfId="345"/>
    <cellStyle name="Normal 30" xfId="346"/>
    <cellStyle name="Normal 30 2" xfId="347"/>
    <cellStyle name="Normal 30 3" xfId="348"/>
    <cellStyle name="Normal 31" xfId="349"/>
    <cellStyle name="Normal 31 2" xfId="350"/>
    <cellStyle name="Normal 31 3" xfId="351"/>
    <cellStyle name="Normal 32" xfId="352"/>
    <cellStyle name="Normal 32 2" xfId="353"/>
    <cellStyle name="Normal 32 3" xfId="354"/>
    <cellStyle name="Normal 33" xfId="355"/>
    <cellStyle name="Normal 33 2" xfId="356"/>
    <cellStyle name="Normal 33 3" xfId="357"/>
    <cellStyle name="Normal 34" xfId="358"/>
    <cellStyle name="Normal 34 2" xfId="359"/>
    <cellStyle name="Normal 34 3" xfId="360"/>
    <cellStyle name="Normal 35" xfId="361"/>
    <cellStyle name="Normal 35 2" xfId="362"/>
    <cellStyle name="Normal 35 3" xfId="363"/>
    <cellStyle name="Normal 36" xfId="364"/>
    <cellStyle name="Normal 36 2" xfId="365"/>
    <cellStyle name="Normal 36 3" xfId="366"/>
    <cellStyle name="Normal 37" xfId="367"/>
    <cellStyle name="Normal 37 2" xfId="368"/>
    <cellStyle name="Normal 37 3" xfId="369"/>
    <cellStyle name="Normal 38" xfId="370"/>
    <cellStyle name="Normal 38 2" xfId="371"/>
    <cellStyle name="Normal 38 3" xfId="372"/>
    <cellStyle name="Normal 39" xfId="373"/>
    <cellStyle name="Normal 39 2" xfId="374"/>
    <cellStyle name="Normal 39 3" xfId="375"/>
    <cellStyle name="Normal 4" xfId="376"/>
    <cellStyle name="Normal 4 2" xfId="377"/>
    <cellStyle name="Normal 4 2 2" xfId="378"/>
    <cellStyle name="Normal 4 2 2 2" xfId="379"/>
    <cellStyle name="Normal 4 2 2 2 2" xfId="380"/>
    <cellStyle name="Normal 4 2 3" xfId="381"/>
    <cellStyle name="Normal 4 2 3 2" xfId="382"/>
    <cellStyle name="Normal 4 2 3 3" xfId="383"/>
    <cellStyle name="Normal 4 2 4" xfId="384"/>
    <cellStyle name="Normal 4 2 5" xfId="385"/>
    <cellStyle name="Normal 4 2 6" xfId="386"/>
    <cellStyle name="Normal 4 3" xfId="387"/>
    <cellStyle name="Normal 4 3 2" xfId="388"/>
    <cellStyle name="Normal 4 3 3" xfId="389"/>
    <cellStyle name="Normal 4 4" xfId="390"/>
    <cellStyle name="Normal 4 4 2" xfId="391"/>
    <cellStyle name="Normal 4 5" xfId="392"/>
    <cellStyle name="Normal 4 6" xfId="393"/>
    <cellStyle name="Normal 4 6 2" xfId="394"/>
    <cellStyle name="Normal 4 6 3" xfId="395"/>
    <cellStyle name="Normal 4 6 4" xfId="396"/>
    <cellStyle name="Normal 4 6 5" xfId="397"/>
    <cellStyle name="Normal 4 7" xfId="398"/>
    <cellStyle name="Normal 4 8" xfId="399"/>
    <cellStyle name="Normal 4 9" xfId="400"/>
    <cellStyle name="Normal 40" xfId="401"/>
    <cellStyle name="Normal 40 2" xfId="402"/>
    <cellStyle name="Normal 40 3" xfId="403"/>
    <cellStyle name="Normal 41" xfId="404"/>
    <cellStyle name="Normal 41 2" xfId="405"/>
    <cellStyle name="Normal 41 3" xfId="406"/>
    <cellStyle name="Normal 42" xfId="407"/>
    <cellStyle name="Normal 42 2" xfId="408"/>
    <cellStyle name="Normal 42 3" xfId="409"/>
    <cellStyle name="Normal 43" xfId="410"/>
    <cellStyle name="Normal 43 2" xfId="411"/>
    <cellStyle name="Normal 43 3" xfId="412"/>
    <cellStyle name="Normal 44" xfId="413"/>
    <cellStyle name="Normal 44 2" xfId="414"/>
    <cellStyle name="Normal 45" xfId="415"/>
    <cellStyle name="Normal 45 2" xfId="416"/>
    <cellStyle name="Normal 45 3" xfId="417"/>
    <cellStyle name="Normal 46" xfId="418"/>
    <cellStyle name="Normal 46 2" xfId="419"/>
    <cellStyle name="Normal 47" xfId="420"/>
    <cellStyle name="Normal 48" xfId="421"/>
    <cellStyle name="Normal 48 2" xfId="422"/>
    <cellStyle name="Normal 5" xfId="423"/>
    <cellStyle name="Normal 5 2" xfId="424"/>
    <cellStyle name="Normal 5 3" xfId="425"/>
    <cellStyle name="Normal 5 3 2" xfId="426"/>
    <cellStyle name="Normal 5 3 3" xfId="427"/>
    <cellStyle name="Normal 5 3 4" xfId="428"/>
    <cellStyle name="Normal 5 4" xfId="429"/>
    <cellStyle name="Normal 5 5" xfId="430"/>
    <cellStyle name="Normal 5 6" xfId="431"/>
    <cellStyle name="Normal 6" xfId="45"/>
    <cellStyle name="Normal 6 2" xfId="432"/>
    <cellStyle name="Normal 6 2 2" xfId="433"/>
    <cellStyle name="Normal 6 2 2 2" xfId="434"/>
    <cellStyle name="Normal 6 2 2 3" xfId="435"/>
    <cellStyle name="Normal 6 2 2 4" xfId="436"/>
    <cellStyle name="Normal 6 2 2 5" xfId="437"/>
    <cellStyle name="Normal 6 2 3" xfId="438"/>
    <cellStyle name="Normal 6 2 4" xfId="439"/>
    <cellStyle name="Normal 6 2 4 2" xfId="440"/>
    <cellStyle name="Normal 6 3" xfId="441"/>
    <cellStyle name="Normal 6 3 2" xfId="442"/>
    <cellStyle name="Normal 6 3 3" xfId="443"/>
    <cellStyle name="Normal 6 3 4" xfId="444"/>
    <cellStyle name="Normal 6 3 5" xfId="445"/>
    <cellStyle name="Normal 6 4" xfId="446"/>
    <cellStyle name="Normal 6 4 2" xfId="447"/>
    <cellStyle name="Normal 6 4 2 2" xfId="448"/>
    <cellStyle name="Normal 6 4 3" xfId="449"/>
    <cellStyle name="Normal 6 5" xfId="450"/>
    <cellStyle name="Normal 7" xfId="44"/>
    <cellStyle name="Normal 7 2" xfId="451"/>
    <cellStyle name="Normal 7 3" xfId="452"/>
    <cellStyle name="Normal 7 3 2" xfId="453"/>
    <cellStyle name="Normal 7 3 3" xfId="454"/>
    <cellStyle name="Normal 7 3 4" xfId="455"/>
    <cellStyle name="Normal 7 4" xfId="456"/>
    <cellStyle name="Normal 7 5" xfId="457"/>
    <cellStyle name="Normal 7 6" xfId="458"/>
    <cellStyle name="Normal 8" xfId="46"/>
    <cellStyle name="Normal 8 2" xfId="459"/>
    <cellStyle name="Normal 8 2 2" xfId="460"/>
    <cellStyle name="Normal 8 2 2 2" xfId="461"/>
    <cellStyle name="Normal 8 2 2 3" xfId="462"/>
    <cellStyle name="Normal 8 2 3" xfId="463"/>
    <cellStyle name="Normal 8 2 4" xfId="464"/>
    <cellStyle name="Normal 8 2 5" xfId="465"/>
    <cellStyle name="Normal 8 3" xfId="466"/>
    <cellStyle name="Normal 8 4" xfId="467"/>
    <cellStyle name="Normal 8 4 2" xfId="468"/>
    <cellStyle name="Normal 8 5" xfId="469"/>
    <cellStyle name="Normal 8 6" xfId="470"/>
    <cellStyle name="Normal 8 7" xfId="471"/>
    <cellStyle name="Normal 8 8" xfId="472"/>
    <cellStyle name="Normal 9" xfId="473"/>
    <cellStyle name="Normal 9 2" xfId="474"/>
    <cellStyle name="Normal 9 2 2" xfId="475"/>
    <cellStyle name="Normal 9 2 3" xfId="476"/>
    <cellStyle name="Normal 9 2 4" xfId="477"/>
    <cellStyle name="Normal 9 3" xfId="478"/>
    <cellStyle name="Normal 9 4" xfId="479"/>
    <cellStyle name="Normal 9 5" xfId="480"/>
    <cellStyle name="Normal 9 6" xfId="481"/>
    <cellStyle name="Normal 9 7" xfId="482"/>
    <cellStyle name="Normal 9 8" xfId="483"/>
    <cellStyle name="Note" xfId="15" builtinId="10" customBuiltin="1"/>
    <cellStyle name="Note 10" xfId="484"/>
    <cellStyle name="Note 10 2" xfId="485"/>
    <cellStyle name="Note 10 2 2" xfId="486"/>
    <cellStyle name="Note 10 3" xfId="487"/>
    <cellStyle name="Note 10 3 2" xfId="488"/>
    <cellStyle name="Note 10 4" xfId="489"/>
    <cellStyle name="Note 11" xfId="490"/>
    <cellStyle name="Note 11 2" xfId="491"/>
    <cellStyle name="Note 11 2 2" xfId="492"/>
    <cellStyle name="Note 11 3" xfId="493"/>
    <cellStyle name="Note 11 3 2" xfId="494"/>
    <cellStyle name="Note 11 4" xfId="495"/>
    <cellStyle name="Note 12" xfId="496"/>
    <cellStyle name="Note 12 2" xfId="497"/>
    <cellStyle name="Note 12 2 2" xfId="498"/>
    <cellStyle name="Note 12 3" xfId="499"/>
    <cellStyle name="Note 12 3 2" xfId="500"/>
    <cellStyle name="Note 12 4" xfId="501"/>
    <cellStyle name="Note 13" xfId="502"/>
    <cellStyle name="Note 13 2" xfId="503"/>
    <cellStyle name="Note 13 2 2" xfId="504"/>
    <cellStyle name="Note 13 3" xfId="505"/>
    <cellStyle name="Note 13 3 2" xfId="506"/>
    <cellStyle name="Note 13 4" xfId="507"/>
    <cellStyle name="Note 14" xfId="508"/>
    <cellStyle name="Note 14 2" xfId="509"/>
    <cellStyle name="Note 14 2 2" xfId="510"/>
    <cellStyle name="Note 14 3" xfId="511"/>
    <cellStyle name="Note 14 3 2" xfId="512"/>
    <cellStyle name="Note 14 4" xfId="513"/>
    <cellStyle name="Note 15" xfId="514"/>
    <cellStyle name="Note 15 2" xfId="515"/>
    <cellStyle name="Note 15 2 2" xfId="516"/>
    <cellStyle name="Note 15 3" xfId="517"/>
    <cellStyle name="Note 15 3 2" xfId="518"/>
    <cellStyle name="Note 15 4" xfId="519"/>
    <cellStyle name="Note 16" xfId="520"/>
    <cellStyle name="Note 16 2" xfId="521"/>
    <cellStyle name="Note 16 2 2" xfId="522"/>
    <cellStyle name="Note 16 3" xfId="523"/>
    <cellStyle name="Note 16 3 2" xfId="524"/>
    <cellStyle name="Note 16 4" xfId="525"/>
    <cellStyle name="Note 17" xfId="526"/>
    <cellStyle name="Note 17 2" xfId="527"/>
    <cellStyle name="Note 17 2 2" xfId="528"/>
    <cellStyle name="Note 17 3" xfId="529"/>
    <cellStyle name="Note 17 3 2" xfId="530"/>
    <cellStyle name="Note 17 4" xfId="531"/>
    <cellStyle name="Note 18" xfId="532"/>
    <cellStyle name="Note 18 2" xfId="533"/>
    <cellStyle name="Note 18 2 2" xfId="534"/>
    <cellStyle name="Note 18 3" xfId="535"/>
    <cellStyle name="Note 18 3 2" xfId="536"/>
    <cellStyle name="Note 18 4" xfId="537"/>
    <cellStyle name="Note 19" xfId="538"/>
    <cellStyle name="Note 19 2" xfId="539"/>
    <cellStyle name="Note 19 2 2" xfId="540"/>
    <cellStyle name="Note 19 3" xfId="541"/>
    <cellStyle name="Note 19 3 2" xfId="542"/>
    <cellStyle name="Note 19 4" xfId="543"/>
    <cellStyle name="Note 2" xfId="544"/>
    <cellStyle name="Note 2 2" xfId="545"/>
    <cellStyle name="Note 2 2 2" xfId="546"/>
    <cellStyle name="Note 2 2 3" xfId="547"/>
    <cellStyle name="Note 2 2 3 2" xfId="548"/>
    <cellStyle name="Note 2 2 3 3" xfId="549"/>
    <cellStyle name="Note 2 2 3 4" xfId="550"/>
    <cellStyle name="Note 2 2 4" xfId="551"/>
    <cellStyle name="Note 2 3" xfId="552"/>
    <cellStyle name="Note 2 3 2" xfId="553"/>
    <cellStyle name="Note 2 3 3" xfId="554"/>
    <cellStyle name="Note 2 3 4" xfId="555"/>
    <cellStyle name="Note 2 4" xfId="556"/>
    <cellStyle name="Note 2 4 2" xfId="557"/>
    <cellStyle name="Note 2 4 3" xfId="558"/>
    <cellStyle name="Note 2 4 4" xfId="559"/>
    <cellStyle name="Note 2 5" xfId="560"/>
    <cellStyle name="Note 20" xfId="561"/>
    <cellStyle name="Note 20 2" xfId="562"/>
    <cellStyle name="Note 20 2 2" xfId="563"/>
    <cellStyle name="Note 20 3" xfId="564"/>
    <cellStyle name="Note 20 3 2" xfId="565"/>
    <cellStyle name="Note 20 4" xfId="566"/>
    <cellStyle name="Note 21" xfId="567"/>
    <cellStyle name="Note 21 2" xfId="568"/>
    <cellStyle name="Note 21 2 2" xfId="569"/>
    <cellStyle name="Note 21 3" xfId="570"/>
    <cellStyle name="Note 21 3 2" xfId="571"/>
    <cellStyle name="Note 21 4" xfId="572"/>
    <cellStyle name="Note 22" xfId="573"/>
    <cellStyle name="Note 22 2" xfId="574"/>
    <cellStyle name="Note 22 2 2" xfId="575"/>
    <cellStyle name="Note 22 3" xfId="576"/>
    <cellStyle name="Note 22 3 2" xfId="577"/>
    <cellStyle name="Note 22 4" xfId="578"/>
    <cellStyle name="Note 23" xfId="579"/>
    <cellStyle name="Note 23 2" xfId="580"/>
    <cellStyle name="Note 23 2 2" xfId="581"/>
    <cellStyle name="Note 23 3" xfId="582"/>
    <cellStyle name="Note 23 3 2" xfId="583"/>
    <cellStyle name="Note 23 4" xfId="584"/>
    <cellStyle name="Note 24" xfId="585"/>
    <cellStyle name="Note 24 2" xfId="586"/>
    <cellStyle name="Note 24 2 2" xfId="587"/>
    <cellStyle name="Note 24 3" xfId="588"/>
    <cellStyle name="Note 24 3 2" xfId="589"/>
    <cellStyle name="Note 24 4" xfId="590"/>
    <cellStyle name="Note 25" xfId="591"/>
    <cellStyle name="Note 25 2" xfId="592"/>
    <cellStyle name="Note 25 2 2" xfId="593"/>
    <cellStyle name="Note 25 3" xfId="594"/>
    <cellStyle name="Note 25 3 2" xfId="595"/>
    <cellStyle name="Note 25 4" xfId="596"/>
    <cellStyle name="Note 26" xfId="597"/>
    <cellStyle name="Note 26 2" xfId="598"/>
    <cellStyle name="Note 26 2 2" xfId="599"/>
    <cellStyle name="Note 26 3" xfId="600"/>
    <cellStyle name="Note 26 3 2" xfId="601"/>
    <cellStyle name="Note 26 4" xfId="602"/>
    <cellStyle name="Note 27" xfId="603"/>
    <cellStyle name="Note 27 2" xfId="604"/>
    <cellStyle name="Note 27 2 2" xfId="605"/>
    <cellStyle name="Note 27 3" xfId="606"/>
    <cellStyle name="Note 27 3 2" xfId="607"/>
    <cellStyle name="Note 27 4" xfId="608"/>
    <cellStyle name="Note 28" xfId="609"/>
    <cellStyle name="Note 28 2" xfId="610"/>
    <cellStyle name="Note 28 2 2" xfId="611"/>
    <cellStyle name="Note 28 3" xfId="612"/>
    <cellStyle name="Note 28 3 2" xfId="613"/>
    <cellStyle name="Note 28 4" xfId="614"/>
    <cellStyle name="Note 29" xfId="615"/>
    <cellStyle name="Note 29 2" xfId="616"/>
    <cellStyle name="Note 29 2 2" xfId="617"/>
    <cellStyle name="Note 29 3" xfId="618"/>
    <cellStyle name="Note 29 3 2" xfId="619"/>
    <cellStyle name="Note 29 4" xfId="620"/>
    <cellStyle name="Note 3" xfId="621"/>
    <cellStyle name="Note 3 2" xfId="622"/>
    <cellStyle name="Note 3 2 2" xfId="623"/>
    <cellStyle name="Note 3 2 3" xfId="624"/>
    <cellStyle name="Note 3 2 3 2" xfId="625"/>
    <cellStyle name="Note 3 2 3 3" xfId="626"/>
    <cellStyle name="Note 3 2 3 4" xfId="627"/>
    <cellStyle name="Note 3 2 4" xfId="628"/>
    <cellStyle name="Note 3 3" xfId="629"/>
    <cellStyle name="Note 3 3 2" xfId="630"/>
    <cellStyle name="Note 3 3 3" xfId="631"/>
    <cellStyle name="Note 3 3 4" xfId="632"/>
    <cellStyle name="Note 3 4" xfId="633"/>
    <cellStyle name="Note 3 4 2" xfId="634"/>
    <cellStyle name="Note 3 4 3" xfId="635"/>
    <cellStyle name="Note 3 4 4" xfId="636"/>
    <cellStyle name="Note 3 5" xfId="637"/>
    <cellStyle name="Note 30" xfId="638"/>
    <cellStyle name="Note 30 2" xfId="639"/>
    <cellStyle name="Note 30 2 2" xfId="640"/>
    <cellStyle name="Note 30 3" xfId="641"/>
    <cellStyle name="Note 30 3 2" xfId="642"/>
    <cellStyle name="Note 30 4" xfId="643"/>
    <cellStyle name="Note 31" xfId="644"/>
    <cellStyle name="Note 31 2" xfId="645"/>
    <cellStyle name="Note 31 2 2" xfId="646"/>
    <cellStyle name="Note 31 3" xfId="647"/>
    <cellStyle name="Note 31 3 2" xfId="648"/>
    <cellStyle name="Note 31 4" xfId="649"/>
    <cellStyle name="Note 32" xfId="650"/>
    <cellStyle name="Note 32 2" xfId="651"/>
    <cellStyle name="Note 32 2 2" xfId="652"/>
    <cellStyle name="Note 32 3" xfId="653"/>
    <cellStyle name="Note 32 3 2" xfId="654"/>
    <cellStyle name="Note 32 4" xfId="655"/>
    <cellStyle name="Note 33" xfId="656"/>
    <cellStyle name="Note 33 2" xfId="657"/>
    <cellStyle name="Note 33 2 2" xfId="658"/>
    <cellStyle name="Note 33 3" xfId="659"/>
    <cellStyle name="Note 33 3 2" xfId="660"/>
    <cellStyle name="Note 33 4" xfId="661"/>
    <cellStyle name="Note 4" xfId="662"/>
    <cellStyle name="Note 4 2" xfId="663"/>
    <cellStyle name="Note 4 2 2" xfId="664"/>
    <cellStyle name="Note 4 3" xfId="665"/>
    <cellStyle name="Note 5" xfId="666"/>
    <cellStyle name="Note 5 2" xfId="667"/>
    <cellStyle name="Note 5 2 2" xfId="668"/>
    <cellStyle name="Note 5 3" xfId="669"/>
    <cellStyle name="Note 5 3 2" xfId="670"/>
    <cellStyle name="Note 5 4" xfId="671"/>
    <cellStyle name="Note 6" xfId="672"/>
    <cellStyle name="Note 6 2" xfId="673"/>
    <cellStyle name="Note 6 2 2" xfId="674"/>
    <cellStyle name="Note 6 3" xfId="675"/>
    <cellStyle name="Note 6 3 2" xfId="676"/>
    <cellStyle name="Note 6 4" xfId="677"/>
    <cellStyle name="Note 7" xfId="678"/>
    <cellStyle name="Note 7 2" xfId="679"/>
    <cellStyle name="Note 7 2 2" xfId="680"/>
    <cellStyle name="Note 7 3" xfId="681"/>
    <cellStyle name="Note 7 3 2" xfId="682"/>
    <cellStyle name="Note 7 4" xfId="683"/>
    <cellStyle name="Note 8" xfId="684"/>
    <cellStyle name="Note 8 2" xfId="685"/>
    <cellStyle name="Note 8 2 2" xfId="686"/>
    <cellStyle name="Note 8 3" xfId="687"/>
    <cellStyle name="Note 8 3 2" xfId="688"/>
    <cellStyle name="Note 8 4" xfId="689"/>
    <cellStyle name="Note 9" xfId="690"/>
    <cellStyle name="Note 9 2" xfId="691"/>
    <cellStyle name="Note 9 2 2" xfId="692"/>
    <cellStyle name="Note 9 3" xfId="693"/>
    <cellStyle name="Note 9 3 2" xfId="694"/>
    <cellStyle name="Note 9 4" xfId="695"/>
    <cellStyle name="Output" xfId="10" builtinId="21" customBuiltin="1"/>
    <cellStyle name="Percent" xfId="696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'Turnover EHS'!$D$1</c:f>
              <c:strCache>
                <c:ptCount val="1"/>
                <c:pt idx="0">
                  <c:v>Turnover EHS</c:v>
                </c:pt>
              </c:strCache>
            </c:strRef>
          </c:tx>
          <c:marker>
            <c:symbol val="none"/>
          </c:marker>
          <c:cat>
            <c:numRef>
              <c:f>'Turnover EHS'!$A$2:$A$212</c:f>
              <c:numCache>
                <c:formatCode>m/d/yyyy</c:formatCode>
                <c:ptCount val="211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  <c:pt idx="205">
                  <c:v>42429</c:v>
                </c:pt>
                <c:pt idx="206">
                  <c:v>42460</c:v>
                </c:pt>
                <c:pt idx="207">
                  <c:v>42490</c:v>
                </c:pt>
                <c:pt idx="208">
                  <c:v>42521</c:v>
                </c:pt>
                <c:pt idx="209">
                  <c:v>42551</c:v>
                </c:pt>
                <c:pt idx="210">
                  <c:v>42582</c:v>
                </c:pt>
              </c:numCache>
            </c:numRef>
          </c:cat>
          <c:val>
            <c:numRef>
              <c:f>'Turnover EHS'!$D$2:$D$212</c:f>
              <c:numCache>
                <c:formatCode>0.00%</c:formatCode>
                <c:ptCount val="211"/>
                <c:pt idx="0">
                  <c:v>7.4610896329372164E-2</c:v>
                </c:pt>
                <c:pt idx="1">
                  <c:v>7.2656731373105382E-2</c:v>
                </c:pt>
                <c:pt idx="2">
                  <c:v>7.3268758817741003E-2</c:v>
                </c:pt>
                <c:pt idx="3">
                  <c:v>7.2174212636880605E-2</c:v>
                </c:pt>
                <c:pt idx="4">
                  <c:v>7.3636518416223692E-2</c:v>
                </c:pt>
                <c:pt idx="5">
                  <c:v>7.6936791631884133E-2</c:v>
                </c:pt>
                <c:pt idx="6">
                  <c:v>7.4285269584780711E-2</c:v>
                </c:pt>
                <c:pt idx="7">
                  <c:v>7.3901805742815602E-2</c:v>
                </c:pt>
                <c:pt idx="8">
                  <c:v>7.224937322727977E-2</c:v>
                </c:pt>
                <c:pt idx="9">
                  <c:v>7.2010625442579981E-2</c:v>
                </c:pt>
                <c:pt idx="10">
                  <c:v>7.1631792882323547E-2</c:v>
                </c:pt>
                <c:pt idx="11">
                  <c:v>7.1394523843264654E-2</c:v>
                </c:pt>
                <c:pt idx="12">
                  <c:v>7.3403508771929832E-2</c:v>
                </c:pt>
                <c:pt idx="13">
                  <c:v>7.1746951863914332E-2</c:v>
                </c:pt>
                <c:pt idx="14">
                  <c:v>7.2613986936944291E-2</c:v>
                </c:pt>
                <c:pt idx="15">
                  <c:v>7.2640155338178344E-2</c:v>
                </c:pt>
                <c:pt idx="16">
                  <c:v>7.1271496515460747E-2</c:v>
                </c:pt>
                <c:pt idx="17">
                  <c:v>7.1438932825818285E-2</c:v>
                </c:pt>
                <c:pt idx="18">
                  <c:v>7.1049686116112717E-2</c:v>
                </c:pt>
                <c:pt idx="19">
                  <c:v>7.1772244594811893E-2</c:v>
                </c:pt>
                <c:pt idx="20">
                  <c:v>7.3324215934502585E-2</c:v>
                </c:pt>
                <c:pt idx="21">
                  <c:v>7.2657069013835979E-2</c:v>
                </c:pt>
                <c:pt idx="22">
                  <c:v>7.3926511060189062E-2</c:v>
                </c:pt>
                <c:pt idx="23">
                  <c:v>7.036318671653409E-2</c:v>
                </c:pt>
                <c:pt idx="24">
                  <c:v>7.0254707754191167E-2</c:v>
                </c:pt>
                <c:pt idx="25">
                  <c:v>7.1953003544912172E-2</c:v>
                </c:pt>
                <c:pt idx="26">
                  <c:v>7.4883552640618481E-2</c:v>
                </c:pt>
                <c:pt idx="27">
                  <c:v>7.3003718798457601E-2</c:v>
                </c:pt>
                <c:pt idx="28">
                  <c:v>7.2225090110050752E-2</c:v>
                </c:pt>
                <c:pt idx="29">
                  <c:v>7.4322813773217325E-2</c:v>
                </c:pt>
                <c:pt idx="30">
                  <c:v>7.4227987915738244E-2</c:v>
                </c:pt>
                <c:pt idx="31">
                  <c:v>7.4816031746754122E-2</c:v>
                </c:pt>
                <c:pt idx="32">
                  <c:v>7.131202305255456E-2</c:v>
                </c:pt>
                <c:pt idx="33">
                  <c:v>7.1493742595290954E-2</c:v>
                </c:pt>
                <c:pt idx="34">
                  <c:v>7.1266983711051377E-2</c:v>
                </c:pt>
                <c:pt idx="35">
                  <c:v>7.4572464785224959E-2</c:v>
                </c:pt>
                <c:pt idx="36">
                  <c:v>7.9497510615495245E-2</c:v>
                </c:pt>
                <c:pt idx="37">
                  <c:v>8.0261097967285672E-2</c:v>
                </c:pt>
                <c:pt idx="38">
                  <c:v>7.6800130955818321E-2</c:v>
                </c:pt>
                <c:pt idx="39">
                  <c:v>7.756047015050424E-2</c:v>
                </c:pt>
                <c:pt idx="40">
                  <c:v>7.7364840149242817E-2</c:v>
                </c:pt>
                <c:pt idx="41">
                  <c:v>7.5792572282064818E-2</c:v>
                </c:pt>
                <c:pt idx="42">
                  <c:v>7.4625321571683764E-2</c:v>
                </c:pt>
                <c:pt idx="43">
                  <c:v>7.4143152075305099E-2</c:v>
                </c:pt>
                <c:pt idx="44">
                  <c:v>7.6571307029671382E-2</c:v>
                </c:pt>
                <c:pt idx="45">
                  <c:v>7.9013170020900927E-2</c:v>
                </c:pt>
                <c:pt idx="46">
                  <c:v>7.9934341308942294E-2</c:v>
                </c:pt>
                <c:pt idx="47">
                  <c:v>8.3518794643325539E-2</c:v>
                </c:pt>
                <c:pt idx="48">
                  <c:v>8.45983332865681E-2</c:v>
                </c:pt>
                <c:pt idx="49">
                  <c:v>8.4381482796643426E-2</c:v>
                </c:pt>
                <c:pt idx="50">
                  <c:v>8.2064400481743252E-2</c:v>
                </c:pt>
                <c:pt idx="51">
                  <c:v>8.1710320125363778E-2</c:v>
                </c:pt>
                <c:pt idx="52">
                  <c:v>8.3034341363403374E-2</c:v>
                </c:pt>
                <c:pt idx="53">
                  <c:v>8.2959348987914572E-2</c:v>
                </c:pt>
                <c:pt idx="54">
                  <c:v>8.7489185945915773E-2</c:v>
                </c:pt>
                <c:pt idx="55">
                  <c:v>9.0895572326108759E-2</c:v>
                </c:pt>
                <c:pt idx="56">
                  <c:v>9.1649410825216132E-2</c:v>
                </c:pt>
                <c:pt idx="57">
                  <c:v>8.8922905649874762E-2</c:v>
                </c:pt>
                <c:pt idx="58">
                  <c:v>8.6618406295475819E-2</c:v>
                </c:pt>
                <c:pt idx="59">
                  <c:v>9.0152244777004009E-2</c:v>
                </c:pt>
                <c:pt idx="60">
                  <c:v>8.6462930579842903E-2</c:v>
                </c:pt>
                <c:pt idx="61">
                  <c:v>8.880484062579011E-2</c:v>
                </c:pt>
                <c:pt idx="62">
                  <c:v>9.2106627943159422E-2</c:v>
                </c:pt>
                <c:pt idx="63">
                  <c:v>9.2911847641136622E-2</c:v>
                </c:pt>
                <c:pt idx="64">
                  <c:v>9.440332961232617E-2</c:v>
                </c:pt>
                <c:pt idx="65">
                  <c:v>9.5201736193512659E-2</c:v>
                </c:pt>
                <c:pt idx="66">
                  <c:v>9.3937333910141529E-2</c:v>
                </c:pt>
                <c:pt idx="67">
                  <c:v>9.1854746114167232E-2</c:v>
                </c:pt>
                <c:pt idx="68">
                  <c:v>9.1421689385230195E-2</c:v>
                </c:pt>
                <c:pt idx="69">
                  <c:v>9.358594707953781E-2</c:v>
                </c:pt>
                <c:pt idx="70">
                  <c:v>9.4924408256786885E-2</c:v>
                </c:pt>
                <c:pt idx="71">
                  <c:v>9.3807544767914822E-2</c:v>
                </c:pt>
                <c:pt idx="72">
                  <c:v>9.6500169894665297E-2</c:v>
                </c:pt>
                <c:pt idx="73">
                  <c:v>9.3406556108422203E-2</c:v>
                </c:pt>
                <c:pt idx="74">
                  <c:v>9.4388239442349947E-2</c:v>
                </c:pt>
                <c:pt idx="75">
                  <c:v>9.6451479622592942E-2</c:v>
                </c:pt>
                <c:pt idx="76">
                  <c:v>9.5803845685444047E-2</c:v>
                </c:pt>
                <c:pt idx="77">
                  <c:v>9.7049978035346193E-2</c:v>
                </c:pt>
                <c:pt idx="78">
                  <c:v>9.640311082307193E-2</c:v>
                </c:pt>
                <c:pt idx="79">
                  <c:v>9.7510975042315443E-2</c:v>
                </c:pt>
                <c:pt idx="80">
                  <c:v>9.7673353361984183E-2</c:v>
                </c:pt>
                <c:pt idx="81">
                  <c:v>9.5547615683266376E-2</c:v>
                </c:pt>
                <c:pt idx="82">
                  <c:v>9.4501949186718656E-2</c:v>
                </c:pt>
                <c:pt idx="83">
                  <c:v>9.1847216720490399E-2</c:v>
                </c:pt>
                <c:pt idx="84">
                  <c:v>9.0137217818196447E-2</c:v>
                </c:pt>
                <c:pt idx="85">
                  <c:v>9.1662078723520668E-2</c:v>
                </c:pt>
                <c:pt idx="86">
                  <c:v>9.1443617579131761E-2</c:v>
                </c:pt>
                <c:pt idx="87">
                  <c:v>8.9620417403750013E-2</c:v>
                </c:pt>
                <c:pt idx="88">
                  <c:v>8.7934214160348523E-2</c:v>
                </c:pt>
                <c:pt idx="89">
                  <c:v>8.6518145334017235E-2</c:v>
                </c:pt>
                <c:pt idx="90">
                  <c:v>8.4304322597426845E-2</c:v>
                </c:pt>
                <c:pt idx="91">
                  <c:v>8.4493433656328956E-2</c:v>
                </c:pt>
                <c:pt idx="92">
                  <c:v>8.3617012777780247E-2</c:v>
                </c:pt>
                <c:pt idx="93">
                  <c:v>8.4604563458411081E-2</c:v>
                </c:pt>
                <c:pt idx="94">
                  <c:v>8.4261263077219553E-2</c:v>
                </c:pt>
                <c:pt idx="95">
                  <c:v>8.4980851645342165E-2</c:v>
                </c:pt>
                <c:pt idx="96">
                  <c:v>7.6147519235871583E-2</c:v>
                </c:pt>
                <c:pt idx="97">
                  <c:v>7.682959598115309E-2</c:v>
                </c:pt>
                <c:pt idx="98">
                  <c:v>7.2468416733214011E-2</c:v>
                </c:pt>
                <c:pt idx="99">
                  <c:v>7.022924072101136E-2</c:v>
                </c:pt>
                <c:pt idx="100">
                  <c:v>6.9980833838676704E-2</c:v>
                </c:pt>
                <c:pt idx="101">
                  <c:v>6.8005600721674025E-2</c:v>
                </c:pt>
                <c:pt idx="102">
                  <c:v>6.7357960395644983E-2</c:v>
                </c:pt>
                <c:pt idx="103">
                  <c:v>6.4716676282622745E-2</c:v>
                </c:pt>
                <c:pt idx="104">
                  <c:v>6.0877810171113607E-2</c:v>
                </c:pt>
                <c:pt idx="105">
                  <c:v>5.8898413532010224E-2</c:v>
                </c:pt>
                <c:pt idx="106">
                  <c:v>5.9311796974566414E-2</c:v>
                </c:pt>
                <c:pt idx="107">
                  <c:v>5.8661233592978389E-2</c:v>
                </c:pt>
                <c:pt idx="108">
                  <c:v>5.548237735999681E-2</c:v>
                </c:pt>
                <c:pt idx="109">
                  <c:v>5.4792395117004594E-2</c:v>
                </c:pt>
                <c:pt idx="110">
                  <c:v>5.5299416653188917E-2</c:v>
                </c:pt>
                <c:pt idx="111">
                  <c:v>5.4610138750942561E-2</c:v>
                </c:pt>
                <c:pt idx="112">
                  <c:v>5.4983974075189034E-2</c:v>
                </c:pt>
                <c:pt idx="113">
                  <c:v>5.4295458895085198E-2</c:v>
                </c:pt>
                <c:pt idx="114">
                  <c:v>5.5067175319290104E-2</c:v>
                </c:pt>
                <c:pt idx="115">
                  <c:v>5.5572932842741202E-2</c:v>
                </c:pt>
                <c:pt idx="116">
                  <c:v>5.6608526189729148E-2</c:v>
                </c:pt>
                <c:pt idx="117">
                  <c:v>5.4197848650188667E-2</c:v>
                </c:pt>
                <c:pt idx="118">
                  <c:v>4.993498738379961E-2</c:v>
                </c:pt>
                <c:pt idx="119">
                  <c:v>5.3090022451827867E-2</c:v>
                </c:pt>
                <c:pt idx="120">
                  <c:v>5.0551835481565784E-2</c:v>
                </c:pt>
                <c:pt idx="121">
                  <c:v>5.2568855932203382E-2</c:v>
                </c:pt>
                <c:pt idx="122">
                  <c:v>5.1143440125076184E-2</c:v>
                </c:pt>
                <c:pt idx="123">
                  <c:v>5.1704937158614836E-2</c:v>
                </c:pt>
                <c:pt idx="124">
                  <c:v>5.3063065453291237E-2</c:v>
                </c:pt>
                <c:pt idx="125">
                  <c:v>5.4422852288414564E-2</c:v>
                </c:pt>
                <c:pt idx="126">
                  <c:v>5.8042236684818699E-2</c:v>
                </c:pt>
                <c:pt idx="127">
                  <c:v>5.9140928180320032E-2</c:v>
                </c:pt>
                <c:pt idx="128">
                  <c:v>6.1437804196920132E-2</c:v>
                </c:pt>
                <c:pt idx="129">
                  <c:v>6.6797956142218437E-2</c:v>
                </c:pt>
                <c:pt idx="130">
                  <c:v>7.2430964237211404E-2</c:v>
                </c:pt>
                <c:pt idx="131">
                  <c:v>5.861977084998668E-2</c:v>
                </c:pt>
                <c:pt idx="132">
                  <c:v>5.5856240168501881E-2</c:v>
                </c:pt>
                <c:pt idx="133">
                  <c:v>5.6936812805226979E-2</c:v>
                </c:pt>
                <c:pt idx="134">
                  <c:v>5.9885164528598843E-2</c:v>
                </c:pt>
                <c:pt idx="135">
                  <c:v>6.4302461703681729E-2</c:v>
                </c:pt>
                <c:pt idx="136">
                  <c:v>6.5119051325733146E-2</c:v>
                </c:pt>
                <c:pt idx="137">
                  <c:v>5.9395830946562665E-2</c:v>
                </c:pt>
                <c:pt idx="138">
                  <c:v>4.6059877841193558E-2</c:v>
                </c:pt>
                <c:pt idx="139">
                  <c:v>4.9142728690072524E-2</c:v>
                </c:pt>
                <c:pt idx="140">
                  <c:v>5.1292097811180964E-2</c:v>
                </c:pt>
                <c:pt idx="141">
                  <c:v>5.1171226539562506E-2</c:v>
                </c:pt>
                <c:pt idx="142">
                  <c:v>5.3723085558245662E-2</c:v>
                </c:pt>
                <c:pt idx="143">
                  <c:v>5.7078248664665286E-2</c:v>
                </c:pt>
                <c:pt idx="144">
                  <c:v>5.9098019815218408E-2</c:v>
                </c:pt>
                <c:pt idx="145">
                  <c:v>5.5603079555175364E-2</c:v>
                </c:pt>
                <c:pt idx="146">
                  <c:v>5.6920671824267445E-2</c:v>
                </c:pt>
                <c:pt idx="147">
                  <c:v>5.5699516469425371E-2</c:v>
                </c:pt>
                <c:pt idx="148">
                  <c:v>5.5280340761907305E-2</c:v>
                </c:pt>
                <c:pt idx="149">
                  <c:v>5.6463238827486793E-2</c:v>
                </c:pt>
                <c:pt idx="150">
                  <c:v>5.5376896491906968E-2</c:v>
                </c:pt>
                <c:pt idx="151">
                  <c:v>5.8426486673958861E-2</c:v>
                </c:pt>
                <c:pt idx="152">
                  <c:v>5.774026216479311E-2</c:v>
                </c:pt>
                <c:pt idx="153">
                  <c:v>5.7854324410792364E-2</c:v>
                </c:pt>
                <c:pt idx="154">
                  <c:v>5.8501352593915319E-2</c:v>
                </c:pt>
                <c:pt idx="155">
                  <c:v>5.7949004875709371E-2</c:v>
                </c:pt>
                <c:pt idx="156">
                  <c:v>5.9660944720405916E-2</c:v>
                </c:pt>
                <c:pt idx="157">
                  <c:v>6.1021307494762228E-2</c:v>
                </c:pt>
                <c:pt idx="158">
                  <c:v>6.0250198279137024E-2</c:v>
                </c:pt>
                <c:pt idx="159">
                  <c:v>6.1212038367545615E-2</c:v>
                </c:pt>
                <c:pt idx="160">
                  <c:v>6.1374249499666439E-2</c:v>
                </c:pt>
                <c:pt idx="161">
                  <c:v>5.9667822424822881E-2</c:v>
                </c:pt>
                <c:pt idx="162">
                  <c:v>6.0497198832791359E-2</c:v>
                </c:pt>
                <c:pt idx="163">
                  <c:v>6.3598740050170854E-2</c:v>
                </c:pt>
                <c:pt idx="164">
                  <c:v>6.2960338996644785E-2</c:v>
                </c:pt>
                <c:pt idx="165">
                  <c:v>6.4059914074123606E-2</c:v>
                </c:pt>
                <c:pt idx="166">
                  <c:v>6.6364725007860739E-2</c:v>
                </c:pt>
                <c:pt idx="167">
                  <c:v>6.5458999441122032E-2</c:v>
                </c:pt>
                <c:pt idx="168">
                  <c:v>6.6695237585043129E-2</c:v>
                </c:pt>
                <c:pt idx="169">
                  <c:v>6.7784879015377733E-2</c:v>
                </c:pt>
                <c:pt idx="170">
                  <c:v>6.7937119082022573E-2</c:v>
                </c:pt>
                <c:pt idx="171">
                  <c:v>6.8223475443234774E-2</c:v>
                </c:pt>
                <c:pt idx="172">
                  <c:v>6.8912197280158016E-2</c:v>
                </c:pt>
                <c:pt idx="173">
                  <c:v>6.8528437848886528E-2</c:v>
                </c:pt>
                <c:pt idx="174">
                  <c:v>7.0693182199268914E-2</c:v>
                </c:pt>
                <c:pt idx="175">
                  <c:v>7.0578053490382167E-2</c:v>
                </c:pt>
                <c:pt idx="176">
                  <c:v>6.8986497973353864E-2</c:v>
                </c:pt>
                <c:pt idx="177">
                  <c:v>6.7662586550047157E-2</c:v>
                </c:pt>
                <c:pt idx="178">
                  <c:v>6.6069386284335591E-2</c:v>
                </c:pt>
                <c:pt idx="179">
                  <c:v>6.5281268014753216E-2</c:v>
                </c:pt>
                <c:pt idx="180">
                  <c:v>6.3686565359345401E-2</c:v>
                </c:pt>
                <c:pt idx="181">
                  <c:v>6.3398040973670328E-2</c:v>
                </c:pt>
                <c:pt idx="182">
                  <c:v>6.3646800539789314E-2</c:v>
                </c:pt>
                <c:pt idx="183">
                  <c:v>6.4163872920630777E-2</c:v>
                </c:pt>
                <c:pt idx="184">
                  <c:v>6.5754159957058508E-2</c:v>
                </c:pt>
                <c:pt idx="185">
                  <c:v>6.6672703430558769E-2</c:v>
                </c:pt>
                <c:pt idx="186">
                  <c:v>6.6920131694527707E-2</c:v>
                </c:pt>
                <c:pt idx="187">
                  <c:v>6.6497072318917813E-2</c:v>
                </c:pt>
                <c:pt idx="188">
                  <c:v>6.7414525618859994E-2</c:v>
                </c:pt>
                <c:pt idx="189">
                  <c:v>6.8867339932003543E-2</c:v>
                </c:pt>
                <c:pt idx="190">
                  <c:v>6.7506479416551135E-2</c:v>
                </c:pt>
                <c:pt idx="191">
                  <c:v>6.7887162698213446E-2</c:v>
                </c:pt>
                <c:pt idx="192">
                  <c:v>6.5992022059807767E-2</c:v>
                </c:pt>
                <c:pt idx="193">
                  <c:v>6.6497783407219763E-2</c:v>
                </c:pt>
                <c:pt idx="194">
                  <c:v>7.0212822867536259E-2</c:v>
                </c:pt>
                <c:pt idx="195">
                  <c:v>6.8711065957276149E-2</c:v>
                </c:pt>
                <c:pt idx="196">
                  <c:v>7.0684755787954648E-2</c:v>
                </c:pt>
                <c:pt idx="197">
                  <c:v>7.2256007977989284E-2</c:v>
                </c:pt>
                <c:pt idx="198">
                  <c:v>7.3158358475956545E-2</c:v>
                </c:pt>
                <c:pt idx="199">
                  <c:v>7.059043315037053E-2</c:v>
                </c:pt>
                <c:pt idx="200">
                  <c:v>7.255977734107541E-2</c:v>
                </c:pt>
                <c:pt idx="201">
                  <c:v>7.0527691118043898E-2</c:v>
                </c:pt>
                <c:pt idx="202">
                  <c:v>6.476603381337788E-2</c:v>
                </c:pt>
                <c:pt idx="203">
                  <c:v>7.2596328890230793E-2</c:v>
                </c:pt>
                <c:pt idx="204">
                  <c:v>7.2963544856602683E-2</c:v>
                </c:pt>
                <c:pt idx="205">
                  <c:v>6.9243624371092563E-2</c:v>
                </c:pt>
                <c:pt idx="206">
                  <c:v>7.1782123277029278E-2</c:v>
                </c:pt>
                <c:pt idx="207">
                  <c:v>7.298929801077525E-2</c:v>
                </c:pt>
                <c:pt idx="208">
                  <c:v>7.2864678613928202E-2</c:v>
                </c:pt>
                <c:pt idx="209">
                  <c:v>7.3006476882392535E-2</c:v>
                </c:pt>
                <c:pt idx="210">
                  <c:v>7.1016481686275029E-2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'Turnover EHS'!$E$1</c:f>
              <c:strCache>
                <c:ptCount val="1"/>
                <c:pt idx="0">
                  <c:v>OTM Turnover MBS</c:v>
                </c:pt>
              </c:strCache>
            </c:strRef>
          </c:tx>
          <c:spPr>
            <a:ln w="3175">
              <a:prstDash val="sysDot"/>
            </a:ln>
          </c:spPr>
          <c:marker>
            <c:symbol val="none"/>
          </c:marker>
          <c:cat>
            <c:numRef>
              <c:f>'Turnover EHS'!$A$2:$A$212</c:f>
              <c:numCache>
                <c:formatCode>m/d/yyyy</c:formatCode>
                <c:ptCount val="211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  <c:pt idx="205">
                  <c:v>42429</c:v>
                </c:pt>
                <c:pt idx="206">
                  <c:v>42460</c:v>
                </c:pt>
                <c:pt idx="207">
                  <c:v>42490</c:v>
                </c:pt>
                <c:pt idx="208">
                  <c:v>42521</c:v>
                </c:pt>
                <c:pt idx="209">
                  <c:v>42551</c:v>
                </c:pt>
                <c:pt idx="210">
                  <c:v>42582</c:v>
                </c:pt>
              </c:numCache>
            </c:numRef>
          </c:cat>
          <c:val>
            <c:numRef>
              <c:f>'Turnover EHS'!$E$2:$E$212</c:f>
              <c:numCache>
                <c:formatCode>0.00%</c:formatCode>
                <c:ptCount val="211"/>
                <c:pt idx="0">
                  <c:v>2.4263375437582599E-2</c:v>
                </c:pt>
                <c:pt idx="1">
                  <c:v>2.5644127096220801E-2</c:v>
                </c:pt>
                <c:pt idx="2">
                  <c:v>2.0991499971516298E-2</c:v>
                </c:pt>
                <c:pt idx="3">
                  <c:v>2.9760818012537001E-2</c:v>
                </c:pt>
                <c:pt idx="4">
                  <c:v>2.2461583792643399E-2</c:v>
                </c:pt>
                <c:pt idx="5">
                  <c:v>3.2910223467647701E-2</c:v>
                </c:pt>
                <c:pt idx="6">
                  <c:v>5.6656474309797603E-2</c:v>
                </c:pt>
                <c:pt idx="7">
                  <c:v>5.2260865025931302E-2</c:v>
                </c:pt>
                <c:pt idx="8">
                  <c:v>6.74448587165387E-2</c:v>
                </c:pt>
                <c:pt idx="9">
                  <c:v>5.5302773671151398E-2</c:v>
                </c:pt>
                <c:pt idx="10">
                  <c:v>5.9474906435057602E-2</c:v>
                </c:pt>
                <c:pt idx="11">
                  <c:v>5.8170030390794894E-2</c:v>
                </c:pt>
                <c:pt idx="12">
                  <c:v>6.49660664382882E-2</c:v>
                </c:pt>
                <c:pt idx="13">
                  <c:v>6.2111102289247301E-2</c:v>
                </c:pt>
                <c:pt idx="14">
                  <c:v>5.9012154815168402E-2</c:v>
                </c:pt>
                <c:pt idx="15">
                  <c:v>6.2799266168623108E-2</c:v>
                </c:pt>
                <c:pt idx="16">
                  <c:v>6.0251888100789401E-2</c:v>
                </c:pt>
                <c:pt idx="17">
                  <c:v>6.9298496551493699E-2</c:v>
                </c:pt>
                <c:pt idx="18">
                  <c:v>6.7120010893062701E-2</c:v>
                </c:pt>
                <c:pt idx="19">
                  <c:v>6.6741195942532694E-2</c:v>
                </c:pt>
                <c:pt idx="20">
                  <c:v>7.7878012085740092E-2</c:v>
                </c:pt>
                <c:pt idx="21">
                  <c:v>6.7019782428990093E-2</c:v>
                </c:pt>
                <c:pt idx="22">
                  <c:v>8.0149798296872105E-2</c:v>
                </c:pt>
                <c:pt idx="23">
                  <c:v>7.10168893350831E-2</c:v>
                </c:pt>
                <c:pt idx="24">
                  <c:v>6.2624111308471703E-2</c:v>
                </c:pt>
                <c:pt idx="25">
                  <c:v>6.5568099153822293E-2</c:v>
                </c:pt>
                <c:pt idx="26">
                  <c:v>8.0107441858321998E-2</c:v>
                </c:pt>
                <c:pt idx="27">
                  <c:v>7.3557234457258994E-2</c:v>
                </c:pt>
                <c:pt idx="28">
                  <c:v>8.2489734336227305E-2</c:v>
                </c:pt>
                <c:pt idx="29">
                  <c:v>0.10100527646877901</c:v>
                </c:pt>
                <c:pt idx="30">
                  <c:v>8.3712752716855604E-2</c:v>
                </c:pt>
                <c:pt idx="31">
                  <c:v>8.1025036990059293E-2</c:v>
                </c:pt>
                <c:pt idx="32">
                  <c:v>7.3779408536706795E-2</c:v>
                </c:pt>
                <c:pt idx="33">
                  <c:v>7.2246490648632297E-2</c:v>
                </c:pt>
                <c:pt idx="34">
                  <c:v>6.8226960307544507E-2</c:v>
                </c:pt>
                <c:pt idx="35">
                  <c:v>6.0452252186580499E-2</c:v>
                </c:pt>
                <c:pt idx="36">
                  <c:v>9.2128734081596303E-2</c:v>
                </c:pt>
                <c:pt idx="37">
                  <c:v>5.5047650056093904E-2</c:v>
                </c:pt>
                <c:pt idx="38">
                  <c:v>3.18963700524924E-2</c:v>
                </c:pt>
                <c:pt idx="39">
                  <c:v>4.9054506616850201E-2</c:v>
                </c:pt>
                <c:pt idx="40">
                  <c:v>4.2073926691081301E-2</c:v>
                </c:pt>
                <c:pt idx="41">
                  <c:v>3.2764017608013701E-2</c:v>
                </c:pt>
                <c:pt idx="42">
                  <c:v>4.3249634336677903E-2</c:v>
                </c:pt>
                <c:pt idx="43">
                  <c:v>5.3968581338776203E-2</c:v>
                </c:pt>
                <c:pt idx="44">
                  <c:v>8.8576242947903297E-2</c:v>
                </c:pt>
                <c:pt idx="45">
                  <c:v>5.2044725119699702E-2</c:v>
                </c:pt>
                <c:pt idx="46">
                  <c:v>7.23046933668616E-2</c:v>
                </c:pt>
                <c:pt idx="47">
                  <c:v>2.9094105009783801E-2</c:v>
                </c:pt>
                <c:pt idx="48">
                  <c:v>3.6942886632446201E-2</c:v>
                </c:pt>
                <c:pt idx="49">
                  <c:v>0.104263833008419</c:v>
                </c:pt>
                <c:pt idx="50">
                  <c:v>4.2950849258681104E-2</c:v>
                </c:pt>
                <c:pt idx="51">
                  <c:v>3.5156595860998403E-2</c:v>
                </c:pt>
                <c:pt idx="52">
                  <c:v>1.2007001794426899E-2</c:v>
                </c:pt>
                <c:pt idx="53">
                  <c:v>1.2151171218835999E-3</c:v>
                </c:pt>
                <c:pt idx="54">
                  <c:v>0</c:v>
                </c:pt>
                <c:pt idx="55">
                  <c:v>1.57269648113827E-2</c:v>
                </c:pt>
                <c:pt idx="56">
                  <c:v>8.1309221319084093E-2</c:v>
                </c:pt>
                <c:pt idx="57">
                  <c:v>3.3937616771004202E-2</c:v>
                </c:pt>
                <c:pt idx="58">
                  <c:v>2.8194273641661202E-2</c:v>
                </c:pt>
                <c:pt idx="59">
                  <c:v>3.1053750975837499E-2</c:v>
                </c:pt>
                <c:pt idx="60">
                  <c:v>3.6707042753782997E-2</c:v>
                </c:pt>
                <c:pt idx="61">
                  <c:v>3.56046959055605E-2</c:v>
                </c:pt>
                <c:pt idx="62">
                  <c:v>4.4805894192632402E-2</c:v>
                </c:pt>
                <c:pt idx="63">
                  <c:v>4.6766440005366602E-2</c:v>
                </c:pt>
                <c:pt idx="64">
                  <c:v>6.7252950653064497E-2</c:v>
                </c:pt>
                <c:pt idx="65">
                  <c:v>7.8936077483492004E-2</c:v>
                </c:pt>
                <c:pt idx="66">
                  <c:v>7.1092294749093496E-2</c:v>
                </c:pt>
                <c:pt idx="67">
                  <c:v>6.3286757488166798E-2</c:v>
                </c:pt>
                <c:pt idx="68">
                  <c:v>7.1177051153106102E-2</c:v>
                </c:pt>
                <c:pt idx="69">
                  <c:v>6.6572516268288209E-2</c:v>
                </c:pt>
                <c:pt idx="70">
                  <c:v>7.8037302399631497E-2</c:v>
                </c:pt>
                <c:pt idx="71">
                  <c:v>8.4012086792007001E-2</c:v>
                </c:pt>
                <c:pt idx="72">
                  <c:v>7.8062565890871904E-2</c:v>
                </c:pt>
                <c:pt idx="73">
                  <c:v>8.4912382208214204E-2</c:v>
                </c:pt>
                <c:pt idx="74">
                  <c:v>9.1727458454760213E-2</c:v>
                </c:pt>
                <c:pt idx="75">
                  <c:v>8.1735981120278398E-2</c:v>
                </c:pt>
                <c:pt idx="76">
                  <c:v>8.2959624197650697E-2</c:v>
                </c:pt>
                <c:pt idx="77">
                  <c:v>8.3381464578856909E-2</c:v>
                </c:pt>
                <c:pt idx="78">
                  <c:v>8.4952880970197514E-2</c:v>
                </c:pt>
                <c:pt idx="79">
                  <c:v>9.0983712766891309E-2</c:v>
                </c:pt>
                <c:pt idx="80">
                  <c:v>8.5927442663784104E-2</c:v>
                </c:pt>
                <c:pt idx="81">
                  <c:v>8.1604077347049095E-2</c:v>
                </c:pt>
                <c:pt idx="82">
                  <c:v>8.7219463507552192E-2</c:v>
                </c:pt>
                <c:pt idx="83">
                  <c:v>8.4540374852895894E-2</c:v>
                </c:pt>
                <c:pt idx="84">
                  <c:v>8.4465999589737398E-2</c:v>
                </c:pt>
                <c:pt idx="85">
                  <c:v>8.3563430408687106E-2</c:v>
                </c:pt>
                <c:pt idx="86">
                  <c:v>8.6524421768800208E-2</c:v>
                </c:pt>
                <c:pt idx="87">
                  <c:v>7.0426190413101206E-2</c:v>
                </c:pt>
                <c:pt idx="88">
                  <c:v>8.1035554090804499E-2</c:v>
                </c:pt>
                <c:pt idx="89">
                  <c:v>7.6372014655024897E-2</c:v>
                </c:pt>
                <c:pt idx="90">
                  <c:v>7.0753177143035306E-2</c:v>
                </c:pt>
                <c:pt idx="91">
                  <c:v>7.6431371281494395E-2</c:v>
                </c:pt>
                <c:pt idx="92">
                  <c:v>7.5115390017952199E-2</c:v>
                </c:pt>
                <c:pt idx="93">
                  <c:v>8.4614333950644702E-2</c:v>
                </c:pt>
                <c:pt idx="94">
                  <c:v>8.6134858824691407E-2</c:v>
                </c:pt>
                <c:pt idx="95">
                  <c:v>8.5853110599390312E-2</c:v>
                </c:pt>
                <c:pt idx="96">
                  <c:v>9.4492507377312004E-2</c:v>
                </c:pt>
                <c:pt idx="97">
                  <c:v>9.3339152431304806E-2</c:v>
                </c:pt>
                <c:pt idx="98">
                  <c:v>8.4761684445490301E-2</c:v>
                </c:pt>
                <c:pt idx="99">
                  <c:v>7.3799106522142693E-2</c:v>
                </c:pt>
                <c:pt idx="100">
                  <c:v>7.5940752093527908E-2</c:v>
                </c:pt>
                <c:pt idx="101">
                  <c:v>6.9276729960042402E-2</c:v>
                </c:pt>
                <c:pt idx="102">
                  <c:v>6.8537905050397002E-2</c:v>
                </c:pt>
                <c:pt idx="103">
                  <c:v>6.366286119502669E-2</c:v>
                </c:pt>
                <c:pt idx="104">
                  <c:v>5.6103593406431299E-2</c:v>
                </c:pt>
                <c:pt idx="105">
                  <c:v>6.2301799899139497E-2</c:v>
                </c:pt>
                <c:pt idx="106">
                  <c:v>6.1735717533787794E-2</c:v>
                </c:pt>
                <c:pt idx="107">
                  <c:v>5.61104125918713E-2</c:v>
                </c:pt>
                <c:pt idx="108">
                  <c:v>6.2225958737746299E-2</c:v>
                </c:pt>
                <c:pt idx="109">
                  <c:v>7.3349328214212098E-2</c:v>
                </c:pt>
                <c:pt idx="110">
                  <c:v>6.9832545800095E-2</c:v>
                </c:pt>
                <c:pt idx="111">
                  <c:v>6.2174097294109797E-2</c:v>
                </c:pt>
                <c:pt idx="112">
                  <c:v>5.2942577854105402E-2</c:v>
                </c:pt>
                <c:pt idx="113">
                  <c:v>4.76919727117276E-2</c:v>
                </c:pt>
                <c:pt idx="114">
                  <c:v>4.8685664879771606E-2</c:v>
                </c:pt>
                <c:pt idx="115">
                  <c:v>4.2186022444592998E-2</c:v>
                </c:pt>
                <c:pt idx="116">
                  <c:v>4.6905137198286297E-2</c:v>
                </c:pt>
                <c:pt idx="117">
                  <c:v>4.7673671437388793E-2</c:v>
                </c:pt>
                <c:pt idx="118">
                  <c:v>3.9883488194803002E-2</c:v>
                </c:pt>
                <c:pt idx="119">
                  <c:v>5.2772050486805E-2</c:v>
                </c:pt>
                <c:pt idx="120">
                  <c:v>4.8376879416923396E-2</c:v>
                </c:pt>
                <c:pt idx="121">
                  <c:v>4.7391579974203298E-2</c:v>
                </c:pt>
                <c:pt idx="122">
                  <c:v>2.3840517128305799E-2</c:v>
                </c:pt>
                <c:pt idx="123">
                  <c:v>9.4679099613821406E-3</c:v>
                </c:pt>
                <c:pt idx="124">
                  <c:v>5.0404828332641901E-3</c:v>
                </c:pt>
                <c:pt idx="125">
                  <c:v>7.68352373656733E-3</c:v>
                </c:pt>
                <c:pt idx="126">
                  <c:v>2.0193969283937799E-2</c:v>
                </c:pt>
                <c:pt idx="127">
                  <c:v>1.0907247336383E-2</c:v>
                </c:pt>
                <c:pt idx="128">
                  <c:v>1.1870528400055201E-2</c:v>
                </c:pt>
                <c:pt idx="129">
                  <c:v>1.2942723071386698E-2</c:v>
                </c:pt>
                <c:pt idx="130">
                  <c:v>1.2699483819014E-2</c:v>
                </c:pt>
                <c:pt idx="131">
                  <c:v>1.4324701161248199E-2</c:v>
                </c:pt>
                <c:pt idx="132">
                  <c:v>1.5772667990519101E-2</c:v>
                </c:pt>
                <c:pt idx="133">
                  <c:v>1.75936744831863E-2</c:v>
                </c:pt>
                <c:pt idx="134">
                  <c:v>1.8987851516975102E-2</c:v>
                </c:pt>
                <c:pt idx="135">
                  <c:v>1.7820315777611499E-2</c:v>
                </c:pt>
                <c:pt idx="136">
                  <c:v>2.2257112858022898E-2</c:v>
                </c:pt>
                <c:pt idx="137">
                  <c:v>2.2894098117054604E-2</c:v>
                </c:pt>
                <c:pt idx="138">
                  <c:v>1.8393306074935702E-2</c:v>
                </c:pt>
                <c:pt idx="139">
                  <c:v>2.7382794416349897E-2</c:v>
                </c:pt>
                <c:pt idx="140">
                  <c:v>2.2034616215586601E-2</c:v>
                </c:pt>
                <c:pt idx="141">
                  <c:v>4.2663388865747401E-2</c:v>
                </c:pt>
                <c:pt idx="142">
                  <c:v>5.2334842741107702E-2</c:v>
                </c:pt>
                <c:pt idx="143">
                  <c:v>4.6759798842771004E-2</c:v>
                </c:pt>
                <c:pt idx="144">
                  <c:v>2.3561354687169703E-2</c:v>
                </c:pt>
                <c:pt idx="145">
                  <c:v>1.6259459404964399E-2</c:v>
                </c:pt>
                <c:pt idx="146">
                  <c:v>1.7471983413840899E-2</c:v>
                </c:pt>
                <c:pt idx="147">
                  <c:v>1.408298905181E-2</c:v>
                </c:pt>
                <c:pt idx="148">
                  <c:v>1.6992623668054999E-2</c:v>
                </c:pt>
                <c:pt idx="149">
                  <c:v>1.6887791943676799E-2</c:v>
                </c:pt>
                <c:pt idx="150">
                  <c:v>1.45670315494807E-2</c:v>
                </c:pt>
                <c:pt idx="151">
                  <c:v>1.90600048873114E-2</c:v>
                </c:pt>
                <c:pt idx="152">
                  <c:v>2.3796173904968597E-2</c:v>
                </c:pt>
                <c:pt idx="153">
                  <c:v>2.9824689185822501E-2</c:v>
                </c:pt>
                <c:pt idx="154">
                  <c:v>1.63325469099008E-2</c:v>
                </c:pt>
                <c:pt idx="155">
                  <c:v>7.0350446996528806E-3</c:v>
                </c:pt>
                <c:pt idx="156">
                  <c:v>2.1962312187938503E-2</c:v>
                </c:pt>
                <c:pt idx="157">
                  <c:v>1.68315762460844E-2</c:v>
                </c:pt>
                <c:pt idx="158">
                  <c:v>2.0209703381829904E-2</c:v>
                </c:pt>
                <c:pt idx="159">
                  <c:v>1.02913186117092E-2</c:v>
                </c:pt>
                <c:pt idx="160">
                  <c:v>1.0584569766119101E-2</c:v>
                </c:pt>
                <c:pt idx="161">
                  <c:v>1.15156448775053E-2</c:v>
                </c:pt>
                <c:pt idx="162">
                  <c:v>1.0851405487136302E-2</c:v>
                </c:pt>
                <c:pt idx="163">
                  <c:v>1.0721758285895101E-2</c:v>
                </c:pt>
                <c:pt idx="164">
                  <c:v>7.7429073063485197E-3</c:v>
                </c:pt>
                <c:pt idx="165">
                  <c:v>7.4298675377617593E-3</c:v>
                </c:pt>
                <c:pt idx="166">
                  <c:v>8.0403091840252107E-3</c:v>
                </c:pt>
                <c:pt idx="167">
                  <c:v>9.2974469725194391E-3</c:v>
                </c:pt>
                <c:pt idx="168">
                  <c:v>8.6502774895199589E-3</c:v>
                </c:pt>
                <c:pt idx="169">
                  <c:v>6.5743655019810899E-3</c:v>
                </c:pt>
                <c:pt idx="170">
                  <c:v>8.6891463957548005E-3</c:v>
                </c:pt>
                <c:pt idx="171">
                  <c:v>1.04658962108077E-2</c:v>
                </c:pt>
                <c:pt idx="172">
                  <c:v>1.25668227294592E-2</c:v>
                </c:pt>
                <c:pt idx="173">
                  <c:v>1.2054818940417499E-2</c:v>
                </c:pt>
                <c:pt idx="174">
                  <c:v>2.8468244182237302E-2</c:v>
                </c:pt>
                <c:pt idx="175">
                  <c:v>2.8624812420980097E-2</c:v>
                </c:pt>
                <c:pt idx="176">
                  <c:v>2.7892134713149202E-2</c:v>
                </c:pt>
                <c:pt idx="177">
                  <c:v>2.7203958394519299E-2</c:v>
                </c:pt>
                <c:pt idx="178">
                  <c:v>2.0958285967146703E-2</c:v>
                </c:pt>
                <c:pt idx="179">
                  <c:v>2.3311483749060401E-2</c:v>
                </c:pt>
                <c:pt idx="180">
                  <c:v>2.4240111426530202E-2</c:v>
                </c:pt>
                <c:pt idx="181">
                  <c:v>2.2869968759033101E-2</c:v>
                </c:pt>
                <c:pt idx="182">
                  <c:v>2.3774789644406699E-2</c:v>
                </c:pt>
                <c:pt idx="183">
                  <c:v>2.4841426200214501E-2</c:v>
                </c:pt>
                <c:pt idx="184">
                  <c:v>3.0445957340793899E-2</c:v>
                </c:pt>
                <c:pt idx="185">
                  <c:v>3.2081490456255995E-2</c:v>
                </c:pt>
                <c:pt idx="186">
                  <c:v>3.34350653981643E-2</c:v>
                </c:pt>
                <c:pt idx="187">
                  <c:v>2.8517218298012098E-2</c:v>
                </c:pt>
                <c:pt idx="188">
                  <c:v>3.0785598223727301E-2</c:v>
                </c:pt>
                <c:pt idx="189">
                  <c:v>3.22165437490445E-2</c:v>
                </c:pt>
                <c:pt idx="190">
                  <c:v>2.6289500327612E-2</c:v>
                </c:pt>
                <c:pt idx="191">
                  <c:v>2.93765062720199E-2</c:v>
                </c:pt>
                <c:pt idx="192">
                  <c:v>1.6266390937292902E-2</c:v>
                </c:pt>
                <c:pt idx="193">
                  <c:v>1.27155782587561E-2</c:v>
                </c:pt>
                <c:pt idx="194">
                  <c:v>1.47412525159537E-2</c:v>
                </c:pt>
                <c:pt idx="195">
                  <c:v>1.5596936726462601E-2</c:v>
                </c:pt>
                <c:pt idx="196">
                  <c:v>1.43123966128051E-2</c:v>
                </c:pt>
                <c:pt idx="197">
                  <c:v>2.9402839983889997E-2</c:v>
                </c:pt>
                <c:pt idx="198">
                  <c:v>4.9895114943391501E-2</c:v>
                </c:pt>
                <c:pt idx="199">
                  <c:v>4.1165062259698806E-2</c:v>
                </c:pt>
                <c:pt idx="200">
                  <c:v>4.0116562021805996E-2</c:v>
                </c:pt>
                <c:pt idx="201">
                  <c:v>3.8084594022049403E-2</c:v>
                </c:pt>
                <c:pt idx="202">
                  <c:v>1.94137989563349E-2</c:v>
                </c:pt>
                <c:pt idx="203">
                  <c:v>3.9071188889499703E-2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'Turnover EHS'!$F$1</c:f>
              <c:strCache>
                <c:ptCount val="1"/>
                <c:pt idx="0">
                  <c:v>OTM Turnover MBS- 6m ma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'Turnover EHS'!$A$2:$A$212</c:f>
              <c:numCache>
                <c:formatCode>m/d/yyyy</c:formatCode>
                <c:ptCount val="211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  <c:pt idx="205">
                  <c:v>42429</c:v>
                </c:pt>
                <c:pt idx="206">
                  <c:v>42460</c:v>
                </c:pt>
                <c:pt idx="207">
                  <c:v>42490</c:v>
                </c:pt>
                <c:pt idx="208">
                  <c:v>42521</c:v>
                </c:pt>
                <c:pt idx="209">
                  <c:v>42551</c:v>
                </c:pt>
                <c:pt idx="210">
                  <c:v>42582</c:v>
                </c:pt>
              </c:numCache>
            </c:numRef>
          </c:cat>
          <c:val>
            <c:numRef>
              <c:f>'Turnover EHS'!$F$2:$F$212</c:f>
              <c:numCache>
                <c:formatCode>General</c:formatCode>
                <c:ptCount val="211"/>
                <c:pt idx="5" formatCode="0.00%">
                  <c:v>2.8377541757609367E-2</c:v>
                </c:pt>
                <c:pt idx="6" formatCode="0.00%">
                  <c:v>3.1404121108393801E-2</c:v>
                </c:pt>
                <c:pt idx="7" formatCode="0.00%">
                  <c:v>3.5840244096678887E-2</c:v>
                </c:pt>
                <c:pt idx="8" formatCode="0.00%">
                  <c:v>4.3582470554182622E-2</c:v>
                </c:pt>
                <c:pt idx="9" formatCode="0.00%">
                  <c:v>4.7839463163951684E-2</c:v>
                </c:pt>
                <c:pt idx="10" formatCode="0.00%">
                  <c:v>5.4008350271020716E-2</c:v>
                </c:pt>
                <c:pt idx="11" formatCode="0.00%">
                  <c:v>5.8218318091545242E-2</c:v>
                </c:pt>
                <c:pt idx="12" formatCode="0.00%">
                  <c:v>5.9603250112960339E-2</c:v>
                </c:pt>
                <c:pt idx="13" formatCode="0.00%">
                  <c:v>6.1244956323513011E-2</c:v>
                </c:pt>
                <c:pt idx="14" formatCode="0.00%">
                  <c:v>5.9839505673284638E-2</c:v>
                </c:pt>
                <c:pt idx="15" formatCode="0.00%">
                  <c:v>6.1088921089529923E-2</c:v>
                </c:pt>
                <c:pt idx="16" formatCode="0.00%">
                  <c:v>6.1218418033818556E-2</c:v>
                </c:pt>
                <c:pt idx="17" formatCode="0.00%">
                  <c:v>6.3073162393935012E-2</c:v>
                </c:pt>
                <c:pt idx="18" formatCode="0.00%">
                  <c:v>6.3432153136397426E-2</c:v>
                </c:pt>
                <c:pt idx="19" formatCode="0.00%">
                  <c:v>6.4203835411944993E-2</c:v>
                </c:pt>
                <c:pt idx="20" formatCode="0.00%">
                  <c:v>6.7348144957040279E-2</c:v>
                </c:pt>
                <c:pt idx="21" formatCode="0.00%">
                  <c:v>6.8051564333768119E-2</c:v>
                </c:pt>
                <c:pt idx="22" formatCode="0.00%">
                  <c:v>7.1367882699781893E-2</c:v>
                </c:pt>
                <c:pt idx="23" formatCode="0.00%">
                  <c:v>7.1654281497046793E-2</c:v>
                </c:pt>
                <c:pt idx="24" formatCode="0.00%">
                  <c:v>7.0904964899614953E-2</c:v>
                </c:pt>
                <c:pt idx="25" formatCode="0.00%">
                  <c:v>7.0709448768163222E-2</c:v>
                </c:pt>
                <c:pt idx="26" formatCode="0.00%">
                  <c:v>7.1081020396926875E-2</c:v>
                </c:pt>
                <c:pt idx="27" formatCode="0.00%">
                  <c:v>7.2170595734971685E-2</c:v>
                </c:pt>
                <c:pt idx="28" formatCode="0.00%">
                  <c:v>7.2560585074864223E-2</c:v>
                </c:pt>
                <c:pt idx="29" formatCode="0.00%">
                  <c:v>7.7558649597146881E-2</c:v>
                </c:pt>
                <c:pt idx="30" formatCode="0.00%">
                  <c:v>8.1073423165210864E-2</c:v>
                </c:pt>
                <c:pt idx="31" formatCode="0.00%">
                  <c:v>8.364957947125036E-2</c:v>
                </c:pt>
                <c:pt idx="32" formatCode="0.00%">
                  <c:v>8.2594907250981162E-2</c:v>
                </c:pt>
                <c:pt idx="33" formatCode="0.00%">
                  <c:v>8.2376449949543393E-2</c:v>
                </c:pt>
                <c:pt idx="34" formatCode="0.00%">
                  <c:v>7.9999320944762919E-2</c:v>
                </c:pt>
                <c:pt idx="35" formatCode="0.00%">
                  <c:v>7.3240483564396497E-2</c:v>
                </c:pt>
                <c:pt idx="36" formatCode="0.00%">
                  <c:v>7.4643147125186618E-2</c:v>
                </c:pt>
                <c:pt idx="37" formatCode="0.00%">
                  <c:v>7.0313582636192376E-2</c:v>
                </c:pt>
                <c:pt idx="38" formatCode="0.00%">
                  <c:v>6.3333076222156656E-2</c:v>
                </c:pt>
                <c:pt idx="39" formatCode="0.00%">
                  <c:v>5.9467745550192963E-2</c:v>
                </c:pt>
                <c:pt idx="40" formatCode="0.00%">
                  <c:v>5.5108906614115764E-2</c:v>
                </c:pt>
                <c:pt idx="41" formatCode="0.00%">
                  <c:v>5.0494200851021298E-2</c:v>
                </c:pt>
                <c:pt idx="42" formatCode="0.00%">
                  <c:v>4.2347684226868236E-2</c:v>
                </c:pt>
                <c:pt idx="43" formatCode="0.00%">
                  <c:v>4.2167839440648613E-2</c:v>
                </c:pt>
                <c:pt idx="44" formatCode="0.00%">
                  <c:v>5.1614484923217095E-2</c:v>
                </c:pt>
                <c:pt idx="45" formatCode="0.00%">
                  <c:v>5.2112854673692012E-2</c:v>
                </c:pt>
                <c:pt idx="46" formatCode="0.00%">
                  <c:v>5.7151315786322064E-2</c:v>
                </c:pt>
                <c:pt idx="47" formatCode="0.00%">
                  <c:v>5.6539663686617093E-2</c:v>
                </c:pt>
                <c:pt idx="48" formatCode="0.00%">
                  <c:v>5.5488539069245141E-2</c:v>
                </c:pt>
                <c:pt idx="49" formatCode="0.00%">
                  <c:v>6.3871081014185607E-2</c:v>
                </c:pt>
                <c:pt idx="50" formatCode="0.00%">
                  <c:v>5.6266848732648568E-2</c:v>
                </c:pt>
                <c:pt idx="51" formatCode="0.00%">
                  <c:v>5.3452160522865021E-2</c:v>
                </c:pt>
                <c:pt idx="52" formatCode="0.00%">
                  <c:v>4.3402545260792562E-2</c:v>
                </c:pt>
                <c:pt idx="53" formatCode="0.00%">
                  <c:v>3.8756047279475868E-2</c:v>
                </c:pt>
                <c:pt idx="54" formatCode="0.00%">
                  <c:v>3.2598899507401503E-2</c:v>
                </c:pt>
                <c:pt idx="55" formatCode="0.00%">
                  <c:v>1.7842754807895451E-2</c:v>
                </c:pt>
                <c:pt idx="56" formatCode="0.00%">
                  <c:v>2.4235816817962618E-2</c:v>
                </c:pt>
                <c:pt idx="57" formatCode="0.00%">
                  <c:v>2.4032653636296916E-2</c:v>
                </c:pt>
                <c:pt idx="58" formatCode="0.00%">
                  <c:v>2.6730532277502633E-2</c:v>
                </c:pt>
                <c:pt idx="59" formatCode="0.00%">
                  <c:v>3.1703637919828283E-2</c:v>
                </c:pt>
                <c:pt idx="60" formatCode="0.00%">
                  <c:v>3.7821478378792121E-2</c:v>
                </c:pt>
                <c:pt idx="61" formatCode="0.00%">
                  <c:v>4.1134433561155086E-2</c:v>
                </c:pt>
                <c:pt idx="62" formatCode="0.00%">
                  <c:v>3.5050545706746469E-2</c:v>
                </c:pt>
                <c:pt idx="63" formatCode="0.00%">
                  <c:v>3.7188682912473535E-2</c:v>
                </c:pt>
                <c:pt idx="64" formatCode="0.00%">
                  <c:v>4.3698462414374084E-2</c:v>
                </c:pt>
                <c:pt idx="65" formatCode="0.00%">
                  <c:v>5.1678850165649833E-2</c:v>
                </c:pt>
                <c:pt idx="66" formatCode="0.00%">
                  <c:v>5.7409725498201586E-2</c:v>
                </c:pt>
                <c:pt idx="67" formatCode="0.00%">
                  <c:v>6.2023402428635972E-2</c:v>
                </c:pt>
                <c:pt idx="68" formatCode="0.00%">
                  <c:v>6.6418595255381588E-2</c:v>
                </c:pt>
                <c:pt idx="69" formatCode="0.00%">
                  <c:v>6.9719607965868513E-2</c:v>
                </c:pt>
                <c:pt idx="70" formatCode="0.00%">
                  <c:v>7.1516999923629684E-2</c:v>
                </c:pt>
                <c:pt idx="71" formatCode="0.00%">
                  <c:v>7.2363001475048858E-2</c:v>
                </c:pt>
                <c:pt idx="72" formatCode="0.00%">
                  <c:v>7.3524713332011923E-2</c:v>
                </c:pt>
                <c:pt idx="73" formatCode="0.00%">
                  <c:v>7.7128984118686475E-2</c:v>
                </c:pt>
                <c:pt idx="74" formatCode="0.00%">
                  <c:v>8.0554052002295512E-2</c:v>
                </c:pt>
                <c:pt idx="75" formatCode="0.00%">
                  <c:v>8.3081296144293867E-2</c:v>
                </c:pt>
                <c:pt idx="76" formatCode="0.00%">
                  <c:v>8.3901683110630412E-2</c:v>
                </c:pt>
                <c:pt idx="77" formatCode="0.00%">
                  <c:v>8.3796579408438723E-2</c:v>
                </c:pt>
                <c:pt idx="78" formatCode="0.00%">
                  <c:v>8.4944965254992996E-2</c:v>
                </c:pt>
                <c:pt idx="79" formatCode="0.00%">
                  <c:v>8.5956853681439183E-2</c:v>
                </c:pt>
                <c:pt idx="80" formatCode="0.00%">
                  <c:v>8.4990184382943146E-2</c:v>
                </c:pt>
                <c:pt idx="81" formatCode="0.00%">
                  <c:v>8.4968200420738271E-2</c:v>
                </c:pt>
                <c:pt idx="82" formatCode="0.00%">
                  <c:v>8.567817363905518E-2</c:v>
                </c:pt>
                <c:pt idx="83" formatCode="0.00%">
                  <c:v>8.5871325351395023E-2</c:v>
                </c:pt>
                <c:pt idx="84" formatCode="0.00%">
                  <c:v>8.5790178454651686E-2</c:v>
                </c:pt>
                <c:pt idx="85" formatCode="0.00%">
                  <c:v>8.4553464728284303E-2</c:v>
                </c:pt>
                <c:pt idx="86" formatCode="0.00%">
                  <c:v>8.4652961245786987E-2</c:v>
                </c:pt>
                <c:pt idx="87" formatCode="0.00%">
                  <c:v>8.2789980090129001E-2</c:v>
                </c:pt>
                <c:pt idx="88" formatCode="0.00%">
                  <c:v>8.1759328520671054E-2</c:v>
                </c:pt>
                <c:pt idx="89" formatCode="0.00%">
                  <c:v>8.0397935154359224E-2</c:v>
                </c:pt>
                <c:pt idx="90" formatCode="0.00%">
                  <c:v>7.811246474657553E-2</c:v>
                </c:pt>
                <c:pt idx="91" formatCode="0.00%">
                  <c:v>7.6923788225376752E-2</c:v>
                </c:pt>
                <c:pt idx="92" formatCode="0.00%">
                  <c:v>7.502228293356876E-2</c:v>
                </c:pt>
                <c:pt idx="93" formatCode="0.00%">
                  <c:v>7.7386973523159333E-2</c:v>
                </c:pt>
                <c:pt idx="94" formatCode="0.00%">
                  <c:v>7.823685764547382E-2</c:v>
                </c:pt>
                <c:pt idx="95" formatCode="0.00%">
                  <c:v>7.9817040302868056E-2</c:v>
                </c:pt>
                <c:pt idx="96" formatCode="0.00%">
                  <c:v>8.3773595341914184E-2</c:v>
                </c:pt>
                <c:pt idx="97" formatCode="0.00%">
                  <c:v>8.6591558866882579E-2</c:v>
                </c:pt>
                <c:pt idx="98" formatCode="0.00%">
                  <c:v>8.8199274604805589E-2</c:v>
                </c:pt>
                <c:pt idx="99" formatCode="0.00%">
                  <c:v>8.6396736700055266E-2</c:v>
                </c:pt>
                <c:pt idx="100" formatCode="0.00%">
                  <c:v>8.4697718911527997E-2</c:v>
                </c:pt>
                <c:pt idx="101" formatCode="0.00%">
                  <c:v>8.1934988804970021E-2</c:v>
                </c:pt>
                <c:pt idx="102" formatCode="0.00%">
                  <c:v>7.7609221750484195E-2</c:v>
                </c:pt>
                <c:pt idx="103" formatCode="0.00%">
                  <c:v>7.2663173211104506E-2</c:v>
                </c:pt>
                <c:pt idx="104" formatCode="0.00%">
                  <c:v>6.7886824704594659E-2</c:v>
                </c:pt>
                <c:pt idx="105" formatCode="0.00%">
                  <c:v>6.5970606934094136E-2</c:v>
                </c:pt>
                <c:pt idx="106" formatCode="0.00%">
                  <c:v>6.3603101174137436E-2</c:v>
                </c:pt>
                <c:pt idx="107" formatCode="0.00%">
                  <c:v>6.1408714946108924E-2</c:v>
                </c:pt>
                <c:pt idx="108" formatCode="0.00%">
                  <c:v>6.0356723894000479E-2</c:v>
                </c:pt>
                <c:pt idx="109" formatCode="0.00%">
                  <c:v>6.1971135063864709E-2</c:v>
                </c:pt>
                <c:pt idx="110" formatCode="0.00%">
                  <c:v>6.4259293796141995E-2</c:v>
                </c:pt>
                <c:pt idx="111" formatCode="0.00%">
                  <c:v>6.4238010028637049E-2</c:v>
                </c:pt>
                <c:pt idx="112" formatCode="0.00%">
                  <c:v>6.2772486748689973E-2</c:v>
                </c:pt>
                <c:pt idx="113" formatCode="0.00%">
                  <c:v>6.1369413435332691E-2</c:v>
                </c:pt>
                <c:pt idx="114" formatCode="0.00%">
                  <c:v>5.9112697792336917E-2</c:v>
                </c:pt>
                <c:pt idx="115" formatCode="0.00%">
                  <c:v>5.3918813497400402E-2</c:v>
                </c:pt>
                <c:pt idx="116" formatCode="0.00%">
                  <c:v>5.0097578730432281E-2</c:v>
                </c:pt>
                <c:pt idx="117" formatCode="0.00%">
                  <c:v>4.7680841087645448E-2</c:v>
                </c:pt>
                <c:pt idx="118" formatCode="0.00%">
                  <c:v>4.5504326144428377E-2</c:v>
                </c:pt>
                <c:pt idx="119" formatCode="0.00%">
                  <c:v>4.6351005773607949E-2</c:v>
                </c:pt>
                <c:pt idx="120" formatCode="0.00%">
                  <c:v>4.6299541529799919E-2</c:v>
                </c:pt>
                <c:pt idx="121" formatCode="0.00%">
                  <c:v>4.7167134451401631E-2</c:v>
                </c:pt>
                <c:pt idx="122" formatCode="0.00%">
                  <c:v>4.3323031106404876E-2</c:v>
                </c:pt>
                <c:pt idx="123" formatCode="0.00%">
                  <c:v>3.69554041937371E-2</c:v>
                </c:pt>
                <c:pt idx="124" formatCode="0.00%">
                  <c:v>3.1148236633480635E-2</c:v>
                </c:pt>
                <c:pt idx="125" formatCode="0.00%">
                  <c:v>2.3633482175107693E-2</c:v>
                </c:pt>
                <c:pt idx="126" formatCode="0.00%">
                  <c:v>1.893633048627676E-2</c:v>
                </c:pt>
                <c:pt idx="127" formatCode="0.00%">
                  <c:v>1.2855608379973377E-2</c:v>
                </c:pt>
                <c:pt idx="128" formatCode="0.00%">
                  <c:v>1.0860610258598276E-2</c:v>
                </c:pt>
                <c:pt idx="129" formatCode="0.00%">
                  <c:v>1.1439745776932372E-2</c:v>
                </c:pt>
                <c:pt idx="130" formatCode="0.00%">
                  <c:v>1.2716245941224008E-2</c:v>
                </c:pt>
                <c:pt idx="131" formatCode="0.00%">
                  <c:v>1.3823108845337483E-2</c:v>
                </c:pt>
                <c:pt idx="132" formatCode="0.00%">
                  <c:v>1.3086225296434368E-2</c:v>
                </c:pt>
                <c:pt idx="133" formatCode="0.00%">
                  <c:v>1.4200629820901584E-2</c:v>
                </c:pt>
                <c:pt idx="134" formatCode="0.00%">
                  <c:v>1.5386850340388234E-2</c:v>
                </c:pt>
                <c:pt idx="135" formatCode="0.00%">
                  <c:v>1.6199782458092366E-2</c:v>
                </c:pt>
                <c:pt idx="136" formatCode="0.00%">
                  <c:v>1.7792720631260518E-2</c:v>
                </c:pt>
                <c:pt idx="137" formatCode="0.00%">
                  <c:v>1.9220953457228251E-2</c:v>
                </c:pt>
                <c:pt idx="138" formatCode="0.00%">
                  <c:v>1.9657726471297685E-2</c:v>
                </c:pt>
                <c:pt idx="139" formatCode="0.00%">
                  <c:v>2.1289246460158281E-2</c:v>
                </c:pt>
                <c:pt idx="140" formatCode="0.00%">
                  <c:v>2.179704057659353E-2</c:v>
                </c:pt>
                <c:pt idx="141" formatCode="0.00%">
                  <c:v>2.5937552757949522E-2</c:v>
                </c:pt>
                <c:pt idx="142" formatCode="0.00%">
                  <c:v>3.095050773846365E-2</c:v>
                </c:pt>
                <c:pt idx="143" formatCode="0.00%">
                  <c:v>3.492812452608305E-2</c:v>
                </c:pt>
                <c:pt idx="144" formatCode="0.00%">
                  <c:v>3.5789465961455387E-2</c:v>
                </c:pt>
                <c:pt idx="145" formatCode="0.00%">
                  <c:v>3.393557679289113E-2</c:v>
                </c:pt>
                <c:pt idx="146" formatCode="0.00%">
                  <c:v>3.317513799260019E-2</c:v>
                </c:pt>
                <c:pt idx="147" formatCode="0.00%">
                  <c:v>2.8411738023610619E-2</c:v>
                </c:pt>
                <c:pt idx="148" formatCode="0.00%">
                  <c:v>2.2521368178101835E-2</c:v>
                </c:pt>
                <c:pt idx="149" formatCode="0.00%">
                  <c:v>1.7542700361586134E-2</c:v>
                </c:pt>
                <c:pt idx="150" formatCode="0.00%">
                  <c:v>1.6043646505304637E-2</c:v>
                </c:pt>
                <c:pt idx="151" formatCode="0.00%">
                  <c:v>1.6510404085695801E-2</c:v>
                </c:pt>
                <c:pt idx="152" formatCode="0.00%">
                  <c:v>1.7564435834217084E-2</c:v>
                </c:pt>
                <c:pt idx="153" formatCode="0.00%">
                  <c:v>2.0188052523219167E-2</c:v>
                </c:pt>
                <c:pt idx="154" formatCode="0.00%">
                  <c:v>2.0078039730193464E-2</c:v>
                </c:pt>
                <c:pt idx="155" formatCode="0.00%">
                  <c:v>1.8435915189522815E-2</c:v>
                </c:pt>
                <c:pt idx="156" formatCode="0.00%">
                  <c:v>1.9668461962599113E-2</c:v>
                </c:pt>
                <c:pt idx="157" formatCode="0.00%">
                  <c:v>1.929705718906128E-2</c:v>
                </c:pt>
                <c:pt idx="158" formatCode="0.00%">
                  <c:v>1.8699312101871497E-2</c:v>
                </c:pt>
                <c:pt idx="159" formatCode="0.00%">
                  <c:v>1.5443750339519285E-2</c:v>
                </c:pt>
                <c:pt idx="160" formatCode="0.00%">
                  <c:v>1.4485754148888997E-2</c:v>
                </c:pt>
                <c:pt idx="161" formatCode="0.00%">
                  <c:v>1.5232520845197732E-2</c:v>
                </c:pt>
                <c:pt idx="162" formatCode="0.00%">
                  <c:v>1.3380703061730699E-2</c:v>
                </c:pt>
                <c:pt idx="163" formatCode="0.00%">
                  <c:v>1.2362400068365816E-2</c:v>
                </c:pt>
                <c:pt idx="164" formatCode="0.00%">
                  <c:v>1.0284600722452254E-2</c:v>
                </c:pt>
                <c:pt idx="165" formatCode="0.00%">
                  <c:v>9.8076922101276807E-3</c:v>
                </c:pt>
                <c:pt idx="166" formatCode="0.00%">
                  <c:v>9.3836487797786996E-3</c:v>
                </c:pt>
                <c:pt idx="167" formatCode="0.00%">
                  <c:v>9.0139491289477226E-3</c:v>
                </c:pt>
                <c:pt idx="168" formatCode="0.00%">
                  <c:v>8.6470944626783307E-3</c:v>
                </c:pt>
                <c:pt idx="169" formatCode="0.00%">
                  <c:v>7.9558623320259963E-3</c:v>
                </c:pt>
                <c:pt idx="170" formatCode="0.00%">
                  <c:v>8.1135688469270422E-3</c:v>
                </c:pt>
                <c:pt idx="171" formatCode="0.00%">
                  <c:v>8.6195736257680313E-3</c:v>
                </c:pt>
                <c:pt idx="172" formatCode="0.00%">
                  <c:v>9.3739925500070324E-3</c:v>
                </c:pt>
                <c:pt idx="173" formatCode="0.00%">
                  <c:v>9.8335545446567082E-3</c:v>
                </c:pt>
                <c:pt idx="174" formatCode="0.00%">
                  <c:v>1.3136548993442932E-2</c:v>
                </c:pt>
                <c:pt idx="175" formatCode="0.00%">
                  <c:v>1.6811623479942767E-2</c:v>
                </c:pt>
                <c:pt idx="176" formatCode="0.00%">
                  <c:v>2.0012121532841834E-2</c:v>
                </c:pt>
                <c:pt idx="177" formatCode="0.00%">
                  <c:v>2.2801798563460433E-2</c:v>
                </c:pt>
                <c:pt idx="178" formatCode="0.00%">
                  <c:v>2.4200375769741683E-2</c:v>
                </c:pt>
                <c:pt idx="179" formatCode="0.00%">
                  <c:v>2.6076486571182167E-2</c:v>
                </c:pt>
                <c:pt idx="180" formatCode="0.00%">
                  <c:v>2.5371797778564322E-2</c:v>
                </c:pt>
                <c:pt idx="181" formatCode="0.00%">
                  <c:v>2.4412657168239819E-2</c:v>
                </c:pt>
                <c:pt idx="182" formatCode="0.00%">
                  <c:v>2.3726432990116064E-2</c:v>
                </c:pt>
                <c:pt idx="183" formatCode="0.00%">
                  <c:v>2.3332677624398602E-2</c:v>
                </c:pt>
                <c:pt idx="184" formatCode="0.00%">
                  <c:v>2.4913956186673133E-2</c:v>
                </c:pt>
                <c:pt idx="185" formatCode="0.00%">
                  <c:v>2.6375623971205731E-2</c:v>
                </c:pt>
                <c:pt idx="186" formatCode="0.00%">
                  <c:v>2.7908116299811412E-2</c:v>
                </c:pt>
                <c:pt idx="187" formatCode="0.00%">
                  <c:v>2.8849324556307916E-2</c:v>
                </c:pt>
                <c:pt idx="188" formatCode="0.00%">
                  <c:v>3.001779265286135E-2</c:v>
                </c:pt>
                <c:pt idx="189" formatCode="0.00%">
                  <c:v>3.1246978910999687E-2</c:v>
                </c:pt>
                <c:pt idx="190" formatCode="0.00%">
                  <c:v>3.0554236075469365E-2</c:v>
                </c:pt>
                <c:pt idx="191" formatCode="0.00%">
                  <c:v>3.0103405378096689E-2</c:v>
                </c:pt>
                <c:pt idx="192" formatCode="0.00%">
                  <c:v>2.7241959634618115E-2</c:v>
                </c:pt>
                <c:pt idx="193" formatCode="0.00%">
                  <c:v>2.4608352961408786E-2</c:v>
                </c:pt>
                <c:pt idx="194" formatCode="0.00%">
                  <c:v>2.1934295343446517E-2</c:v>
                </c:pt>
                <c:pt idx="195" formatCode="0.00%">
                  <c:v>1.9164360839682867E-2</c:v>
                </c:pt>
                <c:pt idx="196" formatCode="0.00%">
                  <c:v>1.7168176887215052E-2</c:v>
                </c:pt>
                <c:pt idx="197" formatCode="0.00%">
                  <c:v>1.71725658391934E-2</c:v>
                </c:pt>
                <c:pt idx="198" formatCode="0.00%">
                  <c:v>2.2777353173543166E-2</c:v>
                </c:pt>
                <c:pt idx="199" formatCode="0.00%">
                  <c:v>2.7518933840366949E-2</c:v>
                </c:pt>
                <c:pt idx="200" formatCode="0.00%">
                  <c:v>3.1748152091342331E-2</c:v>
                </c:pt>
                <c:pt idx="201" formatCode="0.00%">
                  <c:v>3.5496094973940136E-2</c:v>
                </c:pt>
                <c:pt idx="202" formatCode="0.00%">
                  <c:v>3.6346328697861766E-2</c:v>
                </c:pt>
                <c:pt idx="203" formatCode="0.00%">
                  <c:v>3.7957720182130054E-2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34592"/>
        <c:axId val="54336896"/>
      </c:lineChart>
      <c:dateAx>
        <c:axId val="54334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336896"/>
        <c:crosses val="autoZero"/>
        <c:auto val="1"/>
        <c:lblOffset val="100"/>
        <c:baseTimeUnit val="months"/>
      </c:dateAx>
      <c:valAx>
        <c:axId val="54336896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433459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'Turnover EHS'!$G$1</c:f>
              <c:strCache>
                <c:ptCount val="1"/>
                <c:pt idx="0">
                  <c:v>Diff</c:v>
                </c:pt>
              </c:strCache>
            </c:strRef>
          </c:tx>
          <c:marker>
            <c:symbol val="none"/>
          </c:marker>
          <c:cat>
            <c:numRef>
              <c:f>'Turnover EHS'!$A$2:$A$212</c:f>
              <c:numCache>
                <c:formatCode>m/d/yyyy</c:formatCode>
                <c:ptCount val="211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  <c:pt idx="205">
                  <c:v>42429</c:v>
                </c:pt>
                <c:pt idx="206">
                  <c:v>42460</c:v>
                </c:pt>
                <c:pt idx="207">
                  <c:v>42490</c:v>
                </c:pt>
                <c:pt idx="208">
                  <c:v>42521</c:v>
                </c:pt>
                <c:pt idx="209">
                  <c:v>42551</c:v>
                </c:pt>
                <c:pt idx="210">
                  <c:v>42582</c:v>
                </c:pt>
              </c:numCache>
            </c:numRef>
          </c:cat>
          <c:val>
            <c:numRef>
              <c:f>'Turnover EHS'!$G$2:$G$212</c:f>
              <c:numCache>
                <c:formatCode>0.00%</c:formatCode>
                <c:ptCount val="211"/>
                <c:pt idx="0">
                  <c:v>5.0347520891789566E-2</c:v>
                </c:pt>
                <c:pt idx="1">
                  <c:v>4.7012604276884584E-2</c:v>
                </c:pt>
                <c:pt idx="2">
                  <c:v>5.2277258846224708E-2</c:v>
                </c:pt>
                <c:pt idx="3">
                  <c:v>4.2413394624343605E-2</c:v>
                </c:pt>
                <c:pt idx="4">
                  <c:v>5.117493462358029E-2</c:v>
                </c:pt>
                <c:pt idx="5">
                  <c:v>4.8559249874274762E-2</c:v>
                </c:pt>
                <c:pt idx="6">
                  <c:v>4.288114847638691E-2</c:v>
                </c:pt>
                <c:pt idx="7">
                  <c:v>3.8061561646136714E-2</c:v>
                </c:pt>
                <c:pt idx="8">
                  <c:v>2.8666902673097149E-2</c:v>
                </c:pt>
                <c:pt idx="9">
                  <c:v>2.4171162278628297E-2</c:v>
                </c:pt>
                <c:pt idx="10">
                  <c:v>1.7623442611302831E-2</c:v>
                </c:pt>
                <c:pt idx="11">
                  <c:v>1.3176205751719412E-2</c:v>
                </c:pt>
                <c:pt idx="12">
                  <c:v>1.3800258658969493E-2</c:v>
                </c:pt>
                <c:pt idx="13">
                  <c:v>1.0501995540401321E-2</c:v>
                </c:pt>
                <c:pt idx="14">
                  <c:v>1.2774481263659654E-2</c:v>
                </c:pt>
                <c:pt idx="15">
                  <c:v>1.1551234248648422E-2</c:v>
                </c:pt>
                <c:pt idx="16">
                  <c:v>1.0053078481642191E-2</c:v>
                </c:pt>
                <c:pt idx="17">
                  <c:v>8.3657704318832737E-3</c:v>
                </c:pt>
                <c:pt idx="18">
                  <c:v>7.6175329797152913E-3</c:v>
                </c:pt>
                <c:pt idx="19">
                  <c:v>7.5684091828669003E-3</c:v>
                </c:pt>
                <c:pt idx="20">
                  <c:v>5.9760709774623055E-3</c:v>
                </c:pt>
                <c:pt idx="21">
                  <c:v>4.6055046800678595E-3</c:v>
                </c:pt>
                <c:pt idx="22">
                  <c:v>2.5586283604071697E-3</c:v>
                </c:pt>
                <c:pt idx="23">
                  <c:v>-1.2910947805127027E-3</c:v>
                </c:pt>
                <c:pt idx="24">
                  <c:v>-6.5025714542378543E-4</c:v>
                </c:pt>
                <c:pt idx="25">
                  <c:v>1.2435547767489508E-3</c:v>
                </c:pt>
                <c:pt idx="26">
                  <c:v>3.8025322436916059E-3</c:v>
                </c:pt>
                <c:pt idx="27">
                  <c:v>8.3312306348591603E-4</c:v>
                </c:pt>
                <c:pt idx="28">
                  <c:v>-3.3549496481347085E-4</c:v>
                </c:pt>
                <c:pt idx="29">
                  <c:v>-3.2358358239295559E-3</c:v>
                </c:pt>
                <c:pt idx="30">
                  <c:v>-6.8454352494726201E-3</c:v>
                </c:pt>
                <c:pt idx="31">
                  <c:v>-8.8335477244962379E-3</c:v>
                </c:pt>
                <c:pt idx="32">
                  <c:v>-1.1282884198426602E-2</c:v>
                </c:pt>
                <c:pt idx="33">
                  <c:v>-1.0882707354252438E-2</c:v>
                </c:pt>
                <c:pt idx="34">
                  <c:v>-8.7323372337115429E-3</c:v>
                </c:pt>
                <c:pt idx="35">
                  <c:v>1.3319812208284626E-3</c:v>
                </c:pt>
                <c:pt idx="36">
                  <c:v>4.8543634903086275E-3</c:v>
                </c:pt>
                <c:pt idx="37">
                  <c:v>9.9475153310932957E-3</c:v>
                </c:pt>
                <c:pt idx="38">
                  <c:v>1.3467054733661665E-2</c:v>
                </c:pt>
                <c:pt idx="39">
                  <c:v>1.8092724600311277E-2</c:v>
                </c:pt>
                <c:pt idx="40">
                  <c:v>2.2255933535127052E-2</c:v>
                </c:pt>
                <c:pt idx="41">
                  <c:v>2.529837143104352E-2</c:v>
                </c:pt>
                <c:pt idx="42">
                  <c:v>3.2277637344815528E-2</c:v>
                </c:pt>
                <c:pt idx="43">
                  <c:v>3.1975312634656486E-2</c:v>
                </c:pt>
                <c:pt idx="44">
                  <c:v>2.4956822106454286E-2</c:v>
                </c:pt>
                <c:pt idx="45">
                  <c:v>2.6900315347208915E-2</c:v>
                </c:pt>
                <c:pt idx="46">
                  <c:v>2.278302552262023E-2</c:v>
                </c:pt>
                <c:pt idx="47">
                  <c:v>2.6979130956708446E-2</c:v>
                </c:pt>
                <c:pt idx="48">
                  <c:v>2.910979421732296E-2</c:v>
                </c:pt>
                <c:pt idx="49">
                  <c:v>2.0510401782457818E-2</c:v>
                </c:pt>
                <c:pt idx="50">
                  <c:v>2.5797551749094684E-2</c:v>
                </c:pt>
                <c:pt idx="51">
                  <c:v>2.8258159602498757E-2</c:v>
                </c:pt>
                <c:pt idx="52">
                  <c:v>3.9631796102610813E-2</c:v>
                </c:pt>
                <c:pt idx="53">
                  <c:v>4.4203301708438704E-2</c:v>
                </c:pt>
                <c:pt idx="54">
                  <c:v>5.489028643851427E-2</c:v>
                </c:pt>
                <c:pt idx="55">
                  <c:v>7.3052817518213312E-2</c:v>
                </c:pt>
                <c:pt idx="56">
                  <c:v>6.7413594007253511E-2</c:v>
                </c:pt>
                <c:pt idx="57">
                  <c:v>6.4890252013577843E-2</c:v>
                </c:pt>
                <c:pt idx="58">
                  <c:v>5.9887874017973186E-2</c:v>
                </c:pt>
                <c:pt idx="59">
                  <c:v>5.8448606857175726E-2</c:v>
                </c:pt>
                <c:pt idx="60">
                  <c:v>4.8641452201050782E-2</c:v>
                </c:pt>
                <c:pt idx="61">
                  <c:v>4.7670407064635024E-2</c:v>
                </c:pt>
                <c:pt idx="62">
                  <c:v>5.7056082236412953E-2</c:v>
                </c:pt>
                <c:pt idx="63">
                  <c:v>5.5723164728663087E-2</c:v>
                </c:pt>
                <c:pt idx="64">
                  <c:v>5.0704867197952086E-2</c:v>
                </c:pt>
                <c:pt idx="65">
                  <c:v>4.3522886027862827E-2</c:v>
                </c:pt>
                <c:pt idx="66">
                  <c:v>3.6527608411939944E-2</c:v>
                </c:pt>
                <c:pt idx="67">
                  <c:v>2.983134368553126E-2</c:v>
                </c:pt>
                <c:pt idx="68">
                  <c:v>2.5003094129848608E-2</c:v>
                </c:pt>
                <c:pt idx="69">
                  <c:v>2.3866339113669297E-2</c:v>
                </c:pt>
                <c:pt idx="70">
                  <c:v>2.3407408333157201E-2</c:v>
                </c:pt>
                <c:pt idx="71">
                  <c:v>2.1444543292865964E-2</c:v>
                </c:pt>
                <c:pt idx="72">
                  <c:v>2.2975456562653374E-2</c:v>
                </c:pt>
                <c:pt idx="73">
                  <c:v>1.6277571989735728E-2</c:v>
                </c:pt>
                <c:pt idx="74">
                  <c:v>1.3834187440054435E-2</c:v>
                </c:pt>
                <c:pt idx="75">
                  <c:v>1.3370183478299075E-2</c:v>
                </c:pt>
                <c:pt idx="76">
                  <c:v>1.1902162574813635E-2</c:v>
                </c:pt>
                <c:pt idx="77">
                  <c:v>1.325339862690747E-2</c:v>
                </c:pt>
                <c:pt idx="78">
                  <c:v>1.1458145568078934E-2</c:v>
                </c:pt>
                <c:pt idx="79">
                  <c:v>1.155412136087626E-2</c:v>
                </c:pt>
                <c:pt idx="80">
                  <c:v>1.2683168979041037E-2</c:v>
                </c:pt>
                <c:pt idx="81">
                  <c:v>1.0579415262528105E-2</c:v>
                </c:pt>
                <c:pt idx="82">
                  <c:v>8.823775547663476E-3</c:v>
                </c:pt>
                <c:pt idx="83">
                  <c:v>5.9758913690953763E-3</c:v>
                </c:pt>
                <c:pt idx="84">
                  <c:v>4.3470393635447607E-3</c:v>
                </c:pt>
                <c:pt idx="85">
                  <c:v>7.1086139952363653E-3</c:v>
                </c:pt>
                <c:pt idx="86">
                  <c:v>6.7906563333447745E-3</c:v>
                </c:pt>
                <c:pt idx="87">
                  <c:v>6.8304373136210128E-3</c:v>
                </c:pt>
                <c:pt idx="88">
                  <c:v>6.1748856396774687E-3</c:v>
                </c:pt>
                <c:pt idx="89">
                  <c:v>6.1202101796580116E-3</c:v>
                </c:pt>
                <c:pt idx="90">
                  <c:v>6.191857850851315E-3</c:v>
                </c:pt>
                <c:pt idx="91">
                  <c:v>7.5696454309522043E-3</c:v>
                </c:pt>
                <c:pt idx="92">
                  <c:v>8.5947298442114878E-3</c:v>
                </c:pt>
                <c:pt idx="93">
                  <c:v>7.2175899352517475E-3</c:v>
                </c:pt>
                <c:pt idx="94">
                  <c:v>6.024405431745733E-3</c:v>
                </c:pt>
                <c:pt idx="95">
                  <c:v>5.1638113424741089E-3</c:v>
                </c:pt>
                <c:pt idx="96">
                  <c:v>-7.6260761060426008E-3</c:v>
                </c:pt>
                <c:pt idx="97">
                  <c:v>-9.7619628857294888E-3</c:v>
                </c:pt>
                <c:pt idx="98">
                  <c:v>-1.5730857871591578E-2</c:v>
                </c:pt>
                <c:pt idx="99">
                  <c:v>-1.6167495979043905E-2</c:v>
                </c:pt>
                <c:pt idx="100">
                  <c:v>-1.4716885072851293E-2</c:v>
                </c:pt>
                <c:pt idx="101">
                  <c:v>-1.3929388083295996E-2</c:v>
                </c:pt>
                <c:pt idx="102">
                  <c:v>-1.0251261354839211E-2</c:v>
                </c:pt>
                <c:pt idx="103">
                  <c:v>-7.946496928481761E-3</c:v>
                </c:pt>
                <c:pt idx="104">
                  <c:v>-7.0090145334810519E-3</c:v>
                </c:pt>
                <c:pt idx="105">
                  <c:v>-7.0721934020839122E-3</c:v>
                </c:pt>
                <c:pt idx="106">
                  <c:v>-4.2913041995710222E-3</c:v>
                </c:pt>
                <c:pt idx="107">
                  <c:v>-2.7474813531305348E-3</c:v>
                </c:pt>
                <c:pt idx="108">
                  <c:v>-4.8743465340036693E-3</c:v>
                </c:pt>
                <c:pt idx="109">
                  <c:v>-7.1787399468601146E-3</c:v>
                </c:pt>
                <c:pt idx="110">
                  <c:v>-8.959877142953078E-3</c:v>
                </c:pt>
                <c:pt idx="111">
                  <c:v>-9.6278712776944886E-3</c:v>
                </c:pt>
                <c:pt idx="112">
                  <c:v>-7.78851267350094E-3</c:v>
                </c:pt>
                <c:pt idx="113">
                  <c:v>-7.0739545402474929E-3</c:v>
                </c:pt>
                <c:pt idx="114">
                  <c:v>-4.0455224730468128E-3</c:v>
                </c:pt>
                <c:pt idx="115">
                  <c:v>1.6541193453408001E-3</c:v>
                </c:pt>
                <c:pt idx="116">
                  <c:v>6.5109474592968675E-3</c:v>
                </c:pt>
                <c:pt idx="117">
                  <c:v>6.5170075625432186E-3</c:v>
                </c:pt>
                <c:pt idx="118">
                  <c:v>4.4306612393712336E-3</c:v>
                </c:pt>
                <c:pt idx="119">
                  <c:v>6.7390166782199182E-3</c:v>
                </c:pt>
                <c:pt idx="120">
                  <c:v>4.2522939517658648E-3</c:v>
                </c:pt>
                <c:pt idx="121">
                  <c:v>5.4017214808017508E-3</c:v>
                </c:pt>
                <c:pt idx="122">
                  <c:v>7.8204090186713079E-3</c:v>
                </c:pt>
                <c:pt idx="123">
                  <c:v>1.4749532964877736E-2</c:v>
                </c:pt>
                <c:pt idx="124">
                  <c:v>2.1914828819810602E-2</c:v>
                </c:pt>
                <c:pt idx="125">
                  <c:v>3.0789370113306871E-2</c:v>
                </c:pt>
                <c:pt idx="126">
                  <c:v>3.9105906198541943E-2</c:v>
                </c:pt>
                <c:pt idx="127">
                  <c:v>4.6285319800346655E-2</c:v>
                </c:pt>
                <c:pt idx="128">
                  <c:v>5.0577193938321857E-2</c:v>
                </c:pt>
                <c:pt idx="129">
                  <c:v>5.5358210365286063E-2</c:v>
                </c:pt>
                <c:pt idx="130">
                  <c:v>5.9714718295987394E-2</c:v>
                </c:pt>
                <c:pt idx="131">
                  <c:v>4.4796662004649199E-2</c:v>
                </c:pt>
                <c:pt idx="132">
                  <c:v>4.2770014872067511E-2</c:v>
                </c:pt>
                <c:pt idx="133">
                  <c:v>4.2736182984325397E-2</c:v>
                </c:pt>
                <c:pt idx="134">
                  <c:v>4.4498314188210611E-2</c:v>
                </c:pt>
                <c:pt idx="135">
                  <c:v>4.8102679245589364E-2</c:v>
                </c:pt>
                <c:pt idx="136">
                  <c:v>4.7326330694472632E-2</c:v>
                </c:pt>
                <c:pt idx="137">
                  <c:v>4.0174877489334418E-2</c:v>
                </c:pt>
                <c:pt idx="138">
                  <c:v>2.6402151369895873E-2</c:v>
                </c:pt>
                <c:pt idx="139">
                  <c:v>2.7853482229914243E-2</c:v>
                </c:pt>
                <c:pt idx="140">
                  <c:v>2.9495057234587434E-2</c:v>
                </c:pt>
                <c:pt idx="141">
                  <c:v>2.5233673781612984E-2</c:v>
                </c:pt>
                <c:pt idx="142">
                  <c:v>2.2772577819782012E-2</c:v>
                </c:pt>
                <c:pt idx="143">
                  <c:v>2.2150124138582236E-2</c:v>
                </c:pt>
                <c:pt idx="144">
                  <c:v>2.3308553853763021E-2</c:v>
                </c:pt>
                <c:pt idx="145">
                  <c:v>2.1667502762284234E-2</c:v>
                </c:pt>
                <c:pt idx="146">
                  <c:v>2.3745533831667255E-2</c:v>
                </c:pt>
                <c:pt idx="147">
                  <c:v>2.7287778445814752E-2</c:v>
                </c:pt>
                <c:pt idx="148">
                  <c:v>3.2758972583805473E-2</c:v>
                </c:pt>
                <c:pt idx="149">
                  <c:v>3.8920538465900656E-2</c:v>
                </c:pt>
                <c:pt idx="150">
                  <c:v>3.9333249986602328E-2</c:v>
                </c:pt>
                <c:pt idx="151">
                  <c:v>4.1916082588263057E-2</c:v>
                </c:pt>
                <c:pt idx="152">
                  <c:v>4.0175826330576023E-2</c:v>
                </c:pt>
                <c:pt idx="153">
                  <c:v>3.7666271887573197E-2</c:v>
                </c:pt>
                <c:pt idx="154">
                  <c:v>3.8423312863721859E-2</c:v>
                </c:pt>
                <c:pt idx="155">
                  <c:v>3.9513089686186553E-2</c:v>
                </c:pt>
                <c:pt idx="156">
                  <c:v>3.9992482757806799E-2</c:v>
                </c:pt>
                <c:pt idx="157">
                  <c:v>4.1724250305700948E-2</c:v>
                </c:pt>
                <c:pt idx="158">
                  <c:v>4.1550886177265531E-2</c:v>
                </c:pt>
                <c:pt idx="159">
                  <c:v>4.5768288028026329E-2</c:v>
                </c:pt>
                <c:pt idx="160">
                  <c:v>4.6888495350777444E-2</c:v>
                </c:pt>
                <c:pt idx="161">
                  <c:v>4.443530157962515E-2</c:v>
                </c:pt>
                <c:pt idx="162">
                  <c:v>4.7116495771060661E-2</c:v>
                </c:pt>
                <c:pt idx="163">
                  <c:v>5.1236339981805039E-2</c:v>
                </c:pt>
                <c:pt idx="164">
                  <c:v>5.267573827419253E-2</c:v>
                </c:pt>
                <c:pt idx="165">
                  <c:v>5.4252221863995927E-2</c:v>
                </c:pt>
                <c:pt idx="166">
                  <c:v>5.6981076228082038E-2</c:v>
                </c:pt>
                <c:pt idx="167">
                  <c:v>5.6445050312174311E-2</c:v>
                </c:pt>
                <c:pt idx="168">
                  <c:v>5.8048143122364795E-2</c:v>
                </c:pt>
                <c:pt idx="169">
                  <c:v>5.9829016683351735E-2</c:v>
                </c:pt>
                <c:pt idx="170">
                  <c:v>5.9823550235095529E-2</c:v>
                </c:pt>
                <c:pt idx="171">
                  <c:v>5.9603901817466741E-2</c:v>
                </c:pt>
                <c:pt idx="172">
                  <c:v>5.9538204730150986E-2</c:v>
                </c:pt>
                <c:pt idx="173">
                  <c:v>5.8694883304229818E-2</c:v>
                </c:pt>
                <c:pt idx="174">
                  <c:v>5.7556633205825984E-2</c:v>
                </c:pt>
                <c:pt idx="175">
                  <c:v>5.3766430010439403E-2</c:v>
                </c:pt>
                <c:pt idx="176">
                  <c:v>4.897437644051203E-2</c:v>
                </c:pt>
                <c:pt idx="177">
                  <c:v>4.4860787986586728E-2</c:v>
                </c:pt>
                <c:pt idx="178">
                  <c:v>4.1869010514593907E-2</c:v>
                </c:pt>
                <c:pt idx="179">
                  <c:v>3.9204781443571049E-2</c:v>
                </c:pt>
                <c:pt idx="180">
                  <c:v>3.8314767580781076E-2</c:v>
                </c:pt>
                <c:pt idx="181">
                  <c:v>3.8985383805430512E-2</c:v>
                </c:pt>
                <c:pt idx="182">
                  <c:v>3.992036754967325E-2</c:v>
                </c:pt>
                <c:pt idx="183">
                  <c:v>4.0831195296232178E-2</c:v>
                </c:pt>
                <c:pt idx="184">
                  <c:v>4.0840203770385372E-2</c:v>
                </c:pt>
                <c:pt idx="185">
                  <c:v>4.0297079459353041E-2</c:v>
                </c:pt>
                <c:pt idx="186">
                  <c:v>3.9012015394716298E-2</c:v>
                </c:pt>
                <c:pt idx="187">
                  <c:v>3.7647747762609901E-2</c:v>
                </c:pt>
                <c:pt idx="188">
                  <c:v>3.7396732965998644E-2</c:v>
                </c:pt>
                <c:pt idx="189">
                  <c:v>3.7620361021003856E-2</c:v>
                </c:pt>
                <c:pt idx="190">
                  <c:v>3.695224334108177E-2</c:v>
                </c:pt>
                <c:pt idx="191">
                  <c:v>3.7783757320116754E-2</c:v>
                </c:pt>
                <c:pt idx="192">
                  <c:v>3.8750062425189649E-2</c:v>
                </c:pt>
                <c:pt idx="193">
                  <c:v>4.1889430445810977E-2</c:v>
                </c:pt>
                <c:pt idx="194">
                  <c:v>4.8278527524089745E-2</c:v>
                </c:pt>
                <c:pt idx="195">
                  <c:v>4.9546705117593279E-2</c:v>
                </c:pt>
                <c:pt idx="196">
                  <c:v>5.3516578900739596E-2</c:v>
                </c:pt>
                <c:pt idx="197">
                  <c:v>5.5083442138795888E-2</c:v>
                </c:pt>
                <c:pt idx="198">
                  <c:v>5.0381005302413379E-2</c:v>
                </c:pt>
                <c:pt idx="199">
                  <c:v>4.3071499310003578E-2</c:v>
                </c:pt>
                <c:pt idx="200">
                  <c:v>4.0811625249733079E-2</c:v>
                </c:pt>
                <c:pt idx="201">
                  <c:v>3.5031596144103762E-2</c:v>
                </c:pt>
                <c:pt idx="202">
                  <c:v>2.8419705115516114E-2</c:v>
                </c:pt>
                <c:pt idx="203">
                  <c:v>3.4638608708100739E-2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'Turnover EHS'!$H$1</c:f>
              <c:strCache>
                <c:ptCount val="1"/>
                <c:pt idx="0">
                  <c:v>OTM Refi * 3</c:v>
                </c:pt>
              </c:strCache>
            </c:strRef>
          </c:tx>
          <c:marker>
            <c:symbol val="none"/>
          </c:marker>
          <c:cat>
            <c:numRef>
              <c:f>'Turnover EHS'!$A$2:$A$212</c:f>
              <c:numCache>
                <c:formatCode>m/d/yyyy</c:formatCode>
                <c:ptCount val="211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  <c:pt idx="205">
                  <c:v>42429</c:v>
                </c:pt>
                <c:pt idx="206">
                  <c:v>42460</c:v>
                </c:pt>
                <c:pt idx="207">
                  <c:v>42490</c:v>
                </c:pt>
                <c:pt idx="208">
                  <c:v>42521</c:v>
                </c:pt>
                <c:pt idx="209">
                  <c:v>42551</c:v>
                </c:pt>
                <c:pt idx="210">
                  <c:v>42582</c:v>
                </c:pt>
              </c:numCache>
            </c:numRef>
          </c:cat>
          <c:val>
            <c:numRef>
              <c:f>'Turnover EHS'!$H$2:$H$212</c:f>
              <c:numCache>
                <c:formatCode>0.00%</c:formatCode>
                <c:ptCount val="2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3.7754990878924202E-4</c:v>
                </c:pt>
                <c:pt idx="4">
                  <c:v>9.1803032676818111E-4</c:v>
                </c:pt>
                <c:pt idx="5">
                  <c:v>1.4041311616063139E-3</c:v>
                </c:pt>
                <c:pt idx="6">
                  <c:v>1.2218846385518851E-3</c:v>
                </c:pt>
                <c:pt idx="7">
                  <c:v>1.205010992223366E-3</c:v>
                </c:pt>
                <c:pt idx="8">
                  <c:v>9.6084333860757608E-4</c:v>
                </c:pt>
                <c:pt idx="9">
                  <c:v>8.7921660346945805E-4</c:v>
                </c:pt>
                <c:pt idx="10">
                  <c:v>6.4960916966150402E-4</c:v>
                </c:pt>
                <c:pt idx="11">
                  <c:v>5.0638984022888093E-4</c:v>
                </c:pt>
                <c:pt idx="12">
                  <c:v>7.5124767369794099E-4</c:v>
                </c:pt>
                <c:pt idx="13">
                  <c:v>7.5389949870385798E-4</c:v>
                </c:pt>
                <c:pt idx="14">
                  <c:v>8.5630358021237998E-4</c:v>
                </c:pt>
                <c:pt idx="15">
                  <c:v>1.293235471017228E-3</c:v>
                </c:pt>
                <c:pt idx="16">
                  <c:v>1.820014619529186E-3</c:v>
                </c:pt>
                <c:pt idx="17">
                  <c:v>1.4240659982713828E-3</c:v>
                </c:pt>
                <c:pt idx="18">
                  <c:v>2.121335847348639E-3</c:v>
                </c:pt>
                <c:pt idx="19">
                  <c:v>2.7375137243172989E-3</c:v>
                </c:pt>
                <c:pt idx="20">
                  <c:v>3.3855445560484502E-3</c:v>
                </c:pt>
                <c:pt idx="21">
                  <c:v>3.9478024576158309E-3</c:v>
                </c:pt>
                <c:pt idx="22">
                  <c:v>4.5330890206093499E-3</c:v>
                </c:pt>
                <c:pt idx="23">
                  <c:v>5.1083243937161101E-3</c:v>
                </c:pt>
                <c:pt idx="24">
                  <c:v>7.5690610365886212E-3</c:v>
                </c:pt>
                <c:pt idx="25">
                  <c:v>9.7935080706391814E-3</c:v>
                </c:pt>
                <c:pt idx="26">
                  <c:v>1.1493537664637581E-2</c:v>
                </c:pt>
                <c:pt idx="27">
                  <c:v>1.1750483688474991E-2</c:v>
                </c:pt>
                <c:pt idx="28">
                  <c:v>1.2178489150680868E-2</c:v>
                </c:pt>
                <c:pt idx="29">
                  <c:v>1.220527866289077E-2</c:v>
                </c:pt>
                <c:pt idx="30">
                  <c:v>1.2474901058730961E-2</c:v>
                </c:pt>
                <c:pt idx="31">
                  <c:v>1.2486172999642291E-2</c:v>
                </c:pt>
                <c:pt idx="32">
                  <c:v>1.286374408063185E-2</c:v>
                </c:pt>
                <c:pt idx="33">
                  <c:v>1.2232242722757688E-2</c:v>
                </c:pt>
                <c:pt idx="34">
                  <c:v>1.2965577076456951E-2</c:v>
                </c:pt>
                <c:pt idx="35">
                  <c:v>1.3195785623601691E-2</c:v>
                </c:pt>
                <c:pt idx="36">
                  <c:v>1.2890221961614261E-2</c:v>
                </c:pt>
                <c:pt idx="37">
                  <c:v>1.2402244192390891E-2</c:v>
                </c:pt>
                <c:pt idx="38">
                  <c:v>1.17335222063355E-2</c:v>
                </c:pt>
                <c:pt idx="39">
                  <c:v>1.1867915923956422E-2</c:v>
                </c:pt>
                <c:pt idx="40">
                  <c:v>1.2093862935839129E-2</c:v>
                </c:pt>
                <c:pt idx="41">
                  <c:v>1.1280603050765279E-2</c:v>
                </c:pt>
                <c:pt idx="42">
                  <c:v>1.223066706873711E-2</c:v>
                </c:pt>
                <c:pt idx="43">
                  <c:v>1.2690489800623921E-2</c:v>
                </c:pt>
                <c:pt idx="44">
                  <c:v>1.2293197964504459E-2</c:v>
                </c:pt>
                <c:pt idx="45">
                  <c:v>1.305984147235896E-2</c:v>
                </c:pt>
                <c:pt idx="46">
                  <c:v>1.2854477343744659E-2</c:v>
                </c:pt>
                <c:pt idx="47">
                  <c:v>1.2941622959499629E-2</c:v>
                </c:pt>
                <c:pt idx="48">
                  <c:v>1.1624737463491019E-2</c:v>
                </c:pt>
                <c:pt idx="49">
                  <c:v>9.45326170722759E-3</c:v>
                </c:pt>
                <c:pt idx="50">
                  <c:v>8.6325401971655401E-3</c:v>
                </c:pt>
                <c:pt idx="51">
                  <c:v>8.3462669382753304E-3</c:v>
                </c:pt>
                <c:pt idx="52">
                  <c:v>7.5011135044444795E-3</c:v>
                </c:pt>
                <c:pt idx="53">
                  <c:v>7.2785435550687307E-3</c:v>
                </c:pt>
                <c:pt idx="54">
                  <c:v>5.9414922236059493E-3</c:v>
                </c:pt>
                <c:pt idx="55">
                  <c:v>6.3437244635101801E-3</c:v>
                </c:pt>
                <c:pt idx="56">
                  <c:v>5.3539398984325803E-3</c:v>
                </c:pt>
                <c:pt idx="57">
                  <c:v>6.6469664448372007E-3</c:v>
                </c:pt>
                <c:pt idx="58">
                  <c:v>8.9191749566352001E-3</c:v>
                </c:pt>
                <c:pt idx="59">
                  <c:v>1.0543249930248029E-2</c:v>
                </c:pt>
                <c:pt idx="60">
                  <c:v>1.083051990778083E-2</c:v>
                </c:pt>
                <c:pt idx="61">
                  <c:v>1.127315785006101E-2</c:v>
                </c:pt>
                <c:pt idx="62">
                  <c:v>1.164626172512106E-2</c:v>
                </c:pt>
                <c:pt idx="63">
                  <c:v>1.3470849225645121E-2</c:v>
                </c:pt>
                <c:pt idx="64">
                  <c:v>1.27311400246518E-2</c:v>
                </c:pt>
                <c:pt idx="65">
                  <c:v>1.1535985307336009E-2</c:v>
                </c:pt>
                <c:pt idx="66">
                  <c:v>1.323510655778703E-2</c:v>
                </c:pt>
                <c:pt idx="67">
                  <c:v>1.6550795801299381E-2</c:v>
                </c:pt>
                <c:pt idx="68">
                  <c:v>1.9465952080477411E-2</c:v>
                </c:pt>
                <c:pt idx="69">
                  <c:v>2.0578174819345652E-2</c:v>
                </c:pt>
                <c:pt idx="70">
                  <c:v>2.105630176305474E-2</c:v>
                </c:pt>
                <c:pt idx="71">
                  <c:v>2.1816546203221831E-2</c:v>
                </c:pt>
                <c:pt idx="72">
                  <c:v>2.286813414866385E-2</c:v>
                </c:pt>
                <c:pt idx="73">
                  <c:v>2.472040297272159E-2</c:v>
                </c:pt>
                <c:pt idx="74">
                  <c:v>2.6082102058206151E-2</c:v>
                </c:pt>
                <c:pt idx="75">
                  <c:v>2.7098430607038749E-2</c:v>
                </c:pt>
                <c:pt idx="76">
                  <c:v>3.0250620421002E-2</c:v>
                </c:pt>
                <c:pt idx="77">
                  <c:v>3.2858946582729892E-2</c:v>
                </c:pt>
                <c:pt idx="78">
                  <c:v>3.54164404097706E-2</c:v>
                </c:pt>
                <c:pt idx="79">
                  <c:v>3.5466189885463795E-2</c:v>
                </c:pt>
                <c:pt idx="80">
                  <c:v>3.7136335681075203E-2</c:v>
                </c:pt>
                <c:pt idx="81">
                  <c:v>3.6539522799525E-2</c:v>
                </c:pt>
                <c:pt idx="82">
                  <c:v>3.42028794477462E-2</c:v>
                </c:pt>
                <c:pt idx="83">
                  <c:v>2.9820614359908119E-2</c:v>
                </c:pt>
                <c:pt idx="84">
                  <c:v>3.0528840103694697E-2</c:v>
                </c:pt>
                <c:pt idx="85">
                  <c:v>3.2479426063170599E-2</c:v>
                </c:pt>
                <c:pt idx="86">
                  <c:v>3.1190614652120703E-2</c:v>
                </c:pt>
                <c:pt idx="87">
                  <c:v>2.8761123675395642E-2</c:v>
                </c:pt>
                <c:pt idx="88">
                  <c:v>2.476118778136794E-2</c:v>
                </c:pt>
                <c:pt idx="89">
                  <c:v>2.197328284076526E-2</c:v>
                </c:pt>
                <c:pt idx="90">
                  <c:v>1.8234010616759218E-2</c:v>
                </c:pt>
                <c:pt idx="91">
                  <c:v>1.4994273234910531E-2</c:v>
                </c:pt>
                <c:pt idx="92">
                  <c:v>1.686745547758851E-2</c:v>
                </c:pt>
                <c:pt idx="93">
                  <c:v>1.6827820412986139E-2</c:v>
                </c:pt>
                <c:pt idx="94">
                  <c:v>1.6036925894475688E-2</c:v>
                </c:pt>
                <c:pt idx="95">
                  <c:v>1.5704881480063111E-2</c:v>
                </c:pt>
                <c:pt idx="96">
                  <c:v>1.4596151586357301E-2</c:v>
                </c:pt>
                <c:pt idx="97">
                  <c:v>1.2059672069987249E-2</c:v>
                </c:pt>
                <c:pt idx="98">
                  <c:v>1.0245605983856281E-2</c:v>
                </c:pt>
                <c:pt idx="99">
                  <c:v>7.4427880652214598E-3</c:v>
                </c:pt>
                <c:pt idx="100">
                  <c:v>4.2356320692120602E-3</c:v>
                </c:pt>
                <c:pt idx="101">
                  <c:v>1.1670908950434091E-3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6.0051472066136101E-4</c:v>
                </c:pt>
                <c:pt idx="186">
                  <c:v>8.0874884301962403E-4</c:v>
                </c:pt>
                <c:pt idx="187">
                  <c:v>1.047617566075743E-3</c:v>
                </c:pt>
                <c:pt idx="188">
                  <c:v>1.2828359081860079E-3</c:v>
                </c:pt>
                <c:pt idx="189">
                  <c:v>1.299045959584854E-3</c:v>
                </c:pt>
                <c:pt idx="190">
                  <c:v>1.4520727461418978E-3</c:v>
                </c:pt>
                <c:pt idx="191">
                  <c:v>1.4571422594137351E-3</c:v>
                </c:pt>
                <c:pt idx="192">
                  <c:v>9.4334256632455497E-4</c:v>
                </c:pt>
                <c:pt idx="193">
                  <c:v>2.9056758241197117E-4</c:v>
                </c:pt>
                <c:pt idx="194">
                  <c:v>3.6674190100316397E-4</c:v>
                </c:pt>
                <c:pt idx="195">
                  <c:v>5.4863063908028406E-4</c:v>
                </c:pt>
                <c:pt idx="196">
                  <c:v>4.4007631226472603E-4</c:v>
                </c:pt>
                <c:pt idx="197">
                  <c:v>1.471219025822589E-3</c:v>
                </c:pt>
                <c:pt idx="198">
                  <c:v>3.7663254115242301E-3</c:v>
                </c:pt>
                <c:pt idx="199">
                  <c:v>3.8663259434490302E-3</c:v>
                </c:pt>
                <c:pt idx="200">
                  <c:v>3.3624311446226397E-3</c:v>
                </c:pt>
                <c:pt idx="201">
                  <c:v>2.873334004286133E-3</c:v>
                </c:pt>
                <c:pt idx="202">
                  <c:v>9.3794043918993307E-4</c:v>
                </c:pt>
                <c:pt idx="203">
                  <c:v>3.25273880691891E-3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53824"/>
        <c:axId val="99855360"/>
      </c:lineChart>
      <c:dateAx>
        <c:axId val="99853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99855360"/>
        <c:crosses val="autoZero"/>
        <c:auto val="1"/>
        <c:lblOffset val="100"/>
        <c:baseTimeUnit val="months"/>
      </c:dateAx>
      <c:valAx>
        <c:axId val="99855360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99853824"/>
        <c:crosses val="autoZero"/>
        <c:crossBetween val="between"/>
        <c:majorUnit val="2.0000000000000004E-2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'Mtg Rate'!$B$1</c:f>
              <c:strCache>
                <c:ptCount val="1"/>
                <c:pt idx="0">
                  <c:v>rate</c:v>
                </c:pt>
              </c:strCache>
            </c:strRef>
          </c:tx>
          <c:marker>
            <c:symbol val="none"/>
          </c:marker>
          <c:cat>
            <c:numRef>
              <c:f>'Mtg Rate'!$A$2:$A$501</c:f>
              <c:numCache>
                <c:formatCode>m/d/yyyy</c:formatCode>
                <c:ptCount val="500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  <c:pt idx="207">
                  <c:v>42461</c:v>
                </c:pt>
              </c:numCache>
            </c:numRef>
          </c:cat>
          <c:val>
            <c:numRef>
              <c:f>'Mtg Rate'!$B$2:$B$501</c:f>
              <c:numCache>
                <c:formatCode>0.00</c:formatCode>
                <c:ptCount val="500"/>
                <c:pt idx="0">
                  <c:v>6.7662499999999897</c:v>
                </c:pt>
                <c:pt idx="1">
                  <c:v>6.8075000000000001</c:v>
                </c:pt>
                <c:pt idx="2">
                  <c:v>7.0149999999999997</c:v>
                </c:pt>
                <c:pt idx="3">
                  <c:v>6.9109999999999996</c:v>
                </c:pt>
                <c:pt idx="4">
                  <c:v>7.1449999999999996</c:v>
                </c:pt>
                <c:pt idx="5">
                  <c:v>7.55</c:v>
                </c:pt>
                <c:pt idx="6">
                  <c:v>7.6319999999999997</c:v>
                </c:pt>
                <c:pt idx="7">
                  <c:v>7.9424999999999999</c:v>
                </c:pt>
                <c:pt idx="8">
                  <c:v>7.8162500000000001</c:v>
                </c:pt>
                <c:pt idx="9">
                  <c:v>7.8520000000000003</c:v>
                </c:pt>
                <c:pt idx="10">
                  <c:v>7.7374999999999998</c:v>
                </c:pt>
                <c:pt idx="11">
                  <c:v>7.9119999999999999</c:v>
                </c:pt>
                <c:pt idx="12">
                  <c:v>8.2099999999999902</c:v>
                </c:pt>
                <c:pt idx="13">
                  <c:v>8.3187499999999996</c:v>
                </c:pt>
                <c:pt idx="14">
                  <c:v>8.2349999999999994</c:v>
                </c:pt>
                <c:pt idx="15">
                  <c:v>8.1462499999999896</c:v>
                </c:pt>
                <c:pt idx="16">
                  <c:v>8.5149999999999899</c:v>
                </c:pt>
                <c:pt idx="17">
                  <c:v>8.2729999999999997</c:v>
                </c:pt>
                <c:pt idx="18">
                  <c:v>8.1287500000000001</c:v>
                </c:pt>
                <c:pt idx="19">
                  <c:v>8.0212499999999896</c:v>
                </c:pt>
                <c:pt idx="20">
                  <c:v>7.9119999999999999</c:v>
                </c:pt>
                <c:pt idx="21">
                  <c:v>7.7887500000000003</c:v>
                </c:pt>
                <c:pt idx="22">
                  <c:v>7.72</c:v>
                </c:pt>
                <c:pt idx="23">
                  <c:v>7.3719999999999999</c:v>
                </c:pt>
                <c:pt idx="24">
                  <c:v>7.0074999999999896</c:v>
                </c:pt>
                <c:pt idx="25">
                  <c:v>7.0374999999999996</c:v>
                </c:pt>
                <c:pt idx="26">
                  <c:v>6.9320000000000004</c:v>
                </c:pt>
                <c:pt idx="27">
                  <c:v>7.0525000000000002</c:v>
                </c:pt>
                <c:pt idx="28">
                  <c:v>7.1324999999999896</c:v>
                </c:pt>
                <c:pt idx="29">
                  <c:v>7.15</c:v>
                </c:pt>
                <c:pt idx="30">
                  <c:v>7.1024999999999903</c:v>
                </c:pt>
                <c:pt idx="31">
                  <c:v>6.9249999999999998</c:v>
                </c:pt>
                <c:pt idx="32">
                  <c:v>6.7925000000000004</c:v>
                </c:pt>
                <c:pt idx="33">
                  <c:v>6.58</c:v>
                </c:pt>
                <c:pt idx="34">
                  <c:v>6.6079999999999997</c:v>
                </c:pt>
                <c:pt idx="35">
                  <c:v>7.0025000000000004</c:v>
                </c:pt>
                <c:pt idx="36">
                  <c:v>6.9349999999999996</c:v>
                </c:pt>
                <c:pt idx="37">
                  <c:v>6.8174999999999999</c:v>
                </c:pt>
                <c:pt idx="38">
                  <c:v>6.9390000000000001</c:v>
                </c:pt>
                <c:pt idx="39">
                  <c:v>6.9162499999999998</c:v>
                </c:pt>
                <c:pt idx="40">
                  <c:v>6.7359999999999998</c:v>
                </c:pt>
                <c:pt idx="41">
                  <c:v>6.5499999999999901</c:v>
                </c:pt>
                <c:pt idx="42">
                  <c:v>6.3724999999999996</c:v>
                </c:pt>
                <c:pt idx="43">
                  <c:v>6.2</c:v>
                </c:pt>
                <c:pt idx="44">
                  <c:v>5.9987500000000002</c:v>
                </c:pt>
                <c:pt idx="45">
                  <c:v>6</c:v>
                </c:pt>
                <c:pt idx="46">
                  <c:v>5.968</c:v>
                </c:pt>
                <c:pt idx="47">
                  <c:v>5.9349999999999996</c:v>
                </c:pt>
                <c:pt idx="48">
                  <c:v>5.8109999999999999</c:v>
                </c:pt>
                <c:pt idx="49">
                  <c:v>5.7487500000000002</c:v>
                </c:pt>
                <c:pt idx="50">
                  <c:v>5.6449999999999996</c:v>
                </c:pt>
                <c:pt idx="51">
                  <c:v>5.7125000000000004</c:v>
                </c:pt>
                <c:pt idx="52">
                  <c:v>5.3940000000000001</c:v>
                </c:pt>
                <c:pt idx="53">
                  <c:v>5.1174999999999997</c:v>
                </c:pt>
                <c:pt idx="54">
                  <c:v>5.5075000000000003</c:v>
                </c:pt>
                <c:pt idx="55">
                  <c:v>6.1840000000000002</c:v>
                </c:pt>
                <c:pt idx="56">
                  <c:v>6.0412499999999998</c:v>
                </c:pt>
                <c:pt idx="57">
                  <c:v>5.8520000000000003</c:v>
                </c:pt>
                <c:pt idx="58">
                  <c:v>5.8387500000000001</c:v>
                </c:pt>
                <c:pt idx="59">
                  <c:v>5.7959999999999896</c:v>
                </c:pt>
                <c:pt idx="60">
                  <c:v>5.625</c:v>
                </c:pt>
                <c:pt idx="61">
                  <c:v>5.5475000000000003</c:v>
                </c:pt>
                <c:pt idx="62">
                  <c:v>5.3637499999999996</c:v>
                </c:pt>
                <c:pt idx="63">
                  <c:v>5.7450000000000001</c:v>
                </c:pt>
                <c:pt idx="64">
                  <c:v>6.1887499999999998</c:v>
                </c:pt>
                <c:pt idx="65">
                  <c:v>6.1937499999999996</c:v>
                </c:pt>
                <c:pt idx="66">
                  <c:v>5.9560000000000004</c:v>
                </c:pt>
                <c:pt idx="67">
                  <c:v>5.7862499999999999</c:v>
                </c:pt>
                <c:pt idx="68">
                  <c:v>5.6890000000000001</c:v>
                </c:pt>
                <c:pt idx="69">
                  <c:v>5.6349999999999998</c:v>
                </c:pt>
                <c:pt idx="70">
                  <c:v>5.6362500000000004</c:v>
                </c:pt>
                <c:pt idx="71">
                  <c:v>5.6569999999999903</c:v>
                </c:pt>
                <c:pt idx="72">
                  <c:v>5.6224999999999996</c:v>
                </c:pt>
                <c:pt idx="73">
                  <c:v>5.5587499999999999</c:v>
                </c:pt>
                <c:pt idx="74">
                  <c:v>5.8479999999999999</c:v>
                </c:pt>
                <c:pt idx="75">
                  <c:v>5.7612500000000004</c:v>
                </c:pt>
                <c:pt idx="76">
                  <c:v>5.6199999999999903</c:v>
                </c:pt>
                <c:pt idx="77">
                  <c:v>5.4770000000000003</c:v>
                </c:pt>
                <c:pt idx="78">
                  <c:v>5.5762499999999999</c:v>
                </c:pt>
                <c:pt idx="79">
                  <c:v>5.7012499999999999</c:v>
                </c:pt>
                <c:pt idx="80">
                  <c:v>5.6689999999999996</c:v>
                </c:pt>
                <c:pt idx="81">
                  <c:v>5.94625</c:v>
                </c:pt>
                <c:pt idx="82">
                  <c:v>6.2175000000000002</c:v>
                </c:pt>
                <c:pt idx="83">
                  <c:v>6.1569999999999903</c:v>
                </c:pt>
                <c:pt idx="84">
                  <c:v>6.0262500000000001</c:v>
                </c:pt>
                <c:pt idx="85">
                  <c:v>6.14</c:v>
                </c:pt>
                <c:pt idx="86">
                  <c:v>6.2240000000000002</c:v>
                </c:pt>
                <c:pt idx="87">
                  <c:v>6.4012500000000001</c:v>
                </c:pt>
                <c:pt idx="88">
                  <c:v>6.4725000000000001</c:v>
                </c:pt>
                <c:pt idx="89">
                  <c:v>6.5519999999999996</c:v>
                </c:pt>
                <c:pt idx="90">
                  <c:v>6.6312499999999996</c:v>
                </c:pt>
                <c:pt idx="91">
                  <c:v>6.3639999999999999</c:v>
                </c:pt>
                <c:pt idx="92">
                  <c:v>6.2649999999999997</c:v>
                </c:pt>
                <c:pt idx="93">
                  <c:v>6.2137500000000001</c:v>
                </c:pt>
                <c:pt idx="94">
                  <c:v>6.1099999999999897</c:v>
                </c:pt>
                <c:pt idx="95">
                  <c:v>5.9912499999999902</c:v>
                </c:pt>
                <c:pt idx="96">
                  <c:v>6.0674999999999901</c:v>
                </c:pt>
                <c:pt idx="97">
                  <c:v>6.1349999999999998</c:v>
                </c:pt>
                <c:pt idx="98">
                  <c:v>6.0110000000000001</c:v>
                </c:pt>
                <c:pt idx="99">
                  <c:v>6.0425000000000004</c:v>
                </c:pt>
                <c:pt idx="100">
                  <c:v>6.1219999999999901</c:v>
                </c:pt>
                <c:pt idx="101">
                  <c:v>6.5137499999999999</c:v>
                </c:pt>
                <c:pt idx="102">
                  <c:v>6.5449999999999999</c:v>
                </c:pt>
                <c:pt idx="103">
                  <c:v>6.4219999999999997</c:v>
                </c:pt>
                <c:pt idx="104">
                  <c:v>6.2575000000000003</c:v>
                </c:pt>
                <c:pt idx="105">
                  <c:v>6.2437500000000004</c:v>
                </c:pt>
                <c:pt idx="106">
                  <c:v>6.0679999999999996</c:v>
                </c:pt>
                <c:pt idx="107">
                  <c:v>5.9574999999999996</c:v>
                </c:pt>
                <c:pt idx="108">
                  <c:v>5.6180000000000003</c:v>
                </c:pt>
                <c:pt idx="109">
                  <c:v>5.7862499999999999</c:v>
                </c:pt>
                <c:pt idx="110">
                  <c:v>5.8387500000000001</c:v>
                </c:pt>
                <c:pt idx="111">
                  <c:v>5.7675000000000001</c:v>
                </c:pt>
                <c:pt idx="112">
                  <c:v>5.9109999999999996</c:v>
                </c:pt>
                <c:pt idx="113">
                  <c:v>6.2324999999999999</c:v>
                </c:pt>
                <c:pt idx="114">
                  <c:v>6.3310000000000004</c:v>
                </c:pt>
                <c:pt idx="115">
                  <c:v>6.3962500000000002</c:v>
                </c:pt>
                <c:pt idx="116">
                  <c:v>5.9562499999999998</c:v>
                </c:pt>
                <c:pt idx="117">
                  <c:v>6.1050000000000004</c:v>
                </c:pt>
                <c:pt idx="118">
                  <c:v>6.0124999999999904</c:v>
                </c:pt>
                <c:pt idx="119">
                  <c:v>5.2159999999999904</c:v>
                </c:pt>
                <c:pt idx="120">
                  <c:v>4.9662499999999996</c:v>
                </c:pt>
                <c:pt idx="121">
                  <c:v>5.0612500000000002</c:v>
                </c:pt>
                <c:pt idx="122">
                  <c:v>4.9275000000000002</c:v>
                </c:pt>
                <c:pt idx="123">
                  <c:v>4.7300000000000004</c:v>
                </c:pt>
                <c:pt idx="124">
                  <c:v>4.7762500000000001</c:v>
                </c:pt>
                <c:pt idx="125">
                  <c:v>5.3449999999999998</c:v>
                </c:pt>
                <c:pt idx="126">
                  <c:v>5.1470000000000002</c:v>
                </c:pt>
                <c:pt idx="127">
                  <c:v>5.1112500000000001</c:v>
                </c:pt>
                <c:pt idx="128">
                  <c:v>4.9762500000000003</c:v>
                </c:pt>
                <c:pt idx="129">
                  <c:v>4.8769999999999998</c:v>
                </c:pt>
                <c:pt idx="130">
                  <c:v>4.8</c:v>
                </c:pt>
                <c:pt idx="131">
                  <c:v>4.8550000000000004</c:v>
                </c:pt>
                <c:pt idx="132">
                  <c:v>4.9487500000000004</c:v>
                </c:pt>
                <c:pt idx="133">
                  <c:v>4.9149999999999903</c:v>
                </c:pt>
                <c:pt idx="134">
                  <c:v>4.8862500000000004</c:v>
                </c:pt>
                <c:pt idx="135">
                  <c:v>5.0129999999999999</c:v>
                </c:pt>
                <c:pt idx="136">
                  <c:v>4.8125</c:v>
                </c:pt>
                <c:pt idx="137">
                  <c:v>4.6687499999999904</c:v>
                </c:pt>
                <c:pt idx="138">
                  <c:v>4.4889999999999999</c:v>
                </c:pt>
                <c:pt idx="139">
                  <c:v>4.3525</c:v>
                </c:pt>
                <c:pt idx="140">
                  <c:v>4.2759999999999998</c:v>
                </c:pt>
                <c:pt idx="141">
                  <c:v>4.1749999999999998</c:v>
                </c:pt>
                <c:pt idx="142">
                  <c:v>4.2562499999999996</c:v>
                </c:pt>
                <c:pt idx="143">
                  <c:v>4.649</c:v>
                </c:pt>
                <c:pt idx="144">
                  <c:v>4.6987500000000004</c:v>
                </c:pt>
                <c:pt idx="145">
                  <c:v>4.8775000000000004</c:v>
                </c:pt>
                <c:pt idx="146">
                  <c:v>4.7610000000000001</c:v>
                </c:pt>
                <c:pt idx="147">
                  <c:v>4.75875</c:v>
                </c:pt>
                <c:pt idx="148">
                  <c:v>4.5625</c:v>
                </c:pt>
                <c:pt idx="149">
                  <c:v>4.4349999999999996</c:v>
                </c:pt>
                <c:pt idx="150">
                  <c:v>4.4762499999999896</c:v>
                </c:pt>
                <c:pt idx="151">
                  <c:v>4.2012499999999999</c:v>
                </c:pt>
                <c:pt idx="152">
                  <c:v>4.0309999999999997</c:v>
                </c:pt>
                <c:pt idx="153">
                  <c:v>4.0175000000000001</c:v>
                </c:pt>
                <c:pt idx="154">
                  <c:v>3.9175</c:v>
                </c:pt>
                <c:pt idx="155">
                  <c:v>3.8879999999999999</c:v>
                </c:pt>
                <c:pt idx="156">
                  <c:v>3.8525</c:v>
                </c:pt>
                <c:pt idx="157">
                  <c:v>3.84</c:v>
                </c:pt>
                <c:pt idx="158">
                  <c:v>3.899</c:v>
                </c:pt>
                <c:pt idx="159">
                  <c:v>3.8412500000000001</c:v>
                </c:pt>
                <c:pt idx="160">
                  <c:v>3.738</c:v>
                </c:pt>
                <c:pt idx="161">
                  <c:v>3.6</c:v>
                </c:pt>
                <c:pt idx="162">
                  <c:v>3.4812500000000002</c:v>
                </c:pt>
                <c:pt idx="163">
                  <c:v>3.512</c:v>
                </c:pt>
                <c:pt idx="164">
                  <c:v>3.4037500000000001</c:v>
                </c:pt>
                <c:pt idx="165">
                  <c:v>3.30125</c:v>
                </c:pt>
                <c:pt idx="166">
                  <c:v>3.282</c:v>
                </c:pt>
                <c:pt idx="167">
                  <c:v>3.27</c:v>
                </c:pt>
                <c:pt idx="168">
                  <c:v>3.339</c:v>
                </c:pt>
                <c:pt idx="169">
                  <c:v>3.4824999999999999</c:v>
                </c:pt>
                <c:pt idx="170">
                  <c:v>3.50875</c:v>
                </c:pt>
                <c:pt idx="171">
                  <c:v>3.3887499999999999</c:v>
                </c:pt>
                <c:pt idx="172">
                  <c:v>3.4660000000000002</c:v>
                </c:pt>
                <c:pt idx="173">
                  <c:v>4.0075000000000003</c:v>
                </c:pt>
                <c:pt idx="174">
                  <c:v>4.3075000000000001</c:v>
                </c:pt>
                <c:pt idx="175">
                  <c:v>4.3860000000000001</c:v>
                </c:pt>
                <c:pt idx="176">
                  <c:v>4.4212499999999997</c:v>
                </c:pt>
                <c:pt idx="177">
                  <c:v>4.1219999999999999</c:v>
                </c:pt>
                <c:pt idx="178">
                  <c:v>4.1862499999999896</c:v>
                </c:pt>
                <c:pt idx="179">
                  <c:v>4.37</c:v>
                </c:pt>
                <c:pt idx="180">
                  <c:v>4.3620000000000001</c:v>
                </c:pt>
                <c:pt idx="181">
                  <c:v>4.2275</c:v>
                </c:pt>
                <c:pt idx="182">
                  <c:v>4.2487500000000002</c:v>
                </c:pt>
                <c:pt idx="183">
                  <c:v>4.2562499999999996</c:v>
                </c:pt>
                <c:pt idx="184">
                  <c:v>4.0970000000000004</c:v>
                </c:pt>
                <c:pt idx="185">
                  <c:v>4.05</c:v>
                </c:pt>
                <c:pt idx="186">
                  <c:v>4.03</c:v>
                </c:pt>
                <c:pt idx="187">
                  <c:v>4.0087499999999903</c:v>
                </c:pt>
                <c:pt idx="188">
                  <c:v>4.0374999999999996</c:v>
                </c:pt>
                <c:pt idx="189">
                  <c:v>3.9060000000000001</c:v>
                </c:pt>
                <c:pt idx="190">
                  <c:v>3.8725000000000001</c:v>
                </c:pt>
                <c:pt idx="191">
                  <c:v>3.754</c:v>
                </c:pt>
                <c:pt idx="192">
                  <c:v>3.5762499999999999</c:v>
                </c:pt>
                <c:pt idx="193">
                  <c:v>3.61625</c:v>
                </c:pt>
                <c:pt idx="194">
                  <c:v>3.67</c:v>
                </c:pt>
                <c:pt idx="195">
                  <c:v>3.577</c:v>
                </c:pt>
                <c:pt idx="196">
                  <c:v>3.7462499999999999</c:v>
                </c:pt>
                <c:pt idx="197">
                  <c:v>3.895</c:v>
                </c:pt>
                <c:pt idx="198">
                  <c:v>3.9460000000000002</c:v>
                </c:pt>
                <c:pt idx="199">
                  <c:v>3.8050000000000002</c:v>
                </c:pt>
                <c:pt idx="200">
                  <c:v>3.7962500000000001</c:v>
                </c:pt>
                <c:pt idx="201">
                  <c:v>3.6960000000000002</c:v>
                </c:pt>
                <c:pt idx="202">
                  <c:v>3.8487499999999999</c:v>
                </c:pt>
                <c:pt idx="203">
                  <c:v>3.8639999999999999</c:v>
                </c:pt>
                <c:pt idx="204">
                  <c:v>3.7725</c:v>
                </c:pt>
                <c:pt idx="205">
                  <c:v>3.5474999999999999</c:v>
                </c:pt>
                <c:pt idx="206">
                  <c:v>3.569</c:v>
                </c:pt>
                <c:pt idx="207">
                  <c:v>3.4649999999999999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756096"/>
        <c:axId val="122799232"/>
      </c:lineChart>
      <c:dateAx>
        <c:axId val="1227560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2799232"/>
        <c:crosses val="autoZero"/>
        <c:auto val="1"/>
        <c:lblOffset val="100"/>
        <c:baseTimeUnit val="months"/>
      </c:dateAx>
      <c:valAx>
        <c:axId val="122799232"/>
        <c:scaling>
          <c:orientation val="minMax"/>
          <c:min val="3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2756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'Mtg Rate'!$G$1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'Mtg Rate'!$F$57:$F$501</c:f>
              <c:numCache>
                <c:formatCode>m/d/yyyy</c:formatCode>
                <c:ptCount val="445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</c:numCache>
            </c:numRef>
          </c:cat>
          <c:val>
            <c:numRef>
              <c:f>'Mtg Rate'!$G$57:$G$501</c:f>
              <c:numCache>
                <c:formatCode>General</c:formatCode>
                <c:ptCount val="445"/>
                <c:pt idx="0">
                  <c:v>109.78</c:v>
                </c:pt>
                <c:pt idx="1">
                  <c:v>109.86</c:v>
                </c:pt>
                <c:pt idx="2">
                  <c:v>109.94</c:v>
                </c:pt>
                <c:pt idx="3">
                  <c:v>110.13</c:v>
                </c:pt>
                <c:pt idx="4">
                  <c:v>110.31</c:v>
                </c:pt>
                <c:pt idx="5">
                  <c:v>110.49</c:v>
                </c:pt>
                <c:pt idx="6">
                  <c:v>110.5</c:v>
                </c:pt>
                <c:pt idx="7">
                  <c:v>110.52</c:v>
                </c:pt>
                <c:pt idx="8">
                  <c:v>110.53</c:v>
                </c:pt>
                <c:pt idx="9">
                  <c:v>110.43</c:v>
                </c:pt>
                <c:pt idx="10">
                  <c:v>110.34</c:v>
                </c:pt>
                <c:pt idx="11">
                  <c:v>110.24</c:v>
                </c:pt>
                <c:pt idx="12">
                  <c:v>110.4</c:v>
                </c:pt>
                <c:pt idx="13">
                  <c:v>110.55</c:v>
                </c:pt>
                <c:pt idx="14">
                  <c:v>110.7</c:v>
                </c:pt>
                <c:pt idx="15">
                  <c:v>110.97</c:v>
                </c:pt>
                <c:pt idx="16">
                  <c:v>111.23</c:v>
                </c:pt>
                <c:pt idx="17">
                  <c:v>111.5</c:v>
                </c:pt>
                <c:pt idx="18">
                  <c:v>111.65</c:v>
                </c:pt>
                <c:pt idx="19">
                  <c:v>111.81</c:v>
                </c:pt>
                <c:pt idx="20">
                  <c:v>111.96</c:v>
                </c:pt>
                <c:pt idx="21">
                  <c:v>112.09</c:v>
                </c:pt>
                <c:pt idx="22">
                  <c:v>112.22</c:v>
                </c:pt>
                <c:pt idx="23">
                  <c:v>112.35</c:v>
                </c:pt>
                <c:pt idx="24">
                  <c:v>112.88</c:v>
                </c:pt>
                <c:pt idx="25">
                  <c:v>113.4</c:v>
                </c:pt>
                <c:pt idx="26">
                  <c:v>113.92</c:v>
                </c:pt>
                <c:pt idx="27">
                  <c:v>114.05</c:v>
                </c:pt>
                <c:pt idx="28">
                  <c:v>114.18</c:v>
                </c:pt>
                <c:pt idx="29">
                  <c:v>114.3</c:v>
                </c:pt>
                <c:pt idx="30">
                  <c:v>114.35</c:v>
                </c:pt>
                <c:pt idx="31">
                  <c:v>114.4</c:v>
                </c:pt>
                <c:pt idx="32">
                  <c:v>114.45</c:v>
                </c:pt>
                <c:pt idx="33">
                  <c:v>114.53</c:v>
                </c:pt>
                <c:pt idx="34">
                  <c:v>114.61</c:v>
                </c:pt>
                <c:pt idx="35">
                  <c:v>114.68</c:v>
                </c:pt>
                <c:pt idx="36">
                  <c:v>114.5</c:v>
                </c:pt>
                <c:pt idx="37">
                  <c:v>114.33</c:v>
                </c:pt>
                <c:pt idx="38">
                  <c:v>114.15</c:v>
                </c:pt>
                <c:pt idx="39">
                  <c:v>114.18</c:v>
                </c:pt>
                <c:pt idx="40">
                  <c:v>114.21</c:v>
                </c:pt>
                <c:pt idx="41">
                  <c:v>114.23</c:v>
                </c:pt>
                <c:pt idx="42">
                  <c:v>114.3</c:v>
                </c:pt>
                <c:pt idx="43">
                  <c:v>114.36</c:v>
                </c:pt>
                <c:pt idx="44">
                  <c:v>114.42</c:v>
                </c:pt>
                <c:pt idx="45">
                  <c:v>114.38</c:v>
                </c:pt>
                <c:pt idx="46">
                  <c:v>114.33</c:v>
                </c:pt>
                <c:pt idx="47">
                  <c:v>114.29</c:v>
                </c:pt>
                <c:pt idx="48">
                  <c:v>113.81</c:v>
                </c:pt>
                <c:pt idx="49">
                  <c:v>113.35</c:v>
                </c:pt>
                <c:pt idx="50">
                  <c:v>112.89</c:v>
                </c:pt>
                <c:pt idx="51">
                  <c:v>112.72</c:v>
                </c:pt>
                <c:pt idx="52">
                  <c:v>112.55</c:v>
                </c:pt>
                <c:pt idx="53">
                  <c:v>112.38</c:v>
                </c:pt>
                <c:pt idx="54">
                  <c:v>112.37</c:v>
                </c:pt>
                <c:pt idx="55">
                  <c:v>112.37</c:v>
                </c:pt>
                <c:pt idx="56">
                  <c:v>112.36</c:v>
                </c:pt>
                <c:pt idx="57">
                  <c:v>112.95</c:v>
                </c:pt>
                <c:pt idx="58">
                  <c:v>113.54</c:v>
                </c:pt>
                <c:pt idx="59">
                  <c:v>114.12</c:v>
                </c:pt>
                <c:pt idx="60">
                  <c:v>114.16</c:v>
                </c:pt>
                <c:pt idx="61">
                  <c:v>114.21</c:v>
                </c:pt>
                <c:pt idx="62">
                  <c:v>114.25</c:v>
                </c:pt>
                <c:pt idx="63">
                  <c:v>114.53</c:v>
                </c:pt>
                <c:pt idx="64">
                  <c:v>114.8</c:v>
                </c:pt>
                <c:pt idx="65">
                  <c:v>115.07</c:v>
                </c:pt>
                <c:pt idx="66">
                  <c:v>115.77</c:v>
                </c:pt>
                <c:pt idx="67">
                  <c:v>116.46</c:v>
                </c:pt>
                <c:pt idx="68">
                  <c:v>117.15</c:v>
                </c:pt>
                <c:pt idx="69">
                  <c:v>117.42</c:v>
                </c:pt>
                <c:pt idx="70">
                  <c:v>117.69</c:v>
                </c:pt>
                <c:pt idx="71">
                  <c:v>117.96</c:v>
                </c:pt>
                <c:pt idx="72">
                  <c:v>118.39</c:v>
                </c:pt>
                <c:pt idx="73">
                  <c:v>118.81</c:v>
                </c:pt>
                <c:pt idx="74">
                  <c:v>119.23</c:v>
                </c:pt>
                <c:pt idx="75">
                  <c:v>120.01</c:v>
                </c:pt>
                <c:pt idx="76">
                  <c:v>120.79</c:v>
                </c:pt>
                <c:pt idx="77">
                  <c:v>121.56</c:v>
                </c:pt>
                <c:pt idx="78">
                  <c:v>122.15</c:v>
                </c:pt>
                <c:pt idx="79">
                  <c:v>122.75</c:v>
                </c:pt>
                <c:pt idx="80">
                  <c:v>123.33</c:v>
                </c:pt>
                <c:pt idx="81">
                  <c:v>123.1</c:v>
                </c:pt>
                <c:pt idx="82">
                  <c:v>122.88</c:v>
                </c:pt>
                <c:pt idx="83">
                  <c:v>122.66</c:v>
                </c:pt>
                <c:pt idx="84">
                  <c:v>122.67</c:v>
                </c:pt>
                <c:pt idx="85">
                  <c:v>122.69</c:v>
                </c:pt>
                <c:pt idx="86">
                  <c:v>122.7</c:v>
                </c:pt>
                <c:pt idx="87">
                  <c:v>122.13</c:v>
                </c:pt>
                <c:pt idx="88">
                  <c:v>121.57</c:v>
                </c:pt>
                <c:pt idx="89">
                  <c:v>121.02</c:v>
                </c:pt>
                <c:pt idx="90">
                  <c:v>119.83</c:v>
                </c:pt>
                <c:pt idx="91">
                  <c:v>118.67</c:v>
                </c:pt>
                <c:pt idx="92">
                  <c:v>117.54</c:v>
                </c:pt>
                <c:pt idx="93">
                  <c:v>117.11</c:v>
                </c:pt>
                <c:pt idx="94">
                  <c:v>116.68</c:v>
                </c:pt>
                <c:pt idx="95">
                  <c:v>116.26</c:v>
                </c:pt>
                <c:pt idx="96">
                  <c:v>115.52</c:v>
                </c:pt>
                <c:pt idx="97">
                  <c:v>114.78</c:v>
                </c:pt>
                <c:pt idx="98">
                  <c:v>114.06</c:v>
                </c:pt>
                <c:pt idx="99">
                  <c:v>112.84</c:v>
                </c:pt>
                <c:pt idx="100">
                  <c:v>111.64</c:v>
                </c:pt>
                <c:pt idx="101">
                  <c:v>110.46</c:v>
                </c:pt>
                <c:pt idx="102">
                  <c:v>108.96</c:v>
                </c:pt>
                <c:pt idx="103">
                  <c:v>107.49</c:v>
                </c:pt>
                <c:pt idx="104">
                  <c:v>106.05</c:v>
                </c:pt>
                <c:pt idx="105">
                  <c:v>105.16</c:v>
                </c:pt>
                <c:pt idx="106">
                  <c:v>104.28</c:v>
                </c:pt>
                <c:pt idx="107">
                  <c:v>103.41</c:v>
                </c:pt>
                <c:pt idx="108">
                  <c:v>102.62</c:v>
                </c:pt>
                <c:pt idx="109">
                  <c:v>101.84</c:v>
                </c:pt>
                <c:pt idx="110">
                  <c:v>101.07</c:v>
                </c:pt>
                <c:pt idx="111">
                  <c:v>99.89</c:v>
                </c:pt>
                <c:pt idx="112">
                  <c:v>98.73</c:v>
                </c:pt>
                <c:pt idx="113">
                  <c:v>97.57</c:v>
                </c:pt>
                <c:pt idx="114">
                  <c:v>96.28</c:v>
                </c:pt>
                <c:pt idx="115">
                  <c:v>95.01</c:v>
                </c:pt>
                <c:pt idx="116">
                  <c:v>93.74</c:v>
                </c:pt>
                <c:pt idx="117">
                  <c:v>93.15</c:v>
                </c:pt>
                <c:pt idx="118">
                  <c:v>92.55</c:v>
                </c:pt>
                <c:pt idx="119">
                  <c:v>91.97</c:v>
                </c:pt>
                <c:pt idx="120">
                  <c:v>92.08</c:v>
                </c:pt>
                <c:pt idx="121">
                  <c:v>92.19</c:v>
                </c:pt>
                <c:pt idx="122">
                  <c:v>92.31</c:v>
                </c:pt>
                <c:pt idx="123">
                  <c:v>91.51</c:v>
                </c:pt>
                <c:pt idx="124">
                  <c:v>90.71</c:v>
                </c:pt>
                <c:pt idx="125">
                  <c:v>89.92</c:v>
                </c:pt>
                <c:pt idx="126">
                  <c:v>89.45</c:v>
                </c:pt>
                <c:pt idx="127">
                  <c:v>88.99</c:v>
                </c:pt>
                <c:pt idx="128">
                  <c:v>88.52</c:v>
                </c:pt>
                <c:pt idx="129">
                  <c:v>88.39</c:v>
                </c:pt>
                <c:pt idx="130">
                  <c:v>88.26</c:v>
                </c:pt>
                <c:pt idx="131">
                  <c:v>88.13</c:v>
                </c:pt>
                <c:pt idx="132">
                  <c:v>87.98</c:v>
                </c:pt>
                <c:pt idx="133">
                  <c:v>87.84</c:v>
                </c:pt>
                <c:pt idx="134">
                  <c:v>87.69</c:v>
                </c:pt>
                <c:pt idx="135">
                  <c:v>88.16</c:v>
                </c:pt>
                <c:pt idx="136">
                  <c:v>88.63</c:v>
                </c:pt>
                <c:pt idx="137">
                  <c:v>89.12</c:v>
                </c:pt>
                <c:pt idx="138">
                  <c:v>90.35</c:v>
                </c:pt>
                <c:pt idx="139">
                  <c:v>91.6</c:v>
                </c:pt>
                <c:pt idx="140">
                  <c:v>92.88</c:v>
                </c:pt>
                <c:pt idx="141">
                  <c:v>92.93</c:v>
                </c:pt>
                <c:pt idx="142">
                  <c:v>92.99</c:v>
                </c:pt>
                <c:pt idx="143">
                  <c:v>93.04</c:v>
                </c:pt>
                <c:pt idx="144">
                  <c:v>91.96</c:v>
                </c:pt>
                <c:pt idx="145">
                  <c:v>90.88</c:v>
                </c:pt>
                <c:pt idx="146">
                  <c:v>89.81</c:v>
                </c:pt>
                <c:pt idx="147">
                  <c:v>90.1</c:v>
                </c:pt>
                <c:pt idx="148">
                  <c:v>90.4</c:v>
                </c:pt>
                <c:pt idx="149">
                  <c:v>90.7</c:v>
                </c:pt>
                <c:pt idx="150">
                  <c:v>91.74</c:v>
                </c:pt>
                <c:pt idx="151">
                  <c:v>92.81</c:v>
                </c:pt>
                <c:pt idx="152">
                  <c:v>93.89</c:v>
                </c:pt>
                <c:pt idx="153">
                  <c:v>94.26</c:v>
                </c:pt>
                <c:pt idx="154">
                  <c:v>94.63</c:v>
                </c:pt>
                <c:pt idx="155">
                  <c:v>95.01</c:v>
                </c:pt>
                <c:pt idx="156">
                  <c:v>95.06</c:v>
                </c:pt>
                <c:pt idx="157">
                  <c:v>95.12</c:v>
                </c:pt>
                <c:pt idx="158">
                  <c:v>95.17</c:v>
                </c:pt>
                <c:pt idx="159">
                  <c:v>95.34</c:v>
                </c:pt>
                <c:pt idx="160">
                  <c:v>95.5</c:v>
                </c:pt>
                <c:pt idx="161">
                  <c:v>95.67</c:v>
                </c:pt>
                <c:pt idx="162">
                  <c:v>95.77</c:v>
                </c:pt>
                <c:pt idx="163">
                  <c:v>95.88</c:v>
                </c:pt>
                <c:pt idx="164">
                  <c:v>95.98</c:v>
                </c:pt>
                <c:pt idx="165">
                  <c:v>96.47</c:v>
                </c:pt>
                <c:pt idx="166">
                  <c:v>96.97</c:v>
                </c:pt>
                <c:pt idx="167">
                  <c:v>97.47</c:v>
                </c:pt>
                <c:pt idx="168">
                  <c:v>98.55</c:v>
                </c:pt>
                <c:pt idx="169">
                  <c:v>99.64</c:v>
                </c:pt>
                <c:pt idx="170">
                  <c:v>100.76</c:v>
                </c:pt>
                <c:pt idx="171">
                  <c:v>101.88</c:v>
                </c:pt>
                <c:pt idx="172">
                  <c:v>103</c:v>
                </c:pt>
                <c:pt idx="173">
                  <c:v>104.14</c:v>
                </c:pt>
                <c:pt idx="174">
                  <c:v>104.44</c:v>
                </c:pt>
                <c:pt idx="175">
                  <c:v>104.74</c:v>
                </c:pt>
                <c:pt idx="176">
                  <c:v>105.03</c:v>
                </c:pt>
                <c:pt idx="177">
                  <c:v>105.2</c:v>
                </c:pt>
                <c:pt idx="178">
                  <c:v>105.38</c:v>
                </c:pt>
                <c:pt idx="179">
                  <c:v>105.55</c:v>
                </c:pt>
                <c:pt idx="180">
                  <c:v>106.24</c:v>
                </c:pt>
                <c:pt idx="181">
                  <c:v>106.93</c:v>
                </c:pt>
                <c:pt idx="182">
                  <c:v>107.63</c:v>
                </c:pt>
                <c:pt idx="183">
                  <c:v>108.51</c:v>
                </c:pt>
                <c:pt idx="184">
                  <c:v>109.39</c:v>
                </c:pt>
                <c:pt idx="185">
                  <c:v>110.28</c:v>
                </c:pt>
                <c:pt idx="186">
                  <c:v>110.37</c:v>
                </c:pt>
                <c:pt idx="187">
                  <c:v>110.47</c:v>
                </c:pt>
                <c:pt idx="188">
                  <c:v>110.56</c:v>
                </c:pt>
                <c:pt idx="189">
                  <c:v>110.58</c:v>
                </c:pt>
                <c:pt idx="190">
                  <c:v>110.61</c:v>
                </c:pt>
                <c:pt idx="191">
                  <c:v>110.63</c:v>
                </c:pt>
                <c:pt idx="192">
                  <c:v>110.78</c:v>
                </c:pt>
                <c:pt idx="193">
                  <c:v>110.93</c:v>
                </c:pt>
                <c:pt idx="194">
                  <c:v>111.08</c:v>
                </c:pt>
                <c:pt idx="195">
                  <c:v>111.22</c:v>
                </c:pt>
                <c:pt idx="196">
                  <c:v>111.36</c:v>
                </c:pt>
                <c:pt idx="197">
                  <c:v>111.49</c:v>
                </c:pt>
                <c:pt idx="198">
                  <c:v>111.53</c:v>
                </c:pt>
                <c:pt idx="199">
                  <c:v>111.56</c:v>
                </c:pt>
                <c:pt idx="200">
                  <c:v>111.6</c:v>
                </c:pt>
                <c:pt idx="201">
                  <c:v>111.52</c:v>
                </c:pt>
                <c:pt idx="202">
                  <c:v>111.45</c:v>
                </c:pt>
                <c:pt idx="203">
                  <c:v>111.37</c:v>
                </c:pt>
                <c:pt idx="204">
                  <c:v>111.31</c:v>
                </c:pt>
                <c:pt idx="205">
                  <c:v>111.24</c:v>
                </c:pt>
                <c:pt idx="206">
                  <c:v>111.18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75264"/>
        <c:axId val="142886400"/>
      </c:lineChart>
      <c:dateAx>
        <c:axId val="142875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42886400"/>
        <c:crosses val="autoZero"/>
        <c:auto val="1"/>
        <c:lblOffset val="100"/>
        <c:baseTimeUnit val="months"/>
      </c:dateAx>
      <c:valAx>
        <c:axId val="142886400"/>
        <c:scaling>
          <c:orientation val="minMax"/>
          <c:min val="8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875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'OTM Refi'!$C$1</c:f>
              <c:strCache>
                <c:ptCount val="1"/>
                <c:pt idx="0">
                  <c:v>Rate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Refi'!$C$2:$C$264</c:f>
              <c:numCache>
                <c:formatCode>General</c:formatCode>
                <c:ptCount val="263"/>
                <c:pt idx="0">
                  <c:v>0.68463784911777104</c:v>
                </c:pt>
                <c:pt idx="1">
                  <c:v>0.68970428545322104</c:v>
                </c:pt>
                <c:pt idx="2">
                  <c:v>0.29594662307880498</c:v>
                </c:pt>
                <c:pt idx="3">
                  <c:v>0.30254041552862299</c:v>
                </c:pt>
                <c:pt idx="4">
                  <c:v>0.240023749359627</c:v>
                </c:pt>
                <c:pt idx="5">
                  <c:v>0.28452537981417098</c:v>
                </c:pt>
                <c:pt idx="6">
                  <c:v>0.242626410905908</c:v>
                </c:pt>
                <c:pt idx="7">
                  <c:v>0.20849179633154999</c:v>
                </c:pt>
                <c:pt idx="8">
                  <c:v>0.15396001090147801</c:v>
                </c:pt>
                <c:pt idx="9">
                  <c:v>0.152121776689782</c:v>
                </c:pt>
                <c:pt idx="10">
                  <c:v>0.15934843049915701</c:v>
                </c:pt>
                <c:pt idx="11">
                  <c:v>0.21101042790083199</c:v>
                </c:pt>
                <c:pt idx="12">
                  <c:v>0.303401836420091</c:v>
                </c:pt>
                <c:pt idx="13">
                  <c:v>0.32102894044244301</c:v>
                </c:pt>
                <c:pt idx="14">
                  <c:v>0.46309668217416</c:v>
                </c:pt>
                <c:pt idx="15">
                  <c:v>0.58226141221431604</c:v>
                </c:pt>
                <c:pt idx="16">
                  <c:v>0.58832506701593601</c:v>
                </c:pt>
                <c:pt idx="17">
                  <c:v>0.49973127855509702</c:v>
                </c:pt>
                <c:pt idx="18">
                  <c:v>0.58816774910761105</c:v>
                </c:pt>
                <c:pt idx="19">
                  <c:v>0.60004284867552804</c:v>
                </c:pt>
                <c:pt idx="20">
                  <c:v>0.63600143165145795</c:v>
                </c:pt>
                <c:pt idx="21">
                  <c:v>0.70482332300728001</c:v>
                </c:pt>
                <c:pt idx="22">
                  <c:v>0.68176273275719701</c:v>
                </c:pt>
                <c:pt idx="23">
                  <c:v>0.67823800937970102</c:v>
                </c:pt>
                <c:pt idx="24">
                  <c:v>0.58856224438733895</c:v>
                </c:pt>
                <c:pt idx="25">
                  <c:v>0.48776183580237498</c:v>
                </c:pt>
                <c:pt idx="26">
                  <c:v>0.458475566921344</c:v>
                </c:pt>
                <c:pt idx="27">
                  <c:v>0.36619912136459398</c:v>
                </c:pt>
                <c:pt idx="28">
                  <c:v>0.39627067284496098</c:v>
                </c:pt>
                <c:pt idx="29">
                  <c:v>0.481671034820643</c:v>
                </c:pt>
                <c:pt idx="30">
                  <c:v>0.41080947954595598</c:v>
                </c:pt>
                <c:pt idx="31">
                  <c:v>0.50931068818931602</c:v>
                </c:pt>
                <c:pt idx="32">
                  <c:v>0.65889879351932501</c:v>
                </c:pt>
                <c:pt idx="33">
                  <c:v>0.59335057170849603</c:v>
                </c:pt>
                <c:pt idx="34">
                  <c:v>0.51674705170586599</c:v>
                </c:pt>
                <c:pt idx="35">
                  <c:v>0.46147711784742801</c:v>
                </c:pt>
                <c:pt idx="36">
                  <c:v>0.50707842278438697</c:v>
                </c:pt>
                <c:pt idx="37">
                  <c:v>0.589494987810397</c:v>
                </c:pt>
                <c:pt idx="38">
                  <c:v>0.61615932068324997</c:v>
                </c:pt>
                <c:pt idx="39">
                  <c:v>0.606617331115202</c:v>
                </c:pt>
                <c:pt idx="40">
                  <c:v>0.62939042535311296</c:v>
                </c:pt>
                <c:pt idx="41">
                  <c:v>0.68613411440204497</c:v>
                </c:pt>
                <c:pt idx="42">
                  <c:v>0.70832127784411603</c:v>
                </c:pt>
                <c:pt idx="43">
                  <c:v>0.67585264578452697</c:v>
                </c:pt>
                <c:pt idx="44">
                  <c:v>0.70301833987460804</c:v>
                </c:pt>
                <c:pt idx="45">
                  <c:v>0.70169149461104496</c:v>
                </c:pt>
                <c:pt idx="46">
                  <c:v>0.71136059679864905</c:v>
                </c:pt>
                <c:pt idx="47">
                  <c:v>0.71794612909004996</c:v>
                </c:pt>
                <c:pt idx="48">
                  <c:v>0.72700324115126003</c:v>
                </c:pt>
                <c:pt idx="49">
                  <c:v>0.73583268646723698</c:v>
                </c:pt>
                <c:pt idx="50">
                  <c:v>0.73802691002742904</c:v>
                </c:pt>
                <c:pt idx="51">
                  <c:v>0.74772023908500196</c:v>
                </c:pt>
                <c:pt idx="52">
                  <c:v>0.71401949965998401</c:v>
                </c:pt>
                <c:pt idx="53">
                  <c:v>0.72856909966067895</c:v>
                </c:pt>
                <c:pt idx="54">
                  <c:v>0.71366617428082502</c:v>
                </c:pt>
                <c:pt idx="55">
                  <c:v>0.71583797420899997</c:v>
                </c:pt>
                <c:pt idx="56">
                  <c:v>0.70767771166813398</c:v>
                </c:pt>
                <c:pt idx="57">
                  <c:v>0.69721883789286598</c:v>
                </c:pt>
                <c:pt idx="58">
                  <c:v>0.71941901903789995</c:v>
                </c:pt>
                <c:pt idx="59">
                  <c:v>0.73363847497441403</c:v>
                </c:pt>
                <c:pt idx="60">
                  <c:v>0.70995467935879597</c:v>
                </c:pt>
                <c:pt idx="61">
                  <c:v>0.60543577304962803</c:v>
                </c:pt>
                <c:pt idx="62">
                  <c:v>0.57410937130009299</c:v>
                </c:pt>
                <c:pt idx="63">
                  <c:v>0.44913061497388301</c:v>
                </c:pt>
                <c:pt idx="64">
                  <c:v>0.50653937369966795</c:v>
                </c:pt>
                <c:pt idx="65">
                  <c:v>0.47330788538878998</c:v>
                </c:pt>
                <c:pt idx="66">
                  <c:v>0.52267729195401802</c:v>
                </c:pt>
                <c:pt idx="67">
                  <c:v>0.46526390294354503</c:v>
                </c:pt>
                <c:pt idx="68">
                  <c:v>0.33957023039155398</c:v>
                </c:pt>
                <c:pt idx="69">
                  <c:v>0.30304983780089401</c:v>
                </c:pt>
                <c:pt idx="70">
                  <c:v>0.330307208434232</c:v>
                </c:pt>
                <c:pt idx="71">
                  <c:v>0.36662022970285602</c:v>
                </c:pt>
                <c:pt idx="72">
                  <c:v>0.23521196886684601</c:v>
                </c:pt>
                <c:pt idx="73">
                  <c:v>0.31856064714140597</c:v>
                </c:pt>
                <c:pt idx="74">
                  <c:v>0.37478765673011299</c:v>
                </c:pt>
                <c:pt idx="75">
                  <c:v>0.42807813383481702</c:v>
                </c:pt>
                <c:pt idx="76">
                  <c:v>0.46816296263545498</c:v>
                </c:pt>
                <c:pt idx="77">
                  <c:v>0.506136990315187</c:v>
                </c:pt>
                <c:pt idx="78">
                  <c:v>0.53885960524132903</c:v>
                </c:pt>
                <c:pt idx="79">
                  <c:v>0.65174558292714702</c:v>
                </c:pt>
                <c:pt idx="80">
                  <c:v>0.71455537361468602</c:v>
                </c:pt>
                <c:pt idx="81">
                  <c:v>0.72754071786416696</c:v>
                </c:pt>
                <c:pt idx="82">
                  <c:v>0.71995851329949301</c:v>
                </c:pt>
                <c:pt idx="83">
                  <c:v>0.72302343494173205</c:v>
                </c:pt>
                <c:pt idx="84">
                  <c:v>0.704395008049152</c:v>
                </c:pt>
                <c:pt idx="85">
                  <c:v>0.71170960782912296</c:v>
                </c:pt>
                <c:pt idx="86">
                  <c:v>0.704258987026669</c:v>
                </c:pt>
                <c:pt idx="87">
                  <c:v>0.71744439291351303</c:v>
                </c:pt>
                <c:pt idx="88">
                  <c:v>0.67011094118764103</c:v>
                </c:pt>
                <c:pt idx="89">
                  <c:v>0.69803720656007495</c:v>
                </c:pt>
                <c:pt idx="90">
                  <c:v>0.699829706623459</c:v>
                </c:pt>
                <c:pt idx="91">
                  <c:v>0.71093600651454403</c:v>
                </c:pt>
                <c:pt idx="92">
                  <c:v>0.71082471614838905</c:v>
                </c:pt>
                <c:pt idx="93">
                  <c:v>0.70159409415974205</c:v>
                </c:pt>
                <c:pt idx="94">
                  <c:v>0.70455150485296503</c:v>
                </c:pt>
                <c:pt idx="95">
                  <c:v>0.71287363832077999</c:v>
                </c:pt>
                <c:pt idx="96">
                  <c:v>0.66170958475847697</c:v>
                </c:pt>
                <c:pt idx="97">
                  <c:v>0.70586297903213102</c:v>
                </c:pt>
                <c:pt idx="98">
                  <c:v>0.72237253370850196</c:v>
                </c:pt>
                <c:pt idx="99">
                  <c:v>0.690216734722645</c:v>
                </c:pt>
                <c:pt idx="100">
                  <c:v>0.74004429936494698</c:v>
                </c:pt>
                <c:pt idx="101">
                  <c:v>0.73679517840225195</c:v>
                </c:pt>
                <c:pt idx="102">
                  <c:v>0.74871666836643602</c:v>
                </c:pt>
                <c:pt idx="103">
                  <c:v>0.75710577422941505</c:v>
                </c:pt>
                <c:pt idx="104">
                  <c:v>0.69998826639639899</c:v>
                </c:pt>
                <c:pt idx="105">
                  <c:v>0.74086667873481005</c:v>
                </c:pt>
                <c:pt idx="106">
                  <c:v>0.761033236132312</c:v>
                </c:pt>
                <c:pt idx="107">
                  <c:v>0.72947366168255801</c:v>
                </c:pt>
                <c:pt idx="108">
                  <c:v>0.76167309144185402</c:v>
                </c:pt>
                <c:pt idx="109">
                  <c:v>0.74739999999999995</c:v>
                </c:pt>
                <c:pt idx="110">
                  <c:v>0.69909650010818503</c:v>
                </c:pt>
                <c:pt idx="111">
                  <c:v>0.57727832256409795</c:v>
                </c:pt>
                <c:pt idx="112">
                  <c:v>0.57840463823636701</c:v>
                </c:pt>
                <c:pt idx="113">
                  <c:v>0.63837129669545101</c:v>
                </c:pt>
                <c:pt idx="114">
                  <c:v>0.64608161930680597</c:v>
                </c:pt>
                <c:pt idx="115">
                  <c:v>0.65590316742792298</c:v>
                </c:pt>
                <c:pt idx="116">
                  <c:v>0.67486557290293503</c:v>
                </c:pt>
                <c:pt idx="117">
                  <c:v>0.68756464201436496</c:v>
                </c:pt>
                <c:pt idx="118">
                  <c:v>0.74158828523053899</c:v>
                </c:pt>
                <c:pt idx="119">
                  <c:v>0.66469471323628904</c:v>
                </c:pt>
                <c:pt idx="120">
                  <c:v>0.57272850684221199</c:v>
                </c:pt>
                <c:pt idx="121">
                  <c:v>0.57786754262123796</c:v>
                </c:pt>
                <c:pt idx="122">
                  <c:v>0.640543049471057</c:v>
                </c:pt>
                <c:pt idx="123">
                  <c:v>0.67893250139775596</c:v>
                </c:pt>
                <c:pt idx="124">
                  <c:v>0.69118443677090702</c:v>
                </c:pt>
                <c:pt idx="125">
                  <c:v>0.68259805015938801</c:v>
                </c:pt>
                <c:pt idx="126">
                  <c:v>0.68318423990880495</c:v>
                </c:pt>
                <c:pt idx="127">
                  <c:v>0.679730325393886</c:v>
                </c:pt>
                <c:pt idx="128">
                  <c:v>0.69964360949191995</c:v>
                </c:pt>
                <c:pt idx="129">
                  <c:v>0.703670754834959</c:v>
                </c:pt>
                <c:pt idx="130">
                  <c:v>0.67670147550411697</c:v>
                </c:pt>
                <c:pt idx="131">
                  <c:v>0.70077154511059903</c:v>
                </c:pt>
                <c:pt idx="132">
                  <c:v>0.70926844517388199</c:v>
                </c:pt>
                <c:pt idx="133">
                  <c:v>0.72701313536347401</c:v>
                </c:pt>
                <c:pt idx="134">
                  <c:v>0.69425366248676801</c:v>
                </c:pt>
                <c:pt idx="135">
                  <c:v>0.69671474556516999</c:v>
                </c:pt>
                <c:pt idx="136">
                  <c:v>0.698492278945678</c:v>
                </c:pt>
                <c:pt idx="137">
                  <c:v>0.66796505277846896</c:v>
                </c:pt>
                <c:pt idx="138">
                  <c:v>0.59644331040582599</c:v>
                </c:pt>
                <c:pt idx="139">
                  <c:v>0.61007619260930401</c:v>
                </c:pt>
                <c:pt idx="140">
                  <c:v>0.64506722273635397</c:v>
                </c:pt>
                <c:pt idx="141">
                  <c:v>0.61953948495253197</c:v>
                </c:pt>
                <c:pt idx="142">
                  <c:v>0.59678877013154596</c:v>
                </c:pt>
                <c:pt idx="143">
                  <c:v>0.53774506581748704</c:v>
                </c:pt>
                <c:pt idx="144">
                  <c:v>0.50108533632794106</c:v>
                </c:pt>
                <c:pt idx="145">
                  <c:v>0.46755540270437002</c:v>
                </c:pt>
                <c:pt idx="146">
                  <c:v>0.43719361857386102</c:v>
                </c:pt>
                <c:pt idx="147">
                  <c:v>0.55959583583847405</c:v>
                </c:pt>
                <c:pt idx="148">
                  <c:v>0.59162662287419499</c:v>
                </c:pt>
                <c:pt idx="149">
                  <c:v>0.60024747645880105</c:v>
                </c:pt>
                <c:pt idx="150">
                  <c:v>0.62654271348167401</c:v>
                </c:pt>
                <c:pt idx="151">
                  <c:v>0.65941443682069301</c:v>
                </c:pt>
                <c:pt idx="152">
                  <c:v>0.62977132898153099</c:v>
                </c:pt>
                <c:pt idx="153">
                  <c:v>0.62974870267016103</c:v>
                </c:pt>
                <c:pt idx="154">
                  <c:v>0.65281088621162298</c:v>
                </c:pt>
                <c:pt idx="155">
                  <c:v>0.64307006346988105</c:v>
                </c:pt>
                <c:pt idx="156">
                  <c:v>0.63186489361064402</c:v>
                </c:pt>
                <c:pt idx="157">
                  <c:v>0.51682448647962598</c:v>
                </c:pt>
                <c:pt idx="158">
                  <c:v>0.50727503749935099</c:v>
                </c:pt>
                <c:pt idx="159">
                  <c:v>0.553370891621075</c:v>
                </c:pt>
                <c:pt idx="160">
                  <c:v>0.602028481292743</c:v>
                </c:pt>
                <c:pt idx="161">
                  <c:v>0.60716058517587901</c:v>
                </c:pt>
                <c:pt idx="162">
                  <c:v>0.64674336515874498</c:v>
                </c:pt>
                <c:pt idx="163">
                  <c:v>0.66802593059294602</c:v>
                </c:pt>
                <c:pt idx="164">
                  <c:v>0.71616098010461104</c:v>
                </c:pt>
                <c:pt idx="165">
                  <c:v>0.68609222292497996</c:v>
                </c:pt>
                <c:pt idx="166">
                  <c:v>0.68324415629308799</c:v>
                </c:pt>
                <c:pt idx="167">
                  <c:v>0.69477720113199803</c:v>
                </c:pt>
                <c:pt idx="168">
                  <c:v>0.66991054909622205</c:v>
                </c:pt>
                <c:pt idx="169">
                  <c:v>0.59086071948934205</c:v>
                </c:pt>
                <c:pt idx="170">
                  <c:v>0.55724623301252696</c:v>
                </c:pt>
                <c:pt idx="171">
                  <c:v>0.53284573530614698</c:v>
                </c:pt>
                <c:pt idx="172">
                  <c:v>0.65504895880222802</c:v>
                </c:pt>
                <c:pt idx="173">
                  <c:v>0.61807565631295203</c:v>
                </c:pt>
                <c:pt idx="174">
                  <c:v>0.64264663446018799</c:v>
                </c:pt>
                <c:pt idx="175">
                  <c:v>0.72645471990865695</c:v>
                </c:pt>
                <c:pt idx="176">
                  <c:v>0.70676409402587703</c:v>
                </c:pt>
                <c:pt idx="177">
                  <c:v>0.679633194952734</c:v>
                </c:pt>
                <c:pt idx="178">
                  <c:v>0.68035916875484104</c:v>
                </c:pt>
                <c:pt idx="179">
                  <c:v>0.77422370660684803</c:v>
                </c:pt>
                <c:pt idx="180">
                  <c:v>0.75955729010323703</c:v>
                </c:pt>
                <c:pt idx="181">
                  <c:v>0.62122866127603404</c:v>
                </c:pt>
                <c:pt idx="182">
                  <c:v>0.68673805709803004</c:v>
                </c:pt>
                <c:pt idx="183">
                  <c:v>0.67550835483163696</c:v>
                </c:pt>
                <c:pt idx="184">
                  <c:v>0.69437754967935805</c:v>
                </c:pt>
                <c:pt idx="185">
                  <c:v>0.71624041967296304</c:v>
                </c:pt>
                <c:pt idx="186">
                  <c:v>0.74743182996052204</c:v>
                </c:pt>
                <c:pt idx="187">
                  <c:v>0.72818995756862304</c:v>
                </c:pt>
                <c:pt idx="188">
                  <c:v>0.69528135874337404</c:v>
                </c:pt>
                <c:pt idx="189">
                  <c:v>0.70207021495604804</c:v>
                </c:pt>
                <c:pt idx="190">
                  <c:v>0.70046982982528205</c:v>
                </c:pt>
                <c:pt idx="191">
                  <c:v>0.67550777911563098</c:v>
                </c:pt>
                <c:pt idx="192">
                  <c:v>0.734852615002756</c:v>
                </c:pt>
                <c:pt idx="193">
                  <c:v>0.71307586116417399</c:v>
                </c:pt>
                <c:pt idx="194">
                  <c:v>0.57952633555765498</c:v>
                </c:pt>
                <c:pt idx="195">
                  <c:v>0.50926636063928798</c:v>
                </c:pt>
                <c:pt idx="196">
                  <c:v>0.53778527495884298</c:v>
                </c:pt>
                <c:pt idx="197">
                  <c:v>0.55439093068915701</c:v>
                </c:pt>
                <c:pt idx="198">
                  <c:v>0.62067091515986905</c:v>
                </c:pt>
                <c:pt idx="199">
                  <c:v>0.690429368076243</c:v>
                </c:pt>
                <c:pt idx="200">
                  <c:v>0.68378598569986704</c:v>
                </c:pt>
                <c:pt idx="201">
                  <c:v>0.63429586323951603</c:v>
                </c:pt>
                <c:pt idx="202">
                  <c:v>0.67503398524110103</c:v>
                </c:pt>
                <c:pt idx="203">
                  <c:v>0.67756941363832801</c:v>
                </c:pt>
                <c:pt idx="204">
                  <c:v>0.64240714466686999</c:v>
                </c:pt>
                <c:pt idx="205">
                  <c:v>0.64639883511007301</c:v>
                </c:pt>
                <c:pt idx="206">
                  <c:v>0.66585071047067101</c:v>
                </c:pt>
                <c:pt idx="207">
                  <c:v>0.68280803492497599</c:v>
                </c:pt>
                <c:pt idx="208">
                  <c:v>0.69195141355174405</c:v>
                </c:pt>
                <c:pt idx="209">
                  <c:v>0.68652899564481795</c:v>
                </c:pt>
                <c:pt idx="210">
                  <c:v>0.67505874116174602</c:v>
                </c:pt>
                <c:pt idx="211">
                  <c:v>0.67528884034095005</c:v>
                </c:pt>
                <c:pt idx="212">
                  <c:v>0.66586670524555602</c:v>
                </c:pt>
                <c:pt idx="213">
                  <c:v>0.63335390958386495</c:v>
                </c:pt>
                <c:pt idx="214">
                  <c:v>0.64683138799531004</c:v>
                </c:pt>
                <c:pt idx="215">
                  <c:v>0.640844382547059</c:v>
                </c:pt>
                <c:pt idx="216">
                  <c:v>0.675438501590371</c:v>
                </c:pt>
                <c:pt idx="217">
                  <c:v>0.69630296540916403</c:v>
                </c:pt>
                <c:pt idx="218">
                  <c:v>0.70564069202121504</c:v>
                </c:pt>
                <c:pt idx="219">
                  <c:v>0.70248708769186496</c:v>
                </c:pt>
                <c:pt idx="220">
                  <c:v>0.72256332100640397</c:v>
                </c:pt>
                <c:pt idx="221">
                  <c:v>0.74073041689381003</c:v>
                </c:pt>
                <c:pt idx="222">
                  <c:v>0.73106644061377202</c:v>
                </c:pt>
                <c:pt idx="223">
                  <c:v>0.71833488657386602</c:v>
                </c:pt>
                <c:pt idx="224">
                  <c:v>0.70794188319703399</c:v>
                </c:pt>
                <c:pt idx="225">
                  <c:v>0.65686283286718095</c:v>
                </c:pt>
                <c:pt idx="226">
                  <c:v>0.64216308547686596</c:v>
                </c:pt>
                <c:pt idx="227">
                  <c:v>0.67610243613924703</c:v>
                </c:pt>
                <c:pt idx="228">
                  <c:v>0.65328621475014903</c:v>
                </c:pt>
                <c:pt idx="229">
                  <c:v>0.61923265392684901</c:v>
                </c:pt>
                <c:pt idx="230">
                  <c:v>0.50290207075990101</c:v>
                </c:pt>
                <c:pt idx="231">
                  <c:v>0.46783859440006598</c:v>
                </c:pt>
                <c:pt idx="232">
                  <c:v>0.46170197146833297</c:v>
                </c:pt>
                <c:pt idx="233">
                  <c:v>0.54473969801843003</c:v>
                </c:pt>
                <c:pt idx="234">
                  <c:v>0.53075857156998996</c:v>
                </c:pt>
                <c:pt idx="235">
                  <c:v>0.48531722542241001</c:v>
                </c:pt>
                <c:pt idx="236">
                  <c:v>0.49042814418987102</c:v>
                </c:pt>
                <c:pt idx="237">
                  <c:v>0.53027276069826002</c:v>
                </c:pt>
                <c:pt idx="238">
                  <c:v>0.53003136348027802</c:v>
                </c:pt>
                <c:pt idx="239">
                  <c:v>0.53373338146294202</c:v>
                </c:pt>
                <c:pt idx="240">
                  <c:v>0.58068938206812604</c:v>
                </c:pt>
                <c:pt idx="241">
                  <c:v>0.59145575591362498</c:v>
                </c:pt>
                <c:pt idx="242">
                  <c:v>0.60280877805589395</c:v>
                </c:pt>
                <c:pt idx="243">
                  <c:v>0.61773837377204399</c:v>
                </c:pt>
                <c:pt idx="244">
                  <c:v>0.60371820487485195</c:v>
                </c:pt>
                <c:pt idx="245">
                  <c:v>0.65424805360146299</c:v>
                </c:pt>
                <c:pt idx="246">
                  <c:v>0.65219554162814997</c:v>
                </c:pt>
                <c:pt idx="247">
                  <c:v>0.53633950001371</c:v>
                </c:pt>
                <c:pt idx="248">
                  <c:v>0.50284049353292504</c:v>
                </c:pt>
                <c:pt idx="249">
                  <c:v>0.49505806640553202</c:v>
                </c:pt>
                <c:pt idx="250">
                  <c:v>0.48989450551217401</c:v>
                </c:pt>
                <c:pt idx="251">
                  <c:v>0.51625521803605001</c:v>
                </c:pt>
                <c:pt idx="252">
                  <c:v>0.52836985860934205</c:v>
                </c:pt>
                <c:pt idx="253">
                  <c:v>0.67558046315391096</c:v>
                </c:pt>
                <c:pt idx="254">
                  <c:v>0.66742607934819498</c:v>
                </c:pt>
                <c:pt idx="255">
                  <c:v>0.66436425710773805</c:v>
                </c:pt>
                <c:pt idx="256">
                  <c:v>0.64610496771827397</c:v>
                </c:pt>
                <c:pt idx="257">
                  <c:v>0.54534836030553102</c:v>
                </c:pt>
                <c:pt idx="258">
                  <c:v>0.68312923005912096</c:v>
                </c:pt>
                <c:pt idx="259">
                  <c:v>0.68300392266310195</c:v>
                </c:pt>
                <c:pt idx="260">
                  <c:v>0.62881667627350302</c:v>
                </c:pt>
                <c:pt idx="261">
                  <c:v>0.56672061949638797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'OTM Refi'!$D$1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Refi'!$D$2:$D$264</c:f>
              <c:numCache>
                <c:formatCode>General</c:formatCode>
                <c:ptCount val="2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8.6666666666663592E-3</c:v>
                </c:pt>
                <c:pt idx="59">
                  <c:v>2.0666666666666798E-2</c:v>
                </c:pt>
                <c:pt idx="60">
                  <c:v>3.2666666666666302E-2</c:v>
                </c:pt>
                <c:pt idx="61">
                  <c:v>3.3333333333333298E-2</c:v>
                </c:pt>
                <c:pt idx="62">
                  <c:v>3.4666666666666401E-2</c:v>
                </c:pt>
                <c:pt idx="63">
                  <c:v>3.5333333333333397E-2</c:v>
                </c:pt>
                <c:pt idx="64">
                  <c:v>2.86666666666671E-2</c:v>
                </c:pt>
                <c:pt idx="65">
                  <c:v>2.2666666666666901E-2</c:v>
                </c:pt>
                <c:pt idx="66">
                  <c:v>1.5999999999999698E-2</c:v>
                </c:pt>
                <c:pt idx="67">
                  <c:v>2.6666666666667001E-2</c:v>
                </c:pt>
                <c:pt idx="68">
                  <c:v>3.66666666666665E-2</c:v>
                </c:pt>
                <c:pt idx="69">
                  <c:v>4.6666666666666801E-2</c:v>
                </c:pt>
                <c:pt idx="70">
                  <c:v>6.4666666666666595E-2</c:v>
                </c:pt>
                <c:pt idx="71">
                  <c:v>8.2000000000000295E-2</c:v>
                </c:pt>
                <c:pt idx="72">
                  <c:v>0.1</c:v>
                </c:pt>
                <c:pt idx="73">
                  <c:v>0.11</c:v>
                </c:pt>
                <c:pt idx="74">
                  <c:v>0.12066666666666701</c:v>
                </c:pt>
                <c:pt idx="75">
                  <c:v>0.13066666666666599</c:v>
                </c:pt>
                <c:pt idx="76">
                  <c:v>0.139333333333334</c:v>
                </c:pt>
                <c:pt idx="77">
                  <c:v>0.14799999999999999</c:v>
                </c:pt>
                <c:pt idx="78">
                  <c:v>0.15666666666666601</c:v>
                </c:pt>
                <c:pt idx="79">
                  <c:v>0.192</c:v>
                </c:pt>
                <c:pt idx="80">
                  <c:v>0.22666666666666699</c:v>
                </c:pt>
                <c:pt idx="81">
                  <c:v>0.26133333333333297</c:v>
                </c:pt>
                <c:pt idx="82">
                  <c:v>0.27</c:v>
                </c:pt>
                <c:pt idx="83">
                  <c:v>0.27866666666666701</c:v>
                </c:pt>
                <c:pt idx="84">
                  <c:v>0.28666666666666601</c:v>
                </c:pt>
                <c:pt idx="85">
                  <c:v>0.28999999999999998</c:v>
                </c:pt>
                <c:pt idx="86">
                  <c:v>0.293333333333334</c:v>
                </c:pt>
                <c:pt idx="87">
                  <c:v>0.29666666666666702</c:v>
                </c:pt>
                <c:pt idx="88">
                  <c:v>0.30199999999999999</c:v>
                </c:pt>
                <c:pt idx="89">
                  <c:v>0.30733333333333301</c:v>
                </c:pt>
                <c:pt idx="90">
                  <c:v>0.312</c:v>
                </c:pt>
                <c:pt idx="91">
                  <c:v>0.3</c:v>
                </c:pt>
                <c:pt idx="92">
                  <c:v>0.28866666666666702</c:v>
                </c:pt>
                <c:pt idx="93">
                  <c:v>0.276666666666667</c:v>
                </c:pt>
                <c:pt idx="94">
                  <c:v>0.27866666666666701</c:v>
                </c:pt>
                <c:pt idx="95">
                  <c:v>0.28066666666666601</c:v>
                </c:pt>
                <c:pt idx="96">
                  <c:v>0.28199999999999997</c:v>
                </c:pt>
                <c:pt idx="97">
                  <c:v>0.28666666666666601</c:v>
                </c:pt>
                <c:pt idx="98">
                  <c:v>0.29066666666666702</c:v>
                </c:pt>
                <c:pt idx="99">
                  <c:v>0.29466666666666702</c:v>
                </c:pt>
                <c:pt idx="100">
                  <c:v>0.29199999999999998</c:v>
                </c:pt>
                <c:pt idx="101">
                  <c:v>0.28866666666666702</c:v>
                </c:pt>
                <c:pt idx="102">
                  <c:v>0.28599999999999998</c:v>
                </c:pt>
                <c:pt idx="103">
                  <c:v>0.254</c:v>
                </c:pt>
                <c:pt idx="104">
                  <c:v>0.223333333333333</c:v>
                </c:pt>
                <c:pt idx="105">
                  <c:v>0.19266666666666701</c:v>
                </c:pt>
                <c:pt idx="106">
                  <c:v>0.18133333333333301</c:v>
                </c:pt>
                <c:pt idx="107">
                  <c:v>0.17</c:v>
                </c:pt>
                <c:pt idx="108">
                  <c:v>0.15866666666666601</c:v>
                </c:pt>
                <c:pt idx="109">
                  <c:v>0.158</c:v>
                </c:pt>
                <c:pt idx="110">
                  <c:v>0.158</c:v>
                </c:pt>
                <c:pt idx="111">
                  <c:v>0.15733333333333299</c:v>
                </c:pt>
                <c:pt idx="112">
                  <c:v>0.19666666666666699</c:v>
                </c:pt>
                <c:pt idx="113">
                  <c:v>0.23599999999999999</c:v>
                </c:pt>
                <c:pt idx="114">
                  <c:v>0.274666666666667</c:v>
                </c:pt>
                <c:pt idx="115">
                  <c:v>0.27733333333333299</c:v>
                </c:pt>
                <c:pt idx="116">
                  <c:v>0.28066666666666601</c:v>
                </c:pt>
                <c:pt idx="117">
                  <c:v>0.28333333333333299</c:v>
                </c:pt>
                <c:pt idx="118">
                  <c:v>0.30199999999999999</c:v>
                </c:pt>
                <c:pt idx="119">
                  <c:v>0.32</c:v>
                </c:pt>
                <c:pt idx="120">
                  <c:v>0.33800000000000002</c:v>
                </c:pt>
                <c:pt idx="121">
                  <c:v>0.38466666666666599</c:v>
                </c:pt>
                <c:pt idx="122">
                  <c:v>0.43066666666666598</c:v>
                </c:pt>
                <c:pt idx="123">
                  <c:v>0.47666666666666702</c:v>
                </c:pt>
                <c:pt idx="124">
                  <c:v>0.49466666666666698</c:v>
                </c:pt>
                <c:pt idx="125">
                  <c:v>0.51266666666666605</c:v>
                </c:pt>
                <c:pt idx="126">
                  <c:v>0.53066666666666595</c:v>
                </c:pt>
                <c:pt idx="127">
                  <c:v>0.55933333333333302</c:v>
                </c:pt>
                <c:pt idx="128">
                  <c:v>0.58733333333333304</c:v>
                </c:pt>
                <c:pt idx="129">
                  <c:v>0.61533333333333395</c:v>
                </c:pt>
                <c:pt idx="130">
                  <c:v>0.667333333333334</c:v>
                </c:pt>
                <c:pt idx="131">
                  <c:v>0.71933333333333405</c:v>
                </c:pt>
                <c:pt idx="132">
                  <c:v>0.77066666666666706</c:v>
                </c:pt>
                <c:pt idx="133">
                  <c:v>0.81</c:v>
                </c:pt>
                <c:pt idx="134">
                  <c:v>0.85</c:v>
                </c:pt>
                <c:pt idx="135">
                  <c:v>0.88866666666666705</c:v>
                </c:pt>
                <c:pt idx="136">
                  <c:v>0.87333333333333296</c:v>
                </c:pt>
                <c:pt idx="137">
                  <c:v>0.85866666666666602</c:v>
                </c:pt>
                <c:pt idx="138">
                  <c:v>0.84399999999999997</c:v>
                </c:pt>
                <c:pt idx="139">
                  <c:v>0.84466666666666701</c:v>
                </c:pt>
                <c:pt idx="140">
                  <c:v>0.84599999999999997</c:v>
                </c:pt>
                <c:pt idx="141">
                  <c:v>0.84666666666666701</c:v>
                </c:pt>
                <c:pt idx="142">
                  <c:v>0.80866666666666598</c:v>
                </c:pt>
                <c:pt idx="143">
                  <c:v>0.77133333333333298</c:v>
                </c:pt>
                <c:pt idx="144">
                  <c:v>0.73466666666666602</c:v>
                </c:pt>
                <c:pt idx="145">
                  <c:v>0.65533333333333299</c:v>
                </c:pt>
                <c:pt idx="146">
                  <c:v>0.57799999999999996</c:v>
                </c:pt>
                <c:pt idx="147">
                  <c:v>0.50266666666666704</c:v>
                </c:pt>
                <c:pt idx="148">
                  <c:v>0.47399999999999998</c:v>
                </c:pt>
                <c:pt idx="149">
                  <c:v>0.44533333333333402</c:v>
                </c:pt>
                <c:pt idx="150">
                  <c:v>0.417333333333334</c:v>
                </c:pt>
                <c:pt idx="151">
                  <c:v>0.36799999999999999</c:v>
                </c:pt>
                <c:pt idx="152">
                  <c:v>0.31866666666666699</c:v>
                </c:pt>
                <c:pt idx="153">
                  <c:v>0.270666666666667</c:v>
                </c:pt>
                <c:pt idx="154">
                  <c:v>0.18933333333333399</c:v>
                </c:pt>
                <c:pt idx="155">
                  <c:v>0.109333333333333</c:v>
                </c:pt>
                <c:pt idx="156">
                  <c:v>3.06666666666662E-2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1.8666666666666699E-2</c:v>
                </c:pt>
                <c:pt idx="241">
                  <c:v>2.4666666666667E-2</c:v>
                </c:pt>
                <c:pt idx="242">
                  <c:v>3.1333333333333303E-2</c:v>
                </c:pt>
                <c:pt idx="243">
                  <c:v>3.7333333333333503E-2</c:v>
                </c:pt>
                <c:pt idx="244">
                  <c:v>3.8666666666666599E-2</c:v>
                </c:pt>
                <c:pt idx="245">
                  <c:v>4.0666666666666601E-2</c:v>
                </c:pt>
                <c:pt idx="246">
                  <c:v>4.1999999999999697E-2</c:v>
                </c:pt>
                <c:pt idx="247">
                  <c:v>5.2000000000000102E-2</c:v>
                </c:pt>
                <c:pt idx="248">
                  <c:v>6.2000000000000499E-2</c:v>
                </c:pt>
                <c:pt idx="249">
                  <c:v>7.1999999999999897E-2</c:v>
                </c:pt>
                <c:pt idx="250">
                  <c:v>8.1333333333333299E-2</c:v>
                </c:pt>
                <c:pt idx="251">
                  <c:v>9.0666666666666604E-2</c:v>
                </c:pt>
                <c:pt idx="252">
                  <c:v>9.9333333333332996E-2</c:v>
                </c:pt>
                <c:pt idx="253">
                  <c:v>0.10199999999999999</c:v>
                </c:pt>
                <c:pt idx="254">
                  <c:v>0.104</c:v>
                </c:pt>
                <c:pt idx="255">
                  <c:v>0.10666666666666599</c:v>
                </c:pt>
                <c:pt idx="256">
                  <c:v>0.101333333333333</c:v>
                </c:pt>
                <c:pt idx="257">
                  <c:v>9.6666666666666803E-2</c:v>
                </c:pt>
                <c:pt idx="258">
                  <c:v>9.1333333333333599E-2</c:v>
                </c:pt>
                <c:pt idx="259">
                  <c:v>8.7333333333333499E-2</c:v>
                </c:pt>
                <c:pt idx="260">
                  <c:v>8.2666666666666305E-2</c:v>
                </c:pt>
                <c:pt idx="261">
                  <c:v>7.8666666666667107E-2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'OTM Refi'!$E$1</c:f>
              <c:strCache>
                <c:ptCount val="1"/>
                <c:pt idx="0">
                  <c:v>cltv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Refi'!$E$2:$E$264</c:f>
              <c:numCache>
                <c:formatCode>General</c:formatCode>
                <c:ptCount val="263"/>
                <c:pt idx="0">
                  <c:v>1</c:v>
                </c:pt>
                <c:pt idx="1">
                  <c:v>1</c:v>
                </c:pt>
                <c:pt idx="2">
                  <c:v>0.99934529678935302</c:v>
                </c:pt>
                <c:pt idx="3">
                  <c:v>0.999939151471676</c:v>
                </c:pt>
                <c:pt idx="4">
                  <c:v>0.99991997811540501</c:v>
                </c:pt>
                <c:pt idx="5">
                  <c:v>0.99994899952020799</c:v>
                </c:pt>
                <c:pt idx="6">
                  <c:v>0.99993615235272504</c:v>
                </c:pt>
                <c:pt idx="7">
                  <c:v>0.99990147656335804</c:v>
                </c:pt>
                <c:pt idx="8">
                  <c:v>0.99981207030994101</c:v>
                </c:pt>
                <c:pt idx="9">
                  <c:v>0.99981678234968596</c:v>
                </c:pt>
                <c:pt idx="10">
                  <c:v>0.99989065343970096</c:v>
                </c:pt>
                <c:pt idx="11">
                  <c:v>0.99996064993951195</c:v>
                </c:pt>
                <c:pt idx="12">
                  <c:v>0.99999297761987704</c:v>
                </c:pt>
                <c:pt idx="13">
                  <c:v>0.99999745292070696</c:v>
                </c:pt>
                <c:pt idx="14">
                  <c:v>0.99999963283712201</c:v>
                </c:pt>
                <c:pt idx="15">
                  <c:v>1</c:v>
                </c:pt>
                <c:pt idx="16">
                  <c:v>1</c:v>
                </c:pt>
                <c:pt idx="17">
                  <c:v>0.99999415867715102</c:v>
                </c:pt>
                <c:pt idx="18">
                  <c:v>0.99999963691294502</c:v>
                </c:pt>
                <c:pt idx="19">
                  <c:v>0.99999601360776202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0.99997873394854697</c:v>
                </c:pt>
                <c:pt idx="25">
                  <c:v>0.99989398100206905</c:v>
                </c:pt>
                <c:pt idx="26">
                  <c:v>0.99981366153112705</c:v>
                </c:pt>
                <c:pt idx="27">
                  <c:v>0.999777970835666</c:v>
                </c:pt>
                <c:pt idx="28">
                  <c:v>0.999826712675567</c:v>
                </c:pt>
                <c:pt idx="29">
                  <c:v>0.99988235872737696</c:v>
                </c:pt>
                <c:pt idx="30">
                  <c:v>0.99987308218119697</c:v>
                </c:pt>
                <c:pt idx="31">
                  <c:v>0.99995795917980002</c:v>
                </c:pt>
                <c:pt idx="32">
                  <c:v>0.99992190749294896</c:v>
                </c:pt>
                <c:pt idx="33">
                  <c:v>0.99998552533517704</c:v>
                </c:pt>
                <c:pt idx="34">
                  <c:v>0.99997895404729498</c:v>
                </c:pt>
                <c:pt idx="35">
                  <c:v>0.99997584823105401</c:v>
                </c:pt>
                <c:pt idx="36">
                  <c:v>0.99998490278988805</c:v>
                </c:pt>
                <c:pt idx="37">
                  <c:v>0.99999545134693402</c:v>
                </c:pt>
                <c:pt idx="38">
                  <c:v>0.99999632110477699</c:v>
                </c:pt>
                <c:pt idx="39">
                  <c:v>0.99999856360803197</c:v>
                </c:pt>
                <c:pt idx="40">
                  <c:v>0.99999814296729195</c:v>
                </c:pt>
                <c:pt idx="41">
                  <c:v>0.99999828823803005</c:v>
                </c:pt>
                <c:pt idx="42">
                  <c:v>0.99999800673641204</c:v>
                </c:pt>
                <c:pt idx="43">
                  <c:v>0.99999582510257001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0.999998067465381</c:v>
                </c:pt>
                <c:pt idx="62">
                  <c:v>0.99999771273706195</c:v>
                </c:pt>
                <c:pt idx="63">
                  <c:v>0.99999032422241196</c:v>
                </c:pt>
                <c:pt idx="64">
                  <c:v>0.99999710251438401</c:v>
                </c:pt>
                <c:pt idx="65">
                  <c:v>0.99999733411568303</c:v>
                </c:pt>
                <c:pt idx="66">
                  <c:v>0.99999912751356401</c:v>
                </c:pt>
                <c:pt idx="67">
                  <c:v>0.99999910371223599</c:v>
                </c:pt>
                <c:pt idx="68">
                  <c:v>0.999996738711182</c:v>
                </c:pt>
                <c:pt idx="69">
                  <c:v>0.99999829050346201</c:v>
                </c:pt>
                <c:pt idx="70">
                  <c:v>0.99999946905861103</c:v>
                </c:pt>
                <c:pt idx="71">
                  <c:v>0.99999996318308604</c:v>
                </c:pt>
                <c:pt idx="72">
                  <c:v>0.99999982440834301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0.99529046044893199</c:v>
                </c:pt>
                <c:pt idx="109">
                  <c:v>0.83160000000000001</c:v>
                </c:pt>
                <c:pt idx="110">
                  <c:v>0.94994454516887805</c:v>
                </c:pt>
                <c:pt idx="111">
                  <c:v>0.97233488110069899</c:v>
                </c:pt>
                <c:pt idx="112">
                  <c:v>0.96713824749577104</c:v>
                </c:pt>
                <c:pt idx="113">
                  <c:v>0.97821769120742996</c:v>
                </c:pt>
                <c:pt idx="114">
                  <c:v>0.982197666257002</c:v>
                </c:pt>
                <c:pt idx="115">
                  <c:v>0.98476244551141101</c:v>
                </c:pt>
                <c:pt idx="116">
                  <c:v>0.98504316151063498</c:v>
                </c:pt>
                <c:pt idx="117">
                  <c:v>0.98916183632016397</c:v>
                </c:pt>
                <c:pt idx="118">
                  <c:v>0.99513978456181995</c:v>
                </c:pt>
                <c:pt idx="119">
                  <c:v>0.990710653216891</c:v>
                </c:pt>
                <c:pt idx="120">
                  <c:v>0.98661254126407005</c:v>
                </c:pt>
                <c:pt idx="121">
                  <c:v>0.98632972056853097</c:v>
                </c:pt>
                <c:pt idx="122">
                  <c:v>0.99356066055658399</c:v>
                </c:pt>
                <c:pt idx="123">
                  <c:v>0.99633159242965696</c:v>
                </c:pt>
                <c:pt idx="124">
                  <c:v>0.99712702488735805</c:v>
                </c:pt>
                <c:pt idx="125">
                  <c:v>0.99704329036889905</c:v>
                </c:pt>
                <c:pt idx="126">
                  <c:v>0.99723531151365996</c:v>
                </c:pt>
                <c:pt idx="127">
                  <c:v>0.99695363268594905</c:v>
                </c:pt>
                <c:pt idx="128">
                  <c:v>0.99734642358014702</c:v>
                </c:pt>
                <c:pt idx="129">
                  <c:v>0.99872547457245298</c:v>
                </c:pt>
                <c:pt idx="130">
                  <c:v>0.99530101888025702</c:v>
                </c:pt>
                <c:pt idx="131">
                  <c:v>0.99571990776868002</c:v>
                </c:pt>
                <c:pt idx="132">
                  <c:v>0.99779774421449396</c:v>
                </c:pt>
                <c:pt idx="133">
                  <c:v>0.99858475444675598</c:v>
                </c:pt>
                <c:pt idx="134">
                  <c:v>0.99795252655712596</c:v>
                </c:pt>
                <c:pt idx="135">
                  <c:v>0.99630989678230297</c:v>
                </c:pt>
                <c:pt idx="136">
                  <c:v>0.99493706683286398</c:v>
                </c:pt>
                <c:pt idx="137">
                  <c:v>0.99032497538866204</c:v>
                </c:pt>
                <c:pt idx="138">
                  <c:v>0.98409702811979405</c:v>
                </c:pt>
                <c:pt idx="139">
                  <c:v>0.98440520967350098</c:v>
                </c:pt>
                <c:pt idx="140">
                  <c:v>0.98872800121185</c:v>
                </c:pt>
                <c:pt idx="141">
                  <c:v>0.98788683083133699</c:v>
                </c:pt>
                <c:pt idx="142">
                  <c:v>0.98955382381166901</c:v>
                </c:pt>
                <c:pt idx="143">
                  <c:v>0.99066024063908098</c:v>
                </c:pt>
                <c:pt idx="144">
                  <c:v>0.99079744697725802</c:v>
                </c:pt>
                <c:pt idx="145">
                  <c:v>0.98880614402746903</c:v>
                </c:pt>
                <c:pt idx="146">
                  <c:v>0.98709965540184497</c:v>
                </c:pt>
                <c:pt idx="147">
                  <c:v>0.99360981019637595</c:v>
                </c:pt>
                <c:pt idx="148">
                  <c:v>0.99410534350945801</c:v>
                </c:pt>
                <c:pt idx="149">
                  <c:v>0.99386913107710495</c:v>
                </c:pt>
                <c:pt idx="150">
                  <c:v>0.99478315156703401</c:v>
                </c:pt>
                <c:pt idx="151">
                  <c:v>0.99589233184282</c:v>
                </c:pt>
                <c:pt idx="152">
                  <c:v>0.99471839330318601</c:v>
                </c:pt>
                <c:pt idx="153">
                  <c:v>0.99472460250442896</c:v>
                </c:pt>
                <c:pt idx="154">
                  <c:v>0.99594005416784004</c:v>
                </c:pt>
                <c:pt idx="155">
                  <c:v>0.99588198275109496</c:v>
                </c:pt>
                <c:pt idx="156">
                  <c:v>0.99531605147592805</c:v>
                </c:pt>
                <c:pt idx="157">
                  <c:v>0.983763167740627</c:v>
                </c:pt>
                <c:pt idx="158">
                  <c:v>0.97511432117775099</c:v>
                </c:pt>
                <c:pt idx="159">
                  <c:v>0.97992472115878004</c:v>
                </c:pt>
                <c:pt idx="160">
                  <c:v>0.98446367789268696</c:v>
                </c:pt>
                <c:pt idx="161">
                  <c:v>0.98073446413314302</c:v>
                </c:pt>
                <c:pt idx="162">
                  <c:v>0.98299520380066996</c:v>
                </c:pt>
                <c:pt idx="163">
                  <c:v>0.98511953212721404</c:v>
                </c:pt>
                <c:pt idx="164">
                  <c:v>0.99096965309164897</c:v>
                </c:pt>
                <c:pt idx="165">
                  <c:v>0.980433148887211</c:v>
                </c:pt>
                <c:pt idx="166">
                  <c:v>0.973133754894834</c:v>
                </c:pt>
                <c:pt idx="167">
                  <c:v>0.97199700119829002</c:v>
                </c:pt>
                <c:pt idx="168">
                  <c:v>0.95277805424776096</c:v>
                </c:pt>
                <c:pt idx="169">
                  <c:v>0.89919728291571499</c:v>
                </c:pt>
                <c:pt idx="170">
                  <c:v>0.87159868451425604</c:v>
                </c:pt>
                <c:pt idx="171">
                  <c:v>0.84574947773027898</c:v>
                </c:pt>
                <c:pt idx="172">
                  <c:v>0.89363949724157898</c:v>
                </c:pt>
                <c:pt idx="173">
                  <c:v>0.84186444391224902</c:v>
                </c:pt>
                <c:pt idx="174">
                  <c:v>0.83428301509911795</c:v>
                </c:pt>
                <c:pt idx="175">
                  <c:v>0.90545992907551798</c:v>
                </c:pt>
                <c:pt idx="176">
                  <c:v>0.96123167855712299</c:v>
                </c:pt>
                <c:pt idx="177">
                  <c:v>0.98875934697262602</c:v>
                </c:pt>
                <c:pt idx="178">
                  <c:v>0.99211956107955801</c:v>
                </c:pt>
                <c:pt idx="179">
                  <c:v>0.99089302172442495</c:v>
                </c:pt>
                <c:pt idx="180">
                  <c:v>0.99296764971374596</c:v>
                </c:pt>
                <c:pt idx="181">
                  <c:v>0.99099620688675205</c:v>
                </c:pt>
                <c:pt idx="182">
                  <c:v>0.98623524377786198</c:v>
                </c:pt>
                <c:pt idx="183">
                  <c:v>0.98382157571726003</c:v>
                </c:pt>
                <c:pt idx="184">
                  <c:v>0.99128665108648395</c:v>
                </c:pt>
                <c:pt idx="185">
                  <c:v>0.98944102807801004</c:v>
                </c:pt>
                <c:pt idx="186">
                  <c:v>0.98402052135718998</c:v>
                </c:pt>
                <c:pt idx="187">
                  <c:v>0.98270711220104401</c:v>
                </c:pt>
                <c:pt idx="188">
                  <c:v>0.980233596730817</c:v>
                </c:pt>
                <c:pt idx="189">
                  <c:v>0.97437397140912596</c:v>
                </c:pt>
                <c:pt idx="190">
                  <c:v>0.97841871639174405</c:v>
                </c:pt>
                <c:pt idx="191">
                  <c:v>0.96861808008647599</c:v>
                </c:pt>
                <c:pt idx="192">
                  <c:v>0.95123123542272103</c:v>
                </c:pt>
                <c:pt idx="193">
                  <c:v>0.74495603627871398</c:v>
                </c:pt>
                <c:pt idx="194">
                  <c:v>0.17430125366015001</c:v>
                </c:pt>
                <c:pt idx="195">
                  <c:v>4.1101594933352699E-2</c:v>
                </c:pt>
                <c:pt idx="196">
                  <c:v>4.3374668860556603E-2</c:v>
                </c:pt>
                <c:pt idx="197">
                  <c:v>2.13127749027845E-2</c:v>
                </c:pt>
                <c:pt idx="198">
                  <c:v>0.12867224662539001</c:v>
                </c:pt>
                <c:pt idx="199">
                  <c:v>0.74297980279290499</c:v>
                </c:pt>
                <c:pt idx="200">
                  <c:v>0.759855255527214</c:v>
                </c:pt>
                <c:pt idx="201">
                  <c:v>0.80387488911210903</c:v>
                </c:pt>
                <c:pt idx="202">
                  <c:v>0.78537685515960798</c:v>
                </c:pt>
                <c:pt idx="203">
                  <c:v>0.79139153614117697</c:v>
                </c:pt>
                <c:pt idx="204">
                  <c:v>0.595874068824084</c:v>
                </c:pt>
                <c:pt idx="205">
                  <c:v>0.48705226571145699</c:v>
                </c:pt>
                <c:pt idx="206">
                  <c:v>0.66930735112128303</c:v>
                </c:pt>
                <c:pt idx="207">
                  <c:v>0.16527475037418701</c:v>
                </c:pt>
                <c:pt idx="208">
                  <c:v>6.0778885248094099E-2</c:v>
                </c:pt>
                <c:pt idx="209">
                  <c:v>8.3618928856142194E-2</c:v>
                </c:pt>
                <c:pt idx="210">
                  <c:v>9.7267712621240093E-2</c:v>
                </c:pt>
                <c:pt idx="211">
                  <c:v>0.107818245046892</c:v>
                </c:pt>
                <c:pt idx="212">
                  <c:v>0.120655323465786</c:v>
                </c:pt>
                <c:pt idx="213">
                  <c:v>4.6916448128138097E-2</c:v>
                </c:pt>
                <c:pt idx="214">
                  <c:v>3.2581160328252402E-2</c:v>
                </c:pt>
                <c:pt idx="215">
                  <c:v>2.2356727281434501E-2</c:v>
                </c:pt>
                <c:pt idx="216">
                  <c:v>5.3885139494083798E-4</c:v>
                </c:pt>
                <c:pt idx="217">
                  <c:v>5.2230933935548196E-4</c:v>
                </c:pt>
                <c:pt idx="218">
                  <c:v>3.5471193860732003E-4</c:v>
                </c:pt>
                <c:pt idx="219">
                  <c:v>4.0112483424190699E-4</c:v>
                </c:pt>
                <c:pt idx="220">
                  <c:v>1.0950554828477201E-3</c:v>
                </c:pt>
                <c:pt idx="221">
                  <c:v>9.2409307950109404E-4</c:v>
                </c:pt>
                <c:pt idx="222">
                  <c:v>7.6431158682242599E-4</c:v>
                </c:pt>
                <c:pt idx="223">
                  <c:v>6.7855154378187402E-4</c:v>
                </c:pt>
                <c:pt idx="224">
                  <c:v>5.4112076329037903E-2</c:v>
                </c:pt>
                <c:pt idx="225">
                  <c:v>9.93566172024231E-2</c:v>
                </c:pt>
                <c:pt idx="226">
                  <c:v>0.108698005096957</c:v>
                </c:pt>
                <c:pt idx="227">
                  <c:v>6.5189589608403806E-2</c:v>
                </c:pt>
                <c:pt idx="228">
                  <c:v>9.67512175259784E-2</c:v>
                </c:pt>
                <c:pt idx="229">
                  <c:v>0.76836740618324095</c:v>
                </c:pt>
                <c:pt idx="230">
                  <c:v>0.82336765956776303</c:v>
                </c:pt>
                <c:pt idx="231">
                  <c:v>0.833267765811192</c:v>
                </c:pt>
                <c:pt idx="232">
                  <c:v>0.83142058752833603</c:v>
                </c:pt>
                <c:pt idx="233">
                  <c:v>0.790055458233897</c:v>
                </c:pt>
                <c:pt idx="234">
                  <c:v>0.79918612379100595</c:v>
                </c:pt>
                <c:pt idx="235">
                  <c:v>0.82908169923702302</c:v>
                </c:pt>
                <c:pt idx="236">
                  <c:v>0.83050075591805905</c:v>
                </c:pt>
                <c:pt idx="237">
                  <c:v>0.81871000276352301</c:v>
                </c:pt>
                <c:pt idx="238">
                  <c:v>0.82718426141045398</c:v>
                </c:pt>
                <c:pt idx="239">
                  <c:v>0.838945224930848</c:v>
                </c:pt>
                <c:pt idx="240">
                  <c:v>0.820739594371242</c:v>
                </c:pt>
                <c:pt idx="241">
                  <c:v>0.82473832199854602</c:v>
                </c:pt>
                <c:pt idx="242">
                  <c:v>0.82634781149587999</c:v>
                </c:pt>
                <c:pt idx="243">
                  <c:v>0.83121100386087299</c:v>
                </c:pt>
                <c:pt idx="244">
                  <c:v>0.83251935712688896</c:v>
                </c:pt>
                <c:pt idx="245">
                  <c:v>0.80557662608982905</c:v>
                </c:pt>
                <c:pt idx="246">
                  <c:v>0.77248455818038797</c:v>
                </c:pt>
                <c:pt idx="247">
                  <c:v>0.40390088353474402</c:v>
                </c:pt>
                <c:pt idx="248">
                  <c:v>0.109432440817899</c:v>
                </c:pt>
                <c:pt idx="249">
                  <c:v>0.12097887792350701</c:v>
                </c:pt>
                <c:pt idx="250">
                  <c:v>0.15876061910603501</c:v>
                </c:pt>
                <c:pt idx="251">
                  <c:v>0.112641885225647</c:v>
                </c:pt>
                <c:pt idx="252">
                  <c:v>0.33485654398175602</c:v>
                </c:pt>
                <c:pt idx="253">
                  <c:v>0.82094493796676205</c:v>
                </c:pt>
                <c:pt idx="254">
                  <c:v>0.84935606775297001</c:v>
                </c:pt>
                <c:pt idx="255">
                  <c:v>0.68733195172621897</c:v>
                </c:pt>
                <c:pt idx="256">
                  <c:v>0.61940836730347604</c:v>
                </c:pt>
                <c:pt idx="257">
                  <c:v>0.227675918278061</c:v>
                </c:pt>
                <c:pt idx="258">
                  <c:v>0.78275513244032802</c:v>
                </c:pt>
                <c:pt idx="259">
                  <c:v>0.79804657890014497</c:v>
                </c:pt>
                <c:pt idx="260">
                  <c:v>0.55218019075135105</c:v>
                </c:pt>
                <c:pt idx="261">
                  <c:v>0.148543303026406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08256"/>
        <c:axId val="148562304"/>
      </c:lineChart>
      <c:dateAx>
        <c:axId val="148208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48562304"/>
        <c:crosses val="autoZero"/>
        <c:auto val="1"/>
        <c:lblOffset val="100"/>
        <c:baseTimeUnit val="months"/>
      </c:dateAx>
      <c:valAx>
        <c:axId val="148562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208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'Mtg Rate'!$B$1</c:f>
              <c:strCache>
                <c:ptCount val="1"/>
                <c:pt idx="0">
                  <c:v>rate</c:v>
                </c:pt>
              </c:strCache>
            </c:strRef>
          </c:tx>
          <c:marker>
            <c:symbol val="none"/>
          </c:marker>
          <c:cat>
            <c:numRef>
              <c:f>'Mtg Rate'!$A$2:$A$501</c:f>
              <c:numCache>
                <c:formatCode>m/d/yyyy</c:formatCode>
                <c:ptCount val="500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  <c:pt idx="207">
                  <c:v>42461</c:v>
                </c:pt>
              </c:numCache>
            </c:numRef>
          </c:cat>
          <c:val>
            <c:numRef>
              <c:f>'Mtg Rate'!$B$2:$B$501</c:f>
              <c:numCache>
                <c:formatCode>0.00</c:formatCode>
                <c:ptCount val="500"/>
                <c:pt idx="0">
                  <c:v>6.7662499999999897</c:v>
                </c:pt>
                <c:pt idx="1">
                  <c:v>6.8075000000000001</c:v>
                </c:pt>
                <c:pt idx="2">
                  <c:v>7.0149999999999997</c:v>
                </c:pt>
                <c:pt idx="3">
                  <c:v>6.9109999999999996</c:v>
                </c:pt>
                <c:pt idx="4">
                  <c:v>7.1449999999999996</c:v>
                </c:pt>
                <c:pt idx="5">
                  <c:v>7.55</c:v>
                </c:pt>
                <c:pt idx="6">
                  <c:v>7.6319999999999997</c:v>
                </c:pt>
                <c:pt idx="7">
                  <c:v>7.9424999999999999</c:v>
                </c:pt>
                <c:pt idx="8">
                  <c:v>7.8162500000000001</c:v>
                </c:pt>
                <c:pt idx="9">
                  <c:v>7.8520000000000003</c:v>
                </c:pt>
                <c:pt idx="10">
                  <c:v>7.7374999999999998</c:v>
                </c:pt>
                <c:pt idx="11">
                  <c:v>7.9119999999999999</c:v>
                </c:pt>
                <c:pt idx="12">
                  <c:v>8.2099999999999902</c:v>
                </c:pt>
                <c:pt idx="13">
                  <c:v>8.3187499999999996</c:v>
                </c:pt>
                <c:pt idx="14">
                  <c:v>8.2349999999999994</c:v>
                </c:pt>
                <c:pt idx="15">
                  <c:v>8.1462499999999896</c:v>
                </c:pt>
                <c:pt idx="16">
                  <c:v>8.5149999999999899</c:v>
                </c:pt>
                <c:pt idx="17">
                  <c:v>8.2729999999999997</c:v>
                </c:pt>
                <c:pt idx="18">
                  <c:v>8.1287500000000001</c:v>
                </c:pt>
                <c:pt idx="19">
                  <c:v>8.0212499999999896</c:v>
                </c:pt>
                <c:pt idx="20">
                  <c:v>7.9119999999999999</c:v>
                </c:pt>
                <c:pt idx="21">
                  <c:v>7.7887500000000003</c:v>
                </c:pt>
                <c:pt idx="22">
                  <c:v>7.72</c:v>
                </c:pt>
                <c:pt idx="23">
                  <c:v>7.3719999999999999</c:v>
                </c:pt>
                <c:pt idx="24">
                  <c:v>7.0074999999999896</c:v>
                </c:pt>
                <c:pt idx="25">
                  <c:v>7.0374999999999996</c:v>
                </c:pt>
                <c:pt idx="26">
                  <c:v>6.9320000000000004</c:v>
                </c:pt>
                <c:pt idx="27">
                  <c:v>7.0525000000000002</c:v>
                </c:pt>
                <c:pt idx="28">
                  <c:v>7.1324999999999896</c:v>
                </c:pt>
                <c:pt idx="29">
                  <c:v>7.15</c:v>
                </c:pt>
                <c:pt idx="30">
                  <c:v>7.1024999999999903</c:v>
                </c:pt>
                <c:pt idx="31">
                  <c:v>6.9249999999999998</c:v>
                </c:pt>
                <c:pt idx="32">
                  <c:v>6.7925000000000004</c:v>
                </c:pt>
                <c:pt idx="33">
                  <c:v>6.58</c:v>
                </c:pt>
                <c:pt idx="34">
                  <c:v>6.6079999999999997</c:v>
                </c:pt>
                <c:pt idx="35">
                  <c:v>7.0025000000000004</c:v>
                </c:pt>
                <c:pt idx="36">
                  <c:v>6.9349999999999996</c:v>
                </c:pt>
                <c:pt idx="37">
                  <c:v>6.8174999999999999</c:v>
                </c:pt>
                <c:pt idx="38">
                  <c:v>6.9390000000000001</c:v>
                </c:pt>
                <c:pt idx="39">
                  <c:v>6.9162499999999998</c:v>
                </c:pt>
                <c:pt idx="40">
                  <c:v>6.7359999999999998</c:v>
                </c:pt>
                <c:pt idx="41">
                  <c:v>6.5499999999999901</c:v>
                </c:pt>
                <c:pt idx="42">
                  <c:v>6.3724999999999996</c:v>
                </c:pt>
                <c:pt idx="43">
                  <c:v>6.2</c:v>
                </c:pt>
                <c:pt idx="44">
                  <c:v>5.9987500000000002</c:v>
                </c:pt>
                <c:pt idx="45">
                  <c:v>6</c:v>
                </c:pt>
                <c:pt idx="46">
                  <c:v>5.968</c:v>
                </c:pt>
                <c:pt idx="47">
                  <c:v>5.9349999999999996</c:v>
                </c:pt>
                <c:pt idx="48">
                  <c:v>5.8109999999999999</c:v>
                </c:pt>
                <c:pt idx="49">
                  <c:v>5.7487500000000002</c:v>
                </c:pt>
                <c:pt idx="50">
                  <c:v>5.6449999999999996</c:v>
                </c:pt>
                <c:pt idx="51">
                  <c:v>5.7125000000000004</c:v>
                </c:pt>
                <c:pt idx="52">
                  <c:v>5.3940000000000001</c:v>
                </c:pt>
                <c:pt idx="53">
                  <c:v>5.1174999999999997</c:v>
                </c:pt>
                <c:pt idx="54">
                  <c:v>5.5075000000000003</c:v>
                </c:pt>
                <c:pt idx="55">
                  <c:v>6.1840000000000002</c:v>
                </c:pt>
                <c:pt idx="56">
                  <c:v>6.0412499999999998</c:v>
                </c:pt>
                <c:pt idx="57">
                  <c:v>5.8520000000000003</c:v>
                </c:pt>
                <c:pt idx="58">
                  <c:v>5.8387500000000001</c:v>
                </c:pt>
                <c:pt idx="59">
                  <c:v>5.7959999999999896</c:v>
                </c:pt>
                <c:pt idx="60">
                  <c:v>5.625</c:v>
                </c:pt>
                <c:pt idx="61">
                  <c:v>5.5475000000000003</c:v>
                </c:pt>
                <c:pt idx="62">
                  <c:v>5.3637499999999996</c:v>
                </c:pt>
                <c:pt idx="63">
                  <c:v>5.7450000000000001</c:v>
                </c:pt>
                <c:pt idx="64">
                  <c:v>6.1887499999999998</c:v>
                </c:pt>
                <c:pt idx="65">
                  <c:v>6.1937499999999996</c:v>
                </c:pt>
                <c:pt idx="66">
                  <c:v>5.9560000000000004</c:v>
                </c:pt>
                <c:pt idx="67">
                  <c:v>5.7862499999999999</c:v>
                </c:pt>
                <c:pt idx="68">
                  <c:v>5.6890000000000001</c:v>
                </c:pt>
                <c:pt idx="69">
                  <c:v>5.6349999999999998</c:v>
                </c:pt>
                <c:pt idx="70">
                  <c:v>5.6362500000000004</c:v>
                </c:pt>
                <c:pt idx="71">
                  <c:v>5.6569999999999903</c:v>
                </c:pt>
                <c:pt idx="72">
                  <c:v>5.6224999999999996</c:v>
                </c:pt>
                <c:pt idx="73">
                  <c:v>5.5587499999999999</c:v>
                </c:pt>
                <c:pt idx="74">
                  <c:v>5.8479999999999999</c:v>
                </c:pt>
                <c:pt idx="75">
                  <c:v>5.7612500000000004</c:v>
                </c:pt>
                <c:pt idx="76">
                  <c:v>5.6199999999999903</c:v>
                </c:pt>
                <c:pt idx="77">
                  <c:v>5.4770000000000003</c:v>
                </c:pt>
                <c:pt idx="78">
                  <c:v>5.5762499999999999</c:v>
                </c:pt>
                <c:pt idx="79">
                  <c:v>5.7012499999999999</c:v>
                </c:pt>
                <c:pt idx="80">
                  <c:v>5.6689999999999996</c:v>
                </c:pt>
                <c:pt idx="81">
                  <c:v>5.94625</c:v>
                </c:pt>
                <c:pt idx="82">
                  <c:v>6.2175000000000002</c:v>
                </c:pt>
                <c:pt idx="83">
                  <c:v>6.1569999999999903</c:v>
                </c:pt>
                <c:pt idx="84">
                  <c:v>6.0262500000000001</c:v>
                </c:pt>
                <c:pt idx="85">
                  <c:v>6.14</c:v>
                </c:pt>
                <c:pt idx="86">
                  <c:v>6.2240000000000002</c:v>
                </c:pt>
                <c:pt idx="87">
                  <c:v>6.4012500000000001</c:v>
                </c:pt>
                <c:pt idx="88">
                  <c:v>6.4725000000000001</c:v>
                </c:pt>
                <c:pt idx="89">
                  <c:v>6.5519999999999996</c:v>
                </c:pt>
                <c:pt idx="90">
                  <c:v>6.6312499999999996</c:v>
                </c:pt>
                <c:pt idx="91">
                  <c:v>6.3639999999999999</c:v>
                </c:pt>
                <c:pt idx="92">
                  <c:v>6.2649999999999997</c:v>
                </c:pt>
                <c:pt idx="93">
                  <c:v>6.2137500000000001</c:v>
                </c:pt>
                <c:pt idx="94">
                  <c:v>6.1099999999999897</c:v>
                </c:pt>
                <c:pt idx="95">
                  <c:v>5.9912499999999902</c:v>
                </c:pt>
                <c:pt idx="96">
                  <c:v>6.0674999999999901</c:v>
                </c:pt>
                <c:pt idx="97">
                  <c:v>6.1349999999999998</c:v>
                </c:pt>
                <c:pt idx="98">
                  <c:v>6.0110000000000001</c:v>
                </c:pt>
                <c:pt idx="99">
                  <c:v>6.0425000000000004</c:v>
                </c:pt>
                <c:pt idx="100">
                  <c:v>6.1219999999999901</c:v>
                </c:pt>
                <c:pt idx="101">
                  <c:v>6.5137499999999999</c:v>
                </c:pt>
                <c:pt idx="102">
                  <c:v>6.5449999999999999</c:v>
                </c:pt>
                <c:pt idx="103">
                  <c:v>6.4219999999999997</c:v>
                </c:pt>
                <c:pt idx="104">
                  <c:v>6.2575000000000003</c:v>
                </c:pt>
                <c:pt idx="105">
                  <c:v>6.2437500000000004</c:v>
                </c:pt>
                <c:pt idx="106">
                  <c:v>6.0679999999999996</c:v>
                </c:pt>
                <c:pt idx="107">
                  <c:v>5.9574999999999996</c:v>
                </c:pt>
                <c:pt idx="108">
                  <c:v>5.6180000000000003</c:v>
                </c:pt>
                <c:pt idx="109">
                  <c:v>5.7862499999999999</c:v>
                </c:pt>
                <c:pt idx="110">
                  <c:v>5.8387500000000001</c:v>
                </c:pt>
                <c:pt idx="111">
                  <c:v>5.7675000000000001</c:v>
                </c:pt>
                <c:pt idx="112">
                  <c:v>5.9109999999999996</c:v>
                </c:pt>
                <c:pt idx="113">
                  <c:v>6.2324999999999999</c:v>
                </c:pt>
                <c:pt idx="114">
                  <c:v>6.3310000000000004</c:v>
                </c:pt>
                <c:pt idx="115">
                  <c:v>6.3962500000000002</c:v>
                </c:pt>
                <c:pt idx="116">
                  <c:v>5.9562499999999998</c:v>
                </c:pt>
                <c:pt idx="117">
                  <c:v>6.1050000000000004</c:v>
                </c:pt>
                <c:pt idx="118">
                  <c:v>6.0124999999999904</c:v>
                </c:pt>
                <c:pt idx="119">
                  <c:v>5.2159999999999904</c:v>
                </c:pt>
                <c:pt idx="120">
                  <c:v>4.9662499999999996</c:v>
                </c:pt>
                <c:pt idx="121">
                  <c:v>5.0612500000000002</c:v>
                </c:pt>
                <c:pt idx="122">
                  <c:v>4.9275000000000002</c:v>
                </c:pt>
                <c:pt idx="123">
                  <c:v>4.7300000000000004</c:v>
                </c:pt>
                <c:pt idx="124">
                  <c:v>4.7762500000000001</c:v>
                </c:pt>
                <c:pt idx="125">
                  <c:v>5.3449999999999998</c:v>
                </c:pt>
                <c:pt idx="126">
                  <c:v>5.1470000000000002</c:v>
                </c:pt>
                <c:pt idx="127">
                  <c:v>5.1112500000000001</c:v>
                </c:pt>
                <c:pt idx="128">
                  <c:v>4.9762500000000003</c:v>
                </c:pt>
                <c:pt idx="129">
                  <c:v>4.8769999999999998</c:v>
                </c:pt>
                <c:pt idx="130">
                  <c:v>4.8</c:v>
                </c:pt>
                <c:pt idx="131">
                  <c:v>4.8550000000000004</c:v>
                </c:pt>
                <c:pt idx="132">
                  <c:v>4.9487500000000004</c:v>
                </c:pt>
                <c:pt idx="133">
                  <c:v>4.9149999999999903</c:v>
                </c:pt>
                <c:pt idx="134">
                  <c:v>4.8862500000000004</c:v>
                </c:pt>
                <c:pt idx="135">
                  <c:v>5.0129999999999999</c:v>
                </c:pt>
                <c:pt idx="136">
                  <c:v>4.8125</c:v>
                </c:pt>
                <c:pt idx="137">
                  <c:v>4.6687499999999904</c:v>
                </c:pt>
                <c:pt idx="138">
                  <c:v>4.4889999999999999</c:v>
                </c:pt>
                <c:pt idx="139">
                  <c:v>4.3525</c:v>
                </c:pt>
                <c:pt idx="140">
                  <c:v>4.2759999999999998</c:v>
                </c:pt>
                <c:pt idx="141">
                  <c:v>4.1749999999999998</c:v>
                </c:pt>
                <c:pt idx="142">
                  <c:v>4.2562499999999996</c:v>
                </c:pt>
                <c:pt idx="143">
                  <c:v>4.649</c:v>
                </c:pt>
                <c:pt idx="144">
                  <c:v>4.6987500000000004</c:v>
                </c:pt>
                <c:pt idx="145">
                  <c:v>4.8775000000000004</c:v>
                </c:pt>
                <c:pt idx="146">
                  <c:v>4.7610000000000001</c:v>
                </c:pt>
                <c:pt idx="147">
                  <c:v>4.75875</c:v>
                </c:pt>
                <c:pt idx="148">
                  <c:v>4.5625</c:v>
                </c:pt>
                <c:pt idx="149">
                  <c:v>4.4349999999999996</c:v>
                </c:pt>
                <c:pt idx="150">
                  <c:v>4.4762499999999896</c:v>
                </c:pt>
                <c:pt idx="151">
                  <c:v>4.2012499999999999</c:v>
                </c:pt>
                <c:pt idx="152">
                  <c:v>4.0309999999999997</c:v>
                </c:pt>
                <c:pt idx="153">
                  <c:v>4.0175000000000001</c:v>
                </c:pt>
                <c:pt idx="154">
                  <c:v>3.9175</c:v>
                </c:pt>
                <c:pt idx="155">
                  <c:v>3.8879999999999999</c:v>
                </c:pt>
                <c:pt idx="156">
                  <c:v>3.8525</c:v>
                </c:pt>
                <c:pt idx="157">
                  <c:v>3.84</c:v>
                </c:pt>
                <c:pt idx="158">
                  <c:v>3.899</c:v>
                </c:pt>
                <c:pt idx="159">
                  <c:v>3.8412500000000001</c:v>
                </c:pt>
                <c:pt idx="160">
                  <c:v>3.738</c:v>
                </c:pt>
                <c:pt idx="161">
                  <c:v>3.6</c:v>
                </c:pt>
                <c:pt idx="162">
                  <c:v>3.4812500000000002</c:v>
                </c:pt>
                <c:pt idx="163">
                  <c:v>3.512</c:v>
                </c:pt>
                <c:pt idx="164">
                  <c:v>3.4037500000000001</c:v>
                </c:pt>
                <c:pt idx="165">
                  <c:v>3.30125</c:v>
                </c:pt>
                <c:pt idx="166">
                  <c:v>3.282</c:v>
                </c:pt>
                <c:pt idx="167">
                  <c:v>3.27</c:v>
                </c:pt>
                <c:pt idx="168">
                  <c:v>3.339</c:v>
                </c:pt>
                <c:pt idx="169">
                  <c:v>3.4824999999999999</c:v>
                </c:pt>
                <c:pt idx="170">
                  <c:v>3.50875</c:v>
                </c:pt>
                <c:pt idx="171">
                  <c:v>3.3887499999999999</c:v>
                </c:pt>
                <c:pt idx="172">
                  <c:v>3.4660000000000002</c:v>
                </c:pt>
                <c:pt idx="173">
                  <c:v>4.0075000000000003</c:v>
                </c:pt>
                <c:pt idx="174">
                  <c:v>4.3075000000000001</c:v>
                </c:pt>
                <c:pt idx="175">
                  <c:v>4.3860000000000001</c:v>
                </c:pt>
                <c:pt idx="176">
                  <c:v>4.4212499999999997</c:v>
                </c:pt>
                <c:pt idx="177">
                  <c:v>4.1219999999999999</c:v>
                </c:pt>
                <c:pt idx="178">
                  <c:v>4.1862499999999896</c:v>
                </c:pt>
                <c:pt idx="179">
                  <c:v>4.37</c:v>
                </c:pt>
                <c:pt idx="180">
                  <c:v>4.3620000000000001</c:v>
                </c:pt>
                <c:pt idx="181">
                  <c:v>4.2275</c:v>
                </c:pt>
                <c:pt idx="182">
                  <c:v>4.2487500000000002</c:v>
                </c:pt>
                <c:pt idx="183">
                  <c:v>4.2562499999999996</c:v>
                </c:pt>
                <c:pt idx="184">
                  <c:v>4.0970000000000004</c:v>
                </c:pt>
                <c:pt idx="185">
                  <c:v>4.05</c:v>
                </c:pt>
                <c:pt idx="186">
                  <c:v>4.03</c:v>
                </c:pt>
                <c:pt idx="187">
                  <c:v>4.0087499999999903</c:v>
                </c:pt>
                <c:pt idx="188">
                  <c:v>4.0374999999999996</c:v>
                </c:pt>
                <c:pt idx="189">
                  <c:v>3.9060000000000001</c:v>
                </c:pt>
                <c:pt idx="190">
                  <c:v>3.8725000000000001</c:v>
                </c:pt>
                <c:pt idx="191">
                  <c:v>3.754</c:v>
                </c:pt>
                <c:pt idx="192">
                  <c:v>3.5762499999999999</c:v>
                </c:pt>
                <c:pt idx="193">
                  <c:v>3.61625</c:v>
                </c:pt>
                <c:pt idx="194">
                  <c:v>3.67</c:v>
                </c:pt>
                <c:pt idx="195">
                  <c:v>3.577</c:v>
                </c:pt>
                <c:pt idx="196">
                  <c:v>3.7462499999999999</c:v>
                </c:pt>
                <c:pt idx="197">
                  <c:v>3.895</c:v>
                </c:pt>
                <c:pt idx="198">
                  <c:v>3.9460000000000002</c:v>
                </c:pt>
                <c:pt idx="199">
                  <c:v>3.8050000000000002</c:v>
                </c:pt>
                <c:pt idx="200">
                  <c:v>3.7962500000000001</c:v>
                </c:pt>
                <c:pt idx="201">
                  <c:v>3.6960000000000002</c:v>
                </c:pt>
                <c:pt idx="202">
                  <c:v>3.8487499999999999</c:v>
                </c:pt>
                <c:pt idx="203">
                  <c:v>3.8639999999999999</c:v>
                </c:pt>
                <c:pt idx="204">
                  <c:v>3.7725</c:v>
                </c:pt>
                <c:pt idx="205">
                  <c:v>3.5474999999999999</c:v>
                </c:pt>
                <c:pt idx="206">
                  <c:v>3.569</c:v>
                </c:pt>
                <c:pt idx="207">
                  <c:v>3.4649999999999999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71584"/>
        <c:axId val="172786048"/>
      </c:lineChart>
      <c:dateAx>
        <c:axId val="172771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2786048"/>
        <c:crosses val="autoZero"/>
        <c:auto val="1"/>
        <c:lblOffset val="100"/>
        <c:baseTimeUnit val="months"/>
      </c:dateAx>
      <c:valAx>
        <c:axId val="172786048"/>
        <c:scaling>
          <c:orientation val="minMax"/>
          <c:min val="3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72771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'Mtg Rate'!$G$1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'Mtg Rate'!$F$57:$F$501</c:f>
              <c:numCache>
                <c:formatCode>m/d/yyyy</c:formatCode>
                <c:ptCount val="445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</c:numCache>
            </c:numRef>
          </c:cat>
          <c:val>
            <c:numRef>
              <c:f>'Mtg Rate'!$G$57:$G$501</c:f>
              <c:numCache>
                <c:formatCode>General</c:formatCode>
                <c:ptCount val="445"/>
                <c:pt idx="0">
                  <c:v>109.78</c:v>
                </c:pt>
                <c:pt idx="1">
                  <c:v>109.86</c:v>
                </c:pt>
                <c:pt idx="2">
                  <c:v>109.94</c:v>
                </c:pt>
                <c:pt idx="3">
                  <c:v>110.13</c:v>
                </c:pt>
                <c:pt idx="4">
                  <c:v>110.31</c:v>
                </c:pt>
                <c:pt idx="5">
                  <c:v>110.49</c:v>
                </c:pt>
                <c:pt idx="6">
                  <c:v>110.5</c:v>
                </c:pt>
                <c:pt idx="7">
                  <c:v>110.52</c:v>
                </c:pt>
                <c:pt idx="8">
                  <c:v>110.53</c:v>
                </c:pt>
                <c:pt idx="9">
                  <c:v>110.43</c:v>
                </c:pt>
                <c:pt idx="10">
                  <c:v>110.34</c:v>
                </c:pt>
                <c:pt idx="11">
                  <c:v>110.24</c:v>
                </c:pt>
                <c:pt idx="12">
                  <c:v>110.4</c:v>
                </c:pt>
                <c:pt idx="13">
                  <c:v>110.55</c:v>
                </c:pt>
                <c:pt idx="14">
                  <c:v>110.7</c:v>
                </c:pt>
                <c:pt idx="15">
                  <c:v>110.97</c:v>
                </c:pt>
                <c:pt idx="16">
                  <c:v>111.23</c:v>
                </c:pt>
                <c:pt idx="17">
                  <c:v>111.5</c:v>
                </c:pt>
                <c:pt idx="18">
                  <c:v>111.65</c:v>
                </c:pt>
                <c:pt idx="19">
                  <c:v>111.81</c:v>
                </c:pt>
                <c:pt idx="20">
                  <c:v>111.96</c:v>
                </c:pt>
                <c:pt idx="21">
                  <c:v>112.09</c:v>
                </c:pt>
                <c:pt idx="22">
                  <c:v>112.22</c:v>
                </c:pt>
                <c:pt idx="23">
                  <c:v>112.35</c:v>
                </c:pt>
                <c:pt idx="24">
                  <c:v>112.88</c:v>
                </c:pt>
                <c:pt idx="25">
                  <c:v>113.4</c:v>
                </c:pt>
                <c:pt idx="26">
                  <c:v>113.92</c:v>
                </c:pt>
                <c:pt idx="27">
                  <c:v>114.05</c:v>
                </c:pt>
                <c:pt idx="28">
                  <c:v>114.18</c:v>
                </c:pt>
                <c:pt idx="29">
                  <c:v>114.3</c:v>
                </c:pt>
                <c:pt idx="30">
                  <c:v>114.35</c:v>
                </c:pt>
                <c:pt idx="31">
                  <c:v>114.4</c:v>
                </c:pt>
                <c:pt idx="32">
                  <c:v>114.45</c:v>
                </c:pt>
                <c:pt idx="33">
                  <c:v>114.53</c:v>
                </c:pt>
                <c:pt idx="34">
                  <c:v>114.61</c:v>
                </c:pt>
                <c:pt idx="35">
                  <c:v>114.68</c:v>
                </c:pt>
                <c:pt idx="36">
                  <c:v>114.5</c:v>
                </c:pt>
                <c:pt idx="37">
                  <c:v>114.33</c:v>
                </c:pt>
                <c:pt idx="38">
                  <c:v>114.15</c:v>
                </c:pt>
                <c:pt idx="39">
                  <c:v>114.18</c:v>
                </c:pt>
                <c:pt idx="40">
                  <c:v>114.21</c:v>
                </c:pt>
                <c:pt idx="41">
                  <c:v>114.23</c:v>
                </c:pt>
                <c:pt idx="42">
                  <c:v>114.3</c:v>
                </c:pt>
                <c:pt idx="43">
                  <c:v>114.36</c:v>
                </c:pt>
                <c:pt idx="44">
                  <c:v>114.42</c:v>
                </c:pt>
                <c:pt idx="45">
                  <c:v>114.38</c:v>
                </c:pt>
                <c:pt idx="46">
                  <c:v>114.33</c:v>
                </c:pt>
                <c:pt idx="47">
                  <c:v>114.29</c:v>
                </c:pt>
                <c:pt idx="48">
                  <c:v>113.81</c:v>
                </c:pt>
                <c:pt idx="49">
                  <c:v>113.35</c:v>
                </c:pt>
                <c:pt idx="50">
                  <c:v>112.89</c:v>
                </c:pt>
                <c:pt idx="51">
                  <c:v>112.72</c:v>
                </c:pt>
                <c:pt idx="52">
                  <c:v>112.55</c:v>
                </c:pt>
                <c:pt idx="53">
                  <c:v>112.38</c:v>
                </c:pt>
                <c:pt idx="54">
                  <c:v>112.37</c:v>
                </c:pt>
                <c:pt idx="55">
                  <c:v>112.37</c:v>
                </c:pt>
                <c:pt idx="56">
                  <c:v>112.36</c:v>
                </c:pt>
                <c:pt idx="57">
                  <c:v>112.95</c:v>
                </c:pt>
                <c:pt idx="58">
                  <c:v>113.54</c:v>
                </c:pt>
                <c:pt idx="59">
                  <c:v>114.12</c:v>
                </c:pt>
                <c:pt idx="60">
                  <c:v>114.16</c:v>
                </c:pt>
                <c:pt idx="61">
                  <c:v>114.21</c:v>
                </c:pt>
                <c:pt idx="62">
                  <c:v>114.25</c:v>
                </c:pt>
                <c:pt idx="63">
                  <c:v>114.53</c:v>
                </c:pt>
                <c:pt idx="64">
                  <c:v>114.8</c:v>
                </c:pt>
                <c:pt idx="65">
                  <c:v>115.07</c:v>
                </c:pt>
                <c:pt idx="66">
                  <c:v>115.77</c:v>
                </c:pt>
                <c:pt idx="67">
                  <c:v>116.46</c:v>
                </c:pt>
                <c:pt idx="68">
                  <c:v>117.15</c:v>
                </c:pt>
                <c:pt idx="69">
                  <c:v>117.42</c:v>
                </c:pt>
                <c:pt idx="70">
                  <c:v>117.69</c:v>
                </c:pt>
                <c:pt idx="71">
                  <c:v>117.96</c:v>
                </c:pt>
                <c:pt idx="72">
                  <c:v>118.39</c:v>
                </c:pt>
                <c:pt idx="73">
                  <c:v>118.81</c:v>
                </c:pt>
                <c:pt idx="74">
                  <c:v>119.23</c:v>
                </c:pt>
                <c:pt idx="75">
                  <c:v>120.01</c:v>
                </c:pt>
                <c:pt idx="76">
                  <c:v>120.79</c:v>
                </c:pt>
                <c:pt idx="77">
                  <c:v>121.56</c:v>
                </c:pt>
                <c:pt idx="78">
                  <c:v>122.15</c:v>
                </c:pt>
                <c:pt idx="79">
                  <c:v>122.75</c:v>
                </c:pt>
                <c:pt idx="80">
                  <c:v>123.33</c:v>
                </c:pt>
                <c:pt idx="81">
                  <c:v>123.1</c:v>
                </c:pt>
                <c:pt idx="82">
                  <c:v>122.88</c:v>
                </c:pt>
                <c:pt idx="83">
                  <c:v>122.66</c:v>
                </c:pt>
                <c:pt idx="84">
                  <c:v>122.67</c:v>
                </c:pt>
                <c:pt idx="85">
                  <c:v>122.69</c:v>
                </c:pt>
                <c:pt idx="86">
                  <c:v>122.7</c:v>
                </c:pt>
                <c:pt idx="87">
                  <c:v>122.13</c:v>
                </c:pt>
                <c:pt idx="88">
                  <c:v>121.57</c:v>
                </c:pt>
                <c:pt idx="89">
                  <c:v>121.02</c:v>
                </c:pt>
                <c:pt idx="90">
                  <c:v>119.83</c:v>
                </c:pt>
                <c:pt idx="91">
                  <c:v>118.67</c:v>
                </c:pt>
                <c:pt idx="92">
                  <c:v>117.54</c:v>
                </c:pt>
                <c:pt idx="93">
                  <c:v>117.11</c:v>
                </c:pt>
                <c:pt idx="94">
                  <c:v>116.68</c:v>
                </c:pt>
                <c:pt idx="95">
                  <c:v>116.26</c:v>
                </c:pt>
                <c:pt idx="96">
                  <c:v>115.52</c:v>
                </c:pt>
                <c:pt idx="97">
                  <c:v>114.78</c:v>
                </c:pt>
                <c:pt idx="98">
                  <c:v>114.06</c:v>
                </c:pt>
                <c:pt idx="99">
                  <c:v>112.84</c:v>
                </c:pt>
                <c:pt idx="100">
                  <c:v>111.64</c:v>
                </c:pt>
                <c:pt idx="101">
                  <c:v>110.46</c:v>
                </c:pt>
                <c:pt idx="102">
                  <c:v>108.96</c:v>
                </c:pt>
                <c:pt idx="103">
                  <c:v>107.49</c:v>
                </c:pt>
                <c:pt idx="104">
                  <c:v>106.05</c:v>
                </c:pt>
                <c:pt idx="105">
                  <c:v>105.16</c:v>
                </c:pt>
                <c:pt idx="106">
                  <c:v>104.28</c:v>
                </c:pt>
                <c:pt idx="107">
                  <c:v>103.41</c:v>
                </c:pt>
                <c:pt idx="108">
                  <c:v>102.62</c:v>
                </c:pt>
                <c:pt idx="109">
                  <c:v>101.84</c:v>
                </c:pt>
                <c:pt idx="110">
                  <c:v>101.07</c:v>
                </c:pt>
                <c:pt idx="111">
                  <c:v>99.89</c:v>
                </c:pt>
                <c:pt idx="112">
                  <c:v>98.73</c:v>
                </c:pt>
                <c:pt idx="113">
                  <c:v>97.57</c:v>
                </c:pt>
                <c:pt idx="114">
                  <c:v>96.28</c:v>
                </c:pt>
                <c:pt idx="115">
                  <c:v>95.01</c:v>
                </c:pt>
                <c:pt idx="116">
                  <c:v>93.74</c:v>
                </c:pt>
                <c:pt idx="117">
                  <c:v>93.15</c:v>
                </c:pt>
                <c:pt idx="118">
                  <c:v>92.55</c:v>
                </c:pt>
                <c:pt idx="119">
                  <c:v>91.97</c:v>
                </c:pt>
                <c:pt idx="120">
                  <c:v>92.08</c:v>
                </c:pt>
                <c:pt idx="121">
                  <c:v>92.19</c:v>
                </c:pt>
                <c:pt idx="122">
                  <c:v>92.31</c:v>
                </c:pt>
                <c:pt idx="123">
                  <c:v>91.51</c:v>
                </c:pt>
                <c:pt idx="124">
                  <c:v>90.71</c:v>
                </c:pt>
                <c:pt idx="125">
                  <c:v>89.92</c:v>
                </c:pt>
                <c:pt idx="126">
                  <c:v>89.45</c:v>
                </c:pt>
                <c:pt idx="127">
                  <c:v>88.99</c:v>
                </c:pt>
                <c:pt idx="128">
                  <c:v>88.52</c:v>
                </c:pt>
                <c:pt idx="129">
                  <c:v>88.39</c:v>
                </c:pt>
                <c:pt idx="130">
                  <c:v>88.26</c:v>
                </c:pt>
                <c:pt idx="131">
                  <c:v>88.13</c:v>
                </c:pt>
                <c:pt idx="132">
                  <c:v>87.98</c:v>
                </c:pt>
                <c:pt idx="133">
                  <c:v>87.84</c:v>
                </c:pt>
                <c:pt idx="134">
                  <c:v>87.69</c:v>
                </c:pt>
                <c:pt idx="135">
                  <c:v>88.16</c:v>
                </c:pt>
                <c:pt idx="136">
                  <c:v>88.63</c:v>
                </c:pt>
                <c:pt idx="137">
                  <c:v>89.12</c:v>
                </c:pt>
                <c:pt idx="138">
                  <c:v>90.35</c:v>
                </c:pt>
                <c:pt idx="139">
                  <c:v>91.6</c:v>
                </c:pt>
                <c:pt idx="140">
                  <c:v>92.88</c:v>
                </c:pt>
                <c:pt idx="141">
                  <c:v>92.93</c:v>
                </c:pt>
                <c:pt idx="142">
                  <c:v>92.99</c:v>
                </c:pt>
                <c:pt idx="143">
                  <c:v>93.04</c:v>
                </c:pt>
                <c:pt idx="144">
                  <c:v>91.96</c:v>
                </c:pt>
                <c:pt idx="145">
                  <c:v>90.88</c:v>
                </c:pt>
                <c:pt idx="146">
                  <c:v>89.81</c:v>
                </c:pt>
                <c:pt idx="147">
                  <c:v>90.1</c:v>
                </c:pt>
                <c:pt idx="148">
                  <c:v>90.4</c:v>
                </c:pt>
                <c:pt idx="149">
                  <c:v>90.7</c:v>
                </c:pt>
                <c:pt idx="150">
                  <c:v>91.74</c:v>
                </c:pt>
                <c:pt idx="151">
                  <c:v>92.81</c:v>
                </c:pt>
                <c:pt idx="152">
                  <c:v>93.89</c:v>
                </c:pt>
                <c:pt idx="153">
                  <c:v>94.26</c:v>
                </c:pt>
                <c:pt idx="154">
                  <c:v>94.63</c:v>
                </c:pt>
                <c:pt idx="155">
                  <c:v>95.01</c:v>
                </c:pt>
                <c:pt idx="156">
                  <c:v>95.06</c:v>
                </c:pt>
                <c:pt idx="157">
                  <c:v>95.12</c:v>
                </c:pt>
                <c:pt idx="158">
                  <c:v>95.17</c:v>
                </c:pt>
                <c:pt idx="159">
                  <c:v>95.34</c:v>
                </c:pt>
                <c:pt idx="160">
                  <c:v>95.5</c:v>
                </c:pt>
                <c:pt idx="161">
                  <c:v>95.67</c:v>
                </c:pt>
                <c:pt idx="162">
                  <c:v>95.77</c:v>
                </c:pt>
                <c:pt idx="163">
                  <c:v>95.88</c:v>
                </c:pt>
                <c:pt idx="164">
                  <c:v>95.98</c:v>
                </c:pt>
                <c:pt idx="165">
                  <c:v>96.47</c:v>
                </c:pt>
                <c:pt idx="166">
                  <c:v>96.97</c:v>
                </c:pt>
                <c:pt idx="167">
                  <c:v>97.47</c:v>
                </c:pt>
                <c:pt idx="168">
                  <c:v>98.55</c:v>
                </c:pt>
                <c:pt idx="169">
                  <c:v>99.64</c:v>
                </c:pt>
                <c:pt idx="170">
                  <c:v>100.76</c:v>
                </c:pt>
                <c:pt idx="171">
                  <c:v>101.88</c:v>
                </c:pt>
                <c:pt idx="172">
                  <c:v>103</c:v>
                </c:pt>
                <c:pt idx="173">
                  <c:v>104.14</c:v>
                </c:pt>
                <c:pt idx="174">
                  <c:v>104.44</c:v>
                </c:pt>
                <c:pt idx="175">
                  <c:v>104.74</c:v>
                </c:pt>
                <c:pt idx="176">
                  <c:v>105.03</c:v>
                </c:pt>
                <c:pt idx="177">
                  <c:v>105.2</c:v>
                </c:pt>
                <c:pt idx="178">
                  <c:v>105.38</c:v>
                </c:pt>
                <c:pt idx="179">
                  <c:v>105.55</c:v>
                </c:pt>
                <c:pt idx="180">
                  <c:v>106.24</c:v>
                </c:pt>
                <c:pt idx="181">
                  <c:v>106.93</c:v>
                </c:pt>
                <c:pt idx="182">
                  <c:v>107.63</c:v>
                </c:pt>
                <c:pt idx="183">
                  <c:v>108.51</c:v>
                </c:pt>
                <c:pt idx="184">
                  <c:v>109.39</c:v>
                </c:pt>
                <c:pt idx="185">
                  <c:v>110.28</c:v>
                </c:pt>
                <c:pt idx="186">
                  <c:v>110.37</c:v>
                </c:pt>
                <c:pt idx="187">
                  <c:v>110.47</c:v>
                </c:pt>
                <c:pt idx="188">
                  <c:v>110.56</c:v>
                </c:pt>
                <c:pt idx="189">
                  <c:v>110.58</c:v>
                </c:pt>
                <c:pt idx="190">
                  <c:v>110.61</c:v>
                </c:pt>
                <c:pt idx="191">
                  <c:v>110.63</c:v>
                </c:pt>
                <c:pt idx="192">
                  <c:v>110.78</c:v>
                </c:pt>
                <c:pt idx="193">
                  <c:v>110.93</c:v>
                </c:pt>
                <c:pt idx="194">
                  <c:v>111.08</c:v>
                </c:pt>
                <c:pt idx="195">
                  <c:v>111.22</c:v>
                </c:pt>
                <c:pt idx="196">
                  <c:v>111.36</c:v>
                </c:pt>
                <c:pt idx="197">
                  <c:v>111.49</c:v>
                </c:pt>
                <c:pt idx="198">
                  <c:v>111.53</c:v>
                </c:pt>
                <c:pt idx="199">
                  <c:v>111.56</c:v>
                </c:pt>
                <c:pt idx="200">
                  <c:v>111.6</c:v>
                </c:pt>
                <c:pt idx="201">
                  <c:v>111.52</c:v>
                </c:pt>
                <c:pt idx="202">
                  <c:v>111.45</c:v>
                </c:pt>
                <c:pt idx="203">
                  <c:v>111.37</c:v>
                </c:pt>
                <c:pt idx="204">
                  <c:v>111.31</c:v>
                </c:pt>
                <c:pt idx="205">
                  <c:v>111.24</c:v>
                </c:pt>
                <c:pt idx="206">
                  <c:v>111.18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194624"/>
        <c:axId val="191196160"/>
      </c:lineChart>
      <c:lineChart>
        <c:grouping val="standard"/>
        <c:varyColors val="0"/>
        <c:ser>
          <c:idx val="1"/>
          <c:order val="1"/>
          <c:tx>
            <c:strRef>
              <c:f>'Mtg Rate'!$H$1</c:f>
              <c:strCache>
                <c:ptCount val="1"/>
                <c:pt idx="0">
                  <c:v>Multiplier</c:v>
                </c:pt>
              </c:strCache>
            </c:strRef>
          </c:tx>
          <c:marker>
            <c:symbol val="none"/>
          </c:marker>
          <c:cat>
            <c:numRef>
              <c:f>'Mtg Rate'!$F$57:$F$501</c:f>
              <c:numCache>
                <c:formatCode>m/d/yyyy</c:formatCode>
                <c:ptCount val="445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</c:numCache>
            </c:numRef>
          </c:cat>
          <c:val>
            <c:numRef>
              <c:f>'Mtg Rate'!$H$57:$H$501</c:f>
              <c:numCache>
                <c:formatCode>0.00</c:formatCode>
                <c:ptCount val="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8.6666666666663627E-3</c:v>
                </c:pt>
                <c:pt idx="4">
                  <c:v>2.0666666666666819E-2</c:v>
                </c:pt>
                <c:pt idx="5">
                  <c:v>3.2666666666666323E-2</c:v>
                </c:pt>
                <c:pt idx="6">
                  <c:v>3.3333333333333333E-2</c:v>
                </c:pt>
                <c:pt idx="7">
                  <c:v>3.4666666666666401E-2</c:v>
                </c:pt>
                <c:pt idx="8">
                  <c:v>3.5333333333333411E-2</c:v>
                </c:pt>
                <c:pt idx="9">
                  <c:v>2.8666666666667121E-2</c:v>
                </c:pt>
                <c:pt idx="10">
                  <c:v>2.2666666666666894E-2</c:v>
                </c:pt>
                <c:pt idx="11">
                  <c:v>1.599999999999966E-2</c:v>
                </c:pt>
                <c:pt idx="12">
                  <c:v>2.6666666666667047E-2</c:v>
                </c:pt>
                <c:pt idx="13">
                  <c:v>3.666666666666648E-2</c:v>
                </c:pt>
                <c:pt idx="14">
                  <c:v>4.6666666666666856E-2</c:v>
                </c:pt>
                <c:pt idx="15">
                  <c:v>6.4666666666666595E-2</c:v>
                </c:pt>
                <c:pt idx="16">
                  <c:v>8.2000000000000267E-2</c:v>
                </c:pt>
                <c:pt idx="17">
                  <c:v>0.1</c:v>
                </c:pt>
                <c:pt idx="18">
                  <c:v>0.11000000000000038</c:v>
                </c:pt>
                <c:pt idx="19">
                  <c:v>0.12066666666666682</c:v>
                </c:pt>
                <c:pt idx="20">
                  <c:v>0.13066666666666624</c:v>
                </c:pt>
                <c:pt idx="21">
                  <c:v>0.13933333333333356</c:v>
                </c:pt>
                <c:pt idx="22">
                  <c:v>0.14799999999999994</c:v>
                </c:pt>
                <c:pt idx="23">
                  <c:v>0.15666666666666629</c:v>
                </c:pt>
                <c:pt idx="24">
                  <c:v>0.1919999999999997</c:v>
                </c:pt>
                <c:pt idx="25">
                  <c:v>0.22666666666666704</c:v>
                </c:pt>
                <c:pt idx="26">
                  <c:v>0.26133333333333347</c:v>
                </c:pt>
                <c:pt idx="27">
                  <c:v>0.2699999999999998</c:v>
                </c:pt>
                <c:pt idx="28">
                  <c:v>0.27866666666666712</c:v>
                </c:pt>
                <c:pt idx="29">
                  <c:v>0.28666666666666646</c:v>
                </c:pt>
                <c:pt idx="30">
                  <c:v>0.28999999999999965</c:v>
                </c:pt>
                <c:pt idx="31">
                  <c:v>0.29333333333333372</c:v>
                </c:pt>
                <c:pt idx="32">
                  <c:v>0.29666666666666686</c:v>
                </c:pt>
                <c:pt idx="33">
                  <c:v>0.3020000000000001</c:v>
                </c:pt>
                <c:pt idx="34">
                  <c:v>0.30733333333333329</c:v>
                </c:pt>
                <c:pt idx="35">
                  <c:v>0.31200000000000044</c:v>
                </c:pt>
                <c:pt idx="36">
                  <c:v>0.3</c:v>
                </c:pt>
                <c:pt idx="37">
                  <c:v>0.28866666666666657</c:v>
                </c:pt>
                <c:pt idx="38">
                  <c:v>0.27666666666666706</c:v>
                </c:pt>
                <c:pt idx="39">
                  <c:v>0.27866666666666712</c:v>
                </c:pt>
                <c:pt idx="40">
                  <c:v>0.28066666666666623</c:v>
                </c:pt>
                <c:pt idx="41">
                  <c:v>0.28200000000000025</c:v>
                </c:pt>
                <c:pt idx="42">
                  <c:v>0.28666666666666646</c:v>
                </c:pt>
                <c:pt idx="43">
                  <c:v>0.29066666666666663</c:v>
                </c:pt>
                <c:pt idx="44">
                  <c:v>0.2946666666666668</c:v>
                </c:pt>
                <c:pt idx="45">
                  <c:v>0.2919999999999997</c:v>
                </c:pt>
                <c:pt idx="46">
                  <c:v>0.28866666666666657</c:v>
                </c:pt>
                <c:pt idx="47">
                  <c:v>0.28600000000000042</c:v>
                </c:pt>
                <c:pt idx="48">
                  <c:v>0.25400000000000017</c:v>
                </c:pt>
                <c:pt idx="49">
                  <c:v>0.22333333333333297</c:v>
                </c:pt>
                <c:pt idx="50">
                  <c:v>0.19266666666666671</c:v>
                </c:pt>
                <c:pt idx="51">
                  <c:v>0.18133333333333326</c:v>
                </c:pt>
                <c:pt idx="52">
                  <c:v>0.16999999999999982</c:v>
                </c:pt>
                <c:pt idx="53">
                  <c:v>0.15866666666666637</c:v>
                </c:pt>
                <c:pt idx="54">
                  <c:v>0.15800000000000031</c:v>
                </c:pt>
                <c:pt idx="55">
                  <c:v>0.15800000000000031</c:v>
                </c:pt>
                <c:pt idx="56">
                  <c:v>0.1573333333333333</c:v>
                </c:pt>
                <c:pt idx="57">
                  <c:v>0.19666666666666685</c:v>
                </c:pt>
                <c:pt idx="58">
                  <c:v>0.2360000000000004</c:v>
                </c:pt>
                <c:pt idx="59">
                  <c:v>0.27466666666666695</c:v>
                </c:pt>
                <c:pt idx="60">
                  <c:v>0.2773333333333331</c:v>
                </c:pt>
                <c:pt idx="61">
                  <c:v>0.28066666666666623</c:v>
                </c:pt>
                <c:pt idx="62">
                  <c:v>0.28333333333333333</c:v>
                </c:pt>
                <c:pt idx="63">
                  <c:v>0.3020000000000001</c:v>
                </c:pt>
                <c:pt idx="64">
                  <c:v>0.31999999999999978</c:v>
                </c:pt>
                <c:pt idx="65">
                  <c:v>0.33799999999999952</c:v>
                </c:pt>
                <c:pt idx="66">
                  <c:v>0.38466666666666638</c:v>
                </c:pt>
                <c:pt idx="67">
                  <c:v>0.43066666666666625</c:v>
                </c:pt>
                <c:pt idx="68">
                  <c:v>0.47666666666666707</c:v>
                </c:pt>
                <c:pt idx="69">
                  <c:v>0.49466666666666675</c:v>
                </c:pt>
                <c:pt idx="70">
                  <c:v>0.51266666666666649</c:v>
                </c:pt>
                <c:pt idx="71">
                  <c:v>0.53066666666666629</c:v>
                </c:pt>
                <c:pt idx="72">
                  <c:v>0.55933333333333335</c:v>
                </c:pt>
                <c:pt idx="73">
                  <c:v>0.58733333333333348</c:v>
                </c:pt>
                <c:pt idx="74">
                  <c:v>0.61533333333333362</c:v>
                </c:pt>
                <c:pt idx="75">
                  <c:v>0.66733333333333367</c:v>
                </c:pt>
                <c:pt idx="76">
                  <c:v>0.71933333333333371</c:v>
                </c:pt>
                <c:pt idx="77">
                  <c:v>0.77066666666666683</c:v>
                </c:pt>
                <c:pt idx="78">
                  <c:v>0.81000000000000039</c:v>
                </c:pt>
                <c:pt idx="79">
                  <c:v>0.85</c:v>
                </c:pt>
                <c:pt idx="80">
                  <c:v>0.8886666666666666</c:v>
                </c:pt>
                <c:pt idx="81">
                  <c:v>0.87333333333333296</c:v>
                </c:pt>
                <c:pt idx="82">
                  <c:v>0.85866666666666636</c:v>
                </c:pt>
                <c:pt idx="83">
                  <c:v>0.84399999999999975</c:v>
                </c:pt>
                <c:pt idx="84">
                  <c:v>0.84466666666666679</c:v>
                </c:pt>
                <c:pt idx="85">
                  <c:v>0.84599999999999986</c:v>
                </c:pt>
                <c:pt idx="86">
                  <c:v>0.8466666666666669</c:v>
                </c:pt>
                <c:pt idx="87">
                  <c:v>0.80866666666666631</c:v>
                </c:pt>
                <c:pt idx="88">
                  <c:v>0.77133333333333287</c:v>
                </c:pt>
                <c:pt idx="89">
                  <c:v>0.73466666666666636</c:v>
                </c:pt>
                <c:pt idx="90">
                  <c:v>0.65533333333333321</c:v>
                </c:pt>
                <c:pt idx="91">
                  <c:v>0.57800000000000007</c:v>
                </c:pt>
                <c:pt idx="92">
                  <c:v>0.50266666666666704</c:v>
                </c:pt>
                <c:pt idx="93">
                  <c:v>0.47399999999999998</c:v>
                </c:pt>
                <c:pt idx="94">
                  <c:v>0.4453333333333338</c:v>
                </c:pt>
                <c:pt idx="95">
                  <c:v>0.41733333333333367</c:v>
                </c:pt>
                <c:pt idx="96">
                  <c:v>0.36799999999999972</c:v>
                </c:pt>
                <c:pt idx="97">
                  <c:v>0.31866666666666676</c:v>
                </c:pt>
                <c:pt idx="98">
                  <c:v>0.27066666666666683</c:v>
                </c:pt>
                <c:pt idx="99">
                  <c:v>0.18933333333333355</c:v>
                </c:pt>
                <c:pt idx="100">
                  <c:v>0.10933333333333337</c:v>
                </c:pt>
                <c:pt idx="101">
                  <c:v>3.0666666666666249E-2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1.8666666666666741E-2</c:v>
                </c:pt>
                <c:pt idx="186">
                  <c:v>2.4666666666666968E-2</c:v>
                </c:pt>
                <c:pt idx="187">
                  <c:v>3.1333333333333255E-2</c:v>
                </c:pt>
                <c:pt idx="188">
                  <c:v>3.7333333333333482E-2</c:v>
                </c:pt>
                <c:pt idx="189">
                  <c:v>3.8666666666666551E-2</c:v>
                </c:pt>
                <c:pt idx="190">
                  <c:v>4.0666666666666629E-2</c:v>
                </c:pt>
                <c:pt idx="191">
                  <c:v>4.1999999999999697E-2</c:v>
                </c:pt>
                <c:pt idx="192">
                  <c:v>5.2000000000000074E-2</c:v>
                </c:pt>
                <c:pt idx="193">
                  <c:v>6.2000000000000458E-2</c:v>
                </c:pt>
                <c:pt idx="194">
                  <c:v>7.1999999999999884E-2</c:v>
                </c:pt>
                <c:pt idx="195">
                  <c:v>8.1333333333333258E-2</c:v>
                </c:pt>
                <c:pt idx="196">
                  <c:v>9.0666666666666632E-2</c:v>
                </c:pt>
                <c:pt idx="197">
                  <c:v>9.9333333333332996E-2</c:v>
                </c:pt>
                <c:pt idx="198">
                  <c:v>0.10200000000000008</c:v>
                </c:pt>
                <c:pt idx="199">
                  <c:v>0.10400000000000015</c:v>
                </c:pt>
                <c:pt idx="200">
                  <c:v>0.10666666666666628</c:v>
                </c:pt>
                <c:pt idx="201">
                  <c:v>0.10133333333333307</c:v>
                </c:pt>
                <c:pt idx="202">
                  <c:v>9.6666666666666859E-2</c:v>
                </c:pt>
                <c:pt idx="203">
                  <c:v>9.1333333333333641E-2</c:v>
                </c:pt>
                <c:pt idx="204">
                  <c:v>8.7333333333333485E-2</c:v>
                </c:pt>
                <c:pt idx="205">
                  <c:v>8.2666666666666319E-2</c:v>
                </c:pt>
                <c:pt idx="206">
                  <c:v>7.866666666666712E-2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52544"/>
        <c:axId val="205051008"/>
      </c:lineChart>
      <c:dateAx>
        <c:axId val="191194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91196160"/>
        <c:crosses val="autoZero"/>
        <c:auto val="1"/>
        <c:lblOffset val="100"/>
        <c:baseTimeUnit val="months"/>
      </c:dateAx>
      <c:valAx>
        <c:axId val="191196160"/>
        <c:scaling>
          <c:orientation val="minMax"/>
          <c:min val="8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1194624"/>
        <c:crosses val="autoZero"/>
        <c:crossBetween val="between"/>
      </c:valAx>
      <c:valAx>
        <c:axId val="20505100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205052544"/>
        <c:crosses val="max"/>
        <c:crossBetween val="between"/>
      </c:valAx>
      <c:dateAx>
        <c:axId val="2050525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5051008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'Mtg Rate'!$G$1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'Mtg Rate'!$F$57:$F$501</c:f>
              <c:numCache>
                <c:formatCode>m/d/yyyy</c:formatCode>
                <c:ptCount val="445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</c:numCache>
            </c:numRef>
          </c:cat>
          <c:val>
            <c:numRef>
              <c:f>'Mtg Rate'!$G$57:$G$501</c:f>
              <c:numCache>
                <c:formatCode>General</c:formatCode>
                <c:ptCount val="445"/>
                <c:pt idx="0">
                  <c:v>109.78</c:v>
                </c:pt>
                <c:pt idx="1">
                  <c:v>109.86</c:v>
                </c:pt>
                <c:pt idx="2">
                  <c:v>109.94</c:v>
                </c:pt>
                <c:pt idx="3">
                  <c:v>110.13</c:v>
                </c:pt>
                <c:pt idx="4">
                  <c:v>110.31</c:v>
                </c:pt>
                <c:pt idx="5">
                  <c:v>110.49</c:v>
                </c:pt>
                <c:pt idx="6">
                  <c:v>110.5</c:v>
                </c:pt>
                <c:pt idx="7">
                  <c:v>110.52</c:v>
                </c:pt>
                <c:pt idx="8">
                  <c:v>110.53</c:v>
                </c:pt>
                <c:pt idx="9">
                  <c:v>110.43</c:v>
                </c:pt>
                <c:pt idx="10">
                  <c:v>110.34</c:v>
                </c:pt>
                <c:pt idx="11">
                  <c:v>110.24</c:v>
                </c:pt>
                <c:pt idx="12">
                  <c:v>110.4</c:v>
                </c:pt>
                <c:pt idx="13">
                  <c:v>110.55</c:v>
                </c:pt>
                <c:pt idx="14">
                  <c:v>110.7</c:v>
                </c:pt>
                <c:pt idx="15">
                  <c:v>110.97</c:v>
                </c:pt>
                <c:pt idx="16">
                  <c:v>111.23</c:v>
                </c:pt>
                <c:pt idx="17">
                  <c:v>111.5</c:v>
                </c:pt>
                <c:pt idx="18">
                  <c:v>111.65</c:v>
                </c:pt>
                <c:pt idx="19">
                  <c:v>111.81</c:v>
                </c:pt>
                <c:pt idx="20">
                  <c:v>111.96</c:v>
                </c:pt>
                <c:pt idx="21">
                  <c:v>112.09</c:v>
                </c:pt>
                <c:pt idx="22">
                  <c:v>112.22</c:v>
                </c:pt>
                <c:pt idx="23">
                  <c:v>112.35</c:v>
                </c:pt>
                <c:pt idx="24">
                  <c:v>112.88</c:v>
                </c:pt>
                <c:pt idx="25">
                  <c:v>113.4</c:v>
                </c:pt>
                <c:pt idx="26">
                  <c:v>113.92</c:v>
                </c:pt>
                <c:pt idx="27">
                  <c:v>114.05</c:v>
                </c:pt>
                <c:pt idx="28">
                  <c:v>114.18</c:v>
                </c:pt>
                <c:pt idx="29">
                  <c:v>114.3</c:v>
                </c:pt>
                <c:pt idx="30">
                  <c:v>114.35</c:v>
                </c:pt>
                <c:pt idx="31">
                  <c:v>114.4</c:v>
                </c:pt>
                <c:pt idx="32">
                  <c:v>114.45</c:v>
                </c:pt>
                <c:pt idx="33">
                  <c:v>114.53</c:v>
                </c:pt>
                <c:pt idx="34">
                  <c:v>114.61</c:v>
                </c:pt>
                <c:pt idx="35">
                  <c:v>114.68</c:v>
                </c:pt>
                <c:pt idx="36">
                  <c:v>114.5</c:v>
                </c:pt>
                <c:pt idx="37">
                  <c:v>114.33</c:v>
                </c:pt>
                <c:pt idx="38">
                  <c:v>114.15</c:v>
                </c:pt>
                <c:pt idx="39">
                  <c:v>114.18</c:v>
                </c:pt>
                <c:pt idx="40">
                  <c:v>114.21</c:v>
                </c:pt>
                <c:pt idx="41">
                  <c:v>114.23</c:v>
                </c:pt>
                <c:pt idx="42">
                  <c:v>114.3</c:v>
                </c:pt>
                <c:pt idx="43">
                  <c:v>114.36</c:v>
                </c:pt>
                <c:pt idx="44">
                  <c:v>114.42</c:v>
                </c:pt>
                <c:pt idx="45">
                  <c:v>114.38</c:v>
                </c:pt>
                <c:pt idx="46">
                  <c:v>114.33</c:v>
                </c:pt>
                <c:pt idx="47">
                  <c:v>114.29</c:v>
                </c:pt>
                <c:pt idx="48">
                  <c:v>113.81</c:v>
                </c:pt>
                <c:pt idx="49">
                  <c:v>113.35</c:v>
                </c:pt>
                <c:pt idx="50">
                  <c:v>112.89</c:v>
                </c:pt>
                <c:pt idx="51">
                  <c:v>112.72</c:v>
                </c:pt>
                <c:pt idx="52">
                  <c:v>112.55</c:v>
                </c:pt>
                <c:pt idx="53">
                  <c:v>112.38</c:v>
                </c:pt>
                <c:pt idx="54">
                  <c:v>112.37</c:v>
                </c:pt>
                <c:pt idx="55">
                  <c:v>112.37</c:v>
                </c:pt>
                <c:pt idx="56">
                  <c:v>112.36</c:v>
                </c:pt>
                <c:pt idx="57">
                  <c:v>112.95</c:v>
                </c:pt>
                <c:pt idx="58">
                  <c:v>113.54</c:v>
                </c:pt>
                <c:pt idx="59">
                  <c:v>114.12</c:v>
                </c:pt>
                <c:pt idx="60">
                  <c:v>114.16</c:v>
                </c:pt>
                <c:pt idx="61">
                  <c:v>114.21</c:v>
                </c:pt>
                <c:pt idx="62">
                  <c:v>114.25</c:v>
                </c:pt>
                <c:pt idx="63">
                  <c:v>114.53</c:v>
                </c:pt>
                <c:pt idx="64">
                  <c:v>114.8</c:v>
                </c:pt>
                <c:pt idx="65">
                  <c:v>115.07</c:v>
                </c:pt>
                <c:pt idx="66">
                  <c:v>115.77</c:v>
                </c:pt>
                <c:pt idx="67">
                  <c:v>116.46</c:v>
                </c:pt>
                <c:pt idx="68">
                  <c:v>117.15</c:v>
                </c:pt>
                <c:pt idx="69">
                  <c:v>117.42</c:v>
                </c:pt>
                <c:pt idx="70">
                  <c:v>117.69</c:v>
                </c:pt>
                <c:pt idx="71">
                  <c:v>117.96</c:v>
                </c:pt>
                <c:pt idx="72">
                  <c:v>118.39</c:v>
                </c:pt>
                <c:pt idx="73">
                  <c:v>118.81</c:v>
                </c:pt>
                <c:pt idx="74">
                  <c:v>119.23</c:v>
                </c:pt>
                <c:pt idx="75">
                  <c:v>120.01</c:v>
                </c:pt>
                <c:pt idx="76">
                  <c:v>120.79</c:v>
                </c:pt>
                <c:pt idx="77">
                  <c:v>121.56</c:v>
                </c:pt>
                <c:pt idx="78">
                  <c:v>122.15</c:v>
                </c:pt>
                <c:pt idx="79">
                  <c:v>122.75</c:v>
                </c:pt>
                <c:pt idx="80">
                  <c:v>123.33</c:v>
                </c:pt>
                <c:pt idx="81">
                  <c:v>123.1</c:v>
                </c:pt>
                <c:pt idx="82">
                  <c:v>122.88</c:v>
                </c:pt>
                <c:pt idx="83">
                  <c:v>122.66</c:v>
                </c:pt>
                <c:pt idx="84">
                  <c:v>122.67</c:v>
                </c:pt>
                <c:pt idx="85">
                  <c:v>122.69</c:v>
                </c:pt>
                <c:pt idx="86">
                  <c:v>122.7</c:v>
                </c:pt>
                <c:pt idx="87">
                  <c:v>122.13</c:v>
                </c:pt>
                <c:pt idx="88">
                  <c:v>121.57</c:v>
                </c:pt>
                <c:pt idx="89">
                  <c:v>121.02</c:v>
                </c:pt>
                <c:pt idx="90">
                  <c:v>119.83</c:v>
                </c:pt>
                <c:pt idx="91">
                  <c:v>118.67</c:v>
                </c:pt>
                <c:pt idx="92">
                  <c:v>117.54</c:v>
                </c:pt>
                <c:pt idx="93">
                  <c:v>117.11</c:v>
                </c:pt>
                <c:pt idx="94">
                  <c:v>116.68</c:v>
                </c:pt>
                <c:pt idx="95">
                  <c:v>116.26</c:v>
                </c:pt>
                <c:pt idx="96">
                  <c:v>115.52</c:v>
                </c:pt>
                <c:pt idx="97">
                  <c:v>114.78</c:v>
                </c:pt>
                <c:pt idx="98">
                  <c:v>114.06</c:v>
                </c:pt>
                <c:pt idx="99">
                  <c:v>112.84</c:v>
                </c:pt>
                <c:pt idx="100">
                  <c:v>111.64</c:v>
                </c:pt>
                <c:pt idx="101">
                  <c:v>110.46</c:v>
                </c:pt>
                <c:pt idx="102">
                  <c:v>108.96</c:v>
                </c:pt>
                <c:pt idx="103">
                  <c:v>107.49</c:v>
                </c:pt>
                <c:pt idx="104">
                  <c:v>106.05</c:v>
                </c:pt>
                <c:pt idx="105">
                  <c:v>105.16</c:v>
                </c:pt>
                <c:pt idx="106">
                  <c:v>104.28</c:v>
                </c:pt>
                <c:pt idx="107">
                  <c:v>103.41</c:v>
                </c:pt>
                <c:pt idx="108">
                  <c:v>102.62</c:v>
                </c:pt>
                <c:pt idx="109">
                  <c:v>101.84</c:v>
                </c:pt>
                <c:pt idx="110">
                  <c:v>101.07</c:v>
                </c:pt>
                <c:pt idx="111">
                  <c:v>99.89</c:v>
                </c:pt>
                <c:pt idx="112">
                  <c:v>98.73</c:v>
                </c:pt>
                <c:pt idx="113">
                  <c:v>97.57</c:v>
                </c:pt>
                <c:pt idx="114">
                  <c:v>96.28</c:v>
                </c:pt>
                <c:pt idx="115">
                  <c:v>95.01</c:v>
                </c:pt>
                <c:pt idx="116">
                  <c:v>93.74</c:v>
                </c:pt>
                <c:pt idx="117">
                  <c:v>93.15</c:v>
                </c:pt>
                <c:pt idx="118">
                  <c:v>92.55</c:v>
                </c:pt>
                <c:pt idx="119">
                  <c:v>91.97</c:v>
                </c:pt>
                <c:pt idx="120">
                  <c:v>92.08</c:v>
                </c:pt>
                <c:pt idx="121">
                  <c:v>92.19</c:v>
                </c:pt>
                <c:pt idx="122">
                  <c:v>92.31</c:v>
                </c:pt>
                <c:pt idx="123">
                  <c:v>91.51</c:v>
                </c:pt>
                <c:pt idx="124">
                  <c:v>90.71</c:v>
                </c:pt>
                <c:pt idx="125">
                  <c:v>89.92</c:v>
                </c:pt>
                <c:pt idx="126">
                  <c:v>89.45</c:v>
                </c:pt>
                <c:pt idx="127">
                  <c:v>88.99</c:v>
                </c:pt>
                <c:pt idx="128">
                  <c:v>88.52</c:v>
                </c:pt>
                <c:pt idx="129">
                  <c:v>88.39</c:v>
                </c:pt>
                <c:pt idx="130">
                  <c:v>88.26</c:v>
                </c:pt>
                <c:pt idx="131">
                  <c:v>88.13</c:v>
                </c:pt>
                <c:pt idx="132">
                  <c:v>87.98</c:v>
                </c:pt>
                <c:pt idx="133">
                  <c:v>87.84</c:v>
                </c:pt>
                <c:pt idx="134">
                  <c:v>87.69</c:v>
                </c:pt>
                <c:pt idx="135">
                  <c:v>88.16</c:v>
                </c:pt>
                <c:pt idx="136">
                  <c:v>88.63</c:v>
                </c:pt>
                <c:pt idx="137">
                  <c:v>89.12</c:v>
                </c:pt>
                <c:pt idx="138">
                  <c:v>90.35</c:v>
                </c:pt>
                <c:pt idx="139">
                  <c:v>91.6</c:v>
                </c:pt>
                <c:pt idx="140">
                  <c:v>92.88</c:v>
                </c:pt>
                <c:pt idx="141">
                  <c:v>92.93</c:v>
                </c:pt>
                <c:pt idx="142">
                  <c:v>92.99</c:v>
                </c:pt>
                <c:pt idx="143">
                  <c:v>93.04</c:v>
                </c:pt>
                <c:pt idx="144">
                  <c:v>91.96</c:v>
                </c:pt>
                <c:pt idx="145">
                  <c:v>90.88</c:v>
                </c:pt>
                <c:pt idx="146">
                  <c:v>89.81</c:v>
                </c:pt>
                <c:pt idx="147">
                  <c:v>90.1</c:v>
                </c:pt>
                <c:pt idx="148">
                  <c:v>90.4</c:v>
                </c:pt>
                <c:pt idx="149">
                  <c:v>90.7</c:v>
                </c:pt>
                <c:pt idx="150">
                  <c:v>91.74</c:v>
                </c:pt>
                <c:pt idx="151">
                  <c:v>92.81</c:v>
                </c:pt>
                <c:pt idx="152">
                  <c:v>93.89</c:v>
                </c:pt>
                <c:pt idx="153">
                  <c:v>94.26</c:v>
                </c:pt>
                <c:pt idx="154">
                  <c:v>94.63</c:v>
                </c:pt>
                <c:pt idx="155">
                  <c:v>95.01</c:v>
                </c:pt>
                <c:pt idx="156">
                  <c:v>95.06</c:v>
                </c:pt>
                <c:pt idx="157">
                  <c:v>95.12</c:v>
                </c:pt>
                <c:pt idx="158">
                  <c:v>95.17</c:v>
                </c:pt>
                <c:pt idx="159">
                  <c:v>95.34</c:v>
                </c:pt>
                <c:pt idx="160">
                  <c:v>95.5</c:v>
                </c:pt>
                <c:pt idx="161">
                  <c:v>95.67</c:v>
                </c:pt>
                <c:pt idx="162">
                  <c:v>95.77</c:v>
                </c:pt>
                <c:pt idx="163">
                  <c:v>95.88</c:v>
                </c:pt>
                <c:pt idx="164">
                  <c:v>95.98</c:v>
                </c:pt>
                <c:pt idx="165">
                  <c:v>96.47</c:v>
                </c:pt>
                <c:pt idx="166">
                  <c:v>96.97</c:v>
                </c:pt>
                <c:pt idx="167">
                  <c:v>97.47</c:v>
                </c:pt>
                <c:pt idx="168">
                  <c:v>98.55</c:v>
                </c:pt>
                <c:pt idx="169">
                  <c:v>99.64</c:v>
                </c:pt>
                <c:pt idx="170">
                  <c:v>100.76</c:v>
                </c:pt>
                <c:pt idx="171">
                  <c:v>101.88</c:v>
                </c:pt>
                <c:pt idx="172">
                  <c:v>103</c:v>
                </c:pt>
                <c:pt idx="173">
                  <c:v>104.14</c:v>
                </c:pt>
                <c:pt idx="174">
                  <c:v>104.44</c:v>
                </c:pt>
                <c:pt idx="175">
                  <c:v>104.74</c:v>
                </c:pt>
                <c:pt idx="176">
                  <c:v>105.03</c:v>
                </c:pt>
                <c:pt idx="177">
                  <c:v>105.2</c:v>
                </c:pt>
                <c:pt idx="178">
                  <c:v>105.38</c:v>
                </c:pt>
                <c:pt idx="179">
                  <c:v>105.55</c:v>
                </c:pt>
                <c:pt idx="180">
                  <c:v>106.24</c:v>
                </c:pt>
                <c:pt idx="181">
                  <c:v>106.93</c:v>
                </c:pt>
                <c:pt idx="182">
                  <c:v>107.63</c:v>
                </c:pt>
                <c:pt idx="183">
                  <c:v>108.51</c:v>
                </c:pt>
                <c:pt idx="184">
                  <c:v>109.39</c:v>
                </c:pt>
                <c:pt idx="185">
                  <c:v>110.28</c:v>
                </c:pt>
                <c:pt idx="186">
                  <c:v>110.37</c:v>
                </c:pt>
                <c:pt idx="187">
                  <c:v>110.47</c:v>
                </c:pt>
                <c:pt idx="188">
                  <c:v>110.56</c:v>
                </c:pt>
                <c:pt idx="189">
                  <c:v>110.58</c:v>
                </c:pt>
                <c:pt idx="190">
                  <c:v>110.61</c:v>
                </c:pt>
                <c:pt idx="191">
                  <c:v>110.63</c:v>
                </c:pt>
                <c:pt idx="192">
                  <c:v>110.78</c:v>
                </c:pt>
                <c:pt idx="193">
                  <c:v>110.93</c:v>
                </c:pt>
                <c:pt idx="194">
                  <c:v>111.08</c:v>
                </c:pt>
                <c:pt idx="195">
                  <c:v>111.22</c:v>
                </c:pt>
                <c:pt idx="196">
                  <c:v>111.36</c:v>
                </c:pt>
                <c:pt idx="197">
                  <c:v>111.49</c:v>
                </c:pt>
                <c:pt idx="198">
                  <c:v>111.53</c:v>
                </c:pt>
                <c:pt idx="199">
                  <c:v>111.56</c:v>
                </c:pt>
                <c:pt idx="200">
                  <c:v>111.6</c:v>
                </c:pt>
                <c:pt idx="201">
                  <c:v>111.52</c:v>
                </c:pt>
                <c:pt idx="202">
                  <c:v>111.45</c:v>
                </c:pt>
                <c:pt idx="203">
                  <c:v>111.37</c:v>
                </c:pt>
                <c:pt idx="204">
                  <c:v>111.31</c:v>
                </c:pt>
                <c:pt idx="205">
                  <c:v>111.24</c:v>
                </c:pt>
                <c:pt idx="206">
                  <c:v>111.18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57824"/>
        <c:axId val="125924480"/>
      </c:lineChart>
      <c:dateAx>
        <c:axId val="205757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5924480"/>
        <c:crosses val="autoZero"/>
        <c:auto val="1"/>
        <c:lblOffset val="100"/>
        <c:baseTimeUnit val="months"/>
      </c:dateAx>
      <c:valAx>
        <c:axId val="125924480"/>
        <c:scaling>
          <c:orientation val="minMax"/>
          <c:min val="8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757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'OTM Refi'!$B$1</c:f>
              <c:strCache>
                <c:ptCount val="1"/>
                <c:pt idx="0">
                  <c:v>smm.OTMrefi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Refi'!$B$2:$B$264</c:f>
              <c:numCache>
                <c:formatCode>General</c:formatCode>
                <c:ptCount val="2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1.25849969596414E-2</c:v>
                </c:pt>
                <c:pt idx="59">
                  <c:v>3.0601010892272702E-2</c:v>
                </c:pt>
                <c:pt idx="60">
                  <c:v>4.6804372053543798E-2</c:v>
                </c:pt>
                <c:pt idx="61">
                  <c:v>4.0729487951729502E-2</c:v>
                </c:pt>
                <c:pt idx="62">
                  <c:v>4.01670330741122E-2</c:v>
                </c:pt>
                <c:pt idx="63">
                  <c:v>3.2028111286919202E-2</c:v>
                </c:pt>
                <c:pt idx="64">
                  <c:v>2.93072201156486E-2</c:v>
                </c:pt>
                <c:pt idx="65">
                  <c:v>2.1653638988716799E-2</c:v>
                </c:pt>
                <c:pt idx="66">
                  <c:v>1.68796613409627E-2</c:v>
                </c:pt>
                <c:pt idx="67">
                  <c:v>2.50415891232647E-2</c:v>
                </c:pt>
                <c:pt idx="68">
                  <c:v>2.51299832901286E-2</c:v>
                </c:pt>
                <c:pt idx="69">
                  <c:v>2.8543452673746E-2</c:v>
                </c:pt>
                <c:pt idx="70">
                  <c:v>4.3107849033907603E-2</c:v>
                </c:pt>
                <c:pt idx="71">
                  <c:v>6.06671539843062E-2</c:v>
                </c:pt>
                <c:pt idx="72">
                  <c:v>4.7468866609046097E-2</c:v>
                </c:pt>
                <c:pt idx="73">
                  <c:v>7.0711194911621297E-2</c:v>
                </c:pt>
                <c:pt idx="74">
                  <c:v>9.1250457477243294E-2</c:v>
                </c:pt>
                <c:pt idx="75">
                  <c:v>0.112851485201615</c:v>
                </c:pt>
                <c:pt idx="76">
                  <c:v>0.13159341525386101</c:v>
                </c:pt>
                <c:pt idx="77">
                  <c:v>0.15110296735364501</c:v>
                </c:pt>
                <c:pt idx="78">
                  <c:v>0.17027747979053701</c:v>
                </c:pt>
                <c:pt idx="79">
                  <c:v>0.25230203455295402</c:v>
                </c:pt>
                <c:pt idx="80">
                  <c:v>0.32645026902130603</c:v>
                </c:pt>
                <c:pt idx="81">
                  <c:v>0.38311792215458601</c:v>
                </c:pt>
                <c:pt idx="82">
                  <c:v>0.39168278961583303</c:v>
                </c:pt>
                <c:pt idx="83">
                  <c:v>0.40594963835602899</c:v>
                </c:pt>
                <c:pt idx="84">
                  <c:v>0.40684262209635902</c:v>
                </c:pt>
                <c:pt idx="85">
                  <c:v>0.41583003529103202</c:v>
                </c:pt>
                <c:pt idx="86">
                  <c:v>0.41620576665474301</c:v>
                </c:pt>
                <c:pt idx="87">
                  <c:v>0.42879146935439499</c:v>
                </c:pt>
                <c:pt idx="88">
                  <c:v>0.40774142409192299</c:v>
                </c:pt>
                <c:pt idx="89">
                  <c:v>0.43218590254856498</c:v>
                </c:pt>
                <c:pt idx="90">
                  <c:v>0.43985952078672302</c:v>
                </c:pt>
                <c:pt idx="91">
                  <c:v>0.42967406538714198</c:v>
                </c:pt>
                <c:pt idx="92">
                  <c:v>0.41340813974636298</c:v>
                </c:pt>
                <c:pt idx="93">
                  <c:v>0.39111740687785002</c:v>
                </c:pt>
                <c:pt idx="94">
                  <c:v>0.39559719746521399</c:v>
                </c:pt>
                <c:pt idx="95">
                  <c:v>0.40312876452797097</c:v>
                </c:pt>
                <c:pt idx="96">
                  <c:v>0.37602010169217598</c:v>
                </c:pt>
                <c:pt idx="97">
                  <c:v>0.407688902291237</c:v>
                </c:pt>
                <c:pt idx="98">
                  <c:v>0.42301632668746397</c:v>
                </c:pt>
                <c:pt idx="99">
                  <c:v>0.40977326548348197</c:v>
                </c:pt>
                <c:pt idx="100">
                  <c:v>0.43532804907863198</c:v>
                </c:pt>
                <c:pt idx="101">
                  <c:v>0.42848257812482199</c:v>
                </c:pt>
                <c:pt idx="102">
                  <c:v>0.43138743198332102</c:v>
                </c:pt>
                <c:pt idx="103">
                  <c:v>0.38749124878303398</c:v>
                </c:pt>
                <c:pt idx="104">
                  <c:v>0.31510872357425301</c:v>
                </c:pt>
                <c:pt idx="105">
                  <c:v>0.28775133990551799</c:v>
                </c:pt>
                <c:pt idx="106">
                  <c:v>0.27820889794251102</c:v>
                </c:pt>
                <c:pt idx="107">
                  <c:v>0.250037116814816</c:v>
                </c:pt>
                <c:pt idx="108">
                  <c:v>0.24261811850229101</c:v>
                </c:pt>
                <c:pt idx="109">
                  <c:v>0.19804974078686499</c:v>
                </c:pt>
                <c:pt idx="110">
                  <c:v>0.21145748211700599</c:v>
                </c:pt>
                <c:pt idx="111">
                  <c:v>0.17846466328108601</c:v>
                </c:pt>
                <c:pt idx="112">
                  <c:v>0.22156554816123999</c:v>
                </c:pt>
                <c:pt idx="113">
                  <c:v>0.29730583188783999</c:v>
                </c:pt>
                <c:pt idx="114">
                  <c:v>0.35144166434160101</c:v>
                </c:pt>
                <c:pt idx="115">
                  <c:v>0.361017330259361</c:v>
                </c:pt>
                <c:pt idx="116">
                  <c:v>0.37577192833536699</c:v>
                </c:pt>
                <c:pt idx="117">
                  <c:v>0.38820872417070201</c:v>
                </c:pt>
                <c:pt idx="118">
                  <c:v>0.44902830752150402</c:v>
                </c:pt>
                <c:pt idx="119">
                  <c:v>0.42437133415506001</c:v>
                </c:pt>
                <c:pt idx="120">
                  <c:v>0.38453284357786699</c:v>
                </c:pt>
                <c:pt idx="121">
                  <c:v>0.44117021859290101</c:v>
                </c:pt>
                <c:pt idx="122">
                  <c:v>0.55169319337664602</c:v>
                </c:pt>
                <c:pt idx="123">
                  <c:v>0.64886506934924704</c:v>
                </c:pt>
                <c:pt idx="124">
                  <c:v>0.68593916064485505</c:v>
                </c:pt>
                <c:pt idx="125">
                  <c:v>0.701876725435158</c:v>
                </c:pt>
                <c:pt idx="126">
                  <c:v>0.72721820677406102</c:v>
                </c:pt>
                <c:pt idx="127">
                  <c:v>0.762271138288795</c:v>
                </c:pt>
                <c:pt idx="128">
                  <c:v>0.82401343242405301</c:v>
                </c:pt>
                <c:pt idx="129">
                  <c:v>0.86940340194020505</c:v>
                </c:pt>
                <c:pt idx="130">
                  <c:v>0.90328102023462498</c:v>
                </c:pt>
                <c:pt idx="131">
                  <c:v>1.0083540140334</c:v>
                </c:pt>
                <c:pt idx="132">
                  <c:v>1.0952982194243299</c:v>
                </c:pt>
                <c:pt idx="133">
                  <c:v>1.1805480136590201</c:v>
                </c:pt>
                <c:pt idx="134">
                  <c:v>1.1822063295154599</c:v>
                </c:pt>
                <c:pt idx="135">
                  <c:v>1.2378778560358401</c:v>
                </c:pt>
                <c:pt idx="136">
                  <c:v>1.2179840933174999</c:v>
                </c:pt>
                <c:pt idx="137">
                  <c:v>1.1400959815915399</c:v>
                </c:pt>
                <c:pt idx="138">
                  <c:v>0.99402047866360399</c:v>
                </c:pt>
                <c:pt idx="139">
                  <c:v>1.01762800345649</c:v>
                </c:pt>
                <c:pt idx="140">
                  <c:v>1.0826475354390199</c:v>
                </c:pt>
                <c:pt idx="141">
                  <c:v>1.0396871550706901</c:v>
                </c:pt>
                <c:pt idx="142">
                  <c:v>0.95870412251318804</c:v>
                </c:pt>
                <c:pt idx="143">
                  <c:v>0.82537292604559798</c:v>
                </c:pt>
                <c:pt idx="144">
                  <c:v>0.73244276135884201</c:v>
                </c:pt>
                <c:pt idx="145">
                  <c:v>0.60780035389197395</c:v>
                </c:pt>
                <c:pt idx="146">
                  <c:v>0.49980910783035098</c:v>
                </c:pt>
                <c:pt idx="147">
                  <c:v>0.562248515919617</c:v>
                </c:pt>
                <c:pt idx="148">
                  <c:v>0.56092734709953795</c:v>
                </c:pt>
                <c:pt idx="149">
                  <c:v>0.53456419648252296</c:v>
                </c:pt>
                <c:pt idx="150">
                  <c:v>0.52349604933543703</c:v>
                </c:pt>
                <c:pt idx="151">
                  <c:v>0.48653838621190998</c:v>
                </c:pt>
                <c:pt idx="152">
                  <c:v>0.40198906899957498</c:v>
                </c:pt>
                <c:pt idx="153">
                  <c:v>0.34152019946187601</c:v>
                </c:pt>
                <c:pt idx="154">
                  <c:v>0.24809293550738201</c:v>
                </c:pt>
                <c:pt idx="155">
                  <c:v>0.14118773564040199</c:v>
                </c:pt>
                <c:pt idx="156">
                  <c:v>3.8903029834780299E-2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2.0017157355378699E-2</c:v>
                </c:pt>
                <c:pt idx="241">
                  <c:v>2.6958294767320801E-2</c:v>
                </c:pt>
                <c:pt idx="242">
                  <c:v>3.4920585535858098E-2</c:v>
                </c:pt>
                <c:pt idx="243">
                  <c:v>4.2761196939533598E-2</c:v>
                </c:pt>
                <c:pt idx="244">
                  <c:v>4.3301531986161802E-2</c:v>
                </c:pt>
                <c:pt idx="245">
                  <c:v>4.84024248713966E-2</c:v>
                </c:pt>
                <c:pt idx="246">
                  <c:v>4.8571408647124503E-2</c:v>
                </c:pt>
                <c:pt idx="247">
                  <c:v>3.1444752210818501E-2</c:v>
                </c:pt>
                <c:pt idx="248">
                  <c:v>9.6855860803990394E-3</c:v>
                </c:pt>
                <c:pt idx="249">
                  <c:v>1.22247300334388E-2</c:v>
                </c:pt>
                <c:pt idx="250">
                  <c:v>1.8287687969342801E-2</c:v>
                </c:pt>
                <c:pt idx="251">
                  <c:v>1.46692104088242E-2</c:v>
                </c:pt>
                <c:pt idx="252">
                  <c:v>4.9040634194086302E-2</c:v>
                </c:pt>
                <c:pt idx="253">
                  <c:v>0.125544180384141</c:v>
                </c:pt>
                <c:pt idx="254">
                  <c:v>0.128877531448301</c:v>
                </c:pt>
                <c:pt idx="255">
                  <c:v>0.112081038154088</c:v>
                </c:pt>
                <c:pt idx="256">
                  <c:v>9.57778001428711E-2</c:v>
                </c:pt>
                <c:pt idx="257">
                  <c:v>3.1264681306331102E-2</c:v>
                </c:pt>
                <c:pt idx="258">
                  <c:v>0.108424626897297</c:v>
                </c:pt>
                <c:pt idx="259">
                  <c:v>0.105061230559966</c:v>
                </c:pt>
                <c:pt idx="260">
                  <c:v>6.9470229375956399E-2</c:v>
                </c:pt>
                <c:pt idx="261">
                  <c:v>1.7035643505458602E-2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78112"/>
        <c:axId val="125979648"/>
      </c:lineChart>
      <c:dateAx>
        <c:axId val="125978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5979648"/>
        <c:crosses val="autoZero"/>
        <c:auto val="1"/>
        <c:lblOffset val="100"/>
        <c:baseTimeUnit val="months"/>
      </c:dateAx>
      <c:valAx>
        <c:axId val="125979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978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'OTM Refi'!$C$1</c:f>
              <c:strCache>
                <c:ptCount val="1"/>
                <c:pt idx="0">
                  <c:v>Rate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Refi'!$C$2:$C$264</c:f>
              <c:numCache>
                <c:formatCode>General</c:formatCode>
                <c:ptCount val="263"/>
                <c:pt idx="0">
                  <c:v>0.68463784911777104</c:v>
                </c:pt>
                <c:pt idx="1">
                  <c:v>0.68970428545322104</c:v>
                </c:pt>
                <c:pt idx="2">
                  <c:v>0.29594662307880498</c:v>
                </c:pt>
                <c:pt idx="3">
                  <c:v>0.30254041552862299</c:v>
                </c:pt>
                <c:pt idx="4">
                  <c:v>0.240023749359627</c:v>
                </c:pt>
                <c:pt idx="5">
                  <c:v>0.28452537981417098</c:v>
                </c:pt>
                <c:pt idx="6">
                  <c:v>0.242626410905908</c:v>
                </c:pt>
                <c:pt idx="7">
                  <c:v>0.20849179633154999</c:v>
                </c:pt>
                <c:pt idx="8">
                  <c:v>0.15396001090147801</c:v>
                </c:pt>
                <c:pt idx="9">
                  <c:v>0.152121776689782</c:v>
                </c:pt>
                <c:pt idx="10">
                  <c:v>0.15934843049915701</c:v>
                </c:pt>
                <c:pt idx="11">
                  <c:v>0.21101042790083199</c:v>
                </c:pt>
                <c:pt idx="12">
                  <c:v>0.303401836420091</c:v>
                </c:pt>
                <c:pt idx="13">
                  <c:v>0.32102894044244301</c:v>
                </c:pt>
                <c:pt idx="14">
                  <c:v>0.46309668217416</c:v>
                </c:pt>
                <c:pt idx="15">
                  <c:v>0.58226141221431604</c:v>
                </c:pt>
                <c:pt idx="16">
                  <c:v>0.58832506701593601</c:v>
                </c:pt>
                <c:pt idx="17">
                  <c:v>0.49973127855509702</c:v>
                </c:pt>
                <c:pt idx="18">
                  <c:v>0.58816774910761105</c:v>
                </c:pt>
                <c:pt idx="19">
                  <c:v>0.60004284867552804</c:v>
                </c:pt>
                <c:pt idx="20">
                  <c:v>0.63600143165145795</c:v>
                </c:pt>
                <c:pt idx="21">
                  <c:v>0.70482332300728001</c:v>
                </c:pt>
                <c:pt idx="22">
                  <c:v>0.68176273275719701</c:v>
                </c:pt>
                <c:pt idx="23">
                  <c:v>0.67823800937970102</c:v>
                </c:pt>
                <c:pt idx="24">
                  <c:v>0.58856224438733895</c:v>
                </c:pt>
                <c:pt idx="25">
                  <c:v>0.48776183580237498</c:v>
                </c:pt>
                <c:pt idx="26">
                  <c:v>0.458475566921344</c:v>
                </c:pt>
                <c:pt idx="27">
                  <c:v>0.36619912136459398</c:v>
                </c:pt>
                <c:pt idx="28">
                  <c:v>0.39627067284496098</c:v>
                </c:pt>
                <c:pt idx="29">
                  <c:v>0.481671034820643</c:v>
                </c:pt>
                <c:pt idx="30">
                  <c:v>0.41080947954595598</c:v>
                </c:pt>
                <c:pt idx="31">
                  <c:v>0.50931068818931602</c:v>
                </c:pt>
                <c:pt idx="32">
                  <c:v>0.65889879351932501</c:v>
                </c:pt>
                <c:pt idx="33">
                  <c:v>0.59335057170849603</c:v>
                </c:pt>
                <c:pt idx="34">
                  <c:v>0.51674705170586599</c:v>
                </c:pt>
                <c:pt idx="35">
                  <c:v>0.46147711784742801</c:v>
                </c:pt>
                <c:pt idx="36">
                  <c:v>0.50707842278438697</c:v>
                </c:pt>
                <c:pt idx="37">
                  <c:v>0.589494987810397</c:v>
                </c:pt>
                <c:pt idx="38">
                  <c:v>0.61615932068324997</c:v>
                </c:pt>
                <c:pt idx="39">
                  <c:v>0.606617331115202</c:v>
                </c:pt>
                <c:pt idx="40">
                  <c:v>0.62939042535311296</c:v>
                </c:pt>
                <c:pt idx="41">
                  <c:v>0.68613411440204497</c:v>
                </c:pt>
                <c:pt idx="42">
                  <c:v>0.70832127784411603</c:v>
                </c:pt>
                <c:pt idx="43">
                  <c:v>0.67585264578452697</c:v>
                </c:pt>
                <c:pt idx="44">
                  <c:v>0.70301833987460804</c:v>
                </c:pt>
                <c:pt idx="45">
                  <c:v>0.70169149461104496</c:v>
                </c:pt>
                <c:pt idx="46">
                  <c:v>0.71136059679864905</c:v>
                </c:pt>
                <c:pt idx="47">
                  <c:v>0.71794612909004996</c:v>
                </c:pt>
                <c:pt idx="48">
                  <c:v>0.72700324115126003</c:v>
                </c:pt>
                <c:pt idx="49">
                  <c:v>0.73583268646723698</c:v>
                </c:pt>
                <c:pt idx="50">
                  <c:v>0.73802691002742904</c:v>
                </c:pt>
                <c:pt idx="51">
                  <c:v>0.74772023908500196</c:v>
                </c:pt>
                <c:pt idx="52">
                  <c:v>0.71401949965998401</c:v>
                </c:pt>
                <c:pt idx="53">
                  <c:v>0.72856909966067895</c:v>
                </c:pt>
                <c:pt idx="54">
                  <c:v>0.71366617428082502</c:v>
                </c:pt>
                <c:pt idx="55">
                  <c:v>0.71583797420899997</c:v>
                </c:pt>
                <c:pt idx="56">
                  <c:v>0.70767771166813398</c:v>
                </c:pt>
                <c:pt idx="57">
                  <c:v>0.69721883789286598</c:v>
                </c:pt>
                <c:pt idx="58">
                  <c:v>0.71941901903789995</c:v>
                </c:pt>
                <c:pt idx="59">
                  <c:v>0.73363847497441403</c:v>
                </c:pt>
                <c:pt idx="60">
                  <c:v>0.70995467935879597</c:v>
                </c:pt>
                <c:pt idx="61">
                  <c:v>0.60543577304962803</c:v>
                </c:pt>
                <c:pt idx="62">
                  <c:v>0.57410937130009299</c:v>
                </c:pt>
                <c:pt idx="63">
                  <c:v>0.44913061497388301</c:v>
                </c:pt>
                <c:pt idx="64">
                  <c:v>0.50653937369966795</c:v>
                </c:pt>
                <c:pt idx="65">
                  <c:v>0.47330788538878998</c:v>
                </c:pt>
                <c:pt idx="66">
                  <c:v>0.52267729195401802</c:v>
                </c:pt>
                <c:pt idx="67">
                  <c:v>0.46526390294354503</c:v>
                </c:pt>
                <c:pt idx="68">
                  <c:v>0.33957023039155398</c:v>
                </c:pt>
                <c:pt idx="69">
                  <c:v>0.30304983780089401</c:v>
                </c:pt>
                <c:pt idx="70">
                  <c:v>0.330307208434232</c:v>
                </c:pt>
                <c:pt idx="71">
                  <c:v>0.36662022970285602</c:v>
                </c:pt>
                <c:pt idx="72">
                  <c:v>0.23521196886684601</c:v>
                </c:pt>
                <c:pt idx="73">
                  <c:v>0.31856064714140597</c:v>
                </c:pt>
                <c:pt idx="74">
                  <c:v>0.37478765673011299</c:v>
                </c:pt>
                <c:pt idx="75">
                  <c:v>0.42807813383481702</c:v>
                </c:pt>
                <c:pt idx="76">
                  <c:v>0.46816296263545498</c:v>
                </c:pt>
                <c:pt idx="77">
                  <c:v>0.506136990315187</c:v>
                </c:pt>
                <c:pt idx="78">
                  <c:v>0.53885960524132903</c:v>
                </c:pt>
                <c:pt idx="79">
                  <c:v>0.65174558292714702</c:v>
                </c:pt>
                <c:pt idx="80">
                  <c:v>0.71455537361468602</c:v>
                </c:pt>
                <c:pt idx="81">
                  <c:v>0.72754071786416696</c:v>
                </c:pt>
                <c:pt idx="82">
                  <c:v>0.71995851329949301</c:v>
                </c:pt>
                <c:pt idx="83">
                  <c:v>0.72302343494173205</c:v>
                </c:pt>
                <c:pt idx="84">
                  <c:v>0.704395008049152</c:v>
                </c:pt>
                <c:pt idx="85">
                  <c:v>0.71170960782912296</c:v>
                </c:pt>
                <c:pt idx="86">
                  <c:v>0.704258987026669</c:v>
                </c:pt>
                <c:pt idx="87">
                  <c:v>0.71744439291351303</c:v>
                </c:pt>
                <c:pt idx="88">
                  <c:v>0.67011094118764103</c:v>
                </c:pt>
                <c:pt idx="89">
                  <c:v>0.69803720656007495</c:v>
                </c:pt>
                <c:pt idx="90">
                  <c:v>0.699829706623459</c:v>
                </c:pt>
                <c:pt idx="91">
                  <c:v>0.71093600651454403</c:v>
                </c:pt>
                <c:pt idx="92">
                  <c:v>0.71082471614838905</c:v>
                </c:pt>
                <c:pt idx="93">
                  <c:v>0.70159409415974205</c:v>
                </c:pt>
                <c:pt idx="94">
                  <c:v>0.70455150485296503</c:v>
                </c:pt>
                <c:pt idx="95">
                  <c:v>0.71287363832077999</c:v>
                </c:pt>
                <c:pt idx="96">
                  <c:v>0.66170958475847697</c:v>
                </c:pt>
                <c:pt idx="97">
                  <c:v>0.70586297903213102</c:v>
                </c:pt>
                <c:pt idx="98">
                  <c:v>0.72237253370850196</c:v>
                </c:pt>
                <c:pt idx="99">
                  <c:v>0.690216734722645</c:v>
                </c:pt>
                <c:pt idx="100">
                  <c:v>0.74004429936494698</c:v>
                </c:pt>
                <c:pt idx="101">
                  <c:v>0.73679517840225195</c:v>
                </c:pt>
                <c:pt idx="102">
                  <c:v>0.74871666836643602</c:v>
                </c:pt>
                <c:pt idx="103">
                  <c:v>0.75710577422941505</c:v>
                </c:pt>
                <c:pt idx="104">
                  <c:v>0.69998826639639899</c:v>
                </c:pt>
                <c:pt idx="105">
                  <c:v>0.74086667873481005</c:v>
                </c:pt>
                <c:pt idx="106">
                  <c:v>0.761033236132312</c:v>
                </c:pt>
                <c:pt idx="107">
                  <c:v>0.72947366168255801</c:v>
                </c:pt>
                <c:pt idx="108">
                  <c:v>0.76167309144185402</c:v>
                </c:pt>
                <c:pt idx="109">
                  <c:v>0.74739999999999995</c:v>
                </c:pt>
                <c:pt idx="110">
                  <c:v>0.69909650010818503</c:v>
                </c:pt>
                <c:pt idx="111">
                  <c:v>0.57727832256409795</c:v>
                </c:pt>
                <c:pt idx="112">
                  <c:v>0.57840463823636701</c:v>
                </c:pt>
                <c:pt idx="113">
                  <c:v>0.63837129669545101</c:v>
                </c:pt>
                <c:pt idx="114">
                  <c:v>0.64608161930680597</c:v>
                </c:pt>
                <c:pt idx="115">
                  <c:v>0.65590316742792298</c:v>
                </c:pt>
                <c:pt idx="116">
                  <c:v>0.67486557290293503</c:v>
                </c:pt>
                <c:pt idx="117">
                  <c:v>0.68756464201436496</c:v>
                </c:pt>
                <c:pt idx="118">
                  <c:v>0.74158828523053899</c:v>
                </c:pt>
                <c:pt idx="119">
                  <c:v>0.66469471323628904</c:v>
                </c:pt>
                <c:pt idx="120">
                  <c:v>0.57272850684221199</c:v>
                </c:pt>
                <c:pt idx="121">
                  <c:v>0.57786754262123796</c:v>
                </c:pt>
                <c:pt idx="122">
                  <c:v>0.640543049471057</c:v>
                </c:pt>
                <c:pt idx="123">
                  <c:v>0.67893250139775596</c:v>
                </c:pt>
                <c:pt idx="124">
                  <c:v>0.69118443677090702</c:v>
                </c:pt>
                <c:pt idx="125">
                  <c:v>0.68259805015938801</c:v>
                </c:pt>
                <c:pt idx="126">
                  <c:v>0.68318423990880495</c:v>
                </c:pt>
                <c:pt idx="127">
                  <c:v>0.679730325393886</c:v>
                </c:pt>
                <c:pt idx="128">
                  <c:v>0.69964360949191995</c:v>
                </c:pt>
                <c:pt idx="129">
                  <c:v>0.703670754834959</c:v>
                </c:pt>
                <c:pt idx="130">
                  <c:v>0.67670147550411697</c:v>
                </c:pt>
                <c:pt idx="131">
                  <c:v>0.70077154511059903</c:v>
                </c:pt>
                <c:pt idx="132">
                  <c:v>0.70926844517388199</c:v>
                </c:pt>
                <c:pt idx="133">
                  <c:v>0.72701313536347401</c:v>
                </c:pt>
                <c:pt idx="134">
                  <c:v>0.69425366248676801</c:v>
                </c:pt>
                <c:pt idx="135">
                  <c:v>0.69671474556516999</c:v>
                </c:pt>
                <c:pt idx="136">
                  <c:v>0.698492278945678</c:v>
                </c:pt>
                <c:pt idx="137">
                  <c:v>0.66796505277846896</c:v>
                </c:pt>
                <c:pt idx="138">
                  <c:v>0.59644331040582599</c:v>
                </c:pt>
                <c:pt idx="139">
                  <c:v>0.61007619260930401</c:v>
                </c:pt>
                <c:pt idx="140">
                  <c:v>0.64506722273635397</c:v>
                </c:pt>
                <c:pt idx="141">
                  <c:v>0.61953948495253197</c:v>
                </c:pt>
                <c:pt idx="142">
                  <c:v>0.59678877013154596</c:v>
                </c:pt>
                <c:pt idx="143">
                  <c:v>0.53774506581748704</c:v>
                </c:pt>
                <c:pt idx="144">
                  <c:v>0.50108533632794106</c:v>
                </c:pt>
                <c:pt idx="145">
                  <c:v>0.46755540270437002</c:v>
                </c:pt>
                <c:pt idx="146">
                  <c:v>0.43719361857386102</c:v>
                </c:pt>
                <c:pt idx="147">
                  <c:v>0.55959583583847405</c:v>
                </c:pt>
                <c:pt idx="148">
                  <c:v>0.59162662287419499</c:v>
                </c:pt>
                <c:pt idx="149">
                  <c:v>0.60024747645880105</c:v>
                </c:pt>
                <c:pt idx="150">
                  <c:v>0.62654271348167401</c:v>
                </c:pt>
                <c:pt idx="151">
                  <c:v>0.65941443682069301</c:v>
                </c:pt>
                <c:pt idx="152">
                  <c:v>0.62977132898153099</c:v>
                </c:pt>
                <c:pt idx="153">
                  <c:v>0.62974870267016103</c:v>
                </c:pt>
                <c:pt idx="154">
                  <c:v>0.65281088621162298</c:v>
                </c:pt>
                <c:pt idx="155">
                  <c:v>0.64307006346988105</c:v>
                </c:pt>
                <c:pt idx="156">
                  <c:v>0.63186489361064402</c:v>
                </c:pt>
                <c:pt idx="157">
                  <c:v>0.51682448647962598</c:v>
                </c:pt>
                <c:pt idx="158">
                  <c:v>0.50727503749935099</c:v>
                </c:pt>
                <c:pt idx="159">
                  <c:v>0.553370891621075</c:v>
                </c:pt>
                <c:pt idx="160">
                  <c:v>0.602028481292743</c:v>
                </c:pt>
                <c:pt idx="161">
                  <c:v>0.60716058517587901</c:v>
                </c:pt>
                <c:pt idx="162">
                  <c:v>0.64674336515874498</c:v>
                </c:pt>
                <c:pt idx="163">
                  <c:v>0.66802593059294602</c:v>
                </c:pt>
                <c:pt idx="164">
                  <c:v>0.71616098010461104</c:v>
                </c:pt>
                <c:pt idx="165">
                  <c:v>0.68609222292497996</c:v>
                </c:pt>
                <c:pt idx="166">
                  <c:v>0.68324415629308799</c:v>
                </c:pt>
                <c:pt idx="167">
                  <c:v>0.69477720113199803</c:v>
                </c:pt>
                <c:pt idx="168">
                  <c:v>0.66991054909622205</c:v>
                </c:pt>
                <c:pt idx="169">
                  <c:v>0.59086071948934205</c:v>
                </c:pt>
                <c:pt idx="170">
                  <c:v>0.55724623301252696</c:v>
                </c:pt>
                <c:pt idx="171">
                  <c:v>0.53284573530614698</c:v>
                </c:pt>
                <c:pt idx="172">
                  <c:v>0.65504895880222802</c:v>
                </c:pt>
                <c:pt idx="173">
                  <c:v>0.61807565631295203</c:v>
                </c:pt>
                <c:pt idx="174">
                  <c:v>0.64264663446018799</c:v>
                </c:pt>
                <c:pt idx="175">
                  <c:v>0.72645471990865695</c:v>
                </c:pt>
                <c:pt idx="176">
                  <c:v>0.70676409402587703</c:v>
                </c:pt>
                <c:pt idx="177">
                  <c:v>0.679633194952734</c:v>
                </c:pt>
                <c:pt idx="178">
                  <c:v>0.68035916875484104</c:v>
                </c:pt>
                <c:pt idx="179">
                  <c:v>0.77422370660684803</c:v>
                </c:pt>
                <c:pt idx="180">
                  <c:v>0.75955729010323703</c:v>
                </c:pt>
                <c:pt idx="181">
                  <c:v>0.62122866127603404</c:v>
                </c:pt>
                <c:pt idx="182">
                  <c:v>0.68673805709803004</c:v>
                </c:pt>
                <c:pt idx="183">
                  <c:v>0.67550835483163696</c:v>
                </c:pt>
                <c:pt idx="184">
                  <c:v>0.69437754967935805</c:v>
                </c:pt>
                <c:pt idx="185">
                  <c:v>0.71624041967296304</c:v>
                </c:pt>
                <c:pt idx="186">
                  <c:v>0.74743182996052204</c:v>
                </c:pt>
                <c:pt idx="187">
                  <c:v>0.72818995756862304</c:v>
                </c:pt>
                <c:pt idx="188">
                  <c:v>0.69528135874337404</c:v>
                </c:pt>
                <c:pt idx="189">
                  <c:v>0.70207021495604804</c:v>
                </c:pt>
                <c:pt idx="190">
                  <c:v>0.70046982982528205</c:v>
                </c:pt>
                <c:pt idx="191">
                  <c:v>0.67550777911563098</c:v>
                </c:pt>
                <c:pt idx="192">
                  <c:v>0.734852615002756</c:v>
                </c:pt>
                <c:pt idx="193">
                  <c:v>0.71307586116417399</c:v>
                </c:pt>
                <c:pt idx="194">
                  <c:v>0.57952633555765498</c:v>
                </c:pt>
                <c:pt idx="195">
                  <c:v>0.50926636063928798</c:v>
                </c:pt>
                <c:pt idx="196">
                  <c:v>0.53778527495884298</c:v>
                </c:pt>
                <c:pt idx="197">
                  <c:v>0.55439093068915701</c:v>
                </c:pt>
                <c:pt idx="198">
                  <c:v>0.62067091515986905</c:v>
                </c:pt>
                <c:pt idx="199">
                  <c:v>0.690429368076243</c:v>
                </c:pt>
                <c:pt idx="200">
                  <c:v>0.68378598569986704</c:v>
                </c:pt>
                <c:pt idx="201">
                  <c:v>0.63429586323951603</c:v>
                </c:pt>
                <c:pt idx="202">
                  <c:v>0.67503398524110103</c:v>
                </c:pt>
                <c:pt idx="203">
                  <c:v>0.67756941363832801</c:v>
                </c:pt>
                <c:pt idx="204">
                  <c:v>0.64240714466686999</c:v>
                </c:pt>
                <c:pt idx="205">
                  <c:v>0.64639883511007301</c:v>
                </c:pt>
                <c:pt idx="206">
                  <c:v>0.66585071047067101</c:v>
                </c:pt>
                <c:pt idx="207">
                  <c:v>0.68280803492497599</c:v>
                </c:pt>
                <c:pt idx="208">
                  <c:v>0.69195141355174405</c:v>
                </c:pt>
                <c:pt idx="209">
                  <c:v>0.68652899564481795</c:v>
                </c:pt>
                <c:pt idx="210">
                  <c:v>0.67505874116174602</c:v>
                </c:pt>
                <c:pt idx="211">
                  <c:v>0.67528884034095005</c:v>
                </c:pt>
                <c:pt idx="212">
                  <c:v>0.66586670524555602</c:v>
                </c:pt>
                <c:pt idx="213">
                  <c:v>0.63335390958386495</c:v>
                </c:pt>
                <c:pt idx="214">
                  <c:v>0.64683138799531004</c:v>
                </c:pt>
                <c:pt idx="215">
                  <c:v>0.640844382547059</c:v>
                </c:pt>
                <c:pt idx="216">
                  <c:v>0.675438501590371</c:v>
                </c:pt>
                <c:pt idx="217">
                  <c:v>0.69630296540916403</c:v>
                </c:pt>
                <c:pt idx="218">
                  <c:v>0.70564069202121504</c:v>
                </c:pt>
                <c:pt idx="219">
                  <c:v>0.70248708769186496</c:v>
                </c:pt>
                <c:pt idx="220">
                  <c:v>0.72256332100640397</c:v>
                </c:pt>
                <c:pt idx="221">
                  <c:v>0.74073041689381003</c:v>
                </c:pt>
                <c:pt idx="222">
                  <c:v>0.73106644061377202</c:v>
                </c:pt>
                <c:pt idx="223">
                  <c:v>0.71833488657386602</c:v>
                </c:pt>
                <c:pt idx="224">
                  <c:v>0.70794188319703399</c:v>
                </c:pt>
                <c:pt idx="225">
                  <c:v>0.65686283286718095</c:v>
                </c:pt>
                <c:pt idx="226">
                  <c:v>0.64216308547686596</c:v>
                </c:pt>
                <c:pt idx="227">
                  <c:v>0.67610243613924703</c:v>
                </c:pt>
                <c:pt idx="228">
                  <c:v>0.65328621475014903</c:v>
                </c:pt>
                <c:pt idx="229">
                  <c:v>0.61923265392684901</c:v>
                </c:pt>
                <c:pt idx="230">
                  <c:v>0.50290207075990101</c:v>
                </c:pt>
                <c:pt idx="231">
                  <c:v>0.46783859440006598</c:v>
                </c:pt>
                <c:pt idx="232">
                  <c:v>0.46170197146833297</c:v>
                </c:pt>
                <c:pt idx="233">
                  <c:v>0.54473969801843003</c:v>
                </c:pt>
                <c:pt idx="234">
                  <c:v>0.53075857156998996</c:v>
                </c:pt>
                <c:pt idx="235">
                  <c:v>0.48531722542241001</c:v>
                </c:pt>
                <c:pt idx="236">
                  <c:v>0.49042814418987102</c:v>
                </c:pt>
                <c:pt idx="237">
                  <c:v>0.53027276069826002</c:v>
                </c:pt>
                <c:pt idx="238">
                  <c:v>0.53003136348027802</c:v>
                </c:pt>
                <c:pt idx="239">
                  <c:v>0.53373338146294202</c:v>
                </c:pt>
                <c:pt idx="240">
                  <c:v>0.58068938206812604</c:v>
                </c:pt>
                <c:pt idx="241">
                  <c:v>0.59145575591362498</c:v>
                </c:pt>
                <c:pt idx="242">
                  <c:v>0.60280877805589395</c:v>
                </c:pt>
                <c:pt idx="243">
                  <c:v>0.61773837377204399</c:v>
                </c:pt>
                <c:pt idx="244">
                  <c:v>0.60371820487485195</c:v>
                </c:pt>
                <c:pt idx="245">
                  <c:v>0.65424805360146299</c:v>
                </c:pt>
                <c:pt idx="246">
                  <c:v>0.65219554162814997</c:v>
                </c:pt>
                <c:pt idx="247">
                  <c:v>0.53633950001371</c:v>
                </c:pt>
                <c:pt idx="248">
                  <c:v>0.50284049353292504</c:v>
                </c:pt>
                <c:pt idx="249">
                  <c:v>0.49505806640553202</c:v>
                </c:pt>
                <c:pt idx="250">
                  <c:v>0.48989450551217401</c:v>
                </c:pt>
                <c:pt idx="251">
                  <c:v>0.51625521803605001</c:v>
                </c:pt>
                <c:pt idx="252">
                  <c:v>0.52836985860934205</c:v>
                </c:pt>
                <c:pt idx="253">
                  <c:v>0.67558046315391096</c:v>
                </c:pt>
                <c:pt idx="254">
                  <c:v>0.66742607934819498</c:v>
                </c:pt>
                <c:pt idx="255">
                  <c:v>0.66436425710773805</c:v>
                </c:pt>
                <c:pt idx="256">
                  <c:v>0.64610496771827397</c:v>
                </c:pt>
                <c:pt idx="257">
                  <c:v>0.54534836030553102</c:v>
                </c:pt>
                <c:pt idx="258">
                  <c:v>0.68312923005912096</c:v>
                </c:pt>
                <c:pt idx="259">
                  <c:v>0.68300392266310195</c:v>
                </c:pt>
                <c:pt idx="260">
                  <c:v>0.62881667627350302</c:v>
                </c:pt>
                <c:pt idx="261">
                  <c:v>0.56672061949638797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'OTM Refi'!$D$1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Refi'!$D$2:$D$264</c:f>
              <c:numCache>
                <c:formatCode>General</c:formatCode>
                <c:ptCount val="2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8.6666666666663592E-3</c:v>
                </c:pt>
                <c:pt idx="59">
                  <c:v>2.0666666666666798E-2</c:v>
                </c:pt>
                <c:pt idx="60">
                  <c:v>3.2666666666666302E-2</c:v>
                </c:pt>
                <c:pt idx="61">
                  <c:v>3.3333333333333298E-2</c:v>
                </c:pt>
                <c:pt idx="62">
                  <c:v>3.4666666666666401E-2</c:v>
                </c:pt>
                <c:pt idx="63">
                  <c:v>3.5333333333333397E-2</c:v>
                </c:pt>
                <c:pt idx="64">
                  <c:v>2.86666666666671E-2</c:v>
                </c:pt>
                <c:pt idx="65">
                  <c:v>2.2666666666666901E-2</c:v>
                </c:pt>
                <c:pt idx="66">
                  <c:v>1.5999999999999698E-2</c:v>
                </c:pt>
                <c:pt idx="67">
                  <c:v>2.6666666666667001E-2</c:v>
                </c:pt>
                <c:pt idx="68">
                  <c:v>3.66666666666665E-2</c:v>
                </c:pt>
                <c:pt idx="69">
                  <c:v>4.6666666666666801E-2</c:v>
                </c:pt>
                <c:pt idx="70">
                  <c:v>6.4666666666666595E-2</c:v>
                </c:pt>
                <c:pt idx="71">
                  <c:v>8.2000000000000295E-2</c:v>
                </c:pt>
                <c:pt idx="72">
                  <c:v>0.1</c:v>
                </c:pt>
                <c:pt idx="73">
                  <c:v>0.11</c:v>
                </c:pt>
                <c:pt idx="74">
                  <c:v>0.12066666666666701</c:v>
                </c:pt>
                <c:pt idx="75">
                  <c:v>0.13066666666666599</c:v>
                </c:pt>
                <c:pt idx="76">
                  <c:v>0.139333333333334</c:v>
                </c:pt>
                <c:pt idx="77">
                  <c:v>0.14799999999999999</c:v>
                </c:pt>
                <c:pt idx="78">
                  <c:v>0.15666666666666601</c:v>
                </c:pt>
                <c:pt idx="79">
                  <c:v>0.192</c:v>
                </c:pt>
                <c:pt idx="80">
                  <c:v>0.22666666666666699</c:v>
                </c:pt>
                <c:pt idx="81">
                  <c:v>0.26133333333333297</c:v>
                </c:pt>
                <c:pt idx="82">
                  <c:v>0.27</c:v>
                </c:pt>
                <c:pt idx="83">
                  <c:v>0.27866666666666701</c:v>
                </c:pt>
                <c:pt idx="84">
                  <c:v>0.28666666666666601</c:v>
                </c:pt>
                <c:pt idx="85">
                  <c:v>0.28999999999999998</c:v>
                </c:pt>
                <c:pt idx="86">
                  <c:v>0.293333333333334</c:v>
                </c:pt>
                <c:pt idx="87">
                  <c:v>0.29666666666666702</c:v>
                </c:pt>
                <c:pt idx="88">
                  <c:v>0.30199999999999999</c:v>
                </c:pt>
                <c:pt idx="89">
                  <c:v>0.30733333333333301</c:v>
                </c:pt>
                <c:pt idx="90">
                  <c:v>0.312</c:v>
                </c:pt>
                <c:pt idx="91">
                  <c:v>0.3</c:v>
                </c:pt>
                <c:pt idx="92">
                  <c:v>0.28866666666666702</c:v>
                </c:pt>
                <c:pt idx="93">
                  <c:v>0.276666666666667</c:v>
                </c:pt>
                <c:pt idx="94">
                  <c:v>0.27866666666666701</c:v>
                </c:pt>
                <c:pt idx="95">
                  <c:v>0.28066666666666601</c:v>
                </c:pt>
                <c:pt idx="96">
                  <c:v>0.28199999999999997</c:v>
                </c:pt>
                <c:pt idx="97">
                  <c:v>0.28666666666666601</c:v>
                </c:pt>
                <c:pt idx="98">
                  <c:v>0.29066666666666702</c:v>
                </c:pt>
                <c:pt idx="99">
                  <c:v>0.29466666666666702</c:v>
                </c:pt>
                <c:pt idx="100">
                  <c:v>0.29199999999999998</c:v>
                </c:pt>
                <c:pt idx="101">
                  <c:v>0.28866666666666702</c:v>
                </c:pt>
                <c:pt idx="102">
                  <c:v>0.28599999999999998</c:v>
                </c:pt>
                <c:pt idx="103">
                  <c:v>0.254</c:v>
                </c:pt>
                <c:pt idx="104">
                  <c:v>0.223333333333333</c:v>
                </c:pt>
                <c:pt idx="105">
                  <c:v>0.19266666666666701</c:v>
                </c:pt>
                <c:pt idx="106">
                  <c:v>0.18133333333333301</c:v>
                </c:pt>
                <c:pt idx="107">
                  <c:v>0.17</c:v>
                </c:pt>
                <c:pt idx="108">
                  <c:v>0.15866666666666601</c:v>
                </c:pt>
                <c:pt idx="109">
                  <c:v>0.158</c:v>
                </c:pt>
                <c:pt idx="110">
                  <c:v>0.158</c:v>
                </c:pt>
                <c:pt idx="111">
                  <c:v>0.15733333333333299</c:v>
                </c:pt>
                <c:pt idx="112">
                  <c:v>0.19666666666666699</c:v>
                </c:pt>
                <c:pt idx="113">
                  <c:v>0.23599999999999999</c:v>
                </c:pt>
                <c:pt idx="114">
                  <c:v>0.274666666666667</c:v>
                </c:pt>
                <c:pt idx="115">
                  <c:v>0.27733333333333299</c:v>
                </c:pt>
                <c:pt idx="116">
                  <c:v>0.28066666666666601</c:v>
                </c:pt>
                <c:pt idx="117">
                  <c:v>0.28333333333333299</c:v>
                </c:pt>
                <c:pt idx="118">
                  <c:v>0.30199999999999999</c:v>
                </c:pt>
                <c:pt idx="119">
                  <c:v>0.32</c:v>
                </c:pt>
                <c:pt idx="120">
                  <c:v>0.33800000000000002</c:v>
                </c:pt>
                <c:pt idx="121">
                  <c:v>0.38466666666666599</c:v>
                </c:pt>
                <c:pt idx="122">
                  <c:v>0.43066666666666598</c:v>
                </c:pt>
                <c:pt idx="123">
                  <c:v>0.47666666666666702</c:v>
                </c:pt>
                <c:pt idx="124">
                  <c:v>0.49466666666666698</c:v>
                </c:pt>
                <c:pt idx="125">
                  <c:v>0.51266666666666605</c:v>
                </c:pt>
                <c:pt idx="126">
                  <c:v>0.53066666666666595</c:v>
                </c:pt>
                <c:pt idx="127">
                  <c:v>0.55933333333333302</c:v>
                </c:pt>
                <c:pt idx="128">
                  <c:v>0.58733333333333304</c:v>
                </c:pt>
                <c:pt idx="129">
                  <c:v>0.61533333333333395</c:v>
                </c:pt>
                <c:pt idx="130">
                  <c:v>0.667333333333334</c:v>
                </c:pt>
                <c:pt idx="131">
                  <c:v>0.71933333333333405</c:v>
                </c:pt>
                <c:pt idx="132">
                  <c:v>0.77066666666666706</c:v>
                </c:pt>
                <c:pt idx="133">
                  <c:v>0.81</c:v>
                </c:pt>
                <c:pt idx="134">
                  <c:v>0.85</c:v>
                </c:pt>
                <c:pt idx="135">
                  <c:v>0.88866666666666705</c:v>
                </c:pt>
                <c:pt idx="136">
                  <c:v>0.87333333333333296</c:v>
                </c:pt>
                <c:pt idx="137">
                  <c:v>0.85866666666666602</c:v>
                </c:pt>
                <c:pt idx="138">
                  <c:v>0.84399999999999997</c:v>
                </c:pt>
                <c:pt idx="139">
                  <c:v>0.84466666666666701</c:v>
                </c:pt>
                <c:pt idx="140">
                  <c:v>0.84599999999999997</c:v>
                </c:pt>
                <c:pt idx="141">
                  <c:v>0.84666666666666701</c:v>
                </c:pt>
                <c:pt idx="142">
                  <c:v>0.80866666666666598</c:v>
                </c:pt>
                <c:pt idx="143">
                  <c:v>0.77133333333333298</c:v>
                </c:pt>
                <c:pt idx="144">
                  <c:v>0.73466666666666602</c:v>
                </c:pt>
                <c:pt idx="145">
                  <c:v>0.65533333333333299</c:v>
                </c:pt>
                <c:pt idx="146">
                  <c:v>0.57799999999999996</c:v>
                </c:pt>
                <c:pt idx="147">
                  <c:v>0.50266666666666704</c:v>
                </c:pt>
                <c:pt idx="148">
                  <c:v>0.47399999999999998</c:v>
                </c:pt>
                <c:pt idx="149">
                  <c:v>0.44533333333333402</c:v>
                </c:pt>
                <c:pt idx="150">
                  <c:v>0.417333333333334</c:v>
                </c:pt>
                <c:pt idx="151">
                  <c:v>0.36799999999999999</c:v>
                </c:pt>
                <c:pt idx="152">
                  <c:v>0.31866666666666699</c:v>
                </c:pt>
                <c:pt idx="153">
                  <c:v>0.270666666666667</c:v>
                </c:pt>
                <c:pt idx="154">
                  <c:v>0.18933333333333399</c:v>
                </c:pt>
                <c:pt idx="155">
                  <c:v>0.109333333333333</c:v>
                </c:pt>
                <c:pt idx="156">
                  <c:v>3.06666666666662E-2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1.8666666666666699E-2</c:v>
                </c:pt>
                <c:pt idx="241">
                  <c:v>2.4666666666667E-2</c:v>
                </c:pt>
                <c:pt idx="242">
                  <c:v>3.1333333333333303E-2</c:v>
                </c:pt>
                <c:pt idx="243">
                  <c:v>3.7333333333333503E-2</c:v>
                </c:pt>
                <c:pt idx="244">
                  <c:v>3.8666666666666599E-2</c:v>
                </c:pt>
                <c:pt idx="245">
                  <c:v>4.0666666666666601E-2</c:v>
                </c:pt>
                <c:pt idx="246">
                  <c:v>4.1999999999999697E-2</c:v>
                </c:pt>
                <c:pt idx="247">
                  <c:v>5.2000000000000102E-2</c:v>
                </c:pt>
                <c:pt idx="248">
                  <c:v>6.2000000000000499E-2</c:v>
                </c:pt>
                <c:pt idx="249">
                  <c:v>7.1999999999999897E-2</c:v>
                </c:pt>
                <c:pt idx="250">
                  <c:v>8.1333333333333299E-2</c:v>
                </c:pt>
                <c:pt idx="251">
                  <c:v>9.0666666666666604E-2</c:v>
                </c:pt>
                <c:pt idx="252">
                  <c:v>9.9333333333332996E-2</c:v>
                </c:pt>
                <c:pt idx="253">
                  <c:v>0.10199999999999999</c:v>
                </c:pt>
                <c:pt idx="254">
                  <c:v>0.104</c:v>
                </c:pt>
                <c:pt idx="255">
                  <c:v>0.10666666666666599</c:v>
                </c:pt>
                <c:pt idx="256">
                  <c:v>0.101333333333333</c:v>
                </c:pt>
                <c:pt idx="257">
                  <c:v>9.6666666666666803E-2</c:v>
                </c:pt>
                <c:pt idx="258">
                  <c:v>9.1333333333333599E-2</c:v>
                </c:pt>
                <c:pt idx="259">
                  <c:v>8.7333333333333499E-2</c:v>
                </c:pt>
                <c:pt idx="260">
                  <c:v>8.2666666666666305E-2</c:v>
                </c:pt>
                <c:pt idx="261">
                  <c:v>7.8666666666667107E-2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'OTM Refi'!$E$1</c:f>
              <c:strCache>
                <c:ptCount val="1"/>
                <c:pt idx="0">
                  <c:v>cltv</c:v>
                </c:pt>
              </c:strCache>
            </c:strRef>
          </c:tx>
          <c:marker>
            <c:symbol val="none"/>
          </c:marker>
          <c:cat>
            <c:numRef>
              <c:f>'OTM Refi'!$A$2:$A$264</c:f>
              <c:numCache>
                <c:formatCode>m/d/yyyy</c:formatCode>
                <c:ptCount val="263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'OTM Refi'!$E$2:$E$264</c:f>
              <c:numCache>
                <c:formatCode>General</c:formatCode>
                <c:ptCount val="263"/>
                <c:pt idx="0">
                  <c:v>1</c:v>
                </c:pt>
                <c:pt idx="1">
                  <c:v>1</c:v>
                </c:pt>
                <c:pt idx="2">
                  <c:v>0.99934529678935302</c:v>
                </c:pt>
                <c:pt idx="3">
                  <c:v>0.999939151471676</c:v>
                </c:pt>
                <c:pt idx="4">
                  <c:v>0.99991997811540501</c:v>
                </c:pt>
                <c:pt idx="5">
                  <c:v>0.99994899952020799</c:v>
                </c:pt>
                <c:pt idx="6">
                  <c:v>0.99993615235272504</c:v>
                </c:pt>
                <c:pt idx="7">
                  <c:v>0.99990147656335804</c:v>
                </c:pt>
                <c:pt idx="8">
                  <c:v>0.99981207030994101</c:v>
                </c:pt>
                <c:pt idx="9">
                  <c:v>0.99981678234968596</c:v>
                </c:pt>
                <c:pt idx="10">
                  <c:v>0.99989065343970096</c:v>
                </c:pt>
                <c:pt idx="11">
                  <c:v>0.99996064993951195</c:v>
                </c:pt>
                <c:pt idx="12">
                  <c:v>0.99999297761987704</c:v>
                </c:pt>
                <c:pt idx="13">
                  <c:v>0.99999745292070696</c:v>
                </c:pt>
                <c:pt idx="14">
                  <c:v>0.99999963283712201</c:v>
                </c:pt>
                <c:pt idx="15">
                  <c:v>1</c:v>
                </c:pt>
                <c:pt idx="16">
                  <c:v>1</c:v>
                </c:pt>
                <c:pt idx="17">
                  <c:v>0.99999415867715102</c:v>
                </c:pt>
                <c:pt idx="18">
                  <c:v>0.99999963691294502</c:v>
                </c:pt>
                <c:pt idx="19">
                  <c:v>0.99999601360776202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0.99997873394854697</c:v>
                </c:pt>
                <c:pt idx="25">
                  <c:v>0.99989398100206905</c:v>
                </c:pt>
                <c:pt idx="26">
                  <c:v>0.99981366153112705</c:v>
                </c:pt>
                <c:pt idx="27">
                  <c:v>0.999777970835666</c:v>
                </c:pt>
                <c:pt idx="28">
                  <c:v>0.999826712675567</c:v>
                </c:pt>
                <c:pt idx="29">
                  <c:v>0.99988235872737696</c:v>
                </c:pt>
                <c:pt idx="30">
                  <c:v>0.99987308218119697</c:v>
                </c:pt>
                <c:pt idx="31">
                  <c:v>0.99995795917980002</c:v>
                </c:pt>
                <c:pt idx="32">
                  <c:v>0.99992190749294896</c:v>
                </c:pt>
                <c:pt idx="33">
                  <c:v>0.99998552533517704</c:v>
                </c:pt>
                <c:pt idx="34">
                  <c:v>0.99997895404729498</c:v>
                </c:pt>
                <c:pt idx="35">
                  <c:v>0.99997584823105401</c:v>
                </c:pt>
                <c:pt idx="36">
                  <c:v>0.99998490278988805</c:v>
                </c:pt>
                <c:pt idx="37">
                  <c:v>0.99999545134693402</c:v>
                </c:pt>
                <c:pt idx="38">
                  <c:v>0.99999632110477699</c:v>
                </c:pt>
                <c:pt idx="39">
                  <c:v>0.99999856360803197</c:v>
                </c:pt>
                <c:pt idx="40">
                  <c:v>0.99999814296729195</c:v>
                </c:pt>
                <c:pt idx="41">
                  <c:v>0.99999828823803005</c:v>
                </c:pt>
                <c:pt idx="42">
                  <c:v>0.99999800673641204</c:v>
                </c:pt>
                <c:pt idx="43">
                  <c:v>0.99999582510257001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0.999998067465381</c:v>
                </c:pt>
                <c:pt idx="62">
                  <c:v>0.99999771273706195</c:v>
                </c:pt>
                <c:pt idx="63">
                  <c:v>0.99999032422241196</c:v>
                </c:pt>
                <c:pt idx="64">
                  <c:v>0.99999710251438401</c:v>
                </c:pt>
                <c:pt idx="65">
                  <c:v>0.99999733411568303</c:v>
                </c:pt>
                <c:pt idx="66">
                  <c:v>0.99999912751356401</c:v>
                </c:pt>
                <c:pt idx="67">
                  <c:v>0.99999910371223599</c:v>
                </c:pt>
                <c:pt idx="68">
                  <c:v>0.999996738711182</c:v>
                </c:pt>
                <c:pt idx="69">
                  <c:v>0.99999829050346201</c:v>
                </c:pt>
                <c:pt idx="70">
                  <c:v>0.99999946905861103</c:v>
                </c:pt>
                <c:pt idx="71">
                  <c:v>0.99999996318308604</c:v>
                </c:pt>
                <c:pt idx="72">
                  <c:v>0.99999982440834301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0.99529046044893199</c:v>
                </c:pt>
                <c:pt idx="109">
                  <c:v>0.83160000000000001</c:v>
                </c:pt>
                <c:pt idx="110">
                  <c:v>0.94994454516887805</c:v>
                </c:pt>
                <c:pt idx="111">
                  <c:v>0.97233488110069899</c:v>
                </c:pt>
                <c:pt idx="112">
                  <c:v>0.96713824749577104</c:v>
                </c:pt>
                <c:pt idx="113">
                  <c:v>0.97821769120742996</c:v>
                </c:pt>
                <c:pt idx="114">
                  <c:v>0.982197666257002</c:v>
                </c:pt>
                <c:pt idx="115">
                  <c:v>0.98476244551141101</c:v>
                </c:pt>
                <c:pt idx="116">
                  <c:v>0.98504316151063498</c:v>
                </c:pt>
                <c:pt idx="117">
                  <c:v>0.98916183632016397</c:v>
                </c:pt>
                <c:pt idx="118">
                  <c:v>0.99513978456181995</c:v>
                </c:pt>
                <c:pt idx="119">
                  <c:v>0.990710653216891</c:v>
                </c:pt>
                <c:pt idx="120">
                  <c:v>0.98661254126407005</c:v>
                </c:pt>
                <c:pt idx="121">
                  <c:v>0.98632972056853097</c:v>
                </c:pt>
                <c:pt idx="122">
                  <c:v>0.99356066055658399</c:v>
                </c:pt>
                <c:pt idx="123">
                  <c:v>0.99633159242965696</c:v>
                </c:pt>
                <c:pt idx="124">
                  <c:v>0.99712702488735805</c:v>
                </c:pt>
                <c:pt idx="125">
                  <c:v>0.99704329036889905</c:v>
                </c:pt>
                <c:pt idx="126">
                  <c:v>0.99723531151365996</c:v>
                </c:pt>
                <c:pt idx="127">
                  <c:v>0.99695363268594905</c:v>
                </c:pt>
                <c:pt idx="128">
                  <c:v>0.99734642358014702</c:v>
                </c:pt>
                <c:pt idx="129">
                  <c:v>0.99872547457245298</c:v>
                </c:pt>
                <c:pt idx="130">
                  <c:v>0.99530101888025702</c:v>
                </c:pt>
                <c:pt idx="131">
                  <c:v>0.99571990776868002</c:v>
                </c:pt>
                <c:pt idx="132">
                  <c:v>0.99779774421449396</c:v>
                </c:pt>
                <c:pt idx="133">
                  <c:v>0.99858475444675598</c:v>
                </c:pt>
                <c:pt idx="134">
                  <c:v>0.99795252655712596</c:v>
                </c:pt>
                <c:pt idx="135">
                  <c:v>0.99630989678230297</c:v>
                </c:pt>
                <c:pt idx="136">
                  <c:v>0.99493706683286398</c:v>
                </c:pt>
                <c:pt idx="137">
                  <c:v>0.99032497538866204</c:v>
                </c:pt>
                <c:pt idx="138">
                  <c:v>0.98409702811979405</c:v>
                </c:pt>
                <c:pt idx="139">
                  <c:v>0.98440520967350098</c:v>
                </c:pt>
                <c:pt idx="140">
                  <c:v>0.98872800121185</c:v>
                </c:pt>
                <c:pt idx="141">
                  <c:v>0.98788683083133699</c:v>
                </c:pt>
                <c:pt idx="142">
                  <c:v>0.98955382381166901</c:v>
                </c:pt>
                <c:pt idx="143">
                  <c:v>0.99066024063908098</c:v>
                </c:pt>
                <c:pt idx="144">
                  <c:v>0.99079744697725802</c:v>
                </c:pt>
                <c:pt idx="145">
                  <c:v>0.98880614402746903</c:v>
                </c:pt>
                <c:pt idx="146">
                  <c:v>0.98709965540184497</c:v>
                </c:pt>
                <c:pt idx="147">
                  <c:v>0.99360981019637595</c:v>
                </c:pt>
                <c:pt idx="148">
                  <c:v>0.99410534350945801</c:v>
                </c:pt>
                <c:pt idx="149">
                  <c:v>0.99386913107710495</c:v>
                </c:pt>
                <c:pt idx="150">
                  <c:v>0.99478315156703401</c:v>
                </c:pt>
                <c:pt idx="151">
                  <c:v>0.99589233184282</c:v>
                </c:pt>
                <c:pt idx="152">
                  <c:v>0.99471839330318601</c:v>
                </c:pt>
                <c:pt idx="153">
                  <c:v>0.99472460250442896</c:v>
                </c:pt>
                <c:pt idx="154">
                  <c:v>0.99594005416784004</c:v>
                </c:pt>
                <c:pt idx="155">
                  <c:v>0.99588198275109496</c:v>
                </c:pt>
                <c:pt idx="156">
                  <c:v>0.99531605147592805</c:v>
                </c:pt>
                <c:pt idx="157">
                  <c:v>0.983763167740627</c:v>
                </c:pt>
                <c:pt idx="158">
                  <c:v>0.97511432117775099</c:v>
                </c:pt>
                <c:pt idx="159">
                  <c:v>0.97992472115878004</c:v>
                </c:pt>
                <c:pt idx="160">
                  <c:v>0.98446367789268696</c:v>
                </c:pt>
                <c:pt idx="161">
                  <c:v>0.98073446413314302</c:v>
                </c:pt>
                <c:pt idx="162">
                  <c:v>0.98299520380066996</c:v>
                </c:pt>
                <c:pt idx="163">
                  <c:v>0.98511953212721404</c:v>
                </c:pt>
                <c:pt idx="164">
                  <c:v>0.99096965309164897</c:v>
                </c:pt>
                <c:pt idx="165">
                  <c:v>0.980433148887211</c:v>
                </c:pt>
                <c:pt idx="166">
                  <c:v>0.973133754894834</c:v>
                </c:pt>
                <c:pt idx="167">
                  <c:v>0.97199700119829002</c:v>
                </c:pt>
                <c:pt idx="168">
                  <c:v>0.95277805424776096</c:v>
                </c:pt>
                <c:pt idx="169">
                  <c:v>0.89919728291571499</c:v>
                </c:pt>
                <c:pt idx="170">
                  <c:v>0.87159868451425604</c:v>
                </c:pt>
                <c:pt idx="171">
                  <c:v>0.84574947773027898</c:v>
                </c:pt>
                <c:pt idx="172">
                  <c:v>0.89363949724157898</c:v>
                </c:pt>
                <c:pt idx="173">
                  <c:v>0.84186444391224902</c:v>
                </c:pt>
                <c:pt idx="174">
                  <c:v>0.83428301509911795</c:v>
                </c:pt>
                <c:pt idx="175">
                  <c:v>0.90545992907551798</c:v>
                </c:pt>
                <c:pt idx="176">
                  <c:v>0.96123167855712299</c:v>
                </c:pt>
                <c:pt idx="177">
                  <c:v>0.98875934697262602</c:v>
                </c:pt>
                <c:pt idx="178">
                  <c:v>0.99211956107955801</c:v>
                </c:pt>
                <c:pt idx="179">
                  <c:v>0.99089302172442495</c:v>
                </c:pt>
                <c:pt idx="180">
                  <c:v>0.99296764971374596</c:v>
                </c:pt>
                <c:pt idx="181">
                  <c:v>0.99099620688675205</c:v>
                </c:pt>
                <c:pt idx="182">
                  <c:v>0.98623524377786198</c:v>
                </c:pt>
                <c:pt idx="183">
                  <c:v>0.98382157571726003</c:v>
                </c:pt>
                <c:pt idx="184">
                  <c:v>0.99128665108648395</c:v>
                </c:pt>
                <c:pt idx="185">
                  <c:v>0.98944102807801004</c:v>
                </c:pt>
                <c:pt idx="186">
                  <c:v>0.98402052135718998</c:v>
                </c:pt>
                <c:pt idx="187">
                  <c:v>0.98270711220104401</c:v>
                </c:pt>
                <c:pt idx="188">
                  <c:v>0.980233596730817</c:v>
                </c:pt>
                <c:pt idx="189">
                  <c:v>0.97437397140912596</c:v>
                </c:pt>
                <c:pt idx="190">
                  <c:v>0.97841871639174405</c:v>
                </c:pt>
                <c:pt idx="191">
                  <c:v>0.96861808008647599</c:v>
                </c:pt>
                <c:pt idx="192">
                  <c:v>0.95123123542272103</c:v>
                </c:pt>
                <c:pt idx="193">
                  <c:v>0.74495603627871398</c:v>
                </c:pt>
                <c:pt idx="194">
                  <c:v>0.17430125366015001</c:v>
                </c:pt>
                <c:pt idx="195">
                  <c:v>4.1101594933352699E-2</c:v>
                </c:pt>
                <c:pt idx="196">
                  <c:v>4.3374668860556603E-2</c:v>
                </c:pt>
                <c:pt idx="197">
                  <c:v>2.13127749027845E-2</c:v>
                </c:pt>
                <c:pt idx="198">
                  <c:v>0.12867224662539001</c:v>
                </c:pt>
                <c:pt idx="199">
                  <c:v>0.74297980279290499</c:v>
                </c:pt>
                <c:pt idx="200">
                  <c:v>0.759855255527214</c:v>
                </c:pt>
                <c:pt idx="201">
                  <c:v>0.80387488911210903</c:v>
                </c:pt>
                <c:pt idx="202">
                  <c:v>0.78537685515960798</c:v>
                </c:pt>
                <c:pt idx="203">
                  <c:v>0.79139153614117697</c:v>
                </c:pt>
                <c:pt idx="204">
                  <c:v>0.595874068824084</c:v>
                </c:pt>
                <c:pt idx="205">
                  <c:v>0.48705226571145699</c:v>
                </c:pt>
                <c:pt idx="206">
                  <c:v>0.66930735112128303</c:v>
                </c:pt>
                <c:pt idx="207">
                  <c:v>0.16527475037418701</c:v>
                </c:pt>
                <c:pt idx="208">
                  <c:v>6.0778885248094099E-2</c:v>
                </c:pt>
                <c:pt idx="209">
                  <c:v>8.3618928856142194E-2</c:v>
                </c:pt>
                <c:pt idx="210">
                  <c:v>9.7267712621240093E-2</c:v>
                </c:pt>
                <c:pt idx="211">
                  <c:v>0.107818245046892</c:v>
                </c:pt>
                <c:pt idx="212">
                  <c:v>0.120655323465786</c:v>
                </c:pt>
                <c:pt idx="213">
                  <c:v>4.6916448128138097E-2</c:v>
                </c:pt>
                <c:pt idx="214">
                  <c:v>3.2581160328252402E-2</c:v>
                </c:pt>
                <c:pt idx="215">
                  <c:v>2.2356727281434501E-2</c:v>
                </c:pt>
                <c:pt idx="216">
                  <c:v>5.3885139494083798E-4</c:v>
                </c:pt>
                <c:pt idx="217">
                  <c:v>5.2230933935548196E-4</c:v>
                </c:pt>
                <c:pt idx="218">
                  <c:v>3.5471193860732003E-4</c:v>
                </c:pt>
                <c:pt idx="219">
                  <c:v>4.0112483424190699E-4</c:v>
                </c:pt>
                <c:pt idx="220">
                  <c:v>1.0950554828477201E-3</c:v>
                </c:pt>
                <c:pt idx="221">
                  <c:v>9.2409307950109404E-4</c:v>
                </c:pt>
                <c:pt idx="222">
                  <c:v>7.6431158682242599E-4</c:v>
                </c:pt>
                <c:pt idx="223">
                  <c:v>6.7855154378187402E-4</c:v>
                </c:pt>
                <c:pt idx="224">
                  <c:v>5.4112076329037903E-2</c:v>
                </c:pt>
                <c:pt idx="225">
                  <c:v>9.93566172024231E-2</c:v>
                </c:pt>
                <c:pt idx="226">
                  <c:v>0.108698005096957</c:v>
                </c:pt>
                <c:pt idx="227">
                  <c:v>6.5189589608403806E-2</c:v>
                </c:pt>
                <c:pt idx="228">
                  <c:v>9.67512175259784E-2</c:v>
                </c:pt>
                <c:pt idx="229">
                  <c:v>0.76836740618324095</c:v>
                </c:pt>
                <c:pt idx="230">
                  <c:v>0.82336765956776303</c:v>
                </c:pt>
                <c:pt idx="231">
                  <c:v>0.833267765811192</c:v>
                </c:pt>
                <c:pt idx="232">
                  <c:v>0.83142058752833603</c:v>
                </c:pt>
                <c:pt idx="233">
                  <c:v>0.790055458233897</c:v>
                </c:pt>
                <c:pt idx="234">
                  <c:v>0.79918612379100595</c:v>
                </c:pt>
                <c:pt idx="235">
                  <c:v>0.82908169923702302</c:v>
                </c:pt>
                <c:pt idx="236">
                  <c:v>0.83050075591805905</c:v>
                </c:pt>
                <c:pt idx="237">
                  <c:v>0.81871000276352301</c:v>
                </c:pt>
                <c:pt idx="238">
                  <c:v>0.82718426141045398</c:v>
                </c:pt>
                <c:pt idx="239">
                  <c:v>0.838945224930848</c:v>
                </c:pt>
                <c:pt idx="240">
                  <c:v>0.820739594371242</c:v>
                </c:pt>
                <c:pt idx="241">
                  <c:v>0.82473832199854602</c:v>
                </c:pt>
                <c:pt idx="242">
                  <c:v>0.82634781149587999</c:v>
                </c:pt>
                <c:pt idx="243">
                  <c:v>0.83121100386087299</c:v>
                </c:pt>
                <c:pt idx="244">
                  <c:v>0.83251935712688896</c:v>
                </c:pt>
                <c:pt idx="245">
                  <c:v>0.80557662608982905</c:v>
                </c:pt>
                <c:pt idx="246">
                  <c:v>0.77248455818038797</c:v>
                </c:pt>
                <c:pt idx="247">
                  <c:v>0.40390088353474402</c:v>
                </c:pt>
                <c:pt idx="248">
                  <c:v>0.109432440817899</c:v>
                </c:pt>
                <c:pt idx="249">
                  <c:v>0.12097887792350701</c:v>
                </c:pt>
                <c:pt idx="250">
                  <c:v>0.15876061910603501</c:v>
                </c:pt>
                <c:pt idx="251">
                  <c:v>0.112641885225647</c:v>
                </c:pt>
                <c:pt idx="252">
                  <c:v>0.33485654398175602</c:v>
                </c:pt>
                <c:pt idx="253">
                  <c:v>0.82094493796676205</c:v>
                </c:pt>
                <c:pt idx="254">
                  <c:v>0.84935606775297001</c:v>
                </c:pt>
                <c:pt idx="255">
                  <c:v>0.68733195172621897</c:v>
                </c:pt>
                <c:pt idx="256">
                  <c:v>0.61940836730347604</c:v>
                </c:pt>
                <c:pt idx="257">
                  <c:v>0.227675918278061</c:v>
                </c:pt>
                <c:pt idx="258">
                  <c:v>0.78275513244032802</c:v>
                </c:pt>
                <c:pt idx="259">
                  <c:v>0.79804657890014497</c:v>
                </c:pt>
                <c:pt idx="260">
                  <c:v>0.55218019075135105</c:v>
                </c:pt>
                <c:pt idx="261">
                  <c:v>0.148543303026406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97824"/>
        <c:axId val="125999360"/>
      </c:lineChart>
      <c:dateAx>
        <c:axId val="125997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5999360"/>
        <c:crosses val="autoZero"/>
        <c:auto val="1"/>
        <c:lblOffset val="100"/>
        <c:baseTimeUnit val="months"/>
      </c:dateAx>
      <c:valAx>
        <c:axId val="125999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997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vs actual'!$B$1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actual'!$B$2:$B$263</c:f>
              <c:numCache>
                <c:formatCode>General</c:formatCode>
                <c:ptCount val="262"/>
                <c:pt idx="0">
                  <c:v>0.529553122482607</c:v>
                </c:pt>
                <c:pt idx="1">
                  <c:v>0.84380791658841303</c:v>
                </c:pt>
                <c:pt idx="2">
                  <c:v>0.95963462979338199</c:v>
                </c:pt>
                <c:pt idx="3">
                  <c:v>3.8799472364868</c:v>
                </c:pt>
                <c:pt idx="4">
                  <c:v>3.75382451316979</c:v>
                </c:pt>
                <c:pt idx="5">
                  <c:v>3.88246687729522</c:v>
                </c:pt>
                <c:pt idx="6">
                  <c:v>3.3455064881626302</c:v>
                </c:pt>
                <c:pt idx="7">
                  <c:v>3.5968463067268202</c:v>
                </c:pt>
                <c:pt idx="8">
                  <c:v>3.6329630825477799</c:v>
                </c:pt>
                <c:pt idx="9">
                  <c:v>2.9538249754235402</c:v>
                </c:pt>
                <c:pt idx="10">
                  <c:v>2.5759915926195198</c:v>
                </c:pt>
                <c:pt idx="11">
                  <c:v>2.7608683629007502</c:v>
                </c:pt>
                <c:pt idx="12">
                  <c:v>3.3240019398835998</c:v>
                </c:pt>
                <c:pt idx="13">
                  <c:v>3.4429433895763699</c:v>
                </c:pt>
                <c:pt idx="14">
                  <c:v>4.2943509007437601</c:v>
                </c:pt>
                <c:pt idx="15">
                  <c:v>4.5426025650081101</c:v>
                </c:pt>
                <c:pt idx="16">
                  <c:v>4.9674690055708597</c:v>
                </c:pt>
                <c:pt idx="17">
                  <c:v>5.3106536234315396</c:v>
                </c:pt>
                <c:pt idx="18">
                  <c:v>4.4245739764361502</c:v>
                </c:pt>
                <c:pt idx="19">
                  <c:v>4.3267893823549697</c:v>
                </c:pt>
                <c:pt idx="20">
                  <c:v>4.1838658922359802</c:v>
                </c:pt>
                <c:pt idx="21">
                  <c:v>3.1208863355680001</c:v>
                </c:pt>
                <c:pt idx="22">
                  <c:v>2.7980986824082099</c:v>
                </c:pt>
                <c:pt idx="23">
                  <c:v>3.3344042315025999</c:v>
                </c:pt>
                <c:pt idx="24">
                  <c:v>5.1036014658397999</c:v>
                </c:pt>
                <c:pt idx="25">
                  <c:v>5.3054968724033902</c:v>
                </c:pt>
                <c:pt idx="26">
                  <c:v>5.7000763139744803</c:v>
                </c:pt>
                <c:pt idx="27">
                  <c:v>5.96738063380685</c:v>
                </c:pt>
                <c:pt idx="28">
                  <c:v>5.8188227684743401</c:v>
                </c:pt>
                <c:pt idx="29">
                  <c:v>5.0951116881763996</c:v>
                </c:pt>
                <c:pt idx="30">
                  <c:v>4.8798940589105699</c:v>
                </c:pt>
                <c:pt idx="31">
                  <c:v>4.7941658656460602</c:v>
                </c:pt>
                <c:pt idx="32">
                  <c:v>0.67139285996701303</c:v>
                </c:pt>
                <c:pt idx="33">
                  <c:v>3.9289487986746798</c:v>
                </c:pt>
                <c:pt idx="34">
                  <c:v>5.34279426123521</c:v>
                </c:pt>
                <c:pt idx="35">
                  <c:v>5.8279380008500299</c:v>
                </c:pt>
                <c:pt idx="36">
                  <c:v>6.3040742339261699</c:v>
                </c:pt>
                <c:pt idx="37">
                  <c:v>7.0159285609240802</c:v>
                </c:pt>
                <c:pt idx="38">
                  <c:v>7.0529610586879796</c:v>
                </c:pt>
                <c:pt idx="39">
                  <c:v>6.7032071396788897</c:v>
                </c:pt>
                <c:pt idx="40">
                  <c:v>6.3542925713971599</c:v>
                </c:pt>
                <c:pt idx="41">
                  <c:v>6.38595608563599</c:v>
                </c:pt>
                <c:pt idx="42">
                  <c:v>6.18670357871859</c:v>
                </c:pt>
                <c:pt idx="43">
                  <c:v>4.5568299284118003</c:v>
                </c:pt>
                <c:pt idx="44">
                  <c:v>4.4194416162476102</c:v>
                </c:pt>
                <c:pt idx="45">
                  <c:v>5.3148224144037597</c:v>
                </c:pt>
                <c:pt idx="46">
                  <c:v>5.2058218468717099</c:v>
                </c:pt>
                <c:pt idx="47">
                  <c:v>5.1396137584392498</c:v>
                </c:pt>
                <c:pt idx="48">
                  <c:v>4.9892031645998802</c:v>
                </c:pt>
                <c:pt idx="49">
                  <c:v>8.5725676020014898</c:v>
                </c:pt>
                <c:pt idx="50">
                  <c:v>5.9333978555069402</c:v>
                </c:pt>
                <c:pt idx="51">
                  <c:v>6.8849873226790397</c:v>
                </c:pt>
                <c:pt idx="52">
                  <c:v>3.7178603449438801</c:v>
                </c:pt>
                <c:pt idx="53">
                  <c:v>3.9343280071531601</c:v>
                </c:pt>
                <c:pt idx="54">
                  <c:v>3.9755616617380798</c:v>
                </c:pt>
                <c:pt idx="55">
                  <c:v>1.6642833583935399</c:v>
                </c:pt>
                <c:pt idx="56">
                  <c:v>1.8480881360994399</c:v>
                </c:pt>
                <c:pt idx="57">
                  <c:v>1.9908443548622501</c:v>
                </c:pt>
                <c:pt idx="58">
                  <c:v>3.1416548891317202</c:v>
                </c:pt>
                <c:pt idx="59">
                  <c:v>2.56228750183416</c:v>
                </c:pt>
                <c:pt idx="60">
                  <c:v>4.0693815786796801</c:v>
                </c:pt>
                <c:pt idx="61">
                  <c:v>6.6314382115630703</c:v>
                </c:pt>
                <c:pt idx="62">
                  <c:v>6.2396931610472999</c:v>
                </c:pt>
                <c:pt idx="63">
                  <c:v>6.7769256703945198</c:v>
                </c:pt>
                <c:pt idx="64">
                  <c:v>5.5031657463791204</c:v>
                </c:pt>
                <c:pt idx="65">
                  <c:v>5.3722524425587102</c:v>
                </c:pt>
                <c:pt idx="66">
                  <c:v>5.4195241369106402</c:v>
                </c:pt>
                <c:pt idx="67">
                  <c:v>4.4834944818323299</c:v>
                </c:pt>
                <c:pt idx="68">
                  <c:v>4.4979954834493698</c:v>
                </c:pt>
                <c:pt idx="69">
                  <c:v>5.6019764102711704</c:v>
                </c:pt>
                <c:pt idx="70">
                  <c:v>6.6234476392261001</c:v>
                </c:pt>
                <c:pt idx="71">
                  <c:v>6.8557389717855903</c:v>
                </c:pt>
                <c:pt idx="72">
                  <c:v>8.5331695683822009</c:v>
                </c:pt>
                <c:pt idx="73">
                  <c:v>7.8492288098364504</c:v>
                </c:pt>
                <c:pt idx="74">
                  <c:v>7.9575533000434104</c:v>
                </c:pt>
                <c:pt idx="75">
                  <c:v>7.8250629351774696</c:v>
                </c:pt>
                <c:pt idx="76">
                  <c:v>6.6693110684635801</c:v>
                </c:pt>
                <c:pt idx="77">
                  <c:v>7.2469536215075596</c:v>
                </c:pt>
                <c:pt idx="78">
                  <c:v>6.6192942937667896</c:v>
                </c:pt>
                <c:pt idx="79">
                  <c:v>4.3203269593879696</c:v>
                </c:pt>
                <c:pt idx="80">
                  <c:v>4.7505734024894304</c:v>
                </c:pt>
                <c:pt idx="81">
                  <c:v>7.6085699495263999</c:v>
                </c:pt>
                <c:pt idx="82">
                  <c:v>7.7558213586495901</c:v>
                </c:pt>
                <c:pt idx="83">
                  <c:v>9.3717205928944392</c:v>
                </c:pt>
                <c:pt idx="84">
                  <c:v>12.3911731488305</c:v>
                </c:pt>
                <c:pt idx="85">
                  <c:v>9.7758096457978194</c:v>
                </c:pt>
                <c:pt idx="86">
                  <c:v>9.6472944066144599</c:v>
                </c:pt>
                <c:pt idx="87">
                  <c:v>7.4133147618787598</c:v>
                </c:pt>
                <c:pt idx="88">
                  <c:v>7.1895255356240702</c:v>
                </c:pt>
                <c:pt idx="89">
                  <c:v>6.1653824209531596</c:v>
                </c:pt>
                <c:pt idx="90">
                  <c:v>5.6325835637942401</c:v>
                </c:pt>
                <c:pt idx="91">
                  <c:v>6.3847629421718297</c:v>
                </c:pt>
                <c:pt idx="92">
                  <c:v>3.9826685619072899</c:v>
                </c:pt>
                <c:pt idx="93">
                  <c:v>3.0258705906696499</c:v>
                </c:pt>
                <c:pt idx="94">
                  <c:v>5.1757034489187896</c:v>
                </c:pt>
                <c:pt idx="95">
                  <c:v>4.7932652501821504</c:v>
                </c:pt>
                <c:pt idx="96">
                  <c:v>4.0513700652497402</c:v>
                </c:pt>
                <c:pt idx="97">
                  <c:v>5.0678916448765703</c:v>
                </c:pt>
                <c:pt idx="98">
                  <c:v>6.4425394825515703</c:v>
                </c:pt>
                <c:pt idx="99">
                  <c:v>8.8997739915403908</c:v>
                </c:pt>
                <c:pt idx="100">
                  <c:v>5.1789176257843703</c:v>
                </c:pt>
                <c:pt idx="101">
                  <c:v>6.53514763041255</c:v>
                </c:pt>
                <c:pt idx="102">
                  <c:v>2.7079941278900899</c:v>
                </c:pt>
                <c:pt idx="103">
                  <c:v>2.5387772574967702</c:v>
                </c:pt>
                <c:pt idx="104">
                  <c:v>7.5946175670549696</c:v>
                </c:pt>
                <c:pt idx="105">
                  <c:v>4.0756665270370602</c:v>
                </c:pt>
                <c:pt idx="106">
                  <c:v>3.7107213654790301</c:v>
                </c:pt>
                <c:pt idx="107">
                  <c:v>1.37063596145379</c:v>
                </c:pt>
                <c:pt idx="108">
                  <c:v>0.15078392451997</c:v>
                </c:pt>
                <c:pt idx="109">
                  <c:v>0</c:v>
                </c:pt>
                <c:pt idx="110">
                  <c:v>1.8841702634669599</c:v>
                </c:pt>
                <c:pt idx="111">
                  <c:v>8.1697578236565196</c:v>
                </c:pt>
                <c:pt idx="112">
                  <c:v>3.3769521406754501</c:v>
                </c:pt>
                <c:pt idx="113">
                  <c:v>2.54299341530364</c:v>
                </c:pt>
                <c:pt idx="114">
                  <c:v>2.89057833795543</c:v>
                </c:pt>
                <c:pt idx="115">
                  <c:v>2.5224808986151199</c:v>
                </c:pt>
                <c:pt idx="116">
                  <c:v>2.5692939232550098</c:v>
                </c:pt>
                <c:pt idx="117">
                  <c:v>4.2518888206162204</c:v>
                </c:pt>
                <c:pt idx="118">
                  <c:v>4.9345938589513603</c:v>
                </c:pt>
                <c:pt idx="119">
                  <c:v>7.6486898073680996</c:v>
                </c:pt>
                <c:pt idx="120">
                  <c:v>9.7089953197197207</c:v>
                </c:pt>
                <c:pt idx="121">
                  <c:v>8.3109609476158202</c:v>
                </c:pt>
                <c:pt idx="122">
                  <c:v>7.5481825094344801</c:v>
                </c:pt>
                <c:pt idx="123">
                  <c:v>7.1518760396087</c:v>
                </c:pt>
                <c:pt idx="124">
                  <c:v>6.6247952796856602</c:v>
                </c:pt>
                <c:pt idx="125">
                  <c:v>7.0552271330285503</c:v>
                </c:pt>
                <c:pt idx="126">
                  <c:v>7.8340094234953597</c:v>
                </c:pt>
                <c:pt idx="127">
                  <c:v>5.3981533429909403</c:v>
                </c:pt>
                <c:pt idx="128">
                  <c:v>6.1684286314950301</c:v>
                </c:pt>
                <c:pt idx="129">
                  <c:v>8.7148126852384191</c:v>
                </c:pt>
                <c:pt idx="130">
                  <c:v>8.6162507761618201</c:v>
                </c:pt>
                <c:pt idx="131">
                  <c:v>9.4247979447858299</c:v>
                </c:pt>
                <c:pt idx="132">
                  <c:v>10.2504299213611</c:v>
                </c:pt>
                <c:pt idx="133">
                  <c:v>9.9195743496795306</c:v>
                </c:pt>
                <c:pt idx="134">
                  <c:v>10.8225179564622</c:v>
                </c:pt>
                <c:pt idx="135">
                  <c:v>8.6336891034619594</c:v>
                </c:pt>
                <c:pt idx="136">
                  <c:v>8.1209205271984306</c:v>
                </c:pt>
                <c:pt idx="137">
                  <c:v>7.8888779872989803</c:v>
                </c:pt>
                <c:pt idx="138">
                  <c:v>7.8834141807479901</c:v>
                </c:pt>
                <c:pt idx="139">
                  <c:v>5.8467457717080196</c:v>
                </c:pt>
                <c:pt idx="140">
                  <c:v>6.0693054827005897</c:v>
                </c:pt>
                <c:pt idx="141">
                  <c:v>8.2193923047453001</c:v>
                </c:pt>
                <c:pt idx="142">
                  <c:v>7.4263208749932303</c:v>
                </c:pt>
                <c:pt idx="143">
                  <c:v>9.2074380815409</c:v>
                </c:pt>
                <c:pt idx="144">
                  <c:v>9.3964351438879294</c:v>
                </c:pt>
                <c:pt idx="145">
                  <c:v>8.2715549409728908</c:v>
                </c:pt>
                <c:pt idx="146">
                  <c:v>9.1044008593174794</c:v>
                </c:pt>
                <c:pt idx="147">
                  <c:v>7.5475291829435198</c:v>
                </c:pt>
                <c:pt idx="148">
                  <c:v>8.4205517776939107</c:v>
                </c:pt>
                <c:pt idx="149">
                  <c:v>7.7903665978798804</c:v>
                </c:pt>
                <c:pt idx="150">
                  <c:v>8.0061873738766707</c:v>
                </c:pt>
                <c:pt idx="151">
                  <c:v>6.5509955712002101</c:v>
                </c:pt>
                <c:pt idx="152">
                  <c:v>6.7885031012654897</c:v>
                </c:pt>
                <c:pt idx="153">
                  <c:v>8.0515795902652307</c:v>
                </c:pt>
                <c:pt idx="154">
                  <c:v>7.78127274525741</c:v>
                </c:pt>
                <c:pt idx="155">
                  <c:v>8.6315954783159796</c:v>
                </c:pt>
                <c:pt idx="156">
                  <c:v>8.5305108710254292</c:v>
                </c:pt>
                <c:pt idx="157">
                  <c:v>8.0140793539326207</c:v>
                </c:pt>
                <c:pt idx="158">
                  <c:v>7.5927664799469099</c:v>
                </c:pt>
                <c:pt idx="159">
                  <c:v>5.6374965927830498</c:v>
                </c:pt>
                <c:pt idx="160">
                  <c:v>6.1997417009690201</c:v>
                </c:pt>
                <c:pt idx="161">
                  <c:v>5.5770671508984799</c:v>
                </c:pt>
                <c:pt idx="162">
                  <c:v>5.22727477653752</c:v>
                </c:pt>
                <c:pt idx="163">
                  <c:v>4.2925988865779399</c:v>
                </c:pt>
                <c:pt idx="164">
                  <c:v>5.3199806459097498</c:v>
                </c:pt>
                <c:pt idx="165">
                  <c:v>6.63094418738486</c:v>
                </c:pt>
                <c:pt idx="166">
                  <c:v>6.5576220615687602</c:v>
                </c:pt>
                <c:pt idx="167">
                  <c:v>6.0270473673124796</c:v>
                </c:pt>
                <c:pt idx="168">
                  <c:v>5.88725666977777</c:v>
                </c:pt>
                <c:pt idx="169">
                  <c:v>5.7022889902249503</c:v>
                </c:pt>
                <c:pt idx="170">
                  <c:v>5.0416148319424803</c:v>
                </c:pt>
                <c:pt idx="171">
                  <c:v>4.7133042314412501</c:v>
                </c:pt>
                <c:pt idx="172">
                  <c:v>4.7439089059703097</c:v>
                </c:pt>
                <c:pt idx="173">
                  <c:v>3.59926827967828</c:v>
                </c:pt>
                <c:pt idx="174">
                  <c:v>4.9157220309572098</c:v>
                </c:pt>
                <c:pt idx="175">
                  <c:v>3.33024335167176</c:v>
                </c:pt>
                <c:pt idx="176">
                  <c:v>3.4252320845941</c:v>
                </c:pt>
                <c:pt idx="177">
                  <c:v>2.2612028701136402</c:v>
                </c:pt>
                <c:pt idx="178">
                  <c:v>0.99999778583866905</c:v>
                </c:pt>
                <c:pt idx="179">
                  <c:v>0.57564984758027304</c:v>
                </c:pt>
                <c:pt idx="180">
                  <c:v>0.95276541848807705</c:v>
                </c:pt>
                <c:pt idx="181">
                  <c:v>2.3707868299114399</c:v>
                </c:pt>
                <c:pt idx="182">
                  <c:v>1.3073259266303501</c:v>
                </c:pt>
                <c:pt idx="183">
                  <c:v>1.19291778625105</c:v>
                </c:pt>
                <c:pt idx="184">
                  <c:v>1.28779825203892</c:v>
                </c:pt>
                <c:pt idx="185">
                  <c:v>1.1446157930430401</c:v>
                </c:pt>
                <c:pt idx="186">
                  <c:v>1.33265844445087</c:v>
                </c:pt>
                <c:pt idx="187">
                  <c:v>1.0805331275464301</c:v>
                </c:pt>
                <c:pt idx="188">
                  <c:v>1.26657930396056</c:v>
                </c:pt>
                <c:pt idx="189">
                  <c:v>1.80072994603966</c:v>
                </c:pt>
                <c:pt idx="190">
                  <c:v>1.8817655960420301</c:v>
                </c:pt>
                <c:pt idx="191">
                  <c:v>2.5389970769296899</c:v>
                </c:pt>
                <c:pt idx="192">
                  <c:v>2.8340748554291801</c:v>
                </c:pt>
                <c:pt idx="193">
                  <c:v>2.1597055399851501</c:v>
                </c:pt>
                <c:pt idx="194">
                  <c:v>3.2770444152829699</c:v>
                </c:pt>
                <c:pt idx="195">
                  <c:v>2.2142965186648298</c:v>
                </c:pt>
                <c:pt idx="196">
                  <c:v>4.2452952854939996</c:v>
                </c:pt>
                <c:pt idx="197">
                  <c:v>4.7257040739745699</c:v>
                </c:pt>
                <c:pt idx="198">
                  <c:v>4.3548069807262904</c:v>
                </c:pt>
                <c:pt idx="199">
                  <c:v>1.61596246400629</c:v>
                </c:pt>
                <c:pt idx="200">
                  <c:v>1.1703241064447301</c:v>
                </c:pt>
                <c:pt idx="201">
                  <c:v>1.656910479992</c:v>
                </c:pt>
                <c:pt idx="202">
                  <c:v>1.48726191121037</c:v>
                </c:pt>
                <c:pt idx="203">
                  <c:v>1.93912216845548</c:v>
                </c:pt>
                <c:pt idx="204">
                  <c:v>2.09195782673536</c:v>
                </c:pt>
                <c:pt idx="205">
                  <c:v>1.7109659959950601</c:v>
                </c:pt>
                <c:pt idx="206">
                  <c:v>2.28277994284133</c:v>
                </c:pt>
                <c:pt idx="207">
                  <c:v>2.39130873026423</c:v>
                </c:pt>
                <c:pt idx="208">
                  <c:v>2.9676677280677701</c:v>
                </c:pt>
                <c:pt idx="209">
                  <c:v>1.4723128361806901</c:v>
                </c:pt>
                <c:pt idx="210">
                  <c:v>0.65433118440599802</c:v>
                </c:pt>
                <c:pt idx="211">
                  <c:v>1.5059361908589399</c:v>
                </c:pt>
                <c:pt idx="212">
                  <c:v>1.21159459002564</c:v>
                </c:pt>
                <c:pt idx="213">
                  <c:v>1.91666206686734</c:v>
                </c:pt>
                <c:pt idx="214">
                  <c:v>1.0869426339464401</c:v>
                </c:pt>
                <c:pt idx="215">
                  <c:v>1.2083741027777199</c:v>
                </c:pt>
                <c:pt idx="216">
                  <c:v>1.42734410556395</c:v>
                </c:pt>
                <c:pt idx="217">
                  <c:v>1.2749337224919399</c:v>
                </c:pt>
                <c:pt idx="218">
                  <c:v>1.2851154885289999</c:v>
                </c:pt>
                <c:pt idx="219">
                  <c:v>0.77812368276306598</c:v>
                </c:pt>
                <c:pt idx="220">
                  <c:v>0.73926080475087397</c:v>
                </c:pt>
                <c:pt idx="221">
                  <c:v>0.72452553719746204</c:v>
                </c:pt>
                <c:pt idx="222">
                  <c:v>0.86482100409984697</c:v>
                </c:pt>
                <c:pt idx="223">
                  <c:v>0.59198414259128396</c:v>
                </c:pt>
                <c:pt idx="224">
                  <c:v>0.47261342481216301</c:v>
                </c:pt>
                <c:pt idx="225">
                  <c:v>0.82383841280407899</c:v>
                </c:pt>
                <c:pt idx="226">
                  <c:v>1.10537604064127</c:v>
                </c:pt>
                <c:pt idx="227">
                  <c:v>1.4344883473688901</c:v>
                </c:pt>
                <c:pt idx="228">
                  <c:v>1.4940840416377299</c:v>
                </c:pt>
                <c:pt idx="229">
                  <c:v>3.3399246285866799</c:v>
                </c:pt>
                <c:pt idx="230">
                  <c:v>3.42528589133775</c:v>
                </c:pt>
                <c:pt idx="231">
                  <c:v>2.8028905655420302</c:v>
                </c:pt>
                <c:pt idx="232">
                  <c:v>2.7068785413060099</c:v>
                </c:pt>
                <c:pt idx="233">
                  <c:v>1.8897074000598899</c:v>
                </c:pt>
                <c:pt idx="234">
                  <c:v>2.1693536709952101</c:v>
                </c:pt>
                <c:pt idx="235">
                  <c:v>1.6626819080183199</c:v>
                </c:pt>
                <c:pt idx="236">
                  <c:v>1.6475623814076501</c:v>
                </c:pt>
                <c:pt idx="237">
                  <c:v>2.2549652119008101</c:v>
                </c:pt>
                <c:pt idx="238">
                  <c:v>2.62268737808945</c:v>
                </c:pt>
                <c:pt idx="239">
                  <c:v>3.4712542451944701</c:v>
                </c:pt>
                <c:pt idx="240">
                  <c:v>3.96727962852006</c:v>
                </c:pt>
                <c:pt idx="241">
                  <c:v>3.9210315390033199</c:v>
                </c:pt>
                <c:pt idx="242">
                  <c:v>3.4124453352120301</c:v>
                </c:pt>
                <c:pt idx="243">
                  <c:v>3.09363492159035</c:v>
                </c:pt>
                <c:pt idx="244">
                  <c:v>3.2056842612213199</c:v>
                </c:pt>
                <c:pt idx="245">
                  <c:v>2.3709820905487899</c:v>
                </c:pt>
                <c:pt idx="246">
                  <c:v>2.73430456415407</c:v>
                </c:pt>
                <c:pt idx="247">
                  <c:v>1.1144372393558999</c:v>
                </c:pt>
                <c:pt idx="248">
                  <c:v>0.91481912808052401</c:v>
                </c:pt>
                <c:pt idx="249">
                  <c:v>1.39785647005809</c:v>
                </c:pt>
                <c:pt idx="250">
                  <c:v>1.6470801298868001</c:v>
                </c:pt>
                <c:pt idx="251">
                  <c:v>1.6335556493719099</c:v>
                </c:pt>
                <c:pt idx="252">
                  <c:v>3.6371307723866302</c:v>
                </c:pt>
                <c:pt idx="253">
                  <c:v>5.8433548627125997</c:v>
                </c:pt>
                <c:pt idx="254">
                  <c:v>4.92007462356242</c:v>
                </c:pt>
                <c:pt idx="255">
                  <c:v>4.0312125844088502</c:v>
                </c:pt>
                <c:pt idx="256">
                  <c:v>3.7896330544299999</c:v>
                </c:pt>
                <c:pt idx="257">
                  <c:v>1.75032368761545</c:v>
                </c:pt>
                <c:pt idx="258">
                  <c:v>3.6378277472276102</c:v>
                </c:pt>
                <c:pt idx="259">
                  <c:v>2.7121206660339201</c:v>
                </c:pt>
                <c:pt idx="260">
                  <c:v>2.1096499736632599</c:v>
                </c:pt>
                <c:pt idx="261">
                  <c:v>2.0550056621045698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vs actual'!$C$1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actual'!$C$2:$C$263</c:f>
              <c:numCache>
                <c:formatCode>General</c:formatCode>
                <c:ptCount val="262"/>
                <c:pt idx="0">
                  <c:v>1.2219269050621799</c:v>
                </c:pt>
                <c:pt idx="1">
                  <c:v>1.94527800506418</c:v>
                </c:pt>
                <c:pt idx="2">
                  <c:v>1.1848702087112499</c:v>
                </c:pt>
                <c:pt idx="3">
                  <c:v>3.5802242618974698</c:v>
                </c:pt>
                <c:pt idx="4">
                  <c:v>3.6710837703758998</c:v>
                </c:pt>
                <c:pt idx="5">
                  <c:v>3.2984967227797801</c:v>
                </c:pt>
                <c:pt idx="6">
                  <c:v>3.2346733150168001</c:v>
                </c:pt>
                <c:pt idx="7">
                  <c:v>2.90438816532453</c:v>
                </c:pt>
                <c:pt idx="8">
                  <c:v>2.8125320273641101</c:v>
                </c:pt>
                <c:pt idx="9">
                  <c:v>2.1187145388176698</c:v>
                </c:pt>
                <c:pt idx="10">
                  <c:v>2.3256375592949401</c:v>
                </c:pt>
                <c:pt idx="11">
                  <c:v>3.4104256808820099</c:v>
                </c:pt>
                <c:pt idx="12">
                  <c:v>4.3059669544318604</c:v>
                </c:pt>
                <c:pt idx="13">
                  <c:v>4.8025196153386496</c:v>
                </c:pt>
                <c:pt idx="14">
                  <c:v>5.7713102826802203</c:v>
                </c:pt>
                <c:pt idx="15">
                  <c:v>5.9571943089131096</c:v>
                </c:pt>
                <c:pt idx="16">
                  <c:v>6.2090125532182601</c:v>
                </c:pt>
                <c:pt idx="17">
                  <c:v>5.0451808989396802</c:v>
                </c:pt>
                <c:pt idx="18">
                  <c:v>5.2760611334121501</c:v>
                </c:pt>
                <c:pt idx="19">
                  <c:v>4.8832895268851004</c:v>
                </c:pt>
                <c:pt idx="20">
                  <c:v>5.2247587962185396</c:v>
                </c:pt>
                <c:pt idx="21">
                  <c:v>4.0712902497227903</c:v>
                </c:pt>
                <c:pt idx="22">
                  <c:v>4.2917958442236603</c:v>
                </c:pt>
                <c:pt idx="23">
                  <c:v>5.4939408368498102</c:v>
                </c:pt>
                <c:pt idx="24">
                  <c:v>5.2926572966063699</c:v>
                </c:pt>
                <c:pt idx="25">
                  <c:v>5.1103936726116403</c:v>
                </c:pt>
                <c:pt idx="26">
                  <c:v>5.5119246668799597</c:v>
                </c:pt>
                <c:pt idx="27">
                  <c:v>4.9538032714437401</c:v>
                </c:pt>
                <c:pt idx="28">
                  <c:v>5.2194124761491203</c:v>
                </c:pt>
                <c:pt idx="29">
                  <c:v>4.7619599842961398</c:v>
                </c:pt>
                <c:pt idx="30">
                  <c:v>4.5966032641547603</c:v>
                </c:pt>
                <c:pt idx="31">
                  <c:v>4.6171884792355504</c:v>
                </c:pt>
                <c:pt idx="32">
                  <c:v>0.86468895976874505</c:v>
                </c:pt>
                <c:pt idx="33">
                  <c:v>5.5520325827301402</c:v>
                </c:pt>
                <c:pt idx="34">
                  <c:v>5.7238030375917797</c:v>
                </c:pt>
                <c:pt idx="35">
                  <c:v>5.76036110354086</c:v>
                </c:pt>
                <c:pt idx="36">
                  <c:v>6.59589186413245</c:v>
                </c:pt>
                <c:pt idx="37">
                  <c:v>6.8273786675302297</c:v>
                </c:pt>
                <c:pt idx="38">
                  <c:v>7.2701541197881197</c:v>
                </c:pt>
                <c:pt idx="39">
                  <c:v>6.1009240291451796</c:v>
                </c:pt>
                <c:pt idx="40">
                  <c:v>6.2114768904406796</c:v>
                </c:pt>
                <c:pt idx="41">
                  <c:v>6.0331646149051297</c:v>
                </c:pt>
                <c:pt idx="42">
                  <c:v>6.3345332161100698</c:v>
                </c:pt>
                <c:pt idx="43">
                  <c:v>4.5539889733241203</c:v>
                </c:pt>
                <c:pt idx="44">
                  <c:v>4.9976452785083199</c:v>
                </c:pt>
                <c:pt idx="45">
                  <c:v>6.4342548748849904</c:v>
                </c:pt>
                <c:pt idx="46">
                  <c:v>5.99578207118756</c:v>
                </c:pt>
                <c:pt idx="47">
                  <c:v>5.79818557614764</c:v>
                </c:pt>
                <c:pt idx="48">
                  <c:v>6.0807698900758904</c:v>
                </c:pt>
                <c:pt idx="49">
                  <c:v>7.3488415391148703</c:v>
                </c:pt>
                <c:pt idx="50">
                  <c:v>7.1745036086815599</c:v>
                </c:pt>
                <c:pt idx="51">
                  <c:v>5.8357421268634697</c:v>
                </c:pt>
                <c:pt idx="52">
                  <c:v>5.7247965888810803</c:v>
                </c:pt>
                <c:pt idx="53">
                  <c:v>4.2694792520760698</c:v>
                </c:pt>
                <c:pt idx="54">
                  <c:v>3.3064661184336002</c:v>
                </c:pt>
                <c:pt idx="55">
                  <c:v>1.70206714421126</c:v>
                </c:pt>
                <c:pt idx="56">
                  <c:v>2.08000402933965</c:v>
                </c:pt>
                <c:pt idx="57">
                  <c:v>2.9413024253689199</c:v>
                </c:pt>
                <c:pt idx="58">
                  <c:v>3.7641891058289301</c:v>
                </c:pt>
                <c:pt idx="59">
                  <c:v>4.30759915560688</c:v>
                </c:pt>
                <c:pt idx="60">
                  <c:v>5.0574251491599798</c:v>
                </c:pt>
                <c:pt idx="61">
                  <c:v>5.68332793368422</c:v>
                </c:pt>
                <c:pt idx="62">
                  <c:v>5.9858953543763</c:v>
                </c:pt>
                <c:pt idx="63">
                  <c:v>5.1791420383293403</c:v>
                </c:pt>
                <c:pt idx="64">
                  <c:v>5.2535024513347697</c:v>
                </c:pt>
                <c:pt idx="65">
                  <c:v>4.9104239328453003</c:v>
                </c:pt>
                <c:pt idx="66">
                  <c:v>5.2067976029244303</c:v>
                </c:pt>
                <c:pt idx="67">
                  <c:v>3.9574657311295498</c:v>
                </c:pt>
                <c:pt idx="68">
                  <c:v>3.9790078381536702</c:v>
                </c:pt>
                <c:pt idx="69">
                  <c:v>5.2225089362890298</c:v>
                </c:pt>
                <c:pt idx="70">
                  <c:v>6.1355820312517402</c:v>
                </c:pt>
                <c:pt idx="71">
                  <c:v>6.9749858828907003</c:v>
                </c:pt>
                <c:pt idx="72">
                  <c:v>6.9669350569528703</c:v>
                </c:pt>
                <c:pt idx="73">
                  <c:v>7.2997286674187398</c:v>
                </c:pt>
                <c:pt idx="74">
                  <c:v>7.8774138084209602</c:v>
                </c:pt>
                <c:pt idx="75">
                  <c:v>6.9897073585370704</c:v>
                </c:pt>
                <c:pt idx="76">
                  <c:v>7.1878441739949404</c:v>
                </c:pt>
                <c:pt idx="77">
                  <c:v>6.7301369163993101</c:v>
                </c:pt>
                <c:pt idx="78">
                  <c:v>7.1670409241006103</c:v>
                </c:pt>
                <c:pt idx="79">
                  <c:v>5.7644235699674899</c:v>
                </c:pt>
                <c:pt idx="80">
                  <c:v>6.4575421382180496</c:v>
                </c:pt>
                <c:pt idx="81">
                  <c:v>8.7218623673954507</c:v>
                </c:pt>
                <c:pt idx="82">
                  <c:v>9.6888883721715899</c:v>
                </c:pt>
                <c:pt idx="83">
                  <c:v>10.2150171845144</c:v>
                </c:pt>
                <c:pt idx="84">
                  <c:v>10.4856063317735</c:v>
                </c:pt>
                <c:pt idx="85">
                  <c:v>9.7965561348228807</c:v>
                </c:pt>
                <c:pt idx="86">
                  <c:v>10.188395809954701</c:v>
                </c:pt>
                <c:pt idx="87">
                  <c:v>8.9419049274754006</c:v>
                </c:pt>
                <c:pt idx="88">
                  <c:v>8.3752100638190807</c:v>
                </c:pt>
                <c:pt idx="89">
                  <c:v>7.9182050296858302</c:v>
                </c:pt>
                <c:pt idx="90">
                  <c:v>7.0694794170512401</c:v>
                </c:pt>
                <c:pt idx="91">
                  <c:v>4.1408967403163999</c:v>
                </c:pt>
                <c:pt idx="92">
                  <c:v>3.6655065703277701</c:v>
                </c:pt>
                <c:pt idx="93">
                  <c:v>4.1663730029762602</c:v>
                </c:pt>
                <c:pt idx="94">
                  <c:v>5.7993053847528104</c:v>
                </c:pt>
                <c:pt idx="95">
                  <c:v>6.0631639825171098</c:v>
                </c:pt>
                <c:pt idx="96">
                  <c:v>7.0379151230494799</c:v>
                </c:pt>
                <c:pt idx="97">
                  <c:v>7.2264384854131203</c:v>
                </c:pt>
                <c:pt idx="98">
                  <c:v>7.49307138003656</c:v>
                </c:pt>
                <c:pt idx="99">
                  <c:v>7.28806984171755</c:v>
                </c:pt>
                <c:pt idx="100">
                  <c:v>7.9171182748823403</c:v>
                </c:pt>
                <c:pt idx="101">
                  <c:v>5.2474029285673804</c:v>
                </c:pt>
                <c:pt idx="102">
                  <c:v>2.59591424739267</c:v>
                </c:pt>
                <c:pt idx="103">
                  <c:v>1.6108490831512701</c:v>
                </c:pt>
                <c:pt idx="104">
                  <c:v>2.12785151145986</c:v>
                </c:pt>
                <c:pt idx="105">
                  <c:v>2.74508896023438</c:v>
                </c:pt>
                <c:pt idx="106">
                  <c:v>3.5506196322972499</c:v>
                </c:pt>
                <c:pt idx="107">
                  <c:v>2.84895060925371</c:v>
                </c:pt>
                <c:pt idx="108">
                  <c:v>3.0187720587533899</c:v>
                </c:pt>
                <c:pt idx="109">
                  <c:v>1.1004109048675099</c:v>
                </c:pt>
                <c:pt idx="110">
                  <c:v>1.51436332285996</c:v>
                </c:pt>
                <c:pt idx="111">
                  <c:v>2.6844707900171798</c:v>
                </c:pt>
                <c:pt idx="112">
                  <c:v>2.43152315268313</c:v>
                </c:pt>
                <c:pt idx="113">
                  <c:v>2.52288358650963</c:v>
                </c:pt>
                <c:pt idx="114">
                  <c:v>3.17122622903111</c:v>
                </c:pt>
                <c:pt idx="115">
                  <c:v>2.6312888332891902</c:v>
                </c:pt>
                <c:pt idx="116">
                  <c:v>3.0888639565798202</c:v>
                </c:pt>
                <c:pt idx="117">
                  <c:v>4.4370504146338599</c:v>
                </c:pt>
                <c:pt idx="118">
                  <c:v>5.5433552888513997</c:v>
                </c:pt>
                <c:pt idx="119">
                  <c:v>5.91038748178525</c:v>
                </c:pt>
                <c:pt idx="120">
                  <c:v>6.43216867995584</c:v>
                </c:pt>
                <c:pt idx="121">
                  <c:v>6.5008839807968499</c:v>
                </c:pt>
                <c:pt idx="122">
                  <c:v>7.3753870954348599</c:v>
                </c:pt>
                <c:pt idx="123">
                  <c:v>6.89726721472789</c:v>
                </c:pt>
                <c:pt idx="124">
                  <c:v>7.3615183725825997</c:v>
                </c:pt>
                <c:pt idx="125">
                  <c:v>7.2203947364073198</c:v>
                </c:pt>
                <c:pt idx="126">
                  <c:v>7.7393628983518896</c:v>
                </c:pt>
                <c:pt idx="127">
                  <c:v>5.9261230172462804</c:v>
                </c:pt>
                <c:pt idx="128">
                  <c:v>6.4883475248838103</c:v>
                </c:pt>
                <c:pt idx="129">
                  <c:v>8.7784643675556797</c:v>
                </c:pt>
                <c:pt idx="130">
                  <c:v>9.0960887384434201</c:v>
                </c:pt>
                <c:pt idx="131">
                  <c:v>10.4334640550223</c:v>
                </c:pt>
                <c:pt idx="132">
                  <c:v>11.7467180955729</c:v>
                </c:pt>
                <c:pt idx="133">
                  <c:v>12.036664199963999</c:v>
                </c:pt>
                <c:pt idx="134">
                  <c:v>11.4603367407829</c:v>
                </c:pt>
                <c:pt idx="135">
                  <c:v>8.9771155353485206</c:v>
                </c:pt>
                <c:pt idx="136">
                  <c:v>8.75068211889106</c:v>
                </c:pt>
                <c:pt idx="137">
                  <c:v>7.5906167262534696</c:v>
                </c:pt>
                <c:pt idx="138">
                  <c:v>7.1423314929369903</c:v>
                </c:pt>
                <c:pt idx="139">
                  <c:v>5.4929061568425901</c:v>
                </c:pt>
                <c:pt idx="140">
                  <c:v>6.2837240639934597</c:v>
                </c:pt>
                <c:pt idx="141">
                  <c:v>8.0575652740239292</c:v>
                </c:pt>
                <c:pt idx="142">
                  <c:v>8.9634991420062295</c:v>
                </c:pt>
                <c:pt idx="143">
                  <c:v>9.6770681391873996</c:v>
                </c:pt>
                <c:pt idx="144">
                  <c:v>10.332001741690499</c:v>
                </c:pt>
                <c:pt idx="145">
                  <c:v>9.5030791196195494</c:v>
                </c:pt>
                <c:pt idx="146">
                  <c:v>9.3694924601689191</c:v>
                </c:pt>
                <c:pt idx="147">
                  <c:v>8.7843488716112699</c:v>
                </c:pt>
                <c:pt idx="148">
                  <c:v>8.9237043908637599</c:v>
                </c:pt>
                <c:pt idx="149">
                  <c:v>8.1111208991266803</c:v>
                </c:pt>
                <c:pt idx="150">
                  <c:v>8.5695810601202194</c:v>
                </c:pt>
                <c:pt idx="151">
                  <c:v>6.4879781857353001</c:v>
                </c:pt>
                <c:pt idx="152">
                  <c:v>6.3805058625022602</c:v>
                </c:pt>
                <c:pt idx="153">
                  <c:v>8.0687592337483007</c:v>
                </c:pt>
                <c:pt idx="154">
                  <c:v>8.7847095374265205</c:v>
                </c:pt>
                <c:pt idx="155">
                  <c:v>8.8114203554466695</c:v>
                </c:pt>
                <c:pt idx="156">
                  <c:v>8.7499361258303399</c:v>
                </c:pt>
                <c:pt idx="157">
                  <c:v>6.6061433656113504</c:v>
                </c:pt>
                <c:pt idx="158">
                  <c:v>6.11286538197254</c:v>
                </c:pt>
                <c:pt idx="159">
                  <c:v>5.2193328576445897</c:v>
                </c:pt>
                <c:pt idx="160">
                  <c:v>5.4398389221546299</c:v>
                </c:pt>
                <c:pt idx="161">
                  <c:v>4.8790708319351399</c:v>
                </c:pt>
                <c:pt idx="162">
                  <c:v>5.2151851782273999</c:v>
                </c:pt>
                <c:pt idx="163">
                  <c:v>3.9696379349709598</c:v>
                </c:pt>
                <c:pt idx="164">
                  <c:v>4.3654102605844596</c:v>
                </c:pt>
                <c:pt idx="165">
                  <c:v>5.4279412417325599</c:v>
                </c:pt>
                <c:pt idx="166">
                  <c:v>5.6166192210313604</c:v>
                </c:pt>
                <c:pt idx="167">
                  <c:v>6.0553747649045002</c:v>
                </c:pt>
                <c:pt idx="168">
                  <c:v>6.0818816551200499</c:v>
                </c:pt>
                <c:pt idx="169">
                  <c:v>5.2260387622639799</c:v>
                </c:pt>
                <c:pt idx="170">
                  <c:v>5.1844522554739401</c:v>
                </c:pt>
                <c:pt idx="171">
                  <c:v>4.2933389368849602</c:v>
                </c:pt>
                <c:pt idx="172">
                  <c:v>4.8691188961853902</c:v>
                </c:pt>
                <c:pt idx="173">
                  <c:v>4.23364410564057</c:v>
                </c:pt>
                <c:pt idx="174">
                  <c:v>4.4742844947395097</c:v>
                </c:pt>
                <c:pt idx="175">
                  <c:v>3.9928371498375101</c:v>
                </c:pt>
                <c:pt idx="176">
                  <c:v>3.2439734606602002</c:v>
                </c:pt>
                <c:pt idx="177">
                  <c:v>1.95903594424669</c:v>
                </c:pt>
                <c:pt idx="178">
                  <c:v>1.0493589022012499</c:v>
                </c:pt>
                <c:pt idx="179">
                  <c:v>1.3939092668223001</c:v>
                </c:pt>
                <c:pt idx="180">
                  <c:v>1.9505942147106501</c:v>
                </c:pt>
                <c:pt idx="181">
                  <c:v>2.0470297303849301</c:v>
                </c:pt>
                <c:pt idx="182">
                  <c:v>1.91417709959506</c:v>
                </c:pt>
                <c:pt idx="183">
                  <c:v>1.87353521688346</c:v>
                </c:pt>
                <c:pt idx="184">
                  <c:v>2.2385695663677998</c:v>
                </c:pt>
                <c:pt idx="185">
                  <c:v>2.2342699137428599</c:v>
                </c:pt>
                <c:pt idx="186">
                  <c:v>2.4788846283585699</c:v>
                </c:pt>
                <c:pt idx="187">
                  <c:v>1.9760794818203899</c:v>
                </c:pt>
                <c:pt idx="188">
                  <c:v>2.2124484934447302</c:v>
                </c:pt>
                <c:pt idx="189">
                  <c:v>3.0762241863658502</c:v>
                </c:pt>
                <c:pt idx="190">
                  <c:v>3.6283589786651702</c:v>
                </c:pt>
                <c:pt idx="191">
                  <c:v>4.0350911618917102</c:v>
                </c:pt>
                <c:pt idx="192">
                  <c:v>4.5637604631492898</c:v>
                </c:pt>
                <c:pt idx="193">
                  <c:v>3.64508986623003</c:v>
                </c:pt>
                <c:pt idx="194">
                  <c:v>1.41891597189019</c:v>
                </c:pt>
                <c:pt idx="195">
                  <c:v>0.81798790137171995</c:v>
                </c:pt>
                <c:pt idx="196">
                  <c:v>0.86850666827963396</c:v>
                </c:pt>
                <c:pt idx="197">
                  <c:v>0.85679149721489301</c:v>
                </c:pt>
                <c:pt idx="198">
                  <c:v>0.77492561915187796</c:v>
                </c:pt>
                <c:pt idx="199">
                  <c:v>0.99240751864242405</c:v>
                </c:pt>
                <c:pt idx="200">
                  <c:v>1.1906804023977899</c:v>
                </c:pt>
                <c:pt idx="201">
                  <c:v>2.3885619603536101</c:v>
                </c:pt>
                <c:pt idx="202">
                  <c:v>2.4731797941309299</c:v>
                </c:pt>
                <c:pt idx="203">
                  <c:v>2.8630597588735398</c:v>
                </c:pt>
                <c:pt idx="204">
                  <c:v>2.4884641058717798</c:v>
                </c:pt>
                <c:pt idx="205">
                  <c:v>2.1955532771360202</c:v>
                </c:pt>
                <c:pt idx="206">
                  <c:v>3.0584204743048602</c:v>
                </c:pt>
                <c:pt idx="207">
                  <c:v>2.0504317497712399</c:v>
                </c:pt>
                <c:pt idx="208">
                  <c:v>1.9970563288499199</c:v>
                </c:pt>
                <c:pt idx="209">
                  <c:v>1.65055067914249</c:v>
                </c:pt>
                <c:pt idx="210">
                  <c:v>1.5491943345353001</c:v>
                </c:pt>
                <c:pt idx="211">
                  <c:v>1.2093779742541699</c:v>
                </c:pt>
                <c:pt idx="212">
                  <c:v>0.91935798338407304</c:v>
                </c:pt>
                <c:pt idx="213">
                  <c:v>1.06791594543888</c:v>
                </c:pt>
                <c:pt idx="214">
                  <c:v>0.84588385723778403</c:v>
                </c:pt>
                <c:pt idx="215">
                  <c:v>0.60787671634826601</c:v>
                </c:pt>
                <c:pt idx="216">
                  <c:v>0.64842579661720201</c:v>
                </c:pt>
                <c:pt idx="217">
                  <c:v>0.55463991881471397</c:v>
                </c:pt>
                <c:pt idx="218">
                  <c:v>0.40799122112501501</c:v>
                </c:pt>
                <c:pt idx="219">
                  <c:v>0.30226697207358399</c:v>
                </c:pt>
                <c:pt idx="220">
                  <c:v>0.29929269884112503</c:v>
                </c:pt>
                <c:pt idx="221">
                  <c:v>0.25910068286295601</c:v>
                </c:pt>
                <c:pt idx="222">
                  <c:v>0.23764532094860999</c:v>
                </c:pt>
                <c:pt idx="223">
                  <c:v>0.20340796685399701</c:v>
                </c:pt>
                <c:pt idx="224">
                  <c:v>0.306543437697959</c:v>
                </c:pt>
                <c:pt idx="225">
                  <c:v>0.51328063932930501</c:v>
                </c:pt>
                <c:pt idx="226">
                  <c:v>0.672271491723753</c:v>
                </c:pt>
                <c:pt idx="227">
                  <c:v>0.72931678574167402</c:v>
                </c:pt>
                <c:pt idx="228">
                  <c:v>0.96102793062564595</c:v>
                </c:pt>
                <c:pt idx="229">
                  <c:v>2.62818001580631</c:v>
                </c:pt>
                <c:pt idx="230">
                  <c:v>3.2138319667838302</c:v>
                </c:pt>
                <c:pt idx="231">
                  <c:v>2.85999560132624</c:v>
                </c:pt>
                <c:pt idx="232">
                  <c:v>2.98199592252426</c:v>
                </c:pt>
                <c:pt idx="233">
                  <c:v>2.6494169614679501</c:v>
                </c:pt>
                <c:pt idx="234">
                  <c:v>2.9077183903610999</c:v>
                </c:pt>
                <c:pt idx="235">
                  <c:v>2.4402124477526499</c:v>
                </c:pt>
                <c:pt idx="236">
                  <c:v>2.7385970872623</c:v>
                </c:pt>
                <c:pt idx="237">
                  <c:v>3.7997261843730299</c:v>
                </c:pt>
                <c:pt idx="238">
                  <c:v>4.6535697549449999</c:v>
                </c:pt>
                <c:pt idx="239">
                  <c:v>5.47482789288342</c:v>
                </c:pt>
                <c:pt idx="240">
                  <c:v>6.5104310615905296</c:v>
                </c:pt>
                <c:pt idx="241">
                  <c:v>6.4227362377484498</c:v>
                </c:pt>
                <c:pt idx="242">
                  <c:v>6.7795152154271303</c:v>
                </c:pt>
                <c:pt idx="243">
                  <c:v>5.9050017246378896</c:v>
                </c:pt>
                <c:pt idx="244">
                  <c:v>5.9080901255964697</c:v>
                </c:pt>
                <c:pt idx="245">
                  <c:v>5.3958012316049997</c:v>
                </c:pt>
                <c:pt idx="246">
                  <c:v>5.4457001779407799</c:v>
                </c:pt>
                <c:pt idx="247">
                  <c:v>2.5283566374054498</c:v>
                </c:pt>
                <c:pt idx="248">
                  <c:v>1.3667988189687601</c:v>
                </c:pt>
                <c:pt idx="249">
                  <c:v>1.8611661238897701</c:v>
                </c:pt>
                <c:pt idx="250">
                  <c:v>2.33020674705228</c:v>
                </c:pt>
                <c:pt idx="251">
                  <c:v>2.2277336414211999</c:v>
                </c:pt>
                <c:pt idx="252">
                  <c:v>4.3385197660323804</c:v>
                </c:pt>
                <c:pt idx="253">
                  <c:v>7.9957189909881103</c:v>
                </c:pt>
                <c:pt idx="254">
                  <c:v>8.0474603246789798</c:v>
                </c:pt>
                <c:pt idx="255">
                  <c:v>6.1068853486087402</c:v>
                </c:pt>
                <c:pt idx="256">
                  <c:v>5.5837026037874402</c:v>
                </c:pt>
                <c:pt idx="257">
                  <c:v>2.6481833224956102</c:v>
                </c:pt>
                <c:pt idx="258">
                  <c:v>6.3191902327752603</c:v>
                </c:pt>
                <c:pt idx="259">
                  <c:v>4.7722098258847003</c:v>
                </c:pt>
                <c:pt idx="260">
                  <c:v>3.7943209914523601</c:v>
                </c:pt>
                <c:pt idx="261">
                  <c:v>2.3137703941297101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18912"/>
        <c:axId val="126124800"/>
      </c:lineChart>
      <c:dateAx>
        <c:axId val="126118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6124800"/>
        <c:crosses val="autoZero"/>
        <c:auto val="1"/>
        <c:lblOffset val="100"/>
        <c:baseTimeUnit val="months"/>
      </c:dateAx>
      <c:valAx>
        <c:axId val="126124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118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vs actual'!$D$1</c:f>
              <c:strCache>
                <c:ptCount val="1"/>
                <c:pt idx="0">
                  <c:v>Diff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actual'!$D$2:$D$263</c:f>
              <c:numCache>
                <c:formatCode>General</c:formatCode>
                <c:ptCount val="262"/>
                <c:pt idx="0">
                  <c:v>0.69237378257957294</c:v>
                </c:pt>
                <c:pt idx="1">
                  <c:v>1.1014700884757671</c:v>
                </c:pt>
                <c:pt idx="2">
                  <c:v>0.22523557891786794</c:v>
                </c:pt>
                <c:pt idx="3">
                  <c:v>-0.29972297458933017</c:v>
                </c:pt>
                <c:pt idx="4">
                  <c:v>-8.274074279389021E-2</c:v>
                </c:pt>
                <c:pt idx="5">
                  <c:v>-0.58397015451543988</c:v>
                </c:pt>
                <c:pt idx="6">
                  <c:v>-0.11083317314583008</c:v>
                </c:pt>
                <c:pt idx="7">
                  <c:v>-0.69245814140229012</c:v>
                </c:pt>
                <c:pt idx="8">
                  <c:v>-0.82043105518366977</c:v>
                </c:pt>
                <c:pt idx="9">
                  <c:v>-0.83511043660587037</c:v>
                </c:pt>
                <c:pt idx="10">
                  <c:v>-0.25035403332457973</c:v>
                </c:pt>
                <c:pt idx="11">
                  <c:v>0.64955731798125971</c:v>
                </c:pt>
                <c:pt idx="12">
                  <c:v>0.98196501454826057</c:v>
                </c:pt>
                <c:pt idx="13">
                  <c:v>1.3595762257622797</c:v>
                </c:pt>
                <c:pt idx="14">
                  <c:v>1.4769593819364601</c:v>
                </c:pt>
                <c:pt idx="15">
                  <c:v>1.4145917439049995</c:v>
                </c:pt>
                <c:pt idx="16">
                  <c:v>1.2415435476474004</c:v>
                </c:pt>
                <c:pt idx="17">
                  <c:v>-0.26547272449185932</c:v>
                </c:pt>
                <c:pt idx="18">
                  <c:v>0.85148715697599986</c:v>
                </c:pt>
                <c:pt idx="19">
                  <c:v>0.55650014453013075</c:v>
                </c:pt>
                <c:pt idx="20">
                  <c:v>1.0408929039825594</c:v>
                </c:pt>
                <c:pt idx="21">
                  <c:v>0.9504039141547902</c:v>
                </c:pt>
                <c:pt idx="22">
                  <c:v>1.4936971618154504</c:v>
                </c:pt>
                <c:pt idx="23">
                  <c:v>2.1595366053472103</c:v>
                </c:pt>
                <c:pt idx="24">
                  <c:v>0.18905583076656995</c:v>
                </c:pt>
                <c:pt idx="25">
                  <c:v>-0.19510319979174984</c:v>
                </c:pt>
                <c:pt idx="26">
                  <c:v>-0.18815164709452059</c:v>
                </c:pt>
                <c:pt idx="27">
                  <c:v>-1.0135773623631099</c:v>
                </c:pt>
                <c:pt idx="28">
                  <c:v>-0.59941029232521981</c:v>
                </c:pt>
                <c:pt idx="29">
                  <c:v>-0.33315170388025983</c:v>
                </c:pt>
                <c:pt idx="30">
                  <c:v>-0.28329079475580965</c:v>
                </c:pt>
                <c:pt idx="31">
                  <c:v>-0.17697738641050975</c:v>
                </c:pt>
                <c:pt idx="32">
                  <c:v>0.19329609980173201</c:v>
                </c:pt>
                <c:pt idx="33">
                  <c:v>1.6230837840554604</c:v>
                </c:pt>
                <c:pt idx="34">
                  <c:v>0.38100877635656971</c:v>
                </c:pt>
                <c:pt idx="35">
                  <c:v>-6.7576897309169937E-2</c:v>
                </c:pt>
                <c:pt idx="36">
                  <c:v>0.29181763020628004</c:v>
                </c:pt>
                <c:pt idx="37">
                  <c:v>-0.18854989339385053</c:v>
                </c:pt>
                <c:pt idx="38">
                  <c:v>0.21719306110014003</c:v>
                </c:pt>
                <c:pt idx="39">
                  <c:v>-0.60228311053371009</c:v>
                </c:pt>
                <c:pt idx="40">
                  <c:v>-0.14281568095648023</c:v>
                </c:pt>
                <c:pt idx="41">
                  <c:v>-0.35279147073086037</c:v>
                </c:pt>
                <c:pt idx="42">
                  <c:v>0.14782963739147981</c:v>
                </c:pt>
                <c:pt idx="43">
                  <c:v>-2.8409550876800083E-3</c:v>
                </c:pt>
                <c:pt idx="44">
                  <c:v>0.57820366226070963</c:v>
                </c:pt>
                <c:pt idx="45">
                  <c:v>1.1194324604812307</c:v>
                </c:pt>
                <c:pt idx="46">
                  <c:v>0.78996022431585011</c:v>
                </c:pt>
                <c:pt idx="47">
                  <c:v>0.65857181770839013</c:v>
                </c:pt>
                <c:pt idx="48">
                  <c:v>1.0915667254760102</c:v>
                </c:pt>
                <c:pt idx="49">
                  <c:v>-1.2237260628866196</c:v>
                </c:pt>
                <c:pt idx="50">
                  <c:v>1.2411057531746197</c:v>
                </c:pt>
                <c:pt idx="51">
                  <c:v>-1.04924519581557</c:v>
                </c:pt>
                <c:pt idx="52">
                  <c:v>2.0069362439372003</c:v>
                </c:pt>
                <c:pt idx="53">
                  <c:v>0.33515124492290971</c:v>
                </c:pt>
                <c:pt idx="54">
                  <c:v>-0.66909554330447962</c:v>
                </c:pt>
                <c:pt idx="55">
                  <c:v>3.7783785817720128E-2</c:v>
                </c:pt>
                <c:pt idx="56">
                  <c:v>0.23191589324021011</c:v>
                </c:pt>
                <c:pt idx="57">
                  <c:v>0.95045807050666986</c:v>
                </c:pt>
                <c:pt idx="58">
                  <c:v>0.62253421669720987</c:v>
                </c:pt>
                <c:pt idx="59">
                  <c:v>1.74531165377272</c:v>
                </c:pt>
                <c:pt idx="60">
                  <c:v>0.98804357048029967</c:v>
                </c:pt>
                <c:pt idx="61">
                  <c:v>-0.94811027787885038</c:v>
                </c:pt>
                <c:pt idx="62">
                  <c:v>-0.25379780667099983</c:v>
                </c:pt>
                <c:pt idx="63">
                  <c:v>-1.5977836320651795</c:v>
                </c:pt>
                <c:pt idx="64">
                  <c:v>-0.2496632950443507</c:v>
                </c:pt>
                <c:pt idx="65">
                  <c:v>-0.46182850971340983</c:v>
                </c:pt>
                <c:pt idx="66">
                  <c:v>-0.21272653398620989</c:v>
                </c:pt>
                <c:pt idx="67">
                  <c:v>-0.5260287507027801</c:v>
                </c:pt>
                <c:pt idx="68">
                  <c:v>-0.51898764529569963</c:v>
                </c:pt>
                <c:pt idx="69">
                  <c:v>-0.37946747398214065</c:v>
                </c:pt>
                <c:pt idx="70">
                  <c:v>-0.48786560797435996</c:v>
                </c:pt>
                <c:pt idx="71">
                  <c:v>0.11924691110510999</c:v>
                </c:pt>
                <c:pt idx="72">
                  <c:v>-1.5662345114293306</c:v>
                </c:pt>
                <c:pt idx="73">
                  <c:v>-0.54950014241771061</c:v>
                </c:pt>
                <c:pt idx="74">
                  <c:v>-8.0139491622450265E-2</c:v>
                </c:pt>
                <c:pt idx="75">
                  <c:v>-0.83535557664039928</c:v>
                </c:pt>
                <c:pt idx="76">
                  <c:v>0.51853310553136023</c:v>
                </c:pt>
                <c:pt idx="77">
                  <c:v>-0.51681670510824951</c:v>
                </c:pt>
                <c:pt idx="78">
                  <c:v>0.54774663033382076</c:v>
                </c:pt>
                <c:pt idx="79">
                  <c:v>1.4440966105795203</c:v>
                </c:pt>
                <c:pt idx="80">
                  <c:v>1.7069687357286192</c:v>
                </c:pt>
                <c:pt idx="81">
                  <c:v>1.1132924178690509</c:v>
                </c:pt>
                <c:pt idx="82">
                  <c:v>1.9330670135219998</c:v>
                </c:pt>
                <c:pt idx="83">
                  <c:v>0.84329659161996062</c:v>
                </c:pt>
                <c:pt idx="84">
                  <c:v>-1.9055668170570002</c:v>
                </c:pt>
                <c:pt idx="85">
                  <c:v>2.0746489025061265E-2</c:v>
                </c:pt>
                <c:pt idx="86">
                  <c:v>0.54110140334024059</c:v>
                </c:pt>
                <c:pt idx="87">
                  <c:v>1.5285901655966407</c:v>
                </c:pt>
                <c:pt idx="88">
                  <c:v>1.1856845281950106</c:v>
                </c:pt>
                <c:pt idx="89">
                  <c:v>1.7528226087326706</c:v>
                </c:pt>
                <c:pt idx="90">
                  <c:v>1.436895853257</c:v>
                </c:pt>
                <c:pt idx="91">
                  <c:v>-2.2438662018554298</c:v>
                </c:pt>
                <c:pt idx="92">
                  <c:v>-0.31716199157951985</c:v>
                </c:pt>
                <c:pt idx="93">
                  <c:v>1.1405024123066103</c:v>
                </c:pt>
                <c:pt idx="94">
                  <c:v>0.62360193583402079</c:v>
                </c:pt>
                <c:pt idx="95">
                  <c:v>1.2698987323349593</c:v>
                </c:pt>
                <c:pt idx="96">
                  <c:v>2.9865450577997397</c:v>
                </c:pt>
                <c:pt idx="97">
                  <c:v>2.15854684053655</c:v>
                </c:pt>
                <c:pt idx="98">
                  <c:v>1.0505318974849898</c:v>
                </c:pt>
                <c:pt idx="99">
                  <c:v>-1.6117041498228408</c:v>
                </c:pt>
                <c:pt idx="100">
                  <c:v>2.73820064909797</c:v>
                </c:pt>
                <c:pt idx="101">
                  <c:v>-1.2877447018451695</c:v>
                </c:pt>
                <c:pt idx="102">
                  <c:v>-0.1120798804974199</c:v>
                </c:pt>
                <c:pt idx="103">
                  <c:v>-0.92792817434550012</c:v>
                </c:pt>
                <c:pt idx="104">
                  <c:v>-5.4667660555951096</c:v>
                </c:pt>
                <c:pt idx="105">
                  <c:v>-1.3305775668026802</c:v>
                </c:pt>
                <c:pt idx="106">
                  <c:v>-0.16010173318178023</c:v>
                </c:pt>
                <c:pt idx="107">
                  <c:v>1.4783146477999201</c:v>
                </c:pt>
                <c:pt idx="108">
                  <c:v>2.8679881342334199</c:v>
                </c:pt>
                <c:pt idx="109">
                  <c:v>1.1004109048675099</c:v>
                </c:pt>
                <c:pt idx="110">
                  <c:v>-0.36980694060699992</c:v>
                </c:pt>
                <c:pt idx="111">
                  <c:v>-5.4852870336393398</c:v>
                </c:pt>
                <c:pt idx="112">
                  <c:v>-0.94542898799232011</c:v>
                </c:pt>
                <c:pt idx="113">
                  <c:v>-2.0109828794010021E-2</c:v>
                </c:pt>
                <c:pt idx="114">
                  <c:v>0.28064789107568</c:v>
                </c:pt>
                <c:pt idx="115">
                  <c:v>0.10880793467407024</c:v>
                </c:pt>
                <c:pt idx="116">
                  <c:v>0.51957003332481033</c:v>
                </c:pt>
                <c:pt idx="117">
                  <c:v>0.18516159401763943</c:v>
                </c:pt>
                <c:pt idx="118">
                  <c:v>0.60876142990003945</c:v>
                </c:pt>
                <c:pt idx="119">
                  <c:v>-1.7383023255828496</c:v>
                </c:pt>
                <c:pt idx="120">
                  <c:v>-3.2768266397638808</c:v>
                </c:pt>
                <c:pt idx="121">
                  <c:v>-1.8100769668189702</c:v>
                </c:pt>
                <c:pt idx="122">
                  <c:v>-0.17279541399962017</c:v>
                </c:pt>
                <c:pt idx="123">
                  <c:v>-0.25460882488081005</c:v>
                </c:pt>
                <c:pt idx="124">
                  <c:v>0.73672309289693949</c:v>
                </c:pt>
                <c:pt idx="125">
                  <c:v>0.16516760337876946</c:v>
                </c:pt>
                <c:pt idx="126">
                  <c:v>-9.4646525143470051E-2</c:v>
                </c:pt>
                <c:pt idx="127">
                  <c:v>0.52796967425534014</c:v>
                </c:pt>
                <c:pt idx="128">
                  <c:v>0.31991889338878021</c:v>
                </c:pt>
                <c:pt idx="129">
                  <c:v>6.3651682317260594E-2</c:v>
                </c:pt>
                <c:pt idx="130">
                  <c:v>0.47983796228160003</c:v>
                </c:pt>
                <c:pt idx="131">
                  <c:v>1.0086661102364705</c:v>
                </c:pt>
                <c:pt idx="132">
                  <c:v>1.4962881742118004</c:v>
                </c:pt>
                <c:pt idx="133">
                  <c:v>2.1170898502844686</c:v>
                </c:pt>
                <c:pt idx="134">
                  <c:v>0.63781878432070016</c:v>
                </c:pt>
                <c:pt idx="135">
                  <c:v>0.34342643188656119</c:v>
                </c:pt>
                <c:pt idx="136">
                  <c:v>0.62976159169262935</c:v>
                </c:pt>
                <c:pt idx="137">
                  <c:v>-0.29826126104551065</c:v>
                </c:pt>
                <c:pt idx="138">
                  <c:v>-0.74108268781099973</c:v>
                </c:pt>
                <c:pt idx="139">
                  <c:v>-0.35383961486542947</c:v>
                </c:pt>
                <c:pt idx="140">
                  <c:v>0.21441858129287006</c:v>
                </c:pt>
                <c:pt idx="141">
                  <c:v>-0.16182703072137095</c:v>
                </c:pt>
                <c:pt idx="142">
                  <c:v>1.5371782670129992</c:v>
                </c:pt>
                <c:pt idx="143">
                  <c:v>0.46963005764649957</c:v>
                </c:pt>
                <c:pt idx="144">
                  <c:v>0.93556659780256979</c:v>
                </c:pt>
                <c:pt idx="145">
                  <c:v>1.2315241786466586</c:v>
                </c:pt>
                <c:pt idx="146">
                  <c:v>0.26509160085143968</c:v>
                </c:pt>
                <c:pt idx="147">
                  <c:v>1.2368196886677501</c:v>
                </c:pt>
                <c:pt idx="148">
                  <c:v>0.50315261316984916</c:v>
                </c:pt>
                <c:pt idx="149">
                  <c:v>0.32075430124679993</c:v>
                </c:pt>
                <c:pt idx="150">
                  <c:v>0.56339368624354869</c:v>
                </c:pt>
                <c:pt idx="151">
                  <c:v>-6.3017385464910092E-2</c:v>
                </c:pt>
                <c:pt idx="152">
                  <c:v>-0.40799723876322957</c:v>
                </c:pt>
                <c:pt idx="153">
                  <c:v>1.7179643483069995E-2</c:v>
                </c:pt>
                <c:pt idx="154">
                  <c:v>1.0034367921691105</c:v>
                </c:pt>
                <c:pt idx="155">
                  <c:v>0.17982487713068984</c:v>
                </c:pt>
                <c:pt idx="156">
                  <c:v>0.21942525480491071</c:v>
                </c:pt>
                <c:pt idx="157">
                  <c:v>-1.4079359883212703</c:v>
                </c:pt>
                <c:pt idx="158">
                  <c:v>-1.4799010979743699</c:v>
                </c:pt>
                <c:pt idx="159">
                  <c:v>-0.41816373513846017</c:v>
                </c:pt>
                <c:pt idx="160">
                  <c:v>-0.75990277881439017</c:v>
                </c:pt>
                <c:pt idx="161">
                  <c:v>-0.69799631896334002</c:v>
                </c:pt>
                <c:pt idx="162">
                  <c:v>-1.2089598310120131E-2</c:v>
                </c:pt>
                <c:pt idx="163">
                  <c:v>-0.32296095160698002</c:v>
                </c:pt>
                <c:pt idx="164">
                  <c:v>-0.95457038532529026</c:v>
                </c:pt>
                <c:pt idx="165">
                  <c:v>-1.2030029456523001</c:v>
                </c:pt>
                <c:pt idx="166">
                  <c:v>-0.9410028405373998</c:v>
                </c:pt>
                <c:pt idx="167">
                  <c:v>2.8327397592020631E-2</c:v>
                </c:pt>
                <c:pt idx="168">
                  <c:v>0.1946249853422799</c:v>
                </c:pt>
                <c:pt idx="169">
                  <c:v>-0.47625022796097038</c:v>
                </c:pt>
                <c:pt idx="170">
                  <c:v>0.14283742353145978</c:v>
                </c:pt>
                <c:pt idx="171">
                  <c:v>-0.41996529455628995</c:v>
                </c:pt>
                <c:pt idx="172">
                  <c:v>0.1252099902150805</c:v>
                </c:pt>
                <c:pt idx="173">
                  <c:v>0.63437582596229003</c:v>
                </c:pt>
                <c:pt idx="174">
                  <c:v>-0.4414375362177001</c:v>
                </c:pt>
                <c:pt idx="175">
                  <c:v>0.66259379816575015</c:v>
                </c:pt>
                <c:pt idx="176">
                  <c:v>-0.1812586239338998</c:v>
                </c:pt>
                <c:pt idx="177">
                  <c:v>-0.30216692586695015</c:v>
                </c:pt>
                <c:pt idx="178">
                  <c:v>4.9361116362580892E-2</c:v>
                </c:pt>
                <c:pt idx="179">
                  <c:v>0.81825941924202705</c:v>
                </c:pt>
                <c:pt idx="180">
                  <c:v>0.99782879622257303</c:v>
                </c:pt>
                <c:pt idx="181">
                  <c:v>-0.32375709952650977</c:v>
                </c:pt>
                <c:pt idx="182">
                  <c:v>0.60685117296470992</c:v>
                </c:pt>
                <c:pt idx="183">
                  <c:v>0.68061743063240998</c:v>
                </c:pt>
                <c:pt idx="184">
                  <c:v>0.95077131432887985</c:v>
                </c:pt>
                <c:pt idx="185">
                  <c:v>1.0896541206998198</c:v>
                </c:pt>
                <c:pt idx="186">
                  <c:v>1.1462261839076999</c:v>
                </c:pt>
                <c:pt idx="187">
                  <c:v>0.8955463542739599</c:v>
                </c:pt>
                <c:pt idx="188">
                  <c:v>0.9458691894841702</c:v>
                </c:pt>
                <c:pt idx="189">
                  <c:v>1.2754942403261902</c:v>
                </c:pt>
                <c:pt idx="190">
                  <c:v>1.7465933826231401</c:v>
                </c:pt>
                <c:pt idx="191">
                  <c:v>1.4960940849620203</c:v>
                </c:pt>
                <c:pt idx="192">
                  <c:v>1.7296856077201097</c:v>
                </c:pt>
                <c:pt idx="193">
                  <c:v>1.4853843262448798</c:v>
                </c:pt>
                <c:pt idx="194">
                  <c:v>-1.8581284433927798</c:v>
                </c:pt>
                <c:pt idx="195">
                  <c:v>-1.3963086172931098</c:v>
                </c:pt>
                <c:pt idx="196">
                  <c:v>-3.3767886172143657</c:v>
                </c:pt>
                <c:pt idx="197">
                  <c:v>-3.8689125767596768</c:v>
                </c:pt>
                <c:pt idx="198">
                  <c:v>-3.5798813615744125</c:v>
                </c:pt>
                <c:pt idx="199">
                  <c:v>-0.62355494536386591</c:v>
                </c:pt>
                <c:pt idx="200">
                  <c:v>2.0356295953059877E-2</c:v>
                </c:pt>
                <c:pt idx="201">
                  <c:v>0.7316514803616101</c:v>
                </c:pt>
                <c:pt idx="202">
                  <c:v>0.98591788292055993</c:v>
                </c:pt>
                <c:pt idx="203">
                  <c:v>0.92393759041805978</c:v>
                </c:pt>
                <c:pt idx="204">
                  <c:v>0.39650627913641978</c:v>
                </c:pt>
                <c:pt idx="205">
                  <c:v>0.48458728114096017</c:v>
                </c:pt>
                <c:pt idx="206">
                  <c:v>0.77564053146353018</c:v>
                </c:pt>
                <c:pt idx="207">
                  <c:v>-0.34087698049299009</c:v>
                </c:pt>
                <c:pt idx="208">
                  <c:v>-0.97061139921785022</c:v>
                </c:pt>
                <c:pt idx="209">
                  <c:v>0.1782378429617999</c:v>
                </c:pt>
                <c:pt idx="210">
                  <c:v>0.89486315012930207</c:v>
                </c:pt>
                <c:pt idx="211">
                  <c:v>-0.29655821660477</c:v>
                </c:pt>
                <c:pt idx="212">
                  <c:v>-0.29223660664156692</c:v>
                </c:pt>
                <c:pt idx="213">
                  <c:v>-0.84874612142845995</c:v>
                </c:pt>
                <c:pt idx="214">
                  <c:v>-0.24105877670865605</c:v>
                </c:pt>
                <c:pt idx="215">
                  <c:v>-0.60049738642945394</c:v>
                </c:pt>
                <c:pt idx="216">
                  <c:v>-0.77891830894674796</c:v>
                </c:pt>
                <c:pt idx="217">
                  <c:v>-0.72029380367722595</c:v>
                </c:pt>
                <c:pt idx="218">
                  <c:v>-0.87712426740398497</c:v>
                </c:pt>
                <c:pt idx="219">
                  <c:v>-0.47585671068948199</c:v>
                </c:pt>
                <c:pt idx="220">
                  <c:v>-0.43996810590974894</c:v>
                </c:pt>
                <c:pt idx="221">
                  <c:v>-0.46542485433450603</c:v>
                </c:pt>
                <c:pt idx="222">
                  <c:v>-0.62717568315123695</c:v>
                </c:pt>
                <c:pt idx="223">
                  <c:v>-0.38857617573728698</c:v>
                </c:pt>
                <c:pt idx="224">
                  <c:v>-0.16606998711420401</c:v>
                </c:pt>
                <c:pt idx="225">
                  <c:v>-0.31055777347477398</c:v>
                </c:pt>
                <c:pt idx="226">
                  <c:v>-0.43310454891751704</c:v>
                </c:pt>
                <c:pt idx="227">
                  <c:v>-0.70517156162721606</c:v>
                </c:pt>
                <c:pt idx="228">
                  <c:v>-0.53305611101208394</c:v>
                </c:pt>
                <c:pt idx="229">
                  <c:v>-0.71174461278036993</c:v>
                </c:pt>
                <c:pt idx="230">
                  <c:v>-0.21145392455391976</c:v>
                </c:pt>
                <c:pt idx="231">
                  <c:v>5.7105035784209779E-2</c:v>
                </c:pt>
                <c:pt idx="232">
                  <c:v>0.27511738121825013</c:v>
                </c:pt>
                <c:pt idx="233">
                  <c:v>0.75970956140806023</c:v>
                </c:pt>
                <c:pt idx="234">
                  <c:v>0.73836471936588977</c:v>
                </c:pt>
                <c:pt idx="235">
                  <c:v>0.77753053973432995</c:v>
                </c:pt>
                <c:pt idx="236">
                  <c:v>1.0910347058546499</c:v>
                </c:pt>
                <c:pt idx="237">
                  <c:v>1.5447609724722198</c:v>
                </c:pt>
                <c:pt idx="238">
                  <c:v>2.03088237685555</c:v>
                </c:pt>
                <c:pt idx="239">
                  <c:v>2.0035736476889499</c:v>
                </c:pt>
                <c:pt idx="240">
                  <c:v>2.5431514330704696</c:v>
                </c:pt>
                <c:pt idx="241">
                  <c:v>2.5017046987451299</c:v>
                </c:pt>
                <c:pt idx="242">
                  <c:v>3.3670698802151002</c:v>
                </c:pt>
                <c:pt idx="243">
                  <c:v>2.8113668030475396</c:v>
                </c:pt>
                <c:pt idx="244">
                  <c:v>2.7024058643751498</c:v>
                </c:pt>
                <c:pt idx="245">
                  <c:v>3.0248191410562097</c:v>
                </c:pt>
                <c:pt idx="246">
                  <c:v>2.7113956137867099</c:v>
                </c:pt>
                <c:pt idx="247">
                  <c:v>1.4139193980495499</c:v>
                </c:pt>
                <c:pt idx="248">
                  <c:v>0.45197969088823609</c:v>
                </c:pt>
                <c:pt idx="249">
                  <c:v>0.4633096538316801</c:v>
                </c:pt>
                <c:pt idx="250">
                  <c:v>0.68312661716547995</c:v>
                </c:pt>
                <c:pt idx="251">
                  <c:v>0.59417799204929</c:v>
                </c:pt>
                <c:pt idx="252">
                  <c:v>0.70138899364575025</c:v>
                </c:pt>
                <c:pt idx="253">
                  <c:v>2.1523641282755106</c:v>
                </c:pt>
                <c:pt idx="254">
                  <c:v>3.1273857011165598</c:v>
                </c:pt>
                <c:pt idx="255">
                  <c:v>2.07567276419989</c:v>
                </c:pt>
                <c:pt idx="256">
                  <c:v>1.7940695493574403</c:v>
                </c:pt>
                <c:pt idx="257">
                  <c:v>0.89785963488016018</c:v>
                </c:pt>
                <c:pt idx="258">
                  <c:v>2.6813624855476501</c:v>
                </c:pt>
                <c:pt idx="259">
                  <c:v>2.0600891598507802</c:v>
                </c:pt>
                <c:pt idx="260">
                  <c:v>1.6846710177891002</c:v>
                </c:pt>
                <c:pt idx="261">
                  <c:v>0.25876473202514028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36704"/>
        <c:axId val="126138240"/>
      </c:lineChart>
      <c:dateAx>
        <c:axId val="1261367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6138240"/>
        <c:crosses val="autoZero"/>
        <c:auto val="1"/>
        <c:lblOffset val="100"/>
        <c:baseTimeUnit val="months"/>
      </c:dateAx>
      <c:valAx>
        <c:axId val="126138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136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vs actual'!$E$1</c:f>
              <c:strCache>
                <c:ptCount val="1"/>
                <c:pt idx="0">
                  <c:v>actual-6m ma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actual'!$E$2:$E$263</c:f>
              <c:numCache>
                <c:formatCode>General</c:formatCode>
                <c:ptCount val="262"/>
                <c:pt idx="5">
                  <c:v>2.3082057159693687</c:v>
                </c:pt>
                <c:pt idx="6">
                  <c:v>2.7775312769160387</c:v>
                </c:pt>
                <c:pt idx="7">
                  <c:v>3.236371008605774</c:v>
                </c:pt>
                <c:pt idx="8">
                  <c:v>3.6819257507315069</c:v>
                </c:pt>
                <c:pt idx="9">
                  <c:v>3.5275720405542965</c:v>
                </c:pt>
                <c:pt idx="10">
                  <c:v>3.3312665537959187</c:v>
                </c:pt>
                <c:pt idx="11">
                  <c:v>3.1443334680635071</c:v>
                </c:pt>
                <c:pt idx="12">
                  <c:v>3.1407493766836683</c:v>
                </c:pt>
                <c:pt idx="13">
                  <c:v>3.1150988904919266</c:v>
                </c:pt>
                <c:pt idx="14">
                  <c:v>3.2253301935245902</c:v>
                </c:pt>
                <c:pt idx="15">
                  <c:v>3.4901264584553515</c:v>
                </c:pt>
                <c:pt idx="16">
                  <c:v>3.8887060272805751</c:v>
                </c:pt>
                <c:pt idx="17">
                  <c:v>4.3136702373690392</c:v>
                </c:pt>
                <c:pt idx="18">
                  <c:v>4.4970989101277974</c:v>
                </c:pt>
                <c:pt idx="19">
                  <c:v>4.6444065755908985</c:v>
                </c:pt>
                <c:pt idx="20">
                  <c:v>4.6259924075062679</c:v>
                </c:pt>
                <c:pt idx="21">
                  <c:v>4.3890397025995833</c:v>
                </c:pt>
                <c:pt idx="22">
                  <c:v>4.0274779820724742</c:v>
                </c:pt>
                <c:pt idx="23">
                  <c:v>3.6981030834176516</c:v>
                </c:pt>
                <c:pt idx="24">
                  <c:v>3.8112743316515938</c:v>
                </c:pt>
                <c:pt idx="25">
                  <c:v>3.9743922466596628</c:v>
                </c:pt>
                <c:pt idx="26">
                  <c:v>4.2270939836160801</c:v>
                </c:pt>
                <c:pt idx="27">
                  <c:v>4.7015096999892227</c:v>
                </c:pt>
                <c:pt idx="28">
                  <c:v>5.2049637143335774</c:v>
                </c:pt>
                <c:pt idx="29">
                  <c:v>5.4984149571125442</c:v>
                </c:pt>
                <c:pt idx="30">
                  <c:v>5.4611303892910046</c:v>
                </c:pt>
                <c:pt idx="31">
                  <c:v>5.37590855483145</c:v>
                </c:pt>
                <c:pt idx="32">
                  <c:v>4.5377946458302061</c:v>
                </c:pt>
                <c:pt idx="33">
                  <c:v>4.1980560066415107</c:v>
                </c:pt>
                <c:pt idx="34">
                  <c:v>4.1187179221016548</c:v>
                </c:pt>
                <c:pt idx="35">
                  <c:v>4.2408556408805937</c:v>
                </c:pt>
                <c:pt idx="36">
                  <c:v>4.4782190033831935</c:v>
                </c:pt>
                <c:pt idx="37">
                  <c:v>4.8485127859295298</c:v>
                </c:pt>
                <c:pt idx="38">
                  <c:v>5.9121074857163585</c:v>
                </c:pt>
                <c:pt idx="39">
                  <c:v>6.374483875883727</c:v>
                </c:pt>
                <c:pt idx="40">
                  <c:v>6.5430669275773852</c:v>
                </c:pt>
                <c:pt idx="41">
                  <c:v>6.6360699417083779</c:v>
                </c:pt>
                <c:pt idx="42">
                  <c:v>6.6165081658404494</c:v>
                </c:pt>
                <c:pt idx="43">
                  <c:v>6.2066583937550677</c:v>
                </c:pt>
                <c:pt idx="44">
                  <c:v>5.7677384866816732</c:v>
                </c:pt>
                <c:pt idx="45">
                  <c:v>5.536341032469152</c:v>
                </c:pt>
                <c:pt idx="46">
                  <c:v>5.3449292450482426</c:v>
                </c:pt>
                <c:pt idx="47">
                  <c:v>5.1372055238487873</c:v>
                </c:pt>
                <c:pt idx="48">
                  <c:v>4.9376221214956688</c:v>
                </c:pt>
                <c:pt idx="49">
                  <c:v>5.6069117337606178</c:v>
                </c:pt>
                <c:pt idx="50">
                  <c:v>5.8592377736371715</c:v>
                </c:pt>
                <c:pt idx="51">
                  <c:v>6.1209319250163849</c:v>
                </c:pt>
                <c:pt idx="52">
                  <c:v>5.8729383413617464</c:v>
                </c:pt>
                <c:pt idx="53">
                  <c:v>5.6720573828140646</c:v>
                </c:pt>
                <c:pt idx="54">
                  <c:v>5.5031171323370982</c:v>
                </c:pt>
                <c:pt idx="55">
                  <c:v>4.3517364250691069</c:v>
                </c:pt>
                <c:pt idx="56">
                  <c:v>3.6708514718345229</c:v>
                </c:pt>
                <c:pt idx="57">
                  <c:v>2.8551609771983917</c:v>
                </c:pt>
                <c:pt idx="58">
                  <c:v>2.7591267345630315</c:v>
                </c:pt>
                <c:pt idx="59">
                  <c:v>2.5304533170098651</c:v>
                </c:pt>
                <c:pt idx="60">
                  <c:v>2.5460899698334649</c:v>
                </c:pt>
                <c:pt idx="61">
                  <c:v>3.3739491120283867</c:v>
                </c:pt>
                <c:pt idx="62">
                  <c:v>4.1058832828530294</c:v>
                </c:pt>
                <c:pt idx="63">
                  <c:v>4.9035635021084083</c:v>
                </c:pt>
                <c:pt idx="64">
                  <c:v>5.2971486449829746</c:v>
                </c:pt>
                <c:pt idx="65">
                  <c:v>5.7654761351037331</c:v>
                </c:pt>
                <c:pt idx="66">
                  <c:v>5.9904998948088943</c:v>
                </c:pt>
                <c:pt idx="67">
                  <c:v>5.6325092731871038</c:v>
                </c:pt>
                <c:pt idx="68">
                  <c:v>5.342226326920783</c:v>
                </c:pt>
                <c:pt idx="69">
                  <c:v>5.1464014502335571</c:v>
                </c:pt>
                <c:pt idx="70">
                  <c:v>5.3331150990413869</c:v>
                </c:pt>
                <c:pt idx="71">
                  <c:v>5.5803628539125327</c:v>
                </c:pt>
                <c:pt idx="72">
                  <c:v>6.0993037591577943</c:v>
                </c:pt>
                <c:pt idx="73">
                  <c:v>6.6602594804918143</c:v>
                </c:pt>
                <c:pt idx="74">
                  <c:v>7.2368524499241538</c:v>
                </c:pt>
                <c:pt idx="75">
                  <c:v>7.6073668707418705</c:v>
                </c:pt>
                <c:pt idx="76">
                  <c:v>7.6150107756147838</c:v>
                </c:pt>
                <c:pt idx="77">
                  <c:v>7.680213217235111</c:v>
                </c:pt>
                <c:pt idx="78">
                  <c:v>7.3612340047992104</c:v>
                </c:pt>
                <c:pt idx="79">
                  <c:v>6.7730836963911303</c:v>
                </c:pt>
                <c:pt idx="80">
                  <c:v>6.2385870467987994</c:v>
                </c:pt>
                <c:pt idx="81">
                  <c:v>6.2025048825236206</c:v>
                </c:pt>
                <c:pt idx="82">
                  <c:v>6.3835899308879567</c:v>
                </c:pt>
                <c:pt idx="83">
                  <c:v>6.7377177594524369</c:v>
                </c:pt>
                <c:pt idx="84">
                  <c:v>7.6996975686297207</c:v>
                </c:pt>
                <c:pt idx="85">
                  <c:v>8.6089446830313623</c:v>
                </c:pt>
                <c:pt idx="86">
                  <c:v>9.425064850385537</c:v>
                </c:pt>
                <c:pt idx="87">
                  <c:v>9.3925223191109275</c:v>
                </c:pt>
                <c:pt idx="88">
                  <c:v>9.2981396819400093</c:v>
                </c:pt>
                <c:pt idx="89">
                  <c:v>8.7637499866164621</c:v>
                </c:pt>
                <c:pt idx="90">
                  <c:v>7.6373183891104182</c:v>
                </c:pt>
                <c:pt idx="91">
                  <c:v>7.0721439385060876</c:v>
                </c:pt>
                <c:pt idx="92">
                  <c:v>6.1280396310548921</c:v>
                </c:pt>
                <c:pt idx="93">
                  <c:v>5.396798935853373</c:v>
                </c:pt>
                <c:pt idx="94">
                  <c:v>5.0611619214024932</c:v>
                </c:pt>
                <c:pt idx="95">
                  <c:v>4.8324757262739917</c:v>
                </c:pt>
                <c:pt idx="96">
                  <c:v>4.5689401431832417</c:v>
                </c:pt>
                <c:pt idx="97">
                  <c:v>4.3494615936340315</c:v>
                </c:pt>
                <c:pt idx="98">
                  <c:v>4.759440080408079</c:v>
                </c:pt>
                <c:pt idx="99">
                  <c:v>5.7384239805532014</c:v>
                </c:pt>
                <c:pt idx="100">
                  <c:v>5.7389596766974655</c:v>
                </c:pt>
                <c:pt idx="101">
                  <c:v>6.0292734067358653</c:v>
                </c:pt>
                <c:pt idx="102">
                  <c:v>5.8053774171759249</c:v>
                </c:pt>
                <c:pt idx="103">
                  <c:v>5.3838583526126236</c:v>
                </c:pt>
                <c:pt idx="104">
                  <c:v>5.5758713666965223</c:v>
                </c:pt>
                <c:pt idx="105">
                  <c:v>4.7718534559459682</c:v>
                </c:pt>
                <c:pt idx="106">
                  <c:v>4.5271540792284117</c:v>
                </c:pt>
                <c:pt idx="107">
                  <c:v>3.666402134401952</c:v>
                </c:pt>
                <c:pt idx="108">
                  <c:v>3.2402004338402652</c:v>
                </c:pt>
                <c:pt idx="109">
                  <c:v>2.8170708909241369</c:v>
                </c:pt>
                <c:pt idx="110">
                  <c:v>1.8653296736594684</c:v>
                </c:pt>
                <c:pt idx="111">
                  <c:v>2.5476782230960446</c:v>
                </c:pt>
                <c:pt idx="112">
                  <c:v>2.4920500189621149</c:v>
                </c:pt>
                <c:pt idx="113">
                  <c:v>2.6874429279370902</c:v>
                </c:pt>
                <c:pt idx="114">
                  <c:v>3.1440753301763333</c:v>
                </c:pt>
                <c:pt idx="115">
                  <c:v>3.564488813278853</c:v>
                </c:pt>
                <c:pt idx="116">
                  <c:v>3.6786760899101956</c:v>
                </c:pt>
                <c:pt idx="117">
                  <c:v>3.0256979227368119</c:v>
                </c:pt>
                <c:pt idx="118">
                  <c:v>3.285304875782797</c:v>
                </c:pt>
                <c:pt idx="119">
                  <c:v>4.1362542744602067</c:v>
                </c:pt>
                <c:pt idx="120">
                  <c:v>5.2726571047542556</c:v>
                </c:pt>
                <c:pt idx="121">
                  <c:v>6.2374037795877051</c:v>
                </c:pt>
                <c:pt idx="122">
                  <c:v>7.0672185439509505</c:v>
                </c:pt>
                <c:pt idx="123">
                  <c:v>7.5505497471163636</c:v>
                </c:pt>
                <c:pt idx="124">
                  <c:v>7.8322499839054132</c:v>
                </c:pt>
                <c:pt idx="125">
                  <c:v>7.7333395381821548</c:v>
                </c:pt>
                <c:pt idx="126">
                  <c:v>7.4208418888114283</c:v>
                </c:pt>
                <c:pt idx="127">
                  <c:v>6.9353739547072815</c:v>
                </c:pt>
                <c:pt idx="128">
                  <c:v>6.705414975050707</c:v>
                </c:pt>
                <c:pt idx="129">
                  <c:v>6.9659044159889936</c:v>
                </c:pt>
                <c:pt idx="130">
                  <c:v>7.2978136654016863</c:v>
                </c:pt>
                <c:pt idx="131">
                  <c:v>7.6927421340278999</c:v>
                </c:pt>
                <c:pt idx="132">
                  <c:v>8.0954788836721914</c:v>
                </c:pt>
                <c:pt idx="133">
                  <c:v>8.8490490514536226</c:v>
                </c:pt>
                <c:pt idx="134">
                  <c:v>9.6247306056148165</c:v>
                </c:pt>
                <c:pt idx="135">
                  <c:v>9.6112100086520744</c:v>
                </c:pt>
                <c:pt idx="136">
                  <c:v>9.5286549671581753</c:v>
                </c:pt>
                <c:pt idx="137">
                  <c:v>9.2726683075770335</c:v>
                </c:pt>
                <c:pt idx="138">
                  <c:v>8.878165684141516</c:v>
                </c:pt>
                <c:pt idx="139">
                  <c:v>8.1993609211462637</c:v>
                </c:pt>
                <c:pt idx="140">
                  <c:v>7.4071588421859955</c:v>
                </c:pt>
                <c:pt idx="141">
                  <c:v>7.3381093757332181</c:v>
                </c:pt>
                <c:pt idx="142">
                  <c:v>7.2223427670323517</c:v>
                </c:pt>
                <c:pt idx="143">
                  <c:v>7.4421027827393376</c:v>
                </c:pt>
                <c:pt idx="144">
                  <c:v>7.6942729432626606</c:v>
                </c:pt>
                <c:pt idx="145">
                  <c:v>8.098407804806806</c:v>
                </c:pt>
                <c:pt idx="146">
                  <c:v>8.6042570342429538</c:v>
                </c:pt>
                <c:pt idx="147">
                  <c:v>8.4922798472759915</c:v>
                </c:pt>
                <c:pt idx="148">
                  <c:v>8.6579849977261052</c:v>
                </c:pt>
                <c:pt idx="149">
                  <c:v>8.4218064171159348</c:v>
                </c:pt>
                <c:pt idx="150">
                  <c:v>8.1900984554473926</c:v>
                </c:pt>
                <c:pt idx="151">
                  <c:v>7.9033385604852784</c:v>
                </c:pt>
                <c:pt idx="152">
                  <c:v>7.5173556008099469</c:v>
                </c:pt>
                <c:pt idx="153">
                  <c:v>7.6013640020302331</c:v>
                </c:pt>
                <c:pt idx="154">
                  <c:v>7.4948174966241483</c:v>
                </c:pt>
                <c:pt idx="155">
                  <c:v>7.6350223100301653</c:v>
                </c:pt>
                <c:pt idx="156">
                  <c:v>7.7224095595549578</c:v>
                </c:pt>
                <c:pt idx="157">
                  <c:v>7.9662568566770275</c:v>
                </c:pt>
                <c:pt idx="158">
                  <c:v>8.1003007531239302</c:v>
                </c:pt>
                <c:pt idx="159">
                  <c:v>7.6979535868769</c:v>
                </c:pt>
                <c:pt idx="160">
                  <c:v>7.4343650794955023</c:v>
                </c:pt>
                <c:pt idx="161">
                  <c:v>6.9252770249259186</c:v>
                </c:pt>
                <c:pt idx="162">
                  <c:v>6.3747376758446004</c:v>
                </c:pt>
                <c:pt idx="163">
                  <c:v>5.7544909312854857</c:v>
                </c:pt>
                <c:pt idx="164">
                  <c:v>5.3756932922792933</c:v>
                </c:pt>
                <c:pt idx="165">
                  <c:v>5.5412678913795963</c:v>
                </c:pt>
                <c:pt idx="166">
                  <c:v>5.6009146181462173</c:v>
                </c:pt>
                <c:pt idx="167">
                  <c:v>5.6759113208818848</c:v>
                </c:pt>
                <c:pt idx="168">
                  <c:v>5.7859083030885934</c:v>
                </c:pt>
                <c:pt idx="169">
                  <c:v>6.0208566536964296</c:v>
                </c:pt>
                <c:pt idx="170">
                  <c:v>5.9744623513685502</c:v>
                </c:pt>
                <c:pt idx="171">
                  <c:v>5.6548556920446158</c:v>
                </c:pt>
                <c:pt idx="172">
                  <c:v>5.3525701661115397</c:v>
                </c:pt>
                <c:pt idx="173">
                  <c:v>4.947940318172507</c:v>
                </c:pt>
                <c:pt idx="174">
                  <c:v>4.7860178783690799</c:v>
                </c:pt>
                <c:pt idx="175">
                  <c:v>4.3906769386102154</c:v>
                </c:pt>
                <c:pt idx="176">
                  <c:v>4.1212798140521523</c:v>
                </c:pt>
                <c:pt idx="177">
                  <c:v>3.712596253830883</c:v>
                </c:pt>
                <c:pt idx="178">
                  <c:v>3.0886110671422764</c:v>
                </c:pt>
                <c:pt idx="179">
                  <c:v>2.5846746617926089</c:v>
                </c:pt>
                <c:pt idx="180">
                  <c:v>1.9241818930477532</c:v>
                </c:pt>
                <c:pt idx="181">
                  <c:v>1.7642724727543666</c:v>
                </c:pt>
                <c:pt idx="182">
                  <c:v>1.4112881130937416</c:v>
                </c:pt>
                <c:pt idx="183">
                  <c:v>1.2332405991166431</c:v>
                </c:pt>
                <c:pt idx="184">
                  <c:v>1.2812073434833515</c:v>
                </c:pt>
                <c:pt idx="185">
                  <c:v>1.3760350010604796</c:v>
                </c:pt>
                <c:pt idx="186">
                  <c:v>1.4393505053876117</c:v>
                </c:pt>
                <c:pt idx="187">
                  <c:v>1.2243082216601102</c:v>
                </c:pt>
                <c:pt idx="188">
                  <c:v>1.2175171178818116</c:v>
                </c:pt>
                <c:pt idx="189">
                  <c:v>1.3188191445132469</c:v>
                </c:pt>
                <c:pt idx="190">
                  <c:v>1.4178137018470984</c:v>
                </c:pt>
                <c:pt idx="191">
                  <c:v>1.6502105824948732</c:v>
                </c:pt>
                <c:pt idx="192">
                  <c:v>1.9004466509912585</c:v>
                </c:pt>
                <c:pt idx="193">
                  <c:v>2.080308719731045</c:v>
                </c:pt>
                <c:pt idx="194">
                  <c:v>2.4153862382847802</c:v>
                </c:pt>
                <c:pt idx="195">
                  <c:v>2.484314000388975</c:v>
                </c:pt>
                <c:pt idx="196">
                  <c:v>2.8782356152976369</c:v>
                </c:pt>
                <c:pt idx="197">
                  <c:v>3.2426867814717828</c:v>
                </c:pt>
                <c:pt idx="198">
                  <c:v>3.4961421356879683</c:v>
                </c:pt>
                <c:pt idx="199">
                  <c:v>3.4055182896914915</c:v>
                </c:pt>
                <c:pt idx="200">
                  <c:v>3.054398238218452</c:v>
                </c:pt>
                <c:pt idx="201">
                  <c:v>2.9615005651063133</c:v>
                </c:pt>
                <c:pt idx="202">
                  <c:v>2.5018283360590416</c:v>
                </c:pt>
                <c:pt idx="203">
                  <c:v>2.0373980184725267</c:v>
                </c:pt>
                <c:pt idx="204">
                  <c:v>1.6602564928073715</c:v>
                </c:pt>
                <c:pt idx="205">
                  <c:v>1.6760904148055003</c:v>
                </c:pt>
                <c:pt idx="206">
                  <c:v>1.8614997208716</c:v>
                </c:pt>
                <c:pt idx="207">
                  <c:v>1.9838994292503049</c:v>
                </c:pt>
                <c:pt idx="208">
                  <c:v>2.2306337320598719</c:v>
                </c:pt>
                <c:pt idx="209">
                  <c:v>2.1528321766807399</c:v>
                </c:pt>
                <c:pt idx="210">
                  <c:v>1.913227736292513</c:v>
                </c:pt>
                <c:pt idx="211">
                  <c:v>1.8790561021031593</c:v>
                </c:pt>
                <c:pt idx="212">
                  <c:v>1.7005252099672115</c:v>
                </c:pt>
                <c:pt idx="213">
                  <c:v>1.6214174327343962</c:v>
                </c:pt>
                <c:pt idx="214">
                  <c:v>1.3079632503808412</c:v>
                </c:pt>
                <c:pt idx="215">
                  <c:v>1.2639734614803462</c:v>
                </c:pt>
                <c:pt idx="216">
                  <c:v>1.392808948340005</c:v>
                </c:pt>
                <c:pt idx="217">
                  <c:v>1.3543085369455052</c:v>
                </c:pt>
                <c:pt idx="218">
                  <c:v>1.3665620200293984</c:v>
                </c:pt>
                <c:pt idx="219">
                  <c:v>1.176805622678686</c:v>
                </c:pt>
                <c:pt idx="220">
                  <c:v>1.1188586511460914</c:v>
                </c:pt>
                <c:pt idx="221">
                  <c:v>1.0382172235493818</c:v>
                </c:pt>
                <c:pt idx="222">
                  <c:v>0.94446337330536478</c:v>
                </c:pt>
                <c:pt idx="223">
                  <c:v>0.83063844332192216</c:v>
                </c:pt>
                <c:pt idx="224">
                  <c:v>0.6952214327024494</c:v>
                </c:pt>
                <c:pt idx="225">
                  <c:v>0.7028405543759515</c:v>
                </c:pt>
                <c:pt idx="226">
                  <c:v>0.7638597603576841</c:v>
                </c:pt>
                <c:pt idx="227">
                  <c:v>0.88218689538625539</c:v>
                </c:pt>
                <c:pt idx="228">
                  <c:v>0.98706406830923588</c:v>
                </c:pt>
                <c:pt idx="229">
                  <c:v>1.4450541493084685</c:v>
                </c:pt>
                <c:pt idx="230">
                  <c:v>1.9371662270627332</c:v>
                </c:pt>
                <c:pt idx="231">
                  <c:v>2.2670082525190582</c:v>
                </c:pt>
                <c:pt idx="232">
                  <c:v>2.5339253359631813</c:v>
                </c:pt>
                <c:pt idx="233">
                  <c:v>2.6097951780783486</c:v>
                </c:pt>
                <c:pt idx="234">
                  <c:v>2.7223401163045953</c:v>
                </c:pt>
                <c:pt idx="235">
                  <c:v>2.4427996628765349</c:v>
                </c:pt>
                <c:pt idx="236">
                  <c:v>2.1465124112215181</c:v>
                </c:pt>
                <c:pt idx="237">
                  <c:v>2.0551915189479817</c:v>
                </c:pt>
                <c:pt idx="238">
                  <c:v>2.0411596584118885</c:v>
                </c:pt>
                <c:pt idx="239">
                  <c:v>2.3047507992676515</c:v>
                </c:pt>
                <c:pt idx="240">
                  <c:v>2.6044051255217937</c:v>
                </c:pt>
                <c:pt idx="241">
                  <c:v>2.98079673068596</c:v>
                </c:pt>
                <c:pt idx="242">
                  <c:v>3.2749438896533571</c:v>
                </c:pt>
                <c:pt idx="243">
                  <c:v>3.414722174601613</c:v>
                </c:pt>
                <c:pt idx="244">
                  <c:v>3.5118883217902579</c:v>
                </c:pt>
                <c:pt idx="245">
                  <c:v>3.3285096293493122</c:v>
                </c:pt>
                <c:pt idx="246">
                  <c:v>3.1230137852883133</c:v>
                </c:pt>
                <c:pt idx="247">
                  <c:v>2.6552480686804096</c:v>
                </c:pt>
                <c:pt idx="248">
                  <c:v>2.2389770341584923</c:v>
                </c:pt>
                <c:pt idx="249">
                  <c:v>1.9563472922364487</c:v>
                </c:pt>
                <c:pt idx="250">
                  <c:v>1.6965799370140291</c:v>
                </c:pt>
                <c:pt idx="251">
                  <c:v>1.5736755301512158</c:v>
                </c:pt>
                <c:pt idx="252">
                  <c:v>1.7241465648566423</c:v>
                </c:pt>
                <c:pt idx="253">
                  <c:v>2.512299502082759</c:v>
                </c:pt>
                <c:pt idx="254">
                  <c:v>3.1798420846630751</c:v>
                </c:pt>
                <c:pt idx="255">
                  <c:v>3.6187347703882025</c:v>
                </c:pt>
                <c:pt idx="256">
                  <c:v>3.975826924478735</c:v>
                </c:pt>
                <c:pt idx="257">
                  <c:v>3.9952882641859908</c:v>
                </c:pt>
                <c:pt idx="258">
                  <c:v>3.9954044266594884</c:v>
                </c:pt>
                <c:pt idx="259">
                  <c:v>3.4735320605463755</c:v>
                </c:pt>
                <c:pt idx="260">
                  <c:v>3.0051279522298486</c:v>
                </c:pt>
                <c:pt idx="261">
                  <c:v>2.6757601318458017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vs actual'!$F$1</c:f>
              <c:strCache>
                <c:ptCount val="1"/>
                <c:pt idx="0">
                  <c:v>model-6m ma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actual'!$F$2:$F$263</c:f>
              <c:numCache>
                <c:formatCode>General</c:formatCode>
                <c:ptCount val="262"/>
                <c:pt idx="5">
                  <c:v>2.4836466456484598</c:v>
                </c:pt>
                <c:pt idx="6">
                  <c:v>2.8191043806408964</c:v>
                </c:pt>
                <c:pt idx="7">
                  <c:v>2.9789560740176211</c:v>
                </c:pt>
                <c:pt idx="8">
                  <c:v>3.2502330437930982</c:v>
                </c:pt>
                <c:pt idx="9">
                  <c:v>3.0066480899464652</c:v>
                </c:pt>
                <c:pt idx="10">
                  <c:v>2.7824070547663049</c:v>
                </c:pt>
                <c:pt idx="11">
                  <c:v>2.8010618811166768</c:v>
                </c:pt>
                <c:pt idx="12">
                  <c:v>2.9796108210191865</c:v>
                </c:pt>
                <c:pt idx="13">
                  <c:v>3.2959660626882066</c:v>
                </c:pt>
                <c:pt idx="14">
                  <c:v>3.789095771907558</c:v>
                </c:pt>
                <c:pt idx="15">
                  <c:v>4.4288424002567979</c:v>
                </c:pt>
                <c:pt idx="16">
                  <c:v>5.0760715659106843</c:v>
                </c:pt>
                <c:pt idx="17">
                  <c:v>5.3485307689202957</c:v>
                </c:pt>
                <c:pt idx="18">
                  <c:v>5.5102131320836785</c:v>
                </c:pt>
                <c:pt idx="19">
                  <c:v>5.5236747840080866</c:v>
                </c:pt>
                <c:pt idx="20">
                  <c:v>5.4325828695978062</c:v>
                </c:pt>
                <c:pt idx="21">
                  <c:v>5.1182655263994201</c:v>
                </c:pt>
                <c:pt idx="22">
                  <c:v>4.7987294082336538</c:v>
                </c:pt>
                <c:pt idx="23">
                  <c:v>4.8735227312186753</c:v>
                </c:pt>
                <c:pt idx="24">
                  <c:v>4.8762887584177115</c:v>
                </c:pt>
                <c:pt idx="25">
                  <c:v>4.9141394493721346</c:v>
                </c:pt>
                <c:pt idx="26">
                  <c:v>4.9620004278157053</c:v>
                </c:pt>
                <c:pt idx="27">
                  <c:v>5.109085931435863</c:v>
                </c:pt>
                <c:pt idx="28">
                  <c:v>5.2636887034234396</c:v>
                </c:pt>
                <c:pt idx="29">
                  <c:v>5.1416918946644952</c:v>
                </c:pt>
                <c:pt idx="30">
                  <c:v>5.0256828892558936</c:v>
                </c:pt>
                <c:pt idx="31">
                  <c:v>4.9434820236932113</c:v>
                </c:pt>
                <c:pt idx="32">
                  <c:v>4.1689427391746765</c:v>
                </c:pt>
                <c:pt idx="33">
                  <c:v>4.2686476243890761</c:v>
                </c:pt>
                <c:pt idx="34">
                  <c:v>4.3527127179628522</c:v>
                </c:pt>
                <c:pt idx="35">
                  <c:v>4.5191129045036389</c:v>
                </c:pt>
                <c:pt idx="36">
                  <c:v>4.852327671166587</c:v>
                </c:pt>
                <c:pt idx="37">
                  <c:v>5.2206927025490346</c:v>
                </c:pt>
                <c:pt idx="38">
                  <c:v>6.2882702292189299</c:v>
                </c:pt>
                <c:pt idx="39">
                  <c:v>6.3797521369547683</c:v>
                </c:pt>
                <c:pt idx="40">
                  <c:v>6.4610311124295867</c:v>
                </c:pt>
                <c:pt idx="41">
                  <c:v>6.5064983643236323</c:v>
                </c:pt>
                <c:pt idx="42">
                  <c:v>6.4629385896532341</c:v>
                </c:pt>
                <c:pt idx="43">
                  <c:v>6.0840403072855507</c:v>
                </c:pt>
                <c:pt idx="44">
                  <c:v>5.7052888337389165</c:v>
                </c:pt>
                <c:pt idx="45">
                  <c:v>5.7608439746955513</c:v>
                </c:pt>
                <c:pt idx="46">
                  <c:v>5.7248948381533653</c:v>
                </c:pt>
                <c:pt idx="47">
                  <c:v>5.6857316650271166</c:v>
                </c:pt>
                <c:pt idx="48">
                  <c:v>5.6434377773547544</c:v>
                </c:pt>
                <c:pt idx="49">
                  <c:v>6.1092465383198791</c:v>
                </c:pt>
                <c:pt idx="50">
                  <c:v>6.4720562600154201</c:v>
                </c:pt>
                <c:pt idx="51">
                  <c:v>6.3723041353451668</c:v>
                </c:pt>
                <c:pt idx="52">
                  <c:v>6.327139888294087</c:v>
                </c:pt>
                <c:pt idx="53">
                  <c:v>6.0723555009488228</c:v>
                </c:pt>
                <c:pt idx="54">
                  <c:v>5.6099715390084413</c:v>
                </c:pt>
                <c:pt idx="55">
                  <c:v>4.668842473191174</c:v>
                </c:pt>
                <c:pt idx="56">
                  <c:v>3.8197592099675219</c:v>
                </c:pt>
                <c:pt idx="57">
                  <c:v>3.3373525930517638</c:v>
                </c:pt>
                <c:pt idx="58">
                  <c:v>3.0105846792097384</c:v>
                </c:pt>
                <c:pt idx="59">
                  <c:v>3.0169379964648733</c:v>
                </c:pt>
                <c:pt idx="60">
                  <c:v>3.3087645015859368</c:v>
                </c:pt>
                <c:pt idx="61">
                  <c:v>3.9723079664980965</c:v>
                </c:pt>
                <c:pt idx="62">
                  <c:v>4.6232898540042049</c:v>
                </c:pt>
                <c:pt idx="63">
                  <c:v>4.9962631228309418</c:v>
                </c:pt>
                <c:pt idx="64">
                  <c:v>5.2444820137485806</c:v>
                </c:pt>
                <c:pt idx="65">
                  <c:v>5.344952809954985</c:v>
                </c:pt>
                <c:pt idx="66">
                  <c:v>5.3698482189157266</c:v>
                </c:pt>
                <c:pt idx="67">
                  <c:v>5.0822045184899478</c:v>
                </c:pt>
                <c:pt idx="68">
                  <c:v>4.7477232657861768</c:v>
                </c:pt>
                <c:pt idx="69">
                  <c:v>4.7549510821127923</c:v>
                </c:pt>
                <c:pt idx="70">
                  <c:v>4.9019643454322859</c:v>
                </c:pt>
                <c:pt idx="71">
                  <c:v>5.2460580037731868</c:v>
                </c:pt>
                <c:pt idx="72">
                  <c:v>5.5394142461112601</c:v>
                </c:pt>
                <c:pt idx="73">
                  <c:v>6.0964580688261245</c:v>
                </c:pt>
                <c:pt idx="74">
                  <c:v>6.7461923972040063</c:v>
                </c:pt>
                <c:pt idx="75">
                  <c:v>7.040725467578679</c:v>
                </c:pt>
                <c:pt idx="76">
                  <c:v>7.2161024913692131</c:v>
                </c:pt>
                <c:pt idx="77">
                  <c:v>7.1752943302873158</c:v>
                </c:pt>
                <c:pt idx="78">
                  <c:v>7.2086453081452717</c:v>
                </c:pt>
                <c:pt idx="79">
                  <c:v>6.9527611252367301</c:v>
                </c:pt>
                <c:pt idx="80">
                  <c:v>6.7161158468695783</c:v>
                </c:pt>
                <c:pt idx="81">
                  <c:v>7.0048083483459758</c:v>
                </c:pt>
                <c:pt idx="82">
                  <c:v>7.4216490480420836</c:v>
                </c:pt>
                <c:pt idx="83">
                  <c:v>8.0024624260612658</c:v>
                </c:pt>
                <c:pt idx="84">
                  <c:v>8.5555566606734121</c:v>
                </c:pt>
                <c:pt idx="85">
                  <c:v>9.227578754815978</c:v>
                </c:pt>
                <c:pt idx="86">
                  <c:v>9.8493877001054191</c:v>
                </c:pt>
                <c:pt idx="87">
                  <c:v>9.8860614601187446</c:v>
                </c:pt>
                <c:pt idx="88">
                  <c:v>9.6671150753933262</c:v>
                </c:pt>
                <c:pt idx="89">
                  <c:v>9.2843130495885653</c:v>
                </c:pt>
                <c:pt idx="90">
                  <c:v>8.7149585638015221</c:v>
                </c:pt>
                <c:pt idx="91">
                  <c:v>7.7723486647171081</c:v>
                </c:pt>
                <c:pt idx="92">
                  <c:v>6.6852004581126208</c:v>
                </c:pt>
                <c:pt idx="93">
                  <c:v>5.8892784706960972</c:v>
                </c:pt>
                <c:pt idx="94">
                  <c:v>5.459961024185052</c:v>
                </c:pt>
                <c:pt idx="95">
                  <c:v>5.1507875163235983</c:v>
                </c:pt>
                <c:pt idx="96">
                  <c:v>5.1455268006566381</c:v>
                </c:pt>
                <c:pt idx="97">
                  <c:v>5.6597837581727584</c:v>
                </c:pt>
                <c:pt idx="98">
                  <c:v>6.2977112264575572</c:v>
                </c:pt>
                <c:pt idx="99">
                  <c:v>6.817994032914438</c:v>
                </c:pt>
                <c:pt idx="100">
                  <c:v>7.1709628479360275</c:v>
                </c:pt>
                <c:pt idx="101">
                  <c:v>7.0350026722777388</c:v>
                </c:pt>
                <c:pt idx="102">
                  <c:v>6.2946691930016039</c:v>
                </c:pt>
                <c:pt idx="103">
                  <c:v>5.3587376259579615</c:v>
                </c:pt>
                <c:pt idx="104">
                  <c:v>4.4645343145285112</c:v>
                </c:pt>
                <c:pt idx="105">
                  <c:v>3.7073708342813165</c:v>
                </c:pt>
                <c:pt idx="106">
                  <c:v>2.9796210605171347</c:v>
                </c:pt>
                <c:pt idx="107">
                  <c:v>2.5798790072981901</c:v>
                </c:pt>
                <c:pt idx="108">
                  <c:v>2.6503553091916432</c:v>
                </c:pt>
                <c:pt idx="109">
                  <c:v>2.5652822794776835</c:v>
                </c:pt>
                <c:pt idx="110">
                  <c:v>2.4630342480443672</c:v>
                </c:pt>
                <c:pt idx="111">
                  <c:v>2.452931219674833</c:v>
                </c:pt>
                <c:pt idx="112">
                  <c:v>2.2664151397391468</c:v>
                </c:pt>
                <c:pt idx="113">
                  <c:v>2.2120706359484665</c:v>
                </c:pt>
                <c:pt idx="114">
                  <c:v>2.2374796643280868</c:v>
                </c:pt>
                <c:pt idx="115">
                  <c:v>2.4926259857317001</c:v>
                </c:pt>
                <c:pt idx="116">
                  <c:v>2.7550427580183432</c:v>
                </c:pt>
                <c:pt idx="117">
                  <c:v>3.0471393621211234</c:v>
                </c:pt>
                <c:pt idx="118">
                  <c:v>3.5657780514825013</c:v>
                </c:pt>
                <c:pt idx="119">
                  <c:v>4.1303620340284377</c:v>
                </c:pt>
                <c:pt idx="120">
                  <c:v>4.6738524425158934</c:v>
                </c:pt>
                <c:pt idx="121">
                  <c:v>5.3187849671005036</c:v>
                </c:pt>
                <c:pt idx="122">
                  <c:v>6.0332054902430103</c:v>
                </c:pt>
                <c:pt idx="123">
                  <c:v>6.4432416235920149</c:v>
                </c:pt>
                <c:pt idx="124">
                  <c:v>6.7462688042138828</c:v>
                </c:pt>
                <c:pt idx="125">
                  <c:v>6.9646033466508932</c:v>
                </c:pt>
                <c:pt idx="126">
                  <c:v>7.1824690497169028</c:v>
                </c:pt>
                <c:pt idx="127">
                  <c:v>7.0866755557918077</c:v>
                </c:pt>
                <c:pt idx="128">
                  <c:v>6.9388356273666316</c:v>
                </c:pt>
                <c:pt idx="129">
                  <c:v>7.252368486171263</c:v>
                </c:pt>
                <c:pt idx="130">
                  <c:v>7.5414635471480667</c:v>
                </c:pt>
                <c:pt idx="131">
                  <c:v>8.0769751002505625</c:v>
                </c:pt>
                <c:pt idx="132">
                  <c:v>8.744867633120732</c:v>
                </c:pt>
                <c:pt idx="133">
                  <c:v>9.763291163573685</c:v>
                </c:pt>
                <c:pt idx="134">
                  <c:v>10.5919560328902</c:v>
                </c:pt>
                <c:pt idx="135">
                  <c:v>10.625064560855675</c:v>
                </c:pt>
                <c:pt idx="136">
                  <c:v>10.56749679093028</c:v>
                </c:pt>
                <c:pt idx="137">
                  <c:v>10.093688902802143</c:v>
                </c:pt>
                <c:pt idx="138">
                  <c:v>9.3262911356961578</c:v>
                </c:pt>
                <c:pt idx="139">
                  <c:v>8.2356647951759214</c:v>
                </c:pt>
                <c:pt idx="140">
                  <c:v>7.3728960157110164</c:v>
                </c:pt>
                <c:pt idx="141">
                  <c:v>7.2196376388235821</c:v>
                </c:pt>
                <c:pt idx="142">
                  <c:v>7.2551071426761107</c:v>
                </c:pt>
                <c:pt idx="143">
                  <c:v>7.6028490448317667</c:v>
                </c:pt>
                <c:pt idx="144">
                  <c:v>8.1344607529573505</c:v>
                </c:pt>
                <c:pt idx="145">
                  <c:v>8.8028229134201776</c:v>
                </c:pt>
                <c:pt idx="146">
                  <c:v>9.3171176461160865</c:v>
                </c:pt>
                <c:pt idx="147">
                  <c:v>9.4382482457139787</c:v>
                </c:pt>
                <c:pt idx="148">
                  <c:v>9.4316157871902337</c:v>
                </c:pt>
                <c:pt idx="149">
                  <c:v>9.1706245805134472</c:v>
                </c:pt>
                <c:pt idx="150">
                  <c:v>8.8768878002517351</c:v>
                </c:pt>
                <c:pt idx="151">
                  <c:v>8.3743709779376925</c:v>
                </c:pt>
                <c:pt idx="152">
                  <c:v>7.8762065449932486</c:v>
                </c:pt>
                <c:pt idx="153">
                  <c:v>7.7569416053494207</c:v>
                </c:pt>
                <c:pt idx="154">
                  <c:v>7.7337757964432141</c:v>
                </c:pt>
                <c:pt idx="155">
                  <c:v>7.8504923724965456</c:v>
                </c:pt>
                <c:pt idx="156">
                  <c:v>7.8805515501148982</c:v>
                </c:pt>
                <c:pt idx="157">
                  <c:v>7.9002457467609064</c:v>
                </c:pt>
                <c:pt idx="158">
                  <c:v>7.8556390000059535</c:v>
                </c:pt>
                <c:pt idx="159">
                  <c:v>7.3807346039886683</c:v>
                </c:pt>
                <c:pt idx="160">
                  <c:v>6.8232561681100199</c:v>
                </c:pt>
                <c:pt idx="161">
                  <c:v>6.1678645808580974</c:v>
                </c:pt>
                <c:pt idx="162">
                  <c:v>5.5787394229242748</c:v>
                </c:pt>
                <c:pt idx="163">
                  <c:v>5.1393218511508776</c:v>
                </c:pt>
                <c:pt idx="164">
                  <c:v>4.8480793309195294</c:v>
                </c:pt>
                <c:pt idx="165">
                  <c:v>4.882847394934192</c:v>
                </c:pt>
                <c:pt idx="166">
                  <c:v>4.9123107780803128</c:v>
                </c:pt>
                <c:pt idx="167">
                  <c:v>5.1083614335752063</c:v>
                </c:pt>
                <c:pt idx="168">
                  <c:v>5.2528108463906484</c:v>
                </c:pt>
                <c:pt idx="169">
                  <c:v>5.4622109842728186</c:v>
                </c:pt>
                <c:pt idx="170">
                  <c:v>5.5987179834210652</c:v>
                </c:pt>
                <c:pt idx="171">
                  <c:v>5.4096175992797981</c:v>
                </c:pt>
                <c:pt idx="172">
                  <c:v>5.2850342118054696</c:v>
                </c:pt>
                <c:pt idx="173">
                  <c:v>4.9814124352614817</c:v>
                </c:pt>
                <c:pt idx="174">
                  <c:v>4.7134795751980585</c:v>
                </c:pt>
                <c:pt idx="175">
                  <c:v>4.5079459731269802</c:v>
                </c:pt>
                <c:pt idx="176">
                  <c:v>4.1845328406580231</c:v>
                </c:pt>
                <c:pt idx="177">
                  <c:v>3.7954823418849784</c:v>
                </c:pt>
                <c:pt idx="178">
                  <c:v>3.1588556762209543</c:v>
                </c:pt>
                <c:pt idx="179">
                  <c:v>2.6855665364179102</c:v>
                </c:pt>
                <c:pt idx="180">
                  <c:v>2.2649514897464336</c:v>
                </c:pt>
                <c:pt idx="181">
                  <c:v>1.9406502531710033</c:v>
                </c:pt>
                <c:pt idx="182">
                  <c:v>1.7190175263268133</c:v>
                </c:pt>
                <c:pt idx="183">
                  <c:v>1.7047674050996082</c:v>
                </c:pt>
                <c:pt idx="184">
                  <c:v>1.9029691824607002</c:v>
                </c:pt>
                <c:pt idx="185">
                  <c:v>2.0430292902807934</c:v>
                </c:pt>
                <c:pt idx="186">
                  <c:v>2.1310776925554467</c:v>
                </c:pt>
                <c:pt idx="187">
                  <c:v>2.1192526511280234</c:v>
                </c:pt>
                <c:pt idx="188">
                  <c:v>2.1689645501029684</c:v>
                </c:pt>
                <c:pt idx="189">
                  <c:v>2.3694127116833665</c:v>
                </c:pt>
                <c:pt idx="190">
                  <c:v>2.6010442803995955</c:v>
                </c:pt>
                <c:pt idx="191">
                  <c:v>2.90118115509107</c:v>
                </c:pt>
                <c:pt idx="192">
                  <c:v>3.2486604608895235</c:v>
                </c:pt>
                <c:pt idx="193">
                  <c:v>3.5268288582911302</c:v>
                </c:pt>
                <c:pt idx="194">
                  <c:v>3.3945734380320403</c:v>
                </c:pt>
                <c:pt idx="195">
                  <c:v>3.018200723866352</c:v>
                </c:pt>
                <c:pt idx="196">
                  <c:v>2.5582253388020955</c:v>
                </c:pt>
                <c:pt idx="197">
                  <c:v>2.0285087280226262</c:v>
                </c:pt>
                <c:pt idx="198">
                  <c:v>1.3970362540230576</c:v>
                </c:pt>
                <c:pt idx="199">
                  <c:v>0.95492252942512312</c:v>
                </c:pt>
                <c:pt idx="200">
                  <c:v>0.91688326784305652</c:v>
                </c:pt>
                <c:pt idx="201">
                  <c:v>1.178645611006705</c:v>
                </c:pt>
                <c:pt idx="202">
                  <c:v>1.4460911319819207</c:v>
                </c:pt>
                <c:pt idx="203">
                  <c:v>1.7804691755916953</c:v>
                </c:pt>
                <c:pt idx="204">
                  <c:v>2.0660589233783457</c:v>
                </c:pt>
                <c:pt idx="205">
                  <c:v>2.2665832164606114</c:v>
                </c:pt>
                <c:pt idx="206">
                  <c:v>2.5778732284451231</c:v>
                </c:pt>
                <c:pt idx="207">
                  <c:v>2.5215181933480619</c:v>
                </c:pt>
                <c:pt idx="208">
                  <c:v>2.4421642824678931</c:v>
                </c:pt>
                <c:pt idx="209">
                  <c:v>2.2400794358460518</c:v>
                </c:pt>
                <c:pt idx="210">
                  <c:v>2.0835344739566386</c:v>
                </c:pt>
                <c:pt idx="211">
                  <c:v>1.9191719234763305</c:v>
                </c:pt>
                <c:pt idx="212">
                  <c:v>1.5626615083228652</c:v>
                </c:pt>
                <c:pt idx="213">
                  <c:v>1.3989088742674722</c:v>
                </c:pt>
                <c:pt idx="214">
                  <c:v>1.2070467956654494</c:v>
                </c:pt>
                <c:pt idx="215">
                  <c:v>1.0332678018664123</c:v>
                </c:pt>
                <c:pt idx="216">
                  <c:v>0.88313971221339582</c:v>
                </c:pt>
                <c:pt idx="217">
                  <c:v>0.77401670297348657</c:v>
                </c:pt>
                <c:pt idx="218">
                  <c:v>0.68878890926364356</c:v>
                </c:pt>
                <c:pt idx="219">
                  <c:v>0.56118074703609422</c:v>
                </c:pt>
                <c:pt idx="220">
                  <c:v>0.470082220636651</c:v>
                </c:pt>
                <c:pt idx="221">
                  <c:v>0.41195288172243266</c:v>
                </c:pt>
                <c:pt idx="222">
                  <c:v>0.34348946911100064</c:v>
                </c:pt>
                <c:pt idx="223">
                  <c:v>0.28495081045088116</c:v>
                </c:pt>
                <c:pt idx="224">
                  <c:v>0.26804284654637184</c:v>
                </c:pt>
                <c:pt idx="225">
                  <c:v>0.30321179108899199</c:v>
                </c:pt>
                <c:pt idx="226">
                  <c:v>0.36537492323609672</c:v>
                </c:pt>
                <c:pt idx="227">
                  <c:v>0.44374427371588299</c:v>
                </c:pt>
                <c:pt idx="228">
                  <c:v>0.56430804199538909</c:v>
                </c:pt>
                <c:pt idx="229">
                  <c:v>0.96843671682077448</c:v>
                </c:pt>
                <c:pt idx="230">
                  <c:v>1.4529848050017531</c:v>
                </c:pt>
                <c:pt idx="231">
                  <c:v>1.8441039653345754</c:v>
                </c:pt>
                <c:pt idx="232">
                  <c:v>2.22905803713466</c:v>
                </c:pt>
                <c:pt idx="233">
                  <c:v>2.5490747330890393</c:v>
                </c:pt>
                <c:pt idx="234">
                  <c:v>2.8735231430449484</c:v>
                </c:pt>
                <c:pt idx="235">
                  <c:v>2.8421952150360053</c:v>
                </c:pt>
                <c:pt idx="236">
                  <c:v>2.7629894017824164</c:v>
                </c:pt>
                <c:pt idx="237">
                  <c:v>2.9196111656235479</c:v>
                </c:pt>
                <c:pt idx="238">
                  <c:v>3.1982068043603378</c:v>
                </c:pt>
                <c:pt idx="239">
                  <c:v>3.6691086262629162</c:v>
                </c:pt>
                <c:pt idx="240">
                  <c:v>4.269560738134488</c:v>
                </c:pt>
                <c:pt idx="241">
                  <c:v>4.9333147031337878</c:v>
                </c:pt>
                <c:pt idx="242">
                  <c:v>5.6068010578279264</c:v>
                </c:pt>
                <c:pt idx="243">
                  <c:v>5.9576803145387371</c:v>
                </c:pt>
                <c:pt idx="244">
                  <c:v>6.1667670429806476</c:v>
                </c:pt>
                <c:pt idx="245">
                  <c:v>6.1535959327675789</c:v>
                </c:pt>
                <c:pt idx="246">
                  <c:v>5.9761407854926203</c:v>
                </c:pt>
                <c:pt idx="247">
                  <c:v>5.3270775187687862</c:v>
                </c:pt>
                <c:pt idx="248">
                  <c:v>4.4249581193590579</c:v>
                </c:pt>
                <c:pt idx="249">
                  <c:v>3.7509855192343711</c:v>
                </c:pt>
                <c:pt idx="250">
                  <c:v>3.1546716228103402</c:v>
                </c:pt>
                <c:pt idx="251">
                  <c:v>2.6266603577797065</c:v>
                </c:pt>
                <c:pt idx="252">
                  <c:v>2.4421302891283063</c:v>
                </c:pt>
                <c:pt idx="253">
                  <c:v>3.3533573480587502</c:v>
                </c:pt>
                <c:pt idx="254">
                  <c:v>4.4668009323437863</c:v>
                </c:pt>
                <c:pt idx="255">
                  <c:v>5.1744208031302819</c:v>
                </c:pt>
                <c:pt idx="256">
                  <c:v>5.716670112586141</c:v>
                </c:pt>
                <c:pt idx="257">
                  <c:v>5.786745059431877</c:v>
                </c:pt>
                <c:pt idx="258">
                  <c:v>6.1168568038890241</c:v>
                </c:pt>
                <c:pt idx="259">
                  <c:v>5.5796052763717876</c:v>
                </c:pt>
                <c:pt idx="260">
                  <c:v>4.8707487208340181</c:v>
                </c:pt>
                <c:pt idx="261">
                  <c:v>4.2385628950875143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47200"/>
        <c:axId val="126148992"/>
      </c:lineChart>
      <c:dateAx>
        <c:axId val="126147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6148992"/>
        <c:crosses val="autoZero"/>
        <c:auto val="1"/>
        <c:lblOffset val="100"/>
        <c:baseTimeUnit val="months"/>
      </c:dateAx>
      <c:valAx>
        <c:axId val="126148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147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vs actual'!$G$1</c:f>
              <c:strCache>
                <c:ptCount val="1"/>
                <c:pt idx="0">
                  <c:v>Diff-6m ma</c:v>
                </c:pt>
              </c:strCache>
            </c:strRef>
          </c:tx>
          <c:marker>
            <c:symbol val="none"/>
          </c:marker>
          <c:cat>
            <c:numRef>
              <c:f>'model vs actual'!$A$2:$A$263</c:f>
              <c:numCache>
                <c:formatCode>m/d/yyyy</c:formatCode>
                <c:ptCount val="262"/>
                <c:pt idx="0">
                  <c:v>34366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</c:numCache>
            </c:numRef>
          </c:cat>
          <c:val>
            <c:numRef>
              <c:f>'model vs actual'!$G$2:$G$263</c:f>
              <c:numCache>
                <c:formatCode>General</c:formatCode>
                <c:ptCount val="262"/>
                <c:pt idx="5">
                  <c:v>0.17544092967909108</c:v>
                </c:pt>
                <c:pt idx="6">
                  <c:v>4.1573103724857674E-2</c:v>
                </c:pt>
                <c:pt idx="7">
                  <c:v>-0.2574149345881529</c:v>
                </c:pt>
                <c:pt idx="8">
                  <c:v>-0.43169270693840867</c:v>
                </c:pt>
                <c:pt idx="9">
                  <c:v>-0.52092395060783137</c:v>
                </c:pt>
                <c:pt idx="10">
                  <c:v>-0.54885949902961384</c:v>
                </c:pt>
                <c:pt idx="11">
                  <c:v>-0.34327158694683035</c:v>
                </c:pt>
                <c:pt idx="12">
                  <c:v>-0.16113855566448176</c:v>
                </c:pt>
                <c:pt idx="13">
                  <c:v>0.18086717219628001</c:v>
                </c:pt>
                <c:pt idx="14">
                  <c:v>0.56376557838296781</c:v>
                </c:pt>
                <c:pt idx="15">
                  <c:v>0.93871594180144635</c:v>
                </c:pt>
                <c:pt idx="16">
                  <c:v>1.1873655386301092</c:v>
                </c:pt>
                <c:pt idx="17">
                  <c:v>1.0348605315512565</c:v>
                </c:pt>
                <c:pt idx="18">
                  <c:v>1.0131142219558811</c:v>
                </c:pt>
                <c:pt idx="19">
                  <c:v>0.87926820841718811</c:v>
                </c:pt>
                <c:pt idx="20">
                  <c:v>0.80659046209153828</c:v>
                </c:pt>
                <c:pt idx="21">
                  <c:v>0.7292258237998368</c:v>
                </c:pt>
                <c:pt idx="22">
                  <c:v>0.77125142616117959</c:v>
                </c:pt>
                <c:pt idx="23">
                  <c:v>1.1754196478010237</c:v>
                </c:pt>
                <c:pt idx="24">
                  <c:v>1.0650144267661177</c:v>
                </c:pt>
                <c:pt idx="25">
                  <c:v>0.93974720271247181</c:v>
                </c:pt>
                <c:pt idx="26">
                  <c:v>0.73490644419962514</c:v>
                </c:pt>
                <c:pt idx="27">
                  <c:v>0.40757623144664024</c:v>
                </c:pt>
                <c:pt idx="28">
                  <c:v>5.8724989089862234E-2</c:v>
                </c:pt>
                <c:pt idx="29">
                  <c:v>-0.35672306244804908</c:v>
                </c:pt>
                <c:pt idx="30">
                  <c:v>-0.43544750003511101</c:v>
                </c:pt>
                <c:pt idx="31">
                  <c:v>-0.4324265311382387</c:v>
                </c:pt>
                <c:pt idx="32">
                  <c:v>-0.36885190665552958</c:v>
                </c:pt>
                <c:pt idx="33">
                  <c:v>7.0591617747565394E-2</c:v>
                </c:pt>
                <c:pt idx="34">
                  <c:v>0.23399479586119742</c:v>
                </c:pt>
                <c:pt idx="35">
                  <c:v>0.27825726362304515</c:v>
                </c:pt>
                <c:pt idx="36">
                  <c:v>0.37410866778339358</c:v>
                </c:pt>
                <c:pt idx="37">
                  <c:v>0.37217991661950478</c:v>
                </c:pt>
                <c:pt idx="38">
                  <c:v>0.3761627435025714</c:v>
                </c:pt>
                <c:pt idx="39">
                  <c:v>5.2682610710412803E-3</c:v>
                </c:pt>
                <c:pt idx="40">
                  <c:v>-8.2035815147798452E-2</c:v>
                </c:pt>
                <c:pt idx="41">
                  <c:v>-0.12957157738474567</c:v>
                </c:pt>
                <c:pt idx="42">
                  <c:v>-0.15356957618721534</c:v>
                </c:pt>
                <c:pt idx="43">
                  <c:v>-0.122618086469517</c:v>
                </c:pt>
                <c:pt idx="44">
                  <c:v>-6.2449652942756728E-2</c:v>
                </c:pt>
                <c:pt idx="45">
                  <c:v>0.22450294222639933</c:v>
                </c:pt>
                <c:pt idx="46">
                  <c:v>0.37996559310512268</c:v>
                </c:pt>
                <c:pt idx="47">
                  <c:v>0.54852614117832932</c:v>
                </c:pt>
                <c:pt idx="48">
                  <c:v>0.70581565585908557</c:v>
                </c:pt>
                <c:pt idx="49">
                  <c:v>0.50233480455926127</c:v>
                </c:pt>
                <c:pt idx="50">
                  <c:v>0.61281848637824865</c:v>
                </c:pt>
                <c:pt idx="51">
                  <c:v>0.25137221032878188</c:v>
                </c:pt>
                <c:pt idx="52">
                  <c:v>0.45420154693234061</c:v>
                </c:pt>
                <c:pt idx="53">
                  <c:v>0.40029811813475824</c:v>
                </c:pt>
                <c:pt idx="54">
                  <c:v>0.10685440667134305</c:v>
                </c:pt>
                <c:pt idx="55">
                  <c:v>0.31710604812206711</c:v>
                </c:pt>
                <c:pt idx="56">
                  <c:v>0.14890773813299907</c:v>
                </c:pt>
                <c:pt idx="57">
                  <c:v>0.48219161585337211</c:v>
                </c:pt>
                <c:pt idx="58">
                  <c:v>0.2514579446467069</c:v>
                </c:pt>
                <c:pt idx="59">
                  <c:v>0.48648467945500817</c:v>
                </c:pt>
                <c:pt idx="60">
                  <c:v>0.76267453175247191</c:v>
                </c:pt>
                <c:pt idx="61">
                  <c:v>0.59835885446970982</c:v>
                </c:pt>
                <c:pt idx="62">
                  <c:v>0.5174065711511755</c:v>
                </c:pt>
                <c:pt idx="63">
                  <c:v>9.269962072253346E-2</c:v>
                </c:pt>
                <c:pt idx="64">
                  <c:v>-5.2666631234393968E-2</c:v>
                </c:pt>
                <c:pt idx="65">
                  <c:v>-0.42052332514874813</c:v>
                </c:pt>
                <c:pt idx="66">
                  <c:v>-0.62065167589316772</c:v>
                </c:pt>
                <c:pt idx="67">
                  <c:v>-0.55030475469715601</c:v>
                </c:pt>
                <c:pt idx="68">
                  <c:v>-0.59450306113460627</c:v>
                </c:pt>
                <c:pt idx="69">
                  <c:v>-0.39145036812076484</c:v>
                </c:pt>
                <c:pt idx="70">
                  <c:v>-0.43115075360910105</c:v>
                </c:pt>
                <c:pt idx="71">
                  <c:v>-0.33430485013934597</c:v>
                </c:pt>
                <c:pt idx="72">
                  <c:v>-0.55988951304653423</c:v>
                </c:pt>
                <c:pt idx="73">
                  <c:v>-0.56380141166568976</c:v>
                </c:pt>
                <c:pt idx="74">
                  <c:v>-0.49066005272014745</c:v>
                </c:pt>
                <c:pt idx="75">
                  <c:v>-0.56664140316319145</c:v>
                </c:pt>
                <c:pt idx="76">
                  <c:v>-0.39890828424557068</c:v>
                </c:pt>
                <c:pt idx="77">
                  <c:v>-0.50491888694779519</c:v>
                </c:pt>
                <c:pt idx="78">
                  <c:v>-0.1525886966539387</c:v>
                </c:pt>
                <c:pt idx="79">
                  <c:v>0.17967742884559978</c:v>
                </c:pt>
                <c:pt idx="80">
                  <c:v>0.47752880007077891</c:v>
                </c:pt>
                <c:pt idx="81">
                  <c:v>0.80230346582235512</c:v>
                </c:pt>
                <c:pt idx="82">
                  <c:v>1.0380591171541269</c:v>
                </c:pt>
                <c:pt idx="83">
                  <c:v>1.2647446666088289</c:v>
                </c:pt>
                <c:pt idx="84">
                  <c:v>0.85585909204369148</c:v>
                </c:pt>
                <c:pt idx="85">
                  <c:v>0.61863407178461571</c:v>
                </c:pt>
                <c:pt idx="86">
                  <c:v>0.4243228497198821</c:v>
                </c:pt>
                <c:pt idx="87">
                  <c:v>0.49353914100781715</c:v>
                </c:pt>
                <c:pt idx="88">
                  <c:v>0.36897539345331687</c:v>
                </c:pt>
                <c:pt idx="89">
                  <c:v>0.5205630629721032</c:v>
                </c:pt>
                <c:pt idx="90">
                  <c:v>1.077640174691104</c:v>
                </c:pt>
                <c:pt idx="91">
                  <c:v>0.70020472621102048</c:v>
                </c:pt>
                <c:pt idx="92">
                  <c:v>0.55716082705772862</c:v>
                </c:pt>
                <c:pt idx="93">
                  <c:v>0.49247953484272422</c:v>
                </c:pt>
                <c:pt idx="94">
                  <c:v>0.39879910278255881</c:v>
                </c:pt>
                <c:pt idx="95">
                  <c:v>0.31831179004960664</c:v>
                </c:pt>
                <c:pt idx="96">
                  <c:v>0.57658665747339644</c:v>
                </c:pt>
                <c:pt idx="97">
                  <c:v>1.3103221645387269</c:v>
                </c:pt>
                <c:pt idx="98">
                  <c:v>1.5382711460494782</c:v>
                </c:pt>
                <c:pt idx="99">
                  <c:v>1.0795700523612366</c:v>
                </c:pt>
                <c:pt idx="100">
                  <c:v>1.4320031712385619</c:v>
                </c:pt>
                <c:pt idx="101">
                  <c:v>1.0057292655418735</c:v>
                </c:pt>
                <c:pt idx="102">
                  <c:v>0.48929177582567895</c:v>
                </c:pt>
                <c:pt idx="103">
                  <c:v>-2.5120726654662029E-2</c:v>
                </c:pt>
                <c:pt idx="104">
                  <c:v>-1.111337052168011</c:v>
                </c:pt>
                <c:pt idx="105">
                  <c:v>-1.0644826216646517</c:v>
                </c:pt>
                <c:pt idx="106">
                  <c:v>-1.547533018711277</c:v>
                </c:pt>
                <c:pt idx="107">
                  <c:v>-1.0865231271037619</c:v>
                </c:pt>
                <c:pt idx="108">
                  <c:v>-0.58984512464862204</c:v>
                </c:pt>
                <c:pt idx="109">
                  <c:v>-0.25178861144645337</c:v>
                </c:pt>
                <c:pt idx="110">
                  <c:v>0.59770457438489877</c:v>
                </c:pt>
                <c:pt idx="111">
                  <c:v>-9.4747003421211673E-2</c:v>
                </c:pt>
                <c:pt idx="112">
                  <c:v>-0.2256348792229681</c:v>
                </c:pt>
                <c:pt idx="113">
                  <c:v>-0.47537229198862363</c:v>
                </c:pt>
                <c:pt idx="114">
                  <c:v>-0.90659566584824658</c:v>
                </c:pt>
                <c:pt idx="115">
                  <c:v>-1.0718628275471529</c:v>
                </c:pt>
                <c:pt idx="116">
                  <c:v>-0.92363333189185237</c:v>
                </c:pt>
                <c:pt idx="117">
                  <c:v>2.1441439384311423E-2</c:v>
                </c:pt>
                <c:pt idx="118">
                  <c:v>0.28047317569970431</c:v>
                </c:pt>
                <c:pt idx="119">
                  <c:v>-5.892240431768947E-3</c:v>
                </c:pt>
                <c:pt idx="120">
                  <c:v>-0.59880466223836226</c:v>
                </c:pt>
                <c:pt idx="121">
                  <c:v>-0.91861881248720145</c:v>
                </c:pt>
                <c:pt idx="122">
                  <c:v>-1.0340130537079402</c:v>
                </c:pt>
                <c:pt idx="123">
                  <c:v>-1.1073081235243487</c:v>
                </c:pt>
                <c:pt idx="124">
                  <c:v>-1.0859811796915304</c:v>
                </c:pt>
                <c:pt idx="125">
                  <c:v>-0.7687361915312616</c:v>
                </c:pt>
                <c:pt idx="126">
                  <c:v>-0.23837283909452545</c:v>
                </c:pt>
                <c:pt idx="127">
                  <c:v>0.15130160108452628</c:v>
                </c:pt>
                <c:pt idx="128">
                  <c:v>0.23342065231592457</c:v>
                </c:pt>
                <c:pt idx="129">
                  <c:v>0.28646407018226938</c:v>
                </c:pt>
                <c:pt idx="130">
                  <c:v>0.24364988174638036</c:v>
                </c:pt>
                <c:pt idx="131">
                  <c:v>0.38423296622266268</c:v>
                </c:pt>
                <c:pt idx="132">
                  <c:v>0.64938874944854064</c:v>
                </c:pt>
                <c:pt idx="133">
                  <c:v>0.91424211212006234</c:v>
                </c:pt>
                <c:pt idx="134">
                  <c:v>0.96722542727538396</c:v>
                </c:pt>
                <c:pt idx="135">
                  <c:v>1.0138545522036004</c:v>
                </c:pt>
                <c:pt idx="136">
                  <c:v>1.0388418237721044</c:v>
                </c:pt>
                <c:pt idx="137">
                  <c:v>0.82102059522510906</c:v>
                </c:pt>
                <c:pt idx="138">
                  <c:v>0.44812545155464178</c:v>
                </c:pt>
                <c:pt idx="139">
                  <c:v>3.6303874029657734E-2</c:v>
                </c:pt>
                <c:pt idx="140">
                  <c:v>-3.4262826474979136E-2</c:v>
                </c:pt>
                <c:pt idx="141">
                  <c:v>-0.11847173690963597</c:v>
                </c:pt>
                <c:pt idx="142">
                  <c:v>3.2764375643759003E-2</c:v>
                </c:pt>
                <c:pt idx="143">
                  <c:v>0.16074626209242915</c:v>
                </c:pt>
                <c:pt idx="144">
                  <c:v>0.44018780969468985</c:v>
                </c:pt>
                <c:pt idx="145">
                  <c:v>0.70441510861337164</c:v>
                </c:pt>
                <c:pt idx="146">
                  <c:v>0.71286061187313265</c:v>
                </c:pt>
                <c:pt idx="147">
                  <c:v>0.94596839843798719</c:v>
                </c:pt>
                <c:pt idx="148">
                  <c:v>0.77363078946412855</c:v>
                </c:pt>
                <c:pt idx="149">
                  <c:v>0.74881816339751239</c:v>
                </c:pt>
                <c:pt idx="150">
                  <c:v>0.68678934480434251</c:v>
                </c:pt>
                <c:pt idx="151">
                  <c:v>0.47103241745241409</c:v>
                </c:pt>
                <c:pt idx="152">
                  <c:v>0.35885094418330166</c:v>
                </c:pt>
                <c:pt idx="153">
                  <c:v>0.15557760331918757</c:v>
                </c:pt>
                <c:pt idx="154">
                  <c:v>0.2389582998190658</c:v>
                </c:pt>
                <c:pt idx="155">
                  <c:v>0.21547006246638034</c:v>
                </c:pt>
                <c:pt idx="156">
                  <c:v>0.15814199055994038</c:v>
                </c:pt>
                <c:pt idx="157">
                  <c:v>-6.6011109916121136E-2</c:v>
                </c:pt>
                <c:pt idx="158">
                  <c:v>-0.24466175311797667</c:v>
                </c:pt>
                <c:pt idx="159">
                  <c:v>-0.31721898288823169</c:v>
                </c:pt>
                <c:pt idx="160">
                  <c:v>-0.6111089113854824</c:v>
                </c:pt>
                <c:pt idx="161">
                  <c:v>-0.75741244406782116</c:v>
                </c:pt>
                <c:pt idx="162">
                  <c:v>-0.79599825292032556</c:v>
                </c:pt>
                <c:pt idx="163">
                  <c:v>-0.61516908013460814</c:v>
                </c:pt>
                <c:pt idx="164">
                  <c:v>-0.52761396135976391</c:v>
                </c:pt>
                <c:pt idx="165">
                  <c:v>-0.65842049644540435</c:v>
                </c:pt>
                <c:pt idx="166">
                  <c:v>-0.68860384006590447</c:v>
                </c:pt>
                <c:pt idx="167">
                  <c:v>-0.56754988730667844</c:v>
                </c:pt>
                <c:pt idx="168">
                  <c:v>-0.53309745669794495</c:v>
                </c:pt>
                <c:pt idx="169">
                  <c:v>-0.55864566942361105</c:v>
                </c:pt>
                <c:pt idx="170">
                  <c:v>-0.375744367947485</c:v>
                </c:pt>
                <c:pt idx="171">
                  <c:v>-0.24523809276481767</c:v>
                </c:pt>
                <c:pt idx="172">
                  <c:v>-6.7535954306070067E-2</c:v>
                </c:pt>
                <c:pt idx="173">
                  <c:v>3.3472117088974684E-2</c:v>
                </c:pt>
                <c:pt idx="174">
                  <c:v>-7.253830317102139E-2</c:v>
                </c:pt>
                <c:pt idx="175">
                  <c:v>0.11726903451676485</c:v>
                </c:pt>
                <c:pt idx="176">
                  <c:v>6.3253026605870843E-2</c:v>
                </c:pt>
                <c:pt idx="177">
                  <c:v>8.2886088054095364E-2</c:v>
                </c:pt>
                <c:pt idx="178">
                  <c:v>7.0244609078677911E-2</c:v>
                </c:pt>
                <c:pt idx="179">
                  <c:v>0.10089187462530136</c:v>
                </c:pt>
                <c:pt idx="180">
                  <c:v>0.34076959669868034</c:v>
                </c:pt>
                <c:pt idx="181">
                  <c:v>0.17637778041663665</c:v>
                </c:pt>
                <c:pt idx="182">
                  <c:v>0.30772941323307168</c:v>
                </c:pt>
                <c:pt idx="183">
                  <c:v>0.47152680598296515</c:v>
                </c:pt>
                <c:pt idx="184">
                  <c:v>0.62176183897734871</c:v>
                </c:pt>
                <c:pt idx="185">
                  <c:v>0.66699428922031379</c:v>
                </c:pt>
                <c:pt idx="186">
                  <c:v>0.69172718716783499</c:v>
                </c:pt>
                <c:pt idx="187">
                  <c:v>0.89494442946791319</c:v>
                </c:pt>
                <c:pt idx="188">
                  <c:v>0.9514474322211568</c:v>
                </c:pt>
                <c:pt idx="189">
                  <c:v>1.0505935671701196</c:v>
                </c:pt>
                <c:pt idx="190">
                  <c:v>1.183230578552497</c:v>
                </c:pt>
                <c:pt idx="191">
                  <c:v>1.2509705725961968</c:v>
                </c:pt>
                <c:pt idx="192">
                  <c:v>1.348213809898265</c:v>
                </c:pt>
                <c:pt idx="193">
                  <c:v>1.4465201385600852</c:v>
                </c:pt>
                <c:pt idx="194">
                  <c:v>0.9791871997472601</c:v>
                </c:pt>
                <c:pt idx="195">
                  <c:v>0.53388672347737698</c:v>
                </c:pt>
                <c:pt idx="196">
                  <c:v>-0.32001027649554148</c:v>
                </c:pt>
                <c:pt idx="197">
                  <c:v>-1.2141780534491566</c:v>
                </c:pt>
                <c:pt idx="198">
                  <c:v>-2.0991058816649106</c:v>
                </c:pt>
                <c:pt idx="199">
                  <c:v>-2.4505957602663684</c:v>
                </c:pt>
                <c:pt idx="200">
                  <c:v>-2.1375149703753955</c:v>
                </c:pt>
                <c:pt idx="201">
                  <c:v>-1.7828549540996084</c:v>
                </c:pt>
                <c:pt idx="202">
                  <c:v>-1.0557372040771209</c:v>
                </c:pt>
                <c:pt idx="203">
                  <c:v>-0.2569288428808314</c:v>
                </c:pt>
                <c:pt idx="204">
                  <c:v>0.4058024305709742</c:v>
                </c:pt>
                <c:pt idx="205">
                  <c:v>0.5904928016551112</c:v>
                </c:pt>
                <c:pt idx="206">
                  <c:v>0.71637350757352314</c:v>
                </c:pt>
                <c:pt idx="207">
                  <c:v>0.537618764097757</c:v>
                </c:pt>
                <c:pt idx="208">
                  <c:v>0.21153055040802116</c:v>
                </c:pt>
                <c:pt idx="209">
                  <c:v>8.7247259165311952E-2</c:v>
                </c:pt>
                <c:pt idx="210">
                  <c:v>0.17030673766412563</c:v>
                </c:pt>
                <c:pt idx="211">
                  <c:v>4.0115821373171157E-2</c:v>
                </c:pt>
                <c:pt idx="212">
                  <c:v>-0.13786370164434625</c:v>
                </c:pt>
                <c:pt idx="213">
                  <c:v>-0.22250855846692397</c:v>
                </c:pt>
                <c:pt idx="214">
                  <c:v>-0.10091645471539179</c:v>
                </c:pt>
                <c:pt idx="215">
                  <c:v>-0.23070565961393386</c:v>
                </c:pt>
                <c:pt idx="216">
                  <c:v>-0.50966923612660919</c:v>
                </c:pt>
                <c:pt idx="217">
                  <c:v>-0.58029183397201867</c:v>
                </c:pt>
                <c:pt idx="218">
                  <c:v>-0.67777311076575486</c:v>
                </c:pt>
                <c:pt idx="219">
                  <c:v>-0.61562487564259183</c:v>
                </c:pt>
                <c:pt idx="220">
                  <c:v>-0.64877643050944034</c:v>
                </c:pt>
                <c:pt idx="221">
                  <c:v>-0.62626434182694912</c:v>
                </c:pt>
                <c:pt idx="222">
                  <c:v>-0.60097390419436414</c:v>
                </c:pt>
                <c:pt idx="223">
                  <c:v>-0.54568763287104094</c:v>
                </c:pt>
                <c:pt idx="224">
                  <c:v>-0.42717858615607757</c:v>
                </c:pt>
                <c:pt idx="225">
                  <c:v>-0.39962876328695951</c:v>
                </c:pt>
                <c:pt idx="226">
                  <c:v>-0.39848483712158739</c:v>
                </c:pt>
                <c:pt idx="227">
                  <c:v>-0.4384426216703724</c:v>
                </c:pt>
                <c:pt idx="228">
                  <c:v>-0.42275602631384679</c:v>
                </c:pt>
                <c:pt idx="229">
                  <c:v>-0.47661743248769406</c:v>
                </c:pt>
                <c:pt idx="230">
                  <c:v>-0.48418142206098014</c:v>
                </c:pt>
                <c:pt idx="231">
                  <c:v>-0.42290428718448281</c:v>
                </c:pt>
                <c:pt idx="232">
                  <c:v>-0.30486729882852126</c:v>
                </c:pt>
                <c:pt idx="233">
                  <c:v>-6.0720444989309286E-2</c:v>
                </c:pt>
                <c:pt idx="234">
                  <c:v>0.15118302674035311</c:v>
                </c:pt>
                <c:pt idx="235">
                  <c:v>0.39939555215947031</c:v>
                </c:pt>
                <c:pt idx="236">
                  <c:v>0.61647699056089822</c:v>
                </c:pt>
                <c:pt idx="237">
                  <c:v>0.86441964667556626</c:v>
                </c:pt>
                <c:pt idx="238">
                  <c:v>1.1570471459484493</c:v>
                </c:pt>
                <c:pt idx="239">
                  <c:v>1.3643578269952648</c:v>
                </c:pt>
                <c:pt idx="240">
                  <c:v>1.6651556126126943</c:v>
                </c:pt>
                <c:pt idx="241">
                  <c:v>1.9525179724478279</c:v>
                </c:pt>
                <c:pt idx="242">
                  <c:v>2.3318571681745692</c:v>
                </c:pt>
                <c:pt idx="243">
                  <c:v>2.5429581399371242</c:v>
                </c:pt>
                <c:pt idx="244">
                  <c:v>2.6548787211903897</c:v>
                </c:pt>
                <c:pt idx="245">
                  <c:v>2.8250863034182667</c:v>
                </c:pt>
                <c:pt idx="246">
                  <c:v>2.853127000204307</c:v>
                </c:pt>
                <c:pt idx="247">
                  <c:v>2.6718294500883766</c:v>
                </c:pt>
                <c:pt idx="248">
                  <c:v>2.1859810852005657</c:v>
                </c:pt>
                <c:pt idx="249">
                  <c:v>1.7946382269979224</c:v>
                </c:pt>
                <c:pt idx="250">
                  <c:v>1.4580916857963111</c:v>
                </c:pt>
                <c:pt idx="251">
                  <c:v>1.0529848276284908</c:v>
                </c:pt>
                <c:pt idx="252">
                  <c:v>0.71798372427166401</c:v>
                </c:pt>
                <c:pt idx="253">
                  <c:v>0.8410578459759912</c:v>
                </c:pt>
                <c:pt idx="254">
                  <c:v>1.2869588476807112</c:v>
                </c:pt>
                <c:pt idx="255">
                  <c:v>1.5556860327420794</c:v>
                </c:pt>
                <c:pt idx="256">
                  <c:v>1.740843188107406</c:v>
                </c:pt>
                <c:pt idx="257">
                  <c:v>1.7914567952458862</c:v>
                </c:pt>
                <c:pt idx="258">
                  <c:v>2.1214523772295357</c:v>
                </c:pt>
                <c:pt idx="259">
                  <c:v>2.1060732158254121</c:v>
                </c:pt>
                <c:pt idx="260">
                  <c:v>1.8656207686041695</c:v>
                </c:pt>
                <c:pt idx="261">
                  <c:v>1.5628027632417125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04256"/>
        <c:axId val="126305792"/>
      </c:lineChart>
      <c:dateAx>
        <c:axId val="126304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6305792"/>
        <c:crosses val="autoZero"/>
        <c:auto val="1"/>
        <c:lblOffset val="100"/>
        <c:baseTimeUnit val="months"/>
      </c:dateAx>
      <c:valAx>
        <c:axId val="12630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304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442912</xdr:colOff>
      <xdr:row>2</xdr:row>
      <xdr:rowOff>166686</xdr:rowOff>
    </xdr:from>
    <xdr:to>
      <xdr:col>18</xdr:col>
      <xdr:colOff>57150</xdr:colOff>
      <xdr:row>23</xdr:row>
      <xdr:rowOff>171449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490537</xdr:colOff>
      <xdr:row>25</xdr:row>
      <xdr:rowOff>61911</xdr:rowOff>
    </xdr:from>
    <xdr:to>
      <xdr:col>18</xdr:col>
      <xdr:colOff>66675</xdr:colOff>
      <xdr:row>40</xdr:row>
      <xdr:rowOff>66674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185737</xdr:colOff>
      <xdr:row>2</xdr:row>
      <xdr:rowOff>152400</xdr:rowOff>
    </xdr:from>
    <xdr:to>
      <xdr:col>26</xdr:col>
      <xdr:colOff>490537</xdr:colOff>
      <xdr:row>17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161925</xdr:colOff>
      <xdr:row>18</xdr:row>
      <xdr:rowOff>80963</xdr:rowOff>
    </xdr:from>
    <xdr:to>
      <xdr:col>26</xdr:col>
      <xdr:colOff>466725</xdr:colOff>
      <xdr:row>32</xdr:row>
      <xdr:rowOff>157163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114300</xdr:colOff>
      <xdr:row>34</xdr:row>
      <xdr:rowOff>9525</xdr:rowOff>
    </xdr:from>
    <xdr:to>
      <xdr:col>26</xdr:col>
      <xdr:colOff>419100</xdr:colOff>
      <xdr:row>48</xdr:row>
      <xdr:rowOff>85725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157162</xdr:colOff>
      <xdr:row>5</xdr:row>
      <xdr:rowOff>42862</xdr:rowOff>
    </xdr:from>
    <xdr:to>
      <xdr:col>17</xdr:col>
      <xdr:colOff>461962</xdr:colOff>
      <xdr:row>19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195262</xdr:colOff>
      <xdr:row>23</xdr:row>
      <xdr:rowOff>61912</xdr:rowOff>
    </xdr:from>
    <xdr:to>
      <xdr:col>17</xdr:col>
      <xdr:colOff>500062</xdr:colOff>
      <xdr:row>37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133350</xdr:colOff>
      <xdr:row>40</xdr:row>
      <xdr:rowOff>180975</xdr:rowOff>
    </xdr:from>
    <xdr:to>
      <xdr:col>17</xdr:col>
      <xdr:colOff>438150</xdr:colOff>
      <xdr:row>55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519112</xdr:colOff>
      <xdr:row>7</xdr:row>
      <xdr:rowOff>185737</xdr:rowOff>
    </xdr:from>
    <xdr:to>
      <xdr:col>19</xdr:col>
      <xdr:colOff>214312</xdr:colOff>
      <xdr:row>22</xdr:row>
      <xdr:rowOff>71437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538162</xdr:colOff>
      <xdr:row>23</xdr:row>
      <xdr:rowOff>109537</xdr:rowOff>
    </xdr:from>
    <xdr:to>
      <xdr:col>19</xdr:col>
      <xdr:colOff>233362</xdr:colOff>
      <xdr:row>37</xdr:row>
      <xdr:rowOff>185737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233362</xdr:colOff>
      <xdr:row>2</xdr:row>
      <xdr:rowOff>33336</xdr:rowOff>
    </xdr:from>
    <xdr:to>
      <xdr:col>19</xdr:col>
      <xdr:colOff>247650</xdr:colOff>
      <xdr:row>31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185736</xdr:colOff>
      <xdr:row>33</xdr:row>
      <xdr:rowOff>147636</xdr:rowOff>
    </xdr:from>
    <xdr:to>
      <xdr:col>19</xdr:col>
      <xdr:colOff>95249</xdr:colOff>
      <xdr:row>55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557212</xdr:colOff>
      <xdr:row>2</xdr:row>
      <xdr:rowOff>52387</xdr:rowOff>
    </xdr:from>
    <xdr:to>
      <xdr:col>30</xdr:col>
      <xdr:colOff>457200</xdr:colOff>
      <xdr:row>31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585787</xdr:colOff>
      <xdr:row>33</xdr:row>
      <xdr:rowOff>157161</xdr:rowOff>
    </xdr:from>
    <xdr:to>
      <xdr:col>30</xdr:col>
      <xdr:colOff>504825</xdr:colOff>
      <xdr:row>55</xdr:row>
      <xdr:rowOff>28574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S246"/>
  <sheetViews>
    <sheetView defaultGridColor="0" topLeftCell="A196" colorId="22" zoomScaleNormal="100" workbookViewId="0">
      <selection activeCell="E211" sqref="E211"/>
    </sheetView>
  </sheetViews>
  <sheetFormatPr defaultColWidth="9.7109375" defaultRowHeight="15" x14ac:dyDescent="0.25"/>
  <cols>
    <col min="1" max="1" width="23.5703125" style="4" customWidth="1"/>
    <col min="2" max="9" width="10.7109375" style="4" customWidth="1"/>
  </cols>
  <sheetData>
    <row r="1" spans="1:19" ht="7.5" customHeight="1" x14ac:dyDescent="0.25">
      <c r="A1" s="3" t="s">
        <v>11</v>
      </c>
    </row>
    <row r="2" spans="1:19" x14ac:dyDescent="0.25">
      <c r="A2" s="5" t="s">
        <v>12</v>
      </c>
      <c r="B2" s="5"/>
      <c r="C2" s="5"/>
      <c r="D2" s="5"/>
      <c r="E2" s="5"/>
      <c r="F2" s="5"/>
      <c r="G2" s="5"/>
      <c r="H2" s="5"/>
      <c r="I2" s="5"/>
    </row>
    <row r="3" spans="1:19" x14ac:dyDescent="0.25">
      <c r="A3" s="6" t="s">
        <v>13</v>
      </c>
      <c r="B3" s="5"/>
      <c r="C3" s="5"/>
      <c r="D3" s="5"/>
      <c r="E3" s="5"/>
      <c r="F3" s="5"/>
      <c r="G3" s="5"/>
      <c r="H3" s="5"/>
      <c r="I3" s="5"/>
    </row>
    <row r="4" spans="1:19" ht="15.75" thickBot="1" x14ac:dyDescent="0.3"/>
    <row r="5" spans="1:19" ht="16.5" thickTop="1" thickBot="1" x14ac:dyDescent="0.3">
      <c r="A5" s="5"/>
      <c r="B5" s="7">
        <v>1965</v>
      </c>
      <c r="C5" s="7">
        <v>1966</v>
      </c>
      <c r="D5" s="7">
        <v>1967</v>
      </c>
      <c r="E5" s="7">
        <v>1968</v>
      </c>
      <c r="F5" s="7">
        <v>1969</v>
      </c>
      <c r="G5" s="7">
        <v>1970</v>
      </c>
      <c r="H5" s="8">
        <v>1971</v>
      </c>
      <c r="I5" s="8">
        <v>1972</v>
      </c>
      <c r="L5">
        <v>1999</v>
      </c>
      <c r="M5">
        <v>70097</v>
      </c>
      <c r="P5">
        <v>1999</v>
      </c>
      <c r="Q5">
        <f>VLOOKUP(P5,L:M,2,0)</f>
        <v>70097</v>
      </c>
      <c r="R5">
        <v>1</v>
      </c>
      <c r="S5" s="26">
        <f t="shared" ref="S5:S68" si="0">(R5-1)*(Q17-Q5)/12+Q5</f>
        <v>70097</v>
      </c>
    </row>
    <row r="6" spans="1:19" ht="15.75" thickTop="1" x14ac:dyDescent="0.25">
      <c r="H6" s="9"/>
      <c r="I6" s="9"/>
      <c r="L6">
        <v>2000</v>
      </c>
      <c r="M6">
        <v>71250</v>
      </c>
      <c r="P6">
        <f>IF(R6&gt;1,P5,P5+2)</f>
        <v>1999</v>
      </c>
      <c r="Q6">
        <f t="shared" ref="Q6:Q69" si="1">VLOOKUP(P6,L:M,2,0)</f>
        <v>70097</v>
      </c>
      <c r="R6">
        <v>2</v>
      </c>
      <c r="S6" s="26">
        <f t="shared" si="0"/>
        <v>70193.083333333328</v>
      </c>
    </row>
    <row r="7" spans="1:19" x14ac:dyDescent="0.25">
      <c r="A7" s="10" t="s">
        <v>14</v>
      </c>
      <c r="B7" s="11">
        <v>64213</v>
      </c>
      <c r="C7" s="11">
        <v>65212</v>
      </c>
      <c r="D7" s="11">
        <v>66014</v>
      </c>
      <c r="E7" s="11">
        <v>67171</v>
      </c>
      <c r="F7" s="11">
        <v>68479</v>
      </c>
      <c r="G7" s="11">
        <v>69778</v>
      </c>
      <c r="H7" s="12">
        <v>71320</v>
      </c>
      <c r="I7" s="12">
        <v>73313</v>
      </c>
      <c r="L7">
        <v>2001</v>
      </c>
      <c r="M7">
        <v>72593</v>
      </c>
      <c r="P7">
        <f t="shared" ref="P7:P16" si="2">IF(R7&gt;1,P6,P6+2)</f>
        <v>1999</v>
      </c>
      <c r="Q7">
        <f t="shared" si="1"/>
        <v>70097</v>
      </c>
      <c r="R7">
        <v>3</v>
      </c>
      <c r="S7" s="26">
        <f t="shared" si="0"/>
        <v>70289.166666666672</v>
      </c>
    </row>
    <row r="8" spans="1:19" x14ac:dyDescent="0.25">
      <c r="B8" s="13"/>
      <c r="C8" s="13"/>
      <c r="D8" s="13"/>
      <c r="E8" s="13"/>
      <c r="F8" s="13"/>
      <c r="G8" s="13"/>
      <c r="H8" s="9"/>
      <c r="I8" s="9"/>
      <c r="L8">
        <v>2002</v>
      </c>
      <c r="M8">
        <v>73713</v>
      </c>
      <c r="P8">
        <f t="shared" si="2"/>
        <v>1999</v>
      </c>
      <c r="Q8">
        <f t="shared" si="1"/>
        <v>70097</v>
      </c>
      <c r="R8">
        <v>4</v>
      </c>
      <c r="S8" s="26">
        <f t="shared" si="0"/>
        <v>70385.25</v>
      </c>
    </row>
    <row r="9" spans="1:19" x14ac:dyDescent="0.25">
      <c r="A9" s="14" t="s">
        <v>15</v>
      </c>
      <c r="B9" s="11">
        <v>6712</v>
      </c>
      <c r="C9" s="11">
        <v>6726</v>
      </c>
      <c r="D9" s="11">
        <v>6538</v>
      </c>
      <c r="E9" s="11">
        <v>6218</v>
      </c>
      <c r="F9" s="11">
        <v>6218</v>
      </c>
      <c r="G9" s="11">
        <v>6137</v>
      </c>
      <c r="H9" s="12">
        <v>6238</v>
      </c>
      <c r="I9" s="12">
        <v>6368</v>
      </c>
      <c r="L9">
        <v>2003</v>
      </c>
      <c r="M9">
        <v>71278</v>
      </c>
      <c r="P9">
        <f t="shared" si="2"/>
        <v>1999</v>
      </c>
      <c r="Q9">
        <f t="shared" si="1"/>
        <v>70097</v>
      </c>
      <c r="R9">
        <v>5</v>
      </c>
      <c r="S9" s="26">
        <f t="shared" si="0"/>
        <v>70481.333333333328</v>
      </c>
    </row>
    <row r="10" spans="1:19" x14ac:dyDescent="0.25">
      <c r="A10" s="14" t="s">
        <v>16</v>
      </c>
      <c r="B10" s="11">
        <v>4853</v>
      </c>
      <c r="C10" s="11">
        <v>4909</v>
      </c>
      <c r="D10" s="11">
        <v>4762</v>
      </c>
      <c r="E10" s="11">
        <v>4446</v>
      </c>
      <c r="F10" s="11">
        <v>4437</v>
      </c>
      <c r="G10" s="11">
        <v>4391</v>
      </c>
      <c r="H10" s="12">
        <v>4559</v>
      </c>
      <c r="I10" s="12">
        <v>4665</v>
      </c>
      <c r="L10">
        <v>2004</v>
      </c>
      <c r="M10">
        <v>72054</v>
      </c>
      <c r="P10">
        <f t="shared" si="2"/>
        <v>1999</v>
      </c>
      <c r="Q10">
        <f t="shared" si="1"/>
        <v>70097</v>
      </c>
      <c r="R10">
        <v>6</v>
      </c>
      <c r="S10" s="26">
        <f t="shared" si="0"/>
        <v>70577.416666666672</v>
      </c>
    </row>
    <row r="11" spans="1:19" x14ac:dyDescent="0.25">
      <c r="A11" s="14" t="s">
        <v>17</v>
      </c>
      <c r="B11" s="11">
        <v>1884</v>
      </c>
      <c r="C11" s="11">
        <v>1778</v>
      </c>
      <c r="D11" s="11">
        <v>1566</v>
      </c>
      <c r="E11" s="11">
        <v>1392</v>
      </c>
      <c r="F11" s="11">
        <v>1296</v>
      </c>
      <c r="G11" s="11">
        <v>1299</v>
      </c>
      <c r="H11" s="12">
        <v>1353</v>
      </c>
      <c r="I11" s="12">
        <v>1421</v>
      </c>
      <c r="L11">
        <v>2005</v>
      </c>
      <c r="M11">
        <v>73575</v>
      </c>
      <c r="P11">
        <f t="shared" si="2"/>
        <v>1999</v>
      </c>
      <c r="Q11">
        <f t="shared" si="1"/>
        <v>70097</v>
      </c>
      <c r="R11">
        <v>7</v>
      </c>
      <c r="S11" s="26">
        <f t="shared" si="0"/>
        <v>70673.5</v>
      </c>
    </row>
    <row r="12" spans="1:19" x14ac:dyDescent="0.25">
      <c r="A12" s="3" t="s">
        <v>18</v>
      </c>
      <c r="B12" s="13">
        <v>548</v>
      </c>
      <c r="C12" s="13">
        <v>522</v>
      </c>
      <c r="D12" s="13">
        <v>499</v>
      </c>
      <c r="E12" s="13">
        <v>439</v>
      </c>
      <c r="F12" s="13">
        <v>408</v>
      </c>
      <c r="G12" s="13">
        <v>427</v>
      </c>
      <c r="H12" s="9">
        <v>422</v>
      </c>
      <c r="I12" s="9">
        <v>432</v>
      </c>
      <c r="L12">
        <v>2006</v>
      </c>
      <c r="M12">
        <v>74553</v>
      </c>
      <c r="P12">
        <f t="shared" si="2"/>
        <v>1999</v>
      </c>
      <c r="Q12">
        <f t="shared" si="1"/>
        <v>70097</v>
      </c>
      <c r="R12">
        <v>8</v>
      </c>
      <c r="S12" s="26">
        <f t="shared" si="0"/>
        <v>70769.583333333328</v>
      </c>
    </row>
    <row r="13" spans="1:19" x14ac:dyDescent="0.25">
      <c r="A13" s="3" t="s">
        <v>19</v>
      </c>
      <c r="B13" s="13">
        <v>330</v>
      </c>
      <c r="C13" s="13">
        <v>349</v>
      </c>
      <c r="D13" s="13">
        <v>348</v>
      </c>
      <c r="E13" s="13">
        <v>389</v>
      </c>
      <c r="F13" s="13">
        <v>402</v>
      </c>
      <c r="G13" s="13">
        <v>427</v>
      </c>
      <c r="H13" s="9">
        <v>478</v>
      </c>
      <c r="I13" s="9">
        <v>516</v>
      </c>
      <c r="L13">
        <v>2007</v>
      </c>
      <c r="M13">
        <v>75380</v>
      </c>
      <c r="P13">
        <f t="shared" si="2"/>
        <v>1999</v>
      </c>
      <c r="Q13">
        <f t="shared" si="1"/>
        <v>70097</v>
      </c>
      <c r="R13">
        <v>9</v>
      </c>
      <c r="S13" s="26">
        <f t="shared" si="0"/>
        <v>70865.666666666672</v>
      </c>
    </row>
    <row r="14" spans="1:19" x14ac:dyDescent="0.25">
      <c r="A14" s="14" t="s">
        <v>20</v>
      </c>
      <c r="B14" s="11">
        <v>2092</v>
      </c>
      <c r="C14" s="11">
        <v>2261</v>
      </c>
      <c r="D14" s="11">
        <v>2349</v>
      </c>
      <c r="E14" s="11">
        <v>2227</v>
      </c>
      <c r="F14" s="11">
        <v>2332</v>
      </c>
      <c r="G14" s="11">
        <v>2238</v>
      </c>
      <c r="H14" s="12">
        <v>2307</v>
      </c>
      <c r="I14" s="12">
        <v>2297</v>
      </c>
      <c r="L14">
        <v>2008</v>
      </c>
      <c r="M14">
        <v>75159</v>
      </c>
      <c r="P14">
        <f t="shared" si="2"/>
        <v>1999</v>
      </c>
      <c r="Q14">
        <f t="shared" si="1"/>
        <v>70097</v>
      </c>
      <c r="R14">
        <v>10</v>
      </c>
      <c r="S14" s="26">
        <f t="shared" si="0"/>
        <v>70961.75</v>
      </c>
    </row>
    <row r="15" spans="1:19" x14ac:dyDescent="0.25">
      <c r="A15" s="3" t="s">
        <v>21</v>
      </c>
      <c r="B15" s="13">
        <v>504</v>
      </c>
      <c r="C15" s="13">
        <v>546</v>
      </c>
      <c r="D15" s="13">
        <v>571</v>
      </c>
      <c r="E15" s="13">
        <v>551</v>
      </c>
      <c r="F15" s="13">
        <v>619</v>
      </c>
      <c r="G15" s="13">
        <v>615</v>
      </c>
      <c r="H15" s="9">
        <v>652</v>
      </c>
      <c r="I15" s="9">
        <v>642</v>
      </c>
      <c r="L15">
        <v>2009</v>
      </c>
      <c r="M15">
        <v>75566</v>
      </c>
      <c r="P15">
        <f t="shared" si="2"/>
        <v>1999</v>
      </c>
      <c r="Q15">
        <f t="shared" si="1"/>
        <v>70097</v>
      </c>
      <c r="R15">
        <v>11</v>
      </c>
      <c r="S15" s="26">
        <f t="shared" si="0"/>
        <v>71057.833333333328</v>
      </c>
    </row>
    <row r="16" spans="1:19" x14ac:dyDescent="0.25">
      <c r="A16" s="3" t="s">
        <v>22</v>
      </c>
      <c r="B16" s="13">
        <v>379</v>
      </c>
      <c r="C16" s="13">
        <v>434</v>
      </c>
      <c r="D16" s="13">
        <v>460</v>
      </c>
      <c r="E16" s="13">
        <v>438</v>
      </c>
      <c r="F16" s="13">
        <v>454</v>
      </c>
      <c r="G16" s="13">
        <v>429</v>
      </c>
      <c r="H16" s="9">
        <v>416</v>
      </c>
      <c r="I16" s="9">
        <v>419</v>
      </c>
      <c r="L16">
        <v>2010</v>
      </c>
      <c r="M16">
        <v>75014</v>
      </c>
      <c r="P16">
        <f t="shared" si="2"/>
        <v>1999</v>
      </c>
      <c r="Q16">
        <f t="shared" si="1"/>
        <v>70097</v>
      </c>
      <c r="R16">
        <v>12</v>
      </c>
      <c r="S16" s="26">
        <f t="shared" si="0"/>
        <v>71153.916666666672</v>
      </c>
    </row>
    <row r="17" spans="1:19" x14ac:dyDescent="0.25">
      <c r="A17" s="14" t="s">
        <v>23</v>
      </c>
      <c r="B17" s="11">
        <v>1209</v>
      </c>
      <c r="C17" s="11">
        <v>1280</v>
      </c>
      <c r="D17" s="11">
        <v>1318</v>
      </c>
      <c r="E17" s="11">
        <v>1238</v>
      </c>
      <c r="F17" s="11">
        <v>1258</v>
      </c>
      <c r="G17" s="11">
        <v>1195</v>
      </c>
      <c r="H17" s="12">
        <v>1239</v>
      </c>
      <c r="I17" s="12">
        <v>1237</v>
      </c>
      <c r="L17">
        <v>2011</v>
      </c>
      <c r="M17">
        <v>74791</v>
      </c>
      <c r="P17">
        <f>IF(R17&gt;1,P16,P16+1)</f>
        <v>2000</v>
      </c>
      <c r="Q17">
        <f t="shared" si="1"/>
        <v>71250</v>
      </c>
      <c r="R17">
        <v>1</v>
      </c>
      <c r="S17" s="26">
        <f t="shared" si="0"/>
        <v>71250</v>
      </c>
    </row>
    <row r="18" spans="1:19" x14ac:dyDescent="0.25">
      <c r="B18" s="13"/>
      <c r="C18" s="13"/>
      <c r="D18" s="13"/>
      <c r="E18" s="13"/>
      <c r="F18" s="13"/>
      <c r="G18" s="13"/>
      <c r="H18" s="9"/>
      <c r="I18" s="9"/>
      <c r="L18">
        <v>2012</v>
      </c>
      <c r="M18">
        <v>75091</v>
      </c>
      <c r="P18">
        <f t="shared" ref="P18:P28" si="3">IF(R18&gt;1,P17,P17+1)</f>
        <v>2000</v>
      </c>
      <c r="Q18">
        <f t="shared" si="1"/>
        <v>71250</v>
      </c>
      <c r="R18">
        <v>2</v>
      </c>
      <c r="S18" s="26">
        <f t="shared" si="0"/>
        <v>71361.916666666672</v>
      </c>
    </row>
    <row r="19" spans="1:19" x14ac:dyDescent="0.25">
      <c r="A19" s="14" t="s">
        <v>24</v>
      </c>
      <c r="B19" s="11">
        <v>1860</v>
      </c>
      <c r="C19" s="11">
        <v>1817</v>
      </c>
      <c r="D19" s="11">
        <v>1776</v>
      </c>
      <c r="E19" s="11">
        <v>1772</v>
      </c>
      <c r="F19" s="11">
        <v>1782</v>
      </c>
      <c r="G19" s="11">
        <v>1746</v>
      </c>
      <c r="H19" s="12">
        <v>1680</v>
      </c>
      <c r="I19" s="12">
        <v>1703</v>
      </c>
      <c r="L19">
        <v>2013</v>
      </c>
      <c r="M19">
        <v>74668</v>
      </c>
      <c r="P19">
        <f t="shared" si="3"/>
        <v>2000</v>
      </c>
      <c r="Q19">
        <f t="shared" si="1"/>
        <v>71250</v>
      </c>
      <c r="R19">
        <v>3</v>
      </c>
      <c r="S19" s="26">
        <f t="shared" si="0"/>
        <v>71473.833333333328</v>
      </c>
    </row>
    <row r="20" spans="1:19" x14ac:dyDescent="0.25">
      <c r="B20" s="13"/>
      <c r="C20" s="13"/>
      <c r="D20" s="13"/>
      <c r="E20" s="13"/>
      <c r="F20" s="13"/>
      <c r="G20" s="13"/>
      <c r="H20" s="9"/>
      <c r="I20" s="9"/>
      <c r="L20">
        <v>2014</v>
      </c>
      <c r="M20">
        <v>74427</v>
      </c>
      <c r="P20">
        <f t="shared" si="3"/>
        <v>2000</v>
      </c>
      <c r="Q20">
        <f t="shared" si="1"/>
        <v>71250</v>
      </c>
      <c r="R20">
        <v>4</v>
      </c>
      <c r="S20" s="26">
        <f t="shared" si="0"/>
        <v>71585.75</v>
      </c>
    </row>
    <row r="21" spans="1:19" x14ac:dyDescent="0.25">
      <c r="A21" s="14" t="s">
        <v>25</v>
      </c>
      <c r="B21" s="11">
        <v>57501</v>
      </c>
      <c r="C21" s="11">
        <v>58486</v>
      </c>
      <c r="D21" s="11">
        <v>59476</v>
      </c>
      <c r="E21" s="11">
        <v>60952</v>
      </c>
      <c r="F21" s="11">
        <v>62261</v>
      </c>
      <c r="G21" s="11">
        <v>63640</v>
      </c>
      <c r="H21" s="12">
        <v>65081</v>
      </c>
      <c r="I21" s="12">
        <v>66945</v>
      </c>
      <c r="L21">
        <v>2015</v>
      </c>
      <c r="M21">
        <v>74706</v>
      </c>
      <c r="P21">
        <f t="shared" si="3"/>
        <v>2000</v>
      </c>
      <c r="Q21">
        <f t="shared" si="1"/>
        <v>71250</v>
      </c>
      <c r="R21">
        <v>5</v>
      </c>
      <c r="S21" s="26">
        <f t="shared" si="0"/>
        <v>71697.666666666672</v>
      </c>
    </row>
    <row r="22" spans="1:19" x14ac:dyDescent="0.25">
      <c r="A22" s="15" t="s">
        <v>26</v>
      </c>
      <c r="B22" s="16">
        <v>36230</v>
      </c>
      <c r="C22" s="16">
        <v>37109</v>
      </c>
      <c r="D22" s="16">
        <v>37842</v>
      </c>
      <c r="E22" s="16">
        <v>38918</v>
      </c>
      <c r="F22" s="16">
        <v>40049</v>
      </c>
      <c r="G22" s="16">
        <v>40834</v>
      </c>
      <c r="H22" s="17">
        <v>41816</v>
      </c>
      <c r="I22" s="17">
        <v>43096</v>
      </c>
      <c r="L22">
        <v>2016</v>
      </c>
      <c r="M22">
        <f>M21+400</f>
        <v>75106</v>
      </c>
      <c r="P22">
        <f t="shared" si="3"/>
        <v>2000</v>
      </c>
      <c r="Q22">
        <f t="shared" si="1"/>
        <v>71250</v>
      </c>
      <c r="R22">
        <v>6</v>
      </c>
      <c r="S22" s="26">
        <f t="shared" si="0"/>
        <v>71809.583333333328</v>
      </c>
    </row>
    <row r="23" spans="1:19" x14ac:dyDescent="0.25">
      <c r="A23" s="14" t="s">
        <v>27</v>
      </c>
      <c r="B23" s="11">
        <v>21271</v>
      </c>
      <c r="C23" s="11">
        <v>21377</v>
      </c>
      <c r="D23" s="11">
        <v>21634</v>
      </c>
      <c r="E23" s="11">
        <v>22034</v>
      </c>
      <c r="F23" s="11">
        <v>22211</v>
      </c>
      <c r="G23" s="11">
        <v>22806</v>
      </c>
      <c r="H23" s="12">
        <v>23266</v>
      </c>
      <c r="I23" s="12">
        <v>23849</v>
      </c>
      <c r="L23">
        <v>2017</v>
      </c>
      <c r="M23">
        <v>75000</v>
      </c>
      <c r="P23">
        <f t="shared" si="3"/>
        <v>2000</v>
      </c>
      <c r="Q23">
        <f t="shared" si="1"/>
        <v>71250</v>
      </c>
      <c r="R23">
        <v>7</v>
      </c>
      <c r="S23" s="26">
        <f t="shared" si="0"/>
        <v>71921.5</v>
      </c>
    </row>
    <row r="24" spans="1:19" x14ac:dyDescent="0.25">
      <c r="B24" s="9"/>
      <c r="C24" s="9"/>
      <c r="D24" s="9"/>
      <c r="E24" s="9"/>
      <c r="F24" s="9"/>
      <c r="G24" s="9"/>
      <c r="L24">
        <v>2018</v>
      </c>
      <c r="M24">
        <v>75000</v>
      </c>
      <c r="P24">
        <f t="shared" si="3"/>
        <v>2000</v>
      </c>
      <c r="Q24">
        <f t="shared" si="1"/>
        <v>71250</v>
      </c>
      <c r="R24">
        <v>8</v>
      </c>
      <c r="S24" s="26">
        <f t="shared" si="0"/>
        <v>72033.416666666672</v>
      </c>
    </row>
    <row r="25" spans="1:19" ht="15.75" thickBot="1" x14ac:dyDescent="0.3">
      <c r="B25" s="9"/>
      <c r="C25" s="9"/>
      <c r="D25" s="9"/>
      <c r="E25" s="9"/>
      <c r="F25" s="9"/>
      <c r="G25" s="9"/>
      <c r="P25">
        <f t="shared" si="3"/>
        <v>2000</v>
      </c>
      <c r="Q25">
        <f t="shared" si="1"/>
        <v>71250</v>
      </c>
      <c r="R25">
        <v>9</v>
      </c>
      <c r="S25" s="26">
        <f t="shared" si="0"/>
        <v>72145.333333333328</v>
      </c>
    </row>
    <row r="26" spans="1:19" ht="16.5" thickTop="1" thickBot="1" x14ac:dyDescent="0.3">
      <c r="A26" s="5"/>
      <c r="B26" s="7">
        <v>1973</v>
      </c>
      <c r="C26" s="7">
        <v>1974</v>
      </c>
      <c r="D26" s="7">
        <v>1975</v>
      </c>
      <c r="E26" s="7">
        <v>1976</v>
      </c>
      <c r="F26" s="7">
        <v>1977</v>
      </c>
      <c r="G26" s="7">
        <v>1978</v>
      </c>
      <c r="H26" s="8">
        <v>1979</v>
      </c>
      <c r="I26" s="8" t="s">
        <v>28</v>
      </c>
      <c r="P26">
        <f t="shared" si="3"/>
        <v>2000</v>
      </c>
      <c r="Q26">
        <f t="shared" si="1"/>
        <v>71250</v>
      </c>
      <c r="R26">
        <v>10</v>
      </c>
      <c r="S26" s="26">
        <f t="shared" si="0"/>
        <v>72257.25</v>
      </c>
    </row>
    <row r="27" spans="1:19" ht="15.75" thickTop="1" x14ac:dyDescent="0.25">
      <c r="B27" s="9"/>
      <c r="C27" s="9"/>
      <c r="D27" s="9"/>
      <c r="E27" s="9"/>
      <c r="F27" s="9"/>
      <c r="G27" s="9"/>
      <c r="H27" s="9"/>
      <c r="I27" s="9"/>
      <c r="P27">
        <f t="shared" si="3"/>
        <v>2000</v>
      </c>
      <c r="Q27">
        <f t="shared" si="1"/>
        <v>71250</v>
      </c>
      <c r="R27">
        <v>11</v>
      </c>
      <c r="S27" s="26">
        <f t="shared" si="0"/>
        <v>72369.166666666672</v>
      </c>
    </row>
    <row r="28" spans="1:19" x14ac:dyDescent="0.25">
      <c r="A28" s="10" t="s">
        <v>14</v>
      </c>
      <c r="B28" s="12">
        <v>75407</v>
      </c>
      <c r="C28" s="12">
        <v>77462</v>
      </c>
      <c r="D28" s="12">
        <v>78821</v>
      </c>
      <c r="E28" s="12">
        <v>80189</v>
      </c>
      <c r="F28" s="12">
        <v>81645</v>
      </c>
      <c r="G28" s="12">
        <v>83496</v>
      </c>
      <c r="H28" s="12">
        <v>85061</v>
      </c>
      <c r="I28" s="12">
        <v>85735</v>
      </c>
      <c r="P28">
        <f t="shared" si="3"/>
        <v>2000</v>
      </c>
      <c r="Q28">
        <f t="shared" si="1"/>
        <v>71250</v>
      </c>
      <c r="R28">
        <v>12</v>
      </c>
      <c r="S28" s="26">
        <f t="shared" si="0"/>
        <v>72481.083333333328</v>
      </c>
    </row>
    <row r="29" spans="1:19" x14ac:dyDescent="0.25">
      <c r="B29" s="9"/>
      <c r="C29" s="9"/>
      <c r="D29" s="9"/>
      <c r="E29" s="9"/>
      <c r="F29" s="9"/>
      <c r="G29" s="9"/>
      <c r="H29" s="9"/>
      <c r="I29" s="9"/>
      <c r="P29">
        <f>IF(R29&gt;1,P28,P28+1)</f>
        <v>2001</v>
      </c>
      <c r="Q29">
        <f t="shared" si="1"/>
        <v>72593</v>
      </c>
      <c r="R29">
        <v>1</v>
      </c>
      <c r="S29" s="26">
        <f t="shared" si="0"/>
        <v>72593</v>
      </c>
    </row>
    <row r="30" spans="1:19" x14ac:dyDescent="0.25">
      <c r="A30" s="14" t="s">
        <v>15</v>
      </c>
      <c r="B30" s="12">
        <v>6558</v>
      </c>
      <c r="C30" s="12">
        <v>6904</v>
      </c>
      <c r="D30" s="12">
        <v>6896</v>
      </c>
      <c r="E30" s="12">
        <v>6774</v>
      </c>
      <c r="F30" s="12">
        <v>6861</v>
      </c>
      <c r="G30" s="12">
        <v>6948</v>
      </c>
      <c r="H30" s="12">
        <v>7129</v>
      </c>
      <c r="I30" s="12">
        <v>7589</v>
      </c>
      <c r="P30">
        <f t="shared" ref="P30:P93" si="4">IF(R30&gt;1,P29,P29+1)</f>
        <v>2001</v>
      </c>
      <c r="Q30">
        <f t="shared" si="1"/>
        <v>72593</v>
      </c>
      <c r="R30">
        <v>2</v>
      </c>
      <c r="S30" s="26">
        <f t="shared" si="0"/>
        <v>72686.333333333328</v>
      </c>
    </row>
    <row r="31" spans="1:19" x14ac:dyDescent="0.25">
      <c r="A31" s="14" t="s">
        <v>16</v>
      </c>
      <c r="B31" s="12">
        <v>4851</v>
      </c>
      <c r="C31" s="12">
        <v>5155</v>
      </c>
      <c r="D31" s="12">
        <v>5202</v>
      </c>
      <c r="E31" s="12">
        <v>5190</v>
      </c>
      <c r="F31" s="12">
        <v>5224</v>
      </c>
      <c r="G31" s="12">
        <v>5260</v>
      </c>
      <c r="H31" s="12">
        <v>5415</v>
      </c>
      <c r="I31" s="12">
        <v>5893</v>
      </c>
      <c r="P31">
        <f t="shared" si="4"/>
        <v>2001</v>
      </c>
      <c r="Q31">
        <f t="shared" si="1"/>
        <v>72593</v>
      </c>
      <c r="R31">
        <v>3</v>
      </c>
      <c r="S31" s="26">
        <f t="shared" si="0"/>
        <v>72779.666666666672</v>
      </c>
    </row>
    <row r="32" spans="1:19" x14ac:dyDescent="0.25">
      <c r="A32" s="14" t="s">
        <v>17</v>
      </c>
      <c r="B32" s="12">
        <v>1521</v>
      </c>
      <c r="C32" s="12">
        <v>1661</v>
      </c>
      <c r="D32" s="12">
        <v>1647</v>
      </c>
      <c r="E32" s="12">
        <v>1546</v>
      </c>
      <c r="F32" s="12">
        <v>1472</v>
      </c>
      <c r="G32" s="12">
        <v>1433</v>
      </c>
      <c r="H32" s="12">
        <v>1431</v>
      </c>
      <c r="I32" s="12">
        <v>1579</v>
      </c>
      <c r="P32">
        <f t="shared" si="4"/>
        <v>2001</v>
      </c>
      <c r="Q32">
        <f t="shared" si="1"/>
        <v>72593</v>
      </c>
      <c r="R32">
        <v>4</v>
      </c>
      <c r="S32" s="26">
        <f t="shared" si="0"/>
        <v>72873</v>
      </c>
    </row>
    <row r="33" spans="1:19" x14ac:dyDescent="0.25">
      <c r="A33" s="3" t="s">
        <v>18</v>
      </c>
      <c r="B33" s="9">
        <v>467</v>
      </c>
      <c r="C33" s="9">
        <v>557</v>
      </c>
      <c r="D33" s="9">
        <v>591</v>
      </c>
      <c r="E33" s="9">
        <v>598</v>
      </c>
      <c r="F33" s="9">
        <v>574</v>
      </c>
      <c r="G33" s="9">
        <v>524</v>
      </c>
      <c r="H33" s="9">
        <v>566</v>
      </c>
      <c r="I33" s="9">
        <v>607</v>
      </c>
      <c r="P33">
        <f t="shared" si="4"/>
        <v>2001</v>
      </c>
      <c r="Q33">
        <f t="shared" si="1"/>
        <v>72593</v>
      </c>
      <c r="R33">
        <v>5</v>
      </c>
      <c r="S33" s="26">
        <f t="shared" si="0"/>
        <v>72966.333333333328</v>
      </c>
    </row>
    <row r="34" spans="1:19" x14ac:dyDescent="0.25">
      <c r="A34" s="3" t="s">
        <v>19</v>
      </c>
      <c r="B34" s="9">
        <v>524</v>
      </c>
      <c r="C34" s="9">
        <v>543</v>
      </c>
      <c r="D34" s="9">
        <v>536</v>
      </c>
      <c r="E34" s="9">
        <v>564</v>
      </c>
      <c r="F34" s="9">
        <v>651</v>
      </c>
      <c r="G34" s="9">
        <v>650</v>
      </c>
      <c r="H34" s="9">
        <v>640</v>
      </c>
      <c r="I34" s="9">
        <v>705</v>
      </c>
      <c r="P34">
        <f t="shared" si="4"/>
        <v>2001</v>
      </c>
      <c r="Q34">
        <f t="shared" si="1"/>
        <v>72593</v>
      </c>
      <c r="R34">
        <v>6</v>
      </c>
      <c r="S34" s="26">
        <f t="shared" si="0"/>
        <v>73059.666666666672</v>
      </c>
    </row>
    <row r="35" spans="1:19" x14ac:dyDescent="0.25">
      <c r="A35" s="14" t="s">
        <v>20</v>
      </c>
      <c r="B35" s="12">
        <v>2340</v>
      </c>
      <c r="C35" s="12">
        <v>2393</v>
      </c>
      <c r="D35" s="12">
        <v>2429</v>
      </c>
      <c r="E35" s="12">
        <v>2482</v>
      </c>
      <c r="F35" s="12">
        <v>2528</v>
      </c>
      <c r="G35" s="12">
        <v>2653</v>
      </c>
      <c r="H35" s="12">
        <v>2778</v>
      </c>
      <c r="I35" s="12">
        <v>3003</v>
      </c>
      <c r="P35">
        <f t="shared" si="4"/>
        <v>2001</v>
      </c>
      <c r="Q35">
        <f t="shared" si="1"/>
        <v>72593</v>
      </c>
      <c r="R35">
        <v>7</v>
      </c>
      <c r="S35" s="26">
        <f t="shared" si="0"/>
        <v>73153</v>
      </c>
    </row>
    <row r="36" spans="1:19" x14ac:dyDescent="0.25">
      <c r="A36" s="3" t="s">
        <v>21</v>
      </c>
      <c r="B36" s="9">
        <v>588</v>
      </c>
      <c r="C36" s="9">
        <v>617</v>
      </c>
      <c r="D36" s="9">
        <v>649</v>
      </c>
      <c r="E36" s="9">
        <v>705</v>
      </c>
      <c r="F36" s="9">
        <v>707</v>
      </c>
      <c r="G36" s="9">
        <v>689</v>
      </c>
      <c r="H36" s="9">
        <v>710</v>
      </c>
      <c r="I36" s="9">
        <v>794</v>
      </c>
      <c r="P36">
        <f t="shared" si="4"/>
        <v>2001</v>
      </c>
      <c r="Q36">
        <f t="shared" si="1"/>
        <v>72593</v>
      </c>
      <c r="R36">
        <v>8</v>
      </c>
      <c r="S36" s="26">
        <f t="shared" si="0"/>
        <v>73246.333333333328</v>
      </c>
    </row>
    <row r="37" spans="1:19" x14ac:dyDescent="0.25">
      <c r="A37" s="3" t="s">
        <v>22</v>
      </c>
      <c r="B37" s="9">
        <v>433</v>
      </c>
      <c r="C37" s="9">
        <v>452</v>
      </c>
      <c r="D37" s="9">
        <v>470</v>
      </c>
      <c r="E37" s="9">
        <v>467</v>
      </c>
      <c r="F37" s="9">
        <v>438</v>
      </c>
      <c r="G37" s="9">
        <v>467</v>
      </c>
      <c r="H37" s="9">
        <v>541</v>
      </c>
      <c r="I37" s="9">
        <v>591</v>
      </c>
      <c r="P37">
        <f t="shared" si="4"/>
        <v>2001</v>
      </c>
      <c r="Q37">
        <f t="shared" si="1"/>
        <v>72593</v>
      </c>
      <c r="R37">
        <v>9</v>
      </c>
      <c r="S37" s="26">
        <f t="shared" si="0"/>
        <v>73339.666666666672</v>
      </c>
    </row>
    <row r="38" spans="1:19" x14ac:dyDescent="0.25">
      <c r="A38" s="14" t="s">
        <v>23</v>
      </c>
      <c r="B38" s="12">
        <v>1320</v>
      </c>
      <c r="C38" s="12">
        <v>1325</v>
      </c>
      <c r="D38" s="12">
        <v>1309</v>
      </c>
      <c r="E38" s="12">
        <v>1310</v>
      </c>
      <c r="F38" s="12">
        <v>1383</v>
      </c>
      <c r="G38" s="12">
        <v>1498</v>
      </c>
      <c r="H38" s="12">
        <v>1528</v>
      </c>
      <c r="I38" s="12">
        <v>1618</v>
      </c>
      <c r="P38">
        <f t="shared" si="4"/>
        <v>2001</v>
      </c>
      <c r="Q38">
        <f t="shared" si="1"/>
        <v>72593</v>
      </c>
      <c r="R38">
        <v>10</v>
      </c>
      <c r="S38" s="26">
        <f t="shared" si="0"/>
        <v>73433</v>
      </c>
    </row>
    <row r="39" spans="1:19" x14ac:dyDescent="0.25">
      <c r="B39" s="9"/>
      <c r="C39" s="9"/>
      <c r="D39" s="9"/>
      <c r="E39" s="9"/>
      <c r="F39" s="9"/>
      <c r="G39" s="9"/>
      <c r="H39" s="9"/>
      <c r="I39" s="9"/>
      <c r="P39">
        <f t="shared" si="4"/>
        <v>2001</v>
      </c>
      <c r="Q39">
        <f t="shared" si="1"/>
        <v>72593</v>
      </c>
      <c r="R39">
        <v>11</v>
      </c>
      <c r="S39" s="26">
        <f t="shared" si="0"/>
        <v>73526.333333333328</v>
      </c>
    </row>
    <row r="40" spans="1:19" x14ac:dyDescent="0.25">
      <c r="A40" s="14" t="s">
        <v>24</v>
      </c>
      <c r="B40" s="12">
        <v>1706</v>
      </c>
      <c r="C40" s="12">
        <v>1750</v>
      </c>
      <c r="D40" s="12">
        <v>1694</v>
      </c>
      <c r="E40" s="12">
        <v>1584</v>
      </c>
      <c r="F40" s="12">
        <v>1637</v>
      </c>
      <c r="G40" s="12">
        <v>1688</v>
      </c>
      <c r="H40" s="12">
        <v>1714</v>
      </c>
      <c r="I40" s="12">
        <v>1696</v>
      </c>
      <c r="P40">
        <f t="shared" si="4"/>
        <v>2001</v>
      </c>
      <c r="Q40">
        <f t="shared" si="1"/>
        <v>72593</v>
      </c>
      <c r="R40">
        <v>12</v>
      </c>
      <c r="S40" s="26">
        <f t="shared" si="0"/>
        <v>73619.666666666672</v>
      </c>
    </row>
    <row r="41" spans="1:19" x14ac:dyDescent="0.25">
      <c r="B41" s="9"/>
      <c r="C41" s="9"/>
      <c r="D41" s="9"/>
      <c r="E41" s="9"/>
      <c r="F41" s="9"/>
      <c r="G41" s="9"/>
      <c r="H41" s="9"/>
      <c r="I41" s="9"/>
      <c r="P41">
        <f t="shared" si="4"/>
        <v>2002</v>
      </c>
      <c r="Q41">
        <f t="shared" si="1"/>
        <v>73713</v>
      </c>
      <c r="R41">
        <v>1</v>
      </c>
      <c r="S41" s="26">
        <f t="shared" si="0"/>
        <v>73713</v>
      </c>
    </row>
    <row r="42" spans="1:19" x14ac:dyDescent="0.25">
      <c r="A42" s="14" t="s">
        <v>25</v>
      </c>
      <c r="B42" s="12">
        <v>68849</v>
      </c>
      <c r="C42" s="12">
        <v>70558</v>
      </c>
      <c r="D42" s="12">
        <v>71925</v>
      </c>
      <c r="E42" s="12">
        <v>73415</v>
      </c>
      <c r="F42" s="12">
        <v>74784</v>
      </c>
      <c r="G42" s="12">
        <v>76548</v>
      </c>
      <c r="H42" s="12">
        <v>77932</v>
      </c>
      <c r="I42" s="12">
        <v>78146</v>
      </c>
      <c r="P42">
        <f t="shared" si="4"/>
        <v>2002</v>
      </c>
      <c r="Q42">
        <f t="shared" si="1"/>
        <v>73713</v>
      </c>
      <c r="R42">
        <v>2</v>
      </c>
      <c r="S42" s="26">
        <f t="shared" si="0"/>
        <v>73510.083333333328</v>
      </c>
    </row>
    <row r="43" spans="1:19" x14ac:dyDescent="0.25">
      <c r="A43" s="15" t="s">
        <v>26</v>
      </c>
      <c r="B43" s="17">
        <v>44424</v>
      </c>
      <c r="C43" s="17">
        <v>45615</v>
      </c>
      <c r="D43" s="17">
        <v>46463</v>
      </c>
      <c r="E43" s="17">
        <v>47518</v>
      </c>
      <c r="F43" s="17">
        <v>48461</v>
      </c>
      <c r="G43" s="17">
        <v>49739</v>
      </c>
      <c r="H43" s="17">
        <v>51086</v>
      </c>
      <c r="I43" s="17">
        <v>50972</v>
      </c>
      <c r="P43">
        <f t="shared" si="4"/>
        <v>2002</v>
      </c>
      <c r="Q43">
        <f t="shared" si="1"/>
        <v>73713</v>
      </c>
      <c r="R43">
        <v>3</v>
      </c>
      <c r="S43" s="26">
        <f t="shared" si="0"/>
        <v>73307.166666666672</v>
      </c>
    </row>
    <row r="44" spans="1:19" x14ac:dyDescent="0.25">
      <c r="A44" s="14" t="s">
        <v>27</v>
      </c>
      <c r="B44" s="12">
        <v>24425</v>
      </c>
      <c r="C44" s="12">
        <v>24943</v>
      </c>
      <c r="D44" s="12">
        <v>25462</v>
      </c>
      <c r="E44" s="12">
        <v>25897</v>
      </c>
      <c r="F44" s="12">
        <v>26324</v>
      </c>
      <c r="G44" s="12">
        <v>26810</v>
      </c>
      <c r="H44" s="12">
        <v>26847</v>
      </c>
      <c r="I44" s="12">
        <v>27174</v>
      </c>
      <c r="P44">
        <f t="shared" si="4"/>
        <v>2002</v>
      </c>
      <c r="Q44">
        <f t="shared" si="1"/>
        <v>73713</v>
      </c>
      <c r="R44">
        <v>4</v>
      </c>
      <c r="S44" s="26">
        <f t="shared" si="0"/>
        <v>73104.25</v>
      </c>
    </row>
    <row r="45" spans="1:19" x14ac:dyDescent="0.25">
      <c r="B45" s="9"/>
      <c r="C45" s="9"/>
      <c r="D45" s="9"/>
      <c r="E45" s="9"/>
      <c r="F45" s="9"/>
      <c r="G45" s="9"/>
      <c r="H45" s="9"/>
      <c r="I45" s="9"/>
      <c r="P45">
        <f t="shared" si="4"/>
        <v>2002</v>
      </c>
      <c r="Q45">
        <f t="shared" si="1"/>
        <v>73713</v>
      </c>
      <c r="R45">
        <v>5</v>
      </c>
      <c r="S45" s="26">
        <f t="shared" si="0"/>
        <v>72901.333333333328</v>
      </c>
    </row>
    <row r="46" spans="1:19" ht="15.75" thickBot="1" x14ac:dyDescent="0.3">
      <c r="B46" s="9"/>
      <c r="C46" s="9"/>
      <c r="D46" s="9"/>
      <c r="E46" s="9"/>
      <c r="F46" s="9"/>
      <c r="G46" s="9"/>
      <c r="P46">
        <f t="shared" si="4"/>
        <v>2002</v>
      </c>
      <c r="Q46">
        <f t="shared" si="1"/>
        <v>73713</v>
      </c>
      <c r="R46">
        <v>6</v>
      </c>
      <c r="S46" s="26">
        <f t="shared" si="0"/>
        <v>72698.416666666672</v>
      </c>
    </row>
    <row r="47" spans="1:19" ht="16.5" thickTop="1" thickBot="1" x14ac:dyDescent="0.3">
      <c r="A47" s="18"/>
      <c r="B47" s="7">
        <v>1980</v>
      </c>
      <c r="C47" s="7">
        <v>1981</v>
      </c>
      <c r="D47" s="7" t="s">
        <v>29</v>
      </c>
      <c r="E47" s="7">
        <v>1982</v>
      </c>
      <c r="F47" s="7">
        <v>1983</v>
      </c>
      <c r="G47" s="7">
        <v>1984</v>
      </c>
      <c r="H47" s="8">
        <v>1985</v>
      </c>
      <c r="I47" s="8" t="s">
        <v>30</v>
      </c>
      <c r="P47">
        <f t="shared" si="4"/>
        <v>2002</v>
      </c>
      <c r="Q47">
        <f t="shared" si="1"/>
        <v>73713</v>
      </c>
      <c r="R47">
        <v>7</v>
      </c>
      <c r="S47" s="26">
        <f t="shared" si="0"/>
        <v>72495.5</v>
      </c>
    </row>
    <row r="48" spans="1:19" ht="15.75" thickTop="1" x14ac:dyDescent="0.25">
      <c r="B48" s="9"/>
      <c r="C48" s="9"/>
      <c r="D48" s="9"/>
      <c r="E48" s="9"/>
      <c r="F48" s="9"/>
      <c r="G48" s="9"/>
      <c r="H48" s="9"/>
      <c r="I48" s="9"/>
      <c r="P48">
        <f t="shared" si="4"/>
        <v>2002</v>
      </c>
      <c r="Q48">
        <f t="shared" si="1"/>
        <v>73713</v>
      </c>
      <c r="R48">
        <v>8</v>
      </c>
      <c r="S48" s="26">
        <f t="shared" si="0"/>
        <v>72292.583333333328</v>
      </c>
    </row>
    <row r="49" spans="1:19" x14ac:dyDescent="0.25">
      <c r="A49" s="10" t="s">
        <v>14</v>
      </c>
      <c r="B49" s="12">
        <v>87739</v>
      </c>
      <c r="C49" s="12">
        <v>88988</v>
      </c>
      <c r="D49" s="12">
        <v>90862</v>
      </c>
      <c r="E49" s="12">
        <v>91876</v>
      </c>
      <c r="F49" s="12">
        <v>93044</v>
      </c>
      <c r="G49" s="12">
        <v>95256</v>
      </c>
      <c r="H49" s="12">
        <v>97333</v>
      </c>
      <c r="I49" s="12">
        <v>99318</v>
      </c>
      <c r="P49">
        <f t="shared" si="4"/>
        <v>2002</v>
      </c>
      <c r="Q49">
        <f t="shared" si="1"/>
        <v>73713</v>
      </c>
      <c r="R49">
        <v>9</v>
      </c>
      <c r="S49" s="26">
        <f t="shared" si="0"/>
        <v>72089.666666666672</v>
      </c>
    </row>
    <row r="50" spans="1:19" x14ac:dyDescent="0.25">
      <c r="B50" s="9"/>
      <c r="C50" s="9"/>
      <c r="D50" s="9"/>
      <c r="E50" s="9"/>
      <c r="F50" s="9"/>
      <c r="G50" s="9"/>
      <c r="H50" s="9"/>
      <c r="I50" s="9"/>
      <c r="P50">
        <f t="shared" si="4"/>
        <v>2002</v>
      </c>
      <c r="Q50">
        <f t="shared" si="1"/>
        <v>73713</v>
      </c>
      <c r="R50">
        <v>10</v>
      </c>
      <c r="S50" s="26">
        <f t="shared" si="0"/>
        <v>71886.75</v>
      </c>
    </row>
    <row r="51" spans="1:19" x14ac:dyDescent="0.25">
      <c r="A51" s="14" t="s">
        <v>15</v>
      </c>
      <c r="B51" s="12">
        <v>8101</v>
      </c>
      <c r="C51" s="12">
        <v>7967</v>
      </c>
      <c r="D51" s="12">
        <v>8070</v>
      </c>
      <c r="E51" s="12">
        <v>8145</v>
      </c>
      <c r="F51" s="12">
        <v>8479</v>
      </c>
      <c r="G51" s="12">
        <v>8910</v>
      </c>
      <c r="H51" s="12">
        <v>9446</v>
      </c>
      <c r="I51" s="12">
        <v>10173</v>
      </c>
      <c r="P51">
        <f t="shared" si="4"/>
        <v>2002</v>
      </c>
      <c r="Q51">
        <f t="shared" si="1"/>
        <v>73713</v>
      </c>
      <c r="R51">
        <v>11</v>
      </c>
      <c r="S51" s="26">
        <f t="shared" si="0"/>
        <v>71683.833333333328</v>
      </c>
    </row>
    <row r="52" spans="1:19" x14ac:dyDescent="0.25">
      <c r="A52" s="14" t="s">
        <v>16</v>
      </c>
      <c r="B52" s="12">
        <v>5996</v>
      </c>
      <c r="C52" s="12">
        <v>6034</v>
      </c>
      <c r="D52" s="12">
        <v>6136</v>
      </c>
      <c r="E52" s="12">
        <v>6369</v>
      </c>
      <c r="F52" s="12">
        <v>6693</v>
      </c>
      <c r="G52" s="12">
        <v>7080</v>
      </c>
      <c r="H52" s="12">
        <v>7400</v>
      </c>
      <c r="I52" s="12">
        <v>7821</v>
      </c>
      <c r="P52">
        <f t="shared" si="4"/>
        <v>2002</v>
      </c>
      <c r="Q52">
        <f t="shared" si="1"/>
        <v>73713</v>
      </c>
      <c r="R52">
        <v>12</v>
      </c>
      <c r="S52" s="26">
        <f t="shared" si="0"/>
        <v>71480.916666666672</v>
      </c>
    </row>
    <row r="53" spans="1:19" x14ac:dyDescent="0.25">
      <c r="A53" s="14" t="s">
        <v>17</v>
      </c>
      <c r="B53" s="12">
        <v>1575</v>
      </c>
      <c r="C53" s="12">
        <v>1500</v>
      </c>
      <c r="D53" s="12">
        <v>1524</v>
      </c>
      <c r="E53" s="12">
        <v>1670</v>
      </c>
      <c r="F53" s="12">
        <v>1810</v>
      </c>
      <c r="G53" s="12">
        <v>1934</v>
      </c>
      <c r="H53" s="12">
        <v>2221</v>
      </c>
      <c r="I53" s="12">
        <v>2588</v>
      </c>
      <c r="P53">
        <f t="shared" si="4"/>
        <v>2003</v>
      </c>
      <c r="Q53">
        <f t="shared" si="1"/>
        <v>71278</v>
      </c>
      <c r="R53">
        <v>1</v>
      </c>
      <c r="S53" s="26">
        <f t="shared" si="0"/>
        <v>71278</v>
      </c>
    </row>
    <row r="54" spans="1:19" x14ac:dyDescent="0.25">
      <c r="A54" s="3" t="s">
        <v>18</v>
      </c>
      <c r="B54" s="9">
        <v>734</v>
      </c>
      <c r="C54" s="9">
        <v>746</v>
      </c>
      <c r="D54" s="12">
        <v>759</v>
      </c>
      <c r="E54" s="12">
        <v>843</v>
      </c>
      <c r="F54" s="12">
        <v>862</v>
      </c>
      <c r="G54" s="12">
        <v>947</v>
      </c>
      <c r="H54" s="12">
        <v>1006</v>
      </c>
      <c r="I54" s="12">
        <v>937</v>
      </c>
      <c r="P54">
        <f t="shared" si="4"/>
        <v>2003</v>
      </c>
      <c r="Q54">
        <f t="shared" si="1"/>
        <v>71278</v>
      </c>
      <c r="R54">
        <v>2</v>
      </c>
      <c r="S54" s="26">
        <f t="shared" si="0"/>
        <v>71342.666666666672</v>
      </c>
    </row>
    <row r="55" spans="1:19" x14ac:dyDescent="0.25">
      <c r="A55" s="3" t="s">
        <v>19</v>
      </c>
      <c r="B55" s="9">
        <v>623</v>
      </c>
      <c r="C55" s="9">
        <v>585</v>
      </c>
      <c r="D55" s="9">
        <v>595</v>
      </c>
      <c r="E55" s="9">
        <v>554</v>
      </c>
      <c r="F55" s="9">
        <v>633</v>
      </c>
      <c r="G55" s="9">
        <v>664</v>
      </c>
      <c r="H55" s="9">
        <v>664</v>
      </c>
      <c r="I55" s="9">
        <v>683</v>
      </c>
      <c r="P55">
        <f t="shared" si="4"/>
        <v>2003</v>
      </c>
      <c r="Q55">
        <f t="shared" si="1"/>
        <v>71278</v>
      </c>
      <c r="R55">
        <v>3</v>
      </c>
      <c r="S55" s="26">
        <f t="shared" si="0"/>
        <v>71407.333333333328</v>
      </c>
    </row>
    <row r="56" spans="1:19" x14ac:dyDescent="0.25">
      <c r="A56" s="14" t="s">
        <v>20</v>
      </c>
      <c r="B56" s="12">
        <v>3064</v>
      </c>
      <c r="C56" s="12">
        <v>3203</v>
      </c>
      <c r="D56" s="12">
        <v>3259</v>
      </c>
      <c r="E56" s="12">
        <v>3302</v>
      </c>
      <c r="F56" s="12">
        <v>3389</v>
      </c>
      <c r="G56" s="12">
        <v>3535</v>
      </c>
      <c r="H56" s="12">
        <v>3510</v>
      </c>
      <c r="I56" s="12">
        <v>3614</v>
      </c>
      <c r="P56">
        <f t="shared" si="4"/>
        <v>2003</v>
      </c>
      <c r="Q56">
        <f t="shared" si="1"/>
        <v>71278</v>
      </c>
      <c r="R56">
        <v>4</v>
      </c>
      <c r="S56" s="26">
        <f t="shared" si="0"/>
        <v>71472</v>
      </c>
    </row>
    <row r="57" spans="1:19" x14ac:dyDescent="0.25">
      <c r="A57" s="3" t="s">
        <v>21</v>
      </c>
      <c r="B57" s="9">
        <v>814</v>
      </c>
      <c r="C57" s="9">
        <v>884</v>
      </c>
      <c r="D57" s="9">
        <v>909</v>
      </c>
      <c r="E57" s="9">
        <v>959</v>
      </c>
      <c r="F57" s="9">
        <v>926</v>
      </c>
      <c r="G57" s="9">
        <v>992</v>
      </c>
      <c r="H57" s="9">
        <v>977</v>
      </c>
      <c r="I57" s="9">
        <v>991</v>
      </c>
      <c r="P57">
        <f t="shared" si="4"/>
        <v>2003</v>
      </c>
      <c r="Q57">
        <f t="shared" si="1"/>
        <v>71278</v>
      </c>
      <c r="R57">
        <v>5</v>
      </c>
      <c r="S57" s="26">
        <f t="shared" si="0"/>
        <v>71536.666666666672</v>
      </c>
    </row>
    <row r="58" spans="1:19" x14ac:dyDescent="0.25">
      <c r="A58" s="3" t="s">
        <v>22</v>
      </c>
      <c r="B58" s="9">
        <v>568</v>
      </c>
      <c r="C58" s="9">
        <v>605</v>
      </c>
      <c r="D58" s="9">
        <v>615</v>
      </c>
      <c r="E58" s="9">
        <v>588</v>
      </c>
      <c r="F58" s="9">
        <v>642</v>
      </c>
      <c r="G58" s="9">
        <v>622</v>
      </c>
      <c r="H58" s="9">
        <v>659</v>
      </c>
      <c r="I58" s="9">
        <v>741</v>
      </c>
      <c r="P58">
        <f t="shared" si="4"/>
        <v>2003</v>
      </c>
      <c r="Q58">
        <f t="shared" si="1"/>
        <v>71278</v>
      </c>
      <c r="R58">
        <v>6</v>
      </c>
      <c r="S58" s="26">
        <f t="shared" si="0"/>
        <v>71601.333333333328</v>
      </c>
    </row>
    <row r="59" spans="1:19" x14ac:dyDescent="0.25">
      <c r="A59" s="14" t="s">
        <v>23</v>
      </c>
      <c r="B59" s="12">
        <v>1683</v>
      </c>
      <c r="C59" s="12">
        <v>1715</v>
      </c>
      <c r="D59" s="12">
        <v>1735</v>
      </c>
      <c r="E59" s="12">
        <v>1754</v>
      </c>
      <c r="F59" s="12">
        <v>1821</v>
      </c>
      <c r="G59" s="12">
        <v>1921</v>
      </c>
      <c r="H59" s="12">
        <v>1875</v>
      </c>
      <c r="I59" s="12">
        <v>1883</v>
      </c>
      <c r="P59">
        <f t="shared" si="4"/>
        <v>2003</v>
      </c>
      <c r="Q59">
        <f t="shared" si="1"/>
        <v>71278</v>
      </c>
      <c r="R59">
        <v>7</v>
      </c>
      <c r="S59" s="26">
        <f t="shared" si="0"/>
        <v>71666</v>
      </c>
    </row>
    <row r="60" spans="1:19" x14ac:dyDescent="0.25">
      <c r="B60" s="9"/>
      <c r="C60" s="9"/>
      <c r="D60" s="9"/>
      <c r="E60" s="9"/>
      <c r="F60" s="9"/>
      <c r="G60" s="9"/>
      <c r="H60" s="9"/>
      <c r="I60" s="9"/>
      <c r="P60">
        <f t="shared" si="4"/>
        <v>2003</v>
      </c>
      <c r="Q60">
        <f t="shared" si="1"/>
        <v>71278</v>
      </c>
      <c r="R60">
        <v>8</v>
      </c>
      <c r="S60" s="26">
        <f t="shared" si="0"/>
        <v>71730.666666666672</v>
      </c>
    </row>
    <row r="61" spans="1:19" x14ac:dyDescent="0.25">
      <c r="A61" s="14" t="s">
        <v>24</v>
      </c>
      <c r="B61" s="12">
        <v>2106</v>
      </c>
      <c r="C61" s="12">
        <v>1934</v>
      </c>
      <c r="D61" s="12">
        <v>1934</v>
      </c>
      <c r="E61" s="12">
        <v>1776</v>
      </c>
      <c r="F61" s="12">
        <v>1787</v>
      </c>
      <c r="G61" s="12">
        <v>1830</v>
      </c>
      <c r="H61" s="12">
        <v>2046</v>
      </c>
      <c r="I61" s="12">
        <v>2352</v>
      </c>
      <c r="P61">
        <f t="shared" si="4"/>
        <v>2003</v>
      </c>
      <c r="Q61">
        <f t="shared" si="1"/>
        <v>71278</v>
      </c>
      <c r="R61">
        <v>9</v>
      </c>
      <c r="S61" s="26">
        <f t="shared" si="0"/>
        <v>71795.333333333328</v>
      </c>
    </row>
    <row r="62" spans="1:19" x14ac:dyDescent="0.25">
      <c r="B62" s="9"/>
      <c r="C62" s="9"/>
      <c r="D62" s="9"/>
      <c r="E62" s="9"/>
      <c r="F62" s="9"/>
      <c r="G62" s="9"/>
      <c r="H62" s="9"/>
      <c r="I62" s="9"/>
      <c r="P62">
        <f t="shared" si="4"/>
        <v>2003</v>
      </c>
      <c r="Q62">
        <f t="shared" si="1"/>
        <v>71278</v>
      </c>
      <c r="R62">
        <v>10</v>
      </c>
      <c r="S62" s="26">
        <f t="shared" si="0"/>
        <v>71860</v>
      </c>
    </row>
    <row r="63" spans="1:19" x14ac:dyDescent="0.25">
      <c r="A63" s="14" t="s">
        <v>25</v>
      </c>
      <c r="B63" s="12">
        <v>79638</v>
      </c>
      <c r="C63" s="12">
        <v>81020</v>
      </c>
      <c r="D63" s="12">
        <v>82793</v>
      </c>
      <c r="E63" s="12">
        <v>83731</v>
      </c>
      <c r="F63" s="12">
        <v>84565</v>
      </c>
      <c r="G63" s="12">
        <v>86346</v>
      </c>
      <c r="H63" s="12">
        <v>87887</v>
      </c>
      <c r="I63" s="12">
        <v>89145</v>
      </c>
      <c r="P63">
        <f t="shared" si="4"/>
        <v>2003</v>
      </c>
      <c r="Q63">
        <f t="shared" si="1"/>
        <v>71278</v>
      </c>
      <c r="R63">
        <v>11</v>
      </c>
      <c r="S63" s="26">
        <f t="shared" si="0"/>
        <v>71924.666666666672</v>
      </c>
    </row>
    <row r="64" spans="1:19" x14ac:dyDescent="0.25">
      <c r="A64" s="15" t="s">
        <v>26</v>
      </c>
      <c r="B64" s="17">
        <v>52223</v>
      </c>
      <c r="C64" s="17">
        <v>53007</v>
      </c>
      <c r="D64" s="17">
        <v>54084</v>
      </c>
      <c r="E64" s="17">
        <v>54237</v>
      </c>
      <c r="F64" s="17">
        <v>54671</v>
      </c>
      <c r="G64" s="17">
        <v>55671</v>
      </c>
      <c r="H64" s="17">
        <v>56152</v>
      </c>
      <c r="I64" s="17">
        <v>56844</v>
      </c>
      <c r="P64">
        <f t="shared" si="4"/>
        <v>2003</v>
      </c>
      <c r="Q64">
        <f t="shared" si="1"/>
        <v>71278</v>
      </c>
      <c r="R64">
        <v>12</v>
      </c>
      <c r="S64" s="26">
        <f t="shared" si="0"/>
        <v>71989.333333333328</v>
      </c>
    </row>
    <row r="65" spans="1:19" x14ac:dyDescent="0.25">
      <c r="A65" s="14" t="s">
        <v>27</v>
      </c>
      <c r="B65" s="12">
        <v>27415</v>
      </c>
      <c r="C65" s="12">
        <v>28013</v>
      </c>
      <c r="D65" s="12">
        <v>28709</v>
      </c>
      <c r="E65" s="12">
        <v>29495</v>
      </c>
      <c r="F65" s="12">
        <v>29894</v>
      </c>
      <c r="G65" s="12">
        <v>30675</v>
      </c>
      <c r="H65" s="12">
        <v>31736</v>
      </c>
      <c r="I65" s="12">
        <v>32302</v>
      </c>
      <c r="P65">
        <f t="shared" si="4"/>
        <v>2004</v>
      </c>
      <c r="Q65">
        <f t="shared" si="1"/>
        <v>72054</v>
      </c>
      <c r="R65">
        <v>1</v>
      </c>
      <c r="S65" s="26">
        <f t="shared" si="0"/>
        <v>72054</v>
      </c>
    </row>
    <row r="66" spans="1:19" x14ac:dyDescent="0.25">
      <c r="P66">
        <f t="shared" si="4"/>
        <v>2004</v>
      </c>
      <c r="Q66">
        <f t="shared" si="1"/>
        <v>72054</v>
      </c>
      <c r="R66">
        <v>2</v>
      </c>
      <c r="S66" s="26">
        <f t="shared" si="0"/>
        <v>72180.75</v>
      </c>
    </row>
    <row r="67" spans="1:19" ht="15.75" thickBot="1" x14ac:dyDescent="0.3">
      <c r="A67" s="18"/>
      <c r="B67" s="5"/>
      <c r="C67" s="5"/>
      <c r="D67" s="5"/>
      <c r="E67" s="5"/>
      <c r="F67" s="5"/>
      <c r="G67" s="5"/>
      <c r="H67" s="5"/>
      <c r="I67" s="18"/>
      <c r="P67">
        <f t="shared" si="4"/>
        <v>2004</v>
      </c>
      <c r="Q67">
        <f t="shared" si="1"/>
        <v>72054</v>
      </c>
      <c r="R67">
        <v>3</v>
      </c>
      <c r="S67" s="26">
        <f t="shared" si="0"/>
        <v>72307.5</v>
      </c>
    </row>
    <row r="68" spans="1:19" ht="16.5" thickTop="1" thickBot="1" x14ac:dyDescent="0.3">
      <c r="A68" s="18"/>
      <c r="B68" s="7" t="s">
        <v>31</v>
      </c>
      <c r="C68" s="7">
        <v>1988</v>
      </c>
      <c r="D68" s="7">
        <v>1989</v>
      </c>
      <c r="E68" s="7" t="s">
        <v>32</v>
      </c>
      <c r="F68" s="7">
        <v>1990</v>
      </c>
      <c r="G68" s="7">
        <v>1991</v>
      </c>
      <c r="H68" s="8">
        <v>1992</v>
      </c>
      <c r="I68" s="8">
        <v>1993</v>
      </c>
      <c r="P68">
        <f t="shared" si="4"/>
        <v>2004</v>
      </c>
      <c r="Q68">
        <f t="shared" si="1"/>
        <v>72054</v>
      </c>
      <c r="R68">
        <v>4</v>
      </c>
      <c r="S68" s="26">
        <f t="shared" si="0"/>
        <v>72434.25</v>
      </c>
    </row>
    <row r="69" spans="1:19" ht="15.75" thickTop="1" x14ac:dyDescent="0.25">
      <c r="B69" s="9"/>
      <c r="C69" s="9"/>
      <c r="D69" s="9"/>
      <c r="E69" s="9"/>
      <c r="F69" s="9"/>
      <c r="G69" s="9"/>
      <c r="H69" s="9"/>
      <c r="I69" s="9"/>
      <c r="P69">
        <f t="shared" si="4"/>
        <v>2004</v>
      </c>
      <c r="Q69">
        <f t="shared" si="1"/>
        <v>72054</v>
      </c>
      <c r="R69">
        <v>5</v>
      </c>
      <c r="S69" s="26">
        <f t="shared" ref="S69:S132" si="5">(R69-1)*(Q81-Q69)/12+Q69</f>
        <v>72561</v>
      </c>
    </row>
    <row r="70" spans="1:19" x14ac:dyDescent="0.25">
      <c r="A70" s="10" t="s">
        <v>14</v>
      </c>
      <c r="B70" s="12">
        <v>101811</v>
      </c>
      <c r="C70" s="12">
        <v>103653</v>
      </c>
      <c r="D70" s="12">
        <v>104970</v>
      </c>
      <c r="E70" s="12">
        <v>105729</v>
      </c>
      <c r="F70" s="12">
        <v>106283</v>
      </c>
      <c r="G70" s="12">
        <v>107276</v>
      </c>
      <c r="H70" s="12">
        <v>108316</v>
      </c>
      <c r="I70" s="12">
        <v>109716</v>
      </c>
      <c r="P70">
        <f t="shared" si="4"/>
        <v>2004</v>
      </c>
      <c r="Q70">
        <f t="shared" ref="Q70:Q133" si="6">VLOOKUP(P70,L:M,2,0)</f>
        <v>72054</v>
      </c>
      <c r="R70">
        <v>6</v>
      </c>
      <c r="S70" s="26">
        <f t="shared" si="5"/>
        <v>72687.75</v>
      </c>
    </row>
    <row r="71" spans="1:19" x14ac:dyDescent="0.25">
      <c r="B71" s="9"/>
      <c r="C71" s="9"/>
      <c r="D71" s="9"/>
      <c r="E71" s="9"/>
      <c r="F71" s="9"/>
      <c r="G71" s="9"/>
      <c r="H71" s="9"/>
      <c r="I71" s="9"/>
      <c r="P71">
        <f t="shared" si="4"/>
        <v>2004</v>
      </c>
      <c r="Q71">
        <f t="shared" si="6"/>
        <v>72054</v>
      </c>
      <c r="R71">
        <v>7</v>
      </c>
      <c r="S71" s="26">
        <f t="shared" si="5"/>
        <v>72814.5</v>
      </c>
    </row>
    <row r="72" spans="1:19" x14ac:dyDescent="0.25">
      <c r="A72" s="14" t="s">
        <v>15</v>
      </c>
      <c r="B72" s="12">
        <v>11294</v>
      </c>
      <c r="C72" s="12">
        <v>11633</v>
      </c>
      <c r="D72" s="12">
        <v>11481</v>
      </c>
      <c r="E72" s="12">
        <v>12240</v>
      </c>
      <c r="F72" s="12">
        <v>12059</v>
      </c>
      <c r="G72" s="12">
        <v>12023</v>
      </c>
      <c r="H72" s="12">
        <v>11926</v>
      </c>
      <c r="I72" s="12">
        <v>11988</v>
      </c>
      <c r="P72">
        <f t="shared" si="4"/>
        <v>2004</v>
      </c>
      <c r="Q72">
        <f t="shared" si="6"/>
        <v>72054</v>
      </c>
      <c r="R72">
        <v>8</v>
      </c>
      <c r="S72" s="26">
        <f t="shared" si="5"/>
        <v>72941.25</v>
      </c>
    </row>
    <row r="73" spans="1:19" x14ac:dyDescent="0.25">
      <c r="A73" s="14" t="s">
        <v>16</v>
      </c>
      <c r="B73" s="12">
        <v>8265</v>
      </c>
      <c r="C73" s="12">
        <v>8533</v>
      </c>
      <c r="D73" s="12">
        <v>8518</v>
      </c>
      <c r="E73" s="12">
        <v>9349</v>
      </c>
      <c r="F73" s="12">
        <v>9128</v>
      </c>
      <c r="G73" s="12">
        <v>9137</v>
      </c>
      <c r="H73" s="12">
        <v>8932</v>
      </c>
      <c r="I73" s="12">
        <v>8883</v>
      </c>
      <c r="P73">
        <f t="shared" si="4"/>
        <v>2004</v>
      </c>
      <c r="Q73">
        <f t="shared" si="6"/>
        <v>72054</v>
      </c>
      <c r="R73">
        <v>9</v>
      </c>
      <c r="S73" s="26">
        <f t="shared" si="5"/>
        <v>73068</v>
      </c>
    </row>
    <row r="74" spans="1:19" x14ac:dyDescent="0.25">
      <c r="A74" s="14" t="s">
        <v>17</v>
      </c>
      <c r="B74" s="12">
        <v>2752</v>
      </c>
      <c r="C74" s="12">
        <v>2802</v>
      </c>
      <c r="D74" s="12">
        <v>2611</v>
      </c>
      <c r="E74" s="12">
        <v>2732</v>
      </c>
      <c r="F74" s="12">
        <v>2662</v>
      </c>
      <c r="G74" s="12">
        <v>2780</v>
      </c>
      <c r="H74" s="12">
        <v>2769</v>
      </c>
      <c r="I74" s="12">
        <v>2791</v>
      </c>
      <c r="P74">
        <f t="shared" si="4"/>
        <v>2004</v>
      </c>
      <c r="Q74">
        <f t="shared" si="6"/>
        <v>72054</v>
      </c>
      <c r="R74">
        <v>10</v>
      </c>
      <c r="S74" s="26">
        <f t="shared" si="5"/>
        <v>73194.75</v>
      </c>
    </row>
    <row r="75" spans="1:19" x14ac:dyDescent="0.25">
      <c r="A75" s="3" t="s">
        <v>18</v>
      </c>
      <c r="B75" s="12">
        <v>978</v>
      </c>
      <c r="C75" s="12">
        <v>968</v>
      </c>
      <c r="D75" s="12">
        <v>986</v>
      </c>
      <c r="E75" s="12">
        <v>1082</v>
      </c>
      <c r="F75" s="12">
        <v>1064</v>
      </c>
      <c r="G75" s="12">
        <v>1070</v>
      </c>
      <c r="H75" s="12">
        <v>970</v>
      </c>
      <c r="I75" s="12">
        <v>887</v>
      </c>
      <c r="P75">
        <f t="shared" si="4"/>
        <v>2004</v>
      </c>
      <c r="Q75">
        <f t="shared" si="6"/>
        <v>72054</v>
      </c>
      <c r="R75">
        <v>11</v>
      </c>
      <c r="S75" s="26">
        <f t="shared" si="5"/>
        <v>73321.5</v>
      </c>
    </row>
    <row r="76" spans="1:19" x14ac:dyDescent="0.25">
      <c r="A76" s="3" t="s">
        <v>19</v>
      </c>
      <c r="B76" s="9">
        <v>688</v>
      </c>
      <c r="C76" s="9">
        <v>678</v>
      </c>
      <c r="D76" s="9">
        <v>661</v>
      </c>
      <c r="E76" s="9">
        <v>705</v>
      </c>
      <c r="F76" s="9">
        <v>660</v>
      </c>
      <c r="G76" s="9">
        <v>602</v>
      </c>
      <c r="H76" s="9">
        <v>628</v>
      </c>
      <c r="I76" s="9">
        <v>624</v>
      </c>
      <c r="P76">
        <f t="shared" si="4"/>
        <v>2004</v>
      </c>
      <c r="Q76">
        <f t="shared" si="6"/>
        <v>72054</v>
      </c>
      <c r="R76">
        <v>12</v>
      </c>
      <c r="S76" s="26">
        <f t="shared" si="5"/>
        <v>73448.25</v>
      </c>
    </row>
    <row r="77" spans="1:19" x14ac:dyDescent="0.25">
      <c r="A77" s="14" t="s">
        <v>20</v>
      </c>
      <c r="B77" s="12">
        <v>3848</v>
      </c>
      <c r="C77" s="12">
        <v>4085</v>
      </c>
      <c r="D77" s="12">
        <v>4260</v>
      </c>
      <c r="E77" s="12">
        <v>4830</v>
      </c>
      <c r="F77" s="12">
        <v>4742</v>
      </c>
      <c r="G77" s="12">
        <v>4686</v>
      </c>
      <c r="H77" s="12">
        <v>4564</v>
      </c>
      <c r="I77" s="12">
        <v>4581</v>
      </c>
      <c r="P77">
        <f t="shared" si="4"/>
        <v>2005</v>
      </c>
      <c r="Q77">
        <f t="shared" si="6"/>
        <v>73575</v>
      </c>
      <c r="R77">
        <v>1</v>
      </c>
      <c r="S77" s="26">
        <f t="shared" si="5"/>
        <v>73575</v>
      </c>
    </row>
    <row r="78" spans="1:19" x14ac:dyDescent="0.25">
      <c r="A78" s="3" t="s">
        <v>21</v>
      </c>
      <c r="B78" s="12">
        <v>1066</v>
      </c>
      <c r="C78" s="12">
        <v>1213</v>
      </c>
      <c r="D78" s="12">
        <v>1297</v>
      </c>
      <c r="E78" s="12">
        <v>1565</v>
      </c>
      <c r="F78" s="12">
        <v>1485</v>
      </c>
      <c r="G78" s="12">
        <v>1494</v>
      </c>
      <c r="H78" s="12">
        <v>1443</v>
      </c>
      <c r="I78" s="12">
        <v>1510</v>
      </c>
      <c r="P78">
        <f t="shared" si="4"/>
        <v>2005</v>
      </c>
      <c r="Q78">
        <f t="shared" si="6"/>
        <v>73575</v>
      </c>
      <c r="R78">
        <v>2</v>
      </c>
      <c r="S78" s="26">
        <f t="shared" si="5"/>
        <v>73656.5</v>
      </c>
    </row>
    <row r="79" spans="1:19" x14ac:dyDescent="0.25">
      <c r="A79" s="3" t="s">
        <v>22</v>
      </c>
      <c r="B79" s="12">
        <v>787</v>
      </c>
      <c r="C79" s="12">
        <v>887</v>
      </c>
      <c r="D79" s="12">
        <v>948</v>
      </c>
      <c r="E79" s="12">
        <v>1014</v>
      </c>
      <c r="F79" s="12">
        <v>1068</v>
      </c>
      <c r="G79" s="12">
        <v>1084</v>
      </c>
      <c r="H79" s="12">
        <v>1011</v>
      </c>
      <c r="I79" s="12">
        <v>980</v>
      </c>
      <c r="P79">
        <f t="shared" si="4"/>
        <v>2005</v>
      </c>
      <c r="Q79">
        <f t="shared" si="6"/>
        <v>73575</v>
      </c>
      <c r="R79">
        <v>3</v>
      </c>
      <c r="S79" s="26">
        <f t="shared" si="5"/>
        <v>73738</v>
      </c>
    </row>
    <row r="80" spans="1:19" x14ac:dyDescent="0.25">
      <c r="A80" s="14" t="s">
        <v>23</v>
      </c>
      <c r="B80" s="12">
        <v>1996</v>
      </c>
      <c r="C80" s="12">
        <v>1985</v>
      </c>
      <c r="D80" s="12">
        <v>2014</v>
      </c>
      <c r="E80" s="12">
        <v>2251</v>
      </c>
      <c r="F80" s="12">
        <v>2189</v>
      </c>
      <c r="G80" s="12">
        <v>2107</v>
      </c>
      <c r="H80" s="12">
        <v>2111</v>
      </c>
      <c r="I80" s="12">
        <v>2091</v>
      </c>
      <c r="P80">
        <f t="shared" si="4"/>
        <v>2005</v>
      </c>
      <c r="Q80">
        <f t="shared" si="6"/>
        <v>73575</v>
      </c>
      <c r="R80">
        <v>4</v>
      </c>
      <c r="S80" s="26">
        <f t="shared" si="5"/>
        <v>73819.5</v>
      </c>
    </row>
    <row r="81" spans="1:19" x14ac:dyDescent="0.25">
      <c r="B81" s="9"/>
      <c r="C81" s="9"/>
      <c r="D81" s="9"/>
      <c r="E81" s="9"/>
      <c r="F81" s="9"/>
      <c r="G81" s="9"/>
      <c r="H81" s="9"/>
      <c r="I81" s="9"/>
      <c r="P81">
        <f t="shared" si="4"/>
        <v>2005</v>
      </c>
      <c r="Q81">
        <f t="shared" si="6"/>
        <v>73575</v>
      </c>
      <c r="R81">
        <v>5</v>
      </c>
      <c r="S81" s="26">
        <f t="shared" si="5"/>
        <v>73901</v>
      </c>
    </row>
    <row r="82" spans="1:19" x14ac:dyDescent="0.25">
      <c r="A82" s="14" t="s">
        <v>24</v>
      </c>
      <c r="B82" s="12">
        <v>3029</v>
      </c>
      <c r="C82" s="12">
        <v>3100</v>
      </c>
      <c r="D82" s="12">
        <v>2963</v>
      </c>
      <c r="E82" s="12">
        <v>2891</v>
      </c>
      <c r="F82" s="12">
        <v>2931</v>
      </c>
      <c r="G82" s="12">
        <v>2886</v>
      </c>
      <c r="H82" s="12">
        <v>2994</v>
      </c>
      <c r="I82" s="12">
        <v>3105</v>
      </c>
      <c r="P82">
        <f t="shared" si="4"/>
        <v>2005</v>
      </c>
      <c r="Q82">
        <f t="shared" si="6"/>
        <v>73575</v>
      </c>
      <c r="R82">
        <v>6</v>
      </c>
      <c r="S82" s="26">
        <f t="shared" si="5"/>
        <v>73982.5</v>
      </c>
    </row>
    <row r="83" spans="1:19" x14ac:dyDescent="0.25">
      <c r="B83" s="9"/>
      <c r="C83" s="9"/>
      <c r="D83" s="9"/>
      <c r="E83" s="9"/>
      <c r="F83" s="9"/>
      <c r="G83" s="9"/>
      <c r="H83" s="9"/>
      <c r="I83" s="9"/>
      <c r="P83">
        <f t="shared" si="4"/>
        <v>2005</v>
      </c>
      <c r="Q83">
        <f t="shared" si="6"/>
        <v>73575</v>
      </c>
      <c r="R83">
        <v>7</v>
      </c>
      <c r="S83" s="26">
        <f t="shared" si="5"/>
        <v>74064</v>
      </c>
    </row>
    <row r="84" spans="1:19" x14ac:dyDescent="0.25">
      <c r="A84" s="14" t="s">
        <v>25</v>
      </c>
      <c r="B84" s="12">
        <v>90517</v>
      </c>
      <c r="C84" s="12">
        <v>92020</v>
      </c>
      <c r="D84" s="12">
        <v>93489</v>
      </c>
      <c r="E84" s="12">
        <v>93489</v>
      </c>
      <c r="F84" s="12">
        <v>94224</v>
      </c>
      <c r="G84" s="12">
        <v>95253</v>
      </c>
      <c r="H84" s="12">
        <v>96391</v>
      </c>
      <c r="I84" s="12">
        <v>97728</v>
      </c>
      <c r="P84">
        <f t="shared" si="4"/>
        <v>2005</v>
      </c>
      <c r="Q84">
        <f t="shared" si="6"/>
        <v>73575</v>
      </c>
      <c r="R84">
        <v>8</v>
      </c>
      <c r="S84" s="26">
        <f t="shared" si="5"/>
        <v>74145.5</v>
      </c>
    </row>
    <row r="85" spans="1:19" x14ac:dyDescent="0.25">
      <c r="A85" s="15" t="s">
        <v>26</v>
      </c>
      <c r="B85" s="17">
        <v>57915</v>
      </c>
      <c r="C85" s="17">
        <v>58700</v>
      </c>
      <c r="D85" s="17">
        <v>59755</v>
      </c>
      <c r="E85" s="17">
        <v>59755</v>
      </c>
      <c r="F85" s="17">
        <v>60248</v>
      </c>
      <c r="G85" s="17">
        <v>61010</v>
      </c>
      <c r="H85" s="17">
        <v>61823</v>
      </c>
      <c r="I85" s="17">
        <v>62998</v>
      </c>
      <c r="P85">
        <f t="shared" si="4"/>
        <v>2005</v>
      </c>
      <c r="Q85">
        <f t="shared" si="6"/>
        <v>73575</v>
      </c>
      <c r="R85">
        <v>9</v>
      </c>
      <c r="S85" s="26">
        <f t="shared" si="5"/>
        <v>74227</v>
      </c>
    </row>
    <row r="86" spans="1:19" x14ac:dyDescent="0.25">
      <c r="A86" s="14" t="s">
        <v>27</v>
      </c>
      <c r="B86" s="12">
        <v>32602</v>
      </c>
      <c r="C86" s="12">
        <v>33320</v>
      </c>
      <c r="D86" s="12">
        <v>33734</v>
      </c>
      <c r="E86" s="12">
        <v>33734</v>
      </c>
      <c r="F86" s="12">
        <v>33976</v>
      </c>
      <c r="G86" s="12">
        <v>34242</v>
      </c>
      <c r="H86" s="12">
        <v>34568</v>
      </c>
      <c r="I86" s="12">
        <v>34730</v>
      </c>
      <c r="P86">
        <f t="shared" si="4"/>
        <v>2005</v>
      </c>
      <c r="Q86">
        <f t="shared" si="6"/>
        <v>73575</v>
      </c>
      <c r="R86">
        <v>10</v>
      </c>
      <c r="S86" s="26">
        <f t="shared" si="5"/>
        <v>74308.5</v>
      </c>
    </row>
    <row r="87" spans="1:19" x14ac:dyDescent="0.25">
      <c r="B87" s="9"/>
      <c r="C87" s="9"/>
      <c r="D87" s="9"/>
      <c r="E87" s="9"/>
      <c r="F87" s="9"/>
      <c r="G87" s="9"/>
      <c r="P87">
        <f t="shared" si="4"/>
        <v>2005</v>
      </c>
      <c r="Q87">
        <f t="shared" si="6"/>
        <v>73575</v>
      </c>
      <c r="R87">
        <v>11</v>
      </c>
      <c r="S87" s="26">
        <f t="shared" si="5"/>
        <v>74390</v>
      </c>
    </row>
    <row r="88" spans="1:19" ht="15.75" thickBot="1" x14ac:dyDescent="0.3">
      <c r="B88" s="9"/>
      <c r="C88" s="9"/>
      <c r="D88" s="9"/>
      <c r="E88" s="9"/>
      <c r="F88" s="9"/>
      <c r="G88" s="9"/>
      <c r="P88">
        <f t="shared" si="4"/>
        <v>2005</v>
      </c>
      <c r="Q88">
        <f t="shared" si="6"/>
        <v>73575</v>
      </c>
      <c r="R88">
        <v>12</v>
      </c>
      <c r="S88" s="26">
        <f t="shared" si="5"/>
        <v>74471.5</v>
      </c>
    </row>
    <row r="89" spans="1:19" ht="16.5" thickTop="1" thickBot="1" x14ac:dyDescent="0.3">
      <c r="A89" s="18"/>
      <c r="B89" s="7" t="s">
        <v>33</v>
      </c>
      <c r="C89" s="7">
        <v>1994</v>
      </c>
      <c r="D89" s="7">
        <v>1995</v>
      </c>
      <c r="E89" s="7">
        <v>1996</v>
      </c>
      <c r="F89" s="7">
        <v>1997</v>
      </c>
      <c r="G89" s="7">
        <v>1998</v>
      </c>
      <c r="H89" s="8">
        <v>1999</v>
      </c>
      <c r="I89" s="8">
        <v>2000</v>
      </c>
      <c r="P89">
        <f t="shared" si="4"/>
        <v>2006</v>
      </c>
      <c r="Q89">
        <f t="shared" si="6"/>
        <v>74553</v>
      </c>
      <c r="R89">
        <v>1</v>
      </c>
      <c r="S89" s="26">
        <f t="shared" si="5"/>
        <v>74553</v>
      </c>
    </row>
    <row r="90" spans="1:19" ht="15.75" thickTop="1" x14ac:dyDescent="0.25">
      <c r="B90" s="9"/>
      <c r="C90" s="9"/>
      <c r="D90" s="9"/>
      <c r="E90" s="9"/>
      <c r="F90" s="9"/>
      <c r="G90" s="9"/>
      <c r="H90" s="9"/>
      <c r="I90" s="9"/>
      <c r="P90">
        <f t="shared" si="4"/>
        <v>2006</v>
      </c>
      <c r="Q90">
        <f t="shared" si="6"/>
        <v>74553</v>
      </c>
      <c r="R90">
        <v>2</v>
      </c>
      <c r="S90" s="26">
        <f t="shared" si="5"/>
        <v>74621.916666666672</v>
      </c>
    </row>
    <row r="91" spans="1:19" x14ac:dyDescent="0.25">
      <c r="A91" s="10" t="s">
        <v>14</v>
      </c>
      <c r="B91" s="12">
        <v>109611</v>
      </c>
      <c r="C91" s="12">
        <v>110952</v>
      </c>
      <c r="D91" s="12">
        <v>112655</v>
      </c>
      <c r="E91" s="12">
        <v>114139</v>
      </c>
      <c r="F91" s="12">
        <v>115621</v>
      </c>
      <c r="G91" s="12">
        <v>117282</v>
      </c>
      <c r="H91" s="12">
        <v>119044</v>
      </c>
      <c r="I91" s="12">
        <v>119628</v>
      </c>
      <c r="P91">
        <f t="shared" si="4"/>
        <v>2006</v>
      </c>
      <c r="Q91">
        <f t="shared" si="6"/>
        <v>74553</v>
      </c>
      <c r="R91">
        <v>3</v>
      </c>
      <c r="S91" s="26">
        <f t="shared" si="5"/>
        <v>74690.833333333328</v>
      </c>
    </row>
    <row r="92" spans="1:19" x14ac:dyDescent="0.25">
      <c r="B92" s="9"/>
      <c r="C92" s="9"/>
      <c r="D92" s="9"/>
      <c r="E92" s="9"/>
      <c r="P92">
        <f t="shared" si="4"/>
        <v>2006</v>
      </c>
      <c r="Q92">
        <f t="shared" si="6"/>
        <v>74553</v>
      </c>
      <c r="R92">
        <v>4</v>
      </c>
      <c r="S92" s="26">
        <f t="shared" si="5"/>
        <v>74759.75</v>
      </c>
    </row>
    <row r="93" spans="1:19" x14ac:dyDescent="0.25">
      <c r="A93" s="14" t="s">
        <v>15</v>
      </c>
      <c r="B93" s="12">
        <v>11894</v>
      </c>
      <c r="C93" s="12">
        <v>12257</v>
      </c>
      <c r="D93" s="12">
        <v>12669</v>
      </c>
      <c r="E93" s="12">
        <v>13155</v>
      </c>
      <c r="F93" s="9">
        <f>+F94+F103</f>
        <v>13419</v>
      </c>
      <c r="G93" s="9">
        <f>+G94+G103</f>
        <v>13748</v>
      </c>
      <c r="H93" s="9">
        <f>+H94+H103</f>
        <v>14116</v>
      </c>
      <c r="I93" s="9">
        <f>+I94+I103</f>
        <v>13908</v>
      </c>
      <c r="P93">
        <f t="shared" si="4"/>
        <v>2006</v>
      </c>
      <c r="Q93">
        <f t="shared" si="6"/>
        <v>74553</v>
      </c>
      <c r="R93">
        <v>5</v>
      </c>
      <c r="S93" s="26">
        <f t="shared" si="5"/>
        <v>74828.666666666672</v>
      </c>
    </row>
    <row r="94" spans="1:19" x14ac:dyDescent="0.25">
      <c r="A94" s="14" t="s">
        <v>16</v>
      </c>
      <c r="B94" s="12">
        <v>8937</v>
      </c>
      <c r="C94" s="12">
        <v>9229</v>
      </c>
      <c r="D94" s="12">
        <v>9570</v>
      </c>
      <c r="E94" s="12">
        <v>9945</v>
      </c>
      <c r="F94" s="12">
        <v>10114</v>
      </c>
      <c r="G94" s="12">
        <v>10516</v>
      </c>
      <c r="H94" s="12">
        <v>10848</v>
      </c>
      <c r="I94" s="12">
        <v>10439</v>
      </c>
      <c r="P94">
        <f t="shared" ref="P94:P157" si="7">IF(R94&gt;1,P93,P93+1)</f>
        <v>2006</v>
      </c>
      <c r="Q94">
        <f t="shared" si="6"/>
        <v>74553</v>
      </c>
      <c r="R94">
        <v>6</v>
      </c>
      <c r="S94" s="26">
        <f t="shared" si="5"/>
        <v>74897.583333333328</v>
      </c>
    </row>
    <row r="95" spans="1:19" x14ac:dyDescent="0.25">
      <c r="A95" s="14" t="s">
        <v>17</v>
      </c>
      <c r="B95" s="12">
        <v>2809</v>
      </c>
      <c r="C95" s="12">
        <v>2858</v>
      </c>
      <c r="D95" s="12">
        <v>2946</v>
      </c>
      <c r="E95" s="12">
        <v>3008</v>
      </c>
      <c r="F95" s="12">
        <v>2978</v>
      </c>
      <c r="G95" s="12">
        <v>3046</v>
      </c>
      <c r="H95" s="12">
        <v>3119</v>
      </c>
      <c r="I95" s="12">
        <v>3024</v>
      </c>
      <c r="P95">
        <f t="shared" si="7"/>
        <v>2006</v>
      </c>
      <c r="Q95">
        <f t="shared" si="6"/>
        <v>74553</v>
      </c>
      <c r="R95">
        <v>7</v>
      </c>
      <c r="S95" s="26">
        <f t="shared" si="5"/>
        <v>74966.5</v>
      </c>
    </row>
    <row r="96" spans="1:19" x14ac:dyDescent="0.25">
      <c r="A96" s="3" t="s">
        <v>18</v>
      </c>
      <c r="B96" s="12">
        <v>894</v>
      </c>
      <c r="C96" s="12">
        <v>953</v>
      </c>
      <c r="D96" s="12">
        <v>1022</v>
      </c>
      <c r="E96" s="12">
        <v>1082</v>
      </c>
      <c r="F96" s="12">
        <v>1133</v>
      </c>
      <c r="G96" s="12">
        <v>1205</v>
      </c>
      <c r="H96" s="12">
        <v>1184</v>
      </c>
      <c r="I96" s="12">
        <v>1148</v>
      </c>
      <c r="P96">
        <f t="shared" si="7"/>
        <v>2006</v>
      </c>
      <c r="Q96">
        <f t="shared" si="6"/>
        <v>74553</v>
      </c>
      <c r="R96">
        <v>8</v>
      </c>
      <c r="S96" s="26">
        <f t="shared" si="5"/>
        <v>75035.416666666672</v>
      </c>
    </row>
    <row r="97" spans="1:19" x14ac:dyDescent="0.25">
      <c r="A97" s="3" t="s">
        <v>19</v>
      </c>
      <c r="B97" s="9">
        <v>625</v>
      </c>
      <c r="C97" s="9">
        <v>772</v>
      </c>
      <c r="D97" s="9">
        <v>810</v>
      </c>
      <c r="E97" s="9">
        <v>834</v>
      </c>
      <c r="F97" s="9">
        <v>867</v>
      </c>
      <c r="G97" s="9">
        <v>927</v>
      </c>
      <c r="H97" s="9">
        <v>956</v>
      </c>
      <c r="I97" s="9">
        <v>856</v>
      </c>
      <c r="P97">
        <f t="shared" si="7"/>
        <v>2006</v>
      </c>
      <c r="Q97">
        <f t="shared" si="6"/>
        <v>74553</v>
      </c>
      <c r="R97">
        <v>9</v>
      </c>
      <c r="S97" s="26">
        <f t="shared" si="5"/>
        <v>75104.333333333328</v>
      </c>
    </row>
    <row r="98" spans="1:19" x14ac:dyDescent="0.25">
      <c r="A98" s="14" t="s">
        <v>20</v>
      </c>
      <c r="B98" s="12">
        <v>4609</v>
      </c>
      <c r="C98" s="12">
        <v>4646</v>
      </c>
      <c r="D98" s="12">
        <v>4793</v>
      </c>
      <c r="E98" s="12">
        <v>5022</v>
      </c>
      <c r="F98" s="12">
        <v>5136</v>
      </c>
      <c r="G98" s="12">
        <v>5338</v>
      </c>
      <c r="H98" s="12">
        <v>5589</v>
      </c>
      <c r="I98" s="12">
        <v>5411</v>
      </c>
      <c r="P98">
        <f t="shared" si="7"/>
        <v>2006</v>
      </c>
      <c r="Q98">
        <f t="shared" si="6"/>
        <v>74553</v>
      </c>
      <c r="R98">
        <v>10</v>
      </c>
      <c r="S98" s="26">
        <f t="shared" si="5"/>
        <v>75173.25</v>
      </c>
    </row>
    <row r="99" spans="1:19" x14ac:dyDescent="0.25">
      <c r="A99" s="3" t="s">
        <v>21</v>
      </c>
      <c r="B99" s="12">
        <v>1508</v>
      </c>
      <c r="C99" s="12">
        <v>1612</v>
      </c>
      <c r="D99" s="12">
        <v>1667</v>
      </c>
      <c r="E99" s="12">
        <v>1709</v>
      </c>
      <c r="F99" s="12">
        <v>1818</v>
      </c>
      <c r="G99" s="12">
        <v>1792</v>
      </c>
      <c r="H99" s="12">
        <v>1948</v>
      </c>
      <c r="I99" s="12">
        <v>1892</v>
      </c>
      <c r="P99">
        <f t="shared" si="7"/>
        <v>2006</v>
      </c>
      <c r="Q99">
        <f t="shared" si="6"/>
        <v>74553</v>
      </c>
      <c r="R99">
        <v>11</v>
      </c>
      <c r="S99" s="26">
        <f t="shared" si="5"/>
        <v>75242.166666666672</v>
      </c>
    </row>
    <row r="100" spans="1:19" x14ac:dyDescent="0.25">
      <c r="A100" s="3" t="s">
        <v>22</v>
      </c>
      <c r="B100" s="12">
        <v>994</v>
      </c>
      <c r="C100" s="12">
        <v>815</v>
      </c>
      <c r="D100" s="12">
        <v>801</v>
      </c>
      <c r="E100" s="12">
        <v>852</v>
      </c>
      <c r="F100" s="12">
        <v>885</v>
      </c>
      <c r="G100" s="12">
        <v>910</v>
      </c>
      <c r="H100" s="12">
        <v>965</v>
      </c>
      <c r="I100" s="12">
        <v>1037</v>
      </c>
      <c r="P100">
        <f t="shared" si="7"/>
        <v>2006</v>
      </c>
      <c r="Q100">
        <f t="shared" si="6"/>
        <v>74553</v>
      </c>
      <c r="R100">
        <v>12</v>
      </c>
      <c r="S100" s="26">
        <f t="shared" si="5"/>
        <v>75311.083333333328</v>
      </c>
    </row>
    <row r="101" spans="1:19" x14ac:dyDescent="0.25">
      <c r="A101" s="14" t="s">
        <v>23</v>
      </c>
      <c r="B101" s="12">
        <v>2108</v>
      </c>
      <c r="C101" s="12">
        <v>2219</v>
      </c>
      <c r="D101" s="12">
        <v>2325</v>
      </c>
      <c r="E101" s="12">
        <v>2461</v>
      </c>
      <c r="F101" s="12">
        <v>2433</v>
      </c>
      <c r="G101" s="12">
        <v>2636</v>
      </c>
      <c r="H101" s="12">
        <v>2676</v>
      </c>
      <c r="I101" s="12">
        <v>2482</v>
      </c>
      <c r="P101">
        <f t="shared" si="7"/>
        <v>2007</v>
      </c>
      <c r="Q101">
        <f t="shared" si="6"/>
        <v>75380</v>
      </c>
      <c r="R101">
        <v>1</v>
      </c>
      <c r="S101" s="26">
        <f t="shared" si="5"/>
        <v>75380</v>
      </c>
    </row>
    <row r="102" spans="1:19" x14ac:dyDescent="0.25">
      <c r="B102" s="9"/>
      <c r="C102" s="9"/>
      <c r="D102" s="9"/>
      <c r="E102" s="9"/>
      <c r="F102" s="9"/>
      <c r="G102" s="9"/>
      <c r="H102" s="9"/>
      <c r="I102" s="9"/>
      <c r="P102">
        <f t="shared" si="7"/>
        <v>2007</v>
      </c>
      <c r="Q102">
        <f t="shared" si="6"/>
        <v>75380</v>
      </c>
      <c r="R102">
        <v>2</v>
      </c>
      <c r="S102" s="26">
        <f t="shared" si="5"/>
        <v>75361.583333333328</v>
      </c>
    </row>
    <row r="103" spans="1:19" x14ac:dyDescent="0.25">
      <c r="A103" s="14" t="s">
        <v>24</v>
      </c>
      <c r="B103" s="12">
        <v>2957</v>
      </c>
      <c r="C103" s="12">
        <v>3028</v>
      </c>
      <c r="D103" s="12">
        <v>3099</v>
      </c>
      <c r="E103" s="12">
        <v>3209</v>
      </c>
      <c r="F103" s="12">
        <v>3305</v>
      </c>
      <c r="G103" s="12">
        <v>3232</v>
      </c>
      <c r="H103" s="12">
        <v>3268</v>
      </c>
      <c r="I103" s="12">
        <v>3469</v>
      </c>
      <c r="P103">
        <f t="shared" si="7"/>
        <v>2007</v>
      </c>
      <c r="Q103">
        <f t="shared" si="6"/>
        <v>75380</v>
      </c>
      <c r="R103">
        <v>3</v>
      </c>
      <c r="S103" s="26">
        <f t="shared" si="5"/>
        <v>75343.166666666672</v>
      </c>
    </row>
    <row r="104" spans="1:19" x14ac:dyDescent="0.25">
      <c r="B104" s="9"/>
      <c r="C104" s="9"/>
      <c r="D104" s="9"/>
      <c r="E104" s="9"/>
      <c r="F104" s="12"/>
      <c r="G104" s="12"/>
      <c r="H104" s="12"/>
      <c r="I104" s="12"/>
      <c r="P104">
        <f t="shared" si="7"/>
        <v>2007</v>
      </c>
      <c r="Q104">
        <f t="shared" si="6"/>
        <v>75380</v>
      </c>
      <c r="R104">
        <v>4</v>
      </c>
      <c r="S104" s="26">
        <f t="shared" si="5"/>
        <v>75324.75</v>
      </c>
    </row>
    <row r="105" spans="1:19" x14ac:dyDescent="0.25">
      <c r="A105" s="14" t="s">
        <v>25</v>
      </c>
      <c r="B105" s="12">
        <v>97717</v>
      </c>
      <c r="C105" s="12">
        <v>98695</v>
      </c>
      <c r="D105" s="12">
        <v>99985</v>
      </c>
      <c r="E105" s="12">
        <v>100984</v>
      </c>
      <c r="F105" s="12">
        <v>102202</v>
      </c>
      <c r="G105" s="12">
        <v>103534</v>
      </c>
      <c r="H105" s="12">
        <v>104928</v>
      </c>
      <c r="I105" s="12">
        <v>105720</v>
      </c>
      <c r="P105">
        <f t="shared" si="7"/>
        <v>2007</v>
      </c>
      <c r="Q105">
        <f t="shared" si="6"/>
        <v>75380</v>
      </c>
      <c r="R105">
        <v>5</v>
      </c>
      <c r="S105" s="26">
        <f t="shared" si="5"/>
        <v>75306.333333333328</v>
      </c>
    </row>
    <row r="106" spans="1:19" x14ac:dyDescent="0.25">
      <c r="A106" s="15" t="s">
        <v>26</v>
      </c>
      <c r="B106" s="17">
        <v>62533</v>
      </c>
      <c r="C106" s="17">
        <v>63136</v>
      </c>
      <c r="D106" s="17">
        <v>64739</v>
      </c>
      <c r="E106" s="17">
        <v>66041</v>
      </c>
      <c r="F106" s="17">
        <v>67143</v>
      </c>
      <c r="G106" s="17">
        <v>68638</v>
      </c>
      <c r="H106" s="17">
        <v>70097</v>
      </c>
      <c r="I106" s="17">
        <v>71250</v>
      </c>
      <c r="P106">
        <f t="shared" si="7"/>
        <v>2007</v>
      </c>
      <c r="Q106">
        <f t="shared" si="6"/>
        <v>75380</v>
      </c>
      <c r="R106">
        <v>6</v>
      </c>
      <c r="S106" s="26">
        <f t="shared" si="5"/>
        <v>75287.916666666672</v>
      </c>
    </row>
    <row r="107" spans="1:19" x14ac:dyDescent="0.25">
      <c r="A107" s="14" t="s">
        <v>27</v>
      </c>
      <c r="B107" s="12">
        <v>35184</v>
      </c>
      <c r="C107" s="12">
        <v>35558</v>
      </c>
      <c r="D107" s="12">
        <v>35246</v>
      </c>
      <c r="E107" s="12">
        <v>34943</v>
      </c>
      <c r="F107" s="12">
        <v>35059</v>
      </c>
      <c r="G107" s="12">
        <v>34896</v>
      </c>
      <c r="H107" s="12">
        <v>34831</v>
      </c>
      <c r="I107" s="12">
        <v>34470</v>
      </c>
      <c r="P107">
        <f t="shared" si="7"/>
        <v>2007</v>
      </c>
      <c r="Q107">
        <f t="shared" si="6"/>
        <v>75380</v>
      </c>
      <c r="R107">
        <v>7</v>
      </c>
      <c r="S107" s="26">
        <f t="shared" si="5"/>
        <v>75269.5</v>
      </c>
    </row>
    <row r="108" spans="1:19" x14ac:dyDescent="0.25">
      <c r="B108" s="9"/>
      <c r="C108" s="9"/>
      <c r="D108" s="9"/>
      <c r="E108" s="9"/>
      <c r="F108" s="9"/>
      <c r="G108" s="9"/>
      <c r="P108">
        <f t="shared" si="7"/>
        <v>2007</v>
      </c>
      <c r="Q108">
        <f t="shared" si="6"/>
        <v>75380</v>
      </c>
      <c r="R108">
        <v>8</v>
      </c>
      <c r="S108" s="26">
        <f t="shared" si="5"/>
        <v>75251.083333333328</v>
      </c>
    </row>
    <row r="109" spans="1:19" ht="15.75" thickBot="1" x14ac:dyDescent="0.3">
      <c r="B109" s="9"/>
      <c r="C109" s="9"/>
      <c r="D109" s="9"/>
      <c r="E109" s="9"/>
      <c r="F109" s="9"/>
      <c r="G109" s="9"/>
      <c r="P109">
        <f t="shared" si="7"/>
        <v>2007</v>
      </c>
      <c r="Q109">
        <f t="shared" si="6"/>
        <v>75380</v>
      </c>
      <c r="R109">
        <v>9</v>
      </c>
      <c r="S109" s="26">
        <f t="shared" si="5"/>
        <v>75232.666666666672</v>
      </c>
    </row>
    <row r="110" spans="1:19" ht="16.5" thickTop="1" thickBot="1" x14ac:dyDescent="0.3">
      <c r="A110" s="5"/>
      <c r="B110" s="7">
        <v>2001</v>
      </c>
      <c r="C110" s="7">
        <v>2002</v>
      </c>
      <c r="D110" s="7" t="s">
        <v>34</v>
      </c>
      <c r="E110" s="7">
        <v>2003</v>
      </c>
      <c r="F110" s="7">
        <v>2004</v>
      </c>
      <c r="G110" s="7">
        <v>2005</v>
      </c>
      <c r="H110" s="8">
        <v>2006</v>
      </c>
      <c r="I110" s="8">
        <v>2007</v>
      </c>
      <c r="P110">
        <f t="shared" si="7"/>
        <v>2007</v>
      </c>
      <c r="Q110">
        <f t="shared" si="6"/>
        <v>75380</v>
      </c>
      <c r="R110">
        <v>10</v>
      </c>
      <c r="S110" s="26">
        <f t="shared" si="5"/>
        <v>75214.25</v>
      </c>
    </row>
    <row r="111" spans="1:19" ht="15.75" thickTop="1" x14ac:dyDescent="0.25">
      <c r="B111" s="9"/>
      <c r="C111" s="9"/>
      <c r="P111">
        <f t="shared" si="7"/>
        <v>2007</v>
      </c>
      <c r="Q111">
        <f t="shared" si="6"/>
        <v>75380</v>
      </c>
      <c r="R111">
        <v>11</v>
      </c>
      <c r="S111" s="26">
        <f t="shared" si="5"/>
        <v>75195.833333333328</v>
      </c>
    </row>
    <row r="112" spans="1:19" x14ac:dyDescent="0.25">
      <c r="A112" s="10" t="s">
        <v>14</v>
      </c>
      <c r="B112" s="12">
        <v>121480</v>
      </c>
      <c r="C112" s="12">
        <v>123318</v>
      </c>
      <c r="D112" s="12">
        <v>119297</v>
      </c>
      <c r="E112" s="12">
        <v>120834</v>
      </c>
      <c r="F112" s="12">
        <v>122187</v>
      </c>
      <c r="G112" s="11">
        <v>123925</v>
      </c>
      <c r="H112" s="11">
        <f>+H115+H124+H126</f>
        <v>126012</v>
      </c>
      <c r="I112" s="9">
        <v>127958</v>
      </c>
      <c r="P112">
        <f t="shared" si="7"/>
        <v>2007</v>
      </c>
      <c r="Q112">
        <f t="shared" si="6"/>
        <v>75380</v>
      </c>
      <c r="R112">
        <v>12</v>
      </c>
      <c r="S112" s="26">
        <f t="shared" si="5"/>
        <v>75177.416666666672</v>
      </c>
    </row>
    <row r="113" spans="1:19" x14ac:dyDescent="0.25">
      <c r="P113">
        <f t="shared" si="7"/>
        <v>2008</v>
      </c>
      <c r="Q113">
        <f t="shared" si="6"/>
        <v>75159</v>
      </c>
      <c r="R113">
        <v>1</v>
      </c>
      <c r="S113" s="26">
        <f t="shared" si="5"/>
        <v>75159</v>
      </c>
    </row>
    <row r="114" spans="1:19" x14ac:dyDescent="0.25">
      <c r="A114" s="14" t="s">
        <v>15</v>
      </c>
      <c r="B114" s="9">
        <f>+B115+B124</f>
        <v>14470</v>
      </c>
      <c r="C114" s="9">
        <f t="shared" ref="C114:I114" si="8">+C115+C124</f>
        <v>14779</v>
      </c>
      <c r="D114" s="9">
        <f t="shared" si="8"/>
        <v>14332</v>
      </c>
      <c r="E114" s="9">
        <f t="shared" si="8"/>
        <v>15274</v>
      </c>
      <c r="F114" s="9">
        <f t="shared" si="8"/>
        <v>15599</v>
      </c>
      <c r="G114" s="9">
        <f t="shared" si="8"/>
        <v>15694</v>
      </c>
      <c r="H114" s="9">
        <f t="shared" si="8"/>
        <v>16437</v>
      </c>
      <c r="I114" s="9">
        <f t="shared" si="8"/>
        <v>17652</v>
      </c>
      <c r="P114">
        <f t="shared" si="7"/>
        <v>2008</v>
      </c>
      <c r="Q114">
        <f t="shared" si="6"/>
        <v>75159</v>
      </c>
      <c r="R114">
        <v>2</v>
      </c>
      <c r="S114" s="26">
        <f t="shared" si="5"/>
        <v>75192.916666666672</v>
      </c>
    </row>
    <row r="115" spans="1:19" x14ac:dyDescent="0.25">
      <c r="A115" s="14" t="s">
        <v>16</v>
      </c>
      <c r="B115" s="12">
        <v>10916</v>
      </c>
      <c r="C115" s="12">
        <v>11272</v>
      </c>
      <c r="D115" s="12">
        <v>10771</v>
      </c>
      <c r="E115" s="12">
        <v>11631</v>
      </c>
      <c r="F115" s="12">
        <v>11884</v>
      </c>
      <c r="G115" s="11">
        <v>11916</v>
      </c>
      <c r="H115" s="11">
        <f>SUM(H116:H119)</f>
        <v>12459</v>
      </c>
      <c r="I115" s="9">
        <v>13276</v>
      </c>
      <c r="P115">
        <f t="shared" si="7"/>
        <v>2008</v>
      </c>
      <c r="Q115">
        <f t="shared" si="6"/>
        <v>75159</v>
      </c>
      <c r="R115">
        <v>3</v>
      </c>
      <c r="S115" s="26">
        <f t="shared" si="5"/>
        <v>75226.833333333328</v>
      </c>
    </row>
    <row r="116" spans="1:19" x14ac:dyDescent="0.25">
      <c r="A116" s="14" t="s">
        <v>17</v>
      </c>
      <c r="B116" s="12">
        <v>3203</v>
      </c>
      <c r="C116" s="12">
        <v>3497</v>
      </c>
      <c r="D116" s="12">
        <v>3347</v>
      </c>
      <c r="E116" s="12">
        <v>3676</v>
      </c>
      <c r="F116" s="12">
        <v>3802</v>
      </c>
      <c r="G116" s="11">
        <v>3721</v>
      </c>
      <c r="H116" s="11">
        <v>3737</v>
      </c>
      <c r="I116" s="9">
        <v>3848</v>
      </c>
      <c r="P116">
        <f t="shared" si="7"/>
        <v>2008</v>
      </c>
      <c r="Q116">
        <f t="shared" si="6"/>
        <v>75159</v>
      </c>
      <c r="R116">
        <v>4</v>
      </c>
      <c r="S116" s="26">
        <f t="shared" si="5"/>
        <v>75260.75</v>
      </c>
    </row>
    <row r="117" spans="1:19" x14ac:dyDescent="0.25">
      <c r="A117" s="3" t="s">
        <v>18</v>
      </c>
      <c r="B117" s="12">
        <v>1301</v>
      </c>
      <c r="C117" s="12">
        <v>1277</v>
      </c>
      <c r="D117" s="12">
        <v>1220</v>
      </c>
      <c r="E117" s="12">
        <v>1308</v>
      </c>
      <c r="F117" s="12">
        <v>1307</v>
      </c>
      <c r="G117" s="11">
        <v>1451</v>
      </c>
      <c r="H117" s="11">
        <v>1836</v>
      </c>
      <c r="I117" s="9">
        <v>2117</v>
      </c>
      <c r="P117">
        <f t="shared" si="7"/>
        <v>2008</v>
      </c>
      <c r="Q117">
        <f t="shared" si="6"/>
        <v>75159</v>
      </c>
      <c r="R117">
        <v>5</v>
      </c>
      <c r="S117" s="26">
        <f t="shared" si="5"/>
        <v>75294.666666666672</v>
      </c>
    </row>
    <row r="118" spans="1:19" x14ac:dyDescent="0.25">
      <c r="A118" s="3" t="s">
        <v>19</v>
      </c>
      <c r="B118" s="9">
        <v>882</v>
      </c>
      <c r="C118" s="9">
        <v>877</v>
      </c>
      <c r="D118" s="9">
        <v>842</v>
      </c>
      <c r="E118" s="9">
        <v>976</v>
      </c>
      <c r="F118" s="4">
        <v>991</v>
      </c>
      <c r="G118" s="13">
        <v>1060</v>
      </c>
      <c r="H118" s="19">
        <v>1108</v>
      </c>
      <c r="I118" s="9">
        <v>1130</v>
      </c>
      <c r="P118">
        <f t="shared" si="7"/>
        <v>2008</v>
      </c>
      <c r="Q118">
        <f t="shared" si="6"/>
        <v>75159</v>
      </c>
      <c r="R118">
        <v>6</v>
      </c>
      <c r="S118" s="26">
        <f t="shared" si="5"/>
        <v>75328.583333333328</v>
      </c>
    </row>
    <row r="119" spans="1:19" x14ac:dyDescent="0.25">
      <c r="A119" s="14" t="s">
        <v>20</v>
      </c>
      <c r="B119" s="12">
        <v>5530</v>
      </c>
      <c r="C119" s="12">
        <v>5621</v>
      </c>
      <c r="D119" s="12">
        <v>5362</v>
      </c>
      <c r="E119" s="12">
        <v>5671</v>
      </c>
      <c r="F119" s="9">
        <v>5784</v>
      </c>
      <c r="G119" s="13">
        <v>5684</v>
      </c>
      <c r="H119" s="19">
        <f>SUM(H120:H122)</f>
        <v>5778</v>
      </c>
      <c r="I119" s="9">
        <v>6181</v>
      </c>
      <c r="P119">
        <f t="shared" si="7"/>
        <v>2008</v>
      </c>
      <c r="Q119">
        <f t="shared" si="6"/>
        <v>75159</v>
      </c>
      <c r="R119">
        <v>7</v>
      </c>
      <c r="S119" s="26">
        <f t="shared" si="5"/>
        <v>75362.5</v>
      </c>
    </row>
    <row r="120" spans="1:19" x14ac:dyDescent="0.25">
      <c r="A120" s="3" t="s">
        <v>21</v>
      </c>
      <c r="B120" s="12">
        <v>1887</v>
      </c>
      <c r="C120" s="12">
        <v>1902</v>
      </c>
      <c r="D120" s="12">
        <v>1819</v>
      </c>
      <c r="E120" s="12">
        <v>1989</v>
      </c>
      <c r="F120" s="12">
        <v>1967</v>
      </c>
      <c r="G120" s="11">
        <v>1884</v>
      </c>
      <c r="H120" s="11">
        <v>1858</v>
      </c>
      <c r="I120" s="9">
        <v>1993</v>
      </c>
      <c r="P120">
        <f t="shared" si="7"/>
        <v>2008</v>
      </c>
      <c r="Q120">
        <f t="shared" si="6"/>
        <v>75159</v>
      </c>
      <c r="R120">
        <v>8</v>
      </c>
      <c r="S120" s="26">
        <f t="shared" si="5"/>
        <v>75396.416666666672</v>
      </c>
    </row>
    <row r="121" spans="1:19" x14ac:dyDescent="0.25">
      <c r="A121" s="3" t="s">
        <v>22</v>
      </c>
      <c r="B121" s="12">
        <v>1064</v>
      </c>
      <c r="C121" s="12">
        <v>1035</v>
      </c>
      <c r="D121" s="9">
        <v>995</v>
      </c>
      <c r="E121" s="9">
        <v>994</v>
      </c>
      <c r="F121" s="9">
        <v>1068</v>
      </c>
      <c r="G121" s="13">
        <v>1128</v>
      </c>
      <c r="H121" s="19">
        <v>1198</v>
      </c>
      <c r="I121" s="9">
        <v>1139</v>
      </c>
      <c r="P121">
        <f t="shared" si="7"/>
        <v>2008</v>
      </c>
      <c r="Q121">
        <f t="shared" si="6"/>
        <v>75159</v>
      </c>
      <c r="R121">
        <v>9</v>
      </c>
      <c r="S121" s="26">
        <f t="shared" si="5"/>
        <v>75430.333333333328</v>
      </c>
    </row>
    <row r="122" spans="1:19" x14ac:dyDescent="0.25">
      <c r="A122" s="14" t="s">
        <v>23</v>
      </c>
      <c r="B122" s="12">
        <v>2579</v>
      </c>
      <c r="C122" s="12">
        <v>2684</v>
      </c>
      <c r="D122" s="12">
        <v>2548</v>
      </c>
      <c r="E122" s="12">
        <v>2688</v>
      </c>
      <c r="F122" s="12">
        <v>2749</v>
      </c>
      <c r="G122" s="11">
        <v>2672</v>
      </c>
      <c r="H122" s="11">
        <v>2722</v>
      </c>
      <c r="I122" s="9">
        <v>3049</v>
      </c>
      <c r="P122">
        <f t="shared" si="7"/>
        <v>2008</v>
      </c>
      <c r="Q122">
        <f t="shared" si="6"/>
        <v>75159</v>
      </c>
      <c r="R122">
        <v>10</v>
      </c>
      <c r="S122" s="26">
        <f t="shared" si="5"/>
        <v>75464.25</v>
      </c>
    </row>
    <row r="123" spans="1:19" x14ac:dyDescent="0.25">
      <c r="B123" s="9"/>
      <c r="C123" s="9"/>
      <c r="D123" s="9"/>
      <c r="E123" s="9"/>
      <c r="G123" s="13"/>
      <c r="H123" s="19"/>
      <c r="P123">
        <f t="shared" si="7"/>
        <v>2008</v>
      </c>
      <c r="Q123">
        <f t="shared" si="6"/>
        <v>75159</v>
      </c>
      <c r="R123">
        <v>11</v>
      </c>
      <c r="S123" s="26">
        <f t="shared" si="5"/>
        <v>75498.166666666672</v>
      </c>
    </row>
    <row r="124" spans="1:19" x14ac:dyDescent="0.25">
      <c r="A124" s="14" t="s">
        <v>24</v>
      </c>
      <c r="B124" s="12">
        <v>3554</v>
      </c>
      <c r="C124" s="12">
        <v>3507</v>
      </c>
      <c r="D124" s="12">
        <v>3561</v>
      </c>
      <c r="E124" s="12">
        <v>3643</v>
      </c>
      <c r="F124" s="12">
        <v>3715</v>
      </c>
      <c r="G124" s="11">
        <v>3778</v>
      </c>
      <c r="H124" s="11">
        <v>3978</v>
      </c>
      <c r="I124" s="9">
        <v>4376</v>
      </c>
      <c r="P124">
        <f t="shared" si="7"/>
        <v>2008</v>
      </c>
      <c r="Q124">
        <f t="shared" si="6"/>
        <v>75159</v>
      </c>
      <c r="R124">
        <v>12</v>
      </c>
      <c r="S124" s="26">
        <f t="shared" si="5"/>
        <v>75532.083333333328</v>
      </c>
    </row>
    <row r="125" spans="1:19" x14ac:dyDescent="0.25">
      <c r="B125" s="12"/>
      <c r="C125" s="12"/>
      <c r="D125" s="12"/>
      <c r="E125" s="12"/>
      <c r="F125" s="10"/>
      <c r="G125" s="11"/>
      <c r="H125" s="11"/>
      <c r="P125">
        <f t="shared" si="7"/>
        <v>2009</v>
      </c>
      <c r="Q125">
        <f t="shared" si="6"/>
        <v>75566</v>
      </c>
      <c r="R125">
        <v>1</v>
      </c>
      <c r="S125" s="26">
        <f t="shared" si="5"/>
        <v>75566</v>
      </c>
    </row>
    <row r="126" spans="1:19" x14ac:dyDescent="0.25">
      <c r="A126" s="14" t="s">
        <v>25</v>
      </c>
      <c r="B126" s="12">
        <v>107010</v>
      </c>
      <c r="C126" s="12">
        <v>108539</v>
      </c>
      <c r="D126" s="12">
        <v>104965</v>
      </c>
      <c r="E126" s="12">
        <v>105560</v>
      </c>
      <c r="F126" s="12">
        <v>106588</v>
      </c>
      <c r="G126" s="11">
        <v>108231</v>
      </c>
      <c r="H126" s="11">
        <f>+H127+H128</f>
        <v>109575</v>
      </c>
      <c r="I126" s="9">
        <v>110306</v>
      </c>
      <c r="P126">
        <f t="shared" si="7"/>
        <v>2009</v>
      </c>
      <c r="Q126">
        <f t="shared" si="6"/>
        <v>75566</v>
      </c>
      <c r="R126">
        <v>2</v>
      </c>
      <c r="S126" s="26">
        <f t="shared" si="5"/>
        <v>75520</v>
      </c>
    </row>
    <row r="127" spans="1:19" x14ac:dyDescent="0.25">
      <c r="A127" s="15" t="s">
        <v>26</v>
      </c>
      <c r="B127" s="17">
        <v>72593</v>
      </c>
      <c r="C127" s="17">
        <v>73713</v>
      </c>
      <c r="D127" s="17">
        <v>71278</v>
      </c>
      <c r="E127" s="17">
        <v>72054</v>
      </c>
      <c r="F127" s="17">
        <v>73575</v>
      </c>
      <c r="G127" s="20">
        <v>74553</v>
      </c>
      <c r="H127" s="21">
        <v>75380</v>
      </c>
      <c r="I127" s="22">
        <v>75159</v>
      </c>
      <c r="P127">
        <f t="shared" si="7"/>
        <v>2009</v>
      </c>
      <c r="Q127">
        <f t="shared" si="6"/>
        <v>75566</v>
      </c>
      <c r="R127">
        <v>3</v>
      </c>
      <c r="S127" s="26">
        <f t="shared" si="5"/>
        <v>75474</v>
      </c>
    </row>
    <row r="128" spans="1:19" x14ac:dyDescent="0.25">
      <c r="A128" s="14" t="s">
        <v>27</v>
      </c>
      <c r="B128" s="12">
        <v>34417</v>
      </c>
      <c r="C128" s="12">
        <f>+C126-C127</f>
        <v>34826</v>
      </c>
      <c r="D128" s="12">
        <v>33687</v>
      </c>
      <c r="E128" s="12">
        <v>33506</v>
      </c>
      <c r="F128" s="9">
        <v>33013</v>
      </c>
      <c r="G128" s="13">
        <v>33678</v>
      </c>
      <c r="H128" s="19">
        <v>34195</v>
      </c>
      <c r="I128" s="9">
        <v>35147</v>
      </c>
      <c r="P128">
        <f t="shared" si="7"/>
        <v>2009</v>
      </c>
      <c r="Q128">
        <f t="shared" si="6"/>
        <v>75566</v>
      </c>
      <c r="R128">
        <v>4</v>
      </c>
      <c r="S128" s="26">
        <f t="shared" si="5"/>
        <v>75428</v>
      </c>
    </row>
    <row r="129" spans="1:19" x14ac:dyDescent="0.25">
      <c r="P129">
        <f t="shared" si="7"/>
        <v>2009</v>
      </c>
      <c r="Q129">
        <f t="shared" si="6"/>
        <v>75566</v>
      </c>
      <c r="R129">
        <v>5</v>
      </c>
      <c r="S129" s="26">
        <f t="shared" si="5"/>
        <v>75382</v>
      </c>
    </row>
    <row r="130" spans="1:19" ht="15.75" thickBot="1" x14ac:dyDescent="0.3">
      <c r="P130">
        <f t="shared" si="7"/>
        <v>2009</v>
      </c>
      <c r="Q130">
        <f t="shared" si="6"/>
        <v>75566</v>
      </c>
      <c r="R130">
        <v>6</v>
      </c>
      <c r="S130" s="26">
        <f t="shared" si="5"/>
        <v>75336</v>
      </c>
    </row>
    <row r="131" spans="1:19" ht="16.5" thickTop="1" thickBot="1" x14ac:dyDescent="0.3">
      <c r="A131" s="5"/>
      <c r="B131" s="7">
        <v>2008</v>
      </c>
      <c r="C131" s="7">
        <v>2009</v>
      </c>
      <c r="D131" s="7">
        <v>2010</v>
      </c>
      <c r="E131" s="7">
        <v>2011</v>
      </c>
      <c r="F131" s="7">
        <v>2012</v>
      </c>
      <c r="G131" s="7">
        <v>2013</v>
      </c>
      <c r="H131" s="7">
        <v>2014</v>
      </c>
      <c r="I131" s="7">
        <v>2015</v>
      </c>
      <c r="P131">
        <f t="shared" si="7"/>
        <v>2009</v>
      </c>
      <c r="Q131">
        <f t="shared" si="6"/>
        <v>75566</v>
      </c>
      <c r="R131">
        <v>7</v>
      </c>
      <c r="S131" s="26">
        <f t="shared" si="5"/>
        <v>75290</v>
      </c>
    </row>
    <row r="132" spans="1:19" ht="15.75" thickTop="1" x14ac:dyDescent="0.25">
      <c r="B132" s="9"/>
      <c r="P132">
        <f t="shared" si="7"/>
        <v>2009</v>
      </c>
      <c r="Q132">
        <f t="shared" si="6"/>
        <v>75566</v>
      </c>
      <c r="R132">
        <v>8</v>
      </c>
      <c r="S132" s="26">
        <f t="shared" si="5"/>
        <v>75244</v>
      </c>
    </row>
    <row r="133" spans="1:19" x14ac:dyDescent="0.25">
      <c r="A133" s="10" t="s">
        <v>14</v>
      </c>
      <c r="B133" s="12">
        <f>+B135+B147</f>
        <v>130113</v>
      </c>
      <c r="C133" s="9">
        <v>130159</v>
      </c>
      <c r="D133" s="9">
        <v>130599</v>
      </c>
      <c r="E133" s="9">
        <v>132292</v>
      </c>
      <c r="F133" s="9">
        <v>132778</v>
      </c>
      <c r="G133" s="9">
        <v>132799</v>
      </c>
      <c r="H133" s="9">
        <v>133270</v>
      </c>
      <c r="I133" s="9">
        <v>134700</v>
      </c>
      <c r="P133">
        <f t="shared" si="7"/>
        <v>2009</v>
      </c>
      <c r="Q133">
        <f t="shared" si="6"/>
        <v>75566</v>
      </c>
      <c r="R133">
        <v>9</v>
      </c>
      <c r="S133" s="26">
        <f t="shared" ref="S133:S197" si="9">(R133-1)*(Q145-Q133)/12+Q133</f>
        <v>75198</v>
      </c>
    </row>
    <row r="134" spans="1:19" x14ac:dyDescent="0.25">
      <c r="G134" s="9"/>
      <c r="H134" s="9"/>
      <c r="I134" s="9"/>
      <c r="P134">
        <f t="shared" si="7"/>
        <v>2009</v>
      </c>
      <c r="Q134">
        <f t="shared" ref="Q134:Q197" si="10">VLOOKUP(P134,L:M,2,0)</f>
        <v>75566</v>
      </c>
      <c r="R134">
        <v>10</v>
      </c>
      <c r="S134" s="26">
        <f t="shared" si="9"/>
        <v>75152</v>
      </c>
    </row>
    <row r="135" spans="1:19" x14ac:dyDescent="0.25">
      <c r="A135" s="14" t="s">
        <v>15</v>
      </c>
      <c r="B135" s="9">
        <f>+B136+B145</f>
        <v>18704</v>
      </c>
      <c r="C135" s="9">
        <v>18815</v>
      </c>
      <c r="D135" s="9">
        <v>18739</v>
      </c>
      <c r="E135" s="9">
        <v>18758</v>
      </c>
      <c r="F135" s="9">
        <v>18266</v>
      </c>
      <c r="G135" s="9">
        <v>18127</v>
      </c>
      <c r="H135" s="9">
        <v>17809</v>
      </c>
      <c r="I135" s="9">
        <v>17355</v>
      </c>
      <c r="P135">
        <f t="shared" si="7"/>
        <v>2009</v>
      </c>
      <c r="Q135">
        <f t="shared" si="10"/>
        <v>75566</v>
      </c>
      <c r="R135">
        <v>11</v>
      </c>
      <c r="S135" s="26">
        <f t="shared" si="9"/>
        <v>75106</v>
      </c>
    </row>
    <row r="136" spans="1:19" x14ac:dyDescent="0.25">
      <c r="A136" s="14" t="s">
        <v>16</v>
      </c>
      <c r="B136" s="12">
        <f>+B137+B138+B139+B140</f>
        <v>13936</v>
      </c>
      <c r="C136" s="9">
        <v>14143</v>
      </c>
      <c r="D136" s="9">
        <v>14294</v>
      </c>
      <c r="E136" s="9">
        <v>14239</v>
      </c>
      <c r="F136" s="9">
        <v>13800</v>
      </c>
      <c r="G136" s="9">
        <v>13695</v>
      </c>
      <c r="H136" s="9">
        <v>13379</v>
      </c>
      <c r="I136" s="9">
        <v>12976</v>
      </c>
      <c r="P136">
        <f t="shared" si="7"/>
        <v>2009</v>
      </c>
      <c r="Q136">
        <f t="shared" si="10"/>
        <v>75566</v>
      </c>
      <c r="R136">
        <v>12</v>
      </c>
      <c r="S136" s="26">
        <f t="shared" si="9"/>
        <v>75060</v>
      </c>
    </row>
    <row r="137" spans="1:19" x14ac:dyDescent="0.25">
      <c r="A137" s="14" t="s">
        <v>17</v>
      </c>
      <c r="B137" s="12">
        <v>4056</v>
      </c>
      <c r="C137" s="9">
        <v>4393</v>
      </c>
      <c r="D137" s="9">
        <v>4284</v>
      </c>
      <c r="E137" s="9">
        <v>4087</v>
      </c>
      <c r="F137" s="9">
        <v>3824</v>
      </c>
      <c r="G137" s="9">
        <v>3676</v>
      </c>
      <c r="H137" s="9">
        <v>3405</v>
      </c>
      <c r="I137" s="9">
        <v>3280</v>
      </c>
      <c r="P137">
        <f t="shared" si="7"/>
        <v>2010</v>
      </c>
      <c r="Q137">
        <f t="shared" si="10"/>
        <v>75014</v>
      </c>
      <c r="R137">
        <v>1</v>
      </c>
      <c r="S137" s="26">
        <f t="shared" si="9"/>
        <v>75014</v>
      </c>
    </row>
    <row r="138" spans="1:19" x14ac:dyDescent="0.25">
      <c r="A138" s="3" t="s">
        <v>18</v>
      </c>
      <c r="B138" s="12">
        <v>2226</v>
      </c>
      <c r="C138" s="9">
        <v>2020</v>
      </c>
      <c r="D138" s="9">
        <v>1983</v>
      </c>
      <c r="E138" s="9">
        <v>1902</v>
      </c>
      <c r="F138" s="9">
        <v>1556</v>
      </c>
      <c r="G138" s="9">
        <v>1530</v>
      </c>
      <c r="H138" s="9">
        <v>1441</v>
      </c>
      <c r="I138" s="9">
        <v>1416</v>
      </c>
      <c r="P138">
        <f t="shared" si="7"/>
        <v>2010</v>
      </c>
      <c r="Q138">
        <f t="shared" si="10"/>
        <v>75014</v>
      </c>
      <c r="R138">
        <v>2</v>
      </c>
      <c r="S138" s="26">
        <f t="shared" si="9"/>
        <v>74995.416666666672</v>
      </c>
    </row>
    <row r="139" spans="1:19" x14ac:dyDescent="0.25">
      <c r="A139" s="3" t="s">
        <v>19</v>
      </c>
      <c r="B139" s="9">
        <v>1075</v>
      </c>
      <c r="C139" s="9">
        <v>993</v>
      </c>
      <c r="D139" s="9">
        <v>908</v>
      </c>
      <c r="E139" s="9">
        <v>984</v>
      </c>
      <c r="F139" s="9">
        <v>987</v>
      </c>
      <c r="G139" s="9">
        <v>1069</v>
      </c>
      <c r="H139" s="9">
        <v>1065</v>
      </c>
      <c r="I139" s="9">
        <v>1079</v>
      </c>
      <c r="P139">
        <f t="shared" si="7"/>
        <v>2010</v>
      </c>
      <c r="Q139">
        <f t="shared" si="10"/>
        <v>75014</v>
      </c>
      <c r="R139">
        <v>3</v>
      </c>
      <c r="S139" s="26">
        <f t="shared" si="9"/>
        <v>74976.833333333328</v>
      </c>
    </row>
    <row r="140" spans="1:19" x14ac:dyDescent="0.25">
      <c r="A140" s="14" t="s">
        <v>20</v>
      </c>
      <c r="B140" s="12">
        <f>+B141+B142+B143</f>
        <v>6579</v>
      </c>
      <c r="C140" s="9">
        <v>6737</v>
      </c>
      <c r="D140" s="9">
        <v>7120</v>
      </c>
      <c r="E140" s="9">
        <v>7266</v>
      </c>
      <c r="F140" s="9">
        <v>7433</v>
      </c>
      <c r="G140" s="9">
        <v>7420</v>
      </c>
      <c r="H140" s="9">
        <v>7468</v>
      </c>
      <c r="I140" s="9">
        <v>7201</v>
      </c>
      <c r="P140">
        <f t="shared" si="7"/>
        <v>2010</v>
      </c>
      <c r="Q140">
        <f t="shared" si="10"/>
        <v>75014</v>
      </c>
      <c r="R140">
        <v>4</v>
      </c>
      <c r="S140" s="26">
        <f t="shared" si="9"/>
        <v>74958.25</v>
      </c>
    </row>
    <row r="141" spans="1:19" x14ac:dyDescent="0.25">
      <c r="A141" s="3" t="s">
        <v>21</v>
      </c>
      <c r="B141" s="12">
        <v>2071</v>
      </c>
      <c r="C141" s="9">
        <v>2068</v>
      </c>
      <c r="D141" s="9">
        <v>2241</v>
      </c>
      <c r="E141" s="9">
        <v>2268</v>
      </c>
      <c r="F141" s="9">
        <v>2285</v>
      </c>
      <c r="G141" s="9">
        <v>2379</v>
      </c>
      <c r="H141" s="9">
        <v>2229</v>
      </c>
      <c r="I141" s="9">
        <v>2012</v>
      </c>
      <c r="P141">
        <f t="shared" si="7"/>
        <v>2010</v>
      </c>
      <c r="Q141">
        <f t="shared" si="10"/>
        <v>75014</v>
      </c>
      <c r="R141">
        <v>5</v>
      </c>
      <c r="S141" s="26">
        <f t="shared" si="9"/>
        <v>74939.666666666672</v>
      </c>
    </row>
    <row r="142" spans="1:19" x14ac:dyDescent="0.25">
      <c r="A142" s="3" t="s">
        <v>22</v>
      </c>
      <c r="B142" s="12">
        <v>1170</v>
      </c>
      <c r="C142" s="9">
        <v>1187</v>
      </c>
      <c r="D142" s="9">
        <v>1254</v>
      </c>
      <c r="E142" s="9">
        <v>1197</v>
      </c>
      <c r="F142" s="9">
        <v>1262</v>
      </c>
      <c r="G142" s="9">
        <v>1249</v>
      </c>
      <c r="H142" s="9">
        <v>1354</v>
      </c>
      <c r="I142" s="9">
        <v>1350</v>
      </c>
      <c r="P142">
        <f t="shared" si="7"/>
        <v>2010</v>
      </c>
      <c r="Q142">
        <f t="shared" si="10"/>
        <v>75014</v>
      </c>
      <c r="R142">
        <v>6</v>
      </c>
      <c r="S142" s="26">
        <f t="shared" si="9"/>
        <v>74921.083333333328</v>
      </c>
    </row>
    <row r="143" spans="1:19" x14ac:dyDescent="0.25">
      <c r="A143" s="14" t="s">
        <v>23</v>
      </c>
      <c r="B143" s="12">
        <v>3338</v>
      </c>
      <c r="C143" s="9">
        <v>3482</v>
      </c>
      <c r="D143" s="9">
        <v>3625</v>
      </c>
      <c r="E143" s="9">
        <v>3801</v>
      </c>
      <c r="F143" s="9">
        <v>3886</v>
      </c>
      <c r="G143" s="9">
        <v>3792</v>
      </c>
      <c r="H143" s="9">
        <v>3885</v>
      </c>
      <c r="I143" s="9">
        <v>3839</v>
      </c>
      <c r="P143">
        <f t="shared" si="7"/>
        <v>2010</v>
      </c>
      <c r="Q143">
        <f t="shared" si="10"/>
        <v>75014</v>
      </c>
      <c r="R143">
        <v>7</v>
      </c>
      <c r="S143" s="26">
        <f t="shared" si="9"/>
        <v>74902.5</v>
      </c>
    </row>
    <row r="144" spans="1:19" x14ac:dyDescent="0.25">
      <c r="B144" s="9"/>
      <c r="D144" s="9"/>
      <c r="E144" s="9"/>
      <c r="F144" s="9"/>
      <c r="G144" s="9"/>
      <c r="H144" s="9"/>
      <c r="I144" s="9"/>
      <c r="P144">
        <f t="shared" si="7"/>
        <v>2010</v>
      </c>
      <c r="Q144">
        <f t="shared" si="10"/>
        <v>75014</v>
      </c>
      <c r="R144">
        <v>8</v>
      </c>
      <c r="S144" s="26">
        <f t="shared" si="9"/>
        <v>74883.916666666672</v>
      </c>
    </row>
    <row r="145" spans="1:19" x14ac:dyDescent="0.25">
      <c r="A145" s="14" t="s">
        <v>24</v>
      </c>
      <c r="B145" s="12">
        <v>4768</v>
      </c>
      <c r="C145" s="9">
        <v>4673</v>
      </c>
      <c r="D145" s="9">
        <v>4444</v>
      </c>
      <c r="E145" s="9">
        <v>4519</v>
      </c>
      <c r="F145" s="9">
        <v>4466</v>
      </c>
      <c r="G145" s="9">
        <v>4432</v>
      </c>
      <c r="H145" s="9">
        <v>4430</v>
      </c>
      <c r="I145" s="9">
        <v>4379</v>
      </c>
      <c r="P145">
        <f t="shared" si="7"/>
        <v>2010</v>
      </c>
      <c r="Q145">
        <f t="shared" si="10"/>
        <v>75014</v>
      </c>
      <c r="R145">
        <v>9</v>
      </c>
      <c r="S145" s="26">
        <f t="shared" si="9"/>
        <v>74865.333333333328</v>
      </c>
    </row>
    <row r="146" spans="1:19" x14ac:dyDescent="0.25">
      <c r="B146" s="12"/>
      <c r="D146" s="9"/>
      <c r="E146" s="9"/>
      <c r="F146" s="9"/>
      <c r="G146" s="9"/>
      <c r="H146" s="9"/>
      <c r="I146" s="9"/>
      <c r="P146">
        <f t="shared" si="7"/>
        <v>2010</v>
      </c>
      <c r="Q146">
        <f t="shared" si="10"/>
        <v>75014</v>
      </c>
      <c r="R146">
        <v>10</v>
      </c>
      <c r="S146" s="26">
        <f t="shared" si="9"/>
        <v>74846.75</v>
      </c>
    </row>
    <row r="147" spans="1:19" x14ac:dyDescent="0.25">
      <c r="A147" s="14" t="s">
        <v>25</v>
      </c>
      <c r="B147" s="12">
        <f>+B148+B149</f>
        <v>111409</v>
      </c>
      <c r="C147" s="9">
        <v>111344</v>
      </c>
      <c r="D147" s="9">
        <v>111860</v>
      </c>
      <c r="E147" s="9">
        <v>113534</v>
      </c>
      <c r="F147" s="9">
        <v>114513</v>
      </c>
      <c r="G147" s="9">
        <v>114673</v>
      </c>
      <c r="H147" s="9">
        <v>115461</v>
      </c>
      <c r="I147" s="9">
        <v>117345</v>
      </c>
      <c r="P147">
        <f t="shared" si="7"/>
        <v>2010</v>
      </c>
      <c r="Q147">
        <f t="shared" si="10"/>
        <v>75014</v>
      </c>
      <c r="R147">
        <v>11</v>
      </c>
      <c r="S147" s="26">
        <f t="shared" si="9"/>
        <v>74828.166666666672</v>
      </c>
    </row>
    <row r="148" spans="1:19" x14ac:dyDescent="0.25">
      <c r="A148" s="15" t="s">
        <v>35</v>
      </c>
      <c r="B148" s="17">
        <v>75566</v>
      </c>
      <c r="C148" s="22">
        <v>75014</v>
      </c>
      <c r="D148" s="22">
        <v>74791</v>
      </c>
      <c r="E148" s="22">
        <v>75091</v>
      </c>
      <c r="F148" s="22">
        <v>74929</v>
      </c>
      <c r="G148" s="22">
        <v>74668</v>
      </c>
      <c r="H148" s="22">
        <v>74427</v>
      </c>
      <c r="I148" s="22">
        <v>74706</v>
      </c>
      <c r="P148">
        <f t="shared" si="7"/>
        <v>2010</v>
      </c>
      <c r="Q148">
        <f t="shared" si="10"/>
        <v>75014</v>
      </c>
      <c r="R148">
        <v>12</v>
      </c>
      <c r="S148" s="26">
        <f t="shared" si="9"/>
        <v>74809.583333333328</v>
      </c>
    </row>
    <row r="149" spans="1:19" x14ac:dyDescent="0.25">
      <c r="A149" s="14" t="s">
        <v>27</v>
      </c>
      <c r="B149" s="12">
        <v>35843</v>
      </c>
      <c r="C149" s="9">
        <v>36330</v>
      </c>
      <c r="D149" s="9">
        <v>37069</v>
      </c>
      <c r="E149" s="9">
        <v>38443</v>
      </c>
      <c r="F149" s="9">
        <v>39583</v>
      </c>
      <c r="G149" s="9">
        <v>40004</v>
      </c>
      <c r="H149" s="9">
        <v>41034</v>
      </c>
      <c r="I149" s="9">
        <v>42639</v>
      </c>
      <c r="P149">
        <f t="shared" si="7"/>
        <v>2011</v>
      </c>
      <c r="Q149">
        <f t="shared" si="10"/>
        <v>74791</v>
      </c>
      <c r="R149">
        <v>1</v>
      </c>
      <c r="S149" s="26">
        <f t="shared" si="9"/>
        <v>74791</v>
      </c>
    </row>
    <row r="150" spans="1:19" x14ac:dyDescent="0.25">
      <c r="P150">
        <f t="shared" si="7"/>
        <v>2011</v>
      </c>
      <c r="Q150">
        <f t="shared" si="10"/>
        <v>74791</v>
      </c>
      <c r="R150">
        <v>2</v>
      </c>
      <c r="S150" s="26">
        <f t="shared" si="9"/>
        <v>74816</v>
      </c>
    </row>
    <row r="151" spans="1:19" x14ac:dyDescent="0.25">
      <c r="A151" s="3" t="s">
        <v>36</v>
      </c>
      <c r="P151">
        <f t="shared" si="7"/>
        <v>2011</v>
      </c>
      <c r="Q151">
        <f t="shared" si="10"/>
        <v>74791</v>
      </c>
      <c r="R151">
        <v>3</v>
      </c>
      <c r="S151" s="26">
        <f t="shared" si="9"/>
        <v>74841</v>
      </c>
    </row>
    <row r="152" spans="1:19" x14ac:dyDescent="0.25">
      <c r="A152" s="4" t="s">
        <v>37</v>
      </c>
      <c r="P152">
        <f t="shared" si="7"/>
        <v>2011</v>
      </c>
      <c r="Q152">
        <f t="shared" si="10"/>
        <v>74791</v>
      </c>
      <c r="R152">
        <v>4</v>
      </c>
      <c r="S152" s="26">
        <f t="shared" si="9"/>
        <v>74866</v>
      </c>
    </row>
    <row r="153" spans="1:19" x14ac:dyDescent="0.25">
      <c r="P153">
        <f t="shared" si="7"/>
        <v>2011</v>
      </c>
      <c r="Q153">
        <f t="shared" si="10"/>
        <v>74791</v>
      </c>
      <c r="R153">
        <v>5</v>
      </c>
      <c r="S153" s="26">
        <f t="shared" si="9"/>
        <v>74891</v>
      </c>
    </row>
    <row r="154" spans="1:19" x14ac:dyDescent="0.25">
      <c r="A154" s="6" t="s">
        <v>38</v>
      </c>
      <c r="P154">
        <f t="shared" si="7"/>
        <v>2011</v>
      </c>
      <c r="Q154">
        <f t="shared" si="10"/>
        <v>74791</v>
      </c>
      <c r="R154">
        <v>6</v>
      </c>
      <c r="S154" s="26">
        <f t="shared" si="9"/>
        <v>74916</v>
      </c>
    </row>
    <row r="155" spans="1:19" x14ac:dyDescent="0.25">
      <c r="A155" s="6" t="s">
        <v>39</v>
      </c>
      <c r="P155">
        <f t="shared" si="7"/>
        <v>2011</v>
      </c>
      <c r="Q155">
        <f t="shared" si="10"/>
        <v>74791</v>
      </c>
      <c r="R155">
        <v>7</v>
      </c>
      <c r="S155" s="26">
        <f t="shared" si="9"/>
        <v>74941</v>
      </c>
    </row>
    <row r="156" spans="1:19" x14ac:dyDescent="0.25">
      <c r="P156">
        <f t="shared" si="7"/>
        <v>2011</v>
      </c>
      <c r="Q156">
        <f t="shared" si="10"/>
        <v>74791</v>
      </c>
      <c r="R156">
        <v>8</v>
      </c>
      <c r="S156" s="26">
        <f t="shared" si="9"/>
        <v>74966</v>
      </c>
    </row>
    <row r="157" spans="1:19" x14ac:dyDescent="0.25">
      <c r="A157" s="23" t="s">
        <v>40</v>
      </c>
      <c r="P157">
        <f t="shared" si="7"/>
        <v>2011</v>
      </c>
      <c r="Q157">
        <f t="shared" si="10"/>
        <v>74791</v>
      </c>
      <c r="R157">
        <v>9</v>
      </c>
      <c r="S157" s="26">
        <f t="shared" si="9"/>
        <v>74991</v>
      </c>
    </row>
    <row r="158" spans="1:19" x14ac:dyDescent="0.25">
      <c r="A158" s="24" t="s">
        <v>41</v>
      </c>
      <c r="P158">
        <f t="shared" ref="P158:P220" si="11">IF(R158&gt;1,P157,P157+1)</f>
        <v>2011</v>
      </c>
      <c r="Q158">
        <f t="shared" si="10"/>
        <v>74791</v>
      </c>
      <c r="R158">
        <v>10</v>
      </c>
      <c r="S158" s="26">
        <f t="shared" si="9"/>
        <v>75016</v>
      </c>
    </row>
    <row r="159" spans="1:19" x14ac:dyDescent="0.25">
      <c r="A159" s="25" t="s">
        <v>42</v>
      </c>
      <c r="P159">
        <f t="shared" si="11"/>
        <v>2011</v>
      </c>
      <c r="Q159">
        <f t="shared" si="10"/>
        <v>74791</v>
      </c>
      <c r="R159">
        <v>11</v>
      </c>
      <c r="S159" s="26">
        <f t="shared" si="9"/>
        <v>75041</v>
      </c>
    </row>
    <row r="160" spans="1:19" x14ac:dyDescent="0.25">
      <c r="A160" s="25" t="s">
        <v>43</v>
      </c>
      <c r="P160">
        <f t="shared" si="11"/>
        <v>2011</v>
      </c>
      <c r="Q160">
        <f t="shared" si="10"/>
        <v>74791</v>
      </c>
      <c r="R160">
        <v>12</v>
      </c>
      <c r="S160" s="26">
        <f t="shared" si="9"/>
        <v>75066</v>
      </c>
    </row>
    <row r="161" spans="1:19" x14ac:dyDescent="0.25">
      <c r="A161" s="25" t="s">
        <v>44</v>
      </c>
      <c r="P161">
        <f t="shared" si="11"/>
        <v>2012</v>
      </c>
      <c r="Q161">
        <f t="shared" si="10"/>
        <v>75091</v>
      </c>
      <c r="R161">
        <v>1</v>
      </c>
      <c r="S161" s="26">
        <f t="shared" si="9"/>
        <v>75091</v>
      </c>
    </row>
    <row r="162" spans="1:19" x14ac:dyDescent="0.25">
      <c r="P162">
        <f t="shared" si="11"/>
        <v>2012</v>
      </c>
      <c r="Q162">
        <f t="shared" si="10"/>
        <v>75091</v>
      </c>
      <c r="R162">
        <v>2</v>
      </c>
      <c r="S162" s="26">
        <f t="shared" si="9"/>
        <v>75055.75</v>
      </c>
    </row>
    <row r="163" spans="1:19" x14ac:dyDescent="0.25">
      <c r="P163">
        <f t="shared" si="11"/>
        <v>2012</v>
      </c>
      <c r="Q163">
        <f t="shared" si="10"/>
        <v>75091</v>
      </c>
      <c r="R163">
        <v>3</v>
      </c>
      <c r="S163" s="26">
        <f t="shared" si="9"/>
        <v>75020.5</v>
      </c>
    </row>
    <row r="164" spans="1:19" x14ac:dyDescent="0.25">
      <c r="P164">
        <f t="shared" si="11"/>
        <v>2012</v>
      </c>
      <c r="Q164">
        <f t="shared" si="10"/>
        <v>75091</v>
      </c>
      <c r="R164">
        <v>4</v>
      </c>
      <c r="S164" s="26">
        <f t="shared" si="9"/>
        <v>74985.25</v>
      </c>
    </row>
    <row r="165" spans="1:19" x14ac:dyDescent="0.25">
      <c r="P165">
        <f t="shared" si="11"/>
        <v>2012</v>
      </c>
      <c r="Q165">
        <f t="shared" si="10"/>
        <v>75091</v>
      </c>
      <c r="R165">
        <v>5</v>
      </c>
      <c r="S165" s="26">
        <f t="shared" si="9"/>
        <v>74950</v>
      </c>
    </row>
    <row r="166" spans="1:19" x14ac:dyDescent="0.25">
      <c r="P166">
        <f t="shared" si="11"/>
        <v>2012</v>
      </c>
      <c r="Q166">
        <f t="shared" si="10"/>
        <v>75091</v>
      </c>
      <c r="R166">
        <v>6</v>
      </c>
      <c r="S166" s="26">
        <f t="shared" si="9"/>
        <v>74914.75</v>
      </c>
    </row>
    <row r="167" spans="1:19" x14ac:dyDescent="0.25">
      <c r="P167">
        <f t="shared" si="11"/>
        <v>2012</v>
      </c>
      <c r="Q167">
        <f t="shared" si="10"/>
        <v>75091</v>
      </c>
      <c r="R167">
        <v>7</v>
      </c>
      <c r="S167" s="26">
        <f t="shared" si="9"/>
        <v>74879.5</v>
      </c>
    </row>
    <row r="168" spans="1:19" x14ac:dyDescent="0.25">
      <c r="P168">
        <f t="shared" si="11"/>
        <v>2012</v>
      </c>
      <c r="Q168">
        <f t="shared" si="10"/>
        <v>75091</v>
      </c>
      <c r="R168">
        <v>8</v>
      </c>
      <c r="S168" s="26">
        <f t="shared" si="9"/>
        <v>74844.25</v>
      </c>
    </row>
    <row r="169" spans="1:19" x14ac:dyDescent="0.25">
      <c r="P169">
        <f t="shared" si="11"/>
        <v>2012</v>
      </c>
      <c r="Q169">
        <f t="shared" si="10"/>
        <v>75091</v>
      </c>
      <c r="R169">
        <v>9</v>
      </c>
      <c r="S169" s="26">
        <f t="shared" si="9"/>
        <v>74809</v>
      </c>
    </row>
    <row r="170" spans="1:19" x14ac:dyDescent="0.25">
      <c r="P170">
        <f t="shared" si="11"/>
        <v>2012</v>
      </c>
      <c r="Q170">
        <f t="shared" si="10"/>
        <v>75091</v>
      </c>
      <c r="R170">
        <v>10</v>
      </c>
      <c r="S170" s="26">
        <f t="shared" si="9"/>
        <v>74773.75</v>
      </c>
    </row>
    <row r="171" spans="1:19" x14ac:dyDescent="0.25">
      <c r="P171">
        <f t="shared" si="11"/>
        <v>2012</v>
      </c>
      <c r="Q171">
        <f t="shared" si="10"/>
        <v>75091</v>
      </c>
      <c r="R171">
        <v>11</v>
      </c>
      <c r="S171" s="26">
        <f t="shared" si="9"/>
        <v>74738.5</v>
      </c>
    </row>
    <row r="172" spans="1:19" x14ac:dyDescent="0.25">
      <c r="P172">
        <f t="shared" si="11"/>
        <v>2012</v>
      </c>
      <c r="Q172">
        <f t="shared" si="10"/>
        <v>75091</v>
      </c>
      <c r="R172">
        <v>12</v>
      </c>
      <c r="S172" s="26">
        <f t="shared" si="9"/>
        <v>74703.25</v>
      </c>
    </row>
    <row r="173" spans="1:19" x14ac:dyDescent="0.25">
      <c r="P173">
        <f t="shared" si="11"/>
        <v>2013</v>
      </c>
      <c r="Q173">
        <f t="shared" si="10"/>
        <v>74668</v>
      </c>
      <c r="R173">
        <v>1</v>
      </c>
      <c r="S173" s="26">
        <f t="shared" si="9"/>
        <v>74668</v>
      </c>
    </row>
    <row r="174" spans="1:19" x14ac:dyDescent="0.25">
      <c r="P174">
        <f t="shared" si="11"/>
        <v>2013</v>
      </c>
      <c r="Q174">
        <f t="shared" si="10"/>
        <v>74668</v>
      </c>
      <c r="R174">
        <v>2</v>
      </c>
      <c r="S174" s="26">
        <f t="shared" si="9"/>
        <v>74647.916666666672</v>
      </c>
    </row>
    <row r="175" spans="1:19" x14ac:dyDescent="0.25">
      <c r="P175">
        <f t="shared" si="11"/>
        <v>2013</v>
      </c>
      <c r="Q175">
        <f t="shared" si="10"/>
        <v>74668</v>
      </c>
      <c r="R175">
        <v>3</v>
      </c>
      <c r="S175" s="26">
        <f t="shared" si="9"/>
        <v>74627.833333333328</v>
      </c>
    </row>
    <row r="176" spans="1:19" x14ac:dyDescent="0.25">
      <c r="P176">
        <f t="shared" si="11"/>
        <v>2013</v>
      </c>
      <c r="Q176">
        <f t="shared" si="10"/>
        <v>74668</v>
      </c>
      <c r="R176">
        <v>4</v>
      </c>
      <c r="S176" s="26">
        <f t="shared" si="9"/>
        <v>74607.75</v>
      </c>
    </row>
    <row r="177" spans="16:19" x14ac:dyDescent="0.25">
      <c r="P177">
        <f t="shared" si="11"/>
        <v>2013</v>
      </c>
      <c r="Q177">
        <f t="shared" si="10"/>
        <v>74668</v>
      </c>
      <c r="R177">
        <v>5</v>
      </c>
      <c r="S177" s="26">
        <f t="shared" si="9"/>
        <v>74587.666666666672</v>
      </c>
    </row>
    <row r="178" spans="16:19" x14ac:dyDescent="0.25">
      <c r="P178">
        <f t="shared" si="11"/>
        <v>2013</v>
      </c>
      <c r="Q178">
        <f t="shared" si="10"/>
        <v>74668</v>
      </c>
      <c r="R178">
        <v>6</v>
      </c>
      <c r="S178" s="26">
        <f t="shared" si="9"/>
        <v>74567.583333333328</v>
      </c>
    </row>
    <row r="179" spans="16:19" x14ac:dyDescent="0.25">
      <c r="P179">
        <f t="shared" si="11"/>
        <v>2013</v>
      </c>
      <c r="Q179">
        <f t="shared" si="10"/>
        <v>74668</v>
      </c>
      <c r="R179">
        <v>7</v>
      </c>
      <c r="S179" s="26">
        <f t="shared" si="9"/>
        <v>74547.5</v>
      </c>
    </row>
    <row r="180" spans="16:19" x14ac:dyDescent="0.25">
      <c r="P180">
        <f t="shared" si="11"/>
        <v>2013</v>
      </c>
      <c r="Q180">
        <f t="shared" si="10"/>
        <v>74668</v>
      </c>
      <c r="R180">
        <v>8</v>
      </c>
      <c r="S180" s="26">
        <f t="shared" si="9"/>
        <v>74527.416666666672</v>
      </c>
    </row>
    <row r="181" spans="16:19" x14ac:dyDescent="0.25">
      <c r="P181">
        <f t="shared" si="11"/>
        <v>2013</v>
      </c>
      <c r="Q181">
        <f t="shared" si="10"/>
        <v>74668</v>
      </c>
      <c r="R181">
        <v>9</v>
      </c>
      <c r="S181" s="26">
        <f t="shared" si="9"/>
        <v>74507.333333333328</v>
      </c>
    </row>
    <row r="182" spans="16:19" x14ac:dyDescent="0.25">
      <c r="P182">
        <f t="shared" si="11"/>
        <v>2013</v>
      </c>
      <c r="Q182">
        <f t="shared" si="10"/>
        <v>74668</v>
      </c>
      <c r="R182">
        <v>10</v>
      </c>
      <c r="S182" s="26">
        <f t="shared" si="9"/>
        <v>74487.25</v>
      </c>
    </row>
    <row r="183" spans="16:19" x14ac:dyDescent="0.25">
      <c r="P183">
        <f t="shared" si="11"/>
        <v>2013</v>
      </c>
      <c r="Q183">
        <f t="shared" si="10"/>
        <v>74668</v>
      </c>
      <c r="R183">
        <v>11</v>
      </c>
      <c r="S183" s="26">
        <f t="shared" si="9"/>
        <v>74467.166666666672</v>
      </c>
    </row>
    <row r="184" spans="16:19" x14ac:dyDescent="0.25">
      <c r="P184">
        <f t="shared" si="11"/>
        <v>2013</v>
      </c>
      <c r="Q184">
        <f t="shared" si="10"/>
        <v>74668</v>
      </c>
      <c r="R184">
        <v>12</v>
      </c>
      <c r="S184" s="26">
        <f t="shared" si="9"/>
        <v>74447.083333333328</v>
      </c>
    </row>
    <row r="185" spans="16:19" x14ac:dyDescent="0.25">
      <c r="P185">
        <f t="shared" si="11"/>
        <v>2014</v>
      </c>
      <c r="Q185">
        <f t="shared" si="10"/>
        <v>74427</v>
      </c>
      <c r="R185">
        <v>1</v>
      </c>
      <c r="S185" s="26">
        <f t="shared" si="9"/>
        <v>74427</v>
      </c>
    </row>
    <row r="186" spans="16:19" x14ac:dyDescent="0.25">
      <c r="P186">
        <f t="shared" si="11"/>
        <v>2014</v>
      </c>
      <c r="Q186">
        <f t="shared" si="10"/>
        <v>74427</v>
      </c>
      <c r="R186">
        <v>2</v>
      </c>
      <c r="S186" s="26">
        <f t="shared" si="9"/>
        <v>74450.25</v>
      </c>
    </row>
    <row r="187" spans="16:19" x14ac:dyDescent="0.25">
      <c r="P187">
        <f t="shared" si="11"/>
        <v>2014</v>
      </c>
      <c r="Q187">
        <f t="shared" si="10"/>
        <v>74427</v>
      </c>
      <c r="R187">
        <v>3</v>
      </c>
      <c r="S187" s="26">
        <f t="shared" si="9"/>
        <v>74473.5</v>
      </c>
    </row>
    <row r="188" spans="16:19" x14ac:dyDescent="0.25">
      <c r="P188">
        <f t="shared" si="11"/>
        <v>2014</v>
      </c>
      <c r="Q188">
        <f t="shared" si="10"/>
        <v>74427</v>
      </c>
      <c r="R188">
        <v>4</v>
      </c>
      <c r="S188" s="26">
        <f t="shared" si="9"/>
        <v>74496.75</v>
      </c>
    </row>
    <row r="189" spans="16:19" x14ac:dyDescent="0.25">
      <c r="P189">
        <f t="shared" si="11"/>
        <v>2014</v>
      </c>
      <c r="Q189">
        <f t="shared" si="10"/>
        <v>74427</v>
      </c>
      <c r="R189">
        <v>5</v>
      </c>
      <c r="S189" s="26">
        <f t="shared" si="9"/>
        <v>74520</v>
      </c>
    </row>
    <row r="190" spans="16:19" x14ac:dyDescent="0.25">
      <c r="P190">
        <f t="shared" si="11"/>
        <v>2014</v>
      </c>
      <c r="Q190">
        <f t="shared" si="10"/>
        <v>74427</v>
      </c>
      <c r="R190">
        <v>6</v>
      </c>
      <c r="S190" s="26">
        <f t="shared" si="9"/>
        <v>74543.25</v>
      </c>
    </row>
    <row r="191" spans="16:19" x14ac:dyDescent="0.25">
      <c r="P191">
        <f t="shared" si="11"/>
        <v>2014</v>
      </c>
      <c r="Q191">
        <f t="shared" si="10"/>
        <v>74427</v>
      </c>
      <c r="R191">
        <v>7</v>
      </c>
      <c r="S191" s="26">
        <f t="shared" si="9"/>
        <v>74566.5</v>
      </c>
    </row>
    <row r="192" spans="16:19" x14ac:dyDescent="0.25">
      <c r="P192">
        <f t="shared" si="11"/>
        <v>2014</v>
      </c>
      <c r="Q192">
        <f t="shared" si="10"/>
        <v>74427</v>
      </c>
      <c r="R192">
        <v>8</v>
      </c>
      <c r="S192" s="26">
        <f t="shared" si="9"/>
        <v>74589.75</v>
      </c>
    </row>
    <row r="193" spans="16:19" x14ac:dyDescent="0.25">
      <c r="P193">
        <f t="shared" si="11"/>
        <v>2014</v>
      </c>
      <c r="Q193">
        <f t="shared" si="10"/>
        <v>74427</v>
      </c>
      <c r="R193">
        <v>9</v>
      </c>
      <c r="S193" s="26">
        <f t="shared" si="9"/>
        <v>74613</v>
      </c>
    </row>
    <row r="194" spans="16:19" x14ac:dyDescent="0.25">
      <c r="P194">
        <f t="shared" si="11"/>
        <v>2014</v>
      </c>
      <c r="Q194">
        <f t="shared" si="10"/>
        <v>74427</v>
      </c>
      <c r="R194">
        <v>10</v>
      </c>
      <c r="S194" s="26">
        <f t="shared" si="9"/>
        <v>74636.25</v>
      </c>
    </row>
    <row r="195" spans="16:19" x14ac:dyDescent="0.25">
      <c r="P195">
        <f t="shared" si="11"/>
        <v>2014</v>
      </c>
      <c r="Q195">
        <f t="shared" si="10"/>
        <v>74427</v>
      </c>
      <c r="R195">
        <v>11</v>
      </c>
      <c r="S195" s="26">
        <f t="shared" si="9"/>
        <v>74659.5</v>
      </c>
    </row>
    <row r="196" spans="16:19" x14ac:dyDescent="0.25">
      <c r="P196">
        <f t="shared" si="11"/>
        <v>2014</v>
      </c>
      <c r="Q196">
        <f t="shared" si="10"/>
        <v>74427</v>
      </c>
      <c r="R196">
        <v>12</v>
      </c>
      <c r="S196" s="26">
        <f t="shared" si="9"/>
        <v>74682.75</v>
      </c>
    </row>
    <row r="197" spans="16:19" x14ac:dyDescent="0.25">
      <c r="P197">
        <f t="shared" si="11"/>
        <v>2015</v>
      </c>
      <c r="Q197">
        <f t="shared" si="10"/>
        <v>74706</v>
      </c>
      <c r="R197">
        <v>1</v>
      </c>
      <c r="S197" s="26">
        <f t="shared" si="9"/>
        <v>74706</v>
      </c>
    </row>
    <row r="198" spans="16:19" x14ac:dyDescent="0.25">
      <c r="P198">
        <f t="shared" si="11"/>
        <v>2015</v>
      </c>
      <c r="Q198">
        <f t="shared" ref="Q198:Q246" si="12">VLOOKUP(P198,L:M,2,0)</f>
        <v>74706</v>
      </c>
      <c r="R198">
        <v>2</v>
      </c>
      <c r="S198" s="26">
        <f t="shared" ref="S198:S226" si="13">(R198-1)*(Q210-Q198)/12+Q198</f>
        <v>74739.333333333328</v>
      </c>
    </row>
    <row r="199" spans="16:19" x14ac:dyDescent="0.25">
      <c r="P199">
        <f t="shared" si="11"/>
        <v>2015</v>
      </c>
      <c r="Q199">
        <f t="shared" si="12"/>
        <v>74706</v>
      </c>
      <c r="R199">
        <v>3</v>
      </c>
      <c r="S199" s="26">
        <f t="shared" si="13"/>
        <v>74772.666666666672</v>
      </c>
    </row>
    <row r="200" spans="16:19" x14ac:dyDescent="0.25">
      <c r="P200">
        <f t="shared" si="11"/>
        <v>2015</v>
      </c>
      <c r="Q200">
        <f t="shared" si="12"/>
        <v>74706</v>
      </c>
      <c r="R200">
        <v>4</v>
      </c>
      <c r="S200" s="26">
        <f t="shared" si="13"/>
        <v>74806</v>
      </c>
    </row>
    <row r="201" spans="16:19" x14ac:dyDescent="0.25">
      <c r="P201">
        <f t="shared" si="11"/>
        <v>2015</v>
      </c>
      <c r="Q201">
        <f t="shared" si="12"/>
        <v>74706</v>
      </c>
      <c r="R201">
        <v>5</v>
      </c>
      <c r="S201" s="26">
        <f t="shared" si="13"/>
        <v>74839.333333333328</v>
      </c>
    </row>
    <row r="202" spans="16:19" x14ac:dyDescent="0.25">
      <c r="P202">
        <f t="shared" si="11"/>
        <v>2015</v>
      </c>
      <c r="Q202">
        <f t="shared" si="12"/>
        <v>74706</v>
      </c>
      <c r="R202">
        <v>6</v>
      </c>
      <c r="S202" s="26">
        <f t="shared" si="13"/>
        <v>74872.666666666672</v>
      </c>
    </row>
    <row r="203" spans="16:19" x14ac:dyDescent="0.25">
      <c r="P203">
        <f t="shared" si="11"/>
        <v>2015</v>
      </c>
      <c r="Q203">
        <f t="shared" si="12"/>
        <v>74706</v>
      </c>
      <c r="R203">
        <v>7</v>
      </c>
      <c r="S203" s="26">
        <f t="shared" si="13"/>
        <v>74906</v>
      </c>
    </row>
    <row r="204" spans="16:19" x14ac:dyDescent="0.25">
      <c r="P204">
        <f t="shared" si="11"/>
        <v>2015</v>
      </c>
      <c r="Q204">
        <f t="shared" si="12"/>
        <v>74706</v>
      </c>
      <c r="R204">
        <v>8</v>
      </c>
      <c r="S204" s="26">
        <f t="shared" si="13"/>
        <v>74939.333333333328</v>
      </c>
    </row>
    <row r="205" spans="16:19" x14ac:dyDescent="0.25">
      <c r="P205">
        <f t="shared" si="11"/>
        <v>2015</v>
      </c>
      <c r="Q205">
        <f t="shared" si="12"/>
        <v>74706</v>
      </c>
      <c r="R205">
        <v>9</v>
      </c>
      <c r="S205" s="26">
        <f t="shared" si="13"/>
        <v>74972.666666666672</v>
      </c>
    </row>
    <row r="206" spans="16:19" x14ac:dyDescent="0.25">
      <c r="P206">
        <f t="shared" si="11"/>
        <v>2015</v>
      </c>
      <c r="Q206">
        <f t="shared" si="12"/>
        <v>74706</v>
      </c>
      <c r="R206">
        <v>10</v>
      </c>
      <c r="S206" s="26">
        <f t="shared" si="13"/>
        <v>75006</v>
      </c>
    </row>
    <row r="207" spans="16:19" x14ac:dyDescent="0.25">
      <c r="P207">
        <f t="shared" si="11"/>
        <v>2015</v>
      </c>
      <c r="Q207">
        <f t="shared" si="12"/>
        <v>74706</v>
      </c>
      <c r="R207">
        <v>11</v>
      </c>
      <c r="S207" s="26">
        <f t="shared" si="13"/>
        <v>75039.333333333328</v>
      </c>
    </row>
    <row r="208" spans="16:19" x14ac:dyDescent="0.25">
      <c r="P208">
        <f t="shared" si="11"/>
        <v>2015</v>
      </c>
      <c r="Q208">
        <f t="shared" si="12"/>
        <v>74706</v>
      </c>
      <c r="R208">
        <v>12</v>
      </c>
      <c r="S208" s="26">
        <f t="shared" si="13"/>
        <v>75072.666666666672</v>
      </c>
    </row>
    <row r="209" spans="16:19" x14ac:dyDescent="0.25">
      <c r="P209">
        <f t="shared" si="11"/>
        <v>2016</v>
      </c>
      <c r="Q209">
        <f t="shared" si="12"/>
        <v>75106</v>
      </c>
      <c r="R209">
        <v>1</v>
      </c>
      <c r="S209" s="26">
        <f t="shared" si="13"/>
        <v>75106</v>
      </c>
    </row>
    <row r="210" spans="16:19" x14ac:dyDescent="0.25">
      <c r="P210">
        <v>2016</v>
      </c>
      <c r="Q210">
        <f t="shared" si="12"/>
        <v>75106</v>
      </c>
      <c r="R210">
        <v>2</v>
      </c>
      <c r="S210" s="26">
        <f t="shared" si="13"/>
        <v>75097.166666666672</v>
      </c>
    </row>
    <row r="211" spans="16:19" x14ac:dyDescent="0.25">
      <c r="P211">
        <v>2016</v>
      </c>
      <c r="Q211">
        <f t="shared" si="12"/>
        <v>75106</v>
      </c>
      <c r="R211">
        <v>3</v>
      </c>
      <c r="S211" s="26">
        <f t="shared" si="13"/>
        <v>75088.333333333328</v>
      </c>
    </row>
    <row r="212" spans="16:19" x14ac:dyDescent="0.25">
      <c r="P212">
        <v>2016</v>
      </c>
      <c r="Q212">
        <f t="shared" si="12"/>
        <v>75106</v>
      </c>
      <c r="R212">
        <v>4</v>
      </c>
      <c r="S212" s="26">
        <f t="shared" si="13"/>
        <v>75079.5</v>
      </c>
    </row>
    <row r="213" spans="16:19" x14ac:dyDescent="0.25">
      <c r="P213">
        <v>2016</v>
      </c>
      <c r="Q213">
        <f t="shared" si="12"/>
        <v>75106</v>
      </c>
      <c r="R213">
        <v>5</v>
      </c>
      <c r="S213" s="26">
        <f t="shared" si="13"/>
        <v>75070.666666666672</v>
      </c>
    </row>
    <row r="214" spans="16:19" x14ac:dyDescent="0.25">
      <c r="P214">
        <v>2016</v>
      </c>
      <c r="Q214">
        <f t="shared" si="12"/>
        <v>75106</v>
      </c>
      <c r="R214">
        <v>6</v>
      </c>
      <c r="S214" s="26">
        <f t="shared" si="13"/>
        <v>75061.833333333328</v>
      </c>
    </row>
    <row r="215" spans="16:19" x14ac:dyDescent="0.25">
      <c r="P215">
        <v>2016</v>
      </c>
      <c r="Q215">
        <f t="shared" si="12"/>
        <v>75106</v>
      </c>
      <c r="R215">
        <v>7</v>
      </c>
      <c r="S215" s="26">
        <f t="shared" si="13"/>
        <v>75053</v>
      </c>
    </row>
    <row r="216" spans="16:19" x14ac:dyDescent="0.25">
      <c r="P216">
        <v>2016</v>
      </c>
      <c r="Q216">
        <f t="shared" si="12"/>
        <v>75106</v>
      </c>
      <c r="R216">
        <v>8</v>
      </c>
      <c r="S216" s="26">
        <f t="shared" si="13"/>
        <v>75044.166666666672</v>
      </c>
    </row>
    <row r="217" spans="16:19" x14ac:dyDescent="0.25">
      <c r="P217">
        <v>2016</v>
      </c>
      <c r="Q217">
        <f t="shared" si="12"/>
        <v>75106</v>
      </c>
      <c r="R217">
        <v>9</v>
      </c>
      <c r="S217" s="26">
        <f t="shared" si="13"/>
        <v>75035.333333333328</v>
      </c>
    </row>
    <row r="218" spans="16:19" x14ac:dyDescent="0.25">
      <c r="P218">
        <v>2016</v>
      </c>
      <c r="Q218">
        <f t="shared" si="12"/>
        <v>75106</v>
      </c>
      <c r="R218">
        <v>10</v>
      </c>
      <c r="S218" s="26">
        <f t="shared" si="13"/>
        <v>75026.5</v>
      </c>
    </row>
    <row r="219" spans="16:19" x14ac:dyDescent="0.25">
      <c r="P219">
        <v>2016</v>
      </c>
      <c r="Q219">
        <f t="shared" si="12"/>
        <v>75106</v>
      </c>
      <c r="R219">
        <v>11</v>
      </c>
      <c r="S219" s="26">
        <f t="shared" si="13"/>
        <v>75017.666666666672</v>
      </c>
    </row>
    <row r="220" spans="16:19" x14ac:dyDescent="0.25">
      <c r="P220">
        <v>2016</v>
      </c>
      <c r="Q220">
        <f t="shared" si="12"/>
        <v>75106</v>
      </c>
      <c r="R220">
        <v>12</v>
      </c>
      <c r="S220" s="26">
        <f t="shared" si="13"/>
        <v>75008.833333333328</v>
      </c>
    </row>
    <row r="221" spans="16:19" x14ac:dyDescent="0.25">
      <c r="P221">
        <v>2017</v>
      </c>
      <c r="Q221">
        <f t="shared" si="12"/>
        <v>75000</v>
      </c>
      <c r="R221">
        <v>1</v>
      </c>
      <c r="S221" s="26">
        <f t="shared" si="13"/>
        <v>75000</v>
      </c>
    </row>
    <row r="222" spans="16:19" x14ac:dyDescent="0.25">
      <c r="P222">
        <v>2017</v>
      </c>
      <c r="Q222">
        <f t="shared" si="12"/>
        <v>75000</v>
      </c>
      <c r="R222">
        <v>2</v>
      </c>
      <c r="S222" s="26">
        <f t="shared" si="13"/>
        <v>75000</v>
      </c>
    </row>
    <row r="223" spans="16:19" x14ac:dyDescent="0.25">
      <c r="P223">
        <v>2017</v>
      </c>
      <c r="Q223">
        <f t="shared" si="12"/>
        <v>75000</v>
      </c>
      <c r="R223">
        <v>3</v>
      </c>
      <c r="S223" s="26">
        <f t="shared" si="13"/>
        <v>75000</v>
      </c>
    </row>
    <row r="224" spans="16:19" x14ac:dyDescent="0.25">
      <c r="P224">
        <v>2017</v>
      </c>
      <c r="Q224">
        <f t="shared" si="12"/>
        <v>75000</v>
      </c>
      <c r="R224">
        <v>4</v>
      </c>
      <c r="S224" s="26">
        <f t="shared" si="13"/>
        <v>75000</v>
      </c>
    </row>
    <row r="225" spans="16:19" x14ac:dyDescent="0.25">
      <c r="P225">
        <v>2017</v>
      </c>
      <c r="Q225">
        <f t="shared" si="12"/>
        <v>75000</v>
      </c>
      <c r="R225">
        <v>5</v>
      </c>
      <c r="S225" s="26">
        <f t="shared" si="13"/>
        <v>75000</v>
      </c>
    </row>
    <row r="226" spans="16:19" x14ac:dyDescent="0.25">
      <c r="P226">
        <v>2017</v>
      </c>
      <c r="Q226">
        <f t="shared" si="12"/>
        <v>75000</v>
      </c>
      <c r="R226">
        <v>6</v>
      </c>
      <c r="S226" s="26">
        <f t="shared" si="13"/>
        <v>75000</v>
      </c>
    </row>
    <row r="227" spans="16:19" x14ac:dyDescent="0.25">
      <c r="P227">
        <v>2017</v>
      </c>
      <c r="Q227">
        <f t="shared" si="12"/>
        <v>75000</v>
      </c>
      <c r="R227">
        <v>7</v>
      </c>
    </row>
    <row r="228" spans="16:19" x14ac:dyDescent="0.25">
      <c r="P228">
        <v>2017</v>
      </c>
      <c r="Q228">
        <f t="shared" si="12"/>
        <v>75000</v>
      </c>
      <c r="R228">
        <v>8</v>
      </c>
    </row>
    <row r="229" spans="16:19" x14ac:dyDescent="0.25">
      <c r="P229">
        <v>2017</v>
      </c>
      <c r="Q229">
        <f t="shared" si="12"/>
        <v>75000</v>
      </c>
      <c r="R229">
        <v>9</v>
      </c>
    </row>
    <row r="230" spans="16:19" x14ac:dyDescent="0.25">
      <c r="P230">
        <v>2017</v>
      </c>
      <c r="Q230">
        <f t="shared" si="12"/>
        <v>75000</v>
      </c>
      <c r="R230">
        <v>10</v>
      </c>
    </row>
    <row r="231" spans="16:19" x14ac:dyDescent="0.25">
      <c r="P231">
        <v>2017</v>
      </c>
      <c r="Q231">
        <f t="shared" si="12"/>
        <v>75000</v>
      </c>
      <c r="R231">
        <v>11</v>
      </c>
    </row>
    <row r="232" spans="16:19" x14ac:dyDescent="0.25">
      <c r="P232">
        <v>2017</v>
      </c>
      <c r="Q232">
        <f t="shared" si="12"/>
        <v>75000</v>
      </c>
      <c r="R232">
        <v>12</v>
      </c>
    </row>
    <row r="233" spans="16:19" x14ac:dyDescent="0.25">
      <c r="P233">
        <v>2018</v>
      </c>
      <c r="Q233">
        <f t="shared" si="12"/>
        <v>75000</v>
      </c>
    </row>
    <row r="234" spans="16:19" x14ac:dyDescent="0.25">
      <c r="P234">
        <v>2018</v>
      </c>
      <c r="Q234">
        <f t="shared" si="12"/>
        <v>75000</v>
      </c>
    </row>
    <row r="235" spans="16:19" x14ac:dyDescent="0.25">
      <c r="P235">
        <v>2018</v>
      </c>
      <c r="Q235">
        <f t="shared" si="12"/>
        <v>75000</v>
      </c>
    </row>
    <row r="236" spans="16:19" x14ac:dyDescent="0.25">
      <c r="P236">
        <v>2018</v>
      </c>
      <c r="Q236">
        <f t="shared" si="12"/>
        <v>75000</v>
      </c>
    </row>
    <row r="237" spans="16:19" x14ac:dyDescent="0.25">
      <c r="P237">
        <v>2018</v>
      </c>
      <c r="Q237">
        <f t="shared" si="12"/>
        <v>75000</v>
      </c>
    </row>
    <row r="238" spans="16:19" x14ac:dyDescent="0.25">
      <c r="P238">
        <v>2018</v>
      </c>
      <c r="Q238">
        <f t="shared" si="12"/>
        <v>75000</v>
      </c>
    </row>
    <row r="239" spans="16:19" x14ac:dyDescent="0.25">
      <c r="P239">
        <v>2018</v>
      </c>
      <c r="Q239">
        <f t="shared" si="12"/>
        <v>75000</v>
      </c>
    </row>
    <row r="240" spans="16:19" x14ac:dyDescent="0.25">
      <c r="P240">
        <v>2018</v>
      </c>
      <c r="Q240">
        <f t="shared" si="12"/>
        <v>75000</v>
      </c>
    </row>
    <row r="241" spans="16:17" x14ac:dyDescent="0.25">
      <c r="P241">
        <v>2018</v>
      </c>
      <c r="Q241">
        <f t="shared" si="12"/>
        <v>75000</v>
      </c>
    </row>
    <row r="242" spans="16:17" x14ac:dyDescent="0.25">
      <c r="P242">
        <v>2018</v>
      </c>
      <c r="Q242">
        <f t="shared" si="12"/>
        <v>75000</v>
      </c>
    </row>
    <row r="243" spans="16:17" x14ac:dyDescent="0.25">
      <c r="P243">
        <v>2018</v>
      </c>
      <c r="Q243">
        <f t="shared" si="12"/>
        <v>75000</v>
      </c>
    </row>
    <row r="244" spans="16:17" x14ac:dyDescent="0.25">
      <c r="P244">
        <v>2018</v>
      </c>
      <c r="Q244">
        <f t="shared" si="12"/>
        <v>75000</v>
      </c>
    </row>
    <row r="245" spans="16:17" x14ac:dyDescent="0.25">
      <c r="P245">
        <v>2018</v>
      </c>
      <c r="Q245">
        <f t="shared" si="12"/>
        <v>75000</v>
      </c>
    </row>
    <row r="246" spans="16:17" x14ac:dyDescent="0.25">
      <c r="P246">
        <v>2018</v>
      </c>
      <c r="Q246">
        <f t="shared" si="12"/>
        <v>75000</v>
      </c>
    </row>
  </sheetData>
  <pageMargins left="0.5" right="0.5" top="0.5" bottom="0.5" header="0.5" footer="0.5"/>
  <pageSetup scale="78" orientation="portrait" r:id="rId1"/>
  <headerFooter alignWithMargins="0"/>
  <rowBreaks count="2" manualBreakCount="2">
    <brk id="45" max="16383" man="1"/>
    <brk id="8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workbookViewId="0">
      <selection activeCell="C39" sqref="C39"/>
    </sheetView>
  </sheetViews>
  <sheetFormatPr defaultRowHeight="15" customHeight="1" x14ac:dyDescent="0.25"/>
  <cols>
    <col min="1" max="1" width="10.7109375" bestFit="1" customWidth="1"/>
    <col min="2" max="2" width="13.42578125" bestFit="1" customWidth="1"/>
  </cols>
  <sheetData>
    <row r="1" spans="1:4" ht="15" customHeight="1" x14ac:dyDescent="0.25">
      <c r="A1" t="s">
        <v>0</v>
      </c>
      <c r="B1" t="s">
        <v>1</v>
      </c>
      <c r="D1" t="s">
        <v>10</v>
      </c>
    </row>
    <row r="2" spans="1:4" ht="15" customHeight="1" x14ac:dyDescent="0.25">
      <c r="A2" t="s">
        <v>2</v>
      </c>
      <c r="B2" s="1">
        <v>36191</v>
      </c>
    </row>
    <row r="3" spans="1:4" ht="15" customHeight="1" x14ac:dyDescent="0.25">
      <c r="A3" t="s">
        <v>3</v>
      </c>
      <c r="B3" s="1">
        <v>42429</v>
      </c>
    </row>
    <row r="4" spans="1:4" ht="15" customHeight="1" x14ac:dyDescent="0.25">
      <c r="A4" t="s">
        <v>4</v>
      </c>
      <c r="B4" t="s">
        <v>5</v>
      </c>
    </row>
    <row r="6" spans="1:4" ht="15" customHeight="1" x14ac:dyDescent="0.25">
      <c r="A6" t="s">
        <v>6</v>
      </c>
      <c r="B6" t="s">
        <v>7</v>
      </c>
      <c r="C6" t="s">
        <v>8</v>
      </c>
    </row>
    <row r="7" spans="1:4" ht="15" customHeight="1" x14ac:dyDescent="0.25">
      <c r="A7" s="2" t="e">
        <f ca="1">_xll.BDH(B1,B6:C6,B2,B3,"Dir=V","Dts=S","Sort=D","Quote=C","QtTyp=P","Days=T",CONCATENATE("Per=c",B4),"DtFmt=D","UseDPDF=Y","cols=3;rows=206")</f>
        <v>#NAME?</v>
      </c>
      <c r="B7">
        <v>5.08</v>
      </c>
      <c r="C7" t="s">
        <v>9</v>
      </c>
    </row>
    <row r="8" spans="1:4" ht="15" customHeight="1" x14ac:dyDescent="0.25">
      <c r="A8" s="2">
        <v>42400</v>
      </c>
      <c r="B8">
        <v>5.47</v>
      </c>
      <c r="C8" t="s">
        <v>9</v>
      </c>
    </row>
    <row r="9" spans="1:4" ht="15" customHeight="1" x14ac:dyDescent="0.25">
      <c r="A9" s="2">
        <v>42369</v>
      </c>
      <c r="B9">
        <v>5.45</v>
      </c>
      <c r="C9">
        <v>5.45</v>
      </c>
    </row>
    <row r="10" spans="1:4" ht="15" customHeight="1" x14ac:dyDescent="0.25">
      <c r="A10" s="2">
        <v>42338</v>
      </c>
      <c r="B10">
        <v>4.8600000000000003</v>
      </c>
      <c r="C10" t="s">
        <v>9</v>
      </c>
    </row>
    <row r="11" spans="1:4" ht="15" customHeight="1" x14ac:dyDescent="0.25">
      <c r="A11" s="2">
        <v>42308</v>
      </c>
      <c r="B11">
        <v>5.29</v>
      </c>
      <c r="C11">
        <v>5.32</v>
      </c>
    </row>
    <row r="12" spans="1:4" ht="15" customHeight="1" x14ac:dyDescent="0.25">
      <c r="A12" s="2">
        <v>42277</v>
      </c>
      <c r="B12">
        <v>5.44</v>
      </c>
      <c r="C12" t="s">
        <v>9</v>
      </c>
    </row>
    <row r="13" spans="1:4" ht="15" customHeight="1" x14ac:dyDescent="0.25">
      <c r="A13" s="2">
        <v>42247</v>
      </c>
      <c r="B13">
        <v>5.29</v>
      </c>
      <c r="C13">
        <v>5.3</v>
      </c>
    </row>
    <row r="14" spans="1:4" ht="15" customHeight="1" x14ac:dyDescent="0.25">
      <c r="A14" s="2">
        <v>42216</v>
      </c>
      <c r="B14">
        <v>5.48</v>
      </c>
      <c r="C14">
        <v>5.58</v>
      </c>
    </row>
    <row r="15" spans="1:4" ht="15" customHeight="1" x14ac:dyDescent="0.25">
      <c r="A15" s="2">
        <v>42185</v>
      </c>
      <c r="B15">
        <v>5.41</v>
      </c>
      <c r="C15">
        <v>5.48</v>
      </c>
    </row>
    <row r="16" spans="1:4" ht="15" customHeight="1" x14ac:dyDescent="0.25">
      <c r="A16" s="2">
        <v>42155</v>
      </c>
      <c r="B16">
        <v>5.29</v>
      </c>
      <c r="C16">
        <v>5.32</v>
      </c>
    </row>
    <row r="17" spans="1:3" ht="15" customHeight="1" x14ac:dyDescent="0.25">
      <c r="A17" s="2">
        <v>42124</v>
      </c>
      <c r="B17">
        <v>5.14</v>
      </c>
      <c r="C17">
        <v>5.09</v>
      </c>
    </row>
    <row r="18" spans="1:3" ht="15" customHeight="1" x14ac:dyDescent="0.25">
      <c r="A18" s="2">
        <v>42094</v>
      </c>
      <c r="B18">
        <v>5.25</v>
      </c>
      <c r="C18">
        <v>5.21</v>
      </c>
    </row>
    <row r="19" spans="1:3" ht="15" customHeight="1" x14ac:dyDescent="0.25">
      <c r="A19" s="2">
        <v>42063</v>
      </c>
      <c r="B19">
        <v>4.97</v>
      </c>
      <c r="C19">
        <v>4.8899999999999997</v>
      </c>
    </row>
    <row r="20" spans="1:3" ht="15" customHeight="1" x14ac:dyDescent="0.25">
      <c r="A20" s="2">
        <v>42035</v>
      </c>
      <c r="B20">
        <v>4.93</v>
      </c>
      <c r="C20" t="s">
        <v>9</v>
      </c>
    </row>
    <row r="21" spans="1:3" ht="15" customHeight="1" x14ac:dyDescent="0.25">
      <c r="A21" s="2">
        <v>42004</v>
      </c>
      <c r="B21">
        <v>5.07</v>
      </c>
      <c r="C21">
        <v>5.07</v>
      </c>
    </row>
    <row r="22" spans="1:3" ht="15" customHeight="1" x14ac:dyDescent="0.25">
      <c r="A22" s="2">
        <v>41973</v>
      </c>
      <c r="B22">
        <v>5.04</v>
      </c>
      <c r="C22">
        <v>4.92</v>
      </c>
    </row>
    <row r="23" spans="1:3" ht="15" customHeight="1" x14ac:dyDescent="0.25">
      <c r="A23" s="2">
        <v>41943</v>
      </c>
      <c r="B23">
        <v>5.14</v>
      </c>
      <c r="C23">
        <v>5.25</v>
      </c>
    </row>
    <row r="24" spans="1:3" ht="15" customHeight="1" x14ac:dyDescent="0.25">
      <c r="A24" s="2">
        <v>41912</v>
      </c>
      <c r="B24">
        <v>5.03</v>
      </c>
      <c r="C24">
        <v>5.18</v>
      </c>
    </row>
    <row r="25" spans="1:3" ht="15" customHeight="1" x14ac:dyDescent="0.25">
      <c r="A25" s="2">
        <v>41882</v>
      </c>
      <c r="B25">
        <v>4.96</v>
      </c>
      <c r="C25" t="s">
        <v>9</v>
      </c>
    </row>
    <row r="26" spans="1:3" ht="15" customHeight="1" x14ac:dyDescent="0.25">
      <c r="A26" s="2">
        <v>41851</v>
      </c>
      <c r="B26">
        <v>4.99</v>
      </c>
      <c r="C26">
        <v>5.14</v>
      </c>
    </row>
    <row r="27" spans="1:3" ht="15" customHeight="1" x14ac:dyDescent="0.25">
      <c r="A27" s="2">
        <v>41820</v>
      </c>
      <c r="B27">
        <v>4.97</v>
      </c>
      <c r="C27">
        <v>5.03</v>
      </c>
    </row>
    <row r="28" spans="1:3" ht="15" customHeight="1" x14ac:dyDescent="0.25">
      <c r="A28" s="2">
        <v>41790</v>
      </c>
      <c r="B28">
        <v>4.9000000000000004</v>
      </c>
      <c r="C28">
        <v>4.91</v>
      </c>
    </row>
    <row r="29" spans="1:3" ht="15" customHeight="1" x14ac:dyDescent="0.25">
      <c r="A29" s="2">
        <v>41759</v>
      </c>
      <c r="B29">
        <v>4.78</v>
      </c>
      <c r="C29">
        <v>4.66</v>
      </c>
    </row>
    <row r="30" spans="1:3" ht="15" customHeight="1" x14ac:dyDescent="0.25">
      <c r="A30" s="2">
        <v>41729</v>
      </c>
      <c r="B30">
        <v>4.74</v>
      </c>
      <c r="C30" t="s">
        <v>9</v>
      </c>
    </row>
    <row r="31" spans="1:3" ht="15" customHeight="1" x14ac:dyDescent="0.25">
      <c r="A31" s="2">
        <v>41698</v>
      </c>
      <c r="B31">
        <v>4.72</v>
      </c>
      <c r="C31" t="s">
        <v>9</v>
      </c>
    </row>
    <row r="32" spans="1:3" ht="15" customHeight="1" x14ac:dyDescent="0.25">
      <c r="A32" s="2">
        <v>41670</v>
      </c>
      <c r="B32">
        <v>4.74</v>
      </c>
      <c r="C32" t="s">
        <v>9</v>
      </c>
    </row>
    <row r="33" spans="1:3" ht="15" customHeight="1" x14ac:dyDescent="0.25">
      <c r="A33" s="2">
        <v>41639</v>
      </c>
      <c r="B33">
        <v>4.8600000000000003</v>
      </c>
      <c r="C33" t="s">
        <v>9</v>
      </c>
    </row>
    <row r="34" spans="1:3" ht="15" customHeight="1" x14ac:dyDescent="0.25">
      <c r="A34" s="2">
        <v>41608</v>
      </c>
      <c r="B34">
        <v>4.92</v>
      </c>
      <c r="C34">
        <v>4.82</v>
      </c>
    </row>
    <row r="35" spans="1:3" ht="15" customHeight="1" x14ac:dyDescent="0.25">
      <c r="A35" s="2">
        <v>41578</v>
      </c>
      <c r="B35">
        <v>5.04</v>
      </c>
      <c r="C35" t="s">
        <v>9</v>
      </c>
    </row>
    <row r="36" spans="1:3" ht="15" customHeight="1" x14ac:dyDescent="0.25">
      <c r="A36" s="2">
        <v>41547</v>
      </c>
      <c r="B36">
        <v>5.14</v>
      </c>
      <c r="C36" t="s">
        <v>9</v>
      </c>
    </row>
    <row r="37" spans="1:3" ht="15" customHeight="1" x14ac:dyDescent="0.25">
      <c r="A37" s="2">
        <v>41517</v>
      </c>
      <c r="B37">
        <v>5.26</v>
      </c>
      <c r="C37">
        <v>5.39</v>
      </c>
    </row>
    <row r="38" spans="1:3" ht="15" customHeight="1" x14ac:dyDescent="0.25">
      <c r="A38" s="2">
        <v>41486</v>
      </c>
      <c r="B38">
        <v>5.27</v>
      </c>
      <c r="C38" t="s">
        <v>9</v>
      </c>
    </row>
    <row r="39" spans="1:3" ht="15" customHeight="1" x14ac:dyDescent="0.25">
      <c r="A39" s="2">
        <v>41455</v>
      </c>
      <c r="B39">
        <v>5.1100000000000003</v>
      </c>
      <c r="C39">
        <v>5.0599999999999996</v>
      </c>
    </row>
    <row r="40" spans="1:3" ht="15" customHeight="1" x14ac:dyDescent="0.25">
      <c r="A40" s="2">
        <v>41425</v>
      </c>
      <c r="B40">
        <v>5.14</v>
      </c>
      <c r="C40">
        <v>5.14</v>
      </c>
    </row>
    <row r="41" spans="1:3" ht="15" customHeight="1" x14ac:dyDescent="0.25">
      <c r="A41" s="2">
        <v>41394</v>
      </c>
      <c r="B41">
        <v>5.09</v>
      </c>
      <c r="C41" t="s">
        <v>9</v>
      </c>
    </row>
    <row r="42" spans="1:3" ht="15" customHeight="1" x14ac:dyDescent="0.25">
      <c r="A42" s="2">
        <v>41364</v>
      </c>
      <c r="B42">
        <v>5.07</v>
      </c>
      <c r="C42">
        <v>4.9399999999999995</v>
      </c>
    </row>
    <row r="43" spans="1:3" ht="15" customHeight="1" x14ac:dyDescent="0.25">
      <c r="A43" s="2">
        <v>41333</v>
      </c>
      <c r="B43">
        <v>5.0599999999999996</v>
      </c>
      <c r="C43">
        <v>4.95</v>
      </c>
    </row>
    <row r="44" spans="1:3" ht="15" customHeight="1" x14ac:dyDescent="0.25">
      <c r="A44" s="2">
        <v>41305</v>
      </c>
      <c r="B44">
        <v>4.9800000000000004</v>
      </c>
      <c r="C44">
        <v>4.9399999999999995</v>
      </c>
    </row>
    <row r="45" spans="1:3" ht="15" customHeight="1" x14ac:dyDescent="0.25">
      <c r="A45" s="2">
        <v>41274</v>
      </c>
      <c r="B45">
        <v>4.8899999999999997</v>
      </c>
      <c r="C45">
        <v>4.9000000000000004</v>
      </c>
    </row>
    <row r="46" spans="1:3" ht="15" customHeight="1" x14ac:dyDescent="0.25">
      <c r="A46" s="2">
        <v>41243</v>
      </c>
      <c r="B46">
        <v>4.96</v>
      </c>
      <c r="C46">
        <v>4.99</v>
      </c>
    </row>
    <row r="47" spans="1:3" ht="15" customHeight="1" x14ac:dyDescent="0.25">
      <c r="A47" s="2">
        <v>41213</v>
      </c>
      <c r="B47">
        <v>4.79</v>
      </c>
      <c r="C47">
        <v>4.76</v>
      </c>
    </row>
    <row r="48" spans="1:3" ht="15" customHeight="1" x14ac:dyDescent="0.25">
      <c r="A48" s="2">
        <v>41182</v>
      </c>
      <c r="B48">
        <v>4.71</v>
      </c>
      <c r="C48">
        <v>4.6899999999999995</v>
      </c>
    </row>
    <row r="49" spans="1:3" ht="15" customHeight="1" x14ac:dyDescent="0.25">
      <c r="A49" s="2">
        <v>41152</v>
      </c>
      <c r="B49">
        <v>4.76</v>
      </c>
      <c r="C49">
        <v>4.83</v>
      </c>
    </row>
    <row r="50" spans="1:3" ht="15" customHeight="1" x14ac:dyDescent="0.25">
      <c r="A50" s="2">
        <v>41121</v>
      </c>
      <c r="B50">
        <v>4.53</v>
      </c>
      <c r="C50" t="s">
        <v>9</v>
      </c>
    </row>
    <row r="51" spans="1:3" ht="15" customHeight="1" x14ac:dyDescent="0.25">
      <c r="A51" s="2">
        <v>41090</v>
      </c>
      <c r="B51">
        <v>4.47</v>
      </c>
      <c r="C51" t="s">
        <v>9</v>
      </c>
    </row>
    <row r="52" spans="1:3" ht="15" customHeight="1" x14ac:dyDescent="0.25">
      <c r="A52" s="2">
        <v>41060</v>
      </c>
      <c r="B52">
        <v>4.5999999999999996</v>
      </c>
      <c r="C52">
        <v>4.62</v>
      </c>
    </row>
    <row r="53" spans="1:3" ht="15" customHeight="1" x14ac:dyDescent="0.25">
      <c r="A53" s="2">
        <v>41029</v>
      </c>
      <c r="B53">
        <v>4.59</v>
      </c>
      <c r="C53" t="s">
        <v>9</v>
      </c>
    </row>
    <row r="54" spans="1:3" ht="15" customHeight="1" x14ac:dyDescent="0.25">
      <c r="A54" s="2">
        <v>40999</v>
      </c>
      <c r="B54">
        <v>4.5199999999999996</v>
      </c>
      <c r="C54">
        <v>4.47</v>
      </c>
    </row>
    <row r="55" spans="1:3" ht="15" customHeight="1" x14ac:dyDescent="0.25">
      <c r="A55" s="2">
        <v>40968</v>
      </c>
      <c r="B55">
        <v>4.58</v>
      </c>
      <c r="C55">
        <v>4.5999999999999996</v>
      </c>
    </row>
    <row r="56" spans="1:3" ht="15" customHeight="1" x14ac:dyDescent="0.25">
      <c r="A56" s="2">
        <v>40939</v>
      </c>
      <c r="B56">
        <v>4.4800000000000004</v>
      </c>
      <c r="C56">
        <v>4.63</v>
      </c>
    </row>
    <row r="57" spans="1:3" ht="15" customHeight="1" x14ac:dyDescent="0.25">
      <c r="A57" s="2">
        <v>40908</v>
      </c>
      <c r="B57">
        <v>4.3499999999999996</v>
      </c>
      <c r="C57">
        <v>4.38</v>
      </c>
    </row>
    <row r="58" spans="1:3" ht="15" customHeight="1" x14ac:dyDescent="0.25">
      <c r="A58" s="2">
        <v>40877</v>
      </c>
      <c r="B58">
        <v>4.3899999999999997</v>
      </c>
      <c r="C58">
        <v>4.3899999999999997</v>
      </c>
    </row>
    <row r="59" spans="1:3" ht="15" customHeight="1" x14ac:dyDescent="0.25">
      <c r="A59" s="2">
        <v>40847</v>
      </c>
      <c r="B59">
        <v>4.34</v>
      </c>
      <c r="C59">
        <v>4.25</v>
      </c>
    </row>
    <row r="60" spans="1:3" ht="15" customHeight="1" x14ac:dyDescent="0.25">
      <c r="A60" s="2">
        <v>40816</v>
      </c>
      <c r="B60">
        <v>4.33</v>
      </c>
      <c r="C60">
        <v>4.9000000000000004</v>
      </c>
    </row>
    <row r="61" spans="1:3" ht="15" customHeight="1" x14ac:dyDescent="0.25">
      <c r="A61" s="2">
        <v>40786</v>
      </c>
      <c r="B61">
        <v>4.38</v>
      </c>
      <c r="C61">
        <v>5.0599999999999996</v>
      </c>
    </row>
    <row r="62" spans="1:3" ht="15" customHeight="1" x14ac:dyDescent="0.25">
      <c r="A62" s="2">
        <v>40755</v>
      </c>
      <c r="B62">
        <v>4.1500000000000004</v>
      </c>
      <c r="C62" t="s">
        <v>9</v>
      </c>
    </row>
    <row r="63" spans="1:3" ht="15" customHeight="1" x14ac:dyDescent="0.25">
      <c r="A63" s="2">
        <v>40724</v>
      </c>
      <c r="B63">
        <v>4.2300000000000004</v>
      </c>
      <c r="C63">
        <v>4.84</v>
      </c>
    </row>
    <row r="64" spans="1:3" ht="15" customHeight="1" x14ac:dyDescent="0.25">
      <c r="A64" s="2">
        <v>40694</v>
      </c>
      <c r="B64">
        <v>4.1399999999999997</v>
      </c>
      <c r="C64" t="s">
        <v>9</v>
      </c>
    </row>
    <row r="65" spans="1:3" ht="15" customHeight="1" x14ac:dyDescent="0.25">
      <c r="A65" s="2">
        <v>40663</v>
      </c>
      <c r="B65">
        <v>4.17</v>
      </c>
      <c r="C65">
        <v>5</v>
      </c>
    </row>
    <row r="66" spans="1:3" ht="15" customHeight="1" x14ac:dyDescent="0.25">
      <c r="A66" s="2">
        <v>40633</v>
      </c>
      <c r="B66">
        <v>4.26</v>
      </c>
      <c r="C66">
        <v>5.09</v>
      </c>
    </row>
    <row r="67" spans="1:3" ht="15" customHeight="1" x14ac:dyDescent="0.25">
      <c r="A67" s="2">
        <v>40602</v>
      </c>
      <c r="B67">
        <v>4.16</v>
      </c>
      <c r="C67">
        <v>4.92</v>
      </c>
    </row>
    <row r="68" spans="1:3" ht="15" customHeight="1" x14ac:dyDescent="0.25">
      <c r="A68" s="2">
        <v>40574</v>
      </c>
      <c r="B68">
        <v>4.42</v>
      </c>
      <c r="C68">
        <v>5.4</v>
      </c>
    </row>
    <row r="69" spans="1:3" ht="15" customHeight="1" x14ac:dyDescent="0.25">
      <c r="A69" s="2">
        <v>40543</v>
      </c>
      <c r="B69">
        <v>4.2699999999999996</v>
      </c>
      <c r="C69">
        <v>5.22</v>
      </c>
    </row>
    <row r="70" spans="1:3" ht="15" customHeight="1" x14ac:dyDescent="0.25">
      <c r="A70" s="2">
        <v>40512</v>
      </c>
      <c r="B70">
        <v>4.0199999999999996</v>
      </c>
      <c r="C70">
        <v>4.7</v>
      </c>
    </row>
    <row r="71" spans="1:3" ht="15" customHeight="1" x14ac:dyDescent="0.25">
      <c r="A71" s="2">
        <v>40482</v>
      </c>
      <c r="B71">
        <v>3.83</v>
      </c>
      <c r="C71" t="s">
        <v>9</v>
      </c>
    </row>
    <row r="72" spans="1:3" ht="15" customHeight="1" x14ac:dyDescent="0.25">
      <c r="A72" s="2">
        <v>40451</v>
      </c>
      <c r="B72">
        <v>3.84</v>
      </c>
      <c r="C72" t="s">
        <v>9</v>
      </c>
    </row>
    <row r="73" spans="1:3" ht="15" customHeight="1" x14ac:dyDescent="0.25">
      <c r="A73" s="2">
        <v>40421</v>
      </c>
      <c r="B73">
        <v>3.68</v>
      </c>
      <c r="C73">
        <v>4.12</v>
      </c>
    </row>
    <row r="74" spans="1:3" ht="15" customHeight="1" x14ac:dyDescent="0.25">
      <c r="A74" s="2">
        <v>40390</v>
      </c>
      <c r="B74">
        <v>3.45</v>
      </c>
      <c r="C74">
        <v>3.84</v>
      </c>
    </row>
    <row r="75" spans="1:3" ht="15" customHeight="1" x14ac:dyDescent="0.25">
      <c r="A75" s="2">
        <v>40359</v>
      </c>
      <c r="B75">
        <v>4.45</v>
      </c>
      <c r="C75">
        <v>5.26</v>
      </c>
    </row>
    <row r="76" spans="1:3" ht="15" customHeight="1" x14ac:dyDescent="0.25">
      <c r="A76" s="2">
        <v>40329</v>
      </c>
      <c r="B76">
        <v>4.88</v>
      </c>
      <c r="C76" t="s">
        <v>9</v>
      </c>
    </row>
    <row r="77" spans="1:3" ht="15" customHeight="1" x14ac:dyDescent="0.25">
      <c r="A77" s="2">
        <v>40298</v>
      </c>
      <c r="B77">
        <v>4.82</v>
      </c>
      <c r="C77">
        <v>5.79</v>
      </c>
    </row>
    <row r="78" spans="1:3" ht="15" customHeight="1" x14ac:dyDescent="0.25">
      <c r="A78" s="2">
        <v>40268</v>
      </c>
      <c r="B78">
        <v>4.49</v>
      </c>
      <c r="C78">
        <v>5.36</v>
      </c>
    </row>
    <row r="79" spans="1:3" ht="15" customHeight="1" x14ac:dyDescent="0.25">
      <c r="A79" s="2">
        <v>40237</v>
      </c>
      <c r="B79">
        <v>4.2699999999999996</v>
      </c>
      <c r="C79">
        <v>5.01</v>
      </c>
    </row>
    <row r="80" spans="1:3" ht="15" customHeight="1" x14ac:dyDescent="0.25">
      <c r="A80" s="2">
        <v>40209</v>
      </c>
      <c r="B80">
        <v>4.1900000000000004</v>
      </c>
      <c r="C80" t="s">
        <v>9</v>
      </c>
    </row>
    <row r="81" spans="1:3" ht="15" customHeight="1" x14ac:dyDescent="0.25">
      <c r="A81" s="2">
        <v>40178</v>
      </c>
      <c r="B81">
        <v>4.4000000000000004</v>
      </c>
      <c r="C81">
        <v>5.44</v>
      </c>
    </row>
    <row r="82" spans="1:3" ht="15" customHeight="1" x14ac:dyDescent="0.25">
      <c r="A82" s="2">
        <v>40147</v>
      </c>
      <c r="B82">
        <v>5.44</v>
      </c>
      <c r="C82" t="s">
        <v>9</v>
      </c>
    </row>
    <row r="83" spans="1:3" ht="15" customHeight="1" x14ac:dyDescent="0.25">
      <c r="A83" s="2">
        <v>40117</v>
      </c>
      <c r="B83">
        <v>5.0199999999999996</v>
      </c>
      <c r="C83">
        <v>6.09</v>
      </c>
    </row>
    <row r="84" spans="1:3" ht="15" customHeight="1" x14ac:dyDescent="0.25">
      <c r="A84" s="2">
        <v>40086</v>
      </c>
      <c r="B84">
        <v>4.62</v>
      </c>
      <c r="C84">
        <v>5.54</v>
      </c>
    </row>
    <row r="85" spans="1:3" ht="15" customHeight="1" x14ac:dyDescent="0.25">
      <c r="A85" s="2">
        <v>40056</v>
      </c>
      <c r="B85">
        <v>4.45</v>
      </c>
      <c r="C85">
        <v>5.09</v>
      </c>
    </row>
    <row r="86" spans="1:3" ht="15" customHeight="1" x14ac:dyDescent="0.25">
      <c r="A86" s="2">
        <v>40025</v>
      </c>
      <c r="B86">
        <v>4.37</v>
      </c>
      <c r="C86" t="s">
        <v>9</v>
      </c>
    </row>
    <row r="87" spans="1:3" ht="15" customHeight="1" x14ac:dyDescent="0.25">
      <c r="A87" s="2">
        <v>39994</v>
      </c>
      <c r="B87">
        <v>4.0999999999999996</v>
      </c>
      <c r="C87" t="s">
        <v>9</v>
      </c>
    </row>
    <row r="88" spans="1:3" ht="15" customHeight="1" x14ac:dyDescent="0.25">
      <c r="A88" s="2">
        <v>39964</v>
      </c>
      <c r="B88">
        <v>4</v>
      </c>
      <c r="C88">
        <v>4.72</v>
      </c>
    </row>
    <row r="89" spans="1:3" ht="15" customHeight="1" x14ac:dyDescent="0.25">
      <c r="A89" s="2">
        <v>39933</v>
      </c>
      <c r="B89">
        <v>3.9</v>
      </c>
      <c r="C89">
        <v>4.66</v>
      </c>
    </row>
    <row r="90" spans="1:3" ht="15" customHeight="1" x14ac:dyDescent="0.25">
      <c r="A90" s="2">
        <v>39903</v>
      </c>
      <c r="B90">
        <v>3.86</v>
      </c>
      <c r="C90">
        <v>4.55</v>
      </c>
    </row>
    <row r="91" spans="1:3" ht="15" customHeight="1" x14ac:dyDescent="0.25">
      <c r="A91" s="2">
        <v>39872</v>
      </c>
      <c r="B91">
        <v>3.9699999999999998</v>
      </c>
      <c r="C91" t="s">
        <v>9</v>
      </c>
    </row>
    <row r="92" spans="1:3" ht="15" customHeight="1" x14ac:dyDescent="0.25">
      <c r="A92" s="2">
        <v>39844</v>
      </c>
      <c r="B92">
        <v>3.82</v>
      </c>
      <c r="C92" t="s">
        <v>9</v>
      </c>
    </row>
    <row r="93" spans="1:3" ht="15" customHeight="1" x14ac:dyDescent="0.25">
      <c r="A93" s="2">
        <v>39813</v>
      </c>
      <c r="B93">
        <v>4.01</v>
      </c>
      <c r="C93" t="s">
        <v>9</v>
      </c>
    </row>
    <row r="94" spans="1:3" ht="15" customHeight="1" x14ac:dyDescent="0.25">
      <c r="A94" s="2">
        <v>39782</v>
      </c>
      <c r="B94">
        <v>3.77</v>
      </c>
      <c r="C94">
        <v>4.45</v>
      </c>
    </row>
    <row r="95" spans="1:3" ht="15" customHeight="1" x14ac:dyDescent="0.25">
      <c r="A95" s="2">
        <v>39752</v>
      </c>
      <c r="B95">
        <v>4.09</v>
      </c>
      <c r="C95">
        <v>4.91</v>
      </c>
    </row>
    <row r="96" spans="1:3" ht="15" customHeight="1" x14ac:dyDescent="0.25">
      <c r="A96" s="2">
        <v>39721</v>
      </c>
      <c r="B96">
        <v>4.2699999999999996</v>
      </c>
      <c r="C96">
        <v>5.14</v>
      </c>
    </row>
    <row r="97" spans="1:3" ht="15" customHeight="1" x14ac:dyDescent="0.25">
      <c r="A97" s="2">
        <v>39691</v>
      </c>
      <c r="B97">
        <v>4.1900000000000004</v>
      </c>
      <c r="C97" t="s">
        <v>9</v>
      </c>
    </row>
    <row r="98" spans="1:3" ht="15" customHeight="1" x14ac:dyDescent="0.25">
      <c r="A98" s="2">
        <v>39660</v>
      </c>
      <c r="B98">
        <v>4.1500000000000004</v>
      </c>
      <c r="C98">
        <v>5.0199999999999996</v>
      </c>
    </row>
    <row r="99" spans="1:3" ht="15" customHeight="1" x14ac:dyDescent="0.25">
      <c r="A99" s="2">
        <v>39629</v>
      </c>
      <c r="B99">
        <v>4.09</v>
      </c>
      <c r="C99">
        <v>4.8499999999999996</v>
      </c>
    </row>
    <row r="100" spans="1:3" ht="15" customHeight="1" x14ac:dyDescent="0.25">
      <c r="A100" s="2">
        <v>39599</v>
      </c>
      <c r="B100">
        <v>4.1399999999999997</v>
      </c>
      <c r="C100" t="s">
        <v>9</v>
      </c>
    </row>
    <row r="101" spans="1:3" ht="15" customHeight="1" x14ac:dyDescent="0.25">
      <c r="A101" s="2">
        <v>39568</v>
      </c>
      <c r="B101">
        <v>4.1100000000000003</v>
      </c>
      <c r="C101" t="s">
        <v>9</v>
      </c>
    </row>
    <row r="102" spans="1:3" ht="15" customHeight="1" x14ac:dyDescent="0.25">
      <c r="A102" s="2">
        <v>39538</v>
      </c>
      <c r="B102">
        <v>4.16</v>
      </c>
      <c r="C102">
        <v>4.9399999999999995</v>
      </c>
    </row>
    <row r="103" spans="1:3" ht="15" customHeight="1" x14ac:dyDescent="0.25">
      <c r="A103" s="2">
        <v>39507</v>
      </c>
      <c r="B103">
        <v>4.12</v>
      </c>
      <c r="C103" t="s">
        <v>9</v>
      </c>
    </row>
    <row r="104" spans="1:3" ht="15" customHeight="1" x14ac:dyDescent="0.25">
      <c r="A104" s="2">
        <v>39478</v>
      </c>
      <c r="B104">
        <v>4.17</v>
      </c>
      <c r="C104" t="s">
        <v>9</v>
      </c>
    </row>
    <row r="105" spans="1:3" ht="15" customHeight="1" x14ac:dyDescent="0.25">
      <c r="A105" s="2">
        <v>39447</v>
      </c>
      <c r="B105">
        <v>4.41</v>
      </c>
      <c r="C105">
        <v>4.91</v>
      </c>
    </row>
    <row r="106" spans="1:3" ht="15" customHeight="1" x14ac:dyDescent="0.25">
      <c r="A106" s="2">
        <v>39416</v>
      </c>
      <c r="B106">
        <v>4.46</v>
      </c>
      <c r="C106" t="s">
        <v>9</v>
      </c>
    </row>
    <row r="107" spans="1:3" ht="15" customHeight="1" x14ac:dyDescent="0.25">
      <c r="A107" s="2">
        <v>39386</v>
      </c>
      <c r="B107">
        <v>4.43</v>
      </c>
      <c r="C107">
        <v>5.0599999999999996</v>
      </c>
    </row>
    <row r="108" spans="1:3" ht="15" customHeight="1" x14ac:dyDescent="0.25">
      <c r="A108" s="2">
        <v>39355</v>
      </c>
      <c r="B108">
        <v>4.58</v>
      </c>
      <c r="C108">
        <v>5.03</v>
      </c>
    </row>
    <row r="109" spans="1:3" ht="15" customHeight="1" x14ac:dyDescent="0.25">
      <c r="A109" s="2">
        <v>39325</v>
      </c>
      <c r="B109">
        <v>4.87</v>
      </c>
      <c r="C109">
        <v>5.48</v>
      </c>
    </row>
    <row r="110" spans="1:3" ht="15" customHeight="1" x14ac:dyDescent="0.25">
      <c r="A110" s="2">
        <v>39294</v>
      </c>
      <c r="B110">
        <v>5.07</v>
      </c>
      <c r="C110" t="s">
        <v>9</v>
      </c>
    </row>
    <row r="111" spans="1:3" ht="15" customHeight="1" x14ac:dyDescent="0.25">
      <c r="A111" s="2">
        <v>39263</v>
      </c>
      <c r="B111">
        <v>5.12</v>
      </c>
      <c r="C111">
        <v>5.76</v>
      </c>
    </row>
    <row r="112" spans="1:3" ht="15" customHeight="1" x14ac:dyDescent="0.25">
      <c r="A112" s="2">
        <v>39233</v>
      </c>
      <c r="B112">
        <v>5.27</v>
      </c>
      <c r="C112">
        <v>5.98</v>
      </c>
    </row>
    <row r="113" spans="1:3" ht="15" customHeight="1" x14ac:dyDescent="0.25">
      <c r="A113" s="2">
        <v>39202</v>
      </c>
      <c r="B113">
        <v>5.29</v>
      </c>
      <c r="C113">
        <v>6.01</v>
      </c>
    </row>
    <row r="114" spans="1:3" ht="15" customHeight="1" x14ac:dyDescent="0.25">
      <c r="A114" s="2">
        <v>39172</v>
      </c>
      <c r="B114">
        <v>5.46</v>
      </c>
      <c r="C114">
        <v>6.15</v>
      </c>
    </row>
    <row r="115" spans="1:3" ht="15" customHeight="1" x14ac:dyDescent="0.25">
      <c r="A115" s="2">
        <v>39141</v>
      </c>
      <c r="B115">
        <v>5.79</v>
      </c>
      <c r="C115">
        <v>6.68</v>
      </c>
    </row>
    <row r="116" spans="1:3" ht="15" customHeight="1" x14ac:dyDescent="0.25">
      <c r="A116" s="2">
        <v>39113</v>
      </c>
      <c r="B116">
        <v>5.74</v>
      </c>
      <c r="C116">
        <v>6.44</v>
      </c>
    </row>
    <row r="117" spans="1:3" ht="15" customHeight="1" x14ac:dyDescent="0.25">
      <c r="A117" s="2">
        <v>39082</v>
      </c>
      <c r="B117">
        <v>6.4</v>
      </c>
      <c r="C117">
        <v>6.27</v>
      </c>
    </row>
    <row r="118" spans="1:3" ht="15" customHeight="1" x14ac:dyDescent="0.25">
      <c r="A118" s="2">
        <v>39051</v>
      </c>
      <c r="B118">
        <v>6.34</v>
      </c>
      <c r="C118" t="s">
        <v>9</v>
      </c>
    </row>
    <row r="119" spans="1:3" ht="15" customHeight="1" x14ac:dyDescent="0.25">
      <c r="A119" s="2">
        <v>39021</v>
      </c>
      <c r="B119">
        <v>6.36</v>
      </c>
      <c r="C119" t="s">
        <v>9</v>
      </c>
    </row>
    <row r="120" spans="1:3" ht="15" customHeight="1" x14ac:dyDescent="0.25">
      <c r="A120" s="2">
        <v>38990</v>
      </c>
      <c r="B120">
        <v>6.28</v>
      </c>
      <c r="C120" t="s">
        <v>9</v>
      </c>
    </row>
    <row r="121" spans="1:3" ht="15" customHeight="1" x14ac:dyDescent="0.25">
      <c r="A121" s="2">
        <v>38960</v>
      </c>
      <c r="B121">
        <v>6.34</v>
      </c>
      <c r="C121" t="s">
        <v>9</v>
      </c>
    </row>
    <row r="122" spans="1:3" ht="15" customHeight="1" x14ac:dyDescent="0.25">
      <c r="A122" s="2">
        <v>38929</v>
      </c>
      <c r="B122">
        <v>6.32</v>
      </c>
      <c r="C122" t="s">
        <v>9</v>
      </c>
    </row>
    <row r="123" spans="1:3" ht="15" customHeight="1" x14ac:dyDescent="0.25">
      <c r="A123" s="2">
        <v>38898</v>
      </c>
      <c r="B123">
        <v>6.48</v>
      </c>
      <c r="C123" t="s">
        <v>9</v>
      </c>
    </row>
    <row r="124" spans="1:3" ht="15" customHeight="1" x14ac:dyDescent="0.25">
      <c r="A124" s="2">
        <v>38868</v>
      </c>
      <c r="B124">
        <v>6.58</v>
      </c>
      <c r="C124" t="s">
        <v>9</v>
      </c>
    </row>
    <row r="125" spans="1:3" ht="15" customHeight="1" x14ac:dyDescent="0.25">
      <c r="A125" s="2">
        <v>38837</v>
      </c>
      <c r="B125">
        <v>6.7</v>
      </c>
      <c r="C125" t="s">
        <v>9</v>
      </c>
    </row>
    <row r="126" spans="1:3" ht="15" customHeight="1" x14ac:dyDescent="0.25">
      <c r="A126" s="2">
        <v>38807</v>
      </c>
      <c r="B126">
        <v>6.83</v>
      </c>
      <c r="C126" t="s">
        <v>9</v>
      </c>
    </row>
    <row r="127" spans="1:3" ht="15" customHeight="1" x14ac:dyDescent="0.25">
      <c r="A127" s="2">
        <v>38776</v>
      </c>
      <c r="B127">
        <v>6.84</v>
      </c>
      <c r="C127" t="s">
        <v>9</v>
      </c>
    </row>
    <row r="128" spans="1:3" ht="15" customHeight="1" x14ac:dyDescent="0.25">
      <c r="A128" s="2">
        <v>38748</v>
      </c>
      <c r="B128">
        <v>6.72</v>
      </c>
      <c r="C128" t="s">
        <v>9</v>
      </c>
    </row>
    <row r="129" spans="1:3" ht="15" customHeight="1" x14ac:dyDescent="0.25">
      <c r="A129" s="2">
        <v>38717</v>
      </c>
      <c r="B129">
        <v>6.84</v>
      </c>
      <c r="C129" t="s">
        <v>9</v>
      </c>
    </row>
    <row r="130" spans="1:3" ht="15" customHeight="1" x14ac:dyDescent="0.25">
      <c r="A130" s="2">
        <v>38686</v>
      </c>
      <c r="B130">
        <v>7.03</v>
      </c>
      <c r="C130">
        <v>7</v>
      </c>
    </row>
    <row r="131" spans="1:3" ht="15" customHeight="1" x14ac:dyDescent="0.25">
      <c r="A131" s="2">
        <v>38656</v>
      </c>
      <c r="B131">
        <v>7.1</v>
      </c>
      <c r="C131" t="s">
        <v>9</v>
      </c>
    </row>
    <row r="132" spans="1:3" ht="15" customHeight="1" x14ac:dyDescent="0.25">
      <c r="A132" s="2">
        <v>38625</v>
      </c>
      <c r="B132">
        <v>7.25</v>
      </c>
      <c r="C132">
        <v>7.29</v>
      </c>
    </row>
    <row r="133" spans="1:3" ht="15" customHeight="1" x14ac:dyDescent="0.25">
      <c r="A133" s="2">
        <v>38595</v>
      </c>
      <c r="B133">
        <v>7.23</v>
      </c>
      <c r="C133">
        <v>7.28</v>
      </c>
    </row>
    <row r="134" spans="1:3" ht="15" customHeight="1" x14ac:dyDescent="0.25">
      <c r="A134" s="2">
        <v>38564</v>
      </c>
      <c r="B134">
        <v>7.14</v>
      </c>
      <c r="C134">
        <v>7.15</v>
      </c>
    </row>
    <row r="135" spans="1:3" ht="15" customHeight="1" x14ac:dyDescent="0.25">
      <c r="A135" s="2">
        <v>38533</v>
      </c>
      <c r="B135">
        <v>7.18</v>
      </c>
      <c r="C135">
        <v>7.35</v>
      </c>
    </row>
    <row r="136" spans="1:3" ht="15" customHeight="1" x14ac:dyDescent="0.25">
      <c r="A136" s="2">
        <v>38503</v>
      </c>
      <c r="B136">
        <v>7.08</v>
      </c>
      <c r="C136">
        <v>7.14</v>
      </c>
    </row>
    <row r="137" spans="1:3" ht="15" customHeight="1" x14ac:dyDescent="0.25">
      <c r="A137" s="2">
        <v>38472</v>
      </c>
      <c r="B137">
        <v>7.12</v>
      </c>
      <c r="C137" t="s">
        <v>9</v>
      </c>
    </row>
    <row r="138" spans="1:3" ht="15" customHeight="1" x14ac:dyDescent="0.25">
      <c r="A138" s="2">
        <v>38442</v>
      </c>
      <c r="B138">
        <v>6.96</v>
      </c>
      <c r="C138">
        <v>6.87</v>
      </c>
    </row>
    <row r="139" spans="1:3" ht="15" customHeight="1" x14ac:dyDescent="0.25">
      <c r="A139" s="2">
        <v>38411</v>
      </c>
      <c r="B139">
        <v>6.88</v>
      </c>
      <c r="C139">
        <v>6.82</v>
      </c>
    </row>
    <row r="140" spans="1:3" ht="15" customHeight="1" x14ac:dyDescent="0.25">
      <c r="A140" s="2">
        <v>38383</v>
      </c>
      <c r="B140">
        <v>7.1</v>
      </c>
      <c r="C140">
        <v>6.82</v>
      </c>
    </row>
    <row r="141" spans="1:3" ht="15" customHeight="1" x14ac:dyDescent="0.25">
      <c r="A141" s="2">
        <v>38352</v>
      </c>
      <c r="B141">
        <v>6.89</v>
      </c>
      <c r="C141" t="s">
        <v>9</v>
      </c>
    </row>
    <row r="142" spans="1:3" ht="15" customHeight="1" x14ac:dyDescent="0.25">
      <c r="A142" s="2">
        <v>38321</v>
      </c>
      <c r="B142">
        <v>6.96</v>
      </c>
      <c r="C142" t="s">
        <v>9</v>
      </c>
    </row>
    <row r="143" spans="1:3" ht="15" customHeight="1" x14ac:dyDescent="0.25">
      <c r="A143" s="2">
        <v>38291</v>
      </c>
      <c r="B143">
        <v>6.85</v>
      </c>
      <c r="C143" t="s">
        <v>9</v>
      </c>
    </row>
    <row r="144" spans="1:3" ht="15" customHeight="1" x14ac:dyDescent="0.25">
      <c r="A144" s="2">
        <v>38260</v>
      </c>
      <c r="B144">
        <v>6.68</v>
      </c>
      <c r="C144" t="s">
        <v>9</v>
      </c>
    </row>
    <row r="145" spans="1:3" ht="15" customHeight="1" x14ac:dyDescent="0.25">
      <c r="A145" s="2">
        <v>38230</v>
      </c>
      <c r="B145">
        <v>6.7</v>
      </c>
      <c r="C145" t="s">
        <v>9</v>
      </c>
    </row>
    <row r="146" spans="1:3" ht="15" customHeight="1" x14ac:dyDescent="0.25">
      <c r="A146" s="2">
        <v>38199</v>
      </c>
      <c r="B146">
        <v>6.84</v>
      </c>
      <c r="C146" t="s">
        <v>9</v>
      </c>
    </row>
    <row r="147" spans="1:3" ht="15" customHeight="1" x14ac:dyDescent="0.25">
      <c r="A147" s="2">
        <v>38168</v>
      </c>
      <c r="B147">
        <v>6.92</v>
      </c>
      <c r="C147" t="s">
        <v>9</v>
      </c>
    </row>
    <row r="148" spans="1:3" ht="15" customHeight="1" x14ac:dyDescent="0.25">
      <c r="A148" s="2">
        <v>38138</v>
      </c>
      <c r="B148">
        <v>6.85</v>
      </c>
      <c r="C148" t="s">
        <v>9</v>
      </c>
    </row>
    <row r="149" spans="1:3" ht="15" customHeight="1" x14ac:dyDescent="0.25">
      <c r="A149" s="2">
        <v>38107</v>
      </c>
      <c r="B149">
        <v>6.73</v>
      </c>
      <c r="C149" t="s">
        <v>9</v>
      </c>
    </row>
    <row r="150" spans="1:3" ht="15" customHeight="1" x14ac:dyDescent="0.25">
      <c r="A150" s="2">
        <v>38077</v>
      </c>
      <c r="B150">
        <v>6.66</v>
      </c>
      <c r="C150" t="s">
        <v>9</v>
      </c>
    </row>
    <row r="151" spans="1:3" ht="15" customHeight="1" x14ac:dyDescent="0.25">
      <c r="A151" s="2">
        <v>38046</v>
      </c>
      <c r="B151">
        <v>6.41</v>
      </c>
      <c r="C151" t="s">
        <v>9</v>
      </c>
    </row>
    <row r="152" spans="1:3" ht="15" customHeight="1" x14ac:dyDescent="0.25">
      <c r="A152" s="2">
        <v>38017</v>
      </c>
      <c r="B152">
        <v>6.23</v>
      </c>
      <c r="C152" t="s">
        <v>9</v>
      </c>
    </row>
    <row r="153" spans="1:3" ht="15" customHeight="1" x14ac:dyDescent="0.25">
      <c r="A153" s="2">
        <v>37986</v>
      </c>
      <c r="B153">
        <v>6.49</v>
      </c>
      <c r="C153" t="s">
        <v>9</v>
      </c>
    </row>
    <row r="154" spans="1:3" ht="15" customHeight="1" x14ac:dyDescent="0.25">
      <c r="A154" s="2">
        <v>37955</v>
      </c>
      <c r="B154">
        <v>6.23</v>
      </c>
      <c r="C154" t="s">
        <v>9</v>
      </c>
    </row>
    <row r="155" spans="1:3" ht="15" customHeight="1" x14ac:dyDescent="0.25">
      <c r="A155" s="2">
        <v>37925</v>
      </c>
      <c r="B155">
        <v>6.39</v>
      </c>
      <c r="C155" t="s">
        <v>9</v>
      </c>
    </row>
    <row r="156" spans="1:3" ht="15" customHeight="1" x14ac:dyDescent="0.25">
      <c r="A156" s="2">
        <v>37894</v>
      </c>
      <c r="B156">
        <v>6.58</v>
      </c>
      <c r="C156" t="s">
        <v>9</v>
      </c>
    </row>
    <row r="157" spans="1:3" ht="15" customHeight="1" x14ac:dyDescent="0.25">
      <c r="A157" s="2">
        <v>37864</v>
      </c>
      <c r="B157">
        <v>6.52</v>
      </c>
      <c r="C157" t="s">
        <v>9</v>
      </c>
    </row>
    <row r="158" spans="1:3" ht="15" customHeight="1" x14ac:dyDescent="0.25">
      <c r="A158" s="2">
        <v>37833</v>
      </c>
      <c r="B158">
        <v>6.27</v>
      </c>
      <c r="C158" t="s">
        <v>9</v>
      </c>
    </row>
    <row r="159" spans="1:3" ht="15" customHeight="1" x14ac:dyDescent="0.25">
      <c r="A159" s="2">
        <v>37802</v>
      </c>
      <c r="B159">
        <v>5.9399999999999995</v>
      </c>
      <c r="C159" t="s">
        <v>9</v>
      </c>
    </row>
    <row r="160" spans="1:3" ht="15" customHeight="1" x14ac:dyDescent="0.25">
      <c r="A160" s="2">
        <v>37772</v>
      </c>
      <c r="B160">
        <v>5.9399999999999995</v>
      </c>
      <c r="C160" t="s">
        <v>9</v>
      </c>
    </row>
    <row r="161" spans="1:3" ht="15" customHeight="1" x14ac:dyDescent="0.25">
      <c r="A161" s="2">
        <v>37741</v>
      </c>
      <c r="B161">
        <v>5.84</v>
      </c>
      <c r="C161" t="s">
        <v>9</v>
      </c>
    </row>
    <row r="162" spans="1:3" ht="15" customHeight="1" x14ac:dyDescent="0.25">
      <c r="A162" s="2">
        <v>37711</v>
      </c>
      <c r="B162">
        <v>5.86</v>
      </c>
      <c r="C162" t="s">
        <v>9</v>
      </c>
    </row>
    <row r="163" spans="1:3" ht="15" customHeight="1" x14ac:dyDescent="0.25">
      <c r="A163" s="2">
        <v>37680</v>
      </c>
      <c r="B163">
        <v>6.02</v>
      </c>
      <c r="C163" t="s">
        <v>9</v>
      </c>
    </row>
    <row r="164" spans="1:3" ht="15" customHeight="1" x14ac:dyDescent="0.25">
      <c r="A164" s="2">
        <v>37652</v>
      </c>
      <c r="B164">
        <v>6.03</v>
      </c>
      <c r="C164" t="s">
        <v>9</v>
      </c>
    </row>
    <row r="165" spans="1:3" ht="15" customHeight="1" x14ac:dyDescent="0.25">
      <c r="A165" s="2">
        <v>37621</v>
      </c>
      <c r="B165">
        <v>5.97</v>
      </c>
      <c r="C165" t="s">
        <v>9</v>
      </c>
    </row>
    <row r="166" spans="1:3" ht="15" customHeight="1" x14ac:dyDescent="0.25">
      <c r="A166" s="2">
        <v>37590</v>
      </c>
      <c r="B166">
        <v>5.73</v>
      </c>
      <c r="C166" t="s">
        <v>9</v>
      </c>
    </row>
    <row r="167" spans="1:3" ht="15" customHeight="1" x14ac:dyDescent="0.25">
      <c r="A167" s="2">
        <v>37560</v>
      </c>
      <c r="B167">
        <v>5.68</v>
      </c>
      <c r="C167" t="s">
        <v>9</v>
      </c>
    </row>
    <row r="168" spans="1:3" ht="15" customHeight="1" x14ac:dyDescent="0.25">
      <c r="A168" s="2">
        <v>37529</v>
      </c>
      <c r="B168">
        <v>5.52</v>
      </c>
      <c r="C168" t="s">
        <v>9</v>
      </c>
    </row>
    <row r="169" spans="1:3" ht="15" customHeight="1" x14ac:dyDescent="0.25">
      <c r="A169" s="2">
        <v>37499</v>
      </c>
      <c r="B169">
        <v>5.36</v>
      </c>
      <c r="C169" t="s">
        <v>9</v>
      </c>
    </row>
    <row r="170" spans="1:3" ht="15" customHeight="1" x14ac:dyDescent="0.25">
      <c r="A170" s="2">
        <v>37468</v>
      </c>
      <c r="B170">
        <v>5.41</v>
      </c>
      <c r="C170" t="s">
        <v>9</v>
      </c>
    </row>
    <row r="171" spans="1:3" ht="15" customHeight="1" x14ac:dyDescent="0.25">
      <c r="A171" s="2">
        <v>37437</v>
      </c>
      <c r="B171">
        <v>5.51</v>
      </c>
      <c r="C171" t="s">
        <v>9</v>
      </c>
    </row>
    <row r="172" spans="1:3" ht="15" customHeight="1" x14ac:dyDescent="0.25">
      <c r="A172" s="2">
        <v>37407</v>
      </c>
      <c r="B172">
        <v>5.64</v>
      </c>
      <c r="C172" t="s">
        <v>9</v>
      </c>
    </row>
    <row r="173" spans="1:3" ht="15" customHeight="1" x14ac:dyDescent="0.25">
      <c r="A173" s="2">
        <v>37376</v>
      </c>
      <c r="B173">
        <v>5.67</v>
      </c>
      <c r="C173" t="s">
        <v>9</v>
      </c>
    </row>
    <row r="174" spans="1:3" ht="15" customHeight="1" x14ac:dyDescent="0.25">
      <c r="A174" s="2">
        <v>37346</v>
      </c>
      <c r="B174">
        <v>5.63</v>
      </c>
      <c r="C174" t="s">
        <v>9</v>
      </c>
    </row>
    <row r="175" spans="1:3" ht="15" customHeight="1" x14ac:dyDescent="0.25">
      <c r="A175" s="2">
        <v>37315</v>
      </c>
      <c r="B175">
        <v>5.9</v>
      </c>
      <c r="C175" t="s">
        <v>9</v>
      </c>
    </row>
    <row r="176" spans="1:3" ht="15" customHeight="1" x14ac:dyDescent="0.25">
      <c r="A176" s="2">
        <v>37287</v>
      </c>
      <c r="B176">
        <v>5.86</v>
      </c>
      <c r="C176" t="s">
        <v>9</v>
      </c>
    </row>
    <row r="177" spans="1:3" ht="15" customHeight="1" x14ac:dyDescent="0.25">
      <c r="A177" s="2">
        <v>37256</v>
      </c>
      <c r="B177">
        <v>5.49</v>
      </c>
      <c r="C177" t="s">
        <v>9</v>
      </c>
    </row>
    <row r="178" spans="1:3" ht="15" customHeight="1" x14ac:dyDescent="0.25">
      <c r="A178" s="2">
        <v>37225</v>
      </c>
      <c r="B178">
        <v>5.24</v>
      </c>
      <c r="C178" t="s">
        <v>9</v>
      </c>
    </row>
    <row r="179" spans="1:3" ht="15" customHeight="1" x14ac:dyDescent="0.25">
      <c r="A179" s="2">
        <v>37195</v>
      </c>
      <c r="B179">
        <v>5.25</v>
      </c>
      <c r="C179" t="s">
        <v>9</v>
      </c>
    </row>
    <row r="180" spans="1:3" ht="15" customHeight="1" x14ac:dyDescent="0.25">
      <c r="A180" s="2">
        <v>37164</v>
      </c>
      <c r="B180">
        <v>5.23</v>
      </c>
      <c r="C180" t="s">
        <v>9</v>
      </c>
    </row>
    <row r="181" spans="1:3" ht="15" customHeight="1" x14ac:dyDescent="0.25">
      <c r="A181" s="2">
        <v>37134</v>
      </c>
      <c r="B181">
        <v>5.48</v>
      </c>
      <c r="C181" t="s">
        <v>9</v>
      </c>
    </row>
    <row r="182" spans="1:3" ht="15" customHeight="1" x14ac:dyDescent="0.25">
      <c r="A182" s="2">
        <v>37103</v>
      </c>
      <c r="B182">
        <v>5.43</v>
      </c>
      <c r="C182" t="s">
        <v>9</v>
      </c>
    </row>
    <row r="183" spans="1:3" ht="15" customHeight="1" x14ac:dyDescent="0.25">
      <c r="A183" s="2">
        <v>37072</v>
      </c>
      <c r="B183">
        <v>5.43</v>
      </c>
      <c r="C183" t="s">
        <v>9</v>
      </c>
    </row>
    <row r="184" spans="1:3" ht="15" customHeight="1" x14ac:dyDescent="0.25">
      <c r="A184" s="2">
        <v>37042</v>
      </c>
      <c r="B184">
        <v>5.27</v>
      </c>
      <c r="C184" t="s">
        <v>9</v>
      </c>
    </row>
    <row r="185" spans="1:3" ht="15" customHeight="1" x14ac:dyDescent="0.25">
      <c r="A185" s="2">
        <v>37011</v>
      </c>
      <c r="B185">
        <v>5.32</v>
      </c>
      <c r="C185" t="s">
        <v>9</v>
      </c>
    </row>
    <row r="186" spans="1:3" ht="15" customHeight="1" x14ac:dyDescent="0.25">
      <c r="A186" s="2">
        <v>36981</v>
      </c>
      <c r="B186">
        <v>5.45</v>
      </c>
      <c r="C186" t="s">
        <v>9</v>
      </c>
    </row>
    <row r="187" spans="1:3" ht="15" customHeight="1" x14ac:dyDescent="0.25">
      <c r="A187" s="2">
        <v>36950</v>
      </c>
      <c r="B187">
        <v>5.23</v>
      </c>
      <c r="C187" t="s">
        <v>9</v>
      </c>
    </row>
    <row r="188" spans="1:3" ht="15" customHeight="1" x14ac:dyDescent="0.25">
      <c r="A188" s="2">
        <v>36922</v>
      </c>
      <c r="B188">
        <v>5.0999999999999996</v>
      </c>
      <c r="C188" t="s">
        <v>9</v>
      </c>
    </row>
    <row r="189" spans="1:3" ht="15" customHeight="1" x14ac:dyDescent="0.25">
      <c r="A189" s="2">
        <v>36891</v>
      </c>
      <c r="B189">
        <v>5.0999999999999996</v>
      </c>
      <c r="C189" t="s">
        <v>9</v>
      </c>
    </row>
    <row r="190" spans="1:3" ht="15" customHeight="1" x14ac:dyDescent="0.25">
      <c r="A190" s="2">
        <v>36860</v>
      </c>
      <c r="B190">
        <v>5.35</v>
      </c>
      <c r="C190" t="s">
        <v>9</v>
      </c>
    </row>
    <row r="191" spans="1:3" ht="15" customHeight="1" x14ac:dyDescent="0.25">
      <c r="A191" s="2">
        <v>36830</v>
      </c>
      <c r="B191">
        <v>5.25</v>
      </c>
      <c r="C191" t="s">
        <v>9</v>
      </c>
    </row>
    <row r="192" spans="1:3" ht="15" customHeight="1" x14ac:dyDescent="0.25">
      <c r="A192" s="2">
        <v>36799</v>
      </c>
      <c r="B192">
        <v>5.29</v>
      </c>
      <c r="C192" t="s">
        <v>9</v>
      </c>
    </row>
    <row r="193" spans="1:3" ht="15" customHeight="1" x14ac:dyDescent="0.25">
      <c r="A193" s="2">
        <v>36769</v>
      </c>
      <c r="B193">
        <v>5.17</v>
      </c>
      <c r="C193" t="s">
        <v>9</v>
      </c>
    </row>
    <row r="194" spans="1:3" ht="15" customHeight="1" x14ac:dyDescent="0.25">
      <c r="A194" s="2">
        <v>36738</v>
      </c>
      <c r="B194">
        <v>5.1100000000000003</v>
      </c>
      <c r="C194" t="s">
        <v>9</v>
      </c>
    </row>
    <row r="195" spans="1:3" ht="15" customHeight="1" x14ac:dyDescent="0.25">
      <c r="A195" s="2">
        <v>36707</v>
      </c>
      <c r="B195">
        <v>5.13</v>
      </c>
      <c r="C195" t="s">
        <v>9</v>
      </c>
    </row>
    <row r="196" spans="1:3" ht="15" customHeight="1" x14ac:dyDescent="0.25">
      <c r="A196" s="2">
        <v>36677</v>
      </c>
      <c r="B196">
        <v>5.1100000000000003</v>
      </c>
      <c r="C196" t="s">
        <v>9</v>
      </c>
    </row>
    <row r="197" spans="1:3" ht="15" customHeight="1" x14ac:dyDescent="0.25">
      <c r="A197" s="2">
        <v>36646</v>
      </c>
      <c r="B197">
        <v>5.2</v>
      </c>
      <c r="C197" t="s">
        <v>9</v>
      </c>
    </row>
    <row r="198" spans="1:3" ht="15" customHeight="1" x14ac:dyDescent="0.25">
      <c r="A198" s="2">
        <v>36616</v>
      </c>
      <c r="B198">
        <v>5.19</v>
      </c>
      <c r="C198" t="s">
        <v>9</v>
      </c>
    </row>
    <row r="199" spans="1:3" ht="15" customHeight="1" x14ac:dyDescent="0.25">
      <c r="A199" s="2">
        <v>36585</v>
      </c>
      <c r="B199">
        <v>5.12</v>
      </c>
      <c r="C199" t="s">
        <v>9</v>
      </c>
    </row>
    <row r="200" spans="1:3" ht="15" customHeight="1" x14ac:dyDescent="0.25">
      <c r="A200" s="2">
        <v>36556</v>
      </c>
      <c r="B200">
        <v>5.23</v>
      </c>
      <c r="C200" t="s">
        <v>9</v>
      </c>
    </row>
    <row r="201" spans="1:3" ht="15" customHeight="1" x14ac:dyDescent="0.25">
      <c r="A201" s="2">
        <v>36525</v>
      </c>
      <c r="B201">
        <v>5.08</v>
      </c>
      <c r="C201" t="s">
        <v>9</v>
      </c>
    </row>
    <row r="202" spans="1:3" ht="15" customHeight="1" x14ac:dyDescent="0.25">
      <c r="A202" s="2">
        <v>36494</v>
      </c>
      <c r="B202">
        <v>5.09</v>
      </c>
      <c r="C202" t="s">
        <v>9</v>
      </c>
    </row>
    <row r="203" spans="1:3" ht="15" customHeight="1" x14ac:dyDescent="0.25">
      <c r="A203" s="2">
        <v>36464</v>
      </c>
      <c r="B203">
        <v>5.1100000000000003</v>
      </c>
      <c r="C203" t="s">
        <v>9</v>
      </c>
    </row>
    <row r="204" spans="1:3" ht="15" customHeight="1" x14ac:dyDescent="0.25">
      <c r="A204" s="2">
        <v>36433</v>
      </c>
      <c r="B204">
        <v>5.12</v>
      </c>
      <c r="C204" t="s">
        <v>9</v>
      </c>
    </row>
    <row r="205" spans="1:3" ht="15" customHeight="1" x14ac:dyDescent="0.25">
      <c r="A205" s="2">
        <v>36403</v>
      </c>
      <c r="B205">
        <v>5.23</v>
      </c>
      <c r="C205" t="s">
        <v>9</v>
      </c>
    </row>
    <row r="206" spans="1:3" ht="15" customHeight="1" x14ac:dyDescent="0.25">
      <c r="A206" s="2">
        <v>36372</v>
      </c>
      <c r="B206">
        <v>5.25</v>
      </c>
      <c r="C206" t="s">
        <v>9</v>
      </c>
    </row>
    <row r="207" spans="1:3" ht="15" customHeight="1" x14ac:dyDescent="0.25">
      <c r="A207" s="2">
        <v>36341</v>
      </c>
      <c r="B207">
        <v>5.43</v>
      </c>
      <c r="C207" t="s">
        <v>9</v>
      </c>
    </row>
    <row r="208" spans="1:3" ht="15" customHeight="1" x14ac:dyDescent="0.25">
      <c r="A208" s="2">
        <v>36311</v>
      </c>
      <c r="B208">
        <v>5.19</v>
      </c>
      <c r="C208" t="s">
        <v>9</v>
      </c>
    </row>
    <row r="209" spans="1:3" ht="15" customHeight="1" x14ac:dyDescent="0.25">
      <c r="A209" s="2">
        <v>36280</v>
      </c>
      <c r="B209">
        <v>5.08</v>
      </c>
      <c r="C209" t="s">
        <v>9</v>
      </c>
    </row>
    <row r="210" spans="1:3" ht="15" customHeight="1" x14ac:dyDescent="0.25">
      <c r="A210" s="2">
        <v>36250</v>
      </c>
      <c r="B210">
        <v>5.15</v>
      </c>
      <c r="C210" t="s">
        <v>9</v>
      </c>
    </row>
    <row r="211" spans="1:3" ht="15" customHeight="1" x14ac:dyDescent="0.25">
      <c r="A211" s="2">
        <v>36219</v>
      </c>
      <c r="B211">
        <v>5.0999999999999996</v>
      </c>
      <c r="C211" t="s">
        <v>9</v>
      </c>
    </row>
    <row r="212" spans="1:3" ht="15" customHeight="1" x14ac:dyDescent="0.25">
      <c r="A212" s="2">
        <v>36191</v>
      </c>
      <c r="B212">
        <v>5.23</v>
      </c>
      <c r="C21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3"/>
  <sheetViews>
    <sheetView tabSelected="1" topLeftCell="A184" workbookViewId="0">
      <selection activeCell="H223" sqref="H223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10.85546875" customWidth="1"/>
    <col min="4" max="4" width="12" bestFit="1" customWidth="1"/>
  </cols>
  <sheetData>
    <row r="1" spans="1:8" x14ac:dyDescent="0.25">
      <c r="B1" t="s">
        <v>47</v>
      </c>
      <c r="C1" t="s">
        <v>46</v>
      </c>
      <c r="D1" t="s">
        <v>45</v>
      </c>
      <c r="E1" t="s">
        <v>311</v>
      </c>
      <c r="F1" t="s">
        <v>312</v>
      </c>
      <c r="G1" t="s">
        <v>313</v>
      </c>
      <c r="H1" t="s">
        <v>323</v>
      </c>
    </row>
    <row r="2" spans="1:8" x14ac:dyDescent="0.25">
      <c r="A2" s="2">
        <v>36191</v>
      </c>
      <c r="B2">
        <v>5.23</v>
      </c>
      <c r="C2" s="26">
        <f>'Housing Stock'!S5</f>
        <v>70097</v>
      </c>
      <c r="D2" s="27">
        <f>B2/C2*1000</f>
        <v>7.4610896329372164E-2</v>
      </c>
      <c r="E2" s="27">
        <f>'OTM Turnover MBS'!C57/100</f>
        <v>2.4263375437582599E-2</v>
      </c>
      <c r="G2" s="30">
        <f>D2-E2</f>
        <v>5.0347520891789566E-2</v>
      </c>
      <c r="H2" s="27">
        <f>'OTM Refi'!B57/100*3</f>
        <v>0</v>
      </c>
    </row>
    <row r="3" spans="1:8" x14ac:dyDescent="0.25">
      <c r="A3" s="2">
        <v>36219</v>
      </c>
      <c r="B3">
        <v>5.0999999999999996</v>
      </c>
      <c r="C3" s="26">
        <f>'Housing Stock'!S6</f>
        <v>70193.083333333328</v>
      </c>
      <c r="D3" s="27">
        <f t="shared" ref="D3:D66" si="0">B3/C3*1000</f>
        <v>7.2656731373105382E-2</v>
      </c>
      <c r="E3" s="27">
        <f>'OTM Turnover MBS'!C58/100</f>
        <v>2.5644127096220801E-2</v>
      </c>
      <c r="G3" s="30">
        <f t="shared" ref="G3:G6" si="1">D3-E3</f>
        <v>4.7012604276884584E-2</v>
      </c>
      <c r="H3" s="27">
        <f>'OTM Refi'!B58/100*3</f>
        <v>0</v>
      </c>
    </row>
    <row r="4" spans="1:8" x14ac:dyDescent="0.25">
      <c r="A4" s="2">
        <v>36250</v>
      </c>
      <c r="B4">
        <v>5.15</v>
      </c>
      <c r="C4" s="26">
        <f>'Housing Stock'!S7</f>
        <v>70289.166666666672</v>
      </c>
      <c r="D4" s="27">
        <f t="shared" si="0"/>
        <v>7.3268758817741003E-2</v>
      </c>
      <c r="E4" s="27">
        <f>'OTM Turnover MBS'!C59/100</f>
        <v>2.0991499971516298E-2</v>
      </c>
      <c r="G4" s="30">
        <f t="shared" si="1"/>
        <v>5.2277258846224708E-2</v>
      </c>
      <c r="H4" s="27">
        <f>'OTM Refi'!B59/100*3</f>
        <v>0</v>
      </c>
    </row>
    <row r="5" spans="1:8" x14ac:dyDescent="0.25">
      <c r="A5" s="2">
        <v>36280</v>
      </c>
      <c r="B5">
        <v>5.08</v>
      </c>
      <c r="C5" s="26">
        <f>'Housing Stock'!S8</f>
        <v>70385.25</v>
      </c>
      <c r="D5" s="27">
        <f t="shared" si="0"/>
        <v>7.2174212636880605E-2</v>
      </c>
      <c r="E5" s="27">
        <f>'OTM Turnover MBS'!C60/100</f>
        <v>2.9760818012537001E-2</v>
      </c>
      <c r="G5" s="30">
        <f t="shared" si="1"/>
        <v>4.2413394624343605E-2</v>
      </c>
      <c r="H5" s="27">
        <f>'OTM Refi'!B60/100*3</f>
        <v>3.7754990878924202E-4</v>
      </c>
    </row>
    <row r="6" spans="1:8" x14ac:dyDescent="0.25">
      <c r="A6" s="2">
        <v>36311</v>
      </c>
      <c r="B6">
        <v>5.19</v>
      </c>
      <c r="C6" s="26">
        <f>'Housing Stock'!S9</f>
        <v>70481.333333333328</v>
      </c>
      <c r="D6" s="27">
        <f t="shared" si="0"/>
        <v>7.3636518416223692E-2</v>
      </c>
      <c r="E6" s="27">
        <f>'OTM Turnover MBS'!C61/100</f>
        <v>2.2461583792643399E-2</v>
      </c>
      <c r="G6" s="30">
        <f t="shared" si="1"/>
        <v>5.117493462358029E-2</v>
      </c>
      <c r="H6" s="27">
        <f>'OTM Refi'!B61/100*3</f>
        <v>9.1803032676818111E-4</v>
      </c>
    </row>
    <row r="7" spans="1:8" x14ac:dyDescent="0.25">
      <c r="A7" s="2">
        <v>36341</v>
      </c>
      <c r="B7">
        <v>5.43</v>
      </c>
      <c r="C7" s="26">
        <f>'Housing Stock'!S10</f>
        <v>70577.416666666672</v>
      </c>
      <c r="D7" s="27">
        <f t="shared" si="0"/>
        <v>7.6936791631884133E-2</v>
      </c>
      <c r="E7" s="27">
        <f>'OTM Turnover MBS'!C62/100</f>
        <v>3.2910223467647701E-2</v>
      </c>
      <c r="F7" s="30">
        <f>AVERAGE(E5:E7)</f>
        <v>2.8377541757609367E-2</v>
      </c>
      <c r="G7" s="30">
        <f>D7-F7</f>
        <v>4.8559249874274762E-2</v>
      </c>
      <c r="H7" s="27">
        <f>'OTM Refi'!B62/100*3</f>
        <v>1.4041311616063139E-3</v>
      </c>
    </row>
    <row r="8" spans="1:8" x14ac:dyDescent="0.25">
      <c r="A8" s="2">
        <v>36372</v>
      </c>
      <c r="B8">
        <v>5.25</v>
      </c>
      <c r="C8" s="26">
        <f>'Housing Stock'!S11</f>
        <v>70673.5</v>
      </c>
      <c r="D8" s="27">
        <f t="shared" si="0"/>
        <v>7.4285269584780711E-2</v>
      </c>
      <c r="E8" s="27">
        <f>'OTM Turnover MBS'!C63/100</f>
        <v>5.6656474309797603E-2</v>
      </c>
      <c r="F8" s="30">
        <f t="shared" ref="F8:F71" si="2">AVERAGE(E3:E8)</f>
        <v>3.1404121108393801E-2</v>
      </c>
      <c r="G8" s="30">
        <f t="shared" ref="G8:G71" si="3">D8-F8</f>
        <v>4.288114847638691E-2</v>
      </c>
      <c r="H8" s="27">
        <f>'OTM Refi'!B63/100*3</f>
        <v>1.2218846385518851E-3</v>
      </c>
    </row>
    <row r="9" spans="1:8" x14ac:dyDescent="0.25">
      <c r="A9" s="2">
        <v>36403</v>
      </c>
      <c r="B9">
        <v>5.23</v>
      </c>
      <c r="C9" s="26">
        <f>'Housing Stock'!S12</f>
        <v>70769.583333333328</v>
      </c>
      <c r="D9" s="27">
        <f t="shared" si="0"/>
        <v>7.3901805742815602E-2</v>
      </c>
      <c r="E9" s="27">
        <f>'OTM Turnover MBS'!C64/100</f>
        <v>5.2260865025931302E-2</v>
      </c>
      <c r="F9" s="30">
        <f t="shared" si="2"/>
        <v>3.5840244096678887E-2</v>
      </c>
      <c r="G9" s="30">
        <f t="shared" si="3"/>
        <v>3.8061561646136714E-2</v>
      </c>
      <c r="H9" s="27">
        <f>'OTM Refi'!B64/100*3</f>
        <v>1.205010992223366E-3</v>
      </c>
    </row>
    <row r="10" spans="1:8" x14ac:dyDescent="0.25">
      <c r="A10" s="2">
        <v>36433</v>
      </c>
      <c r="B10">
        <v>5.12</v>
      </c>
      <c r="C10" s="26">
        <f>'Housing Stock'!S13</f>
        <v>70865.666666666672</v>
      </c>
      <c r="D10" s="27">
        <f t="shared" si="0"/>
        <v>7.224937322727977E-2</v>
      </c>
      <c r="E10" s="27">
        <f>'OTM Turnover MBS'!C65/100</f>
        <v>6.74448587165387E-2</v>
      </c>
      <c r="F10" s="30">
        <f t="shared" si="2"/>
        <v>4.3582470554182622E-2</v>
      </c>
      <c r="G10" s="30">
        <f t="shared" si="3"/>
        <v>2.8666902673097149E-2</v>
      </c>
      <c r="H10" s="27">
        <f>'OTM Refi'!B65/100*3</f>
        <v>9.6084333860757608E-4</v>
      </c>
    </row>
    <row r="11" spans="1:8" x14ac:dyDescent="0.25">
      <c r="A11" s="2">
        <v>36464</v>
      </c>
      <c r="B11">
        <v>5.1100000000000003</v>
      </c>
      <c r="C11" s="26">
        <f>'Housing Stock'!S14</f>
        <v>70961.75</v>
      </c>
      <c r="D11" s="27">
        <f t="shared" si="0"/>
        <v>7.2010625442579981E-2</v>
      </c>
      <c r="E11" s="27">
        <f>'OTM Turnover MBS'!C66/100</f>
        <v>5.5302773671151398E-2</v>
      </c>
      <c r="F11" s="30">
        <f t="shared" si="2"/>
        <v>4.7839463163951684E-2</v>
      </c>
      <c r="G11" s="30">
        <f t="shared" si="3"/>
        <v>2.4171162278628297E-2</v>
      </c>
      <c r="H11" s="27">
        <f>'OTM Refi'!B66/100*3</f>
        <v>8.7921660346945805E-4</v>
      </c>
    </row>
    <row r="12" spans="1:8" x14ac:dyDescent="0.25">
      <c r="A12" s="2">
        <v>36494</v>
      </c>
      <c r="B12">
        <v>5.09</v>
      </c>
      <c r="C12" s="26">
        <f>'Housing Stock'!S15</f>
        <v>71057.833333333328</v>
      </c>
      <c r="D12" s="27">
        <f t="shared" si="0"/>
        <v>7.1631792882323547E-2</v>
      </c>
      <c r="E12" s="27">
        <f>'OTM Turnover MBS'!C67/100</f>
        <v>5.9474906435057602E-2</v>
      </c>
      <c r="F12" s="30">
        <f t="shared" si="2"/>
        <v>5.4008350271020716E-2</v>
      </c>
      <c r="G12" s="30">
        <f t="shared" si="3"/>
        <v>1.7623442611302831E-2</v>
      </c>
      <c r="H12" s="27">
        <f>'OTM Refi'!B67/100*3</f>
        <v>6.4960916966150402E-4</v>
      </c>
    </row>
    <row r="13" spans="1:8" x14ac:dyDescent="0.25">
      <c r="A13" s="2">
        <v>36525</v>
      </c>
      <c r="B13">
        <v>5.08</v>
      </c>
      <c r="C13" s="26">
        <f>'Housing Stock'!S16</f>
        <v>71153.916666666672</v>
      </c>
      <c r="D13" s="27">
        <f t="shared" si="0"/>
        <v>7.1394523843264654E-2</v>
      </c>
      <c r="E13" s="27">
        <f>'OTM Turnover MBS'!C68/100</f>
        <v>5.8170030390794894E-2</v>
      </c>
      <c r="F13" s="30">
        <f t="shared" si="2"/>
        <v>5.8218318091545242E-2</v>
      </c>
      <c r="G13" s="30">
        <f t="shared" si="3"/>
        <v>1.3176205751719412E-2</v>
      </c>
      <c r="H13" s="27">
        <f>'OTM Refi'!B68/100*3</f>
        <v>5.0638984022888093E-4</v>
      </c>
    </row>
    <row r="14" spans="1:8" x14ac:dyDescent="0.25">
      <c r="A14" s="2">
        <v>36556</v>
      </c>
      <c r="B14">
        <v>5.23</v>
      </c>
      <c r="C14" s="26">
        <f>'Housing Stock'!S17</f>
        <v>71250</v>
      </c>
      <c r="D14" s="27">
        <f t="shared" si="0"/>
        <v>7.3403508771929832E-2</v>
      </c>
      <c r="E14" s="27">
        <f>'OTM Turnover MBS'!C69/100</f>
        <v>6.49660664382882E-2</v>
      </c>
      <c r="F14" s="30">
        <f t="shared" si="2"/>
        <v>5.9603250112960339E-2</v>
      </c>
      <c r="G14" s="30">
        <f t="shared" si="3"/>
        <v>1.3800258658969493E-2</v>
      </c>
      <c r="H14" s="27">
        <f>'OTM Refi'!B69/100*3</f>
        <v>7.5124767369794099E-4</v>
      </c>
    </row>
    <row r="15" spans="1:8" x14ac:dyDescent="0.25">
      <c r="A15" s="2">
        <v>36585</v>
      </c>
      <c r="B15">
        <v>5.12</v>
      </c>
      <c r="C15" s="26">
        <f>'Housing Stock'!S18</f>
        <v>71361.916666666672</v>
      </c>
      <c r="D15" s="27">
        <f t="shared" si="0"/>
        <v>7.1746951863914332E-2</v>
      </c>
      <c r="E15" s="27">
        <f>'OTM Turnover MBS'!C70/100</f>
        <v>6.2111102289247301E-2</v>
      </c>
      <c r="F15" s="30">
        <f t="shared" si="2"/>
        <v>6.1244956323513011E-2</v>
      </c>
      <c r="G15" s="30">
        <f t="shared" si="3"/>
        <v>1.0501995540401321E-2</v>
      </c>
      <c r="H15" s="27">
        <f>'OTM Refi'!B70/100*3</f>
        <v>7.5389949870385798E-4</v>
      </c>
    </row>
    <row r="16" spans="1:8" x14ac:dyDescent="0.25">
      <c r="A16" s="2">
        <v>36616</v>
      </c>
      <c r="B16">
        <v>5.19</v>
      </c>
      <c r="C16" s="26">
        <f>'Housing Stock'!S19</f>
        <v>71473.833333333328</v>
      </c>
      <c r="D16" s="27">
        <f t="shared" si="0"/>
        <v>7.2613986936944291E-2</v>
      </c>
      <c r="E16" s="27">
        <f>'OTM Turnover MBS'!C71/100</f>
        <v>5.9012154815168402E-2</v>
      </c>
      <c r="F16" s="30">
        <f t="shared" si="2"/>
        <v>5.9839505673284638E-2</v>
      </c>
      <c r="G16" s="30">
        <f t="shared" si="3"/>
        <v>1.2774481263659654E-2</v>
      </c>
      <c r="H16" s="27">
        <f>'OTM Refi'!B71/100*3</f>
        <v>8.5630358021237998E-4</v>
      </c>
    </row>
    <row r="17" spans="1:8" x14ac:dyDescent="0.25">
      <c r="A17" s="2">
        <v>36646</v>
      </c>
      <c r="B17">
        <v>5.2</v>
      </c>
      <c r="C17" s="26">
        <f>'Housing Stock'!S20</f>
        <v>71585.75</v>
      </c>
      <c r="D17" s="27">
        <f t="shared" si="0"/>
        <v>7.2640155338178344E-2</v>
      </c>
      <c r="E17" s="27">
        <f>'OTM Turnover MBS'!C72/100</f>
        <v>6.2799266168623108E-2</v>
      </c>
      <c r="F17" s="30">
        <f t="shared" si="2"/>
        <v>6.1088921089529923E-2</v>
      </c>
      <c r="G17" s="30">
        <f t="shared" si="3"/>
        <v>1.1551234248648422E-2</v>
      </c>
      <c r="H17" s="27">
        <f>'OTM Refi'!B72/100*3</f>
        <v>1.293235471017228E-3</v>
      </c>
    </row>
    <row r="18" spans="1:8" x14ac:dyDescent="0.25">
      <c r="A18" s="2">
        <v>36677</v>
      </c>
      <c r="B18">
        <v>5.1100000000000003</v>
      </c>
      <c r="C18" s="26">
        <f>'Housing Stock'!S21</f>
        <v>71697.666666666672</v>
      </c>
      <c r="D18" s="27">
        <f t="shared" si="0"/>
        <v>7.1271496515460747E-2</v>
      </c>
      <c r="E18" s="27">
        <f>'OTM Turnover MBS'!C73/100</f>
        <v>6.0251888100789401E-2</v>
      </c>
      <c r="F18" s="30">
        <f t="shared" si="2"/>
        <v>6.1218418033818556E-2</v>
      </c>
      <c r="G18" s="30">
        <f t="shared" si="3"/>
        <v>1.0053078481642191E-2</v>
      </c>
      <c r="H18" s="27">
        <f>'OTM Refi'!B73/100*3</f>
        <v>1.820014619529186E-3</v>
      </c>
    </row>
    <row r="19" spans="1:8" x14ac:dyDescent="0.25">
      <c r="A19" s="2">
        <v>36707</v>
      </c>
      <c r="B19">
        <v>5.13</v>
      </c>
      <c r="C19" s="26">
        <f>'Housing Stock'!S22</f>
        <v>71809.583333333328</v>
      </c>
      <c r="D19" s="27">
        <f t="shared" si="0"/>
        <v>7.1438932825818285E-2</v>
      </c>
      <c r="E19" s="27">
        <f>'OTM Turnover MBS'!C74/100</f>
        <v>6.9298496551493699E-2</v>
      </c>
      <c r="F19" s="30">
        <f t="shared" si="2"/>
        <v>6.3073162393935012E-2</v>
      </c>
      <c r="G19" s="30">
        <f t="shared" si="3"/>
        <v>8.3657704318832737E-3</v>
      </c>
      <c r="H19" s="27">
        <f>'OTM Refi'!B74/100*3</f>
        <v>1.4240659982713828E-3</v>
      </c>
    </row>
    <row r="20" spans="1:8" x14ac:dyDescent="0.25">
      <c r="A20" s="2">
        <v>36738</v>
      </c>
      <c r="B20">
        <v>5.1100000000000003</v>
      </c>
      <c r="C20" s="26">
        <f>'Housing Stock'!S23</f>
        <v>71921.5</v>
      </c>
      <c r="D20" s="27">
        <f t="shared" si="0"/>
        <v>7.1049686116112717E-2</v>
      </c>
      <c r="E20" s="27">
        <f>'OTM Turnover MBS'!C75/100</f>
        <v>6.7120010893062701E-2</v>
      </c>
      <c r="F20" s="30">
        <f t="shared" si="2"/>
        <v>6.3432153136397426E-2</v>
      </c>
      <c r="G20" s="30">
        <f t="shared" si="3"/>
        <v>7.6175329797152913E-3</v>
      </c>
      <c r="H20" s="27">
        <f>'OTM Refi'!B75/100*3</f>
        <v>2.121335847348639E-3</v>
      </c>
    </row>
    <row r="21" spans="1:8" x14ac:dyDescent="0.25">
      <c r="A21" s="2">
        <v>36769</v>
      </c>
      <c r="B21">
        <v>5.17</v>
      </c>
      <c r="C21" s="26">
        <f>'Housing Stock'!S24</f>
        <v>72033.416666666672</v>
      </c>
      <c r="D21" s="27">
        <f t="shared" si="0"/>
        <v>7.1772244594811893E-2</v>
      </c>
      <c r="E21" s="27">
        <f>'OTM Turnover MBS'!C76/100</f>
        <v>6.6741195942532694E-2</v>
      </c>
      <c r="F21" s="30">
        <f t="shared" si="2"/>
        <v>6.4203835411944993E-2</v>
      </c>
      <c r="G21" s="30">
        <f t="shared" si="3"/>
        <v>7.5684091828669003E-3</v>
      </c>
      <c r="H21" s="27">
        <f>'OTM Refi'!B76/100*3</f>
        <v>2.7375137243172989E-3</v>
      </c>
    </row>
    <row r="22" spans="1:8" x14ac:dyDescent="0.25">
      <c r="A22" s="2">
        <v>36799</v>
      </c>
      <c r="B22">
        <v>5.29</v>
      </c>
      <c r="C22" s="26">
        <f>'Housing Stock'!S25</f>
        <v>72145.333333333328</v>
      </c>
      <c r="D22" s="27">
        <f t="shared" si="0"/>
        <v>7.3324215934502585E-2</v>
      </c>
      <c r="E22" s="27">
        <f>'OTM Turnover MBS'!C77/100</f>
        <v>7.7878012085740092E-2</v>
      </c>
      <c r="F22" s="30">
        <f t="shared" si="2"/>
        <v>6.7348144957040279E-2</v>
      </c>
      <c r="G22" s="30">
        <f t="shared" si="3"/>
        <v>5.9760709774623055E-3</v>
      </c>
      <c r="H22" s="27">
        <f>'OTM Refi'!B77/100*3</f>
        <v>3.3855445560484502E-3</v>
      </c>
    </row>
    <row r="23" spans="1:8" x14ac:dyDescent="0.25">
      <c r="A23" s="2">
        <v>36830</v>
      </c>
      <c r="B23">
        <v>5.25</v>
      </c>
      <c r="C23" s="26">
        <f>'Housing Stock'!S26</f>
        <v>72257.25</v>
      </c>
      <c r="D23" s="27">
        <f t="shared" si="0"/>
        <v>7.2657069013835979E-2</v>
      </c>
      <c r="E23" s="27">
        <f>'OTM Turnover MBS'!C78/100</f>
        <v>6.7019782428990093E-2</v>
      </c>
      <c r="F23" s="30">
        <f t="shared" si="2"/>
        <v>6.8051564333768119E-2</v>
      </c>
      <c r="G23" s="30">
        <f t="shared" si="3"/>
        <v>4.6055046800678595E-3</v>
      </c>
      <c r="H23" s="27">
        <f>'OTM Refi'!B78/100*3</f>
        <v>3.9478024576158309E-3</v>
      </c>
    </row>
    <row r="24" spans="1:8" x14ac:dyDescent="0.25">
      <c r="A24" s="2">
        <v>36860</v>
      </c>
      <c r="B24">
        <v>5.35</v>
      </c>
      <c r="C24" s="26">
        <f>'Housing Stock'!S27</f>
        <v>72369.166666666672</v>
      </c>
      <c r="D24" s="27">
        <f t="shared" si="0"/>
        <v>7.3926511060189062E-2</v>
      </c>
      <c r="E24" s="27">
        <f>'OTM Turnover MBS'!C79/100</f>
        <v>8.0149798296872105E-2</v>
      </c>
      <c r="F24" s="30">
        <f t="shared" si="2"/>
        <v>7.1367882699781893E-2</v>
      </c>
      <c r="G24" s="30">
        <f t="shared" si="3"/>
        <v>2.5586283604071697E-3</v>
      </c>
      <c r="H24" s="27">
        <f>'OTM Refi'!B79/100*3</f>
        <v>4.5330890206093499E-3</v>
      </c>
    </row>
    <row r="25" spans="1:8" x14ac:dyDescent="0.25">
      <c r="A25" s="2">
        <v>36891</v>
      </c>
      <c r="B25">
        <v>5.0999999999999996</v>
      </c>
      <c r="C25" s="26">
        <f>'Housing Stock'!S28</f>
        <v>72481.083333333328</v>
      </c>
      <c r="D25" s="27">
        <f t="shared" si="0"/>
        <v>7.036318671653409E-2</v>
      </c>
      <c r="E25" s="27">
        <f>'OTM Turnover MBS'!C80/100</f>
        <v>7.10168893350831E-2</v>
      </c>
      <c r="F25" s="30">
        <f t="shared" si="2"/>
        <v>7.1654281497046793E-2</v>
      </c>
      <c r="G25" s="30">
        <f t="shared" si="3"/>
        <v>-1.2910947805127027E-3</v>
      </c>
      <c r="H25" s="27">
        <f>'OTM Refi'!B80/100*3</f>
        <v>5.1083243937161101E-3</v>
      </c>
    </row>
    <row r="26" spans="1:8" x14ac:dyDescent="0.25">
      <c r="A26" s="2">
        <v>36922</v>
      </c>
      <c r="B26">
        <v>5.0999999999999996</v>
      </c>
      <c r="C26" s="26">
        <f>'Housing Stock'!S29</f>
        <v>72593</v>
      </c>
      <c r="D26" s="27">
        <f t="shared" si="0"/>
        <v>7.0254707754191167E-2</v>
      </c>
      <c r="E26" s="27">
        <f>'OTM Turnover MBS'!C81/100</f>
        <v>6.2624111308471703E-2</v>
      </c>
      <c r="F26" s="30">
        <f t="shared" si="2"/>
        <v>7.0904964899614953E-2</v>
      </c>
      <c r="G26" s="30">
        <f t="shared" si="3"/>
        <v>-6.5025714542378543E-4</v>
      </c>
      <c r="H26" s="27">
        <f>'OTM Refi'!B81/100*3</f>
        <v>7.5690610365886212E-3</v>
      </c>
    </row>
    <row r="27" spans="1:8" x14ac:dyDescent="0.25">
      <c r="A27" s="2">
        <v>36950</v>
      </c>
      <c r="B27">
        <v>5.23</v>
      </c>
      <c r="C27" s="26">
        <f>'Housing Stock'!S30</f>
        <v>72686.333333333328</v>
      </c>
      <c r="D27" s="27">
        <f t="shared" si="0"/>
        <v>7.1953003544912172E-2</v>
      </c>
      <c r="E27" s="27">
        <f>'OTM Turnover MBS'!C82/100</f>
        <v>6.5568099153822293E-2</v>
      </c>
      <c r="F27" s="30">
        <f t="shared" si="2"/>
        <v>7.0709448768163222E-2</v>
      </c>
      <c r="G27" s="30">
        <f t="shared" si="3"/>
        <v>1.2435547767489508E-3</v>
      </c>
      <c r="H27" s="27">
        <f>'OTM Refi'!B82/100*3</f>
        <v>9.7935080706391814E-3</v>
      </c>
    </row>
    <row r="28" spans="1:8" x14ac:dyDescent="0.25">
      <c r="A28" s="2">
        <v>36981</v>
      </c>
      <c r="B28">
        <v>5.45</v>
      </c>
      <c r="C28" s="26">
        <f>'Housing Stock'!S31</f>
        <v>72779.666666666672</v>
      </c>
      <c r="D28" s="27">
        <f t="shared" si="0"/>
        <v>7.4883552640618481E-2</v>
      </c>
      <c r="E28" s="27">
        <f>'OTM Turnover MBS'!C83/100</f>
        <v>8.0107441858321998E-2</v>
      </c>
      <c r="F28" s="30">
        <f t="shared" si="2"/>
        <v>7.1081020396926875E-2</v>
      </c>
      <c r="G28" s="30">
        <f t="shared" si="3"/>
        <v>3.8025322436916059E-3</v>
      </c>
      <c r="H28" s="27">
        <f>'OTM Refi'!B83/100*3</f>
        <v>1.1493537664637581E-2</v>
      </c>
    </row>
    <row r="29" spans="1:8" x14ac:dyDescent="0.25">
      <c r="A29" s="2">
        <v>37011</v>
      </c>
      <c r="B29">
        <v>5.32</v>
      </c>
      <c r="C29" s="26">
        <f>'Housing Stock'!S32</f>
        <v>72873</v>
      </c>
      <c r="D29" s="27">
        <f t="shared" si="0"/>
        <v>7.3003718798457601E-2</v>
      </c>
      <c r="E29" s="27">
        <f>'OTM Turnover MBS'!C84/100</f>
        <v>7.3557234457258994E-2</v>
      </c>
      <c r="F29" s="30">
        <f t="shared" si="2"/>
        <v>7.2170595734971685E-2</v>
      </c>
      <c r="G29" s="30">
        <f t="shared" si="3"/>
        <v>8.3312306348591603E-4</v>
      </c>
      <c r="H29" s="27">
        <f>'OTM Refi'!B84/100*3</f>
        <v>1.1750483688474991E-2</v>
      </c>
    </row>
    <row r="30" spans="1:8" x14ac:dyDescent="0.25">
      <c r="A30" s="2">
        <v>37042</v>
      </c>
      <c r="B30">
        <v>5.27</v>
      </c>
      <c r="C30" s="26">
        <f>'Housing Stock'!S33</f>
        <v>72966.333333333328</v>
      </c>
      <c r="D30" s="27">
        <f t="shared" si="0"/>
        <v>7.2225090110050752E-2</v>
      </c>
      <c r="E30" s="27">
        <f>'OTM Turnover MBS'!C85/100</f>
        <v>8.2489734336227305E-2</v>
      </c>
      <c r="F30" s="30">
        <f t="shared" si="2"/>
        <v>7.2560585074864223E-2</v>
      </c>
      <c r="G30" s="30">
        <f t="shared" si="3"/>
        <v>-3.3549496481347085E-4</v>
      </c>
      <c r="H30" s="27">
        <f>'OTM Refi'!B85/100*3</f>
        <v>1.2178489150680868E-2</v>
      </c>
    </row>
    <row r="31" spans="1:8" x14ac:dyDescent="0.25">
      <c r="A31" s="2">
        <v>37072</v>
      </c>
      <c r="B31">
        <v>5.43</v>
      </c>
      <c r="C31" s="26">
        <f>'Housing Stock'!S34</f>
        <v>73059.666666666672</v>
      </c>
      <c r="D31" s="27">
        <f t="shared" si="0"/>
        <v>7.4322813773217325E-2</v>
      </c>
      <c r="E31" s="27">
        <f>'OTM Turnover MBS'!C86/100</f>
        <v>0.10100527646877901</v>
      </c>
      <c r="F31" s="30">
        <f t="shared" si="2"/>
        <v>7.7558649597146881E-2</v>
      </c>
      <c r="G31" s="30">
        <f t="shared" si="3"/>
        <v>-3.2358358239295559E-3</v>
      </c>
      <c r="H31" s="27">
        <f>'OTM Refi'!B86/100*3</f>
        <v>1.220527866289077E-2</v>
      </c>
    </row>
    <row r="32" spans="1:8" x14ac:dyDescent="0.25">
      <c r="A32" s="2">
        <v>37103</v>
      </c>
      <c r="B32">
        <v>5.43</v>
      </c>
      <c r="C32" s="26">
        <f>'Housing Stock'!S35</f>
        <v>73153</v>
      </c>
      <c r="D32" s="27">
        <f t="shared" si="0"/>
        <v>7.4227987915738244E-2</v>
      </c>
      <c r="E32" s="27">
        <f>'OTM Turnover MBS'!C87/100</f>
        <v>8.3712752716855604E-2</v>
      </c>
      <c r="F32" s="30">
        <f t="shared" si="2"/>
        <v>8.1073423165210864E-2</v>
      </c>
      <c r="G32" s="30">
        <f t="shared" si="3"/>
        <v>-6.8454352494726201E-3</v>
      </c>
      <c r="H32" s="27">
        <f>'OTM Refi'!B87/100*3</f>
        <v>1.2474901058730961E-2</v>
      </c>
    </row>
    <row r="33" spans="1:8" x14ac:dyDescent="0.25">
      <c r="A33" s="2">
        <v>37134</v>
      </c>
      <c r="B33">
        <v>5.48</v>
      </c>
      <c r="C33" s="26">
        <f>'Housing Stock'!S36</f>
        <v>73246.333333333328</v>
      </c>
      <c r="D33" s="27">
        <f t="shared" si="0"/>
        <v>7.4816031746754122E-2</v>
      </c>
      <c r="E33" s="27">
        <f>'OTM Turnover MBS'!C88/100</f>
        <v>8.1025036990059293E-2</v>
      </c>
      <c r="F33" s="30">
        <f t="shared" si="2"/>
        <v>8.364957947125036E-2</v>
      </c>
      <c r="G33" s="30">
        <f t="shared" si="3"/>
        <v>-8.8335477244962379E-3</v>
      </c>
      <c r="H33" s="27">
        <f>'OTM Refi'!B88/100*3</f>
        <v>1.2486172999642291E-2</v>
      </c>
    </row>
    <row r="34" spans="1:8" x14ac:dyDescent="0.25">
      <c r="A34" s="2">
        <v>37164</v>
      </c>
      <c r="B34">
        <v>5.23</v>
      </c>
      <c r="C34" s="26">
        <f>'Housing Stock'!S37</f>
        <v>73339.666666666672</v>
      </c>
      <c r="D34" s="27">
        <f t="shared" si="0"/>
        <v>7.131202305255456E-2</v>
      </c>
      <c r="E34" s="27">
        <f>'OTM Turnover MBS'!C89/100</f>
        <v>7.3779408536706795E-2</v>
      </c>
      <c r="F34" s="30">
        <f t="shared" si="2"/>
        <v>8.2594907250981162E-2</v>
      </c>
      <c r="G34" s="30">
        <f t="shared" si="3"/>
        <v>-1.1282884198426602E-2</v>
      </c>
      <c r="H34" s="27">
        <f>'OTM Refi'!B89/100*3</f>
        <v>1.286374408063185E-2</v>
      </c>
    </row>
    <row r="35" spans="1:8" x14ac:dyDescent="0.25">
      <c r="A35" s="2">
        <v>37195</v>
      </c>
      <c r="B35">
        <v>5.25</v>
      </c>
      <c r="C35" s="26">
        <f>'Housing Stock'!S38</f>
        <v>73433</v>
      </c>
      <c r="D35" s="27">
        <f t="shared" si="0"/>
        <v>7.1493742595290954E-2</v>
      </c>
      <c r="E35" s="27">
        <f>'OTM Turnover MBS'!C90/100</f>
        <v>7.2246490648632297E-2</v>
      </c>
      <c r="F35" s="30">
        <f t="shared" si="2"/>
        <v>8.2376449949543393E-2</v>
      </c>
      <c r="G35" s="30">
        <f t="shared" si="3"/>
        <v>-1.0882707354252438E-2</v>
      </c>
      <c r="H35" s="27">
        <f>'OTM Refi'!B90/100*3</f>
        <v>1.2232242722757688E-2</v>
      </c>
    </row>
    <row r="36" spans="1:8" x14ac:dyDescent="0.25">
      <c r="A36" s="2">
        <v>37225</v>
      </c>
      <c r="B36">
        <v>5.24</v>
      </c>
      <c r="C36" s="26">
        <f>'Housing Stock'!S39</f>
        <v>73526.333333333328</v>
      </c>
      <c r="D36" s="27">
        <f t="shared" si="0"/>
        <v>7.1266983711051377E-2</v>
      </c>
      <c r="E36" s="27">
        <f>'OTM Turnover MBS'!C91/100</f>
        <v>6.8226960307544507E-2</v>
      </c>
      <c r="F36" s="30">
        <f t="shared" si="2"/>
        <v>7.9999320944762919E-2</v>
      </c>
      <c r="G36" s="30">
        <f t="shared" si="3"/>
        <v>-8.7323372337115429E-3</v>
      </c>
      <c r="H36" s="27">
        <f>'OTM Refi'!B91/100*3</f>
        <v>1.2965577076456951E-2</v>
      </c>
    </row>
    <row r="37" spans="1:8" x14ac:dyDescent="0.25">
      <c r="A37" s="2">
        <v>37256</v>
      </c>
      <c r="B37">
        <v>5.49</v>
      </c>
      <c r="C37" s="26">
        <f>'Housing Stock'!S40</f>
        <v>73619.666666666672</v>
      </c>
      <c r="D37" s="27">
        <f t="shared" si="0"/>
        <v>7.4572464785224959E-2</v>
      </c>
      <c r="E37" s="27">
        <f>'OTM Turnover MBS'!C92/100</f>
        <v>6.0452252186580499E-2</v>
      </c>
      <c r="F37" s="30">
        <f t="shared" si="2"/>
        <v>7.3240483564396497E-2</v>
      </c>
      <c r="G37" s="30">
        <f t="shared" si="3"/>
        <v>1.3319812208284626E-3</v>
      </c>
      <c r="H37" s="27">
        <f>'OTM Refi'!B92/100*3</f>
        <v>1.3195785623601691E-2</v>
      </c>
    </row>
    <row r="38" spans="1:8" x14ac:dyDescent="0.25">
      <c r="A38" s="2">
        <v>37287</v>
      </c>
      <c r="B38">
        <v>5.86</v>
      </c>
      <c r="C38" s="26">
        <f>'Housing Stock'!S41</f>
        <v>73713</v>
      </c>
      <c r="D38" s="27">
        <f t="shared" si="0"/>
        <v>7.9497510615495245E-2</v>
      </c>
      <c r="E38" s="27">
        <f>'OTM Turnover MBS'!C93/100</f>
        <v>9.2128734081596303E-2</v>
      </c>
      <c r="F38" s="30">
        <f t="shared" si="2"/>
        <v>7.4643147125186618E-2</v>
      </c>
      <c r="G38" s="30">
        <f t="shared" si="3"/>
        <v>4.8543634903086275E-3</v>
      </c>
      <c r="H38" s="27">
        <f>'OTM Refi'!B93/100*3</f>
        <v>1.2890221961614261E-2</v>
      </c>
    </row>
    <row r="39" spans="1:8" x14ac:dyDescent="0.25">
      <c r="A39" s="2">
        <v>37315</v>
      </c>
      <c r="B39">
        <v>5.9</v>
      </c>
      <c r="C39" s="26">
        <f>'Housing Stock'!S42</f>
        <v>73510.083333333328</v>
      </c>
      <c r="D39" s="27">
        <f t="shared" si="0"/>
        <v>8.0261097967285672E-2</v>
      </c>
      <c r="E39" s="27">
        <f>'OTM Turnover MBS'!C94/100</f>
        <v>5.5047650056093904E-2</v>
      </c>
      <c r="F39" s="30">
        <f t="shared" si="2"/>
        <v>7.0313582636192376E-2</v>
      </c>
      <c r="G39" s="30">
        <f t="shared" si="3"/>
        <v>9.9475153310932957E-3</v>
      </c>
      <c r="H39" s="27">
        <f>'OTM Refi'!B94/100*3</f>
        <v>1.2402244192390891E-2</v>
      </c>
    </row>
    <row r="40" spans="1:8" x14ac:dyDescent="0.25">
      <c r="A40" s="2">
        <v>37346</v>
      </c>
      <c r="B40">
        <v>5.63</v>
      </c>
      <c r="C40" s="26">
        <f>'Housing Stock'!S43</f>
        <v>73307.166666666672</v>
      </c>
      <c r="D40" s="27">
        <f t="shared" si="0"/>
        <v>7.6800130955818321E-2</v>
      </c>
      <c r="E40" s="27">
        <f>'OTM Turnover MBS'!C95/100</f>
        <v>3.18963700524924E-2</v>
      </c>
      <c r="F40" s="30">
        <f t="shared" si="2"/>
        <v>6.3333076222156656E-2</v>
      </c>
      <c r="G40" s="30">
        <f t="shared" si="3"/>
        <v>1.3467054733661665E-2</v>
      </c>
      <c r="H40" s="27">
        <f>'OTM Refi'!B95/100*3</f>
        <v>1.17335222063355E-2</v>
      </c>
    </row>
    <row r="41" spans="1:8" x14ac:dyDescent="0.25">
      <c r="A41" s="2">
        <v>37376</v>
      </c>
      <c r="B41">
        <v>5.67</v>
      </c>
      <c r="C41" s="26">
        <f>'Housing Stock'!S44</f>
        <v>73104.25</v>
      </c>
      <c r="D41" s="27">
        <f t="shared" si="0"/>
        <v>7.756047015050424E-2</v>
      </c>
      <c r="E41" s="27">
        <f>'OTM Turnover MBS'!C96/100</f>
        <v>4.9054506616850201E-2</v>
      </c>
      <c r="F41" s="30">
        <f t="shared" si="2"/>
        <v>5.9467745550192963E-2</v>
      </c>
      <c r="G41" s="30">
        <f t="shared" si="3"/>
        <v>1.8092724600311277E-2</v>
      </c>
      <c r="H41" s="27">
        <f>'OTM Refi'!B96/100*3</f>
        <v>1.1867915923956422E-2</v>
      </c>
    </row>
    <row r="42" spans="1:8" x14ac:dyDescent="0.25">
      <c r="A42" s="2">
        <v>37407</v>
      </c>
      <c r="B42">
        <v>5.64</v>
      </c>
      <c r="C42" s="26">
        <f>'Housing Stock'!S45</f>
        <v>72901.333333333328</v>
      </c>
      <c r="D42" s="27">
        <f t="shared" si="0"/>
        <v>7.7364840149242817E-2</v>
      </c>
      <c r="E42" s="27">
        <f>'OTM Turnover MBS'!C97/100</f>
        <v>4.2073926691081301E-2</v>
      </c>
      <c r="F42" s="30">
        <f t="shared" si="2"/>
        <v>5.5108906614115764E-2</v>
      </c>
      <c r="G42" s="30">
        <f t="shared" si="3"/>
        <v>2.2255933535127052E-2</v>
      </c>
      <c r="H42" s="27">
        <f>'OTM Refi'!B97/100*3</f>
        <v>1.2093862935839129E-2</v>
      </c>
    </row>
    <row r="43" spans="1:8" x14ac:dyDescent="0.25">
      <c r="A43" s="2">
        <v>37437</v>
      </c>
      <c r="B43">
        <v>5.51</v>
      </c>
      <c r="C43" s="26">
        <f>'Housing Stock'!S46</f>
        <v>72698.416666666672</v>
      </c>
      <c r="D43" s="27">
        <f t="shared" si="0"/>
        <v>7.5792572282064818E-2</v>
      </c>
      <c r="E43" s="27">
        <f>'OTM Turnover MBS'!C98/100</f>
        <v>3.2764017608013701E-2</v>
      </c>
      <c r="F43" s="30">
        <f t="shared" si="2"/>
        <v>5.0494200851021298E-2</v>
      </c>
      <c r="G43" s="30">
        <f t="shared" si="3"/>
        <v>2.529837143104352E-2</v>
      </c>
      <c r="H43" s="27">
        <f>'OTM Refi'!B98/100*3</f>
        <v>1.1280603050765279E-2</v>
      </c>
    </row>
    <row r="44" spans="1:8" x14ac:dyDescent="0.25">
      <c r="A44" s="2">
        <v>37468</v>
      </c>
      <c r="B44">
        <v>5.41</v>
      </c>
      <c r="C44" s="26">
        <f>'Housing Stock'!S47</f>
        <v>72495.5</v>
      </c>
      <c r="D44" s="27">
        <f t="shared" si="0"/>
        <v>7.4625321571683764E-2</v>
      </c>
      <c r="E44" s="27">
        <f>'OTM Turnover MBS'!C99/100</f>
        <v>4.3249634336677903E-2</v>
      </c>
      <c r="F44" s="30">
        <f t="shared" si="2"/>
        <v>4.2347684226868236E-2</v>
      </c>
      <c r="G44" s="30">
        <f t="shared" si="3"/>
        <v>3.2277637344815528E-2</v>
      </c>
      <c r="H44" s="27">
        <f>'OTM Refi'!B99/100*3</f>
        <v>1.223066706873711E-2</v>
      </c>
    </row>
    <row r="45" spans="1:8" x14ac:dyDescent="0.25">
      <c r="A45" s="2">
        <v>37499</v>
      </c>
      <c r="B45">
        <v>5.36</v>
      </c>
      <c r="C45" s="26">
        <f>'Housing Stock'!S48</f>
        <v>72292.583333333328</v>
      </c>
      <c r="D45" s="27">
        <f t="shared" si="0"/>
        <v>7.4143152075305099E-2</v>
      </c>
      <c r="E45" s="27">
        <f>'OTM Turnover MBS'!C100/100</f>
        <v>5.3968581338776203E-2</v>
      </c>
      <c r="F45" s="30">
        <f t="shared" si="2"/>
        <v>4.2167839440648613E-2</v>
      </c>
      <c r="G45" s="30">
        <f t="shared" si="3"/>
        <v>3.1975312634656486E-2</v>
      </c>
      <c r="H45" s="27">
        <f>'OTM Refi'!B100/100*3</f>
        <v>1.2690489800623921E-2</v>
      </c>
    </row>
    <row r="46" spans="1:8" x14ac:dyDescent="0.25">
      <c r="A46" s="2">
        <v>37529</v>
      </c>
      <c r="B46">
        <v>5.52</v>
      </c>
      <c r="C46" s="26">
        <f>'Housing Stock'!S49</f>
        <v>72089.666666666672</v>
      </c>
      <c r="D46" s="27">
        <f t="shared" si="0"/>
        <v>7.6571307029671382E-2</v>
      </c>
      <c r="E46" s="27">
        <f>'OTM Turnover MBS'!C101/100</f>
        <v>8.8576242947903297E-2</v>
      </c>
      <c r="F46" s="30">
        <f t="shared" si="2"/>
        <v>5.1614484923217095E-2</v>
      </c>
      <c r="G46" s="30">
        <f t="shared" si="3"/>
        <v>2.4956822106454286E-2</v>
      </c>
      <c r="H46" s="27">
        <f>'OTM Refi'!B101/100*3</f>
        <v>1.2293197964504459E-2</v>
      </c>
    </row>
    <row r="47" spans="1:8" x14ac:dyDescent="0.25">
      <c r="A47" s="2">
        <v>37560</v>
      </c>
      <c r="B47">
        <v>5.68</v>
      </c>
      <c r="C47" s="26">
        <f>'Housing Stock'!S50</f>
        <v>71886.75</v>
      </c>
      <c r="D47" s="27">
        <f t="shared" si="0"/>
        <v>7.9013170020900927E-2</v>
      </c>
      <c r="E47" s="27">
        <f>'OTM Turnover MBS'!C102/100</f>
        <v>5.2044725119699702E-2</v>
      </c>
      <c r="F47" s="30">
        <f t="shared" si="2"/>
        <v>5.2112854673692012E-2</v>
      </c>
      <c r="G47" s="30">
        <f t="shared" si="3"/>
        <v>2.6900315347208915E-2</v>
      </c>
      <c r="H47" s="27">
        <f>'OTM Refi'!B102/100*3</f>
        <v>1.305984147235896E-2</v>
      </c>
    </row>
    <row r="48" spans="1:8" x14ac:dyDescent="0.25">
      <c r="A48" s="2">
        <v>37590</v>
      </c>
      <c r="B48">
        <v>5.73</v>
      </c>
      <c r="C48" s="26">
        <f>'Housing Stock'!S51</f>
        <v>71683.833333333328</v>
      </c>
      <c r="D48" s="27">
        <f t="shared" si="0"/>
        <v>7.9934341308942294E-2</v>
      </c>
      <c r="E48" s="27">
        <f>'OTM Turnover MBS'!C103/100</f>
        <v>7.23046933668616E-2</v>
      </c>
      <c r="F48" s="30">
        <f t="shared" si="2"/>
        <v>5.7151315786322064E-2</v>
      </c>
      <c r="G48" s="30">
        <f t="shared" si="3"/>
        <v>2.278302552262023E-2</v>
      </c>
      <c r="H48" s="27">
        <f>'OTM Refi'!B103/100*3</f>
        <v>1.2854477343744659E-2</v>
      </c>
    </row>
    <row r="49" spans="1:10" x14ac:dyDescent="0.25">
      <c r="A49" s="2">
        <v>37621</v>
      </c>
      <c r="B49">
        <v>5.97</v>
      </c>
      <c r="C49" s="26">
        <f>'Housing Stock'!S52</f>
        <v>71480.916666666672</v>
      </c>
      <c r="D49" s="27">
        <f t="shared" si="0"/>
        <v>8.3518794643325539E-2</v>
      </c>
      <c r="E49" s="27">
        <f>'OTM Turnover MBS'!C104/100</f>
        <v>2.9094105009783801E-2</v>
      </c>
      <c r="F49" s="30">
        <f t="shared" si="2"/>
        <v>5.6539663686617093E-2</v>
      </c>
      <c r="G49" s="30">
        <f t="shared" si="3"/>
        <v>2.6979130956708446E-2</v>
      </c>
      <c r="H49" s="27">
        <f>'OTM Refi'!B104/100*3</f>
        <v>1.2941622959499629E-2</v>
      </c>
    </row>
    <row r="50" spans="1:10" x14ac:dyDescent="0.25">
      <c r="A50" s="2">
        <v>37652</v>
      </c>
      <c r="B50">
        <v>6.03</v>
      </c>
      <c r="C50" s="26">
        <f>'Housing Stock'!S53</f>
        <v>71278</v>
      </c>
      <c r="D50" s="27">
        <f t="shared" si="0"/>
        <v>8.45983332865681E-2</v>
      </c>
      <c r="E50" s="27">
        <f>'OTM Turnover MBS'!C105/100</f>
        <v>3.6942886632446201E-2</v>
      </c>
      <c r="F50" s="30">
        <f t="shared" si="2"/>
        <v>5.5488539069245141E-2</v>
      </c>
      <c r="G50" s="30">
        <f t="shared" si="3"/>
        <v>2.910979421732296E-2</v>
      </c>
      <c r="H50" s="27">
        <f>'OTM Refi'!B105/100*3</f>
        <v>1.1624737463491019E-2</v>
      </c>
    </row>
    <row r="51" spans="1:10" x14ac:dyDescent="0.25">
      <c r="A51" s="2">
        <v>37680</v>
      </c>
      <c r="B51">
        <v>6.02</v>
      </c>
      <c r="C51" s="26">
        <f>'Housing Stock'!S54</f>
        <v>71342.666666666672</v>
      </c>
      <c r="D51" s="27">
        <f t="shared" si="0"/>
        <v>8.4381482796643426E-2</v>
      </c>
      <c r="E51" s="27">
        <f>'OTM Turnover MBS'!C106/100</f>
        <v>0.104263833008419</v>
      </c>
      <c r="F51" s="30">
        <f t="shared" si="2"/>
        <v>6.3871081014185607E-2</v>
      </c>
      <c r="G51" s="30">
        <f t="shared" si="3"/>
        <v>2.0510401782457818E-2</v>
      </c>
      <c r="H51" s="27">
        <f>'OTM Refi'!B106/100*3</f>
        <v>9.45326170722759E-3</v>
      </c>
    </row>
    <row r="52" spans="1:10" x14ac:dyDescent="0.25">
      <c r="A52" s="2">
        <v>37711</v>
      </c>
      <c r="B52">
        <v>5.86</v>
      </c>
      <c r="C52" s="26">
        <f>'Housing Stock'!S55</f>
        <v>71407.333333333328</v>
      </c>
      <c r="D52" s="27">
        <f t="shared" si="0"/>
        <v>8.2064400481743252E-2</v>
      </c>
      <c r="E52" s="27">
        <f>'OTM Turnover MBS'!C107/100</f>
        <v>4.2950849258681104E-2</v>
      </c>
      <c r="F52" s="30">
        <f t="shared" si="2"/>
        <v>5.6266848732648568E-2</v>
      </c>
      <c r="G52" s="30">
        <f t="shared" si="3"/>
        <v>2.5797551749094684E-2</v>
      </c>
      <c r="H52" s="27">
        <f>'OTM Refi'!B107/100*3</f>
        <v>8.6325401971655401E-3</v>
      </c>
    </row>
    <row r="53" spans="1:10" x14ac:dyDescent="0.25">
      <c r="A53" s="2">
        <v>37741</v>
      </c>
      <c r="B53">
        <v>5.84</v>
      </c>
      <c r="C53" s="26">
        <f>'Housing Stock'!S56</f>
        <v>71472</v>
      </c>
      <c r="D53" s="27">
        <f t="shared" si="0"/>
        <v>8.1710320125363778E-2</v>
      </c>
      <c r="E53" s="27">
        <f>'OTM Turnover MBS'!C108/100</f>
        <v>3.5156595860998403E-2</v>
      </c>
      <c r="F53" s="30">
        <f t="shared" si="2"/>
        <v>5.3452160522865021E-2</v>
      </c>
      <c r="G53" s="30">
        <f t="shared" si="3"/>
        <v>2.8258159602498757E-2</v>
      </c>
      <c r="H53" s="27">
        <f>'OTM Refi'!B108/100*3</f>
        <v>8.3462669382753304E-3</v>
      </c>
    </row>
    <row r="54" spans="1:10" x14ac:dyDescent="0.25">
      <c r="A54" s="2">
        <v>37772</v>
      </c>
      <c r="B54">
        <v>5.9399999999999995</v>
      </c>
      <c r="C54" s="26">
        <f>'Housing Stock'!S57</f>
        <v>71536.666666666672</v>
      </c>
      <c r="D54" s="27">
        <f t="shared" si="0"/>
        <v>8.3034341363403374E-2</v>
      </c>
      <c r="E54" s="27">
        <f>'OTM Turnover MBS'!C109/100</f>
        <v>1.2007001794426899E-2</v>
      </c>
      <c r="F54" s="30">
        <f t="shared" si="2"/>
        <v>4.3402545260792562E-2</v>
      </c>
      <c r="G54" s="30">
        <f t="shared" si="3"/>
        <v>3.9631796102610813E-2</v>
      </c>
      <c r="H54" s="27">
        <f>'OTM Refi'!B109/100*3</f>
        <v>7.5011135044444795E-3</v>
      </c>
    </row>
    <row r="55" spans="1:10" x14ac:dyDescent="0.25">
      <c r="A55" s="2">
        <v>37802</v>
      </c>
      <c r="B55">
        <v>5.9399999999999995</v>
      </c>
      <c r="C55" s="26">
        <f>'Housing Stock'!S58</f>
        <v>71601.333333333328</v>
      </c>
      <c r="D55" s="27">
        <f t="shared" si="0"/>
        <v>8.2959348987914572E-2</v>
      </c>
      <c r="E55" s="27">
        <f>'OTM Turnover MBS'!C110/100</f>
        <v>1.2151171218835999E-3</v>
      </c>
      <c r="F55" s="30">
        <f t="shared" si="2"/>
        <v>3.8756047279475868E-2</v>
      </c>
      <c r="G55" s="30">
        <f t="shared" si="3"/>
        <v>4.4203301708438704E-2</v>
      </c>
      <c r="H55" s="27">
        <f>'OTM Refi'!B110/100*3</f>
        <v>7.2785435550687307E-3</v>
      </c>
    </row>
    <row r="56" spans="1:10" x14ac:dyDescent="0.25">
      <c r="A56" s="2">
        <v>37833</v>
      </c>
      <c r="B56">
        <v>6.27</v>
      </c>
      <c r="C56" s="26">
        <f>'Housing Stock'!S59</f>
        <v>71666</v>
      </c>
      <c r="D56" s="27">
        <f t="shared" si="0"/>
        <v>8.7489185945915773E-2</v>
      </c>
      <c r="E56" s="27">
        <f>'OTM Turnover MBS'!C111/100</f>
        <v>0</v>
      </c>
      <c r="F56" s="30">
        <f t="shared" si="2"/>
        <v>3.2598899507401503E-2</v>
      </c>
      <c r="G56" s="30">
        <f t="shared" si="3"/>
        <v>5.489028643851427E-2</v>
      </c>
      <c r="H56" s="27">
        <f>'OTM Refi'!B111/100*3</f>
        <v>5.9414922236059493E-3</v>
      </c>
    </row>
    <row r="57" spans="1:10" x14ac:dyDescent="0.25">
      <c r="A57" s="2">
        <v>37864</v>
      </c>
      <c r="B57">
        <v>6.52</v>
      </c>
      <c r="C57" s="26">
        <f>'Housing Stock'!S60</f>
        <v>71730.666666666672</v>
      </c>
      <c r="D57" s="27">
        <f t="shared" si="0"/>
        <v>9.0895572326108759E-2</v>
      </c>
      <c r="E57" s="27">
        <f>'OTM Turnover MBS'!C112/100</f>
        <v>1.57269648113827E-2</v>
      </c>
      <c r="F57" s="30">
        <f t="shared" si="2"/>
        <v>1.7842754807895451E-2</v>
      </c>
      <c r="G57" s="30">
        <f t="shared" si="3"/>
        <v>7.3052817518213312E-2</v>
      </c>
      <c r="H57" s="27">
        <f>'OTM Refi'!B112/100*3</f>
        <v>6.3437244635101801E-3</v>
      </c>
    </row>
    <row r="58" spans="1:10" x14ac:dyDescent="0.25">
      <c r="A58" s="2">
        <v>37894</v>
      </c>
      <c r="B58">
        <v>6.58</v>
      </c>
      <c r="C58" s="26">
        <f>'Housing Stock'!S61</f>
        <v>71795.333333333328</v>
      </c>
      <c r="D58" s="27">
        <f t="shared" si="0"/>
        <v>9.1649410825216132E-2</v>
      </c>
      <c r="E58" s="27">
        <f>'OTM Turnover MBS'!C113/100</f>
        <v>8.1309221319084093E-2</v>
      </c>
      <c r="F58" s="30">
        <f t="shared" si="2"/>
        <v>2.4235816817962618E-2</v>
      </c>
      <c r="G58" s="30">
        <f t="shared" si="3"/>
        <v>6.7413594007253511E-2</v>
      </c>
      <c r="H58" s="27">
        <f>'OTM Refi'!B113/100*3</f>
        <v>5.3539398984325803E-3</v>
      </c>
    </row>
    <row r="59" spans="1:10" x14ac:dyDescent="0.25">
      <c r="A59" s="2">
        <v>37925</v>
      </c>
      <c r="B59">
        <v>6.39</v>
      </c>
      <c r="C59" s="26">
        <f>'Housing Stock'!S62</f>
        <v>71860</v>
      </c>
      <c r="D59" s="27">
        <f t="shared" si="0"/>
        <v>8.8922905649874762E-2</v>
      </c>
      <c r="E59" s="27">
        <f>'OTM Turnover MBS'!C114/100</f>
        <v>3.3937616771004202E-2</v>
      </c>
      <c r="F59" s="30">
        <f t="shared" si="2"/>
        <v>2.4032653636296916E-2</v>
      </c>
      <c r="G59" s="30">
        <f t="shared" si="3"/>
        <v>6.4890252013577843E-2</v>
      </c>
      <c r="H59" s="27">
        <f>'OTM Refi'!B114/100*3</f>
        <v>6.6469664448372007E-3</v>
      </c>
    </row>
    <row r="60" spans="1:10" x14ac:dyDescent="0.25">
      <c r="A60" s="2">
        <v>37955</v>
      </c>
      <c r="B60">
        <v>6.23</v>
      </c>
      <c r="C60" s="26">
        <f>'Housing Stock'!S63</f>
        <v>71924.666666666672</v>
      </c>
      <c r="D60" s="27">
        <f t="shared" si="0"/>
        <v>8.6618406295475819E-2</v>
      </c>
      <c r="E60" s="27">
        <f>'OTM Turnover MBS'!C115/100</f>
        <v>2.8194273641661202E-2</v>
      </c>
      <c r="F60" s="30">
        <f t="shared" si="2"/>
        <v>2.6730532277502633E-2</v>
      </c>
      <c r="G60" s="30">
        <f t="shared" si="3"/>
        <v>5.9887874017973186E-2</v>
      </c>
      <c r="H60" s="27">
        <f>'OTM Refi'!B115/100*3</f>
        <v>8.9191749566352001E-3</v>
      </c>
    </row>
    <row r="61" spans="1:10" x14ac:dyDescent="0.25">
      <c r="A61" s="2">
        <v>37986</v>
      </c>
      <c r="B61">
        <v>6.49</v>
      </c>
      <c r="C61" s="26">
        <f>'Housing Stock'!S64</f>
        <v>71989.333333333328</v>
      </c>
      <c r="D61" s="27">
        <f t="shared" si="0"/>
        <v>9.0152244777004009E-2</v>
      </c>
      <c r="E61" s="27">
        <f>'OTM Turnover MBS'!C116/100</f>
        <v>3.1053750975837499E-2</v>
      </c>
      <c r="F61" s="30">
        <f t="shared" si="2"/>
        <v>3.1703637919828283E-2</v>
      </c>
      <c r="G61" s="30">
        <f t="shared" si="3"/>
        <v>5.8448606857175726E-2</v>
      </c>
      <c r="H61" s="27">
        <f>'OTM Refi'!B116/100*3</f>
        <v>1.0543249930248029E-2</v>
      </c>
      <c r="J61">
        <v>0.01</v>
      </c>
    </row>
    <row r="62" spans="1:10" x14ac:dyDescent="0.25">
      <c r="A62" s="2">
        <v>38017</v>
      </c>
      <c r="B62">
        <v>6.23</v>
      </c>
      <c r="C62" s="26">
        <f>'Housing Stock'!S65</f>
        <v>72054</v>
      </c>
      <c r="D62" s="27">
        <f t="shared" si="0"/>
        <v>8.6462930579842903E-2</v>
      </c>
      <c r="E62" s="27">
        <f>'OTM Turnover MBS'!C117/100</f>
        <v>3.6707042753782997E-2</v>
      </c>
      <c r="F62" s="30">
        <f t="shared" si="2"/>
        <v>3.7821478378792121E-2</v>
      </c>
      <c r="G62" s="30">
        <f t="shared" si="3"/>
        <v>4.8641452201050782E-2</v>
      </c>
      <c r="H62" s="27">
        <f>'OTM Refi'!B117/100*3</f>
        <v>1.083051990778083E-2</v>
      </c>
      <c r="J62">
        <f>1-(1-J61)^(1/12)</f>
        <v>8.3717735912058888E-4</v>
      </c>
    </row>
    <row r="63" spans="1:10" x14ac:dyDescent="0.25">
      <c r="A63" s="2">
        <v>38046</v>
      </c>
      <c r="B63">
        <v>6.41</v>
      </c>
      <c r="C63" s="26">
        <f>'Housing Stock'!S66</f>
        <v>72180.75</v>
      </c>
      <c r="D63" s="27">
        <f t="shared" si="0"/>
        <v>8.880484062579011E-2</v>
      </c>
      <c r="E63" s="27">
        <f>'OTM Turnover MBS'!C118/100</f>
        <v>3.56046959055605E-2</v>
      </c>
      <c r="F63" s="30">
        <f t="shared" si="2"/>
        <v>4.1134433561155086E-2</v>
      </c>
      <c r="G63" s="30">
        <f t="shared" si="3"/>
        <v>4.7670407064635024E-2</v>
      </c>
      <c r="H63" s="27">
        <f>'OTM Refi'!B118/100*3</f>
        <v>1.127315785006101E-2</v>
      </c>
    </row>
    <row r="64" spans="1:10" x14ac:dyDescent="0.25">
      <c r="A64" s="2">
        <v>38077</v>
      </c>
      <c r="B64">
        <v>6.66</v>
      </c>
      <c r="C64" s="26">
        <f>'Housing Stock'!S67</f>
        <v>72307.5</v>
      </c>
      <c r="D64" s="27">
        <f t="shared" si="0"/>
        <v>9.2106627943159422E-2</v>
      </c>
      <c r="E64" s="27">
        <f>'OTM Turnover MBS'!C119/100</f>
        <v>4.4805894192632402E-2</v>
      </c>
      <c r="F64" s="30">
        <f t="shared" si="2"/>
        <v>3.5050545706746469E-2</v>
      </c>
      <c r="G64" s="30">
        <f t="shared" si="3"/>
        <v>5.7056082236412953E-2</v>
      </c>
      <c r="H64" s="27">
        <f>'OTM Refi'!B119/100*3</f>
        <v>1.164626172512106E-2</v>
      </c>
    </row>
    <row r="65" spans="1:8" x14ac:dyDescent="0.25">
      <c r="A65" s="2">
        <v>38107</v>
      </c>
      <c r="B65">
        <v>6.73</v>
      </c>
      <c r="C65" s="26">
        <f>'Housing Stock'!S68</f>
        <v>72434.25</v>
      </c>
      <c r="D65" s="27">
        <f t="shared" si="0"/>
        <v>9.2911847641136622E-2</v>
      </c>
      <c r="E65" s="27">
        <f>'OTM Turnover MBS'!C120/100</f>
        <v>4.6766440005366602E-2</v>
      </c>
      <c r="F65" s="30">
        <f t="shared" si="2"/>
        <v>3.7188682912473535E-2</v>
      </c>
      <c r="G65" s="30">
        <f t="shared" si="3"/>
        <v>5.5723164728663087E-2</v>
      </c>
      <c r="H65" s="27">
        <f>'OTM Refi'!B120/100*3</f>
        <v>1.3470849225645121E-2</v>
      </c>
    </row>
    <row r="66" spans="1:8" x14ac:dyDescent="0.25">
      <c r="A66" s="2">
        <v>38138</v>
      </c>
      <c r="B66">
        <v>6.85</v>
      </c>
      <c r="C66" s="26">
        <f>'Housing Stock'!S69</f>
        <v>72561</v>
      </c>
      <c r="D66" s="27">
        <f t="shared" si="0"/>
        <v>9.440332961232617E-2</v>
      </c>
      <c r="E66" s="27">
        <f>'OTM Turnover MBS'!C121/100</f>
        <v>6.7252950653064497E-2</v>
      </c>
      <c r="F66" s="30">
        <f t="shared" si="2"/>
        <v>4.3698462414374084E-2</v>
      </c>
      <c r="G66" s="30">
        <f t="shared" si="3"/>
        <v>5.0704867197952086E-2</v>
      </c>
      <c r="H66" s="27">
        <f>'OTM Refi'!B121/100*3</f>
        <v>1.27311400246518E-2</v>
      </c>
    </row>
    <row r="67" spans="1:8" x14ac:dyDescent="0.25">
      <c r="A67" s="2">
        <v>38168</v>
      </c>
      <c r="B67">
        <v>6.92</v>
      </c>
      <c r="C67" s="26">
        <f>'Housing Stock'!S70</f>
        <v>72687.75</v>
      </c>
      <c r="D67" s="27">
        <f t="shared" ref="D67:D130" si="4">B67/C67*1000</f>
        <v>9.5201736193512659E-2</v>
      </c>
      <c r="E67" s="27">
        <f>'OTM Turnover MBS'!C122/100</f>
        <v>7.8936077483492004E-2</v>
      </c>
      <c r="F67" s="30">
        <f t="shared" si="2"/>
        <v>5.1678850165649833E-2</v>
      </c>
      <c r="G67" s="30">
        <f t="shared" si="3"/>
        <v>4.3522886027862827E-2</v>
      </c>
      <c r="H67" s="27">
        <f>'OTM Refi'!B122/100*3</f>
        <v>1.1535985307336009E-2</v>
      </c>
    </row>
    <row r="68" spans="1:8" x14ac:dyDescent="0.25">
      <c r="A68" s="2">
        <v>38199</v>
      </c>
      <c r="B68">
        <v>6.84</v>
      </c>
      <c r="C68" s="26">
        <f>'Housing Stock'!S71</f>
        <v>72814.5</v>
      </c>
      <c r="D68" s="27">
        <f t="shared" si="4"/>
        <v>9.3937333910141529E-2</v>
      </c>
      <c r="E68" s="27">
        <f>'OTM Turnover MBS'!C123/100</f>
        <v>7.1092294749093496E-2</v>
      </c>
      <c r="F68" s="30">
        <f t="shared" si="2"/>
        <v>5.7409725498201586E-2</v>
      </c>
      <c r="G68" s="30">
        <f t="shared" si="3"/>
        <v>3.6527608411939944E-2</v>
      </c>
      <c r="H68" s="27">
        <f>'OTM Refi'!B123/100*3</f>
        <v>1.323510655778703E-2</v>
      </c>
    </row>
    <row r="69" spans="1:8" x14ac:dyDescent="0.25">
      <c r="A69" s="2">
        <v>38230</v>
      </c>
      <c r="B69">
        <v>6.7</v>
      </c>
      <c r="C69" s="26">
        <f>'Housing Stock'!S72</f>
        <v>72941.25</v>
      </c>
      <c r="D69" s="27">
        <f t="shared" si="4"/>
        <v>9.1854746114167232E-2</v>
      </c>
      <c r="E69" s="27">
        <f>'OTM Turnover MBS'!C124/100</f>
        <v>6.3286757488166798E-2</v>
      </c>
      <c r="F69" s="30">
        <f t="shared" si="2"/>
        <v>6.2023402428635972E-2</v>
      </c>
      <c r="G69" s="30">
        <f t="shared" si="3"/>
        <v>2.983134368553126E-2</v>
      </c>
      <c r="H69" s="27">
        <f>'OTM Refi'!B124/100*3</f>
        <v>1.6550795801299381E-2</v>
      </c>
    </row>
    <row r="70" spans="1:8" x14ac:dyDescent="0.25">
      <c r="A70" s="2">
        <v>38260</v>
      </c>
      <c r="B70">
        <v>6.68</v>
      </c>
      <c r="C70" s="26">
        <f>'Housing Stock'!S73</f>
        <v>73068</v>
      </c>
      <c r="D70" s="27">
        <f t="shared" si="4"/>
        <v>9.1421689385230195E-2</v>
      </c>
      <c r="E70" s="27">
        <f>'OTM Turnover MBS'!C125/100</f>
        <v>7.1177051153106102E-2</v>
      </c>
      <c r="F70" s="30">
        <f t="shared" si="2"/>
        <v>6.6418595255381588E-2</v>
      </c>
      <c r="G70" s="30">
        <f t="shared" si="3"/>
        <v>2.5003094129848608E-2</v>
      </c>
      <c r="H70" s="27">
        <f>'OTM Refi'!B125/100*3</f>
        <v>1.9465952080477411E-2</v>
      </c>
    </row>
    <row r="71" spans="1:8" x14ac:dyDescent="0.25">
      <c r="A71" s="2">
        <v>38291</v>
      </c>
      <c r="B71">
        <v>6.85</v>
      </c>
      <c r="C71" s="26">
        <f>'Housing Stock'!S74</f>
        <v>73194.75</v>
      </c>
      <c r="D71" s="27">
        <f t="shared" si="4"/>
        <v>9.358594707953781E-2</v>
      </c>
      <c r="E71" s="27">
        <f>'OTM Turnover MBS'!C126/100</f>
        <v>6.6572516268288209E-2</v>
      </c>
      <c r="F71" s="30">
        <f t="shared" si="2"/>
        <v>6.9719607965868513E-2</v>
      </c>
      <c r="G71" s="30">
        <f t="shared" si="3"/>
        <v>2.3866339113669297E-2</v>
      </c>
      <c r="H71" s="27">
        <f>'OTM Refi'!B126/100*3</f>
        <v>2.0578174819345652E-2</v>
      </c>
    </row>
    <row r="72" spans="1:8" x14ac:dyDescent="0.25">
      <c r="A72" s="2">
        <v>38321</v>
      </c>
      <c r="B72">
        <v>6.96</v>
      </c>
      <c r="C72" s="26">
        <f>'Housing Stock'!S75</f>
        <v>73321.5</v>
      </c>
      <c r="D72" s="27">
        <f t="shared" si="4"/>
        <v>9.4924408256786885E-2</v>
      </c>
      <c r="E72" s="27">
        <f>'OTM Turnover MBS'!C127/100</f>
        <v>7.8037302399631497E-2</v>
      </c>
      <c r="F72" s="30">
        <f t="shared" ref="F72:F135" si="5">AVERAGE(E67:E72)</f>
        <v>7.1516999923629684E-2</v>
      </c>
      <c r="G72" s="30">
        <f t="shared" ref="G72:G135" si="6">D72-F72</f>
        <v>2.3407408333157201E-2</v>
      </c>
      <c r="H72" s="27">
        <f>'OTM Refi'!B127/100*3</f>
        <v>2.105630176305474E-2</v>
      </c>
    </row>
    <row r="73" spans="1:8" x14ac:dyDescent="0.25">
      <c r="A73" s="2">
        <v>38352</v>
      </c>
      <c r="B73">
        <v>6.89</v>
      </c>
      <c r="C73" s="26">
        <f>'Housing Stock'!S76</f>
        <v>73448.25</v>
      </c>
      <c r="D73" s="27">
        <f t="shared" si="4"/>
        <v>9.3807544767914822E-2</v>
      </c>
      <c r="E73" s="27">
        <f>'OTM Turnover MBS'!C128/100</f>
        <v>8.4012086792007001E-2</v>
      </c>
      <c r="F73" s="30">
        <f t="shared" si="5"/>
        <v>7.2363001475048858E-2</v>
      </c>
      <c r="G73" s="30">
        <f t="shared" si="6"/>
        <v>2.1444543292865964E-2</v>
      </c>
      <c r="H73" s="27">
        <f>'OTM Refi'!B128/100*3</f>
        <v>2.1816546203221831E-2</v>
      </c>
    </row>
    <row r="74" spans="1:8" x14ac:dyDescent="0.25">
      <c r="A74" s="2">
        <v>38383</v>
      </c>
      <c r="B74">
        <v>7.1</v>
      </c>
      <c r="C74" s="26">
        <f>'Housing Stock'!S77</f>
        <v>73575</v>
      </c>
      <c r="D74" s="27">
        <f t="shared" si="4"/>
        <v>9.6500169894665297E-2</v>
      </c>
      <c r="E74" s="27">
        <f>'OTM Turnover MBS'!C129/100</f>
        <v>7.8062565890871904E-2</v>
      </c>
      <c r="F74" s="30">
        <f t="shared" si="5"/>
        <v>7.3524713332011923E-2</v>
      </c>
      <c r="G74" s="30">
        <f t="shared" si="6"/>
        <v>2.2975456562653374E-2</v>
      </c>
      <c r="H74" s="27">
        <f>'OTM Refi'!B129/100*3</f>
        <v>2.286813414866385E-2</v>
      </c>
    </row>
    <row r="75" spans="1:8" x14ac:dyDescent="0.25">
      <c r="A75" s="2">
        <v>38411</v>
      </c>
      <c r="B75">
        <v>6.88</v>
      </c>
      <c r="C75" s="26">
        <f>'Housing Stock'!S78</f>
        <v>73656.5</v>
      </c>
      <c r="D75" s="27">
        <f t="shared" si="4"/>
        <v>9.3406556108422203E-2</v>
      </c>
      <c r="E75" s="27">
        <f>'OTM Turnover MBS'!C130/100</f>
        <v>8.4912382208214204E-2</v>
      </c>
      <c r="F75" s="30">
        <f t="shared" si="5"/>
        <v>7.7128984118686475E-2</v>
      </c>
      <c r="G75" s="30">
        <f t="shared" si="6"/>
        <v>1.6277571989735728E-2</v>
      </c>
      <c r="H75" s="27">
        <f>'OTM Refi'!B130/100*3</f>
        <v>2.472040297272159E-2</v>
      </c>
    </row>
    <row r="76" spans="1:8" x14ac:dyDescent="0.25">
      <c r="A76" s="2">
        <v>38442</v>
      </c>
      <c r="B76">
        <v>6.96</v>
      </c>
      <c r="C76" s="26">
        <f>'Housing Stock'!S79</f>
        <v>73738</v>
      </c>
      <c r="D76" s="27">
        <f t="shared" si="4"/>
        <v>9.4388239442349947E-2</v>
      </c>
      <c r="E76" s="27">
        <f>'OTM Turnover MBS'!C131/100</f>
        <v>9.1727458454760213E-2</v>
      </c>
      <c r="F76" s="30">
        <f t="shared" si="5"/>
        <v>8.0554052002295512E-2</v>
      </c>
      <c r="G76" s="30">
        <f t="shared" si="6"/>
        <v>1.3834187440054435E-2</v>
      </c>
      <c r="H76" s="27">
        <f>'OTM Refi'!B131/100*3</f>
        <v>2.6082102058206151E-2</v>
      </c>
    </row>
    <row r="77" spans="1:8" x14ac:dyDescent="0.25">
      <c r="A77" s="2">
        <v>38472</v>
      </c>
      <c r="B77">
        <v>7.12</v>
      </c>
      <c r="C77" s="26">
        <f>'Housing Stock'!S80</f>
        <v>73819.5</v>
      </c>
      <c r="D77" s="27">
        <f t="shared" si="4"/>
        <v>9.6451479622592942E-2</v>
      </c>
      <c r="E77" s="27">
        <f>'OTM Turnover MBS'!C132/100</f>
        <v>8.1735981120278398E-2</v>
      </c>
      <c r="F77" s="30">
        <f t="shared" si="5"/>
        <v>8.3081296144293867E-2</v>
      </c>
      <c r="G77" s="30">
        <f t="shared" si="6"/>
        <v>1.3370183478299075E-2</v>
      </c>
      <c r="H77" s="27">
        <f>'OTM Refi'!B132/100*3</f>
        <v>2.7098430607038749E-2</v>
      </c>
    </row>
    <row r="78" spans="1:8" x14ac:dyDescent="0.25">
      <c r="A78" s="2">
        <v>38503</v>
      </c>
      <c r="B78">
        <v>7.08</v>
      </c>
      <c r="C78" s="26">
        <f>'Housing Stock'!S81</f>
        <v>73901</v>
      </c>
      <c r="D78" s="27">
        <f t="shared" si="4"/>
        <v>9.5803845685444047E-2</v>
      </c>
      <c r="E78" s="27">
        <f>'OTM Turnover MBS'!C133/100</f>
        <v>8.2959624197650697E-2</v>
      </c>
      <c r="F78" s="30">
        <f t="shared" si="5"/>
        <v>8.3901683110630412E-2</v>
      </c>
      <c r="G78" s="30">
        <f t="shared" si="6"/>
        <v>1.1902162574813635E-2</v>
      </c>
      <c r="H78" s="27">
        <f>'OTM Refi'!B133/100*3</f>
        <v>3.0250620421002E-2</v>
      </c>
    </row>
    <row r="79" spans="1:8" x14ac:dyDescent="0.25">
      <c r="A79" s="2">
        <v>38533</v>
      </c>
      <c r="B79">
        <v>7.18</v>
      </c>
      <c r="C79" s="26">
        <f>'Housing Stock'!S82</f>
        <v>73982.5</v>
      </c>
      <c r="D79" s="27">
        <f t="shared" si="4"/>
        <v>9.7049978035346193E-2</v>
      </c>
      <c r="E79" s="27">
        <f>'OTM Turnover MBS'!C134/100</f>
        <v>8.3381464578856909E-2</v>
      </c>
      <c r="F79" s="30">
        <f t="shared" si="5"/>
        <v>8.3796579408438723E-2</v>
      </c>
      <c r="G79" s="30">
        <f t="shared" si="6"/>
        <v>1.325339862690747E-2</v>
      </c>
      <c r="H79" s="27">
        <f>'OTM Refi'!B134/100*3</f>
        <v>3.2858946582729892E-2</v>
      </c>
    </row>
    <row r="80" spans="1:8" x14ac:dyDescent="0.25">
      <c r="A80" s="2">
        <v>38564</v>
      </c>
      <c r="B80">
        <v>7.14</v>
      </c>
      <c r="C80" s="26">
        <f>'Housing Stock'!S83</f>
        <v>74064</v>
      </c>
      <c r="D80" s="27">
        <f t="shared" si="4"/>
        <v>9.640311082307193E-2</v>
      </c>
      <c r="E80" s="27">
        <f>'OTM Turnover MBS'!C135/100</f>
        <v>8.4952880970197514E-2</v>
      </c>
      <c r="F80" s="30">
        <f t="shared" si="5"/>
        <v>8.4944965254992996E-2</v>
      </c>
      <c r="G80" s="30">
        <f t="shared" si="6"/>
        <v>1.1458145568078934E-2</v>
      </c>
      <c r="H80" s="27">
        <f>'OTM Refi'!B135/100*3</f>
        <v>3.54164404097706E-2</v>
      </c>
    </row>
    <row r="81" spans="1:8" x14ac:dyDescent="0.25">
      <c r="A81" s="2">
        <v>38595</v>
      </c>
      <c r="B81">
        <v>7.23</v>
      </c>
      <c r="C81" s="26">
        <f>'Housing Stock'!S84</f>
        <v>74145.5</v>
      </c>
      <c r="D81" s="27">
        <f t="shared" si="4"/>
        <v>9.7510975042315443E-2</v>
      </c>
      <c r="E81" s="27">
        <f>'OTM Turnover MBS'!C136/100</f>
        <v>9.0983712766891309E-2</v>
      </c>
      <c r="F81" s="30">
        <f t="shared" si="5"/>
        <v>8.5956853681439183E-2</v>
      </c>
      <c r="G81" s="30">
        <f t="shared" si="6"/>
        <v>1.155412136087626E-2</v>
      </c>
      <c r="H81" s="27">
        <f>'OTM Refi'!B136/100*3</f>
        <v>3.5466189885463795E-2</v>
      </c>
    </row>
    <row r="82" spans="1:8" x14ac:dyDescent="0.25">
      <c r="A82" s="2">
        <v>38625</v>
      </c>
      <c r="B82">
        <v>7.25</v>
      </c>
      <c r="C82" s="26">
        <f>'Housing Stock'!S85</f>
        <v>74227</v>
      </c>
      <c r="D82" s="27">
        <f t="shared" si="4"/>
        <v>9.7673353361984183E-2</v>
      </c>
      <c r="E82" s="27">
        <f>'OTM Turnover MBS'!C137/100</f>
        <v>8.5927442663784104E-2</v>
      </c>
      <c r="F82" s="30">
        <f t="shared" si="5"/>
        <v>8.4990184382943146E-2</v>
      </c>
      <c r="G82" s="30">
        <f t="shared" si="6"/>
        <v>1.2683168979041037E-2</v>
      </c>
      <c r="H82" s="27">
        <f>'OTM Refi'!B137/100*3</f>
        <v>3.7136335681075203E-2</v>
      </c>
    </row>
    <row r="83" spans="1:8" x14ac:dyDescent="0.25">
      <c r="A83" s="2">
        <v>38656</v>
      </c>
      <c r="B83">
        <v>7.1</v>
      </c>
      <c r="C83" s="26">
        <f>'Housing Stock'!S86</f>
        <v>74308.5</v>
      </c>
      <c r="D83" s="27">
        <f t="shared" si="4"/>
        <v>9.5547615683266376E-2</v>
      </c>
      <c r="E83" s="27">
        <f>'OTM Turnover MBS'!C138/100</f>
        <v>8.1604077347049095E-2</v>
      </c>
      <c r="F83" s="30">
        <f t="shared" si="5"/>
        <v>8.4968200420738271E-2</v>
      </c>
      <c r="G83" s="30">
        <f t="shared" si="6"/>
        <v>1.0579415262528105E-2</v>
      </c>
      <c r="H83" s="27">
        <f>'OTM Refi'!B138/100*3</f>
        <v>3.6539522799525E-2</v>
      </c>
    </row>
    <row r="84" spans="1:8" x14ac:dyDescent="0.25">
      <c r="A84" s="2">
        <v>38686</v>
      </c>
      <c r="B84">
        <v>7.03</v>
      </c>
      <c r="C84" s="26">
        <f>'Housing Stock'!S87</f>
        <v>74390</v>
      </c>
      <c r="D84" s="27">
        <f t="shared" si="4"/>
        <v>9.4501949186718656E-2</v>
      </c>
      <c r="E84" s="27">
        <f>'OTM Turnover MBS'!C139/100</f>
        <v>8.7219463507552192E-2</v>
      </c>
      <c r="F84" s="30">
        <f t="shared" si="5"/>
        <v>8.567817363905518E-2</v>
      </c>
      <c r="G84" s="30">
        <f t="shared" si="6"/>
        <v>8.823775547663476E-3</v>
      </c>
      <c r="H84" s="27">
        <f>'OTM Refi'!B139/100*3</f>
        <v>3.42028794477462E-2</v>
      </c>
    </row>
    <row r="85" spans="1:8" x14ac:dyDescent="0.25">
      <c r="A85" s="2">
        <v>38717</v>
      </c>
      <c r="B85">
        <v>6.84</v>
      </c>
      <c r="C85" s="26">
        <f>'Housing Stock'!S88</f>
        <v>74471.5</v>
      </c>
      <c r="D85" s="27">
        <f t="shared" si="4"/>
        <v>9.1847216720490399E-2</v>
      </c>
      <c r="E85" s="27">
        <f>'OTM Turnover MBS'!C140/100</f>
        <v>8.4540374852895894E-2</v>
      </c>
      <c r="F85" s="30">
        <f t="shared" si="5"/>
        <v>8.5871325351395023E-2</v>
      </c>
      <c r="G85" s="30">
        <f t="shared" si="6"/>
        <v>5.9758913690953763E-3</v>
      </c>
      <c r="H85" s="27">
        <f>'OTM Refi'!B140/100*3</f>
        <v>2.9820614359908119E-2</v>
      </c>
    </row>
    <row r="86" spans="1:8" x14ac:dyDescent="0.25">
      <c r="A86" s="2">
        <v>38748</v>
      </c>
      <c r="B86">
        <v>6.72</v>
      </c>
      <c r="C86" s="26">
        <f>'Housing Stock'!S89</f>
        <v>74553</v>
      </c>
      <c r="D86" s="27">
        <f t="shared" si="4"/>
        <v>9.0137217818196447E-2</v>
      </c>
      <c r="E86" s="27">
        <f>'OTM Turnover MBS'!C141/100</f>
        <v>8.4465999589737398E-2</v>
      </c>
      <c r="F86" s="30">
        <f t="shared" si="5"/>
        <v>8.5790178454651686E-2</v>
      </c>
      <c r="G86" s="30">
        <f t="shared" si="6"/>
        <v>4.3470393635447607E-3</v>
      </c>
      <c r="H86" s="27">
        <f>'OTM Refi'!B141/100*3</f>
        <v>3.0528840103694697E-2</v>
      </c>
    </row>
    <row r="87" spans="1:8" x14ac:dyDescent="0.25">
      <c r="A87" s="2">
        <v>38776</v>
      </c>
      <c r="B87">
        <v>6.84</v>
      </c>
      <c r="C87" s="26">
        <f>'Housing Stock'!S90</f>
        <v>74621.916666666672</v>
      </c>
      <c r="D87" s="27">
        <f t="shared" si="4"/>
        <v>9.1662078723520668E-2</v>
      </c>
      <c r="E87" s="27">
        <f>'OTM Turnover MBS'!C142/100</f>
        <v>8.3563430408687106E-2</v>
      </c>
      <c r="F87" s="30">
        <f t="shared" si="5"/>
        <v>8.4553464728284303E-2</v>
      </c>
      <c r="G87" s="30">
        <f t="shared" si="6"/>
        <v>7.1086139952363653E-3</v>
      </c>
      <c r="H87" s="27">
        <f>'OTM Refi'!B142/100*3</f>
        <v>3.2479426063170599E-2</v>
      </c>
    </row>
    <row r="88" spans="1:8" x14ac:dyDescent="0.25">
      <c r="A88" s="2">
        <v>38807</v>
      </c>
      <c r="B88">
        <v>6.83</v>
      </c>
      <c r="C88" s="26">
        <f>'Housing Stock'!S91</f>
        <v>74690.833333333328</v>
      </c>
      <c r="D88" s="27">
        <f t="shared" si="4"/>
        <v>9.1443617579131761E-2</v>
      </c>
      <c r="E88" s="27">
        <f>'OTM Turnover MBS'!C143/100</f>
        <v>8.6524421768800208E-2</v>
      </c>
      <c r="F88" s="30">
        <f t="shared" si="5"/>
        <v>8.4652961245786987E-2</v>
      </c>
      <c r="G88" s="30">
        <f t="shared" si="6"/>
        <v>6.7906563333447745E-3</v>
      </c>
      <c r="H88" s="27">
        <f>'OTM Refi'!B143/100*3</f>
        <v>3.1190614652120703E-2</v>
      </c>
    </row>
    <row r="89" spans="1:8" x14ac:dyDescent="0.25">
      <c r="A89" s="2">
        <v>38837</v>
      </c>
      <c r="B89">
        <v>6.7</v>
      </c>
      <c r="C89" s="26">
        <f>'Housing Stock'!S92</f>
        <v>74759.75</v>
      </c>
      <c r="D89" s="27">
        <f t="shared" si="4"/>
        <v>8.9620417403750013E-2</v>
      </c>
      <c r="E89" s="27">
        <f>'OTM Turnover MBS'!C144/100</f>
        <v>7.0426190413101206E-2</v>
      </c>
      <c r="F89" s="30">
        <f t="shared" si="5"/>
        <v>8.2789980090129001E-2</v>
      </c>
      <c r="G89" s="30">
        <f t="shared" si="6"/>
        <v>6.8304373136210128E-3</v>
      </c>
      <c r="H89" s="27">
        <f>'OTM Refi'!B144/100*3</f>
        <v>2.8761123675395642E-2</v>
      </c>
    </row>
    <row r="90" spans="1:8" x14ac:dyDescent="0.25">
      <c r="A90" s="2">
        <v>38868</v>
      </c>
      <c r="B90">
        <v>6.58</v>
      </c>
      <c r="C90" s="26">
        <f>'Housing Stock'!S93</f>
        <v>74828.666666666672</v>
      </c>
      <c r="D90" s="27">
        <f t="shared" si="4"/>
        <v>8.7934214160348523E-2</v>
      </c>
      <c r="E90" s="27">
        <f>'OTM Turnover MBS'!C145/100</f>
        <v>8.1035554090804499E-2</v>
      </c>
      <c r="F90" s="30">
        <f t="shared" si="5"/>
        <v>8.1759328520671054E-2</v>
      </c>
      <c r="G90" s="30">
        <f t="shared" si="6"/>
        <v>6.1748856396774687E-3</v>
      </c>
      <c r="H90" s="27">
        <f>'OTM Refi'!B145/100*3</f>
        <v>2.476118778136794E-2</v>
      </c>
    </row>
    <row r="91" spans="1:8" x14ac:dyDescent="0.25">
      <c r="A91" s="2">
        <v>38898</v>
      </c>
      <c r="B91">
        <v>6.48</v>
      </c>
      <c r="C91" s="26">
        <f>'Housing Stock'!S94</f>
        <v>74897.583333333328</v>
      </c>
      <c r="D91" s="27">
        <f t="shared" si="4"/>
        <v>8.6518145334017235E-2</v>
      </c>
      <c r="E91" s="27">
        <f>'OTM Turnover MBS'!C146/100</f>
        <v>7.6372014655024897E-2</v>
      </c>
      <c r="F91" s="30">
        <f t="shared" si="5"/>
        <v>8.0397935154359224E-2</v>
      </c>
      <c r="G91" s="30">
        <f t="shared" si="6"/>
        <v>6.1202101796580116E-3</v>
      </c>
      <c r="H91" s="27">
        <f>'OTM Refi'!B146/100*3</f>
        <v>2.197328284076526E-2</v>
      </c>
    </row>
    <row r="92" spans="1:8" x14ac:dyDescent="0.25">
      <c r="A92" s="2">
        <v>38929</v>
      </c>
      <c r="B92">
        <v>6.32</v>
      </c>
      <c r="C92" s="26">
        <f>'Housing Stock'!S95</f>
        <v>74966.5</v>
      </c>
      <c r="D92" s="27">
        <f t="shared" si="4"/>
        <v>8.4304322597426845E-2</v>
      </c>
      <c r="E92" s="27">
        <f>'OTM Turnover MBS'!C147/100</f>
        <v>7.0753177143035306E-2</v>
      </c>
      <c r="F92" s="30">
        <f t="shared" si="5"/>
        <v>7.811246474657553E-2</v>
      </c>
      <c r="G92" s="30">
        <f t="shared" si="6"/>
        <v>6.191857850851315E-3</v>
      </c>
      <c r="H92" s="27">
        <f>'OTM Refi'!B147/100*3</f>
        <v>1.8234010616759218E-2</v>
      </c>
    </row>
    <row r="93" spans="1:8" x14ac:dyDescent="0.25">
      <c r="A93" s="2">
        <v>38960</v>
      </c>
      <c r="B93">
        <v>6.34</v>
      </c>
      <c r="C93" s="26">
        <f>'Housing Stock'!S96</f>
        <v>75035.416666666672</v>
      </c>
      <c r="D93" s="27">
        <f t="shared" si="4"/>
        <v>8.4493433656328956E-2</v>
      </c>
      <c r="E93" s="27">
        <f>'OTM Turnover MBS'!C148/100</f>
        <v>7.6431371281494395E-2</v>
      </c>
      <c r="F93" s="30">
        <f t="shared" si="5"/>
        <v>7.6923788225376752E-2</v>
      </c>
      <c r="G93" s="30">
        <f t="shared" si="6"/>
        <v>7.5696454309522043E-3</v>
      </c>
      <c r="H93" s="27">
        <f>'OTM Refi'!B148/100*3</f>
        <v>1.4994273234910531E-2</v>
      </c>
    </row>
    <row r="94" spans="1:8" x14ac:dyDescent="0.25">
      <c r="A94" s="2">
        <v>38990</v>
      </c>
      <c r="B94">
        <v>6.28</v>
      </c>
      <c r="C94" s="26">
        <f>'Housing Stock'!S97</f>
        <v>75104.333333333328</v>
      </c>
      <c r="D94" s="27">
        <f t="shared" si="4"/>
        <v>8.3617012777780247E-2</v>
      </c>
      <c r="E94" s="27">
        <f>'OTM Turnover MBS'!C149/100</f>
        <v>7.5115390017952199E-2</v>
      </c>
      <c r="F94" s="30">
        <f t="shared" si="5"/>
        <v>7.502228293356876E-2</v>
      </c>
      <c r="G94" s="30">
        <f t="shared" si="6"/>
        <v>8.5947298442114878E-3</v>
      </c>
      <c r="H94" s="27">
        <f>'OTM Refi'!B149/100*3</f>
        <v>1.686745547758851E-2</v>
      </c>
    </row>
    <row r="95" spans="1:8" x14ac:dyDescent="0.25">
      <c r="A95" s="2">
        <v>39021</v>
      </c>
      <c r="B95">
        <v>6.36</v>
      </c>
      <c r="C95" s="26">
        <f>'Housing Stock'!S98</f>
        <v>75173.25</v>
      </c>
      <c r="D95" s="27">
        <f t="shared" si="4"/>
        <v>8.4604563458411081E-2</v>
      </c>
      <c r="E95" s="27">
        <f>'OTM Turnover MBS'!C150/100</f>
        <v>8.4614333950644702E-2</v>
      </c>
      <c r="F95" s="30">
        <f t="shared" si="5"/>
        <v>7.7386973523159333E-2</v>
      </c>
      <c r="G95" s="30">
        <f t="shared" si="6"/>
        <v>7.2175899352517475E-3</v>
      </c>
      <c r="H95" s="27">
        <f>'OTM Refi'!B150/100*3</f>
        <v>1.6827820412986139E-2</v>
      </c>
    </row>
    <row r="96" spans="1:8" x14ac:dyDescent="0.25">
      <c r="A96" s="2">
        <v>39051</v>
      </c>
      <c r="B96">
        <v>6.34</v>
      </c>
      <c r="C96" s="26">
        <f>'Housing Stock'!S99</f>
        <v>75242.166666666672</v>
      </c>
      <c r="D96" s="27">
        <f t="shared" si="4"/>
        <v>8.4261263077219553E-2</v>
      </c>
      <c r="E96" s="27">
        <f>'OTM Turnover MBS'!C151/100</f>
        <v>8.6134858824691407E-2</v>
      </c>
      <c r="F96" s="30">
        <f t="shared" si="5"/>
        <v>7.823685764547382E-2</v>
      </c>
      <c r="G96" s="30">
        <f t="shared" si="6"/>
        <v>6.024405431745733E-3</v>
      </c>
      <c r="H96" s="27">
        <f>'OTM Refi'!B151/100*3</f>
        <v>1.6036925894475688E-2</v>
      </c>
    </row>
    <row r="97" spans="1:8" x14ac:dyDescent="0.25">
      <c r="A97" s="2">
        <v>39082</v>
      </c>
      <c r="B97">
        <v>6.4</v>
      </c>
      <c r="C97" s="26">
        <f>'Housing Stock'!S100</f>
        <v>75311.083333333328</v>
      </c>
      <c r="D97" s="27">
        <f t="shared" si="4"/>
        <v>8.4980851645342165E-2</v>
      </c>
      <c r="E97" s="27">
        <f>'OTM Turnover MBS'!C152/100</f>
        <v>8.5853110599390312E-2</v>
      </c>
      <c r="F97" s="30">
        <f t="shared" si="5"/>
        <v>7.9817040302868056E-2</v>
      </c>
      <c r="G97" s="30">
        <f t="shared" si="6"/>
        <v>5.1638113424741089E-3</v>
      </c>
      <c r="H97" s="27">
        <f>'OTM Refi'!B152/100*3</f>
        <v>1.5704881480063111E-2</v>
      </c>
    </row>
    <row r="98" spans="1:8" x14ac:dyDescent="0.25">
      <c r="A98" s="2">
        <v>39113</v>
      </c>
      <c r="B98">
        <v>5.74</v>
      </c>
      <c r="C98" s="26">
        <f>'Housing Stock'!S101</f>
        <v>75380</v>
      </c>
      <c r="D98" s="27">
        <f t="shared" si="4"/>
        <v>7.6147519235871583E-2</v>
      </c>
      <c r="E98" s="27">
        <f>'OTM Turnover MBS'!C153/100</f>
        <v>9.4492507377312004E-2</v>
      </c>
      <c r="F98" s="30">
        <f t="shared" si="5"/>
        <v>8.3773595341914184E-2</v>
      </c>
      <c r="G98" s="30">
        <f t="shared" si="6"/>
        <v>-7.6260761060426008E-3</v>
      </c>
      <c r="H98" s="27">
        <f>'OTM Refi'!B153/100*3</f>
        <v>1.4596151586357301E-2</v>
      </c>
    </row>
    <row r="99" spans="1:8" x14ac:dyDescent="0.25">
      <c r="A99" s="2">
        <v>39141</v>
      </c>
      <c r="B99">
        <v>5.79</v>
      </c>
      <c r="C99" s="26">
        <f>'Housing Stock'!S102</f>
        <v>75361.583333333328</v>
      </c>
      <c r="D99" s="27">
        <f t="shared" si="4"/>
        <v>7.682959598115309E-2</v>
      </c>
      <c r="E99" s="27">
        <f>'OTM Turnover MBS'!C154/100</f>
        <v>9.3339152431304806E-2</v>
      </c>
      <c r="F99" s="30">
        <f t="shared" si="5"/>
        <v>8.6591558866882579E-2</v>
      </c>
      <c r="G99" s="30">
        <f t="shared" si="6"/>
        <v>-9.7619628857294888E-3</v>
      </c>
      <c r="H99" s="27">
        <f>'OTM Refi'!B154/100*3</f>
        <v>1.2059672069987249E-2</v>
      </c>
    </row>
    <row r="100" spans="1:8" x14ac:dyDescent="0.25">
      <c r="A100" s="2">
        <v>39172</v>
      </c>
      <c r="B100">
        <v>5.46</v>
      </c>
      <c r="C100" s="26">
        <f>'Housing Stock'!S103</f>
        <v>75343.166666666672</v>
      </c>
      <c r="D100" s="27">
        <f t="shared" si="4"/>
        <v>7.2468416733214011E-2</v>
      </c>
      <c r="E100" s="27">
        <f>'OTM Turnover MBS'!C155/100</f>
        <v>8.4761684445490301E-2</v>
      </c>
      <c r="F100" s="30">
        <f t="shared" si="5"/>
        <v>8.8199274604805589E-2</v>
      </c>
      <c r="G100" s="30">
        <f t="shared" si="6"/>
        <v>-1.5730857871591578E-2</v>
      </c>
      <c r="H100" s="27">
        <f>'OTM Refi'!B155/100*3</f>
        <v>1.0245605983856281E-2</v>
      </c>
    </row>
    <row r="101" spans="1:8" x14ac:dyDescent="0.25">
      <c r="A101" s="2">
        <v>39202</v>
      </c>
      <c r="B101">
        <v>5.29</v>
      </c>
      <c r="C101" s="26">
        <f>'Housing Stock'!S104</f>
        <v>75324.75</v>
      </c>
      <c r="D101" s="27">
        <f t="shared" si="4"/>
        <v>7.022924072101136E-2</v>
      </c>
      <c r="E101" s="27">
        <f>'OTM Turnover MBS'!C156/100</f>
        <v>7.3799106522142693E-2</v>
      </c>
      <c r="F101" s="30">
        <f t="shared" si="5"/>
        <v>8.6396736700055266E-2</v>
      </c>
      <c r="G101" s="30">
        <f t="shared" si="6"/>
        <v>-1.6167495979043905E-2</v>
      </c>
      <c r="H101" s="27">
        <f>'OTM Refi'!B156/100*3</f>
        <v>7.4427880652214598E-3</v>
      </c>
    </row>
    <row r="102" spans="1:8" x14ac:dyDescent="0.25">
      <c r="A102" s="2">
        <v>39233</v>
      </c>
      <c r="B102">
        <v>5.27</v>
      </c>
      <c r="C102" s="26">
        <f>'Housing Stock'!S105</f>
        <v>75306.333333333328</v>
      </c>
      <c r="D102" s="27">
        <f t="shared" si="4"/>
        <v>6.9980833838676704E-2</v>
      </c>
      <c r="E102" s="27">
        <f>'OTM Turnover MBS'!C157/100</f>
        <v>7.5940752093527908E-2</v>
      </c>
      <c r="F102" s="30">
        <f t="shared" si="5"/>
        <v>8.4697718911527997E-2</v>
      </c>
      <c r="G102" s="30">
        <f t="shared" si="6"/>
        <v>-1.4716885072851293E-2</v>
      </c>
      <c r="H102" s="27">
        <f>'OTM Refi'!B157/100*3</f>
        <v>4.2356320692120602E-3</v>
      </c>
    </row>
    <row r="103" spans="1:8" x14ac:dyDescent="0.25">
      <c r="A103" s="2">
        <v>39263</v>
      </c>
      <c r="B103">
        <v>5.12</v>
      </c>
      <c r="C103" s="26">
        <f>'Housing Stock'!S106</f>
        <v>75287.916666666672</v>
      </c>
      <c r="D103" s="27">
        <f t="shared" si="4"/>
        <v>6.8005600721674025E-2</v>
      </c>
      <c r="E103" s="27">
        <f>'OTM Turnover MBS'!C158/100</f>
        <v>6.9276729960042402E-2</v>
      </c>
      <c r="F103" s="30">
        <f t="shared" si="5"/>
        <v>8.1934988804970021E-2</v>
      </c>
      <c r="G103" s="30">
        <f t="shared" si="6"/>
        <v>-1.3929388083295996E-2</v>
      </c>
      <c r="H103" s="27">
        <f>'OTM Refi'!B158/100*3</f>
        <v>1.1670908950434091E-3</v>
      </c>
    </row>
    <row r="104" spans="1:8" x14ac:dyDescent="0.25">
      <c r="A104" s="2">
        <v>39294</v>
      </c>
      <c r="B104">
        <v>5.07</v>
      </c>
      <c r="C104" s="26">
        <f>'Housing Stock'!S107</f>
        <v>75269.5</v>
      </c>
      <c r="D104" s="27">
        <f t="shared" si="4"/>
        <v>6.7357960395644983E-2</v>
      </c>
      <c r="E104" s="27">
        <f>'OTM Turnover MBS'!C159/100</f>
        <v>6.8537905050397002E-2</v>
      </c>
      <c r="F104" s="30">
        <f t="shared" si="5"/>
        <v>7.7609221750484195E-2</v>
      </c>
      <c r="G104" s="30">
        <f t="shared" si="6"/>
        <v>-1.0251261354839211E-2</v>
      </c>
      <c r="H104" s="27">
        <f>'OTM Refi'!B159/100*3</f>
        <v>0</v>
      </c>
    </row>
    <row r="105" spans="1:8" x14ac:dyDescent="0.25">
      <c r="A105" s="2">
        <v>39325</v>
      </c>
      <c r="B105">
        <v>4.87</v>
      </c>
      <c r="C105" s="26">
        <f>'Housing Stock'!S108</f>
        <v>75251.083333333328</v>
      </c>
      <c r="D105" s="27">
        <f t="shared" si="4"/>
        <v>6.4716676282622745E-2</v>
      </c>
      <c r="E105" s="27">
        <f>'OTM Turnover MBS'!C160/100</f>
        <v>6.366286119502669E-2</v>
      </c>
      <c r="F105" s="30">
        <f t="shared" si="5"/>
        <v>7.2663173211104506E-2</v>
      </c>
      <c r="G105" s="30">
        <f t="shared" si="6"/>
        <v>-7.946496928481761E-3</v>
      </c>
      <c r="H105" s="27">
        <f>'OTM Refi'!B160/100*3</f>
        <v>0</v>
      </c>
    </row>
    <row r="106" spans="1:8" x14ac:dyDescent="0.25">
      <c r="A106" s="2">
        <v>39355</v>
      </c>
      <c r="B106">
        <v>4.58</v>
      </c>
      <c r="C106" s="26">
        <f>'Housing Stock'!S109</f>
        <v>75232.666666666672</v>
      </c>
      <c r="D106" s="27">
        <f t="shared" si="4"/>
        <v>6.0877810171113607E-2</v>
      </c>
      <c r="E106" s="27">
        <f>'OTM Turnover MBS'!C161/100</f>
        <v>5.6103593406431299E-2</v>
      </c>
      <c r="F106" s="30">
        <f t="shared" si="5"/>
        <v>6.7886824704594659E-2</v>
      </c>
      <c r="G106" s="30">
        <f t="shared" si="6"/>
        <v>-7.0090145334810519E-3</v>
      </c>
      <c r="H106" s="27">
        <f>'OTM Refi'!B161/100*3</f>
        <v>0</v>
      </c>
    </row>
    <row r="107" spans="1:8" x14ac:dyDescent="0.25">
      <c r="A107" s="2">
        <v>39386</v>
      </c>
      <c r="B107">
        <v>4.43</v>
      </c>
      <c r="C107" s="26">
        <f>'Housing Stock'!S110</f>
        <v>75214.25</v>
      </c>
      <c r="D107" s="27">
        <f t="shared" si="4"/>
        <v>5.8898413532010224E-2</v>
      </c>
      <c r="E107" s="27">
        <f>'OTM Turnover MBS'!C162/100</f>
        <v>6.2301799899139497E-2</v>
      </c>
      <c r="F107" s="30">
        <f t="shared" si="5"/>
        <v>6.5970606934094136E-2</v>
      </c>
      <c r="G107" s="30">
        <f t="shared" si="6"/>
        <v>-7.0721934020839122E-3</v>
      </c>
      <c r="H107" s="27">
        <f>'OTM Refi'!B162/100*3</f>
        <v>0</v>
      </c>
    </row>
    <row r="108" spans="1:8" x14ac:dyDescent="0.25">
      <c r="A108" s="2">
        <v>39416</v>
      </c>
      <c r="B108">
        <v>4.46</v>
      </c>
      <c r="C108" s="26">
        <f>'Housing Stock'!S111</f>
        <v>75195.833333333328</v>
      </c>
      <c r="D108" s="27">
        <f t="shared" si="4"/>
        <v>5.9311796974566414E-2</v>
      </c>
      <c r="E108" s="27">
        <f>'OTM Turnover MBS'!C163/100</f>
        <v>6.1735717533787794E-2</v>
      </c>
      <c r="F108" s="30">
        <f t="shared" si="5"/>
        <v>6.3603101174137436E-2</v>
      </c>
      <c r="G108" s="30">
        <f t="shared" si="6"/>
        <v>-4.2913041995710222E-3</v>
      </c>
      <c r="H108" s="27">
        <f>'OTM Refi'!B163/100*3</f>
        <v>0</v>
      </c>
    </row>
    <row r="109" spans="1:8" x14ac:dyDescent="0.25">
      <c r="A109" s="2">
        <v>39447</v>
      </c>
      <c r="B109">
        <v>4.41</v>
      </c>
      <c r="C109" s="26">
        <f>'Housing Stock'!S112</f>
        <v>75177.416666666672</v>
      </c>
      <c r="D109" s="27">
        <f t="shared" si="4"/>
        <v>5.8661233592978389E-2</v>
      </c>
      <c r="E109" s="27">
        <f>'OTM Turnover MBS'!C164/100</f>
        <v>5.61104125918713E-2</v>
      </c>
      <c r="F109" s="30">
        <f t="shared" si="5"/>
        <v>6.1408714946108924E-2</v>
      </c>
      <c r="G109" s="30">
        <f t="shared" si="6"/>
        <v>-2.7474813531305348E-3</v>
      </c>
      <c r="H109" s="27">
        <f>'OTM Refi'!B164/100*3</f>
        <v>0</v>
      </c>
    </row>
    <row r="110" spans="1:8" x14ac:dyDescent="0.25">
      <c r="A110" s="2">
        <v>39478</v>
      </c>
      <c r="B110">
        <v>4.17</v>
      </c>
      <c r="C110" s="26">
        <f>'Housing Stock'!S113</f>
        <v>75159</v>
      </c>
      <c r="D110" s="27">
        <f t="shared" si="4"/>
        <v>5.548237735999681E-2</v>
      </c>
      <c r="E110" s="27">
        <f>'OTM Turnover MBS'!C165/100</f>
        <v>6.2225958737746299E-2</v>
      </c>
      <c r="F110" s="30">
        <f t="shared" si="5"/>
        <v>6.0356723894000479E-2</v>
      </c>
      <c r="G110" s="30">
        <f t="shared" si="6"/>
        <v>-4.8743465340036693E-3</v>
      </c>
      <c r="H110" s="27">
        <f>'OTM Refi'!B165/100*3</f>
        <v>0</v>
      </c>
    </row>
    <row r="111" spans="1:8" x14ac:dyDescent="0.25">
      <c r="A111" s="2">
        <v>39507</v>
      </c>
      <c r="B111">
        <v>4.12</v>
      </c>
      <c r="C111" s="26">
        <f>'Housing Stock'!S114</f>
        <v>75192.916666666672</v>
      </c>
      <c r="D111" s="27">
        <f t="shared" si="4"/>
        <v>5.4792395117004594E-2</v>
      </c>
      <c r="E111" s="27">
        <f>'OTM Turnover MBS'!C166/100</f>
        <v>7.3349328214212098E-2</v>
      </c>
      <c r="F111" s="30">
        <f t="shared" si="5"/>
        <v>6.1971135063864709E-2</v>
      </c>
      <c r="G111" s="30">
        <f t="shared" si="6"/>
        <v>-7.1787399468601146E-3</v>
      </c>
      <c r="H111" s="27">
        <f>'OTM Refi'!B166/100*3</f>
        <v>0</v>
      </c>
    </row>
    <row r="112" spans="1:8" x14ac:dyDescent="0.25">
      <c r="A112" s="2">
        <v>39538</v>
      </c>
      <c r="B112">
        <v>4.16</v>
      </c>
      <c r="C112" s="26">
        <f>'Housing Stock'!S115</f>
        <v>75226.833333333328</v>
      </c>
      <c r="D112" s="27">
        <f t="shared" si="4"/>
        <v>5.5299416653188917E-2</v>
      </c>
      <c r="E112" s="27">
        <f>'OTM Turnover MBS'!C167/100</f>
        <v>6.9832545800095E-2</v>
      </c>
      <c r="F112" s="30">
        <f t="shared" si="5"/>
        <v>6.4259293796141995E-2</v>
      </c>
      <c r="G112" s="30">
        <f t="shared" si="6"/>
        <v>-8.959877142953078E-3</v>
      </c>
      <c r="H112" s="27">
        <f>'OTM Refi'!B167/100*3</f>
        <v>0</v>
      </c>
    </row>
    <row r="113" spans="1:8" x14ac:dyDescent="0.25">
      <c r="A113" s="2">
        <v>39568</v>
      </c>
      <c r="B113">
        <v>4.1100000000000003</v>
      </c>
      <c r="C113" s="26">
        <f>'Housing Stock'!S116</f>
        <v>75260.75</v>
      </c>
      <c r="D113" s="27">
        <f t="shared" si="4"/>
        <v>5.4610138750942561E-2</v>
      </c>
      <c r="E113" s="27">
        <f>'OTM Turnover MBS'!C168/100</f>
        <v>6.2174097294109797E-2</v>
      </c>
      <c r="F113" s="30">
        <f t="shared" si="5"/>
        <v>6.4238010028637049E-2</v>
      </c>
      <c r="G113" s="30">
        <f t="shared" si="6"/>
        <v>-9.6278712776944886E-3</v>
      </c>
      <c r="H113" s="27">
        <f>'OTM Refi'!B168/100*3</f>
        <v>0</v>
      </c>
    </row>
    <row r="114" spans="1:8" x14ac:dyDescent="0.25">
      <c r="A114" s="2">
        <v>39599</v>
      </c>
      <c r="B114">
        <v>4.1399999999999997</v>
      </c>
      <c r="C114" s="26">
        <f>'Housing Stock'!S117</f>
        <v>75294.666666666672</v>
      </c>
      <c r="D114" s="27">
        <f t="shared" si="4"/>
        <v>5.4983974075189034E-2</v>
      </c>
      <c r="E114" s="27">
        <f>'OTM Turnover MBS'!C169/100</f>
        <v>5.2942577854105402E-2</v>
      </c>
      <c r="F114" s="30">
        <f t="shared" si="5"/>
        <v>6.2772486748689973E-2</v>
      </c>
      <c r="G114" s="30">
        <f t="shared" si="6"/>
        <v>-7.78851267350094E-3</v>
      </c>
      <c r="H114" s="27">
        <f>'OTM Refi'!B169/100*3</f>
        <v>0</v>
      </c>
    </row>
    <row r="115" spans="1:8" x14ac:dyDescent="0.25">
      <c r="A115" s="2">
        <v>39629</v>
      </c>
      <c r="B115">
        <v>4.09</v>
      </c>
      <c r="C115" s="26">
        <f>'Housing Stock'!S118</f>
        <v>75328.583333333328</v>
      </c>
      <c r="D115" s="27">
        <f t="shared" si="4"/>
        <v>5.4295458895085198E-2</v>
      </c>
      <c r="E115" s="27">
        <f>'OTM Turnover MBS'!C170/100</f>
        <v>4.76919727117276E-2</v>
      </c>
      <c r="F115" s="30">
        <f t="shared" si="5"/>
        <v>6.1369413435332691E-2</v>
      </c>
      <c r="G115" s="30">
        <f t="shared" si="6"/>
        <v>-7.0739545402474929E-3</v>
      </c>
      <c r="H115" s="27">
        <f>'OTM Refi'!B170/100*3</f>
        <v>0</v>
      </c>
    </row>
    <row r="116" spans="1:8" x14ac:dyDescent="0.25">
      <c r="A116" s="2">
        <v>39660</v>
      </c>
      <c r="B116">
        <v>4.1500000000000004</v>
      </c>
      <c r="C116" s="26">
        <f>'Housing Stock'!S119</f>
        <v>75362.5</v>
      </c>
      <c r="D116" s="27">
        <f t="shared" si="4"/>
        <v>5.5067175319290104E-2</v>
      </c>
      <c r="E116" s="27">
        <f>'OTM Turnover MBS'!C171/100</f>
        <v>4.8685664879771606E-2</v>
      </c>
      <c r="F116" s="30">
        <f t="shared" si="5"/>
        <v>5.9112697792336917E-2</v>
      </c>
      <c r="G116" s="30">
        <f t="shared" si="6"/>
        <v>-4.0455224730468128E-3</v>
      </c>
      <c r="H116" s="27">
        <f>'OTM Refi'!B171/100*3</f>
        <v>0</v>
      </c>
    </row>
    <row r="117" spans="1:8" x14ac:dyDescent="0.25">
      <c r="A117" s="2">
        <v>39691</v>
      </c>
      <c r="B117">
        <v>4.1900000000000004</v>
      </c>
      <c r="C117" s="26">
        <f>'Housing Stock'!S120</f>
        <v>75396.416666666672</v>
      </c>
      <c r="D117" s="27">
        <f t="shared" si="4"/>
        <v>5.5572932842741202E-2</v>
      </c>
      <c r="E117" s="27">
        <f>'OTM Turnover MBS'!C172/100</f>
        <v>4.2186022444592998E-2</v>
      </c>
      <c r="F117" s="30">
        <f t="shared" si="5"/>
        <v>5.3918813497400402E-2</v>
      </c>
      <c r="G117" s="30">
        <f t="shared" si="6"/>
        <v>1.6541193453408001E-3</v>
      </c>
      <c r="H117" s="27">
        <f>'OTM Refi'!B172/100*3</f>
        <v>0</v>
      </c>
    </row>
    <row r="118" spans="1:8" x14ac:dyDescent="0.25">
      <c r="A118" s="2">
        <v>39721</v>
      </c>
      <c r="B118">
        <v>4.2699999999999996</v>
      </c>
      <c r="C118" s="26">
        <f>'Housing Stock'!S121</f>
        <v>75430.333333333328</v>
      </c>
      <c r="D118" s="27">
        <f t="shared" si="4"/>
        <v>5.6608526189729148E-2</v>
      </c>
      <c r="E118" s="27">
        <f>'OTM Turnover MBS'!C173/100</f>
        <v>4.6905137198286297E-2</v>
      </c>
      <c r="F118" s="30">
        <f t="shared" si="5"/>
        <v>5.0097578730432281E-2</v>
      </c>
      <c r="G118" s="30">
        <f t="shared" si="6"/>
        <v>6.5109474592968675E-3</v>
      </c>
      <c r="H118" s="27">
        <f>'OTM Refi'!B173/100*3</f>
        <v>0</v>
      </c>
    </row>
    <row r="119" spans="1:8" x14ac:dyDescent="0.25">
      <c r="A119" s="2">
        <v>39752</v>
      </c>
      <c r="B119">
        <v>4.09</v>
      </c>
      <c r="C119" s="26">
        <f>'Housing Stock'!S122</f>
        <v>75464.25</v>
      </c>
      <c r="D119" s="27">
        <f t="shared" si="4"/>
        <v>5.4197848650188667E-2</v>
      </c>
      <c r="E119" s="27">
        <f>'OTM Turnover MBS'!C174/100</f>
        <v>4.7673671437388793E-2</v>
      </c>
      <c r="F119" s="30">
        <f t="shared" si="5"/>
        <v>4.7680841087645448E-2</v>
      </c>
      <c r="G119" s="30">
        <f t="shared" si="6"/>
        <v>6.5170075625432186E-3</v>
      </c>
      <c r="H119" s="27">
        <f>'OTM Refi'!B174/100*3</f>
        <v>0</v>
      </c>
    </row>
    <row r="120" spans="1:8" x14ac:dyDescent="0.25">
      <c r="A120" s="2">
        <v>39782</v>
      </c>
      <c r="B120">
        <v>3.77</v>
      </c>
      <c r="C120" s="26">
        <f>'Housing Stock'!S123</f>
        <v>75498.166666666672</v>
      </c>
      <c r="D120" s="27">
        <f t="shared" si="4"/>
        <v>4.993498738379961E-2</v>
      </c>
      <c r="E120" s="27">
        <f>'OTM Turnover MBS'!C175/100</f>
        <v>3.9883488194803002E-2</v>
      </c>
      <c r="F120" s="30">
        <f t="shared" si="5"/>
        <v>4.5504326144428377E-2</v>
      </c>
      <c r="G120" s="30">
        <f t="shared" si="6"/>
        <v>4.4306612393712336E-3</v>
      </c>
      <c r="H120" s="27">
        <f>'OTM Refi'!B175/100*3</f>
        <v>0</v>
      </c>
    </row>
    <row r="121" spans="1:8" x14ac:dyDescent="0.25">
      <c r="A121" s="2">
        <v>39813</v>
      </c>
      <c r="B121">
        <v>4.01</v>
      </c>
      <c r="C121" s="26">
        <f>'Housing Stock'!S124</f>
        <v>75532.083333333328</v>
      </c>
      <c r="D121" s="27">
        <f t="shared" si="4"/>
        <v>5.3090022451827867E-2</v>
      </c>
      <c r="E121" s="27">
        <f>'OTM Turnover MBS'!C176/100</f>
        <v>5.2772050486805E-2</v>
      </c>
      <c r="F121" s="30">
        <f t="shared" si="5"/>
        <v>4.6351005773607949E-2</v>
      </c>
      <c r="G121" s="30">
        <f t="shared" si="6"/>
        <v>6.7390166782199182E-3</v>
      </c>
      <c r="H121" s="27">
        <f>'OTM Refi'!B176/100*3</f>
        <v>0</v>
      </c>
    </row>
    <row r="122" spans="1:8" x14ac:dyDescent="0.25">
      <c r="A122" s="2">
        <v>39844</v>
      </c>
      <c r="B122">
        <v>3.82</v>
      </c>
      <c r="C122" s="26">
        <f>'Housing Stock'!S125</f>
        <v>75566</v>
      </c>
      <c r="D122" s="27">
        <f t="shared" si="4"/>
        <v>5.0551835481565784E-2</v>
      </c>
      <c r="E122" s="27">
        <f>'OTM Turnover MBS'!C177/100</f>
        <v>4.8376879416923396E-2</v>
      </c>
      <c r="F122" s="30">
        <f t="shared" si="5"/>
        <v>4.6299541529799919E-2</v>
      </c>
      <c r="G122" s="30">
        <f t="shared" si="6"/>
        <v>4.2522939517658648E-3</v>
      </c>
      <c r="H122" s="27">
        <f>'OTM Refi'!B177/100*3</f>
        <v>0</v>
      </c>
    </row>
    <row r="123" spans="1:8" x14ac:dyDescent="0.25">
      <c r="A123" s="2">
        <v>39872</v>
      </c>
      <c r="B123">
        <v>3.9699999999999998</v>
      </c>
      <c r="C123" s="26">
        <f>'Housing Stock'!S126</f>
        <v>75520</v>
      </c>
      <c r="D123" s="27">
        <f t="shared" si="4"/>
        <v>5.2568855932203382E-2</v>
      </c>
      <c r="E123" s="27">
        <f>'OTM Turnover MBS'!C178/100</f>
        <v>4.7391579974203298E-2</v>
      </c>
      <c r="F123" s="30">
        <f t="shared" si="5"/>
        <v>4.7167134451401631E-2</v>
      </c>
      <c r="G123" s="30">
        <f t="shared" si="6"/>
        <v>5.4017214808017508E-3</v>
      </c>
      <c r="H123" s="27">
        <f>'OTM Refi'!B178/100*3</f>
        <v>0</v>
      </c>
    </row>
    <row r="124" spans="1:8" x14ac:dyDescent="0.25">
      <c r="A124" s="2">
        <v>39903</v>
      </c>
      <c r="B124">
        <v>3.86</v>
      </c>
      <c r="C124" s="26">
        <f>'Housing Stock'!S127</f>
        <v>75474</v>
      </c>
      <c r="D124" s="27">
        <f t="shared" si="4"/>
        <v>5.1143440125076184E-2</v>
      </c>
      <c r="E124" s="27">
        <f>'OTM Turnover MBS'!C179/100</f>
        <v>2.3840517128305799E-2</v>
      </c>
      <c r="F124" s="30">
        <f t="shared" si="5"/>
        <v>4.3323031106404876E-2</v>
      </c>
      <c r="G124" s="30">
        <f t="shared" si="6"/>
        <v>7.8204090186713079E-3</v>
      </c>
      <c r="H124" s="27">
        <f>'OTM Refi'!B179/100*3</f>
        <v>0</v>
      </c>
    </row>
    <row r="125" spans="1:8" x14ac:dyDescent="0.25">
      <c r="A125" s="2">
        <v>39933</v>
      </c>
      <c r="B125">
        <v>3.9</v>
      </c>
      <c r="C125" s="26">
        <f>'Housing Stock'!S128</f>
        <v>75428</v>
      </c>
      <c r="D125" s="27">
        <f t="shared" si="4"/>
        <v>5.1704937158614836E-2</v>
      </c>
      <c r="E125" s="27">
        <f>'OTM Turnover MBS'!C180/100</f>
        <v>9.4679099613821406E-3</v>
      </c>
      <c r="F125" s="30">
        <f t="shared" si="5"/>
        <v>3.69554041937371E-2</v>
      </c>
      <c r="G125" s="30">
        <f t="shared" si="6"/>
        <v>1.4749532964877736E-2</v>
      </c>
      <c r="H125" s="27">
        <f>'OTM Refi'!B180/100*3</f>
        <v>0</v>
      </c>
    </row>
    <row r="126" spans="1:8" x14ac:dyDescent="0.25">
      <c r="A126" s="2">
        <v>39964</v>
      </c>
      <c r="B126">
        <v>4</v>
      </c>
      <c r="C126" s="26">
        <f>'Housing Stock'!S129</f>
        <v>75382</v>
      </c>
      <c r="D126" s="27">
        <f t="shared" si="4"/>
        <v>5.3063065453291237E-2</v>
      </c>
      <c r="E126" s="27">
        <f>'OTM Turnover MBS'!C181/100</f>
        <v>5.0404828332641901E-3</v>
      </c>
      <c r="F126" s="30">
        <f t="shared" si="5"/>
        <v>3.1148236633480635E-2</v>
      </c>
      <c r="G126" s="30">
        <f t="shared" si="6"/>
        <v>2.1914828819810602E-2</v>
      </c>
      <c r="H126" s="27">
        <f>'OTM Refi'!B181/100*3</f>
        <v>0</v>
      </c>
    </row>
    <row r="127" spans="1:8" x14ac:dyDescent="0.25">
      <c r="A127" s="2">
        <v>39994</v>
      </c>
      <c r="B127">
        <v>4.0999999999999996</v>
      </c>
      <c r="C127" s="26">
        <f>'Housing Stock'!S130</f>
        <v>75336</v>
      </c>
      <c r="D127" s="27">
        <f t="shared" si="4"/>
        <v>5.4422852288414564E-2</v>
      </c>
      <c r="E127" s="27">
        <f>'OTM Turnover MBS'!C182/100</f>
        <v>7.68352373656733E-3</v>
      </c>
      <c r="F127" s="30">
        <f t="shared" si="5"/>
        <v>2.3633482175107693E-2</v>
      </c>
      <c r="G127" s="30">
        <f t="shared" si="6"/>
        <v>3.0789370113306871E-2</v>
      </c>
      <c r="H127" s="27">
        <f>'OTM Refi'!B182/100*3</f>
        <v>0</v>
      </c>
    </row>
    <row r="128" spans="1:8" x14ac:dyDescent="0.25">
      <c r="A128" s="2">
        <v>40025</v>
      </c>
      <c r="B128">
        <v>4.37</v>
      </c>
      <c r="C128" s="26">
        <f>'Housing Stock'!S131</f>
        <v>75290</v>
      </c>
      <c r="D128" s="27">
        <f t="shared" si="4"/>
        <v>5.8042236684818699E-2</v>
      </c>
      <c r="E128" s="27">
        <f>'OTM Turnover MBS'!C183/100</f>
        <v>2.0193969283937799E-2</v>
      </c>
      <c r="F128" s="30">
        <f t="shared" si="5"/>
        <v>1.893633048627676E-2</v>
      </c>
      <c r="G128" s="30">
        <f t="shared" si="6"/>
        <v>3.9105906198541943E-2</v>
      </c>
      <c r="H128" s="27">
        <f>'OTM Refi'!B183/100*3</f>
        <v>0</v>
      </c>
    </row>
    <row r="129" spans="1:8" x14ac:dyDescent="0.25">
      <c r="A129" s="2">
        <v>40056</v>
      </c>
      <c r="B129">
        <v>4.45</v>
      </c>
      <c r="C129" s="26">
        <f>'Housing Stock'!S132</f>
        <v>75244</v>
      </c>
      <c r="D129" s="27">
        <f t="shared" si="4"/>
        <v>5.9140928180320032E-2</v>
      </c>
      <c r="E129" s="27">
        <f>'OTM Turnover MBS'!C184/100</f>
        <v>1.0907247336383E-2</v>
      </c>
      <c r="F129" s="30">
        <f t="shared" si="5"/>
        <v>1.2855608379973377E-2</v>
      </c>
      <c r="G129" s="30">
        <f t="shared" si="6"/>
        <v>4.6285319800346655E-2</v>
      </c>
      <c r="H129" s="27">
        <f>'OTM Refi'!B184/100*3</f>
        <v>0</v>
      </c>
    </row>
    <row r="130" spans="1:8" x14ac:dyDescent="0.25">
      <c r="A130" s="2">
        <v>40086</v>
      </c>
      <c r="B130">
        <v>4.62</v>
      </c>
      <c r="C130" s="26">
        <f>'Housing Stock'!S133</f>
        <v>75198</v>
      </c>
      <c r="D130" s="27">
        <f t="shared" si="4"/>
        <v>6.1437804196920132E-2</v>
      </c>
      <c r="E130" s="27">
        <f>'OTM Turnover MBS'!C185/100</f>
        <v>1.1870528400055201E-2</v>
      </c>
      <c r="F130" s="30">
        <f t="shared" si="5"/>
        <v>1.0860610258598276E-2</v>
      </c>
      <c r="G130" s="30">
        <f t="shared" si="6"/>
        <v>5.0577193938321857E-2</v>
      </c>
      <c r="H130" s="27">
        <f>'OTM Refi'!B185/100*3</f>
        <v>0</v>
      </c>
    </row>
    <row r="131" spans="1:8" x14ac:dyDescent="0.25">
      <c r="A131" s="2">
        <v>40117</v>
      </c>
      <c r="B131">
        <v>5.0199999999999996</v>
      </c>
      <c r="C131" s="26">
        <f>'Housing Stock'!S134</f>
        <v>75152</v>
      </c>
      <c r="D131" s="27">
        <f t="shared" ref="D131:D194" si="7">B131/C131*1000</f>
        <v>6.6797956142218437E-2</v>
      </c>
      <c r="E131" s="27">
        <f>'OTM Turnover MBS'!C186/100</f>
        <v>1.2942723071386698E-2</v>
      </c>
      <c r="F131" s="30">
        <f t="shared" si="5"/>
        <v>1.1439745776932372E-2</v>
      </c>
      <c r="G131" s="30">
        <f t="shared" si="6"/>
        <v>5.5358210365286063E-2</v>
      </c>
      <c r="H131" s="27">
        <f>'OTM Refi'!B186/100*3</f>
        <v>0</v>
      </c>
    </row>
    <row r="132" spans="1:8" x14ac:dyDescent="0.25">
      <c r="A132" s="2">
        <v>40147</v>
      </c>
      <c r="B132">
        <v>5.44</v>
      </c>
      <c r="C132" s="26">
        <f>'Housing Stock'!S135</f>
        <v>75106</v>
      </c>
      <c r="D132" s="27">
        <f t="shared" si="7"/>
        <v>7.2430964237211404E-2</v>
      </c>
      <c r="E132" s="27">
        <f>'OTM Turnover MBS'!C187/100</f>
        <v>1.2699483819014E-2</v>
      </c>
      <c r="F132" s="30">
        <f t="shared" si="5"/>
        <v>1.2716245941224008E-2</v>
      </c>
      <c r="G132" s="30">
        <f t="shared" si="6"/>
        <v>5.9714718295987394E-2</v>
      </c>
      <c r="H132" s="27">
        <f>'OTM Refi'!B187/100*3</f>
        <v>0</v>
      </c>
    </row>
    <row r="133" spans="1:8" x14ac:dyDescent="0.25">
      <c r="A133" s="2">
        <v>40178</v>
      </c>
      <c r="B133">
        <v>4.4000000000000004</v>
      </c>
      <c r="C133" s="26">
        <f>'Housing Stock'!S136</f>
        <v>75060</v>
      </c>
      <c r="D133" s="27">
        <f t="shared" si="7"/>
        <v>5.861977084998668E-2</v>
      </c>
      <c r="E133" s="27">
        <f>'OTM Turnover MBS'!C188/100</f>
        <v>1.4324701161248199E-2</v>
      </c>
      <c r="F133" s="30">
        <f t="shared" si="5"/>
        <v>1.3823108845337483E-2</v>
      </c>
      <c r="G133" s="30">
        <f t="shared" si="6"/>
        <v>4.4796662004649199E-2</v>
      </c>
      <c r="H133" s="27">
        <f>'OTM Refi'!B188/100*3</f>
        <v>0</v>
      </c>
    </row>
    <row r="134" spans="1:8" x14ac:dyDescent="0.25">
      <c r="A134" s="2">
        <v>40209</v>
      </c>
      <c r="B134">
        <v>4.1900000000000004</v>
      </c>
      <c r="C134" s="26">
        <f>'Housing Stock'!S137</f>
        <v>75014</v>
      </c>
      <c r="D134" s="27">
        <f t="shared" si="7"/>
        <v>5.5856240168501881E-2</v>
      </c>
      <c r="E134" s="27">
        <f>'OTM Turnover MBS'!C189/100</f>
        <v>1.5772667990519101E-2</v>
      </c>
      <c r="F134" s="30">
        <f t="shared" si="5"/>
        <v>1.3086225296434368E-2</v>
      </c>
      <c r="G134" s="30">
        <f t="shared" si="6"/>
        <v>4.2770014872067511E-2</v>
      </c>
      <c r="H134" s="27">
        <f>'OTM Refi'!B189/100*3</f>
        <v>0</v>
      </c>
    </row>
    <row r="135" spans="1:8" x14ac:dyDescent="0.25">
      <c r="A135" s="2">
        <v>40237</v>
      </c>
      <c r="B135">
        <v>4.2699999999999996</v>
      </c>
      <c r="C135" s="26">
        <f>'Housing Stock'!S138</f>
        <v>74995.416666666672</v>
      </c>
      <c r="D135" s="27">
        <f t="shared" si="7"/>
        <v>5.6936812805226979E-2</v>
      </c>
      <c r="E135" s="27">
        <f>'OTM Turnover MBS'!C190/100</f>
        <v>1.75936744831863E-2</v>
      </c>
      <c r="F135" s="30">
        <f t="shared" si="5"/>
        <v>1.4200629820901584E-2</v>
      </c>
      <c r="G135" s="30">
        <f t="shared" si="6"/>
        <v>4.2736182984325397E-2</v>
      </c>
      <c r="H135" s="27">
        <f>'OTM Refi'!B190/100*3</f>
        <v>0</v>
      </c>
    </row>
    <row r="136" spans="1:8" x14ac:dyDescent="0.25">
      <c r="A136" s="2">
        <v>40268</v>
      </c>
      <c r="B136">
        <v>4.49</v>
      </c>
      <c r="C136" s="26">
        <f>'Housing Stock'!S139</f>
        <v>74976.833333333328</v>
      </c>
      <c r="D136" s="27">
        <f t="shared" si="7"/>
        <v>5.9885164528598843E-2</v>
      </c>
      <c r="E136" s="27">
        <f>'OTM Turnover MBS'!C191/100</f>
        <v>1.8987851516975102E-2</v>
      </c>
      <c r="F136" s="30">
        <f t="shared" ref="F136:F199" si="8">AVERAGE(E131:E136)</f>
        <v>1.5386850340388234E-2</v>
      </c>
      <c r="G136" s="30">
        <f t="shared" ref="G136:G199" si="9">D136-F136</f>
        <v>4.4498314188210611E-2</v>
      </c>
      <c r="H136" s="27">
        <f>'OTM Refi'!B191/100*3</f>
        <v>0</v>
      </c>
    </row>
    <row r="137" spans="1:8" x14ac:dyDescent="0.25">
      <c r="A137" s="2">
        <v>40298</v>
      </c>
      <c r="B137">
        <v>4.82</v>
      </c>
      <c r="C137" s="26">
        <f>'Housing Stock'!S140</f>
        <v>74958.25</v>
      </c>
      <c r="D137" s="27">
        <f t="shared" si="7"/>
        <v>6.4302461703681729E-2</v>
      </c>
      <c r="E137" s="27">
        <f>'OTM Turnover MBS'!C192/100</f>
        <v>1.7820315777611499E-2</v>
      </c>
      <c r="F137" s="30">
        <f t="shared" si="8"/>
        <v>1.6199782458092366E-2</v>
      </c>
      <c r="G137" s="30">
        <f t="shared" si="9"/>
        <v>4.8102679245589364E-2</v>
      </c>
      <c r="H137" s="27">
        <f>'OTM Refi'!B192/100*3</f>
        <v>0</v>
      </c>
    </row>
    <row r="138" spans="1:8" x14ac:dyDescent="0.25">
      <c r="A138" s="2">
        <v>40329</v>
      </c>
      <c r="B138">
        <v>4.88</v>
      </c>
      <c r="C138" s="26">
        <f>'Housing Stock'!S141</f>
        <v>74939.666666666672</v>
      </c>
      <c r="D138" s="27">
        <f t="shared" si="7"/>
        <v>6.5119051325733146E-2</v>
      </c>
      <c r="E138" s="27">
        <f>'OTM Turnover MBS'!C193/100</f>
        <v>2.2257112858022898E-2</v>
      </c>
      <c r="F138" s="30">
        <f t="shared" si="8"/>
        <v>1.7792720631260518E-2</v>
      </c>
      <c r="G138" s="30">
        <f t="shared" si="9"/>
        <v>4.7326330694472632E-2</v>
      </c>
      <c r="H138" s="27">
        <f>'OTM Refi'!B193/100*3</f>
        <v>0</v>
      </c>
    </row>
    <row r="139" spans="1:8" x14ac:dyDescent="0.25">
      <c r="A139" s="2">
        <v>40359</v>
      </c>
      <c r="B139">
        <v>4.45</v>
      </c>
      <c r="C139" s="26">
        <f>'Housing Stock'!S142</f>
        <v>74921.083333333328</v>
      </c>
      <c r="D139" s="27">
        <f t="shared" si="7"/>
        <v>5.9395830946562665E-2</v>
      </c>
      <c r="E139" s="27">
        <f>'OTM Turnover MBS'!C194/100</f>
        <v>2.2894098117054604E-2</v>
      </c>
      <c r="F139" s="30">
        <f t="shared" si="8"/>
        <v>1.9220953457228251E-2</v>
      </c>
      <c r="G139" s="30">
        <f t="shared" si="9"/>
        <v>4.0174877489334418E-2</v>
      </c>
      <c r="H139" s="27">
        <f>'OTM Refi'!B194/100*3</f>
        <v>0</v>
      </c>
    </row>
    <row r="140" spans="1:8" x14ac:dyDescent="0.25">
      <c r="A140" s="2">
        <v>40390</v>
      </c>
      <c r="B140">
        <v>3.45</v>
      </c>
      <c r="C140" s="26">
        <f>'Housing Stock'!S143</f>
        <v>74902.5</v>
      </c>
      <c r="D140" s="27">
        <f t="shared" si="7"/>
        <v>4.6059877841193558E-2</v>
      </c>
      <c r="E140" s="27">
        <f>'OTM Turnover MBS'!C195/100</f>
        <v>1.8393306074935702E-2</v>
      </c>
      <c r="F140" s="30">
        <f t="shared" si="8"/>
        <v>1.9657726471297685E-2</v>
      </c>
      <c r="G140" s="30">
        <f t="shared" si="9"/>
        <v>2.6402151369895873E-2</v>
      </c>
      <c r="H140" s="27">
        <f>'OTM Refi'!B195/100*3</f>
        <v>0</v>
      </c>
    </row>
    <row r="141" spans="1:8" x14ac:dyDescent="0.25">
      <c r="A141" s="2">
        <v>40421</v>
      </c>
      <c r="B141">
        <v>3.68</v>
      </c>
      <c r="C141" s="26">
        <f>'Housing Stock'!S144</f>
        <v>74883.916666666672</v>
      </c>
      <c r="D141" s="27">
        <f t="shared" si="7"/>
        <v>4.9142728690072524E-2</v>
      </c>
      <c r="E141" s="27">
        <f>'OTM Turnover MBS'!C196/100</f>
        <v>2.7382794416349897E-2</v>
      </c>
      <c r="F141" s="30">
        <f t="shared" si="8"/>
        <v>2.1289246460158281E-2</v>
      </c>
      <c r="G141" s="30">
        <f t="shared" si="9"/>
        <v>2.7853482229914243E-2</v>
      </c>
      <c r="H141" s="27">
        <f>'OTM Refi'!B196/100*3</f>
        <v>0</v>
      </c>
    </row>
    <row r="142" spans="1:8" x14ac:dyDescent="0.25">
      <c r="A142" s="2">
        <v>40451</v>
      </c>
      <c r="B142">
        <v>3.84</v>
      </c>
      <c r="C142" s="26">
        <f>'Housing Stock'!S145</f>
        <v>74865.333333333328</v>
      </c>
      <c r="D142" s="27">
        <f t="shared" si="7"/>
        <v>5.1292097811180964E-2</v>
      </c>
      <c r="E142" s="27">
        <f>'OTM Turnover MBS'!C197/100</f>
        <v>2.2034616215586601E-2</v>
      </c>
      <c r="F142" s="30">
        <f t="shared" si="8"/>
        <v>2.179704057659353E-2</v>
      </c>
      <c r="G142" s="30">
        <f t="shared" si="9"/>
        <v>2.9495057234587434E-2</v>
      </c>
      <c r="H142" s="27">
        <f>'OTM Refi'!B197/100*3</f>
        <v>0</v>
      </c>
    </row>
    <row r="143" spans="1:8" x14ac:dyDescent="0.25">
      <c r="A143" s="2">
        <v>40482</v>
      </c>
      <c r="B143">
        <v>3.83</v>
      </c>
      <c r="C143" s="26">
        <f>'Housing Stock'!S146</f>
        <v>74846.75</v>
      </c>
      <c r="D143" s="27">
        <f t="shared" si="7"/>
        <v>5.1171226539562506E-2</v>
      </c>
      <c r="E143" s="27">
        <f>'OTM Turnover MBS'!C198/100</f>
        <v>4.2663388865747401E-2</v>
      </c>
      <c r="F143" s="30">
        <f t="shared" si="8"/>
        <v>2.5937552757949522E-2</v>
      </c>
      <c r="G143" s="30">
        <f t="shared" si="9"/>
        <v>2.5233673781612984E-2</v>
      </c>
      <c r="H143" s="27">
        <f>'OTM Refi'!B198/100*3</f>
        <v>0</v>
      </c>
    </row>
    <row r="144" spans="1:8" x14ac:dyDescent="0.25">
      <c r="A144" s="2">
        <v>40512</v>
      </c>
      <c r="B144">
        <v>4.0199999999999996</v>
      </c>
      <c r="C144" s="26">
        <f>'Housing Stock'!S147</f>
        <v>74828.166666666672</v>
      </c>
      <c r="D144" s="27">
        <f t="shared" si="7"/>
        <v>5.3723085558245662E-2</v>
      </c>
      <c r="E144" s="27">
        <f>'OTM Turnover MBS'!C199/100</f>
        <v>5.2334842741107702E-2</v>
      </c>
      <c r="F144" s="30">
        <f t="shared" si="8"/>
        <v>3.095050773846365E-2</v>
      </c>
      <c r="G144" s="30">
        <f t="shared" si="9"/>
        <v>2.2772577819782012E-2</v>
      </c>
      <c r="H144" s="27">
        <f>'OTM Refi'!B199/100*3</f>
        <v>0</v>
      </c>
    </row>
    <row r="145" spans="1:8" x14ac:dyDescent="0.25">
      <c r="A145" s="2">
        <v>40543</v>
      </c>
      <c r="B145">
        <v>4.2699999999999996</v>
      </c>
      <c r="C145" s="26">
        <f>'Housing Stock'!S148</f>
        <v>74809.583333333328</v>
      </c>
      <c r="D145" s="27">
        <f t="shared" si="7"/>
        <v>5.7078248664665286E-2</v>
      </c>
      <c r="E145" s="27">
        <f>'OTM Turnover MBS'!C200/100</f>
        <v>4.6759798842771004E-2</v>
      </c>
      <c r="F145" s="30">
        <f t="shared" si="8"/>
        <v>3.492812452608305E-2</v>
      </c>
      <c r="G145" s="30">
        <f t="shared" si="9"/>
        <v>2.2150124138582236E-2</v>
      </c>
      <c r="H145" s="27">
        <f>'OTM Refi'!B200/100*3</f>
        <v>0</v>
      </c>
    </row>
    <row r="146" spans="1:8" x14ac:dyDescent="0.25">
      <c r="A146" s="2">
        <v>40574</v>
      </c>
      <c r="B146">
        <v>4.42</v>
      </c>
      <c r="C146" s="26">
        <f>'Housing Stock'!S149</f>
        <v>74791</v>
      </c>
      <c r="D146" s="27">
        <f t="shared" si="7"/>
        <v>5.9098019815218408E-2</v>
      </c>
      <c r="E146" s="27">
        <f>'OTM Turnover MBS'!C201/100</f>
        <v>2.3561354687169703E-2</v>
      </c>
      <c r="F146" s="30">
        <f t="shared" si="8"/>
        <v>3.5789465961455387E-2</v>
      </c>
      <c r="G146" s="30">
        <f t="shared" si="9"/>
        <v>2.3308553853763021E-2</v>
      </c>
      <c r="H146" s="27">
        <f>'OTM Refi'!B201/100*3</f>
        <v>0</v>
      </c>
    </row>
    <row r="147" spans="1:8" x14ac:dyDescent="0.25">
      <c r="A147" s="2">
        <v>40602</v>
      </c>
      <c r="B147">
        <v>4.16</v>
      </c>
      <c r="C147" s="26">
        <f>'Housing Stock'!S150</f>
        <v>74816</v>
      </c>
      <c r="D147" s="27">
        <f t="shared" si="7"/>
        <v>5.5603079555175364E-2</v>
      </c>
      <c r="E147" s="27">
        <f>'OTM Turnover MBS'!C202/100</f>
        <v>1.6259459404964399E-2</v>
      </c>
      <c r="F147" s="30">
        <f t="shared" si="8"/>
        <v>3.393557679289113E-2</v>
      </c>
      <c r="G147" s="30">
        <f t="shared" si="9"/>
        <v>2.1667502762284234E-2</v>
      </c>
      <c r="H147" s="27">
        <f>'OTM Refi'!B202/100*3</f>
        <v>0</v>
      </c>
    </row>
    <row r="148" spans="1:8" x14ac:dyDescent="0.25">
      <c r="A148" s="2">
        <v>40633</v>
      </c>
      <c r="B148">
        <v>4.26</v>
      </c>
      <c r="C148" s="26">
        <f>'Housing Stock'!S151</f>
        <v>74841</v>
      </c>
      <c r="D148" s="27">
        <f t="shared" si="7"/>
        <v>5.6920671824267445E-2</v>
      </c>
      <c r="E148" s="27">
        <f>'OTM Turnover MBS'!C203/100</f>
        <v>1.7471983413840899E-2</v>
      </c>
      <c r="F148" s="30">
        <f t="shared" si="8"/>
        <v>3.317513799260019E-2</v>
      </c>
      <c r="G148" s="30">
        <f t="shared" si="9"/>
        <v>2.3745533831667255E-2</v>
      </c>
      <c r="H148" s="27">
        <f>'OTM Refi'!B203/100*3</f>
        <v>0</v>
      </c>
    </row>
    <row r="149" spans="1:8" x14ac:dyDescent="0.25">
      <c r="A149" s="2">
        <v>40663</v>
      </c>
      <c r="B149">
        <v>4.17</v>
      </c>
      <c r="C149" s="26">
        <f>'Housing Stock'!S152</f>
        <v>74866</v>
      </c>
      <c r="D149" s="27">
        <f t="shared" si="7"/>
        <v>5.5699516469425371E-2</v>
      </c>
      <c r="E149" s="27">
        <f>'OTM Turnover MBS'!C204/100</f>
        <v>1.408298905181E-2</v>
      </c>
      <c r="F149" s="30">
        <f t="shared" si="8"/>
        <v>2.8411738023610619E-2</v>
      </c>
      <c r="G149" s="30">
        <f t="shared" si="9"/>
        <v>2.7287778445814752E-2</v>
      </c>
      <c r="H149" s="27">
        <f>'OTM Refi'!B204/100*3</f>
        <v>0</v>
      </c>
    </row>
    <row r="150" spans="1:8" x14ac:dyDescent="0.25">
      <c r="A150" s="2">
        <v>40694</v>
      </c>
      <c r="B150">
        <v>4.1399999999999997</v>
      </c>
      <c r="C150" s="26">
        <f>'Housing Stock'!S153</f>
        <v>74891</v>
      </c>
      <c r="D150" s="27">
        <f t="shared" si="7"/>
        <v>5.5280340761907305E-2</v>
      </c>
      <c r="E150" s="27">
        <f>'OTM Turnover MBS'!C205/100</f>
        <v>1.6992623668054999E-2</v>
      </c>
      <c r="F150" s="30">
        <f t="shared" si="8"/>
        <v>2.2521368178101835E-2</v>
      </c>
      <c r="G150" s="30">
        <f t="shared" si="9"/>
        <v>3.2758972583805473E-2</v>
      </c>
      <c r="H150" s="27">
        <f>'OTM Refi'!B205/100*3</f>
        <v>0</v>
      </c>
    </row>
    <row r="151" spans="1:8" x14ac:dyDescent="0.25">
      <c r="A151" s="2">
        <v>40724</v>
      </c>
      <c r="B151">
        <v>4.2300000000000004</v>
      </c>
      <c r="C151" s="26">
        <f>'Housing Stock'!S154</f>
        <v>74916</v>
      </c>
      <c r="D151" s="27">
        <f t="shared" si="7"/>
        <v>5.6463238827486793E-2</v>
      </c>
      <c r="E151" s="27">
        <f>'OTM Turnover MBS'!C206/100</f>
        <v>1.6887791943676799E-2</v>
      </c>
      <c r="F151" s="30">
        <f t="shared" si="8"/>
        <v>1.7542700361586134E-2</v>
      </c>
      <c r="G151" s="30">
        <f t="shared" si="9"/>
        <v>3.8920538465900656E-2</v>
      </c>
      <c r="H151" s="27">
        <f>'OTM Refi'!B206/100*3</f>
        <v>0</v>
      </c>
    </row>
    <row r="152" spans="1:8" x14ac:dyDescent="0.25">
      <c r="A152" s="2">
        <v>40755</v>
      </c>
      <c r="B152">
        <v>4.1500000000000004</v>
      </c>
      <c r="C152" s="26">
        <f>'Housing Stock'!S155</f>
        <v>74941</v>
      </c>
      <c r="D152" s="27">
        <f t="shared" si="7"/>
        <v>5.5376896491906968E-2</v>
      </c>
      <c r="E152" s="27">
        <f>'OTM Turnover MBS'!C207/100</f>
        <v>1.45670315494807E-2</v>
      </c>
      <c r="F152" s="30">
        <f t="shared" si="8"/>
        <v>1.6043646505304637E-2</v>
      </c>
      <c r="G152" s="30">
        <f t="shared" si="9"/>
        <v>3.9333249986602328E-2</v>
      </c>
      <c r="H152" s="27">
        <f>'OTM Refi'!B207/100*3</f>
        <v>0</v>
      </c>
    </row>
    <row r="153" spans="1:8" x14ac:dyDescent="0.25">
      <c r="A153" s="2">
        <v>40786</v>
      </c>
      <c r="B153">
        <v>4.38</v>
      </c>
      <c r="C153" s="26">
        <f>'Housing Stock'!S156</f>
        <v>74966</v>
      </c>
      <c r="D153" s="27">
        <f t="shared" si="7"/>
        <v>5.8426486673958861E-2</v>
      </c>
      <c r="E153" s="27">
        <f>'OTM Turnover MBS'!C208/100</f>
        <v>1.90600048873114E-2</v>
      </c>
      <c r="F153" s="30">
        <f t="shared" si="8"/>
        <v>1.6510404085695801E-2</v>
      </c>
      <c r="G153" s="30">
        <f t="shared" si="9"/>
        <v>4.1916082588263057E-2</v>
      </c>
      <c r="H153" s="27">
        <f>'OTM Refi'!B208/100*3</f>
        <v>0</v>
      </c>
    </row>
    <row r="154" spans="1:8" x14ac:dyDescent="0.25">
      <c r="A154" s="2">
        <v>40816</v>
      </c>
      <c r="B154">
        <v>4.33</v>
      </c>
      <c r="C154" s="26">
        <f>'Housing Stock'!S157</f>
        <v>74991</v>
      </c>
      <c r="D154" s="27">
        <f t="shared" si="7"/>
        <v>5.774026216479311E-2</v>
      </c>
      <c r="E154" s="27">
        <f>'OTM Turnover MBS'!C209/100</f>
        <v>2.3796173904968597E-2</v>
      </c>
      <c r="F154" s="30">
        <f t="shared" si="8"/>
        <v>1.7564435834217084E-2</v>
      </c>
      <c r="G154" s="30">
        <f t="shared" si="9"/>
        <v>4.0175826330576023E-2</v>
      </c>
      <c r="H154" s="27">
        <f>'OTM Refi'!B209/100*3</f>
        <v>0</v>
      </c>
    </row>
    <row r="155" spans="1:8" x14ac:dyDescent="0.25">
      <c r="A155" s="2">
        <v>40847</v>
      </c>
      <c r="B155">
        <v>4.34</v>
      </c>
      <c r="C155" s="26">
        <f>'Housing Stock'!S158</f>
        <v>75016</v>
      </c>
      <c r="D155" s="27">
        <f t="shared" si="7"/>
        <v>5.7854324410792364E-2</v>
      </c>
      <c r="E155" s="27">
        <f>'OTM Turnover MBS'!C210/100</f>
        <v>2.9824689185822501E-2</v>
      </c>
      <c r="F155" s="30">
        <f t="shared" si="8"/>
        <v>2.0188052523219167E-2</v>
      </c>
      <c r="G155" s="30">
        <f t="shared" si="9"/>
        <v>3.7666271887573197E-2</v>
      </c>
      <c r="H155" s="27">
        <f>'OTM Refi'!B210/100*3</f>
        <v>0</v>
      </c>
    </row>
    <row r="156" spans="1:8" x14ac:dyDescent="0.25">
      <c r="A156" s="2">
        <v>40877</v>
      </c>
      <c r="B156">
        <v>4.3899999999999997</v>
      </c>
      <c r="C156" s="26">
        <f>'Housing Stock'!S159</f>
        <v>75041</v>
      </c>
      <c r="D156" s="27">
        <f t="shared" si="7"/>
        <v>5.8501352593915319E-2</v>
      </c>
      <c r="E156" s="27">
        <f>'OTM Turnover MBS'!C211/100</f>
        <v>1.63325469099008E-2</v>
      </c>
      <c r="F156" s="30">
        <f t="shared" si="8"/>
        <v>2.0078039730193464E-2</v>
      </c>
      <c r="G156" s="30">
        <f t="shared" si="9"/>
        <v>3.8423312863721859E-2</v>
      </c>
      <c r="H156" s="27">
        <f>'OTM Refi'!B211/100*3</f>
        <v>0</v>
      </c>
    </row>
    <row r="157" spans="1:8" x14ac:dyDescent="0.25">
      <c r="A157" s="2">
        <v>40908</v>
      </c>
      <c r="B157">
        <v>4.3499999999999996</v>
      </c>
      <c r="C157" s="26">
        <f>'Housing Stock'!S160</f>
        <v>75066</v>
      </c>
      <c r="D157" s="27">
        <f t="shared" si="7"/>
        <v>5.7949004875709371E-2</v>
      </c>
      <c r="E157" s="27">
        <f>'OTM Turnover MBS'!C212/100</f>
        <v>7.0350446996528806E-3</v>
      </c>
      <c r="F157" s="30">
        <f t="shared" si="8"/>
        <v>1.8435915189522815E-2</v>
      </c>
      <c r="G157" s="30">
        <f t="shared" si="9"/>
        <v>3.9513089686186553E-2</v>
      </c>
      <c r="H157" s="27">
        <f>'OTM Refi'!B212/100*3</f>
        <v>0</v>
      </c>
    </row>
    <row r="158" spans="1:8" x14ac:dyDescent="0.25">
      <c r="A158" s="2">
        <v>40939</v>
      </c>
      <c r="B158">
        <v>4.4800000000000004</v>
      </c>
      <c r="C158" s="26">
        <f>'Housing Stock'!S161</f>
        <v>75091</v>
      </c>
      <c r="D158" s="27">
        <f t="shared" si="7"/>
        <v>5.9660944720405916E-2</v>
      </c>
      <c r="E158" s="27">
        <f>'OTM Turnover MBS'!C213/100</f>
        <v>2.1962312187938503E-2</v>
      </c>
      <c r="F158" s="30">
        <f t="shared" si="8"/>
        <v>1.9668461962599113E-2</v>
      </c>
      <c r="G158" s="30">
        <f t="shared" si="9"/>
        <v>3.9992482757806799E-2</v>
      </c>
      <c r="H158" s="27">
        <f>'OTM Refi'!B213/100*3</f>
        <v>0</v>
      </c>
    </row>
    <row r="159" spans="1:8" x14ac:dyDescent="0.25">
      <c r="A159" s="2">
        <v>40968</v>
      </c>
      <c r="B159">
        <v>4.58</v>
      </c>
      <c r="C159" s="26">
        <f>'Housing Stock'!S162</f>
        <v>75055.75</v>
      </c>
      <c r="D159" s="27">
        <f t="shared" si="7"/>
        <v>6.1021307494762228E-2</v>
      </c>
      <c r="E159" s="27">
        <f>'OTM Turnover MBS'!C214/100</f>
        <v>1.68315762460844E-2</v>
      </c>
      <c r="F159" s="30">
        <f t="shared" si="8"/>
        <v>1.929705718906128E-2</v>
      </c>
      <c r="G159" s="30">
        <f t="shared" si="9"/>
        <v>4.1724250305700948E-2</v>
      </c>
      <c r="H159" s="27">
        <f>'OTM Refi'!B214/100*3</f>
        <v>0</v>
      </c>
    </row>
    <row r="160" spans="1:8" x14ac:dyDescent="0.25">
      <c r="A160" s="2">
        <v>40999</v>
      </c>
      <c r="B160">
        <v>4.5199999999999996</v>
      </c>
      <c r="C160" s="26">
        <f>'Housing Stock'!S163</f>
        <v>75020.5</v>
      </c>
      <c r="D160" s="27">
        <f t="shared" si="7"/>
        <v>6.0250198279137024E-2</v>
      </c>
      <c r="E160" s="27">
        <f>'OTM Turnover MBS'!C215/100</f>
        <v>2.0209703381829904E-2</v>
      </c>
      <c r="F160" s="30">
        <f t="shared" si="8"/>
        <v>1.8699312101871497E-2</v>
      </c>
      <c r="G160" s="30">
        <f t="shared" si="9"/>
        <v>4.1550886177265531E-2</v>
      </c>
      <c r="H160" s="27">
        <f>'OTM Refi'!B215/100*3</f>
        <v>0</v>
      </c>
    </row>
    <row r="161" spans="1:8" x14ac:dyDescent="0.25">
      <c r="A161" s="2">
        <v>41029</v>
      </c>
      <c r="B161">
        <v>4.59</v>
      </c>
      <c r="C161" s="26">
        <f>'Housing Stock'!S164</f>
        <v>74985.25</v>
      </c>
      <c r="D161" s="27">
        <f t="shared" si="7"/>
        <v>6.1212038367545615E-2</v>
      </c>
      <c r="E161" s="27">
        <f>'OTM Turnover MBS'!C216/100</f>
        <v>1.02913186117092E-2</v>
      </c>
      <c r="F161" s="30">
        <f t="shared" si="8"/>
        <v>1.5443750339519285E-2</v>
      </c>
      <c r="G161" s="30">
        <f t="shared" si="9"/>
        <v>4.5768288028026329E-2</v>
      </c>
      <c r="H161" s="27">
        <f>'OTM Refi'!B216/100*3</f>
        <v>0</v>
      </c>
    </row>
    <row r="162" spans="1:8" x14ac:dyDescent="0.25">
      <c r="A162" s="2">
        <v>41060</v>
      </c>
      <c r="B162">
        <v>4.5999999999999996</v>
      </c>
      <c r="C162" s="26">
        <f>'Housing Stock'!S165</f>
        <v>74950</v>
      </c>
      <c r="D162" s="27">
        <f t="shared" si="7"/>
        <v>6.1374249499666439E-2</v>
      </c>
      <c r="E162" s="27">
        <f>'OTM Turnover MBS'!C217/100</f>
        <v>1.0584569766119101E-2</v>
      </c>
      <c r="F162" s="30">
        <f t="shared" si="8"/>
        <v>1.4485754148888997E-2</v>
      </c>
      <c r="G162" s="30">
        <f t="shared" si="9"/>
        <v>4.6888495350777444E-2</v>
      </c>
      <c r="H162" s="27">
        <f>'OTM Refi'!B217/100*3</f>
        <v>0</v>
      </c>
    </row>
    <row r="163" spans="1:8" x14ac:dyDescent="0.25">
      <c r="A163" s="2">
        <v>41090</v>
      </c>
      <c r="B163">
        <v>4.47</v>
      </c>
      <c r="C163" s="26">
        <f>'Housing Stock'!S166</f>
        <v>74914.75</v>
      </c>
      <c r="D163" s="27">
        <f t="shared" si="7"/>
        <v>5.9667822424822881E-2</v>
      </c>
      <c r="E163" s="27">
        <f>'OTM Turnover MBS'!C218/100</f>
        <v>1.15156448775053E-2</v>
      </c>
      <c r="F163" s="30">
        <f t="shared" si="8"/>
        <v>1.5232520845197732E-2</v>
      </c>
      <c r="G163" s="30">
        <f t="shared" si="9"/>
        <v>4.443530157962515E-2</v>
      </c>
      <c r="H163" s="27">
        <f>'OTM Refi'!B218/100*3</f>
        <v>0</v>
      </c>
    </row>
    <row r="164" spans="1:8" x14ac:dyDescent="0.25">
      <c r="A164" s="2">
        <v>41121</v>
      </c>
      <c r="B164">
        <v>4.53</v>
      </c>
      <c r="C164" s="26">
        <f>'Housing Stock'!S167</f>
        <v>74879.5</v>
      </c>
      <c r="D164" s="27">
        <f t="shared" si="7"/>
        <v>6.0497198832791359E-2</v>
      </c>
      <c r="E164" s="27">
        <f>'OTM Turnover MBS'!C219/100</f>
        <v>1.0851405487136302E-2</v>
      </c>
      <c r="F164" s="30">
        <f t="shared" si="8"/>
        <v>1.3380703061730699E-2</v>
      </c>
      <c r="G164" s="30">
        <f t="shared" si="9"/>
        <v>4.7116495771060661E-2</v>
      </c>
      <c r="H164" s="27">
        <f>'OTM Refi'!B219/100*3</f>
        <v>0</v>
      </c>
    </row>
    <row r="165" spans="1:8" x14ac:dyDescent="0.25">
      <c r="A165" s="2">
        <v>41152</v>
      </c>
      <c r="B165">
        <v>4.76</v>
      </c>
      <c r="C165" s="26">
        <f>'Housing Stock'!S168</f>
        <v>74844.25</v>
      </c>
      <c r="D165" s="27">
        <f t="shared" si="7"/>
        <v>6.3598740050170854E-2</v>
      </c>
      <c r="E165" s="27">
        <f>'OTM Turnover MBS'!C220/100</f>
        <v>1.0721758285895101E-2</v>
      </c>
      <c r="F165" s="30">
        <f t="shared" si="8"/>
        <v>1.2362400068365816E-2</v>
      </c>
      <c r="G165" s="30">
        <f t="shared" si="9"/>
        <v>5.1236339981805039E-2</v>
      </c>
      <c r="H165" s="27">
        <f>'OTM Refi'!B220/100*3</f>
        <v>0</v>
      </c>
    </row>
    <row r="166" spans="1:8" x14ac:dyDescent="0.25">
      <c r="A166" s="2">
        <v>41182</v>
      </c>
      <c r="B166">
        <v>4.71</v>
      </c>
      <c r="C166" s="26">
        <f>'Housing Stock'!S169</f>
        <v>74809</v>
      </c>
      <c r="D166" s="27">
        <f t="shared" si="7"/>
        <v>6.2960338996644785E-2</v>
      </c>
      <c r="E166" s="27">
        <f>'OTM Turnover MBS'!C221/100</f>
        <v>7.7429073063485197E-3</v>
      </c>
      <c r="F166" s="30">
        <f t="shared" si="8"/>
        <v>1.0284600722452254E-2</v>
      </c>
      <c r="G166" s="30">
        <f t="shared" si="9"/>
        <v>5.267573827419253E-2</v>
      </c>
      <c r="H166" s="27">
        <f>'OTM Refi'!B221/100*3</f>
        <v>0</v>
      </c>
    </row>
    <row r="167" spans="1:8" x14ac:dyDescent="0.25">
      <c r="A167" s="2">
        <v>41213</v>
      </c>
      <c r="B167">
        <v>4.79</v>
      </c>
      <c r="C167" s="26">
        <f>'Housing Stock'!S170</f>
        <v>74773.75</v>
      </c>
      <c r="D167" s="27">
        <f t="shared" si="7"/>
        <v>6.4059914074123606E-2</v>
      </c>
      <c r="E167" s="27">
        <f>'OTM Turnover MBS'!C222/100</f>
        <v>7.4298675377617593E-3</v>
      </c>
      <c r="F167" s="30">
        <f t="shared" si="8"/>
        <v>9.8076922101276807E-3</v>
      </c>
      <c r="G167" s="30">
        <f t="shared" si="9"/>
        <v>5.4252221863995927E-2</v>
      </c>
      <c r="H167" s="27">
        <f>'OTM Refi'!B222/100*3</f>
        <v>0</v>
      </c>
    </row>
    <row r="168" spans="1:8" x14ac:dyDescent="0.25">
      <c r="A168" s="2">
        <v>41243</v>
      </c>
      <c r="B168">
        <v>4.96</v>
      </c>
      <c r="C168" s="26">
        <f>'Housing Stock'!S171</f>
        <v>74738.5</v>
      </c>
      <c r="D168" s="27">
        <f t="shared" si="7"/>
        <v>6.6364725007860739E-2</v>
      </c>
      <c r="E168" s="27">
        <f>'OTM Turnover MBS'!C223/100</f>
        <v>8.0403091840252107E-3</v>
      </c>
      <c r="F168" s="30">
        <f t="shared" si="8"/>
        <v>9.3836487797786996E-3</v>
      </c>
      <c r="G168" s="30">
        <f t="shared" si="9"/>
        <v>5.6981076228082038E-2</v>
      </c>
      <c r="H168" s="27">
        <f>'OTM Refi'!B223/100*3</f>
        <v>0</v>
      </c>
    </row>
    <row r="169" spans="1:8" x14ac:dyDescent="0.25">
      <c r="A169" s="2">
        <v>41274</v>
      </c>
      <c r="B169">
        <v>4.8899999999999997</v>
      </c>
      <c r="C169" s="26">
        <f>'Housing Stock'!S172</f>
        <v>74703.25</v>
      </c>
      <c r="D169" s="27">
        <f t="shared" si="7"/>
        <v>6.5458999441122032E-2</v>
      </c>
      <c r="E169" s="27">
        <f>'OTM Turnover MBS'!C224/100</f>
        <v>9.2974469725194391E-3</v>
      </c>
      <c r="F169" s="30">
        <f t="shared" si="8"/>
        <v>9.0139491289477226E-3</v>
      </c>
      <c r="G169" s="30">
        <f t="shared" si="9"/>
        <v>5.6445050312174311E-2</v>
      </c>
      <c r="H169" s="27">
        <f>'OTM Refi'!B224/100*3</f>
        <v>0</v>
      </c>
    </row>
    <row r="170" spans="1:8" x14ac:dyDescent="0.25">
      <c r="A170" s="2">
        <v>41305</v>
      </c>
      <c r="B170">
        <v>4.9800000000000004</v>
      </c>
      <c r="C170" s="26">
        <f>'Housing Stock'!S173</f>
        <v>74668</v>
      </c>
      <c r="D170" s="27">
        <f t="shared" si="7"/>
        <v>6.6695237585043129E-2</v>
      </c>
      <c r="E170" s="27">
        <f>'OTM Turnover MBS'!C225/100</f>
        <v>8.6502774895199589E-3</v>
      </c>
      <c r="F170" s="30">
        <f t="shared" si="8"/>
        <v>8.6470944626783307E-3</v>
      </c>
      <c r="G170" s="30">
        <f t="shared" si="9"/>
        <v>5.8048143122364795E-2</v>
      </c>
      <c r="H170" s="27">
        <f>'OTM Refi'!B225/100*3</f>
        <v>0</v>
      </c>
    </row>
    <row r="171" spans="1:8" x14ac:dyDescent="0.25">
      <c r="A171" s="2">
        <v>41333</v>
      </c>
      <c r="B171">
        <v>5.0599999999999996</v>
      </c>
      <c r="C171" s="26">
        <f>'Housing Stock'!S174</f>
        <v>74647.916666666672</v>
      </c>
      <c r="D171" s="27">
        <f t="shared" si="7"/>
        <v>6.7784879015377733E-2</v>
      </c>
      <c r="E171" s="27">
        <f>'OTM Turnover MBS'!C226/100</f>
        <v>6.5743655019810899E-3</v>
      </c>
      <c r="F171" s="30">
        <f t="shared" si="8"/>
        <v>7.9558623320259963E-3</v>
      </c>
      <c r="G171" s="30">
        <f t="shared" si="9"/>
        <v>5.9829016683351735E-2</v>
      </c>
      <c r="H171" s="27">
        <f>'OTM Refi'!B226/100*3</f>
        <v>0</v>
      </c>
    </row>
    <row r="172" spans="1:8" x14ac:dyDescent="0.25">
      <c r="A172" s="2">
        <v>41364</v>
      </c>
      <c r="B172">
        <v>5.07</v>
      </c>
      <c r="C172" s="26">
        <f>'Housing Stock'!S175</f>
        <v>74627.833333333328</v>
      </c>
      <c r="D172" s="27">
        <f t="shared" si="7"/>
        <v>6.7937119082022573E-2</v>
      </c>
      <c r="E172" s="27">
        <f>'OTM Turnover MBS'!C227/100</f>
        <v>8.6891463957548005E-3</v>
      </c>
      <c r="F172" s="30">
        <f t="shared" si="8"/>
        <v>8.1135688469270422E-3</v>
      </c>
      <c r="G172" s="30">
        <f t="shared" si="9"/>
        <v>5.9823550235095529E-2</v>
      </c>
      <c r="H172" s="27">
        <f>'OTM Refi'!B227/100*3</f>
        <v>0</v>
      </c>
    </row>
    <row r="173" spans="1:8" x14ac:dyDescent="0.25">
      <c r="A173" s="2">
        <v>41394</v>
      </c>
      <c r="B173">
        <v>5.09</v>
      </c>
      <c r="C173" s="26">
        <f>'Housing Stock'!S176</f>
        <v>74607.75</v>
      </c>
      <c r="D173" s="27">
        <f t="shared" si="7"/>
        <v>6.8223475443234774E-2</v>
      </c>
      <c r="E173" s="27">
        <f>'OTM Turnover MBS'!C228/100</f>
        <v>1.04658962108077E-2</v>
      </c>
      <c r="F173" s="30">
        <f t="shared" si="8"/>
        <v>8.6195736257680313E-3</v>
      </c>
      <c r="G173" s="30">
        <f t="shared" si="9"/>
        <v>5.9603901817466741E-2</v>
      </c>
      <c r="H173" s="27">
        <f>'OTM Refi'!B228/100*3</f>
        <v>0</v>
      </c>
    </row>
    <row r="174" spans="1:8" x14ac:dyDescent="0.25">
      <c r="A174" s="2">
        <v>41425</v>
      </c>
      <c r="B174">
        <v>5.14</v>
      </c>
      <c r="C174" s="26">
        <f>'Housing Stock'!S177</f>
        <v>74587.666666666672</v>
      </c>
      <c r="D174" s="27">
        <f t="shared" si="7"/>
        <v>6.8912197280158016E-2</v>
      </c>
      <c r="E174" s="27">
        <f>'OTM Turnover MBS'!C229/100</f>
        <v>1.25668227294592E-2</v>
      </c>
      <c r="F174" s="30">
        <f t="shared" si="8"/>
        <v>9.3739925500070324E-3</v>
      </c>
      <c r="G174" s="30">
        <f t="shared" si="9"/>
        <v>5.9538204730150986E-2</v>
      </c>
      <c r="H174" s="27">
        <f>'OTM Refi'!B229/100*3</f>
        <v>0</v>
      </c>
    </row>
    <row r="175" spans="1:8" x14ac:dyDescent="0.25">
      <c r="A175" s="2">
        <v>41455</v>
      </c>
      <c r="B175">
        <v>5.1100000000000003</v>
      </c>
      <c r="C175" s="26">
        <f>'Housing Stock'!S178</f>
        <v>74567.583333333328</v>
      </c>
      <c r="D175" s="27">
        <f t="shared" si="7"/>
        <v>6.8528437848886528E-2</v>
      </c>
      <c r="E175" s="27">
        <f>'OTM Turnover MBS'!C230/100</f>
        <v>1.2054818940417499E-2</v>
      </c>
      <c r="F175" s="30">
        <f t="shared" si="8"/>
        <v>9.8335545446567082E-3</v>
      </c>
      <c r="G175" s="30">
        <f t="shared" si="9"/>
        <v>5.8694883304229818E-2</v>
      </c>
      <c r="H175" s="27">
        <f>'OTM Refi'!B230/100*3</f>
        <v>0</v>
      </c>
    </row>
    <row r="176" spans="1:8" x14ac:dyDescent="0.25">
      <c r="A176" s="2">
        <v>41486</v>
      </c>
      <c r="B176">
        <v>5.27</v>
      </c>
      <c r="C176" s="26">
        <f>'Housing Stock'!S179</f>
        <v>74547.5</v>
      </c>
      <c r="D176" s="27">
        <f t="shared" si="7"/>
        <v>7.0693182199268914E-2</v>
      </c>
      <c r="E176" s="27">
        <f>'OTM Turnover MBS'!C231/100</f>
        <v>2.8468244182237302E-2</v>
      </c>
      <c r="F176" s="30">
        <f t="shared" si="8"/>
        <v>1.3136548993442932E-2</v>
      </c>
      <c r="G176" s="30">
        <f t="shared" si="9"/>
        <v>5.7556633205825984E-2</v>
      </c>
      <c r="H176" s="27">
        <f>'OTM Refi'!B231/100*3</f>
        <v>0</v>
      </c>
    </row>
    <row r="177" spans="1:8" x14ac:dyDescent="0.25">
      <c r="A177" s="2">
        <v>41517</v>
      </c>
      <c r="B177">
        <v>5.26</v>
      </c>
      <c r="C177" s="26">
        <f>'Housing Stock'!S180</f>
        <v>74527.416666666672</v>
      </c>
      <c r="D177" s="27">
        <f t="shared" si="7"/>
        <v>7.0578053490382167E-2</v>
      </c>
      <c r="E177" s="27">
        <f>'OTM Turnover MBS'!C232/100</f>
        <v>2.8624812420980097E-2</v>
      </c>
      <c r="F177" s="30">
        <f t="shared" si="8"/>
        <v>1.6811623479942767E-2</v>
      </c>
      <c r="G177" s="30">
        <f t="shared" si="9"/>
        <v>5.3766430010439403E-2</v>
      </c>
      <c r="H177" s="27">
        <f>'OTM Refi'!B232/100*3</f>
        <v>0</v>
      </c>
    </row>
    <row r="178" spans="1:8" x14ac:dyDescent="0.25">
      <c r="A178" s="2">
        <v>41547</v>
      </c>
      <c r="B178">
        <v>5.14</v>
      </c>
      <c r="C178" s="26">
        <f>'Housing Stock'!S181</f>
        <v>74507.333333333328</v>
      </c>
      <c r="D178" s="27">
        <f t="shared" si="7"/>
        <v>6.8986497973353864E-2</v>
      </c>
      <c r="E178" s="27">
        <f>'OTM Turnover MBS'!C233/100</f>
        <v>2.7892134713149202E-2</v>
      </c>
      <c r="F178" s="30">
        <f t="shared" si="8"/>
        <v>2.0012121532841834E-2</v>
      </c>
      <c r="G178" s="30">
        <f t="shared" si="9"/>
        <v>4.897437644051203E-2</v>
      </c>
      <c r="H178" s="27">
        <f>'OTM Refi'!B233/100*3</f>
        <v>0</v>
      </c>
    </row>
    <row r="179" spans="1:8" x14ac:dyDescent="0.25">
      <c r="A179" s="2">
        <v>41578</v>
      </c>
      <c r="B179">
        <v>5.04</v>
      </c>
      <c r="C179" s="26">
        <f>'Housing Stock'!S182</f>
        <v>74487.25</v>
      </c>
      <c r="D179" s="27">
        <f t="shared" si="7"/>
        <v>6.7662586550047157E-2</v>
      </c>
      <c r="E179" s="27">
        <f>'OTM Turnover MBS'!C234/100</f>
        <v>2.7203958394519299E-2</v>
      </c>
      <c r="F179" s="30">
        <f t="shared" si="8"/>
        <v>2.2801798563460433E-2</v>
      </c>
      <c r="G179" s="30">
        <f t="shared" si="9"/>
        <v>4.4860787986586728E-2</v>
      </c>
      <c r="H179" s="27">
        <f>'OTM Refi'!B234/100*3</f>
        <v>0</v>
      </c>
    </row>
    <row r="180" spans="1:8" x14ac:dyDescent="0.25">
      <c r="A180" s="2">
        <v>41608</v>
      </c>
      <c r="B180">
        <v>4.92</v>
      </c>
      <c r="C180" s="26">
        <f>'Housing Stock'!S183</f>
        <v>74467.166666666672</v>
      </c>
      <c r="D180" s="27">
        <f t="shared" si="7"/>
        <v>6.6069386284335591E-2</v>
      </c>
      <c r="E180" s="27">
        <f>'OTM Turnover MBS'!C235/100</f>
        <v>2.0958285967146703E-2</v>
      </c>
      <c r="F180" s="30">
        <f t="shared" si="8"/>
        <v>2.4200375769741683E-2</v>
      </c>
      <c r="G180" s="30">
        <f t="shared" si="9"/>
        <v>4.1869010514593907E-2</v>
      </c>
      <c r="H180" s="27">
        <f>'OTM Refi'!B235/100*3</f>
        <v>0</v>
      </c>
    </row>
    <row r="181" spans="1:8" x14ac:dyDescent="0.25">
      <c r="A181" s="2">
        <v>41639</v>
      </c>
      <c r="B181">
        <v>4.8600000000000003</v>
      </c>
      <c r="C181" s="26">
        <f>'Housing Stock'!S184</f>
        <v>74447.083333333328</v>
      </c>
      <c r="D181" s="27">
        <f t="shared" si="7"/>
        <v>6.5281268014753216E-2</v>
      </c>
      <c r="E181" s="27">
        <f>'OTM Turnover MBS'!C236/100</f>
        <v>2.3311483749060401E-2</v>
      </c>
      <c r="F181" s="30">
        <f t="shared" si="8"/>
        <v>2.6076486571182167E-2</v>
      </c>
      <c r="G181" s="30">
        <f t="shared" si="9"/>
        <v>3.9204781443571049E-2</v>
      </c>
      <c r="H181" s="27">
        <f>'OTM Refi'!B236/100*3</f>
        <v>0</v>
      </c>
    </row>
    <row r="182" spans="1:8" x14ac:dyDescent="0.25">
      <c r="A182" s="2">
        <v>41670</v>
      </c>
      <c r="B182">
        <v>4.74</v>
      </c>
      <c r="C182" s="26">
        <f>'Housing Stock'!S185</f>
        <v>74427</v>
      </c>
      <c r="D182" s="27">
        <f t="shared" si="7"/>
        <v>6.3686565359345401E-2</v>
      </c>
      <c r="E182" s="27">
        <f>'OTM Turnover MBS'!C237/100</f>
        <v>2.4240111426530202E-2</v>
      </c>
      <c r="F182" s="30">
        <f t="shared" si="8"/>
        <v>2.5371797778564322E-2</v>
      </c>
      <c r="G182" s="30">
        <f t="shared" si="9"/>
        <v>3.8314767580781076E-2</v>
      </c>
      <c r="H182" s="27">
        <f>'OTM Refi'!B237/100*3</f>
        <v>0</v>
      </c>
    </row>
    <row r="183" spans="1:8" x14ac:dyDescent="0.25">
      <c r="A183" s="2">
        <v>41698</v>
      </c>
      <c r="B183">
        <v>4.72</v>
      </c>
      <c r="C183" s="26">
        <f>'Housing Stock'!S186</f>
        <v>74450.25</v>
      </c>
      <c r="D183" s="27">
        <f t="shared" si="7"/>
        <v>6.3398040973670328E-2</v>
      </c>
      <c r="E183" s="27">
        <f>'OTM Turnover MBS'!C238/100</f>
        <v>2.2869968759033101E-2</v>
      </c>
      <c r="F183" s="30">
        <f t="shared" si="8"/>
        <v>2.4412657168239819E-2</v>
      </c>
      <c r="G183" s="30">
        <f t="shared" si="9"/>
        <v>3.8985383805430512E-2</v>
      </c>
      <c r="H183" s="27">
        <f>'OTM Refi'!B238/100*3</f>
        <v>0</v>
      </c>
    </row>
    <row r="184" spans="1:8" x14ac:dyDescent="0.25">
      <c r="A184" s="2">
        <v>41729</v>
      </c>
      <c r="B184">
        <v>4.74</v>
      </c>
      <c r="C184" s="26">
        <f>'Housing Stock'!S187</f>
        <v>74473.5</v>
      </c>
      <c r="D184" s="27">
        <f t="shared" si="7"/>
        <v>6.3646800539789314E-2</v>
      </c>
      <c r="E184" s="27">
        <f>'OTM Turnover MBS'!C239/100</f>
        <v>2.3774789644406699E-2</v>
      </c>
      <c r="F184" s="30">
        <f t="shared" si="8"/>
        <v>2.3726432990116064E-2</v>
      </c>
      <c r="G184" s="30">
        <f t="shared" si="9"/>
        <v>3.992036754967325E-2</v>
      </c>
      <c r="H184" s="27">
        <f>'OTM Refi'!B239/100*3</f>
        <v>0</v>
      </c>
    </row>
    <row r="185" spans="1:8" x14ac:dyDescent="0.25">
      <c r="A185" s="2">
        <v>41759</v>
      </c>
      <c r="B185">
        <v>4.78</v>
      </c>
      <c r="C185" s="26">
        <f>'Housing Stock'!S188</f>
        <v>74496.75</v>
      </c>
      <c r="D185" s="27">
        <f t="shared" si="7"/>
        <v>6.4163872920630777E-2</v>
      </c>
      <c r="E185" s="27">
        <f>'OTM Turnover MBS'!C240/100</f>
        <v>2.4841426200214501E-2</v>
      </c>
      <c r="F185" s="30">
        <f t="shared" si="8"/>
        <v>2.3332677624398602E-2</v>
      </c>
      <c r="G185" s="30">
        <f t="shared" si="9"/>
        <v>4.0831195296232178E-2</v>
      </c>
      <c r="H185" s="27">
        <f>'OTM Refi'!B240/100*3</f>
        <v>0</v>
      </c>
    </row>
    <row r="186" spans="1:8" x14ac:dyDescent="0.25">
      <c r="A186" s="2">
        <v>41790</v>
      </c>
      <c r="B186">
        <v>4.9000000000000004</v>
      </c>
      <c r="C186" s="26">
        <f>'Housing Stock'!S189</f>
        <v>74520</v>
      </c>
      <c r="D186" s="27">
        <f t="shared" si="7"/>
        <v>6.5754159957058508E-2</v>
      </c>
      <c r="E186" s="27">
        <f>'OTM Turnover MBS'!C241/100</f>
        <v>3.0445957340793899E-2</v>
      </c>
      <c r="F186" s="30">
        <f t="shared" si="8"/>
        <v>2.4913956186673133E-2</v>
      </c>
      <c r="G186" s="30">
        <f t="shared" si="9"/>
        <v>4.0840203770385372E-2</v>
      </c>
      <c r="H186" s="27">
        <f>'OTM Refi'!B241/100*3</f>
        <v>0</v>
      </c>
    </row>
    <row r="187" spans="1:8" x14ac:dyDescent="0.25">
      <c r="A187" s="2">
        <v>41820</v>
      </c>
      <c r="B187">
        <v>4.97</v>
      </c>
      <c r="C187" s="26">
        <f>'Housing Stock'!S190</f>
        <v>74543.25</v>
      </c>
      <c r="D187" s="27">
        <f t="shared" si="7"/>
        <v>6.6672703430558769E-2</v>
      </c>
      <c r="E187" s="27">
        <f>'OTM Turnover MBS'!C242/100</f>
        <v>3.2081490456255995E-2</v>
      </c>
      <c r="F187" s="30">
        <f t="shared" si="8"/>
        <v>2.6375623971205731E-2</v>
      </c>
      <c r="G187" s="30">
        <f t="shared" si="9"/>
        <v>4.0297079459353041E-2</v>
      </c>
      <c r="H187" s="27">
        <f>'OTM Refi'!B242/100*3</f>
        <v>6.0051472066136101E-4</v>
      </c>
    </row>
    <row r="188" spans="1:8" x14ac:dyDescent="0.25">
      <c r="A188" s="2">
        <v>41851</v>
      </c>
      <c r="B188">
        <v>4.99</v>
      </c>
      <c r="C188" s="26">
        <f>'Housing Stock'!S191</f>
        <v>74566.5</v>
      </c>
      <c r="D188" s="27">
        <f t="shared" si="7"/>
        <v>6.6920131694527707E-2</v>
      </c>
      <c r="E188" s="27">
        <f>'OTM Turnover MBS'!C243/100</f>
        <v>3.34350653981643E-2</v>
      </c>
      <c r="F188" s="30">
        <f t="shared" si="8"/>
        <v>2.7908116299811412E-2</v>
      </c>
      <c r="G188" s="30">
        <f t="shared" si="9"/>
        <v>3.9012015394716298E-2</v>
      </c>
      <c r="H188" s="27">
        <f>'OTM Refi'!B243/100*3</f>
        <v>8.0874884301962403E-4</v>
      </c>
    </row>
    <row r="189" spans="1:8" x14ac:dyDescent="0.25">
      <c r="A189" s="2">
        <v>41882</v>
      </c>
      <c r="B189">
        <v>4.96</v>
      </c>
      <c r="C189" s="26">
        <f>'Housing Stock'!S192</f>
        <v>74589.75</v>
      </c>
      <c r="D189" s="27">
        <f t="shared" si="7"/>
        <v>6.6497072318917813E-2</v>
      </c>
      <c r="E189" s="27">
        <f>'OTM Turnover MBS'!C244/100</f>
        <v>2.8517218298012098E-2</v>
      </c>
      <c r="F189" s="30">
        <f t="shared" si="8"/>
        <v>2.8849324556307916E-2</v>
      </c>
      <c r="G189" s="30">
        <f t="shared" si="9"/>
        <v>3.7647747762609901E-2</v>
      </c>
      <c r="H189" s="27">
        <f>'OTM Refi'!B244/100*3</f>
        <v>1.047617566075743E-3</v>
      </c>
    </row>
    <row r="190" spans="1:8" x14ac:dyDescent="0.25">
      <c r="A190" s="2">
        <v>41912</v>
      </c>
      <c r="B190">
        <v>5.03</v>
      </c>
      <c r="C190" s="26">
        <f>'Housing Stock'!S193</f>
        <v>74613</v>
      </c>
      <c r="D190" s="27">
        <f t="shared" si="7"/>
        <v>6.7414525618859994E-2</v>
      </c>
      <c r="E190" s="27">
        <f>'OTM Turnover MBS'!C245/100</f>
        <v>3.0785598223727301E-2</v>
      </c>
      <c r="F190" s="30">
        <f t="shared" si="8"/>
        <v>3.001779265286135E-2</v>
      </c>
      <c r="G190" s="30">
        <f t="shared" si="9"/>
        <v>3.7396732965998644E-2</v>
      </c>
      <c r="H190" s="27">
        <f>'OTM Refi'!B245/100*3</f>
        <v>1.2828359081860079E-3</v>
      </c>
    </row>
    <row r="191" spans="1:8" x14ac:dyDescent="0.25">
      <c r="A191" s="2">
        <v>41943</v>
      </c>
      <c r="B191">
        <v>5.14</v>
      </c>
      <c r="C191" s="26">
        <f>'Housing Stock'!S194</f>
        <v>74636.25</v>
      </c>
      <c r="D191" s="27">
        <f t="shared" si="7"/>
        <v>6.8867339932003543E-2</v>
      </c>
      <c r="E191" s="27">
        <f>'OTM Turnover MBS'!C246/100</f>
        <v>3.22165437490445E-2</v>
      </c>
      <c r="F191" s="30">
        <f t="shared" si="8"/>
        <v>3.1246978910999687E-2</v>
      </c>
      <c r="G191" s="30">
        <f t="shared" si="9"/>
        <v>3.7620361021003856E-2</v>
      </c>
      <c r="H191" s="27">
        <f>'OTM Refi'!B246/100*3</f>
        <v>1.299045959584854E-3</v>
      </c>
    </row>
    <row r="192" spans="1:8" x14ac:dyDescent="0.25">
      <c r="A192" s="2">
        <v>41973</v>
      </c>
      <c r="B192">
        <v>5.04</v>
      </c>
      <c r="C192" s="26">
        <f>'Housing Stock'!S195</f>
        <v>74659.5</v>
      </c>
      <c r="D192" s="27">
        <f t="shared" si="7"/>
        <v>6.7506479416551135E-2</v>
      </c>
      <c r="E192" s="27">
        <f>'OTM Turnover MBS'!C247/100</f>
        <v>2.6289500327612E-2</v>
      </c>
      <c r="F192" s="30">
        <f t="shared" si="8"/>
        <v>3.0554236075469365E-2</v>
      </c>
      <c r="G192" s="30">
        <f t="shared" si="9"/>
        <v>3.695224334108177E-2</v>
      </c>
      <c r="H192" s="27">
        <f>'OTM Refi'!B247/100*3</f>
        <v>1.4520727461418978E-3</v>
      </c>
    </row>
    <row r="193" spans="1:8" x14ac:dyDescent="0.25">
      <c r="A193" s="2">
        <v>42004</v>
      </c>
      <c r="B193">
        <v>5.07</v>
      </c>
      <c r="C193" s="26">
        <f>'Housing Stock'!S196</f>
        <v>74682.75</v>
      </c>
      <c r="D193" s="27">
        <f t="shared" si="7"/>
        <v>6.7887162698213446E-2</v>
      </c>
      <c r="E193" s="27">
        <f>'OTM Turnover MBS'!C248/100</f>
        <v>2.93765062720199E-2</v>
      </c>
      <c r="F193" s="30">
        <f t="shared" si="8"/>
        <v>3.0103405378096689E-2</v>
      </c>
      <c r="G193" s="30">
        <f t="shared" si="9"/>
        <v>3.7783757320116754E-2</v>
      </c>
      <c r="H193" s="27">
        <f>'OTM Refi'!B248/100*3</f>
        <v>1.4571422594137351E-3</v>
      </c>
    </row>
    <row r="194" spans="1:8" x14ac:dyDescent="0.25">
      <c r="A194" s="2">
        <v>42035</v>
      </c>
      <c r="B194">
        <v>4.93</v>
      </c>
      <c r="C194" s="26">
        <f>'Housing Stock'!S197</f>
        <v>74706</v>
      </c>
      <c r="D194" s="27">
        <f t="shared" si="7"/>
        <v>6.5992022059807767E-2</v>
      </c>
      <c r="E194" s="27">
        <f>'OTM Turnover MBS'!C249/100</f>
        <v>1.6266390937292902E-2</v>
      </c>
      <c r="F194" s="30">
        <f t="shared" si="8"/>
        <v>2.7241959634618115E-2</v>
      </c>
      <c r="G194" s="30">
        <f t="shared" si="9"/>
        <v>3.8750062425189649E-2</v>
      </c>
      <c r="H194" s="27">
        <f>'OTM Refi'!B249/100*3</f>
        <v>9.4334256632455497E-4</v>
      </c>
    </row>
    <row r="195" spans="1:8" x14ac:dyDescent="0.25">
      <c r="A195" s="2">
        <v>42063</v>
      </c>
      <c r="B195">
        <v>4.97</v>
      </c>
      <c r="C195" s="26">
        <f>'Housing Stock'!S198</f>
        <v>74739.333333333328</v>
      </c>
      <c r="D195" s="27">
        <f t="shared" ref="D195:D222" si="10">B195/C195*1000</f>
        <v>6.6497783407219763E-2</v>
      </c>
      <c r="E195" s="27">
        <f>'OTM Turnover MBS'!C250/100</f>
        <v>1.27155782587561E-2</v>
      </c>
      <c r="F195" s="30">
        <f t="shared" si="8"/>
        <v>2.4608352961408786E-2</v>
      </c>
      <c r="G195" s="30">
        <f t="shared" si="9"/>
        <v>4.1889430445810977E-2</v>
      </c>
      <c r="H195" s="27">
        <f>'OTM Refi'!B250/100*3</f>
        <v>2.9056758241197117E-4</v>
      </c>
    </row>
    <row r="196" spans="1:8" x14ac:dyDescent="0.25">
      <c r="A196" s="2">
        <v>42094</v>
      </c>
      <c r="B196">
        <v>5.25</v>
      </c>
      <c r="C196" s="26">
        <f>'Housing Stock'!S199</f>
        <v>74772.666666666672</v>
      </c>
      <c r="D196" s="27">
        <f t="shared" si="10"/>
        <v>7.0212822867536259E-2</v>
      </c>
      <c r="E196" s="27">
        <f>'OTM Turnover MBS'!C251/100</f>
        <v>1.47412525159537E-2</v>
      </c>
      <c r="F196" s="30">
        <f t="shared" si="8"/>
        <v>2.1934295343446517E-2</v>
      </c>
      <c r="G196" s="30">
        <f t="shared" si="9"/>
        <v>4.8278527524089745E-2</v>
      </c>
      <c r="H196" s="27">
        <f>'OTM Refi'!B251/100*3</f>
        <v>3.6674190100316397E-4</v>
      </c>
    </row>
    <row r="197" spans="1:8" x14ac:dyDescent="0.25">
      <c r="A197" s="2">
        <v>42124</v>
      </c>
      <c r="B197">
        <v>5.14</v>
      </c>
      <c r="C197" s="26">
        <f>'Housing Stock'!S200</f>
        <v>74806</v>
      </c>
      <c r="D197" s="27">
        <f t="shared" si="10"/>
        <v>6.8711065957276149E-2</v>
      </c>
      <c r="E197" s="27">
        <f>'OTM Turnover MBS'!C252/100</f>
        <v>1.5596936726462601E-2</v>
      </c>
      <c r="F197" s="30">
        <f t="shared" si="8"/>
        <v>1.9164360839682867E-2</v>
      </c>
      <c r="G197" s="30">
        <f t="shared" si="9"/>
        <v>4.9546705117593279E-2</v>
      </c>
      <c r="H197" s="27">
        <f>'OTM Refi'!B252/100*3</f>
        <v>5.4863063908028406E-4</v>
      </c>
    </row>
    <row r="198" spans="1:8" x14ac:dyDescent="0.25">
      <c r="A198" s="2">
        <v>42155</v>
      </c>
      <c r="B198">
        <v>5.29</v>
      </c>
      <c r="C198" s="26">
        <f>'Housing Stock'!S201</f>
        <v>74839.333333333328</v>
      </c>
      <c r="D198" s="27">
        <f t="shared" si="10"/>
        <v>7.0684755787954648E-2</v>
      </c>
      <c r="E198" s="27">
        <f>'OTM Turnover MBS'!C253/100</f>
        <v>1.43123966128051E-2</v>
      </c>
      <c r="F198" s="30">
        <f t="shared" si="8"/>
        <v>1.7168176887215052E-2</v>
      </c>
      <c r="G198" s="30">
        <f t="shared" si="9"/>
        <v>5.3516578900739596E-2</v>
      </c>
      <c r="H198" s="27">
        <f>'OTM Refi'!B253/100*3</f>
        <v>4.4007631226472603E-4</v>
      </c>
    </row>
    <row r="199" spans="1:8" x14ac:dyDescent="0.25">
      <c r="A199" s="2">
        <v>42185</v>
      </c>
      <c r="B199">
        <v>5.41</v>
      </c>
      <c r="C199" s="26">
        <f>'Housing Stock'!S202</f>
        <v>74872.666666666672</v>
      </c>
      <c r="D199" s="27">
        <f t="shared" si="10"/>
        <v>7.2256007977989284E-2</v>
      </c>
      <c r="E199" s="27">
        <f>'OTM Turnover MBS'!C254/100</f>
        <v>2.9402839983889997E-2</v>
      </c>
      <c r="F199" s="30">
        <f t="shared" si="8"/>
        <v>1.71725658391934E-2</v>
      </c>
      <c r="G199" s="30">
        <f t="shared" si="9"/>
        <v>5.5083442138795888E-2</v>
      </c>
      <c r="H199" s="27">
        <f>'OTM Refi'!B254/100*3</f>
        <v>1.471219025822589E-3</v>
      </c>
    </row>
    <row r="200" spans="1:8" x14ac:dyDescent="0.25">
      <c r="A200" s="2">
        <v>42216</v>
      </c>
      <c r="B200">
        <v>5.48</v>
      </c>
      <c r="C200" s="26">
        <f>'Housing Stock'!S203</f>
        <v>74906</v>
      </c>
      <c r="D200" s="27">
        <f t="shared" si="10"/>
        <v>7.3158358475956545E-2</v>
      </c>
      <c r="E200" s="27">
        <f>'OTM Turnover MBS'!C255/100</f>
        <v>4.9895114943391501E-2</v>
      </c>
      <c r="F200" s="30">
        <f t="shared" ref="F200:F205" si="11">AVERAGE(E195:E200)</f>
        <v>2.2777353173543166E-2</v>
      </c>
      <c r="G200" s="30">
        <f t="shared" ref="G200:G205" si="12">D200-F200</f>
        <v>5.0381005302413379E-2</v>
      </c>
      <c r="H200" s="27">
        <f>'OTM Refi'!B255/100*3</f>
        <v>3.7663254115242301E-3</v>
      </c>
    </row>
    <row r="201" spans="1:8" x14ac:dyDescent="0.25">
      <c r="A201" s="2">
        <v>42247</v>
      </c>
      <c r="B201">
        <v>5.29</v>
      </c>
      <c r="C201" s="26">
        <f>'Housing Stock'!S204</f>
        <v>74939.333333333328</v>
      </c>
      <c r="D201" s="27">
        <f t="shared" si="10"/>
        <v>7.059043315037053E-2</v>
      </c>
      <c r="E201" s="27">
        <f>'OTM Turnover MBS'!C256/100</f>
        <v>4.1165062259698806E-2</v>
      </c>
      <c r="F201" s="30">
        <f t="shared" si="11"/>
        <v>2.7518933840366949E-2</v>
      </c>
      <c r="G201" s="30">
        <f t="shared" si="12"/>
        <v>4.3071499310003578E-2</v>
      </c>
      <c r="H201" s="27">
        <f>'OTM Refi'!B256/100*3</f>
        <v>3.8663259434490302E-3</v>
      </c>
    </row>
    <row r="202" spans="1:8" x14ac:dyDescent="0.25">
      <c r="A202" s="2">
        <v>42277</v>
      </c>
      <c r="B202">
        <v>5.44</v>
      </c>
      <c r="C202" s="26">
        <f>'Housing Stock'!S205</f>
        <v>74972.666666666672</v>
      </c>
      <c r="D202" s="27">
        <f t="shared" si="10"/>
        <v>7.255977734107541E-2</v>
      </c>
      <c r="E202" s="27">
        <f>'OTM Turnover MBS'!C257/100</f>
        <v>4.0116562021805996E-2</v>
      </c>
      <c r="F202" s="30">
        <f t="shared" si="11"/>
        <v>3.1748152091342331E-2</v>
      </c>
      <c r="G202" s="30">
        <f t="shared" si="12"/>
        <v>4.0811625249733079E-2</v>
      </c>
      <c r="H202" s="27">
        <f>'OTM Refi'!B257/100*3</f>
        <v>3.3624311446226397E-3</v>
      </c>
    </row>
    <row r="203" spans="1:8" x14ac:dyDescent="0.25">
      <c r="A203" s="2">
        <v>42308</v>
      </c>
      <c r="B203">
        <v>5.29</v>
      </c>
      <c r="C203" s="26">
        <f>'Housing Stock'!S206</f>
        <v>75006</v>
      </c>
      <c r="D203" s="27">
        <f t="shared" si="10"/>
        <v>7.0527691118043898E-2</v>
      </c>
      <c r="E203" s="27">
        <f>'OTM Turnover MBS'!C258/100</f>
        <v>3.8084594022049403E-2</v>
      </c>
      <c r="F203" s="30">
        <f t="shared" si="11"/>
        <v>3.5496094973940136E-2</v>
      </c>
      <c r="G203" s="30">
        <f t="shared" si="12"/>
        <v>3.5031596144103762E-2</v>
      </c>
      <c r="H203" s="27">
        <f>'OTM Refi'!B258/100*3</f>
        <v>2.873334004286133E-3</v>
      </c>
    </row>
    <row r="204" spans="1:8" x14ac:dyDescent="0.25">
      <c r="A204" s="2">
        <v>42338</v>
      </c>
      <c r="B204">
        <v>4.8600000000000003</v>
      </c>
      <c r="C204" s="26">
        <f>'Housing Stock'!S207</f>
        <v>75039.333333333328</v>
      </c>
      <c r="D204" s="27">
        <f t="shared" si="10"/>
        <v>6.476603381337788E-2</v>
      </c>
      <c r="E204" s="27">
        <f>'OTM Turnover MBS'!C259/100</f>
        <v>1.94137989563349E-2</v>
      </c>
      <c r="F204" s="30">
        <f t="shared" si="11"/>
        <v>3.6346328697861766E-2</v>
      </c>
      <c r="G204" s="30">
        <f t="shared" si="12"/>
        <v>2.8419705115516114E-2</v>
      </c>
      <c r="H204" s="27">
        <f>'OTM Refi'!B259/100*3</f>
        <v>9.3794043918993307E-4</v>
      </c>
    </row>
    <row r="205" spans="1:8" x14ac:dyDescent="0.25">
      <c r="A205" s="2">
        <v>42369</v>
      </c>
      <c r="B205">
        <v>5.45</v>
      </c>
      <c r="C205" s="26">
        <f>'Housing Stock'!S208</f>
        <v>75072.666666666672</v>
      </c>
      <c r="D205" s="27">
        <f t="shared" si="10"/>
        <v>7.2596328890230793E-2</v>
      </c>
      <c r="E205" s="27">
        <f>'OTM Turnover MBS'!C260/100</f>
        <v>3.9071188889499703E-2</v>
      </c>
      <c r="F205" s="30">
        <f t="shared" si="11"/>
        <v>3.7957720182130054E-2</v>
      </c>
      <c r="G205" s="30">
        <f t="shared" si="12"/>
        <v>3.4638608708100739E-2</v>
      </c>
      <c r="H205" s="27">
        <f>'OTM Refi'!B260/100*3</f>
        <v>3.25273880691891E-3</v>
      </c>
    </row>
    <row r="206" spans="1:8" x14ac:dyDescent="0.25">
      <c r="A206" s="2">
        <v>42400</v>
      </c>
      <c r="B206">
        <v>5.48</v>
      </c>
      <c r="C206" s="26">
        <f>'Housing Stock'!S209</f>
        <v>75106</v>
      </c>
      <c r="D206" s="27">
        <f t="shared" si="10"/>
        <v>7.2963544856602683E-2</v>
      </c>
    </row>
    <row r="207" spans="1:8" x14ac:dyDescent="0.25">
      <c r="A207" s="2">
        <v>42429</v>
      </c>
      <c r="B207">
        <v>5.2</v>
      </c>
      <c r="C207" s="26">
        <f>'Housing Stock'!S210</f>
        <v>75097.166666666672</v>
      </c>
      <c r="D207" s="27">
        <f t="shared" si="10"/>
        <v>6.9243624371092563E-2</v>
      </c>
    </row>
    <row r="208" spans="1:8" x14ac:dyDescent="0.25">
      <c r="A208" s="2">
        <v>42460</v>
      </c>
      <c r="B208">
        <v>5.39</v>
      </c>
      <c r="C208" s="26">
        <f>'Housing Stock'!S211</f>
        <v>75088.333333333328</v>
      </c>
      <c r="D208" s="27">
        <f t="shared" si="10"/>
        <v>7.1782123277029278E-2</v>
      </c>
    </row>
    <row r="209" spans="1:4" x14ac:dyDescent="0.25">
      <c r="A209" s="2">
        <v>42490</v>
      </c>
      <c r="B209">
        <v>5.48</v>
      </c>
      <c r="C209" s="26">
        <f>'Housing Stock'!S212</f>
        <v>75079.5</v>
      </c>
      <c r="D209" s="27">
        <f t="shared" si="10"/>
        <v>7.298929801077525E-2</v>
      </c>
    </row>
    <row r="210" spans="1:4" x14ac:dyDescent="0.25">
      <c r="A210" s="2">
        <v>42521</v>
      </c>
      <c r="B210">
        <v>5.47</v>
      </c>
      <c r="C210" s="26">
        <f>'Housing Stock'!S213</f>
        <v>75070.666666666672</v>
      </c>
      <c r="D210" s="27">
        <f t="shared" si="10"/>
        <v>7.2864678613928202E-2</v>
      </c>
    </row>
    <row r="211" spans="1:4" x14ac:dyDescent="0.25">
      <c r="A211" s="2">
        <v>42551</v>
      </c>
      <c r="B211">
        <v>5.48</v>
      </c>
      <c r="C211" s="26">
        <f>'Housing Stock'!S214</f>
        <v>75061.833333333328</v>
      </c>
      <c r="D211" s="27">
        <f t="shared" si="10"/>
        <v>7.3006476882392535E-2</v>
      </c>
    </row>
    <row r="212" spans="1:4" x14ac:dyDescent="0.25">
      <c r="A212" s="2">
        <v>42582</v>
      </c>
      <c r="B212">
        <v>5.33</v>
      </c>
      <c r="C212" s="26">
        <f>'Housing Stock'!S215</f>
        <v>75053</v>
      </c>
      <c r="D212" s="27">
        <f t="shared" si="10"/>
        <v>7.1016481686275029E-2</v>
      </c>
    </row>
    <row r="213" spans="1:4" x14ac:dyDescent="0.25">
      <c r="A213" s="2">
        <v>42613</v>
      </c>
      <c r="B213">
        <v>5.34</v>
      </c>
      <c r="C213" s="26">
        <f>'Housing Stock'!S216</f>
        <v>75044.166666666672</v>
      </c>
      <c r="D213" s="27">
        <f t="shared" si="10"/>
        <v>7.1158095788035919E-2</v>
      </c>
    </row>
    <row r="214" spans="1:4" x14ac:dyDescent="0.25">
      <c r="A214" s="2">
        <v>42643</v>
      </c>
      <c r="B214">
        <v>5.47</v>
      </c>
      <c r="C214" s="26">
        <f>'Housing Stock'!S217</f>
        <v>75035.333333333328</v>
      </c>
      <c r="D214" s="27">
        <f t="shared" si="10"/>
        <v>7.2898989809245418E-2</v>
      </c>
    </row>
    <row r="215" spans="1:4" x14ac:dyDescent="0.25">
      <c r="A215" s="2">
        <v>42674</v>
      </c>
      <c r="B215">
        <v>5.53</v>
      </c>
      <c r="C215" s="26">
        <f>'Housing Stock'!S218</f>
        <v>75026.5</v>
      </c>
      <c r="D215" s="27">
        <f t="shared" si="10"/>
        <v>7.3707290090834571E-2</v>
      </c>
    </row>
    <row r="216" spans="1:4" x14ac:dyDescent="0.25">
      <c r="A216" s="2">
        <v>42704</v>
      </c>
      <c r="B216">
        <v>5.6</v>
      </c>
      <c r="C216" s="26">
        <f>'Housing Stock'!S219</f>
        <v>75017.666666666672</v>
      </c>
      <c r="D216" s="27">
        <f t="shared" si="10"/>
        <v>7.4649082660528845E-2</v>
      </c>
    </row>
    <row r="217" spans="1:4" x14ac:dyDescent="0.25">
      <c r="A217" s="2">
        <v>42735</v>
      </c>
      <c r="B217">
        <v>5.51</v>
      </c>
      <c r="C217" s="26">
        <f>'Housing Stock'!S220</f>
        <v>75008.833333333328</v>
      </c>
      <c r="D217" s="27">
        <f t="shared" si="10"/>
        <v>7.3458014944906488E-2</v>
      </c>
    </row>
    <row r="218" spans="1:4" x14ac:dyDescent="0.25">
      <c r="A218" s="2">
        <v>42766</v>
      </c>
      <c r="B218">
        <v>5.69</v>
      </c>
      <c r="C218" s="26">
        <f>'Housing Stock'!S221</f>
        <v>75000</v>
      </c>
      <c r="D218" s="27">
        <f t="shared" si="10"/>
        <v>7.5866666666666679E-2</v>
      </c>
    </row>
    <row r="219" spans="1:4" x14ac:dyDescent="0.25">
      <c r="A219" s="2">
        <v>42794</v>
      </c>
      <c r="B219">
        <v>5.47</v>
      </c>
      <c r="C219" s="26">
        <f>'Housing Stock'!S222</f>
        <v>75000</v>
      </c>
      <c r="D219" s="27">
        <f t="shared" si="10"/>
        <v>7.2933333333333336E-2</v>
      </c>
    </row>
    <row r="220" spans="1:4" x14ac:dyDescent="0.25">
      <c r="A220" s="2">
        <v>42825</v>
      </c>
      <c r="B220">
        <v>5.7</v>
      </c>
      <c r="C220" s="26">
        <f>'Housing Stock'!S223</f>
        <v>75000</v>
      </c>
      <c r="D220" s="27">
        <f t="shared" si="10"/>
        <v>7.5999999999999998E-2</v>
      </c>
    </row>
    <row r="221" spans="1:4" x14ac:dyDescent="0.25">
      <c r="A221" s="2">
        <v>42855</v>
      </c>
      <c r="B221">
        <v>5.56</v>
      </c>
      <c r="C221" s="26">
        <f>'Housing Stock'!S224</f>
        <v>75000</v>
      </c>
      <c r="D221" s="27">
        <f t="shared" si="10"/>
        <v>7.4133333333333329E-2</v>
      </c>
    </row>
    <row r="222" spans="1:4" x14ac:dyDescent="0.25">
      <c r="A222" s="2">
        <v>42886</v>
      </c>
      <c r="B222">
        <v>5.62</v>
      </c>
      <c r="C222" s="26">
        <f>'Housing Stock'!S225</f>
        <v>75000</v>
      </c>
      <c r="D222" s="27">
        <f t="shared" si="10"/>
        <v>7.4933333333333324E-2</v>
      </c>
    </row>
    <row r="223" spans="1:4" x14ac:dyDescent="0.25">
      <c r="A223" s="2">
        <v>42916</v>
      </c>
      <c r="C223" s="26">
        <f>'Housing Stock'!S226</f>
        <v>75000</v>
      </c>
    </row>
  </sheetData>
  <sortState ref="A2:B212">
    <sortCondition ref="A1"/>
  </sortState>
  <pageMargins left="0.7" right="0.7" top="0.75" bottom="0.75" header="0.3" footer="0.3"/>
  <pageSetup scale="1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3"/>
  <sheetViews>
    <sheetView workbookViewId="0">
      <selection activeCell="H66" sqref="H66"/>
    </sheetView>
  </sheetViews>
  <sheetFormatPr defaultRowHeight="15" x14ac:dyDescent="0.25"/>
  <sheetData>
    <row r="1" spans="1:3" x14ac:dyDescent="0.25">
      <c r="A1" s="29"/>
      <c r="C1" t="s">
        <v>48</v>
      </c>
    </row>
    <row r="2" spans="1:3" x14ac:dyDescent="0.25">
      <c r="A2" t="s">
        <v>49</v>
      </c>
      <c r="B2" s="2">
        <v>34366</v>
      </c>
      <c r="C2">
        <v>0.73656777422828101</v>
      </c>
    </row>
    <row r="3" spans="1:3" x14ac:dyDescent="0.25">
      <c r="A3" t="s">
        <v>50</v>
      </c>
      <c r="B3" s="2">
        <v>34394</v>
      </c>
      <c r="C3">
        <v>0.88997227084356401</v>
      </c>
    </row>
    <row r="4" spans="1:3" x14ac:dyDescent="0.25">
      <c r="A4" t="s">
        <v>51</v>
      </c>
      <c r="B4" s="2">
        <v>34486</v>
      </c>
      <c r="C4">
        <v>0.77389677745491903</v>
      </c>
    </row>
    <row r="5" spans="1:3" x14ac:dyDescent="0.25">
      <c r="A5" t="s">
        <v>52</v>
      </c>
      <c r="B5" s="2">
        <v>34516</v>
      </c>
      <c r="C5">
        <v>3.3083775333565302</v>
      </c>
    </row>
    <row r="6" spans="1:3" x14ac:dyDescent="0.25">
      <c r="A6" t="s">
        <v>53</v>
      </c>
      <c r="B6" s="2">
        <v>34547</v>
      </c>
      <c r="C6">
        <v>3.13784624251833</v>
      </c>
    </row>
    <row r="7" spans="1:3" x14ac:dyDescent="0.25">
      <c r="A7" t="s">
        <v>54</v>
      </c>
      <c r="B7" s="2">
        <v>34578</v>
      </c>
      <c r="C7">
        <v>3.8636186907236598</v>
      </c>
    </row>
    <row r="8" spans="1:3" x14ac:dyDescent="0.25">
      <c r="A8" t="s">
        <v>55</v>
      </c>
      <c r="B8" s="2">
        <v>34608</v>
      </c>
      <c r="C8">
        <v>3.3621620085286898</v>
      </c>
    </row>
    <row r="9" spans="1:3" x14ac:dyDescent="0.25">
      <c r="A9" t="s">
        <v>56</v>
      </c>
      <c r="B9" s="2">
        <v>34639</v>
      </c>
      <c r="C9">
        <v>3.9856700328531298</v>
      </c>
    </row>
    <row r="10" spans="1:3" x14ac:dyDescent="0.25">
      <c r="A10" t="s">
        <v>57</v>
      </c>
      <c r="B10" s="2">
        <v>34669</v>
      </c>
      <c r="C10">
        <v>3.9019008507456401</v>
      </c>
    </row>
    <row r="11" spans="1:3" x14ac:dyDescent="0.25">
      <c r="A11" t="s">
        <v>58</v>
      </c>
      <c r="B11" s="2">
        <v>34700</v>
      </c>
      <c r="C11">
        <v>4.2943867699885603</v>
      </c>
    </row>
    <row r="12" spans="1:3" x14ac:dyDescent="0.25">
      <c r="A12" t="s">
        <v>59</v>
      </c>
      <c r="B12" s="2">
        <v>34731</v>
      </c>
      <c r="C12">
        <v>3.5697073153161099</v>
      </c>
    </row>
    <row r="13" spans="1:3" x14ac:dyDescent="0.25">
      <c r="A13" t="s">
        <v>60</v>
      </c>
      <c r="B13" s="2">
        <v>34759</v>
      </c>
      <c r="C13">
        <v>2.9104906152943402</v>
      </c>
    </row>
    <row r="14" spans="1:3" x14ac:dyDescent="0.25">
      <c r="A14" t="s">
        <v>61</v>
      </c>
      <c r="B14" s="2">
        <v>34790</v>
      </c>
      <c r="C14">
        <v>3.1489627368071398</v>
      </c>
    </row>
    <row r="15" spans="1:3" x14ac:dyDescent="0.25">
      <c r="A15" t="s">
        <v>62</v>
      </c>
      <c r="B15" s="2">
        <v>34820</v>
      </c>
      <c r="C15">
        <v>3.0197144934112998</v>
      </c>
    </row>
    <row r="16" spans="1:3" x14ac:dyDescent="0.25">
      <c r="A16" t="s">
        <v>63</v>
      </c>
      <c r="B16" s="2">
        <v>34851</v>
      </c>
      <c r="C16">
        <v>3.4736792774890799</v>
      </c>
    </row>
    <row r="17" spans="1:3" x14ac:dyDescent="0.25">
      <c r="A17" t="s">
        <v>64</v>
      </c>
      <c r="B17" s="2">
        <v>34881</v>
      </c>
      <c r="C17">
        <v>3.8752316255296102</v>
      </c>
    </row>
    <row r="18" spans="1:3" x14ac:dyDescent="0.25">
      <c r="A18" t="s">
        <v>65</v>
      </c>
      <c r="B18" s="2">
        <v>34912</v>
      </c>
      <c r="C18">
        <v>4.1563160023740302</v>
      </c>
    </row>
    <row r="19" spans="1:3" x14ac:dyDescent="0.25">
      <c r="A19" t="s">
        <v>66</v>
      </c>
      <c r="B19" s="2">
        <v>34943</v>
      </c>
      <c r="C19">
        <v>5.2850489409889496</v>
      </c>
    </row>
    <row r="20" spans="1:3" x14ac:dyDescent="0.25">
      <c r="A20" t="s">
        <v>67</v>
      </c>
      <c r="B20" s="2">
        <v>34973</v>
      </c>
      <c r="C20">
        <v>4.4464871718486298</v>
      </c>
    </row>
    <row r="21" spans="1:3" x14ac:dyDescent="0.25">
      <c r="A21" t="s">
        <v>68</v>
      </c>
      <c r="B21" s="2">
        <v>35004</v>
      </c>
      <c r="C21">
        <v>4.7927031618799196</v>
      </c>
    </row>
    <row r="22" spans="1:3" x14ac:dyDescent="0.25">
      <c r="A22" t="s">
        <v>69</v>
      </c>
      <c r="B22" s="2">
        <v>35034</v>
      </c>
      <c r="C22">
        <v>4.4927054099782904</v>
      </c>
    </row>
    <row r="23" spans="1:3" x14ac:dyDescent="0.25">
      <c r="A23" t="s">
        <v>70</v>
      </c>
      <c r="B23" s="2">
        <v>35065</v>
      </c>
      <c r="C23">
        <v>4.5356248125685097</v>
      </c>
    </row>
    <row r="24" spans="1:3" x14ac:dyDescent="0.25">
      <c r="A24" t="s">
        <v>71</v>
      </c>
      <c r="B24" s="2">
        <v>35096</v>
      </c>
      <c r="C24">
        <v>3.87591752712291</v>
      </c>
    </row>
    <row r="25" spans="1:3" x14ac:dyDescent="0.25">
      <c r="A25" t="s">
        <v>72</v>
      </c>
      <c r="B25" s="2">
        <v>35125</v>
      </c>
      <c r="C25">
        <v>3.5145897111511402</v>
      </c>
    </row>
    <row r="26" spans="1:3" x14ac:dyDescent="0.25">
      <c r="A26" t="s">
        <v>73</v>
      </c>
      <c r="B26" s="2">
        <v>35156</v>
      </c>
      <c r="C26">
        <v>4.8370247795939303</v>
      </c>
    </row>
    <row r="27" spans="1:3" x14ac:dyDescent="0.25">
      <c r="A27" t="s">
        <v>74</v>
      </c>
      <c r="B27" s="2">
        <v>35186</v>
      </c>
      <c r="C27">
        <v>4.6584310836102896</v>
      </c>
    </row>
    <row r="28" spans="1:3" x14ac:dyDescent="0.25">
      <c r="A28" t="s">
        <v>75</v>
      </c>
      <c r="B28" s="2">
        <v>35217</v>
      </c>
      <c r="C28">
        <v>4.6167605941799703</v>
      </c>
    </row>
    <row r="29" spans="1:3" x14ac:dyDescent="0.25">
      <c r="A29" t="s">
        <v>76</v>
      </c>
      <c r="B29" s="2">
        <v>35247</v>
      </c>
      <c r="C29">
        <v>5.0958675239510001</v>
      </c>
    </row>
    <row r="30" spans="1:3" x14ac:dyDescent="0.25">
      <c r="A30" t="s">
        <v>77</v>
      </c>
      <c r="B30" s="2">
        <v>35278</v>
      </c>
      <c r="C30">
        <v>4.8719459403562997</v>
      </c>
    </row>
    <row r="31" spans="1:3" x14ac:dyDescent="0.25">
      <c r="A31" t="s">
        <v>78</v>
      </c>
      <c r="B31" s="2">
        <v>35309</v>
      </c>
      <c r="C31">
        <v>5.0705204819291598</v>
      </c>
    </row>
    <row r="32" spans="1:3" x14ac:dyDescent="0.25">
      <c r="A32" t="s">
        <v>79</v>
      </c>
      <c r="B32" s="2">
        <v>35339</v>
      </c>
      <c r="C32">
        <v>4.9040087163334496</v>
      </c>
    </row>
    <row r="33" spans="1:3" x14ac:dyDescent="0.25">
      <c r="A33" t="s">
        <v>80</v>
      </c>
      <c r="B33" s="2">
        <v>35370</v>
      </c>
      <c r="C33">
        <v>5.3091123944669203</v>
      </c>
    </row>
    <row r="34" spans="1:3" x14ac:dyDescent="0.25">
      <c r="A34" t="s">
        <v>81</v>
      </c>
      <c r="B34" s="2">
        <v>35462</v>
      </c>
      <c r="C34">
        <v>0.933616882695809</v>
      </c>
    </row>
    <row r="35" spans="1:3" x14ac:dyDescent="0.25">
      <c r="A35" t="s">
        <v>82</v>
      </c>
      <c r="B35" s="2">
        <v>35490</v>
      </c>
      <c r="C35">
        <v>4.14062595719074</v>
      </c>
    </row>
    <row r="36" spans="1:3" x14ac:dyDescent="0.25">
      <c r="A36" t="s">
        <v>83</v>
      </c>
      <c r="B36" s="2">
        <v>35521</v>
      </c>
      <c r="C36">
        <v>5.0640322342650403</v>
      </c>
    </row>
    <row r="37" spans="1:3" x14ac:dyDescent="0.25">
      <c r="A37" t="s">
        <v>84</v>
      </c>
      <c r="B37" s="2">
        <v>35551</v>
      </c>
      <c r="C37">
        <v>5.1187478041281196</v>
      </c>
    </row>
    <row r="38" spans="1:3" x14ac:dyDescent="0.25">
      <c r="A38" t="s">
        <v>85</v>
      </c>
      <c r="B38" s="2">
        <v>35582</v>
      </c>
      <c r="C38">
        <v>5.1088417767834997</v>
      </c>
    </row>
    <row r="39" spans="1:3" x14ac:dyDescent="0.25">
      <c r="A39" t="s">
        <v>86</v>
      </c>
      <c r="B39" s="2">
        <v>35612</v>
      </c>
      <c r="C39">
        <v>5.9958059745751999</v>
      </c>
    </row>
    <row r="40" spans="1:3" x14ac:dyDescent="0.25">
      <c r="A40" t="s">
        <v>87</v>
      </c>
      <c r="B40" s="2">
        <v>35643</v>
      </c>
      <c r="C40">
        <v>5.9111011427872198</v>
      </c>
    </row>
    <row r="41" spans="1:3" x14ac:dyDescent="0.25">
      <c r="A41" t="s">
        <v>88</v>
      </c>
      <c r="B41" s="2">
        <v>35674</v>
      </c>
      <c r="C41">
        <v>6.6711085011843601</v>
      </c>
    </row>
    <row r="42" spans="1:3" x14ac:dyDescent="0.25">
      <c r="A42" t="s">
        <v>89</v>
      </c>
      <c r="B42" s="2">
        <v>35704</v>
      </c>
      <c r="C42">
        <v>6.3854656788260398</v>
      </c>
    </row>
    <row r="43" spans="1:3" x14ac:dyDescent="0.25">
      <c r="A43" t="s">
        <v>90</v>
      </c>
      <c r="B43" s="2">
        <v>35735</v>
      </c>
      <c r="C43">
        <v>7.0659621047809997</v>
      </c>
    </row>
    <row r="44" spans="1:3" x14ac:dyDescent="0.25">
      <c r="A44" t="s">
        <v>91</v>
      </c>
      <c r="B44" s="2">
        <v>35765</v>
      </c>
      <c r="C44">
        <v>6.6386123608955696</v>
      </c>
    </row>
    <row r="45" spans="1:3" x14ac:dyDescent="0.25">
      <c r="A45" t="s">
        <v>92</v>
      </c>
      <c r="B45" s="2">
        <v>35796</v>
      </c>
      <c r="C45">
        <v>6.6018099412069002</v>
      </c>
    </row>
    <row r="46" spans="1:3" x14ac:dyDescent="0.25">
      <c r="A46" t="s">
        <v>93</v>
      </c>
      <c r="B46" s="2">
        <v>35827</v>
      </c>
      <c r="C46">
        <v>6.1035272628432304</v>
      </c>
    </row>
    <row r="47" spans="1:3" x14ac:dyDescent="0.25">
      <c r="A47" t="s">
        <v>94</v>
      </c>
      <c r="B47" s="2">
        <v>35855</v>
      </c>
      <c r="C47">
        <v>5.5991440124878098</v>
      </c>
    </row>
    <row r="48" spans="1:3" x14ac:dyDescent="0.25">
      <c r="A48" t="s">
        <v>95</v>
      </c>
      <c r="B48" s="2">
        <v>35886</v>
      </c>
      <c r="C48">
        <v>4.93403423864258</v>
      </c>
    </row>
    <row r="49" spans="1:3" x14ac:dyDescent="0.25">
      <c r="A49" t="s">
        <v>96</v>
      </c>
      <c r="B49" s="2">
        <v>35916</v>
      </c>
      <c r="C49">
        <v>4.5123344481391898</v>
      </c>
    </row>
    <row r="50" spans="1:3" x14ac:dyDescent="0.25">
      <c r="A50" t="s">
        <v>97</v>
      </c>
      <c r="B50" s="2">
        <v>35947</v>
      </c>
      <c r="C50">
        <v>4.0383284673131499</v>
      </c>
    </row>
    <row r="51" spans="1:3" x14ac:dyDescent="0.25">
      <c r="A51" t="s">
        <v>98</v>
      </c>
      <c r="B51" s="2">
        <v>35977</v>
      </c>
      <c r="C51">
        <v>7.3344122452860798</v>
      </c>
    </row>
    <row r="52" spans="1:3" x14ac:dyDescent="0.25">
      <c r="A52" t="s">
        <v>99</v>
      </c>
      <c r="B52" s="2">
        <v>36008</v>
      </c>
      <c r="C52">
        <v>4.9683308443723604</v>
      </c>
    </row>
    <row r="53" spans="1:3" x14ac:dyDescent="0.25">
      <c r="A53" t="s">
        <v>100</v>
      </c>
      <c r="B53" s="2">
        <v>36039</v>
      </c>
      <c r="C53">
        <v>6.8520479060298101</v>
      </c>
    </row>
    <row r="54" spans="1:3" x14ac:dyDescent="0.25">
      <c r="A54" t="s">
        <v>101</v>
      </c>
      <c r="B54" s="2">
        <v>36069</v>
      </c>
      <c r="C54">
        <v>3.7363365257958199</v>
      </c>
    </row>
    <row r="55" spans="1:3" x14ac:dyDescent="0.25">
      <c r="A55" t="s">
        <v>102</v>
      </c>
      <c r="B55" s="2">
        <v>36100</v>
      </c>
      <c r="C55">
        <v>4.35887078365527</v>
      </c>
    </row>
    <row r="56" spans="1:3" x14ac:dyDescent="0.25">
      <c r="A56" t="s">
        <v>103</v>
      </c>
      <c r="B56" s="2">
        <v>36130</v>
      </c>
      <c r="C56">
        <v>4.2693413848912902</v>
      </c>
    </row>
    <row r="57" spans="1:3" x14ac:dyDescent="0.25">
      <c r="A57" t="s">
        <v>104</v>
      </c>
      <c r="B57" s="2">
        <v>36161</v>
      </c>
      <c r="C57">
        <v>2.4263375437582599</v>
      </c>
    </row>
    <row r="58" spans="1:3" x14ac:dyDescent="0.25">
      <c r="A58" t="s">
        <v>105</v>
      </c>
      <c r="B58" s="2">
        <v>36192</v>
      </c>
      <c r="C58">
        <v>2.5644127096220801</v>
      </c>
    </row>
    <row r="59" spans="1:3" x14ac:dyDescent="0.25">
      <c r="A59" t="s">
        <v>106</v>
      </c>
      <c r="B59" s="2">
        <v>36220</v>
      </c>
      <c r="C59">
        <v>2.0991499971516299</v>
      </c>
    </row>
    <row r="60" spans="1:3" x14ac:dyDescent="0.25">
      <c r="A60" t="s">
        <v>107</v>
      </c>
      <c r="B60" s="2">
        <v>36251</v>
      </c>
      <c r="C60">
        <v>2.9760818012537</v>
      </c>
    </row>
    <row r="61" spans="1:3" x14ac:dyDescent="0.25">
      <c r="A61" t="s">
        <v>108</v>
      </c>
      <c r="B61" s="2">
        <v>36281</v>
      </c>
      <c r="C61">
        <v>2.2461583792643398</v>
      </c>
    </row>
    <row r="62" spans="1:3" x14ac:dyDescent="0.25">
      <c r="A62" t="s">
        <v>109</v>
      </c>
      <c r="B62" s="2">
        <v>36312</v>
      </c>
      <c r="C62">
        <v>3.2910223467647701</v>
      </c>
    </row>
    <row r="63" spans="1:3" x14ac:dyDescent="0.25">
      <c r="A63" t="s">
        <v>110</v>
      </c>
      <c r="B63" s="2">
        <v>36342</v>
      </c>
      <c r="C63">
        <v>5.6656474309797602</v>
      </c>
    </row>
    <row r="64" spans="1:3" x14ac:dyDescent="0.25">
      <c r="A64" t="s">
        <v>111</v>
      </c>
      <c r="B64" s="2">
        <v>36373</v>
      </c>
      <c r="C64">
        <v>5.2260865025931302</v>
      </c>
    </row>
    <row r="65" spans="1:3" x14ac:dyDescent="0.25">
      <c r="A65" t="s">
        <v>112</v>
      </c>
      <c r="B65" s="2">
        <v>36404</v>
      </c>
      <c r="C65">
        <v>6.74448587165387</v>
      </c>
    </row>
    <row r="66" spans="1:3" x14ac:dyDescent="0.25">
      <c r="A66" t="s">
        <v>113</v>
      </c>
      <c r="B66" s="2">
        <v>36434</v>
      </c>
      <c r="C66">
        <v>5.53027736711514</v>
      </c>
    </row>
    <row r="67" spans="1:3" x14ac:dyDescent="0.25">
      <c r="A67" t="s">
        <v>114</v>
      </c>
      <c r="B67" s="2">
        <v>36465</v>
      </c>
      <c r="C67">
        <v>5.94749064350576</v>
      </c>
    </row>
    <row r="68" spans="1:3" x14ac:dyDescent="0.25">
      <c r="A68" t="s">
        <v>115</v>
      </c>
      <c r="B68" s="2">
        <v>36495</v>
      </c>
      <c r="C68">
        <v>5.8170030390794896</v>
      </c>
    </row>
    <row r="69" spans="1:3" x14ac:dyDescent="0.25">
      <c r="A69" t="s">
        <v>116</v>
      </c>
      <c r="B69" s="2">
        <v>36526</v>
      </c>
      <c r="C69">
        <v>6.4966066438288204</v>
      </c>
    </row>
    <row r="70" spans="1:3" x14ac:dyDescent="0.25">
      <c r="A70" t="s">
        <v>117</v>
      </c>
      <c r="B70" s="2">
        <v>36557</v>
      </c>
      <c r="C70">
        <v>6.2111102289247304</v>
      </c>
    </row>
    <row r="71" spans="1:3" x14ac:dyDescent="0.25">
      <c r="A71" t="s">
        <v>118</v>
      </c>
      <c r="B71" s="2">
        <v>36586</v>
      </c>
      <c r="C71">
        <v>5.9012154815168403</v>
      </c>
    </row>
    <row r="72" spans="1:3" x14ac:dyDescent="0.25">
      <c r="A72" t="s">
        <v>119</v>
      </c>
      <c r="B72" s="2">
        <v>36617</v>
      </c>
      <c r="C72">
        <v>6.2799266168623102</v>
      </c>
    </row>
    <row r="73" spans="1:3" x14ac:dyDescent="0.25">
      <c r="A73" t="s">
        <v>120</v>
      </c>
      <c r="B73" s="2">
        <v>36647</v>
      </c>
      <c r="C73">
        <v>6.0251888100789399</v>
      </c>
    </row>
    <row r="74" spans="1:3" x14ac:dyDescent="0.25">
      <c r="A74" t="s">
        <v>121</v>
      </c>
      <c r="B74" s="2">
        <v>36678</v>
      </c>
      <c r="C74">
        <v>6.9298496551493702</v>
      </c>
    </row>
    <row r="75" spans="1:3" x14ac:dyDescent="0.25">
      <c r="A75" t="s">
        <v>122</v>
      </c>
      <c r="B75" s="2">
        <v>36708</v>
      </c>
      <c r="C75">
        <v>6.7120010893062698</v>
      </c>
    </row>
    <row r="76" spans="1:3" x14ac:dyDescent="0.25">
      <c r="A76" t="s">
        <v>123</v>
      </c>
      <c r="B76" s="2">
        <v>36739</v>
      </c>
      <c r="C76">
        <v>6.6741195942532698</v>
      </c>
    </row>
    <row r="77" spans="1:3" x14ac:dyDescent="0.25">
      <c r="A77" t="s">
        <v>124</v>
      </c>
      <c r="B77" s="2">
        <v>36770</v>
      </c>
      <c r="C77">
        <v>7.7878012085740096</v>
      </c>
    </row>
    <row r="78" spans="1:3" x14ac:dyDescent="0.25">
      <c r="A78" t="s">
        <v>125</v>
      </c>
      <c r="B78" s="2">
        <v>36800</v>
      </c>
      <c r="C78">
        <v>6.7019782428990098</v>
      </c>
    </row>
    <row r="79" spans="1:3" x14ac:dyDescent="0.25">
      <c r="A79" t="s">
        <v>126</v>
      </c>
      <c r="B79" s="2">
        <v>36831</v>
      </c>
      <c r="C79">
        <v>8.0149798296872099</v>
      </c>
    </row>
    <row r="80" spans="1:3" x14ac:dyDescent="0.25">
      <c r="A80" t="s">
        <v>127</v>
      </c>
      <c r="B80" s="2">
        <v>36861</v>
      </c>
      <c r="C80">
        <v>7.10168893350831</v>
      </c>
    </row>
    <row r="81" spans="1:3" x14ac:dyDescent="0.25">
      <c r="A81" t="s">
        <v>128</v>
      </c>
      <c r="B81" s="2">
        <v>36892</v>
      </c>
      <c r="C81">
        <v>6.2624111308471697</v>
      </c>
    </row>
    <row r="82" spans="1:3" x14ac:dyDescent="0.25">
      <c r="A82" t="s">
        <v>129</v>
      </c>
      <c r="B82" s="2">
        <v>36923</v>
      </c>
      <c r="C82">
        <v>6.5568099153822299</v>
      </c>
    </row>
    <row r="83" spans="1:3" x14ac:dyDescent="0.25">
      <c r="A83" t="s">
        <v>130</v>
      </c>
      <c r="B83" s="2">
        <v>36951</v>
      </c>
      <c r="C83">
        <v>8.0107441858322002</v>
      </c>
    </row>
    <row r="84" spans="1:3" x14ac:dyDescent="0.25">
      <c r="A84" t="s">
        <v>131</v>
      </c>
      <c r="B84" s="2">
        <v>36982</v>
      </c>
      <c r="C84">
        <v>7.3557234457259</v>
      </c>
    </row>
    <row r="85" spans="1:3" x14ac:dyDescent="0.25">
      <c r="A85" t="s">
        <v>132</v>
      </c>
      <c r="B85" s="2">
        <v>37012</v>
      </c>
      <c r="C85">
        <v>8.2489734336227301</v>
      </c>
    </row>
    <row r="86" spans="1:3" x14ac:dyDescent="0.25">
      <c r="A86" t="s">
        <v>133</v>
      </c>
      <c r="B86" s="2">
        <v>37043</v>
      </c>
      <c r="C86">
        <v>10.1005276468779</v>
      </c>
    </row>
    <row r="87" spans="1:3" x14ac:dyDescent="0.25">
      <c r="A87" t="s">
        <v>134</v>
      </c>
      <c r="B87" s="2">
        <v>37073</v>
      </c>
      <c r="C87">
        <v>8.3712752716855601</v>
      </c>
    </row>
    <row r="88" spans="1:3" x14ac:dyDescent="0.25">
      <c r="A88" t="s">
        <v>135</v>
      </c>
      <c r="B88" s="2">
        <v>37104</v>
      </c>
      <c r="C88">
        <v>8.1025036990059291</v>
      </c>
    </row>
    <row r="89" spans="1:3" x14ac:dyDescent="0.25">
      <c r="A89" t="s">
        <v>136</v>
      </c>
      <c r="B89" s="2">
        <v>37135</v>
      </c>
      <c r="C89">
        <v>7.3779408536706796</v>
      </c>
    </row>
    <row r="90" spans="1:3" x14ac:dyDescent="0.25">
      <c r="A90" t="s">
        <v>137</v>
      </c>
      <c r="B90" s="2">
        <v>37165</v>
      </c>
      <c r="C90">
        <v>7.2246490648632298</v>
      </c>
    </row>
    <row r="91" spans="1:3" x14ac:dyDescent="0.25">
      <c r="A91" t="s">
        <v>138</v>
      </c>
      <c r="B91" s="2">
        <v>37196</v>
      </c>
      <c r="C91">
        <v>6.8226960307544502</v>
      </c>
    </row>
    <row r="92" spans="1:3" x14ac:dyDescent="0.25">
      <c r="A92" t="s">
        <v>139</v>
      </c>
      <c r="B92" s="2">
        <v>37226</v>
      </c>
      <c r="C92">
        <v>6.0452252186580502</v>
      </c>
    </row>
    <row r="93" spans="1:3" x14ac:dyDescent="0.25">
      <c r="A93" t="s">
        <v>140</v>
      </c>
      <c r="B93" s="2">
        <v>37257</v>
      </c>
      <c r="C93">
        <v>9.2128734081596306</v>
      </c>
    </row>
    <row r="94" spans="1:3" x14ac:dyDescent="0.25">
      <c r="A94" t="s">
        <v>141</v>
      </c>
      <c r="B94" s="2">
        <v>37288</v>
      </c>
      <c r="C94">
        <v>5.5047650056093902</v>
      </c>
    </row>
    <row r="95" spans="1:3" x14ac:dyDescent="0.25">
      <c r="A95" t="s">
        <v>142</v>
      </c>
      <c r="B95" s="2">
        <v>37316</v>
      </c>
      <c r="C95">
        <v>3.18963700524924</v>
      </c>
    </row>
    <row r="96" spans="1:3" x14ac:dyDescent="0.25">
      <c r="A96" t="s">
        <v>143</v>
      </c>
      <c r="B96" s="2">
        <v>37347</v>
      </c>
      <c r="C96">
        <v>4.9054506616850198</v>
      </c>
    </row>
    <row r="97" spans="1:3" x14ac:dyDescent="0.25">
      <c r="A97" t="s">
        <v>144</v>
      </c>
      <c r="B97" s="2">
        <v>37377</v>
      </c>
      <c r="C97">
        <v>4.2073926691081303</v>
      </c>
    </row>
    <row r="98" spans="1:3" x14ac:dyDescent="0.25">
      <c r="A98" t="s">
        <v>145</v>
      </c>
      <c r="B98" s="2">
        <v>37408</v>
      </c>
      <c r="C98">
        <v>3.2764017608013698</v>
      </c>
    </row>
    <row r="99" spans="1:3" x14ac:dyDescent="0.25">
      <c r="A99" t="s">
        <v>146</v>
      </c>
      <c r="B99" s="2">
        <v>37438</v>
      </c>
      <c r="C99">
        <v>4.32496343366779</v>
      </c>
    </row>
    <row r="100" spans="1:3" x14ac:dyDescent="0.25">
      <c r="A100" t="s">
        <v>147</v>
      </c>
      <c r="B100" s="2">
        <v>37469</v>
      </c>
      <c r="C100">
        <v>5.39685813387762</v>
      </c>
    </row>
    <row r="101" spans="1:3" x14ac:dyDescent="0.25">
      <c r="A101" s="29" t="s">
        <v>148</v>
      </c>
      <c r="B101" s="2">
        <v>37500</v>
      </c>
      <c r="C101">
        <v>8.8576242947903303</v>
      </c>
    </row>
    <row r="102" spans="1:3" x14ac:dyDescent="0.25">
      <c r="A102" s="29" t="s">
        <v>149</v>
      </c>
      <c r="B102" s="2">
        <v>37530</v>
      </c>
      <c r="C102">
        <v>5.2044725119699704</v>
      </c>
    </row>
    <row r="103" spans="1:3" x14ac:dyDescent="0.25">
      <c r="A103" s="29" t="s">
        <v>150</v>
      </c>
      <c r="B103" s="2">
        <v>37561</v>
      </c>
      <c r="C103">
        <v>7.2304693366861601</v>
      </c>
    </row>
    <row r="104" spans="1:3" x14ac:dyDescent="0.25">
      <c r="A104" s="29" t="s">
        <v>151</v>
      </c>
      <c r="B104" s="2">
        <v>37591</v>
      </c>
      <c r="C104">
        <v>2.9094105009783799</v>
      </c>
    </row>
    <row r="105" spans="1:3" x14ac:dyDescent="0.25">
      <c r="A105" s="29" t="s">
        <v>152</v>
      </c>
      <c r="B105" s="2">
        <v>37622</v>
      </c>
      <c r="C105">
        <v>3.6942886632446199</v>
      </c>
    </row>
    <row r="106" spans="1:3" x14ac:dyDescent="0.25">
      <c r="A106" s="29" t="s">
        <v>153</v>
      </c>
      <c r="B106" s="2">
        <v>37653</v>
      </c>
      <c r="C106">
        <v>10.4263833008419</v>
      </c>
    </row>
    <row r="107" spans="1:3" x14ac:dyDescent="0.25">
      <c r="A107" s="29" t="s">
        <v>154</v>
      </c>
      <c r="B107" s="2">
        <v>37681</v>
      </c>
      <c r="C107">
        <v>4.2950849258681103</v>
      </c>
    </row>
    <row r="108" spans="1:3" x14ac:dyDescent="0.25">
      <c r="A108" s="29" t="s">
        <v>155</v>
      </c>
      <c r="B108" s="2">
        <v>37712</v>
      </c>
      <c r="C108">
        <v>3.5156595860998401</v>
      </c>
    </row>
    <row r="109" spans="1:3" x14ac:dyDescent="0.25">
      <c r="A109" s="29" t="s">
        <v>156</v>
      </c>
      <c r="B109" s="2">
        <v>37742</v>
      </c>
      <c r="C109">
        <v>1.2007001794426899</v>
      </c>
    </row>
    <row r="110" spans="1:3" x14ac:dyDescent="0.25">
      <c r="A110" s="29" t="s">
        <v>157</v>
      </c>
      <c r="B110" s="2">
        <v>37773</v>
      </c>
      <c r="C110">
        <v>0.12151171218836</v>
      </c>
    </row>
    <row r="111" spans="1:3" x14ac:dyDescent="0.25">
      <c r="A111" s="29" t="s">
        <v>158</v>
      </c>
      <c r="B111" s="2">
        <v>37803</v>
      </c>
      <c r="C111">
        <v>0</v>
      </c>
    </row>
    <row r="112" spans="1:3" x14ac:dyDescent="0.25">
      <c r="A112" s="29" t="s">
        <v>159</v>
      </c>
      <c r="B112" s="2">
        <v>37834</v>
      </c>
      <c r="C112">
        <v>1.57269648113827</v>
      </c>
    </row>
    <row r="113" spans="1:3" x14ac:dyDescent="0.25">
      <c r="A113" s="29" t="s">
        <v>160</v>
      </c>
      <c r="B113" s="2">
        <v>37865</v>
      </c>
      <c r="C113">
        <v>8.1309221319084095</v>
      </c>
    </row>
    <row r="114" spans="1:3" x14ac:dyDescent="0.25">
      <c r="A114" s="29" t="s">
        <v>161</v>
      </c>
      <c r="B114" s="2">
        <v>37895</v>
      </c>
      <c r="C114">
        <v>3.3937616771004202</v>
      </c>
    </row>
    <row r="115" spans="1:3" x14ac:dyDescent="0.25">
      <c r="A115" s="29" t="s">
        <v>162</v>
      </c>
      <c r="B115" s="2">
        <v>37926</v>
      </c>
      <c r="C115">
        <v>2.8194273641661201</v>
      </c>
    </row>
    <row r="116" spans="1:3" x14ac:dyDescent="0.25">
      <c r="A116" s="29" t="s">
        <v>163</v>
      </c>
      <c r="B116" s="2">
        <v>37956</v>
      </c>
      <c r="C116">
        <v>3.10537509758375</v>
      </c>
    </row>
    <row r="117" spans="1:3" x14ac:dyDescent="0.25">
      <c r="A117" s="29" t="s">
        <v>164</v>
      </c>
      <c r="B117" s="2">
        <v>37987</v>
      </c>
      <c r="C117">
        <v>3.6707042753782999</v>
      </c>
    </row>
    <row r="118" spans="1:3" x14ac:dyDescent="0.25">
      <c r="A118" s="29" t="s">
        <v>165</v>
      </c>
      <c r="B118" s="2">
        <v>38018</v>
      </c>
      <c r="C118">
        <v>3.5604695905560502</v>
      </c>
    </row>
    <row r="119" spans="1:3" x14ac:dyDescent="0.25">
      <c r="A119" s="29" t="s">
        <v>166</v>
      </c>
      <c r="B119" s="2">
        <v>38047</v>
      </c>
      <c r="C119">
        <v>4.4805894192632403</v>
      </c>
    </row>
    <row r="120" spans="1:3" x14ac:dyDescent="0.25">
      <c r="A120" s="29" t="s">
        <v>167</v>
      </c>
      <c r="B120" s="2">
        <v>38078</v>
      </c>
      <c r="C120">
        <v>4.6766440005366601</v>
      </c>
    </row>
    <row r="121" spans="1:3" x14ac:dyDescent="0.25">
      <c r="A121" s="29" t="s">
        <v>168</v>
      </c>
      <c r="B121" s="2">
        <v>38108</v>
      </c>
      <c r="C121">
        <v>6.72529506530645</v>
      </c>
    </row>
    <row r="122" spans="1:3" x14ac:dyDescent="0.25">
      <c r="A122" s="29" t="s">
        <v>169</v>
      </c>
      <c r="B122" s="2">
        <v>38139</v>
      </c>
      <c r="C122">
        <v>7.8936077483491998</v>
      </c>
    </row>
    <row r="123" spans="1:3" x14ac:dyDescent="0.25">
      <c r="A123" s="29" t="s">
        <v>170</v>
      </c>
      <c r="B123" s="2">
        <v>38169</v>
      </c>
      <c r="C123">
        <v>7.1092294749093501</v>
      </c>
    </row>
    <row r="124" spans="1:3" x14ac:dyDescent="0.25">
      <c r="A124" s="29" t="s">
        <v>171</v>
      </c>
      <c r="B124" s="2">
        <v>38200</v>
      </c>
      <c r="C124">
        <v>6.3286757488166803</v>
      </c>
    </row>
    <row r="125" spans="1:3" x14ac:dyDescent="0.25">
      <c r="A125" s="29" t="s">
        <v>172</v>
      </c>
      <c r="B125" s="2">
        <v>38231</v>
      </c>
      <c r="C125">
        <v>7.1177051153106099</v>
      </c>
    </row>
    <row r="126" spans="1:3" x14ac:dyDescent="0.25">
      <c r="A126" s="29" t="s">
        <v>173</v>
      </c>
      <c r="B126" s="2">
        <v>38261</v>
      </c>
      <c r="C126">
        <v>6.6572516268288204</v>
      </c>
    </row>
    <row r="127" spans="1:3" x14ac:dyDescent="0.25">
      <c r="A127" s="29" t="s">
        <v>174</v>
      </c>
      <c r="B127" s="2">
        <v>38292</v>
      </c>
      <c r="C127">
        <v>7.8037302399631496</v>
      </c>
    </row>
    <row r="128" spans="1:3" x14ac:dyDescent="0.25">
      <c r="A128" s="29" t="s">
        <v>175</v>
      </c>
      <c r="B128" s="2">
        <v>38322</v>
      </c>
      <c r="C128">
        <v>8.4012086792006997</v>
      </c>
    </row>
    <row r="129" spans="1:3" x14ac:dyDescent="0.25">
      <c r="A129" s="29" t="s">
        <v>176</v>
      </c>
      <c r="B129" s="2">
        <v>38353</v>
      </c>
      <c r="C129">
        <v>7.80625658908719</v>
      </c>
    </row>
    <row r="130" spans="1:3" x14ac:dyDescent="0.25">
      <c r="A130" s="29" t="s">
        <v>177</v>
      </c>
      <c r="B130" s="2">
        <v>38384</v>
      </c>
      <c r="C130">
        <v>8.4912382208214208</v>
      </c>
    </row>
    <row r="131" spans="1:3" x14ac:dyDescent="0.25">
      <c r="A131" s="29" t="s">
        <v>178</v>
      </c>
      <c r="B131" s="2">
        <v>38412</v>
      </c>
      <c r="C131">
        <v>9.1727458454760207</v>
      </c>
    </row>
    <row r="132" spans="1:3" x14ac:dyDescent="0.25">
      <c r="A132" s="29" t="s">
        <v>179</v>
      </c>
      <c r="B132" s="2">
        <v>38443</v>
      </c>
      <c r="C132">
        <v>8.1735981120278396</v>
      </c>
    </row>
    <row r="133" spans="1:3" x14ac:dyDescent="0.25">
      <c r="A133" s="29" t="s">
        <v>180</v>
      </c>
      <c r="B133" s="2">
        <v>38473</v>
      </c>
      <c r="C133">
        <v>8.2959624197650701</v>
      </c>
    </row>
    <row r="134" spans="1:3" x14ac:dyDescent="0.25">
      <c r="A134" s="29" t="s">
        <v>181</v>
      </c>
      <c r="B134" s="2">
        <v>38504</v>
      </c>
      <c r="C134">
        <v>8.3381464578856903</v>
      </c>
    </row>
    <row r="135" spans="1:3" x14ac:dyDescent="0.25">
      <c r="A135" s="29" t="s">
        <v>182</v>
      </c>
      <c r="B135" s="2">
        <v>38534</v>
      </c>
      <c r="C135">
        <v>8.4952880970197509</v>
      </c>
    </row>
    <row r="136" spans="1:3" x14ac:dyDescent="0.25">
      <c r="A136" s="29" t="s">
        <v>183</v>
      </c>
      <c r="B136" s="2">
        <v>38565</v>
      </c>
      <c r="C136">
        <v>9.0983712766891305</v>
      </c>
    </row>
    <row r="137" spans="1:3" x14ac:dyDescent="0.25">
      <c r="A137" s="29" t="s">
        <v>184</v>
      </c>
      <c r="B137" s="2">
        <v>38596</v>
      </c>
      <c r="C137">
        <v>8.5927442663784106</v>
      </c>
    </row>
    <row r="138" spans="1:3" x14ac:dyDescent="0.25">
      <c r="A138" s="29" t="s">
        <v>185</v>
      </c>
      <c r="B138" s="2">
        <v>38626</v>
      </c>
      <c r="C138">
        <v>8.1604077347049095</v>
      </c>
    </row>
    <row r="139" spans="1:3" x14ac:dyDescent="0.25">
      <c r="A139" s="29" t="s">
        <v>186</v>
      </c>
      <c r="B139" s="2">
        <v>38657</v>
      </c>
      <c r="C139">
        <v>8.7219463507552195</v>
      </c>
    </row>
    <row r="140" spans="1:3" x14ac:dyDescent="0.25">
      <c r="A140" s="29" t="s">
        <v>187</v>
      </c>
      <c r="B140" s="2">
        <v>38687</v>
      </c>
      <c r="C140">
        <v>8.4540374852895894</v>
      </c>
    </row>
    <row r="141" spans="1:3" x14ac:dyDescent="0.25">
      <c r="A141" s="29" t="s">
        <v>188</v>
      </c>
      <c r="B141" s="2">
        <v>38718</v>
      </c>
      <c r="C141">
        <v>8.4465999589737404</v>
      </c>
    </row>
    <row r="142" spans="1:3" x14ac:dyDescent="0.25">
      <c r="A142" s="29" t="s">
        <v>189</v>
      </c>
      <c r="B142" s="2">
        <v>38749</v>
      </c>
      <c r="C142">
        <v>8.35634304086871</v>
      </c>
    </row>
    <row r="143" spans="1:3" x14ac:dyDescent="0.25">
      <c r="A143" s="29" t="s">
        <v>190</v>
      </c>
      <c r="B143" s="2">
        <v>38777</v>
      </c>
      <c r="C143">
        <v>8.6524421768800206</v>
      </c>
    </row>
    <row r="144" spans="1:3" x14ac:dyDescent="0.25">
      <c r="A144" s="29" t="s">
        <v>191</v>
      </c>
      <c r="B144" s="2">
        <v>38808</v>
      </c>
      <c r="C144">
        <v>7.04261904131012</v>
      </c>
    </row>
    <row r="145" spans="1:3" x14ac:dyDescent="0.25">
      <c r="A145" s="29" t="s">
        <v>192</v>
      </c>
      <c r="B145" s="2">
        <v>38838</v>
      </c>
      <c r="C145">
        <v>8.1035554090804496</v>
      </c>
    </row>
    <row r="146" spans="1:3" x14ac:dyDescent="0.25">
      <c r="A146" s="29" t="s">
        <v>193</v>
      </c>
      <c r="B146" s="2">
        <v>38869</v>
      </c>
      <c r="C146">
        <v>7.63720146550249</v>
      </c>
    </row>
    <row r="147" spans="1:3" x14ac:dyDescent="0.25">
      <c r="A147" s="29" t="s">
        <v>194</v>
      </c>
      <c r="B147" s="2">
        <v>38899</v>
      </c>
      <c r="C147">
        <v>7.0753177143035302</v>
      </c>
    </row>
    <row r="148" spans="1:3" x14ac:dyDescent="0.25">
      <c r="A148" s="29" t="s">
        <v>195</v>
      </c>
      <c r="B148" s="2">
        <v>38930</v>
      </c>
      <c r="C148">
        <v>7.6431371281494398</v>
      </c>
    </row>
    <row r="149" spans="1:3" x14ac:dyDescent="0.25">
      <c r="A149" s="29" t="s">
        <v>196</v>
      </c>
      <c r="B149" s="2">
        <v>38961</v>
      </c>
      <c r="C149">
        <v>7.5115390017952199</v>
      </c>
    </row>
    <row r="150" spans="1:3" x14ac:dyDescent="0.25">
      <c r="A150" s="29" t="s">
        <v>197</v>
      </c>
      <c r="B150" s="2">
        <v>38991</v>
      </c>
      <c r="C150">
        <v>8.4614333950644696</v>
      </c>
    </row>
    <row r="151" spans="1:3" x14ac:dyDescent="0.25">
      <c r="A151" s="29" t="s">
        <v>198</v>
      </c>
      <c r="B151" s="2">
        <v>39022</v>
      </c>
      <c r="C151">
        <v>8.6134858824691403</v>
      </c>
    </row>
    <row r="152" spans="1:3" x14ac:dyDescent="0.25">
      <c r="A152" s="29" t="s">
        <v>199</v>
      </c>
      <c r="B152" s="2">
        <v>39052</v>
      </c>
      <c r="C152">
        <v>8.5853110599390305</v>
      </c>
    </row>
    <row r="153" spans="1:3" x14ac:dyDescent="0.25">
      <c r="A153" s="29" t="s">
        <v>200</v>
      </c>
      <c r="B153" s="2">
        <v>39083</v>
      </c>
      <c r="C153">
        <v>9.4492507377311998</v>
      </c>
    </row>
    <row r="154" spans="1:3" x14ac:dyDescent="0.25">
      <c r="A154" s="29" t="s">
        <v>201</v>
      </c>
      <c r="B154" s="2">
        <v>39114</v>
      </c>
      <c r="C154">
        <v>9.3339152431304804</v>
      </c>
    </row>
    <row r="155" spans="1:3" x14ac:dyDescent="0.25">
      <c r="A155" s="29" t="s">
        <v>202</v>
      </c>
      <c r="B155" s="2">
        <v>39142</v>
      </c>
      <c r="C155">
        <v>8.47616844454903</v>
      </c>
    </row>
    <row r="156" spans="1:3" x14ac:dyDescent="0.25">
      <c r="A156" s="29" t="s">
        <v>203</v>
      </c>
      <c r="B156" s="2">
        <v>39173</v>
      </c>
      <c r="C156">
        <v>7.3799106522142699</v>
      </c>
    </row>
    <row r="157" spans="1:3" x14ac:dyDescent="0.25">
      <c r="A157" s="29" t="s">
        <v>204</v>
      </c>
      <c r="B157" s="2">
        <v>39203</v>
      </c>
      <c r="C157">
        <v>7.5940752093527903</v>
      </c>
    </row>
    <row r="158" spans="1:3" x14ac:dyDescent="0.25">
      <c r="A158" s="29" t="s">
        <v>205</v>
      </c>
      <c r="B158" s="2">
        <v>39234</v>
      </c>
      <c r="C158">
        <v>6.9276729960042402</v>
      </c>
    </row>
    <row r="159" spans="1:3" x14ac:dyDescent="0.25">
      <c r="A159" s="29" t="s">
        <v>206</v>
      </c>
      <c r="B159" s="2">
        <v>39264</v>
      </c>
      <c r="C159">
        <v>6.8537905050396999</v>
      </c>
    </row>
    <row r="160" spans="1:3" x14ac:dyDescent="0.25">
      <c r="A160" s="29" t="s">
        <v>207</v>
      </c>
      <c r="B160" s="2">
        <v>39295</v>
      </c>
      <c r="C160">
        <v>6.3662861195026696</v>
      </c>
    </row>
    <row r="161" spans="1:3" x14ac:dyDescent="0.25">
      <c r="A161" s="29" t="s">
        <v>208</v>
      </c>
      <c r="B161" s="2">
        <v>39326</v>
      </c>
      <c r="C161">
        <v>5.6103593406431296</v>
      </c>
    </row>
    <row r="162" spans="1:3" x14ac:dyDescent="0.25">
      <c r="A162" s="29" t="s">
        <v>209</v>
      </c>
      <c r="B162" s="2">
        <v>39356</v>
      </c>
      <c r="C162">
        <v>6.2301799899139496</v>
      </c>
    </row>
    <row r="163" spans="1:3" x14ac:dyDescent="0.25">
      <c r="A163" s="29" t="s">
        <v>210</v>
      </c>
      <c r="B163" s="2">
        <v>39387</v>
      </c>
      <c r="C163">
        <v>6.1735717533787797</v>
      </c>
    </row>
    <row r="164" spans="1:3" x14ac:dyDescent="0.25">
      <c r="A164" s="29" t="s">
        <v>211</v>
      </c>
      <c r="B164" s="2">
        <v>39417</v>
      </c>
      <c r="C164">
        <v>5.6110412591871297</v>
      </c>
    </row>
    <row r="165" spans="1:3" x14ac:dyDescent="0.25">
      <c r="A165" s="29" t="s">
        <v>212</v>
      </c>
      <c r="B165" s="2">
        <v>39448</v>
      </c>
      <c r="C165">
        <v>6.2225958737746296</v>
      </c>
    </row>
    <row r="166" spans="1:3" x14ac:dyDescent="0.25">
      <c r="A166" s="29" t="s">
        <v>213</v>
      </c>
      <c r="B166" s="2">
        <v>39479</v>
      </c>
      <c r="C166">
        <v>7.3349328214212104</v>
      </c>
    </row>
    <row r="167" spans="1:3" x14ac:dyDescent="0.25">
      <c r="A167" s="29" t="s">
        <v>214</v>
      </c>
      <c r="B167" s="2">
        <v>39508</v>
      </c>
      <c r="C167">
        <v>6.9832545800094996</v>
      </c>
    </row>
    <row r="168" spans="1:3" x14ac:dyDescent="0.25">
      <c r="A168" s="29" t="s">
        <v>215</v>
      </c>
      <c r="B168" s="2">
        <v>39539</v>
      </c>
      <c r="C168">
        <v>6.2174097294109796</v>
      </c>
    </row>
    <row r="169" spans="1:3" x14ac:dyDescent="0.25">
      <c r="A169" s="29" t="s">
        <v>216</v>
      </c>
      <c r="B169" s="2">
        <v>39569</v>
      </c>
      <c r="C169">
        <v>5.2942577854105402</v>
      </c>
    </row>
    <row r="170" spans="1:3" x14ac:dyDescent="0.25">
      <c r="A170" s="29" t="s">
        <v>217</v>
      </c>
      <c r="B170" s="2">
        <v>39600</v>
      </c>
      <c r="C170">
        <v>4.7691972711727599</v>
      </c>
    </row>
    <row r="171" spans="1:3" x14ac:dyDescent="0.25">
      <c r="A171" s="29" t="s">
        <v>218</v>
      </c>
      <c r="B171" s="2">
        <v>39630</v>
      </c>
      <c r="C171">
        <v>4.8685664879771604</v>
      </c>
    </row>
    <row r="172" spans="1:3" x14ac:dyDescent="0.25">
      <c r="A172" s="29" t="s">
        <v>219</v>
      </c>
      <c r="B172" s="2">
        <v>39661</v>
      </c>
      <c r="C172">
        <v>4.2186022444592997</v>
      </c>
    </row>
    <row r="173" spans="1:3" x14ac:dyDescent="0.25">
      <c r="A173" s="29" t="s">
        <v>220</v>
      </c>
      <c r="B173" s="2">
        <v>39692</v>
      </c>
      <c r="C173">
        <v>4.6905137198286297</v>
      </c>
    </row>
    <row r="174" spans="1:3" x14ac:dyDescent="0.25">
      <c r="A174" s="29" t="s">
        <v>221</v>
      </c>
      <c r="B174" s="2">
        <v>39722</v>
      </c>
      <c r="C174">
        <v>4.7673671437388796</v>
      </c>
    </row>
    <row r="175" spans="1:3" x14ac:dyDescent="0.25">
      <c r="A175" s="29" t="s">
        <v>222</v>
      </c>
      <c r="B175" s="2">
        <v>39753</v>
      </c>
      <c r="C175">
        <v>3.9883488194802998</v>
      </c>
    </row>
    <row r="176" spans="1:3" x14ac:dyDescent="0.25">
      <c r="A176" s="29" t="s">
        <v>223</v>
      </c>
      <c r="B176" s="2">
        <v>39783</v>
      </c>
      <c r="C176">
        <v>5.2772050486805</v>
      </c>
    </row>
    <row r="177" spans="1:3" x14ac:dyDescent="0.25">
      <c r="A177" s="29" t="s">
        <v>224</v>
      </c>
      <c r="B177" s="2">
        <v>39814</v>
      </c>
      <c r="C177">
        <v>4.83768794169234</v>
      </c>
    </row>
    <row r="178" spans="1:3" x14ac:dyDescent="0.25">
      <c r="A178" s="29" t="s">
        <v>225</v>
      </c>
      <c r="B178" s="2">
        <v>39845</v>
      </c>
      <c r="C178">
        <v>4.7391579974203299</v>
      </c>
    </row>
    <row r="179" spans="1:3" x14ac:dyDescent="0.25">
      <c r="A179" s="29" t="s">
        <v>226</v>
      </c>
      <c r="B179" s="2">
        <v>39873</v>
      </c>
      <c r="C179">
        <v>2.3840517128305798</v>
      </c>
    </row>
    <row r="180" spans="1:3" x14ac:dyDescent="0.25">
      <c r="A180" s="29" t="s">
        <v>227</v>
      </c>
      <c r="B180" s="2">
        <v>39904</v>
      </c>
      <c r="C180">
        <v>0.94679099613821405</v>
      </c>
    </row>
    <row r="181" spans="1:3" x14ac:dyDescent="0.25">
      <c r="A181" s="29" t="s">
        <v>228</v>
      </c>
      <c r="B181" s="2">
        <v>39934</v>
      </c>
      <c r="C181">
        <v>0.50404828332641904</v>
      </c>
    </row>
    <row r="182" spans="1:3" x14ac:dyDescent="0.25">
      <c r="A182" s="29" t="s">
        <v>229</v>
      </c>
      <c r="B182" s="2">
        <v>39965</v>
      </c>
      <c r="C182">
        <v>0.76835237365673303</v>
      </c>
    </row>
    <row r="183" spans="1:3" x14ac:dyDescent="0.25">
      <c r="A183" s="29" t="s">
        <v>230</v>
      </c>
      <c r="B183" s="2">
        <v>39995</v>
      </c>
      <c r="C183">
        <v>2.01939692839378</v>
      </c>
    </row>
    <row r="184" spans="1:3" x14ac:dyDescent="0.25">
      <c r="A184" s="29" t="s">
        <v>231</v>
      </c>
      <c r="B184" s="2">
        <v>40026</v>
      </c>
      <c r="C184">
        <v>1.0907247336382999</v>
      </c>
    </row>
    <row r="185" spans="1:3" x14ac:dyDescent="0.25">
      <c r="A185" s="29" t="s">
        <v>232</v>
      </c>
      <c r="B185" s="2">
        <v>40057</v>
      </c>
      <c r="C185">
        <v>1.18705284000552</v>
      </c>
    </row>
    <row r="186" spans="1:3" x14ac:dyDescent="0.25">
      <c r="A186" s="29" t="s">
        <v>233</v>
      </c>
      <c r="B186" s="2">
        <v>40087</v>
      </c>
      <c r="C186">
        <v>1.2942723071386699</v>
      </c>
    </row>
    <row r="187" spans="1:3" x14ac:dyDescent="0.25">
      <c r="A187" s="29" t="s">
        <v>234</v>
      </c>
      <c r="B187" s="2">
        <v>40118</v>
      </c>
      <c r="C187">
        <v>1.2699483819013999</v>
      </c>
    </row>
    <row r="188" spans="1:3" x14ac:dyDescent="0.25">
      <c r="A188" s="29" t="s">
        <v>235</v>
      </c>
      <c r="B188" s="2">
        <v>40148</v>
      </c>
      <c r="C188">
        <v>1.4324701161248199</v>
      </c>
    </row>
    <row r="189" spans="1:3" x14ac:dyDescent="0.25">
      <c r="A189" s="29" t="s">
        <v>236</v>
      </c>
      <c r="B189" s="2">
        <v>40179</v>
      </c>
      <c r="C189">
        <v>1.57726679905191</v>
      </c>
    </row>
    <row r="190" spans="1:3" x14ac:dyDescent="0.25">
      <c r="A190" s="29" t="s">
        <v>237</v>
      </c>
      <c r="B190" s="2">
        <v>40210</v>
      </c>
      <c r="C190">
        <v>1.7593674483186299</v>
      </c>
    </row>
    <row r="191" spans="1:3" x14ac:dyDescent="0.25">
      <c r="A191" s="29" t="s">
        <v>238</v>
      </c>
      <c r="B191" s="2">
        <v>40238</v>
      </c>
      <c r="C191">
        <v>1.8987851516975101</v>
      </c>
    </row>
    <row r="192" spans="1:3" x14ac:dyDescent="0.25">
      <c r="A192" s="29" t="s">
        <v>239</v>
      </c>
      <c r="B192" s="2">
        <v>40269</v>
      </c>
      <c r="C192">
        <v>1.78203157776115</v>
      </c>
    </row>
    <row r="193" spans="1:3" x14ac:dyDescent="0.25">
      <c r="A193" s="29" t="s">
        <v>240</v>
      </c>
      <c r="B193" s="2">
        <v>40299</v>
      </c>
      <c r="C193">
        <v>2.2257112858022898</v>
      </c>
    </row>
    <row r="194" spans="1:3" x14ac:dyDescent="0.25">
      <c r="A194" s="29" t="s">
        <v>241</v>
      </c>
      <c r="B194" s="2">
        <v>40330</v>
      </c>
      <c r="C194">
        <v>2.2894098117054602</v>
      </c>
    </row>
    <row r="195" spans="1:3" x14ac:dyDescent="0.25">
      <c r="A195" s="29" t="s">
        <v>242</v>
      </c>
      <c r="B195" s="2">
        <v>40360</v>
      </c>
      <c r="C195">
        <v>1.83933060749357</v>
      </c>
    </row>
    <row r="196" spans="1:3" x14ac:dyDescent="0.25">
      <c r="A196" s="29" t="s">
        <v>243</v>
      </c>
      <c r="B196" s="2">
        <v>40391</v>
      </c>
      <c r="C196">
        <v>2.7382794416349898</v>
      </c>
    </row>
    <row r="197" spans="1:3" x14ac:dyDescent="0.25">
      <c r="A197" s="29" t="s">
        <v>244</v>
      </c>
      <c r="B197" s="2">
        <v>40422</v>
      </c>
      <c r="C197">
        <v>2.20346162155866</v>
      </c>
    </row>
    <row r="198" spans="1:3" x14ac:dyDescent="0.25">
      <c r="A198" s="29" t="s">
        <v>245</v>
      </c>
      <c r="B198" s="2">
        <v>40452</v>
      </c>
      <c r="C198">
        <v>4.26633888657474</v>
      </c>
    </row>
    <row r="199" spans="1:3" x14ac:dyDescent="0.25">
      <c r="A199" s="29" t="s">
        <v>246</v>
      </c>
      <c r="B199" s="2">
        <v>40483</v>
      </c>
      <c r="C199">
        <v>5.2334842741107703</v>
      </c>
    </row>
    <row r="200" spans="1:3" x14ac:dyDescent="0.25">
      <c r="A200" s="29" t="s">
        <v>247</v>
      </c>
      <c r="B200" s="2">
        <v>40513</v>
      </c>
      <c r="C200">
        <v>4.6759798842771003</v>
      </c>
    </row>
    <row r="201" spans="1:3" x14ac:dyDescent="0.25">
      <c r="A201" s="29" t="s">
        <v>248</v>
      </c>
      <c r="B201" s="2">
        <v>40544</v>
      </c>
      <c r="C201">
        <v>2.3561354687169702</v>
      </c>
    </row>
    <row r="202" spans="1:3" x14ac:dyDescent="0.25">
      <c r="A202" s="29" t="s">
        <v>249</v>
      </c>
      <c r="B202" s="2">
        <v>40575</v>
      </c>
      <c r="C202">
        <v>1.62594594049644</v>
      </c>
    </row>
    <row r="203" spans="1:3" x14ac:dyDescent="0.25">
      <c r="A203" s="29" t="s">
        <v>250</v>
      </c>
      <c r="B203" s="2">
        <v>40603</v>
      </c>
      <c r="C203">
        <v>1.7471983413840899</v>
      </c>
    </row>
    <row r="204" spans="1:3" x14ac:dyDescent="0.25">
      <c r="A204" s="29" t="s">
        <v>251</v>
      </c>
      <c r="B204" s="2">
        <v>40634</v>
      </c>
      <c r="C204">
        <v>1.408298905181</v>
      </c>
    </row>
    <row r="205" spans="1:3" x14ac:dyDescent="0.25">
      <c r="A205" s="29" t="s">
        <v>252</v>
      </c>
      <c r="B205" s="2">
        <v>40664</v>
      </c>
      <c r="C205">
        <v>1.6992623668055</v>
      </c>
    </row>
    <row r="206" spans="1:3" x14ac:dyDescent="0.25">
      <c r="A206" s="29" t="s">
        <v>253</v>
      </c>
      <c r="B206" s="2">
        <v>40695</v>
      </c>
      <c r="C206">
        <v>1.68877919436768</v>
      </c>
    </row>
    <row r="207" spans="1:3" x14ac:dyDescent="0.25">
      <c r="A207" s="29" t="s">
        <v>254</v>
      </c>
      <c r="B207" s="2">
        <v>40725</v>
      </c>
      <c r="C207">
        <v>1.45670315494807</v>
      </c>
    </row>
    <row r="208" spans="1:3" x14ac:dyDescent="0.25">
      <c r="A208" s="29" t="s">
        <v>255</v>
      </c>
      <c r="B208" s="2">
        <v>40756</v>
      </c>
      <c r="C208">
        <v>1.9060004887311399</v>
      </c>
    </row>
    <row r="209" spans="1:3" x14ac:dyDescent="0.25">
      <c r="A209" s="29" t="s">
        <v>256</v>
      </c>
      <c r="B209" s="2">
        <v>40787</v>
      </c>
      <c r="C209">
        <v>2.3796173904968598</v>
      </c>
    </row>
    <row r="210" spans="1:3" x14ac:dyDescent="0.25">
      <c r="A210" s="29" t="s">
        <v>257</v>
      </c>
      <c r="B210" s="2">
        <v>40817</v>
      </c>
      <c r="C210">
        <v>2.9824689185822502</v>
      </c>
    </row>
    <row r="211" spans="1:3" x14ac:dyDescent="0.25">
      <c r="A211" s="29" t="s">
        <v>258</v>
      </c>
      <c r="B211" s="2">
        <v>40848</v>
      </c>
      <c r="C211">
        <v>1.63325469099008</v>
      </c>
    </row>
    <row r="212" spans="1:3" x14ac:dyDescent="0.25">
      <c r="A212" s="29" t="s">
        <v>259</v>
      </c>
      <c r="B212" s="2">
        <v>40878</v>
      </c>
      <c r="C212">
        <v>0.70350446996528804</v>
      </c>
    </row>
    <row r="213" spans="1:3" x14ac:dyDescent="0.25">
      <c r="A213" s="29" t="s">
        <v>260</v>
      </c>
      <c r="B213" s="2">
        <v>40909</v>
      </c>
      <c r="C213">
        <v>2.1962312187938502</v>
      </c>
    </row>
    <row r="214" spans="1:3" x14ac:dyDescent="0.25">
      <c r="A214" s="29" t="s">
        <v>261</v>
      </c>
      <c r="B214" s="2">
        <v>40940</v>
      </c>
      <c r="C214">
        <v>1.6831576246084401</v>
      </c>
    </row>
    <row r="215" spans="1:3" x14ac:dyDescent="0.25">
      <c r="A215" s="29" t="s">
        <v>262</v>
      </c>
      <c r="B215" s="2">
        <v>40969</v>
      </c>
      <c r="C215">
        <v>2.0209703381829902</v>
      </c>
    </row>
    <row r="216" spans="1:3" x14ac:dyDescent="0.25">
      <c r="A216" s="29" t="s">
        <v>263</v>
      </c>
      <c r="B216" s="2">
        <v>41000</v>
      </c>
      <c r="C216">
        <v>1.0291318611709199</v>
      </c>
    </row>
    <row r="217" spans="1:3" x14ac:dyDescent="0.25">
      <c r="A217" s="29" t="s">
        <v>264</v>
      </c>
      <c r="B217" s="2">
        <v>41030</v>
      </c>
      <c r="C217">
        <v>1.0584569766119101</v>
      </c>
    </row>
    <row r="218" spans="1:3" x14ac:dyDescent="0.25">
      <c r="A218" s="29" t="s">
        <v>265</v>
      </c>
      <c r="B218" s="2">
        <v>41061</v>
      </c>
      <c r="C218">
        <v>1.15156448775053</v>
      </c>
    </row>
    <row r="219" spans="1:3" x14ac:dyDescent="0.25">
      <c r="A219" s="29" t="s">
        <v>266</v>
      </c>
      <c r="B219" s="2">
        <v>41091</v>
      </c>
      <c r="C219">
        <v>1.0851405487136301</v>
      </c>
    </row>
    <row r="220" spans="1:3" x14ac:dyDescent="0.25">
      <c r="A220" s="29" t="s">
        <v>267</v>
      </c>
      <c r="B220" s="2">
        <v>41122</v>
      </c>
      <c r="C220">
        <v>1.07217582858951</v>
      </c>
    </row>
    <row r="221" spans="1:3" x14ac:dyDescent="0.25">
      <c r="A221" s="29" t="s">
        <v>268</v>
      </c>
      <c r="B221" s="2">
        <v>41153</v>
      </c>
      <c r="C221">
        <v>0.77429073063485199</v>
      </c>
    </row>
    <row r="222" spans="1:3" x14ac:dyDescent="0.25">
      <c r="A222" s="29" t="s">
        <v>269</v>
      </c>
      <c r="B222" s="2">
        <v>41183</v>
      </c>
      <c r="C222">
        <v>0.74298675377617596</v>
      </c>
    </row>
    <row r="223" spans="1:3" x14ac:dyDescent="0.25">
      <c r="A223" s="29" t="s">
        <v>270</v>
      </c>
      <c r="B223" s="2">
        <v>41214</v>
      </c>
      <c r="C223">
        <v>0.80403091840252106</v>
      </c>
    </row>
    <row r="224" spans="1:3" x14ac:dyDescent="0.25">
      <c r="A224" s="29" t="s">
        <v>271</v>
      </c>
      <c r="B224" s="2">
        <v>41244</v>
      </c>
      <c r="C224">
        <v>0.92974469725194397</v>
      </c>
    </row>
    <row r="225" spans="1:3" x14ac:dyDescent="0.25">
      <c r="A225" s="29" t="s">
        <v>272</v>
      </c>
      <c r="B225" s="2">
        <v>41275</v>
      </c>
      <c r="C225">
        <v>0.86502774895199597</v>
      </c>
    </row>
    <row r="226" spans="1:3" x14ac:dyDescent="0.25">
      <c r="A226" s="29" t="s">
        <v>273</v>
      </c>
      <c r="B226" s="2">
        <v>41306</v>
      </c>
      <c r="C226">
        <v>0.65743655019810898</v>
      </c>
    </row>
    <row r="227" spans="1:3" x14ac:dyDescent="0.25">
      <c r="A227" s="29" t="s">
        <v>274</v>
      </c>
      <c r="B227" s="2">
        <v>41334</v>
      </c>
      <c r="C227">
        <v>0.86891463957547999</v>
      </c>
    </row>
    <row r="228" spans="1:3" x14ac:dyDescent="0.25">
      <c r="A228" s="29" t="s">
        <v>275</v>
      </c>
      <c r="B228" s="2">
        <v>41365</v>
      </c>
      <c r="C228">
        <v>1.0465896210807699</v>
      </c>
    </row>
    <row r="229" spans="1:3" x14ac:dyDescent="0.25">
      <c r="A229" s="29" t="s">
        <v>276</v>
      </c>
      <c r="B229" s="2">
        <v>41395</v>
      </c>
      <c r="C229">
        <v>1.2566822729459199</v>
      </c>
    </row>
    <row r="230" spans="1:3" x14ac:dyDescent="0.25">
      <c r="A230" s="29" t="s">
        <v>277</v>
      </c>
      <c r="B230" s="2">
        <v>41426</v>
      </c>
      <c r="C230">
        <v>1.20548189404175</v>
      </c>
    </row>
    <row r="231" spans="1:3" x14ac:dyDescent="0.25">
      <c r="A231" s="29" t="s">
        <v>278</v>
      </c>
      <c r="B231" s="2">
        <v>41456</v>
      </c>
      <c r="C231">
        <v>2.8468244182237301</v>
      </c>
    </row>
    <row r="232" spans="1:3" x14ac:dyDescent="0.25">
      <c r="A232" s="29" t="s">
        <v>279</v>
      </c>
      <c r="B232" s="2">
        <v>41487</v>
      </c>
      <c r="C232">
        <v>2.8624812420980099</v>
      </c>
    </row>
    <row r="233" spans="1:3" x14ac:dyDescent="0.25">
      <c r="A233" s="29" t="s">
        <v>280</v>
      </c>
      <c r="B233" s="2">
        <v>41518</v>
      </c>
      <c r="C233">
        <v>2.7892134713149201</v>
      </c>
    </row>
    <row r="234" spans="1:3" x14ac:dyDescent="0.25">
      <c r="A234" s="29" t="s">
        <v>281</v>
      </c>
      <c r="B234" s="2">
        <v>41548</v>
      </c>
      <c r="C234">
        <v>2.7203958394519301</v>
      </c>
    </row>
    <row r="235" spans="1:3" x14ac:dyDescent="0.25">
      <c r="A235" s="29" t="s">
        <v>282</v>
      </c>
      <c r="B235" s="2">
        <v>41579</v>
      </c>
      <c r="C235">
        <v>2.0958285967146701</v>
      </c>
    </row>
    <row r="236" spans="1:3" x14ac:dyDescent="0.25">
      <c r="A236" s="29" t="s">
        <v>283</v>
      </c>
      <c r="B236" s="2">
        <v>41609</v>
      </c>
      <c r="C236">
        <v>2.3311483749060402</v>
      </c>
    </row>
    <row r="237" spans="1:3" x14ac:dyDescent="0.25">
      <c r="A237" s="29" t="s">
        <v>284</v>
      </c>
      <c r="B237" s="2">
        <v>41640</v>
      </c>
      <c r="C237">
        <v>2.4240111426530202</v>
      </c>
    </row>
    <row r="238" spans="1:3" x14ac:dyDescent="0.25">
      <c r="A238" s="29" t="s">
        <v>285</v>
      </c>
      <c r="B238" s="2">
        <v>41671</v>
      </c>
      <c r="C238">
        <v>2.2869968759033101</v>
      </c>
    </row>
    <row r="239" spans="1:3" x14ac:dyDescent="0.25">
      <c r="A239" s="29" t="s">
        <v>286</v>
      </c>
      <c r="B239" s="2">
        <v>41699</v>
      </c>
      <c r="C239">
        <v>2.37747896444067</v>
      </c>
    </row>
    <row r="240" spans="1:3" x14ac:dyDescent="0.25">
      <c r="A240" s="29" t="s">
        <v>287</v>
      </c>
      <c r="B240" s="2">
        <v>41730</v>
      </c>
      <c r="C240">
        <v>2.48414262002145</v>
      </c>
    </row>
    <row r="241" spans="1:3" x14ac:dyDescent="0.25">
      <c r="A241" s="29" t="s">
        <v>288</v>
      </c>
      <c r="B241" s="2">
        <v>41760</v>
      </c>
      <c r="C241">
        <v>3.0445957340793899</v>
      </c>
    </row>
    <row r="242" spans="1:3" x14ac:dyDescent="0.25">
      <c r="A242" s="29" t="s">
        <v>289</v>
      </c>
      <c r="B242" s="2">
        <v>41791</v>
      </c>
      <c r="C242">
        <v>3.2081490456255999</v>
      </c>
    </row>
    <row r="243" spans="1:3" x14ac:dyDescent="0.25">
      <c r="A243" s="29" t="s">
        <v>290</v>
      </c>
      <c r="B243" s="2">
        <v>41821</v>
      </c>
      <c r="C243">
        <v>3.3435065398164299</v>
      </c>
    </row>
    <row r="244" spans="1:3" x14ac:dyDescent="0.25">
      <c r="A244" s="29" t="s">
        <v>291</v>
      </c>
      <c r="B244" s="2">
        <v>41852</v>
      </c>
      <c r="C244">
        <v>2.8517218298012099</v>
      </c>
    </row>
    <row r="245" spans="1:3" x14ac:dyDescent="0.25">
      <c r="A245" s="29" t="s">
        <v>292</v>
      </c>
      <c r="B245" s="2">
        <v>41883</v>
      </c>
      <c r="C245">
        <v>3.0785598223727302</v>
      </c>
    </row>
    <row r="246" spans="1:3" x14ac:dyDescent="0.25">
      <c r="A246" s="29" t="s">
        <v>293</v>
      </c>
      <c r="B246" s="2">
        <v>41913</v>
      </c>
      <c r="C246">
        <v>3.2216543749044502</v>
      </c>
    </row>
    <row r="247" spans="1:3" x14ac:dyDescent="0.25">
      <c r="A247" s="29" t="s">
        <v>294</v>
      </c>
      <c r="B247" s="2">
        <v>41944</v>
      </c>
      <c r="C247">
        <v>2.6289500327612001</v>
      </c>
    </row>
    <row r="248" spans="1:3" x14ac:dyDescent="0.25">
      <c r="A248" s="29" t="s">
        <v>295</v>
      </c>
      <c r="B248" s="2">
        <v>41974</v>
      </c>
      <c r="C248">
        <v>2.93765062720199</v>
      </c>
    </row>
    <row r="249" spans="1:3" x14ac:dyDescent="0.25">
      <c r="A249" s="29" t="s">
        <v>296</v>
      </c>
      <c r="B249" s="2">
        <v>42005</v>
      </c>
      <c r="C249">
        <v>1.6266390937292901</v>
      </c>
    </row>
    <row r="250" spans="1:3" x14ac:dyDescent="0.25">
      <c r="A250" s="29" t="s">
        <v>297</v>
      </c>
      <c r="B250" s="2">
        <v>42036</v>
      </c>
      <c r="C250">
        <v>1.2715578258756099</v>
      </c>
    </row>
    <row r="251" spans="1:3" x14ac:dyDescent="0.25">
      <c r="A251" s="29" t="s">
        <v>298</v>
      </c>
      <c r="B251" s="2">
        <v>42064</v>
      </c>
      <c r="C251">
        <v>1.47412525159537</v>
      </c>
    </row>
    <row r="252" spans="1:3" x14ac:dyDescent="0.25">
      <c r="A252" s="29" t="s">
        <v>299</v>
      </c>
      <c r="B252" s="2">
        <v>42095</v>
      </c>
      <c r="C252">
        <v>1.55969367264626</v>
      </c>
    </row>
    <row r="253" spans="1:3" x14ac:dyDescent="0.25">
      <c r="A253" s="29" t="s">
        <v>300</v>
      </c>
      <c r="B253" s="2">
        <v>42125</v>
      </c>
      <c r="C253">
        <v>1.4312396612805101</v>
      </c>
    </row>
    <row r="254" spans="1:3" x14ac:dyDescent="0.25">
      <c r="A254" s="29" t="s">
        <v>301</v>
      </c>
      <c r="B254" s="2">
        <v>42156</v>
      </c>
      <c r="C254">
        <v>2.9402839983889999</v>
      </c>
    </row>
    <row r="255" spans="1:3" x14ac:dyDescent="0.25">
      <c r="A255" s="29" t="s">
        <v>302</v>
      </c>
      <c r="B255" s="2">
        <v>42186</v>
      </c>
      <c r="C255">
        <v>4.9895114943391503</v>
      </c>
    </row>
    <row r="256" spans="1:3" x14ac:dyDescent="0.25">
      <c r="A256" s="29" t="s">
        <v>303</v>
      </c>
      <c r="B256" s="2">
        <v>42217</v>
      </c>
      <c r="C256">
        <v>4.1165062259698804</v>
      </c>
    </row>
    <row r="257" spans="1:3" x14ac:dyDescent="0.25">
      <c r="A257" s="29" t="s">
        <v>304</v>
      </c>
      <c r="B257" s="2">
        <v>42248</v>
      </c>
      <c r="C257">
        <v>4.0116562021805997</v>
      </c>
    </row>
    <row r="258" spans="1:3" x14ac:dyDescent="0.25">
      <c r="A258" s="29" t="s">
        <v>305</v>
      </c>
      <c r="B258" s="2">
        <v>42278</v>
      </c>
      <c r="C258">
        <v>3.8084594022049401</v>
      </c>
    </row>
    <row r="259" spans="1:3" x14ac:dyDescent="0.25">
      <c r="A259" s="29" t="s">
        <v>306</v>
      </c>
      <c r="B259" s="2">
        <v>42309</v>
      </c>
      <c r="C259">
        <v>1.94137989563349</v>
      </c>
    </row>
    <row r="260" spans="1:3" x14ac:dyDescent="0.25">
      <c r="A260" s="29" t="s">
        <v>307</v>
      </c>
      <c r="B260" s="2">
        <v>42339</v>
      </c>
      <c r="C260">
        <v>3.9071188889499702</v>
      </c>
    </row>
    <row r="261" spans="1:3" x14ac:dyDescent="0.25">
      <c r="A261" s="29" t="s">
        <v>308</v>
      </c>
      <c r="B261" s="2">
        <v>42370</v>
      </c>
      <c r="C261">
        <v>3.9450504427185198</v>
      </c>
    </row>
    <row r="262" spans="1:3" x14ac:dyDescent="0.25">
      <c r="A262" s="29" t="s">
        <v>309</v>
      </c>
      <c r="B262" s="2">
        <v>42401</v>
      </c>
      <c r="C262">
        <v>2.9259615788112598</v>
      </c>
    </row>
    <row r="263" spans="1:3" x14ac:dyDescent="0.25">
      <c r="A263" s="29" t="s">
        <v>310</v>
      </c>
      <c r="B263" s="2">
        <v>42430</v>
      </c>
      <c r="C263">
        <v>2.1667662796415099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1"/>
  <sheetViews>
    <sheetView workbookViewId="0">
      <selection activeCell="E66" sqref="E66"/>
    </sheetView>
  </sheetViews>
  <sheetFormatPr defaultRowHeight="15" x14ac:dyDescent="0.25"/>
  <cols>
    <col min="1" max="1" width="10.7109375" bestFit="1" customWidth="1"/>
    <col min="2" max="2" width="9.140625" style="31"/>
    <col min="3" max="3" width="11" bestFit="1" customWidth="1"/>
  </cols>
  <sheetData>
    <row r="1" spans="1:21" x14ac:dyDescent="0.25">
      <c r="B1" s="31" t="s">
        <v>314</v>
      </c>
      <c r="E1" s="29"/>
      <c r="G1" t="s">
        <v>315</v>
      </c>
      <c r="H1" t="s">
        <v>317</v>
      </c>
    </row>
    <row r="2" spans="1:21" x14ac:dyDescent="0.25">
      <c r="A2" s="2">
        <v>36161</v>
      </c>
      <c r="B2" s="31">
        <v>6.7662499999999897</v>
      </c>
      <c r="C2" s="2"/>
      <c r="F2" s="2">
        <v>34366</v>
      </c>
      <c r="G2">
        <v>105.02</v>
      </c>
      <c r="H2" s="26">
        <f>IF(G2&lt;110,0,IF(G2&lt;=125,(G2-110)/($K$2-$K$3),1))</f>
        <v>0</v>
      </c>
      <c r="J2" t="s">
        <v>318</v>
      </c>
      <c r="K2">
        <v>125</v>
      </c>
    </row>
    <row r="3" spans="1:21" x14ac:dyDescent="0.25">
      <c r="A3" s="2">
        <v>36192</v>
      </c>
      <c r="B3" s="31">
        <v>6.8075000000000001</v>
      </c>
      <c r="C3" s="2"/>
      <c r="F3" s="2">
        <v>34394</v>
      </c>
      <c r="G3">
        <v>104.97</v>
      </c>
      <c r="H3" s="26">
        <f t="shared" ref="H3:H66" si="0">IF(G3&lt;110,0,IF(G3&lt;=125,(G3-110)/($K$2-$K$3),1))</f>
        <v>0</v>
      </c>
      <c r="J3" t="s">
        <v>319</v>
      </c>
      <c r="K3">
        <v>110</v>
      </c>
    </row>
    <row r="4" spans="1:21" x14ac:dyDescent="0.25">
      <c r="A4" s="2">
        <v>36220</v>
      </c>
      <c r="B4" s="31">
        <v>7.0149999999999997</v>
      </c>
      <c r="C4" s="2"/>
      <c r="F4" s="2">
        <v>34486</v>
      </c>
      <c r="G4">
        <v>105.64</v>
      </c>
      <c r="H4" s="26">
        <f t="shared" si="0"/>
        <v>0</v>
      </c>
    </row>
    <row r="5" spans="1:21" x14ac:dyDescent="0.25">
      <c r="A5" s="2">
        <v>36251</v>
      </c>
      <c r="B5" s="31">
        <v>6.9109999999999996</v>
      </c>
      <c r="C5" s="2"/>
      <c r="F5" s="2">
        <v>34516</v>
      </c>
      <c r="G5">
        <v>105.39</v>
      </c>
      <c r="H5" s="26">
        <f t="shared" si="0"/>
        <v>0</v>
      </c>
      <c r="U5" s="32" t="s">
        <v>316</v>
      </c>
    </row>
    <row r="6" spans="1:21" x14ac:dyDescent="0.25">
      <c r="A6" s="2">
        <v>36281</v>
      </c>
      <c r="B6" s="31">
        <v>7.1449999999999996</v>
      </c>
      <c r="C6" s="2"/>
      <c r="F6" s="2">
        <v>34547</v>
      </c>
      <c r="G6">
        <v>105.14</v>
      </c>
      <c r="H6" s="26">
        <f t="shared" si="0"/>
        <v>0</v>
      </c>
    </row>
    <row r="7" spans="1:21" x14ac:dyDescent="0.25">
      <c r="A7" s="2">
        <v>36312</v>
      </c>
      <c r="B7" s="31">
        <v>7.55</v>
      </c>
      <c r="C7" s="2"/>
      <c r="F7" s="2">
        <v>34578</v>
      </c>
      <c r="G7">
        <v>104.89</v>
      </c>
      <c r="H7" s="26">
        <f t="shared" si="0"/>
        <v>0</v>
      </c>
    </row>
    <row r="8" spans="1:21" x14ac:dyDescent="0.25">
      <c r="A8" s="2">
        <v>36342</v>
      </c>
      <c r="B8" s="31">
        <v>7.6319999999999997</v>
      </c>
      <c r="C8" s="2"/>
      <c r="F8" s="2">
        <v>34608</v>
      </c>
      <c r="G8">
        <v>104.68</v>
      </c>
      <c r="H8" s="26">
        <f t="shared" si="0"/>
        <v>0</v>
      </c>
    </row>
    <row r="9" spans="1:21" x14ac:dyDescent="0.25">
      <c r="A9" s="2">
        <v>36373</v>
      </c>
      <c r="B9" s="31">
        <v>7.9424999999999999</v>
      </c>
      <c r="C9" s="2"/>
      <c r="F9" s="2">
        <v>34639</v>
      </c>
      <c r="G9">
        <v>104.47</v>
      </c>
      <c r="H9" s="26">
        <f t="shared" si="0"/>
        <v>0</v>
      </c>
    </row>
    <row r="10" spans="1:21" x14ac:dyDescent="0.25">
      <c r="A10" s="2">
        <v>36404</v>
      </c>
      <c r="B10" s="31">
        <v>7.8162500000000001</v>
      </c>
      <c r="C10" s="2"/>
      <c r="F10" s="2">
        <v>34669</v>
      </c>
      <c r="G10">
        <v>104.26</v>
      </c>
      <c r="H10" s="26">
        <f t="shared" si="0"/>
        <v>0</v>
      </c>
    </row>
    <row r="11" spans="1:21" x14ac:dyDescent="0.25">
      <c r="A11" s="2">
        <v>36434</v>
      </c>
      <c r="B11" s="31">
        <v>7.8520000000000003</v>
      </c>
      <c r="C11" s="2"/>
      <c r="F11" s="2">
        <v>34700</v>
      </c>
      <c r="G11">
        <v>104.43</v>
      </c>
      <c r="H11" s="26">
        <f t="shared" si="0"/>
        <v>0</v>
      </c>
    </row>
    <row r="12" spans="1:21" x14ac:dyDescent="0.25">
      <c r="A12" s="2">
        <v>36465</v>
      </c>
      <c r="B12" s="31">
        <v>7.7374999999999998</v>
      </c>
      <c r="C12" s="2"/>
      <c r="F12" s="2">
        <v>34731</v>
      </c>
      <c r="G12">
        <v>104.61</v>
      </c>
      <c r="H12" s="26">
        <f t="shared" si="0"/>
        <v>0</v>
      </c>
    </row>
    <row r="13" spans="1:21" x14ac:dyDescent="0.25">
      <c r="A13" s="2">
        <v>36495</v>
      </c>
      <c r="B13" s="31">
        <v>7.9119999999999999</v>
      </c>
      <c r="C13" s="2"/>
      <c r="F13" s="2">
        <v>34759</v>
      </c>
      <c r="G13">
        <v>104.78</v>
      </c>
      <c r="H13" s="26">
        <f t="shared" si="0"/>
        <v>0</v>
      </c>
    </row>
    <row r="14" spans="1:21" x14ac:dyDescent="0.25">
      <c r="A14" s="2">
        <v>36526</v>
      </c>
      <c r="B14" s="31">
        <v>8.2099999999999902</v>
      </c>
      <c r="C14" s="2"/>
      <c r="F14" s="2">
        <v>34790</v>
      </c>
      <c r="G14">
        <v>105.02</v>
      </c>
      <c r="H14" s="26">
        <f t="shared" si="0"/>
        <v>0</v>
      </c>
    </row>
    <row r="15" spans="1:21" x14ac:dyDescent="0.25">
      <c r="A15" s="2">
        <v>36557</v>
      </c>
      <c r="B15" s="31">
        <v>8.3187499999999996</v>
      </c>
      <c r="C15" s="2"/>
      <c r="F15" s="2">
        <v>34820</v>
      </c>
      <c r="G15">
        <v>105.25</v>
      </c>
      <c r="H15" s="26">
        <f t="shared" si="0"/>
        <v>0</v>
      </c>
    </row>
    <row r="16" spans="1:21" x14ac:dyDescent="0.25">
      <c r="A16" s="2">
        <v>36586</v>
      </c>
      <c r="B16" s="31">
        <v>8.2349999999999994</v>
      </c>
      <c r="C16" s="2"/>
      <c r="F16" s="2">
        <v>34851</v>
      </c>
      <c r="G16">
        <v>105.49</v>
      </c>
      <c r="H16" s="26">
        <f t="shared" si="0"/>
        <v>0</v>
      </c>
    </row>
    <row r="17" spans="1:8" x14ac:dyDescent="0.25">
      <c r="A17" s="2">
        <v>36617</v>
      </c>
      <c r="B17" s="31">
        <v>8.1462499999999896</v>
      </c>
      <c r="C17" s="2"/>
      <c r="F17" s="2">
        <v>34881</v>
      </c>
      <c r="G17">
        <v>105.74</v>
      </c>
      <c r="H17" s="26">
        <f t="shared" si="0"/>
        <v>0</v>
      </c>
    </row>
    <row r="18" spans="1:8" x14ac:dyDescent="0.25">
      <c r="A18" s="2">
        <v>36647</v>
      </c>
      <c r="B18" s="31">
        <v>8.5149999999999899</v>
      </c>
      <c r="C18" s="2"/>
      <c r="F18" s="2">
        <v>34912</v>
      </c>
      <c r="G18">
        <v>105.99</v>
      </c>
      <c r="H18" s="26">
        <f t="shared" si="0"/>
        <v>0</v>
      </c>
    </row>
    <row r="19" spans="1:8" x14ac:dyDescent="0.25">
      <c r="A19" s="2">
        <v>36678</v>
      </c>
      <c r="B19" s="31">
        <v>8.2729999999999997</v>
      </c>
      <c r="C19" s="2"/>
      <c r="F19" s="2">
        <v>34943</v>
      </c>
      <c r="G19">
        <v>106.24</v>
      </c>
      <c r="H19" s="26">
        <f t="shared" si="0"/>
        <v>0</v>
      </c>
    </row>
    <row r="20" spans="1:8" x14ac:dyDescent="0.25">
      <c r="A20" s="2">
        <v>36708</v>
      </c>
      <c r="B20" s="31">
        <v>8.1287500000000001</v>
      </c>
      <c r="C20" s="2"/>
      <c r="F20" s="2">
        <v>34973</v>
      </c>
      <c r="G20">
        <v>106.23</v>
      </c>
      <c r="H20" s="26">
        <f t="shared" si="0"/>
        <v>0</v>
      </c>
    </row>
    <row r="21" spans="1:8" x14ac:dyDescent="0.25">
      <c r="A21" s="2">
        <v>36739</v>
      </c>
      <c r="B21" s="31">
        <v>8.0212499999999896</v>
      </c>
      <c r="C21" s="2"/>
      <c r="F21" s="2">
        <v>35004</v>
      </c>
      <c r="G21">
        <v>106.22</v>
      </c>
      <c r="H21" s="26">
        <f t="shared" si="0"/>
        <v>0</v>
      </c>
    </row>
    <row r="22" spans="1:8" x14ac:dyDescent="0.25">
      <c r="A22" s="2">
        <v>36770</v>
      </c>
      <c r="B22" s="31">
        <v>7.9119999999999999</v>
      </c>
      <c r="C22" s="2"/>
      <c r="F22" s="2">
        <v>35034</v>
      </c>
      <c r="G22">
        <v>106.21</v>
      </c>
      <c r="H22" s="26">
        <f t="shared" si="0"/>
        <v>0</v>
      </c>
    </row>
    <row r="23" spans="1:8" x14ac:dyDescent="0.25">
      <c r="A23" s="2">
        <v>36800</v>
      </c>
      <c r="B23" s="31">
        <v>7.7887500000000003</v>
      </c>
      <c r="C23" s="2"/>
      <c r="F23" s="2">
        <v>35065</v>
      </c>
      <c r="G23">
        <v>106.38</v>
      </c>
      <c r="H23" s="26">
        <f t="shared" si="0"/>
        <v>0</v>
      </c>
    </row>
    <row r="24" spans="1:8" x14ac:dyDescent="0.25">
      <c r="A24" s="2">
        <v>36831</v>
      </c>
      <c r="B24" s="31">
        <v>7.72</v>
      </c>
      <c r="C24" s="2"/>
      <c r="F24" s="2">
        <v>35096</v>
      </c>
      <c r="G24">
        <v>106.56</v>
      </c>
      <c r="H24" s="26">
        <f t="shared" si="0"/>
        <v>0</v>
      </c>
    </row>
    <row r="25" spans="1:8" x14ac:dyDescent="0.25">
      <c r="A25" s="2">
        <v>36861</v>
      </c>
      <c r="B25" s="31">
        <v>7.3719999999999999</v>
      </c>
      <c r="C25" s="2"/>
      <c r="F25" s="2">
        <v>35125</v>
      </c>
      <c r="G25">
        <v>106.73</v>
      </c>
      <c r="H25" s="26">
        <f t="shared" si="0"/>
        <v>0</v>
      </c>
    </row>
    <row r="26" spans="1:8" x14ac:dyDescent="0.25">
      <c r="A26" s="2">
        <v>36892</v>
      </c>
      <c r="B26" s="31">
        <v>7.0074999999999896</v>
      </c>
      <c r="C26" s="2"/>
      <c r="F26" s="2">
        <v>35156</v>
      </c>
      <c r="G26">
        <v>106.57</v>
      </c>
      <c r="H26" s="26">
        <f t="shared" si="0"/>
        <v>0</v>
      </c>
    </row>
    <row r="27" spans="1:8" x14ac:dyDescent="0.25">
      <c r="A27" s="2">
        <v>36923</v>
      </c>
      <c r="B27" s="31">
        <v>7.0374999999999996</v>
      </c>
      <c r="C27" s="2"/>
      <c r="F27" s="2">
        <v>35186</v>
      </c>
      <c r="G27">
        <v>106.41</v>
      </c>
      <c r="H27" s="26">
        <f t="shared" si="0"/>
        <v>0</v>
      </c>
    </row>
    <row r="28" spans="1:8" x14ac:dyDescent="0.25">
      <c r="A28" s="2">
        <v>36951</v>
      </c>
      <c r="B28" s="31">
        <v>6.9320000000000004</v>
      </c>
      <c r="C28" s="2"/>
      <c r="F28" s="2">
        <v>35217</v>
      </c>
      <c r="G28">
        <v>106.26</v>
      </c>
      <c r="H28" s="26">
        <f t="shared" si="0"/>
        <v>0</v>
      </c>
    </row>
    <row r="29" spans="1:8" x14ac:dyDescent="0.25">
      <c r="A29" s="2">
        <v>36982</v>
      </c>
      <c r="B29" s="31">
        <v>7.0525000000000002</v>
      </c>
      <c r="C29" s="2"/>
      <c r="F29" s="2">
        <v>35247</v>
      </c>
      <c r="G29">
        <v>106.27</v>
      </c>
      <c r="H29" s="26">
        <f t="shared" si="0"/>
        <v>0</v>
      </c>
    </row>
    <row r="30" spans="1:8" x14ac:dyDescent="0.25">
      <c r="A30" s="2">
        <v>37012</v>
      </c>
      <c r="B30" s="31">
        <v>7.1324999999999896</v>
      </c>
      <c r="C30" s="2"/>
      <c r="F30" s="2">
        <v>35278</v>
      </c>
      <c r="G30">
        <v>106.28</v>
      </c>
      <c r="H30" s="26">
        <f t="shared" si="0"/>
        <v>0</v>
      </c>
    </row>
    <row r="31" spans="1:8" x14ac:dyDescent="0.25">
      <c r="A31" s="2">
        <v>37043</v>
      </c>
      <c r="B31" s="31">
        <v>7.15</v>
      </c>
      <c r="C31" s="2"/>
      <c r="F31" s="2">
        <v>35309</v>
      </c>
      <c r="G31">
        <v>106.3</v>
      </c>
      <c r="H31" s="26">
        <f t="shared" si="0"/>
        <v>0</v>
      </c>
    </row>
    <row r="32" spans="1:8" x14ac:dyDescent="0.25">
      <c r="A32" s="2">
        <v>37073</v>
      </c>
      <c r="B32" s="31">
        <v>7.1024999999999903</v>
      </c>
      <c r="C32" s="2"/>
      <c r="F32" s="2">
        <v>35339</v>
      </c>
      <c r="G32">
        <v>106.6</v>
      </c>
      <c r="H32" s="26">
        <f t="shared" si="0"/>
        <v>0</v>
      </c>
    </row>
    <row r="33" spans="1:8" x14ac:dyDescent="0.25">
      <c r="A33" s="2">
        <v>37104</v>
      </c>
      <c r="B33" s="31">
        <v>6.9249999999999998</v>
      </c>
      <c r="C33" s="2"/>
      <c r="F33" s="2">
        <v>35370</v>
      </c>
      <c r="G33">
        <v>106.91</v>
      </c>
      <c r="H33" s="26">
        <f t="shared" si="0"/>
        <v>0</v>
      </c>
    </row>
    <row r="34" spans="1:8" x14ac:dyDescent="0.25">
      <c r="A34" s="2">
        <v>37135</v>
      </c>
      <c r="B34" s="31">
        <v>6.7925000000000004</v>
      </c>
      <c r="C34" s="2"/>
      <c r="F34" s="2">
        <v>35462</v>
      </c>
      <c r="G34">
        <v>107.43</v>
      </c>
      <c r="H34" s="26">
        <f t="shared" si="0"/>
        <v>0</v>
      </c>
    </row>
    <row r="35" spans="1:8" x14ac:dyDescent="0.25">
      <c r="A35" s="2">
        <v>37165</v>
      </c>
      <c r="B35" s="31">
        <v>6.58</v>
      </c>
      <c r="C35" s="2"/>
      <c r="F35" s="2">
        <v>35490</v>
      </c>
      <c r="G35">
        <v>107.53</v>
      </c>
      <c r="H35" s="26">
        <f t="shared" si="0"/>
        <v>0</v>
      </c>
    </row>
    <row r="36" spans="1:8" x14ac:dyDescent="0.25">
      <c r="A36" s="2">
        <v>37196</v>
      </c>
      <c r="B36" s="31">
        <v>6.6079999999999997</v>
      </c>
      <c r="C36" s="2"/>
      <c r="F36" s="2">
        <v>35521</v>
      </c>
      <c r="G36">
        <v>107.25</v>
      </c>
      <c r="H36" s="26">
        <f t="shared" si="0"/>
        <v>0</v>
      </c>
    </row>
    <row r="37" spans="1:8" x14ac:dyDescent="0.25">
      <c r="A37" s="2">
        <v>37226</v>
      </c>
      <c r="B37" s="31">
        <v>7.0025000000000004</v>
      </c>
      <c r="C37" s="2"/>
      <c r="F37" s="2">
        <v>35551</v>
      </c>
      <c r="G37">
        <v>106.97</v>
      </c>
      <c r="H37" s="26">
        <f t="shared" si="0"/>
        <v>0</v>
      </c>
    </row>
    <row r="38" spans="1:8" x14ac:dyDescent="0.25">
      <c r="A38" s="2">
        <v>37257</v>
      </c>
      <c r="B38" s="31">
        <v>6.9349999999999996</v>
      </c>
      <c r="C38" s="2"/>
      <c r="F38" s="2">
        <v>35582</v>
      </c>
      <c r="G38">
        <v>106.7</v>
      </c>
      <c r="H38" s="26">
        <f t="shared" si="0"/>
        <v>0</v>
      </c>
    </row>
    <row r="39" spans="1:8" x14ac:dyDescent="0.25">
      <c r="A39" s="2">
        <v>37288</v>
      </c>
      <c r="B39" s="31">
        <v>6.8174999999999999</v>
      </c>
      <c r="C39" s="2"/>
      <c r="F39" s="2">
        <v>35612</v>
      </c>
      <c r="G39">
        <v>106.64</v>
      </c>
      <c r="H39" s="26">
        <f t="shared" si="0"/>
        <v>0</v>
      </c>
    </row>
    <row r="40" spans="1:8" x14ac:dyDescent="0.25">
      <c r="A40" s="2">
        <v>37316</v>
      </c>
      <c r="B40" s="31">
        <v>6.9390000000000001</v>
      </c>
      <c r="C40" s="2"/>
      <c r="F40" s="2">
        <v>35643</v>
      </c>
      <c r="G40">
        <v>106.59</v>
      </c>
      <c r="H40" s="26">
        <f t="shared" si="0"/>
        <v>0</v>
      </c>
    </row>
    <row r="41" spans="1:8" x14ac:dyDescent="0.25">
      <c r="A41" s="2">
        <v>37347</v>
      </c>
      <c r="B41" s="31">
        <v>6.9162499999999998</v>
      </c>
      <c r="C41" s="2"/>
      <c r="F41" s="2">
        <v>35674</v>
      </c>
      <c r="G41">
        <v>106.54</v>
      </c>
      <c r="H41" s="26">
        <f t="shared" si="0"/>
        <v>0</v>
      </c>
    </row>
    <row r="42" spans="1:8" x14ac:dyDescent="0.25">
      <c r="A42" s="2">
        <v>37377</v>
      </c>
      <c r="B42" s="31">
        <v>6.7359999999999998</v>
      </c>
      <c r="C42" s="2"/>
      <c r="F42" s="2">
        <v>35704</v>
      </c>
      <c r="G42">
        <v>106.72</v>
      </c>
      <c r="H42" s="26">
        <f t="shared" si="0"/>
        <v>0</v>
      </c>
    </row>
    <row r="43" spans="1:8" x14ac:dyDescent="0.25">
      <c r="A43" s="2">
        <v>37408</v>
      </c>
      <c r="B43" s="31">
        <v>6.5499999999999901</v>
      </c>
      <c r="C43" s="2"/>
      <c r="F43" s="2">
        <v>35735</v>
      </c>
      <c r="G43">
        <v>106.89</v>
      </c>
      <c r="H43" s="26">
        <f t="shared" si="0"/>
        <v>0</v>
      </c>
    </row>
    <row r="44" spans="1:8" x14ac:dyDescent="0.25">
      <c r="A44" s="2">
        <v>37438</v>
      </c>
      <c r="B44" s="31">
        <v>6.3724999999999996</v>
      </c>
      <c r="C44" s="2"/>
      <c r="F44" s="2">
        <v>35765</v>
      </c>
      <c r="G44">
        <v>107.07</v>
      </c>
      <c r="H44" s="26">
        <f t="shared" si="0"/>
        <v>0</v>
      </c>
    </row>
    <row r="45" spans="1:8" x14ac:dyDescent="0.25">
      <c r="A45" s="2">
        <v>37469</v>
      </c>
      <c r="B45" s="31">
        <v>6.2</v>
      </c>
      <c r="C45" s="2"/>
      <c r="F45" s="2">
        <v>35796</v>
      </c>
      <c r="G45">
        <v>107.2</v>
      </c>
      <c r="H45" s="26">
        <f t="shared" si="0"/>
        <v>0</v>
      </c>
    </row>
    <row r="46" spans="1:8" x14ac:dyDescent="0.25">
      <c r="A46" s="2">
        <v>37500</v>
      </c>
      <c r="B46" s="31">
        <v>5.9987500000000002</v>
      </c>
      <c r="C46" s="2"/>
      <c r="F46" s="2">
        <v>35827</v>
      </c>
      <c r="G46">
        <v>107.33</v>
      </c>
      <c r="H46" s="26">
        <f t="shared" si="0"/>
        <v>0</v>
      </c>
    </row>
    <row r="47" spans="1:8" x14ac:dyDescent="0.25">
      <c r="A47" s="2">
        <v>37530</v>
      </c>
      <c r="B47" s="31">
        <v>6</v>
      </c>
      <c r="C47" s="2"/>
      <c r="F47" s="2">
        <v>35855</v>
      </c>
      <c r="G47">
        <v>107.45</v>
      </c>
      <c r="H47" s="26">
        <f t="shared" si="0"/>
        <v>0</v>
      </c>
    </row>
    <row r="48" spans="1:8" x14ac:dyDescent="0.25">
      <c r="A48" s="2">
        <v>37561</v>
      </c>
      <c r="B48" s="31">
        <v>5.968</v>
      </c>
      <c r="C48" s="2"/>
      <c r="F48" s="2">
        <v>35886</v>
      </c>
      <c r="G48">
        <v>107.72</v>
      </c>
      <c r="H48" s="26">
        <f t="shared" si="0"/>
        <v>0</v>
      </c>
    </row>
    <row r="49" spans="1:8" x14ac:dyDescent="0.25">
      <c r="A49" s="2">
        <v>37591</v>
      </c>
      <c r="B49" s="31">
        <v>5.9349999999999996</v>
      </c>
      <c r="C49" s="2"/>
      <c r="F49" s="2">
        <v>35916</v>
      </c>
      <c r="G49">
        <v>107.98</v>
      </c>
      <c r="H49" s="26">
        <f t="shared" si="0"/>
        <v>0</v>
      </c>
    </row>
    <row r="50" spans="1:8" x14ac:dyDescent="0.25">
      <c r="A50" s="2">
        <v>37622</v>
      </c>
      <c r="B50" s="31">
        <v>5.8109999999999999</v>
      </c>
      <c r="C50" s="2"/>
      <c r="F50" s="2">
        <v>35947</v>
      </c>
      <c r="G50">
        <v>108.24</v>
      </c>
      <c r="H50" s="26">
        <f t="shared" si="0"/>
        <v>0</v>
      </c>
    </row>
    <row r="51" spans="1:8" x14ac:dyDescent="0.25">
      <c r="A51" s="2">
        <v>37653</v>
      </c>
      <c r="B51" s="31">
        <v>5.7487500000000002</v>
      </c>
      <c r="C51" s="2"/>
      <c r="F51" s="2">
        <v>35977</v>
      </c>
      <c r="G51">
        <v>108.58</v>
      </c>
      <c r="H51" s="26">
        <f t="shared" si="0"/>
        <v>0</v>
      </c>
    </row>
    <row r="52" spans="1:8" x14ac:dyDescent="0.25">
      <c r="A52" s="2">
        <v>37681</v>
      </c>
      <c r="B52" s="31">
        <v>5.6449999999999996</v>
      </c>
      <c r="C52" s="2"/>
      <c r="F52" s="2">
        <v>36008</v>
      </c>
      <c r="G52">
        <v>108.91</v>
      </c>
      <c r="H52" s="26">
        <f t="shared" si="0"/>
        <v>0</v>
      </c>
    </row>
    <row r="53" spans="1:8" x14ac:dyDescent="0.25">
      <c r="A53" s="2">
        <v>37712</v>
      </c>
      <c r="B53" s="31">
        <v>5.7125000000000004</v>
      </c>
      <c r="C53" s="2"/>
      <c r="F53" s="2">
        <v>36039</v>
      </c>
      <c r="G53">
        <v>109.25</v>
      </c>
      <c r="H53" s="26">
        <f t="shared" si="0"/>
        <v>0</v>
      </c>
    </row>
    <row r="54" spans="1:8" x14ac:dyDescent="0.25">
      <c r="A54" s="2">
        <v>37742</v>
      </c>
      <c r="B54" s="31">
        <v>5.3940000000000001</v>
      </c>
      <c r="C54" s="2"/>
      <c r="F54" s="2">
        <v>36069</v>
      </c>
      <c r="G54">
        <v>109.4</v>
      </c>
      <c r="H54" s="26">
        <f t="shared" si="0"/>
        <v>0</v>
      </c>
    </row>
    <row r="55" spans="1:8" x14ac:dyDescent="0.25">
      <c r="A55" s="2">
        <v>37773</v>
      </c>
      <c r="B55" s="31">
        <v>5.1174999999999997</v>
      </c>
      <c r="C55" s="2"/>
      <c r="F55" s="2">
        <v>36100</v>
      </c>
      <c r="G55">
        <v>109.55</v>
      </c>
      <c r="H55" s="26">
        <f t="shared" si="0"/>
        <v>0</v>
      </c>
    </row>
    <row r="56" spans="1:8" x14ac:dyDescent="0.25">
      <c r="A56" s="2">
        <v>37803</v>
      </c>
      <c r="B56" s="31">
        <v>5.5075000000000003</v>
      </c>
      <c r="C56" s="2"/>
      <c r="F56" s="2">
        <v>36130</v>
      </c>
      <c r="G56">
        <v>109.7</v>
      </c>
      <c r="H56" s="26">
        <f t="shared" si="0"/>
        <v>0</v>
      </c>
    </row>
    <row r="57" spans="1:8" x14ac:dyDescent="0.25">
      <c r="A57" s="2">
        <v>37834</v>
      </c>
      <c r="B57" s="31">
        <v>6.1840000000000002</v>
      </c>
      <c r="C57" s="2"/>
      <c r="F57" s="2">
        <v>36161</v>
      </c>
      <c r="G57">
        <v>109.78</v>
      </c>
      <c r="H57" s="26">
        <f t="shared" si="0"/>
        <v>0</v>
      </c>
    </row>
    <row r="58" spans="1:8" x14ac:dyDescent="0.25">
      <c r="A58" s="2">
        <v>37865</v>
      </c>
      <c r="B58" s="31">
        <v>6.0412499999999998</v>
      </c>
      <c r="C58" s="2"/>
      <c r="F58" s="2">
        <v>36192</v>
      </c>
      <c r="G58">
        <v>109.86</v>
      </c>
      <c r="H58" s="26">
        <f t="shared" si="0"/>
        <v>0</v>
      </c>
    </row>
    <row r="59" spans="1:8" x14ac:dyDescent="0.25">
      <c r="A59" s="2">
        <v>37895</v>
      </c>
      <c r="B59" s="31">
        <v>5.8520000000000003</v>
      </c>
      <c r="C59" s="2"/>
      <c r="F59" s="2">
        <v>36220</v>
      </c>
      <c r="G59">
        <v>109.94</v>
      </c>
      <c r="H59" s="26">
        <f t="shared" si="0"/>
        <v>0</v>
      </c>
    </row>
    <row r="60" spans="1:8" x14ac:dyDescent="0.25">
      <c r="A60" s="2">
        <v>37926</v>
      </c>
      <c r="B60" s="31">
        <v>5.8387500000000001</v>
      </c>
      <c r="C60" s="2"/>
      <c r="F60" s="2">
        <v>36251</v>
      </c>
      <c r="G60">
        <v>110.13</v>
      </c>
      <c r="H60" s="26">
        <f t="shared" si="0"/>
        <v>8.6666666666663627E-3</v>
      </c>
    </row>
    <row r="61" spans="1:8" x14ac:dyDescent="0.25">
      <c r="A61" s="2">
        <v>37956</v>
      </c>
      <c r="B61" s="31">
        <v>5.7959999999999896</v>
      </c>
      <c r="C61" s="2"/>
      <c r="F61" s="2">
        <v>36281</v>
      </c>
      <c r="G61">
        <v>110.31</v>
      </c>
      <c r="H61" s="26">
        <f t="shared" si="0"/>
        <v>2.0666666666666819E-2</v>
      </c>
    </row>
    <row r="62" spans="1:8" x14ac:dyDescent="0.25">
      <c r="A62" s="2">
        <v>37987</v>
      </c>
      <c r="B62" s="31">
        <v>5.625</v>
      </c>
      <c r="C62" s="2"/>
      <c r="F62" s="2">
        <v>36312</v>
      </c>
      <c r="G62">
        <v>110.49</v>
      </c>
      <c r="H62" s="26">
        <f t="shared" si="0"/>
        <v>3.2666666666666323E-2</v>
      </c>
    </row>
    <row r="63" spans="1:8" x14ac:dyDescent="0.25">
      <c r="A63" s="2">
        <v>38018</v>
      </c>
      <c r="B63" s="31">
        <v>5.5475000000000003</v>
      </c>
      <c r="C63" s="2"/>
      <c r="F63" s="2">
        <v>36342</v>
      </c>
      <c r="G63">
        <v>110.5</v>
      </c>
      <c r="H63" s="26">
        <f t="shared" si="0"/>
        <v>3.3333333333333333E-2</v>
      </c>
    </row>
    <row r="64" spans="1:8" x14ac:dyDescent="0.25">
      <c r="A64" s="2">
        <v>38047</v>
      </c>
      <c r="B64" s="31">
        <v>5.3637499999999996</v>
      </c>
      <c r="C64" s="2"/>
      <c r="F64" s="2">
        <v>36373</v>
      </c>
      <c r="G64">
        <v>110.52</v>
      </c>
      <c r="H64" s="26">
        <f t="shared" si="0"/>
        <v>3.4666666666666401E-2</v>
      </c>
    </row>
    <row r="65" spans="1:8" x14ac:dyDescent="0.25">
      <c r="A65" s="2">
        <v>38078</v>
      </c>
      <c r="B65" s="31">
        <v>5.7450000000000001</v>
      </c>
      <c r="C65" s="2"/>
      <c r="F65" s="2">
        <v>36404</v>
      </c>
      <c r="G65">
        <v>110.53</v>
      </c>
      <c r="H65" s="26">
        <f t="shared" si="0"/>
        <v>3.5333333333333411E-2</v>
      </c>
    </row>
    <row r="66" spans="1:8" x14ac:dyDescent="0.25">
      <c r="A66" s="2">
        <v>38108</v>
      </c>
      <c r="B66" s="31">
        <v>6.1887499999999998</v>
      </c>
      <c r="C66" s="2"/>
      <c r="F66" s="2">
        <v>36434</v>
      </c>
      <c r="G66">
        <v>110.43</v>
      </c>
      <c r="H66" s="26">
        <f t="shared" si="0"/>
        <v>2.8666666666667121E-2</v>
      </c>
    </row>
    <row r="67" spans="1:8" x14ac:dyDescent="0.25">
      <c r="A67" s="2">
        <v>38139</v>
      </c>
      <c r="B67" s="31">
        <v>6.1937499999999996</v>
      </c>
      <c r="C67" s="2"/>
      <c r="F67" s="2">
        <v>36465</v>
      </c>
      <c r="G67">
        <v>110.34</v>
      </c>
      <c r="H67" s="26">
        <f t="shared" ref="H67:H130" si="1">IF(G67&lt;110,0,IF(G67&lt;=125,(G67-110)/($K$2-$K$3),1))</f>
        <v>2.2666666666666894E-2</v>
      </c>
    </row>
    <row r="68" spans="1:8" x14ac:dyDescent="0.25">
      <c r="A68" s="2">
        <v>38169</v>
      </c>
      <c r="B68" s="31">
        <v>5.9560000000000004</v>
      </c>
      <c r="C68" s="2"/>
      <c r="F68" s="2">
        <v>36495</v>
      </c>
      <c r="G68">
        <v>110.24</v>
      </c>
      <c r="H68" s="26">
        <f t="shared" si="1"/>
        <v>1.599999999999966E-2</v>
      </c>
    </row>
    <row r="69" spans="1:8" x14ac:dyDescent="0.25">
      <c r="A69" s="2">
        <v>38200</v>
      </c>
      <c r="B69" s="31">
        <v>5.7862499999999999</v>
      </c>
      <c r="C69" s="2"/>
      <c r="F69" s="2">
        <v>36526</v>
      </c>
      <c r="G69">
        <v>110.4</v>
      </c>
      <c r="H69" s="26">
        <f t="shared" si="1"/>
        <v>2.6666666666667047E-2</v>
      </c>
    </row>
    <row r="70" spans="1:8" x14ac:dyDescent="0.25">
      <c r="A70" s="2">
        <v>38231</v>
      </c>
      <c r="B70" s="31">
        <v>5.6890000000000001</v>
      </c>
      <c r="C70" s="2"/>
      <c r="F70" s="2">
        <v>36557</v>
      </c>
      <c r="G70">
        <v>110.55</v>
      </c>
      <c r="H70" s="26">
        <f t="shared" si="1"/>
        <v>3.666666666666648E-2</v>
      </c>
    </row>
    <row r="71" spans="1:8" x14ac:dyDescent="0.25">
      <c r="A71" s="2">
        <v>38261</v>
      </c>
      <c r="B71" s="31">
        <v>5.6349999999999998</v>
      </c>
      <c r="C71" s="2"/>
      <c r="F71" s="2">
        <v>36586</v>
      </c>
      <c r="G71">
        <v>110.7</v>
      </c>
      <c r="H71" s="26">
        <f t="shared" si="1"/>
        <v>4.6666666666666856E-2</v>
      </c>
    </row>
    <row r="72" spans="1:8" x14ac:dyDescent="0.25">
      <c r="A72" s="2">
        <v>38292</v>
      </c>
      <c r="B72" s="31">
        <v>5.6362500000000004</v>
      </c>
      <c r="C72" s="2"/>
      <c r="F72" s="2">
        <v>36617</v>
      </c>
      <c r="G72">
        <v>110.97</v>
      </c>
      <c r="H72" s="26">
        <f t="shared" si="1"/>
        <v>6.4666666666666595E-2</v>
      </c>
    </row>
    <row r="73" spans="1:8" x14ac:dyDescent="0.25">
      <c r="A73" s="2">
        <v>38322</v>
      </c>
      <c r="B73" s="31">
        <v>5.6569999999999903</v>
      </c>
      <c r="C73" s="2"/>
      <c r="F73" s="2">
        <v>36647</v>
      </c>
      <c r="G73">
        <v>111.23</v>
      </c>
      <c r="H73" s="26">
        <f t="shared" si="1"/>
        <v>8.2000000000000267E-2</v>
      </c>
    </row>
    <row r="74" spans="1:8" x14ac:dyDescent="0.25">
      <c r="A74" s="2">
        <v>38353</v>
      </c>
      <c r="B74" s="31">
        <v>5.6224999999999996</v>
      </c>
      <c r="C74" s="2"/>
      <c r="F74" s="2">
        <v>36678</v>
      </c>
      <c r="G74">
        <v>111.5</v>
      </c>
      <c r="H74" s="26">
        <f t="shared" si="1"/>
        <v>0.1</v>
      </c>
    </row>
    <row r="75" spans="1:8" x14ac:dyDescent="0.25">
      <c r="A75" s="2">
        <v>38384</v>
      </c>
      <c r="B75" s="31">
        <v>5.5587499999999999</v>
      </c>
      <c r="C75" s="2"/>
      <c r="F75" s="2">
        <v>36708</v>
      </c>
      <c r="G75">
        <v>111.65</v>
      </c>
      <c r="H75" s="26">
        <f t="shared" si="1"/>
        <v>0.11000000000000038</v>
      </c>
    </row>
    <row r="76" spans="1:8" x14ac:dyDescent="0.25">
      <c r="A76" s="2">
        <v>38412</v>
      </c>
      <c r="B76" s="31">
        <v>5.8479999999999999</v>
      </c>
      <c r="C76" s="2"/>
      <c r="F76" s="2">
        <v>36739</v>
      </c>
      <c r="G76">
        <v>111.81</v>
      </c>
      <c r="H76" s="26">
        <f t="shared" si="1"/>
        <v>0.12066666666666682</v>
      </c>
    </row>
    <row r="77" spans="1:8" x14ac:dyDescent="0.25">
      <c r="A77" s="2">
        <v>38443</v>
      </c>
      <c r="B77" s="31">
        <v>5.7612500000000004</v>
      </c>
      <c r="C77" s="2"/>
      <c r="F77" s="2">
        <v>36770</v>
      </c>
      <c r="G77">
        <v>111.96</v>
      </c>
      <c r="H77" s="26">
        <f t="shared" si="1"/>
        <v>0.13066666666666624</v>
      </c>
    </row>
    <row r="78" spans="1:8" x14ac:dyDescent="0.25">
      <c r="A78" s="2">
        <v>38473</v>
      </c>
      <c r="B78" s="31">
        <v>5.6199999999999903</v>
      </c>
      <c r="C78" s="2"/>
      <c r="F78" s="2">
        <v>36800</v>
      </c>
      <c r="G78">
        <v>112.09</v>
      </c>
      <c r="H78" s="26">
        <f t="shared" si="1"/>
        <v>0.13933333333333356</v>
      </c>
    </row>
    <row r="79" spans="1:8" x14ac:dyDescent="0.25">
      <c r="A79" s="2">
        <v>38504</v>
      </c>
      <c r="B79" s="31">
        <v>5.4770000000000003</v>
      </c>
      <c r="C79" s="2"/>
      <c r="F79" s="2">
        <v>36831</v>
      </c>
      <c r="G79">
        <v>112.22</v>
      </c>
      <c r="H79" s="26">
        <f t="shared" si="1"/>
        <v>0.14799999999999994</v>
      </c>
    </row>
    <row r="80" spans="1:8" x14ac:dyDescent="0.25">
      <c r="A80" s="2">
        <v>38534</v>
      </c>
      <c r="B80" s="31">
        <v>5.5762499999999999</v>
      </c>
      <c r="C80" s="2"/>
      <c r="F80" s="2">
        <v>36861</v>
      </c>
      <c r="G80">
        <v>112.35</v>
      </c>
      <c r="H80" s="26">
        <f t="shared" si="1"/>
        <v>0.15666666666666629</v>
      </c>
    </row>
    <row r="81" spans="1:8" x14ac:dyDescent="0.25">
      <c r="A81" s="2">
        <v>38565</v>
      </c>
      <c r="B81" s="31">
        <v>5.7012499999999999</v>
      </c>
      <c r="C81" s="2"/>
      <c r="F81" s="2">
        <v>36892</v>
      </c>
      <c r="G81">
        <v>112.88</v>
      </c>
      <c r="H81" s="26">
        <f t="shared" si="1"/>
        <v>0.1919999999999997</v>
      </c>
    </row>
    <row r="82" spans="1:8" x14ac:dyDescent="0.25">
      <c r="A82" s="2">
        <v>38596</v>
      </c>
      <c r="B82" s="31">
        <v>5.6689999999999996</v>
      </c>
      <c r="C82" s="2"/>
      <c r="F82" s="2">
        <v>36923</v>
      </c>
      <c r="G82">
        <v>113.4</v>
      </c>
      <c r="H82" s="26">
        <f t="shared" si="1"/>
        <v>0.22666666666666704</v>
      </c>
    </row>
    <row r="83" spans="1:8" x14ac:dyDescent="0.25">
      <c r="A83" s="2">
        <v>38626</v>
      </c>
      <c r="B83" s="31">
        <v>5.94625</v>
      </c>
      <c r="C83" s="2"/>
      <c r="F83" s="2">
        <v>36951</v>
      </c>
      <c r="G83">
        <v>113.92</v>
      </c>
      <c r="H83" s="26">
        <f t="shared" si="1"/>
        <v>0.26133333333333347</v>
      </c>
    </row>
    <row r="84" spans="1:8" x14ac:dyDescent="0.25">
      <c r="A84" s="2">
        <v>38657</v>
      </c>
      <c r="B84" s="31">
        <v>6.2175000000000002</v>
      </c>
      <c r="C84" s="2"/>
      <c r="F84" s="2">
        <v>36982</v>
      </c>
      <c r="G84">
        <v>114.05</v>
      </c>
      <c r="H84" s="26">
        <f t="shared" si="1"/>
        <v>0.2699999999999998</v>
      </c>
    </row>
    <row r="85" spans="1:8" x14ac:dyDescent="0.25">
      <c r="A85" s="2">
        <v>38687</v>
      </c>
      <c r="B85" s="31">
        <v>6.1569999999999903</v>
      </c>
      <c r="C85" s="2"/>
      <c r="F85" s="2">
        <v>37012</v>
      </c>
      <c r="G85">
        <v>114.18</v>
      </c>
      <c r="H85" s="26">
        <f t="shared" si="1"/>
        <v>0.27866666666666712</v>
      </c>
    </row>
    <row r="86" spans="1:8" x14ac:dyDescent="0.25">
      <c r="A86" s="2">
        <v>38718</v>
      </c>
      <c r="B86" s="31">
        <v>6.0262500000000001</v>
      </c>
      <c r="C86" s="2"/>
      <c r="F86" s="2">
        <v>37043</v>
      </c>
      <c r="G86">
        <v>114.3</v>
      </c>
      <c r="H86" s="26">
        <f t="shared" si="1"/>
        <v>0.28666666666666646</v>
      </c>
    </row>
    <row r="87" spans="1:8" x14ac:dyDescent="0.25">
      <c r="A87" s="2">
        <v>38749</v>
      </c>
      <c r="B87" s="31">
        <v>6.14</v>
      </c>
      <c r="C87" s="2"/>
      <c r="F87" s="2">
        <v>37073</v>
      </c>
      <c r="G87">
        <v>114.35</v>
      </c>
      <c r="H87" s="26">
        <f t="shared" si="1"/>
        <v>0.28999999999999965</v>
      </c>
    </row>
    <row r="88" spans="1:8" x14ac:dyDescent="0.25">
      <c r="A88" s="2">
        <v>38777</v>
      </c>
      <c r="B88" s="31">
        <v>6.2240000000000002</v>
      </c>
      <c r="C88" s="2"/>
      <c r="F88" s="2">
        <v>37104</v>
      </c>
      <c r="G88">
        <v>114.4</v>
      </c>
      <c r="H88" s="26">
        <f t="shared" si="1"/>
        <v>0.29333333333333372</v>
      </c>
    </row>
    <row r="89" spans="1:8" x14ac:dyDescent="0.25">
      <c r="A89" s="2">
        <v>38808</v>
      </c>
      <c r="B89" s="31">
        <v>6.4012500000000001</v>
      </c>
      <c r="C89" s="2"/>
      <c r="F89" s="2">
        <v>37135</v>
      </c>
      <c r="G89">
        <v>114.45</v>
      </c>
      <c r="H89" s="26">
        <f t="shared" si="1"/>
        <v>0.29666666666666686</v>
      </c>
    </row>
    <row r="90" spans="1:8" x14ac:dyDescent="0.25">
      <c r="A90" s="2">
        <v>38838</v>
      </c>
      <c r="B90" s="31">
        <v>6.4725000000000001</v>
      </c>
      <c r="C90" s="2"/>
      <c r="F90" s="2">
        <v>37165</v>
      </c>
      <c r="G90">
        <v>114.53</v>
      </c>
      <c r="H90" s="26">
        <f t="shared" si="1"/>
        <v>0.3020000000000001</v>
      </c>
    </row>
    <row r="91" spans="1:8" x14ac:dyDescent="0.25">
      <c r="A91" s="2">
        <v>38869</v>
      </c>
      <c r="B91" s="31">
        <v>6.5519999999999996</v>
      </c>
      <c r="C91" s="2"/>
      <c r="F91" s="2">
        <v>37196</v>
      </c>
      <c r="G91">
        <v>114.61</v>
      </c>
      <c r="H91" s="26">
        <f t="shared" si="1"/>
        <v>0.30733333333333329</v>
      </c>
    </row>
    <row r="92" spans="1:8" x14ac:dyDescent="0.25">
      <c r="A92" s="2">
        <v>38899</v>
      </c>
      <c r="B92" s="31">
        <v>6.6312499999999996</v>
      </c>
      <c r="C92" s="2"/>
      <c r="F92" s="2">
        <v>37226</v>
      </c>
      <c r="G92">
        <v>114.68</v>
      </c>
      <c r="H92" s="26">
        <f t="shared" si="1"/>
        <v>0.31200000000000044</v>
      </c>
    </row>
    <row r="93" spans="1:8" x14ac:dyDescent="0.25">
      <c r="A93" s="2">
        <v>38930</v>
      </c>
      <c r="B93" s="31">
        <v>6.3639999999999999</v>
      </c>
      <c r="C93" s="2"/>
      <c r="F93" s="2">
        <v>37257</v>
      </c>
      <c r="G93">
        <v>114.5</v>
      </c>
      <c r="H93" s="26">
        <f t="shared" si="1"/>
        <v>0.3</v>
      </c>
    </row>
    <row r="94" spans="1:8" x14ac:dyDescent="0.25">
      <c r="A94" s="2">
        <v>38961</v>
      </c>
      <c r="B94" s="31">
        <v>6.2649999999999997</v>
      </c>
      <c r="C94" s="2"/>
      <c r="F94" s="2">
        <v>37288</v>
      </c>
      <c r="G94">
        <v>114.33</v>
      </c>
      <c r="H94" s="26">
        <f t="shared" si="1"/>
        <v>0.28866666666666657</v>
      </c>
    </row>
    <row r="95" spans="1:8" x14ac:dyDescent="0.25">
      <c r="A95" s="2">
        <v>38991</v>
      </c>
      <c r="B95" s="31">
        <v>6.2137500000000001</v>
      </c>
      <c r="C95" s="2"/>
      <c r="F95" s="2">
        <v>37316</v>
      </c>
      <c r="G95">
        <v>114.15</v>
      </c>
      <c r="H95" s="26">
        <f t="shared" si="1"/>
        <v>0.27666666666666706</v>
      </c>
    </row>
    <row r="96" spans="1:8" x14ac:dyDescent="0.25">
      <c r="A96" s="2">
        <v>39022</v>
      </c>
      <c r="B96" s="31">
        <v>6.1099999999999897</v>
      </c>
      <c r="C96" s="2"/>
      <c r="F96" s="2">
        <v>37347</v>
      </c>
      <c r="G96">
        <v>114.18</v>
      </c>
      <c r="H96" s="26">
        <f t="shared" si="1"/>
        <v>0.27866666666666712</v>
      </c>
    </row>
    <row r="97" spans="1:8" x14ac:dyDescent="0.25">
      <c r="A97" s="2">
        <v>39052</v>
      </c>
      <c r="B97" s="31">
        <v>5.9912499999999902</v>
      </c>
      <c r="C97" s="2"/>
      <c r="F97" s="2">
        <v>37377</v>
      </c>
      <c r="G97">
        <v>114.21</v>
      </c>
      <c r="H97" s="26">
        <f t="shared" si="1"/>
        <v>0.28066666666666623</v>
      </c>
    </row>
    <row r="98" spans="1:8" x14ac:dyDescent="0.25">
      <c r="A98" s="2">
        <v>39083</v>
      </c>
      <c r="B98" s="31">
        <v>6.0674999999999901</v>
      </c>
      <c r="C98" s="2"/>
      <c r="F98" s="2">
        <v>37408</v>
      </c>
      <c r="G98">
        <v>114.23</v>
      </c>
      <c r="H98" s="26">
        <f t="shared" si="1"/>
        <v>0.28200000000000025</v>
      </c>
    </row>
    <row r="99" spans="1:8" x14ac:dyDescent="0.25">
      <c r="A99" s="2">
        <v>39114</v>
      </c>
      <c r="B99" s="31">
        <v>6.1349999999999998</v>
      </c>
      <c r="C99" s="2"/>
      <c r="F99" s="2">
        <v>37438</v>
      </c>
      <c r="G99">
        <v>114.3</v>
      </c>
      <c r="H99" s="26">
        <f t="shared" si="1"/>
        <v>0.28666666666666646</v>
      </c>
    </row>
    <row r="100" spans="1:8" x14ac:dyDescent="0.25">
      <c r="A100" s="2">
        <v>39142</v>
      </c>
      <c r="B100" s="31">
        <v>6.0110000000000001</v>
      </c>
      <c r="C100" s="2"/>
      <c r="F100" s="2">
        <v>37469</v>
      </c>
      <c r="G100">
        <v>114.36</v>
      </c>
      <c r="H100" s="26">
        <f t="shared" si="1"/>
        <v>0.29066666666666663</v>
      </c>
    </row>
    <row r="101" spans="1:8" x14ac:dyDescent="0.25">
      <c r="A101" s="2">
        <v>39173</v>
      </c>
      <c r="B101" s="31">
        <v>6.0425000000000004</v>
      </c>
      <c r="C101" s="2"/>
      <c r="E101" s="29"/>
      <c r="F101" s="2">
        <v>37500</v>
      </c>
      <c r="G101">
        <v>114.42</v>
      </c>
      <c r="H101" s="26">
        <f t="shared" si="1"/>
        <v>0.2946666666666668</v>
      </c>
    </row>
    <row r="102" spans="1:8" x14ac:dyDescent="0.25">
      <c r="A102" s="2">
        <v>39203</v>
      </c>
      <c r="B102" s="31">
        <v>6.1219999999999901</v>
      </c>
      <c r="C102" s="2"/>
      <c r="E102" s="29"/>
      <c r="F102" s="2">
        <v>37530</v>
      </c>
      <c r="G102">
        <v>114.38</v>
      </c>
      <c r="H102" s="26">
        <f t="shared" si="1"/>
        <v>0.2919999999999997</v>
      </c>
    </row>
    <row r="103" spans="1:8" x14ac:dyDescent="0.25">
      <c r="A103" s="2">
        <v>39234</v>
      </c>
      <c r="B103" s="31">
        <v>6.5137499999999999</v>
      </c>
      <c r="C103" s="2"/>
      <c r="E103" s="29"/>
      <c r="F103" s="2">
        <v>37561</v>
      </c>
      <c r="G103">
        <v>114.33</v>
      </c>
      <c r="H103" s="26">
        <f t="shared" si="1"/>
        <v>0.28866666666666657</v>
      </c>
    </row>
    <row r="104" spans="1:8" x14ac:dyDescent="0.25">
      <c r="A104" s="2">
        <v>39264</v>
      </c>
      <c r="B104" s="31">
        <v>6.5449999999999999</v>
      </c>
      <c r="C104" s="2"/>
      <c r="E104" s="29"/>
      <c r="F104" s="2">
        <v>37591</v>
      </c>
      <c r="G104">
        <v>114.29</v>
      </c>
      <c r="H104" s="26">
        <f t="shared" si="1"/>
        <v>0.28600000000000042</v>
      </c>
    </row>
    <row r="105" spans="1:8" x14ac:dyDescent="0.25">
      <c r="A105" s="2">
        <v>39295</v>
      </c>
      <c r="B105" s="31">
        <v>6.4219999999999997</v>
      </c>
      <c r="C105" s="2"/>
      <c r="E105" s="29"/>
      <c r="F105" s="2">
        <v>37622</v>
      </c>
      <c r="G105">
        <v>113.81</v>
      </c>
      <c r="H105" s="26">
        <f t="shared" si="1"/>
        <v>0.25400000000000017</v>
      </c>
    </row>
    <row r="106" spans="1:8" x14ac:dyDescent="0.25">
      <c r="A106" s="2">
        <v>39326</v>
      </c>
      <c r="B106" s="31">
        <v>6.2575000000000003</v>
      </c>
      <c r="C106" s="2"/>
      <c r="E106" s="29"/>
      <c r="F106" s="2">
        <v>37653</v>
      </c>
      <c r="G106">
        <v>113.35</v>
      </c>
      <c r="H106" s="26">
        <f t="shared" si="1"/>
        <v>0.22333333333333297</v>
      </c>
    </row>
    <row r="107" spans="1:8" x14ac:dyDescent="0.25">
      <c r="A107" s="2">
        <v>39356</v>
      </c>
      <c r="B107" s="31">
        <v>6.2437500000000004</v>
      </c>
      <c r="C107" s="2"/>
      <c r="E107" s="29"/>
      <c r="F107" s="2">
        <v>37681</v>
      </c>
      <c r="G107">
        <v>112.89</v>
      </c>
      <c r="H107" s="26">
        <f t="shared" si="1"/>
        <v>0.19266666666666671</v>
      </c>
    </row>
    <row r="108" spans="1:8" x14ac:dyDescent="0.25">
      <c r="A108" s="2">
        <v>39387</v>
      </c>
      <c r="B108" s="31">
        <v>6.0679999999999996</v>
      </c>
      <c r="C108" s="2"/>
      <c r="E108" s="29"/>
      <c r="F108" s="2">
        <v>37712</v>
      </c>
      <c r="G108">
        <v>112.72</v>
      </c>
      <c r="H108" s="26">
        <f t="shared" si="1"/>
        <v>0.18133333333333326</v>
      </c>
    </row>
    <row r="109" spans="1:8" x14ac:dyDescent="0.25">
      <c r="A109" s="2">
        <v>39417</v>
      </c>
      <c r="B109" s="31">
        <v>5.9574999999999996</v>
      </c>
      <c r="C109" s="2"/>
      <c r="E109" s="29"/>
      <c r="F109" s="2">
        <v>37742</v>
      </c>
      <c r="G109">
        <v>112.55</v>
      </c>
      <c r="H109" s="26">
        <f t="shared" si="1"/>
        <v>0.16999999999999982</v>
      </c>
    </row>
    <row r="110" spans="1:8" x14ac:dyDescent="0.25">
      <c r="A110" s="2">
        <v>39448</v>
      </c>
      <c r="B110" s="31">
        <v>5.6180000000000003</v>
      </c>
      <c r="C110" s="2"/>
      <c r="E110" s="29"/>
      <c r="F110" s="2">
        <v>37773</v>
      </c>
      <c r="G110">
        <v>112.38</v>
      </c>
      <c r="H110" s="26">
        <f t="shared" si="1"/>
        <v>0.15866666666666637</v>
      </c>
    </row>
    <row r="111" spans="1:8" x14ac:dyDescent="0.25">
      <c r="A111" s="2">
        <v>39479</v>
      </c>
      <c r="B111" s="31">
        <v>5.7862499999999999</v>
      </c>
      <c r="C111" s="2"/>
      <c r="E111" s="29"/>
      <c r="F111" s="2">
        <v>37803</v>
      </c>
      <c r="G111">
        <v>112.37</v>
      </c>
      <c r="H111" s="26">
        <f t="shared" si="1"/>
        <v>0.15800000000000031</v>
      </c>
    </row>
    <row r="112" spans="1:8" x14ac:dyDescent="0.25">
      <c r="A112" s="2">
        <v>39508</v>
      </c>
      <c r="B112" s="31">
        <v>5.8387500000000001</v>
      </c>
      <c r="C112" s="2"/>
      <c r="E112" s="29"/>
      <c r="F112" s="2">
        <v>37834</v>
      </c>
      <c r="G112">
        <v>112.37</v>
      </c>
      <c r="H112" s="26">
        <f t="shared" si="1"/>
        <v>0.15800000000000031</v>
      </c>
    </row>
    <row r="113" spans="1:8" x14ac:dyDescent="0.25">
      <c r="A113" s="2">
        <v>39539</v>
      </c>
      <c r="B113" s="31">
        <v>5.7675000000000001</v>
      </c>
      <c r="C113" s="2"/>
      <c r="E113" s="29"/>
      <c r="F113" s="2">
        <v>37865</v>
      </c>
      <c r="G113">
        <v>112.36</v>
      </c>
      <c r="H113" s="26">
        <f t="shared" si="1"/>
        <v>0.1573333333333333</v>
      </c>
    </row>
    <row r="114" spans="1:8" x14ac:dyDescent="0.25">
      <c r="A114" s="2">
        <v>39569</v>
      </c>
      <c r="B114" s="31">
        <v>5.9109999999999996</v>
      </c>
      <c r="C114" s="2"/>
      <c r="E114" s="29"/>
      <c r="F114" s="2">
        <v>37895</v>
      </c>
      <c r="G114">
        <v>112.95</v>
      </c>
      <c r="H114" s="26">
        <f t="shared" si="1"/>
        <v>0.19666666666666685</v>
      </c>
    </row>
    <row r="115" spans="1:8" x14ac:dyDescent="0.25">
      <c r="A115" s="2">
        <v>39600</v>
      </c>
      <c r="B115" s="31">
        <v>6.2324999999999999</v>
      </c>
      <c r="C115" s="2"/>
      <c r="E115" s="29"/>
      <c r="F115" s="2">
        <v>37926</v>
      </c>
      <c r="G115">
        <v>113.54</v>
      </c>
      <c r="H115" s="26">
        <f t="shared" si="1"/>
        <v>0.2360000000000004</v>
      </c>
    </row>
    <row r="116" spans="1:8" x14ac:dyDescent="0.25">
      <c r="A116" s="2">
        <v>39630</v>
      </c>
      <c r="B116" s="31">
        <v>6.3310000000000004</v>
      </c>
      <c r="C116" s="2"/>
      <c r="E116" s="29"/>
      <c r="F116" s="2">
        <v>37956</v>
      </c>
      <c r="G116">
        <v>114.12</v>
      </c>
      <c r="H116" s="26">
        <f t="shared" si="1"/>
        <v>0.27466666666666695</v>
      </c>
    </row>
    <row r="117" spans="1:8" x14ac:dyDescent="0.25">
      <c r="A117" s="2">
        <v>39661</v>
      </c>
      <c r="B117" s="31">
        <v>6.3962500000000002</v>
      </c>
      <c r="C117" s="2"/>
      <c r="E117" s="29"/>
      <c r="F117" s="2">
        <v>37987</v>
      </c>
      <c r="G117">
        <v>114.16</v>
      </c>
      <c r="H117" s="26">
        <f t="shared" si="1"/>
        <v>0.2773333333333331</v>
      </c>
    </row>
    <row r="118" spans="1:8" x14ac:dyDescent="0.25">
      <c r="A118" s="2">
        <v>39692</v>
      </c>
      <c r="B118" s="31">
        <v>5.9562499999999998</v>
      </c>
      <c r="C118" s="2"/>
      <c r="E118" s="29"/>
      <c r="F118" s="2">
        <v>38018</v>
      </c>
      <c r="G118">
        <v>114.21</v>
      </c>
      <c r="H118" s="26">
        <f t="shared" si="1"/>
        <v>0.28066666666666623</v>
      </c>
    </row>
    <row r="119" spans="1:8" x14ac:dyDescent="0.25">
      <c r="A119" s="2">
        <v>39722</v>
      </c>
      <c r="B119" s="31">
        <v>6.1050000000000004</v>
      </c>
      <c r="C119" s="2"/>
      <c r="E119" s="29"/>
      <c r="F119" s="2">
        <v>38047</v>
      </c>
      <c r="G119">
        <v>114.25</v>
      </c>
      <c r="H119" s="26">
        <f t="shared" si="1"/>
        <v>0.28333333333333333</v>
      </c>
    </row>
    <row r="120" spans="1:8" x14ac:dyDescent="0.25">
      <c r="A120" s="2">
        <v>39753</v>
      </c>
      <c r="B120" s="31">
        <v>6.0124999999999904</v>
      </c>
      <c r="C120" s="2"/>
      <c r="E120" s="29"/>
      <c r="F120" s="2">
        <v>38078</v>
      </c>
      <c r="G120">
        <v>114.53</v>
      </c>
      <c r="H120" s="26">
        <f t="shared" si="1"/>
        <v>0.3020000000000001</v>
      </c>
    </row>
    <row r="121" spans="1:8" x14ac:dyDescent="0.25">
      <c r="A121" s="2">
        <v>39783</v>
      </c>
      <c r="B121" s="31">
        <v>5.2159999999999904</v>
      </c>
      <c r="C121" s="2"/>
      <c r="E121" s="29"/>
      <c r="F121" s="2">
        <v>38108</v>
      </c>
      <c r="G121">
        <v>114.8</v>
      </c>
      <c r="H121" s="26">
        <f t="shared" si="1"/>
        <v>0.31999999999999978</v>
      </c>
    </row>
    <row r="122" spans="1:8" x14ac:dyDescent="0.25">
      <c r="A122" s="2">
        <v>39814</v>
      </c>
      <c r="B122" s="31">
        <v>4.9662499999999996</v>
      </c>
      <c r="C122" s="2"/>
      <c r="E122" s="29"/>
      <c r="F122" s="2">
        <v>38139</v>
      </c>
      <c r="G122">
        <v>115.07</v>
      </c>
      <c r="H122" s="26">
        <f t="shared" si="1"/>
        <v>0.33799999999999952</v>
      </c>
    </row>
    <row r="123" spans="1:8" x14ac:dyDescent="0.25">
      <c r="A123" s="2">
        <v>39845</v>
      </c>
      <c r="B123" s="31">
        <v>5.0612500000000002</v>
      </c>
      <c r="C123" s="2"/>
      <c r="E123" s="29"/>
      <c r="F123" s="2">
        <v>38169</v>
      </c>
      <c r="G123">
        <v>115.77</v>
      </c>
      <c r="H123" s="26">
        <f t="shared" si="1"/>
        <v>0.38466666666666638</v>
      </c>
    </row>
    <row r="124" spans="1:8" x14ac:dyDescent="0.25">
      <c r="A124" s="2">
        <v>39873</v>
      </c>
      <c r="B124" s="31">
        <v>4.9275000000000002</v>
      </c>
      <c r="C124" s="2"/>
      <c r="E124" s="29"/>
      <c r="F124" s="2">
        <v>38200</v>
      </c>
      <c r="G124">
        <v>116.46</v>
      </c>
      <c r="H124" s="26">
        <f t="shared" si="1"/>
        <v>0.43066666666666625</v>
      </c>
    </row>
    <row r="125" spans="1:8" x14ac:dyDescent="0.25">
      <c r="A125" s="2">
        <v>39904</v>
      </c>
      <c r="B125" s="31">
        <v>4.7300000000000004</v>
      </c>
      <c r="C125" s="2"/>
      <c r="E125" s="29"/>
      <c r="F125" s="2">
        <v>38231</v>
      </c>
      <c r="G125">
        <v>117.15</v>
      </c>
      <c r="H125" s="26">
        <f t="shared" si="1"/>
        <v>0.47666666666666707</v>
      </c>
    </row>
    <row r="126" spans="1:8" x14ac:dyDescent="0.25">
      <c r="A126" s="2">
        <v>39934</v>
      </c>
      <c r="B126" s="31">
        <v>4.7762500000000001</v>
      </c>
      <c r="C126" s="2"/>
      <c r="E126" s="29"/>
      <c r="F126" s="2">
        <v>38261</v>
      </c>
      <c r="G126">
        <v>117.42</v>
      </c>
      <c r="H126" s="26">
        <f t="shared" si="1"/>
        <v>0.49466666666666675</v>
      </c>
    </row>
    <row r="127" spans="1:8" x14ac:dyDescent="0.25">
      <c r="A127" s="2">
        <v>39965</v>
      </c>
      <c r="B127" s="31">
        <v>5.3449999999999998</v>
      </c>
      <c r="C127" s="2"/>
      <c r="E127" s="29"/>
      <c r="F127" s="2">
        <v>38292</v>
      </c>
      <c r="G127">
        <v>117.69</v>
      </c>
      <c r="H127" s="26">
        <f t="shared" si="1"/>
        <v>0.51266666666666649</v>
      </c>
    </row>
    <row r="128" spans="1:8" x14ac:dyDescent="0.25">
      <c r="A128" s="2">
        <v>39995</v>
      </c>
      <c r="B128" s="31">
        <v>5.1470000000000002</v>
      </c>
      <c r="C128" s="2"/>
      <c r="E128" s="29"/>
      <c r="F128" s="2">
        <v>38322</v>
      </c>
      <c r="G128">
        <v>117.96</v>
      </c>
      <c r="H128" s="26">
        <f t="shared" si="1"/>
        <v>0.53066666666666629</v>
      </c>
    </row>
    <row r="129" spans="1:8" x14ac:dyDescent="0.25">
      <c r="A129" s="2">
        <v>40026</v>
      </c>
      <c r="B129" s="31">
        <v>5.1112500000000001</v>
      </c>
      <c r="C129" s="2"/>
      <c r="E129" s="29"/>
      <c r="F129" s="2">
        <v>38353</v>
      </c>
      <c r="G129">
        <v>118.39</v>
      </c>
      <c r="H129" s="26">
        <f t="shared" si="1"/>
        <v>0.55933333333333335</v>
      </c>
    </row>
    <row r="130" spans="1:8" x14ac:dyDescent="0.25">
      <c r="A130" s="2">
        <v>40057</v>
      </c>
      <c r="B130" s="31">
        <v>4.9762500000000003</v>
      </c>
      <c r="C130" s="2"/>
      <c r="E130" s="29"/>
      <c r="F130" s="2">
        <v>38384</v>
      </c>
      <c r="G130">
        <v>118.81</v>
      </c>
      <c r="H130" s="26">
        <f t="shared" si="1"/>
        <v>0.58733333333333348</v>
      </c>
    </row>
    <row r="131" spans="1:8" x14ac:dyDescent="0.25">
      <c r="A131" s="2">
        <v>40087</v>
      </c>
      <c r="B131" s="31">
        <v>4.8769999999999998</v>
      </c>
      <c r="C131" s="2"/>
      <c r="E131" s="29"/>
      <c r="F131" s="2">
        <v>38412</v>
      </c>
      <c r="G131">
        <v>119.23</v>
      </c>
      <c r="H131" s="26">
        <f t="shared" ref="H131:H194" si="2">IF(G131&lt;110,0,IF(G131&lt;=125,(G131-110)/($K$2-$K$3),1))</f>
        <v>0.61533333333333362</v>
      </c>
    </row>
    <row r="132" spans="1:8" x14ac:dyDescent="0.25">
      <c r="A132" s="2">
        <v>40118</v>
      </c>
      <c r="B132" s="31">
        <v>4.8</v>
      </c>
      <c r="C132" s="2"/>
      <c r="E132" s="29"/>
      <c r="F132" s="2">
        <v>38443</v>
      </c>
      <c r="G132">
        <v>120.01</v>
      </c>
      <c r="H132" s="26">
        <f t="shared" si="2"/>
        <v>0.66733333333333367</v>
      </c>
    </row>
    <row r="133" spans="1:8" x14ac:dyDescent="0.25">
      <c r="A133" s="2">
        <v>40148</v>
      </c>
      <c r="B133" s="31">
        <v>4.8550000000000004</v>
      </c>
      <c r="C133" s="2"/>
      <c r="E133" s="29"/>
      <c r="F133" s="2">
        <v>38473</v>
      </c>
      <c r="G133">
        <v>120.79</v>
      </c>
      <c r="H133" s="26">
        <f t="shared" si="2"/>
        <v>0.71933333333333371</v>
      </c>
    </row>
    <row r="134" spans="1:8" x14ac:dyDescent="0.25">
      <c r="A134" s="2">
        <v>40179</v>
      </c>
      <c r="B134" s="31">
        <v>4.9487500000000004</v>
      </c>
      <c r="C134" s="2"/>
      <c r="E134" s="29"/>
      <c r="F134" s="2">
        <v>38504</v>
      </c>
      <c r="G134">
        <v>121.56</v>
      </c>
      <c r="H134" s="26">
        <f t="shared" si="2"/>
        <v>0.77066666666666683</v>
      </c>
    </row>
    <row r="135" spans="1:8" x14ac:dyDescent="0.25">
      <c r="A135" s="2">
        <v>40210</v>
      </c>
      <c r="B135" s="31">
        <v>4.9149999999999903</v>
      </c>
      <c r="C135" s="2"/>
      <c r="E135" s="29"/>
      <c r="F135" s="2">
        <v>38534</v>
      </c>
      <c r="G135">
        <v>122.15</v>
      </c>
      <c r="H135" s="26">
        <f t="shared" si="2"/>
        <v>0.81000000000000039</v>
      </c>
    </row>
    <row r="136" spans="1:8" x14ac:dyDescent="0.25">
      <c r="A136" s="2">
        <v>40238</v>
      </c>
      <c r="B136" s="31">
        <v>4.8862500000000004</v>
      </c>
      <c r="C136" s="2"/>
      <c r="E136" s="29"/>
      <c r="F136" s="2">
        <v>38565</v>
      </c>
      <c r="G136">
        <v>122.75</v>
      </c>
      <c r="H136" s="26">
        <f t="shared" si="2"/>
        <v>0.85</v>
      </c>
    </row>
    <row r="137" spans="1:8" x14ac:dyDescent="0.25">
      <c r="A137" s="2">
        <v>40269</v>
      </c>
      <c r="B137" s="31">
        <v>5.0129999999999999</v>
      </c>
      <c r="C137" s="2"/>
      <c r="E137" s="29"/>
      <c r="F137" s="2">
        <v>38596</v>
      </c>
      <c r="G137">
        <v>123.33</v>
      </c>
      <c r="H137" s="26">
        <f t="shared" si="2"/>
        <v>0.8886666666666666</v>
      </c>
    </row>
    <row r="138" spans="1:8" x14ac:dyDescent="0.25">
      <c r="A138" s="2">
        <v>40299</v>
      </c>
      <c r="B138" s="31">
        <v>4.8125</v>
      </c>
      <c r="C138" s="2"/>
      <c r="E138" s="29"/>
      <c r="F138" s="2">
        <v>38626</v>
      </c>
      <c r="G138">
        <v>123.1</v>
      </c>
      <c r="H138" s="26">
        <f t="shared" si="2"/>
        <v>0.87333333333333296</v>
      </c>
    </row>
    <row r="139" spans="1:8" x14ac:dyDescent="0.25">
      <c r="A139" s="2">
        <v>40330</v>
      </c>
      <c r="B139" s="31">
        <v>4.6687499999999904</v>
      </c>
      <c r="C139" s="2"/>
      <c r="E139" s="29"/>
      <c r="F139" s="2">
        <v>38657</v>
      </c>
      <c r="G139">
        <v>122.88</v>
      </c>
      <c r="H139" s="26">
        <f t="shared" si="2"/>
        <v>0.85866666666666636</v>
      </c>
    </row>
    <row r="140" spans="1:8" x14ac:dyDescent="0.25">
      <c r="A140" s="2">
        <v>40360</v>
      </c>
      <c r="B140" s="31">
        <v>4.4889999999999999</v>
      </c>
      <c r="C140" s="2"/>
      <c r="E140" s="29"/>
      <c r="F140" s="2">
        <v>38687</v>
      </c>
      <c r="G140">
        <v>122.66</v>
      </c>
      <c r="H140" s="26">
        <f t="shared" si="2"/>
        <v>0.84399999999999975</v>
      </c>
    </row>
    <row r="141" spans="1:8" x14ac:dyDescent="0.25">
      <c r="A141" s="2">
        <v>40391</v>
      </c>
      <c r="B141" s="31">
        <v>4.3525</v>
      </c>
      <c r="C141" s="2"/>
      <c r="E141" s="29"/>
      <c r="F141" s="2">
        <v>38718</v>
      </c>
      <c r="G141">
        <v>122.67</v>
      </c>
      <c r="H141" s="26">
        <f t="shared" si="2"/>
        <v>0.84466666666666679</v>
      </c>
    </row>
    <row r="142" spans="1:8" x14ac:dyDescent="0.25">
      <c r="A142" s="2">
        <v>40422</v>
      </c>
      <c r="B142" s="31">
        <v>4.2759999999999998</v>
      </c>
      <c r="C142" s="2"/>
      <c r="E142" s="29"/>
      <c r="F142" s="2">
        <v>38749</v>
      </c>
      <c r="G142">
        <v>122.69</v>
      </c>
      <c r="H142" s="26">
        <f t="shared" si="2"/>
        <v>0.84599999999999986</v>
      </c>
    </row>
    <row r="143" spans="1:8" x14ac:dyDescent="0.25">
      <c r="A143" s="2">
        <v>40452</v>
      </c>
      <c r="B143" s="31">
        <v>4.1749999999999998</v>
      </c>
      <c r="C143" s="2"/>
      <c r="E143" s="29"/>
      <c r="F143" s="2">
        <v>38777</v>
      </c>
      <c r="G143">
        <v>122.7</v>
      </c>
      <c r="H143" s="26">
        <f t="shared" si="2"/>
        <v>0.8466666666666669</v>
      </c>
    </row>
    <row r="144" spans="1:8" x14ac:dyDescent="0.25">
      <c r="A144" s="2">
        <v>40483</v>
      </c>
      <c r="B144" s="31">
        <v>4.2562499999999996</v>
      </c>
      <c r="C144" s="2"/>
      <c r="E144" s="29"/>
      <c r="F144" s="2">
        <v>38808</v>
      </c>
      <c r="G144">
        <v>122.13</v>
      </c>
      <c r="H144" s="26">
        <f t="shared" si="2"/>
        <v>0.80866666666666631</v>
      </c>
    </row>
    <row r="145" spans="1:8" x14ac:dyDescent="0.25">
      <c r="A145" s="2">
        <v>40513</v>
      </c>
      <c r="B145" s="31">
        <v>4.649</v>
      </c>
      <c r="C145" s="2"/>
      <c r="E145" s="29"/>
      <c r="F145" s="2">
        <v>38838</v>
      </c>
      <c r="G145">
        <v>121.57</v>
      </c>
      <c r="H145" s="26">
        <f t="shared" si="2"/>
        <v>0.77133333333333287</v>
      </c>
    </row>
    <row r="146" spans="1:8" x14ac:dyDescent="0.25">
      <c r="A146" s="2">
        <v>40544</v>
      </c>
      <c r="B146" s="31">
        <v>4.6987500000000004</v>
      </c>
      <c r="C146" s="2"/>
      <c r="E146" s="29"/>
      <c r="F146" s="2">
        <v>38869</v>
      </c>
      <c r="G146">
        <v>121.02</v>
      </c>
      <c r="H146" s="26">
        <f t="shared" si="2"/>
        <v>0.73466666666666636</v>
      </c>
    </row>
    <row r="147" spans="1:8" x14ac:dyDescent="0.25">
      <c r="A147" s="2">
        <v>40575</v>
      </c>
      <c r="B147" s="31">
        <v>4.8775000000000004</v>
      </c>
      <c r="C147" s="2"/>
      <c r="E147" s="29"/>
      <c r="F147" s="2">
        <v>38899</v>
      </c>
      <c r="G147">
        <v>119.83</v>
      </c>
      <c r="H147" s="26">
        <f t="shared" si="2"/>
        <v>0.65533333333333321</v>
      </c>
    </row>
    <row r="148" spans="1:8" x14ac:dyDescent="0.25">
      <c r="A148" s="2">
        <v>40603</v>
      </c>
      <c r="B148" s="31">
        <v>4.7610000000000001</v>
      </c>
      <c r="C148" s="2"/>
      <c r="E148" s="29"/>
      <c r="F148" s="2">
        <v>38930</v>
      </c>
      <c r="G148">
        <v>118.67</v>
      </c>
      <c r="H148" s="26">
        <f t="shared" si="2"/>
        <v>0.57800000000000007</v>
      </c>
    </row>
    <row r="149" spans="1:8" x14ac:dyDescent="0.25">
      <c r="A149" s="2">
        <v>40634</v>
      </c>
      <c r="B149" s="31">
        <v>4.75875</v>
      </c>
      <c r="C149" s="2"/>
      <c r="E149" s="29"/>
      <c r="F149" s="2">
        <v>38961</v>
      </c>
      <c r="G149">
        <v>117.54</v>
      </c>
      <c r="H149" s="26">
        <f t="shared" si="2"/>
        <v>0.50266666666666704</v>
      </c>
    </row>
    <row r="150" spans="1:8" x14ac:dyDescent="0.25">
      <c r="A150" s="2">
        <v>40664</v>
      </c>
      <c r="B150" s="31">
        <v>4.5625</v>
      </c>
      <c r="C150" s="2"/>
      <c r="E150" s="29"/>
      <c r="F150" s="2">
        <v>38991</v>
      </c>
      <c r="G150">
        <v>117.11</v>
      </c>
      <c r="H150" s="26">
        <f t="shared" si="2"/>
        <v>0.47399999999999998</v>
      </c>
    </row>
    <row r="151" spans="1:8" x14ac:dyDescent="0.25">
      <c r="A151" s="2">
        <v>40695</v>
      </c>
      <c r="B151" s="31">
        <v>4.4349999999999996</v>
      </c>
      <c r="C151" s="2"/>
      <c r="E151" s="29"/>
      <c r="F151" s="2">
        <v>39022</v>
      </c>
      <c r="G151">
        <v>116.68</v>
      </c>
      <c r="H151" s="26">
        <f t="shared" si="2"/>
        <v>0.4453333333333338</v>
      </c>
    </row>
    <row r="152" spans="1:8" x14ac:dyDescent="0.25">
      <c r="A152" s="2">
        <v>40725</v>
      </c>
      <c r="B152" s="31">
        <v>4.4762499999999896</v>
      </c>
      <c r="C152" s="2"/>
      <c r="E152" s="29"/>
      <c r="F152" s="2">
        <v>39052</v>
      </c>
      <c r="G152">
        <v>116.26</v>
      </c>
      <c r="H152" s="26">
        <f t="shared" si="2"/>
        <v>0.41733333333333367</v>
      </c>
    </row>
    <row r="153" spans="1:8" x14ac:dyDescent="0.25">
      <c r="A153" s="2">
        <v>40756</v>
      </c>
      <c r="B153" s="31">
        <v>4.2012499999999999</v>
      </c>
      <c r="C153" s="2"/>
      <c r="E153" s="29"/>
      <c r="F153" s="2">
        <v>39083</v>
      </c>
      <c r="G153">
        <v>115.52</v>
      </c>
      <c r="H153" s="26">
        <f t="shared" si="2"/>
        <v>0.36799999999999972</v>
      </c>
    </row>
    <row r="154" spans="1:8" x14ac:dyDescent="0.25">
      <c r="A154" s="2">
        <v>40787</v>
      </c>
      <c r="B154" s="31">
        <v>4.0309999999999997</v>
      </c>
      <c r="C154" s="2"/>
      <c r="E154" s="29"/>
      <c r="F154" s="2">
        <v>39114</v>
      </c>
      <c r="G154">
        <v>114.78</v>
      </c>
      <c r="H154" s="26">
        <f t="shared" si="2"/>
        <v>0.31866666666666676</v>
      </c>
    </row>
    <row r="155" spans="1:8" x14ac:dyDescent="0.25">
      <c r="A155" s="2">
        <v>40817</v>
      </c>
      <c r="B155" s="31">
        <v>4.0175000000000001</v>
      </c>
      <c r="C155" s="2"/>
      <c r="E155" s="29"/>
      <c r="F155" s="2">
        <v>39142</v>
      </c>
      <c r="G155">
        <v>114.06</v>
      </c>
      <c r="H155" s="26">
        <f t="shared" si="2"/>
        <v>0.27066666666666683</v>
      </c>
    </row>
    <row r="156" spans="1:8" x14ac:dyDescent="0.25">
      <c r="A156" s="2">
        <v>40848</v>
      </c>
      <c r="B156" s="31">
        <v>3.9175</v>
      </c>
      <c r="C156" s="2"/>
      <c r="E156" s="29"/>
      <c r="F156" s="2">
        <v>39173</v>
      </c>
      <c r="G156">
        <v>112.84</v>
      </c>
      <c r="H156" s="26">
        <f t="shared" si="2"/>
        <v>0.18933333333333355</v>
      </c>
    </row>
    <row r="157" spans="1:8" x14ac:dyDescent="0.25">
      <c r="A157" s="2">
        <v>40878</v>
      </c>
      <c r="B157" s="31">
        <v>3.8879999999999999</v>
      </c>
      <c r="C157" s="2"/>
      <c r="E157" s="29"/>
      <c r="F157" s="2">
        <v>39203</v>
      </c>
      <c r="G157">
        <v>111.64</v>
      </c>
      <c r="H157" s="26">
        <f t="shared" si="2"/>
        <v>0.10933333333333337</v>
      </c>
    </row>
    <row r="158" spans="1:8" x14ac:dyDescent="0.25">
      <c r="A158" s="2">
        <v>40909</v>
      </c>
      <c r="B158" s="31">
        <v>3.8525</v>
      </c>
      <c r="C158" s="2"/>
      <c r="E158" s="29"/>
      <c r="F158" s="2">
        <v>39234</v>
      </c>
      <c r="G158">
        <v>110.46</v>
      </c>
      <c r="H158" s="26">
        <f t="shared" si="2"/>
        <v>3.0666666666666249E-2</v>
      </c>
    </row>
    <row r="159" spans="1:8" x14ac:dyDescent="0.25">
      <c r="A159" s="2">
        <v>40940</v>
      </c>
      <c r="B159" s="31">
        <v>3.84</v>
      </c>
      <c r="C159" s="2"/>
      <c r="E159" s="29"/>
      <c r="F159" s="2">
        <v>39264</v>
      </c>
      <c r="G159">
        <v>108.96</v>
      </c>
      <c r="H159" s="26">
        <f t="shared" si="2"/>
        <v>0</v>
      </c>
    </row>
    <row r="160" spans="1:8" x14ac:dyDescent="0.25">
      <c r="A160" s="2">
        <v>40969</v>
      </c>
      <c r="B160" s="31">
        <v>3.899</v>
      </c>
      <c r="C160" s="2"/>
      <c r="E160" s="29"/>
      <c r="F160" s="2">
        <v>39295</v>
      </c>
      <c r="G160">
        <v>107.49</v>
      </c>
      <c r="H160" s="26">
        <f t="shared" si="2"/>
        <v>0</v>
      </c>
    </row>
    <row r="161" spans="1:8" x14ac:dyDescent="0.25">
      <c r="A161" s="2">
        <v>41000</v>
      </c>
      <c r="B161" s="31">
        <v>3.8412500000000001</v>
      </c>
      <c r="C161" s="2"/>
      <c r="E161" s="29"/>
      <c r="F161" s="2">
        <v>39326</v>
      </c>
      <c r="G161">
        <v>106.05</v>
      </c>
      <c r="H161" s="26">
        <f t="shared" si="2"/>
        <v>0</v>
      </c>
    </row>
    <row r="162" spans="1:8" x14ac:dyDescent="0.25">
      <c r="A162" s="2">
        <v>41030</v>
      </c>
      <c r="B162" s="31">
        <v>3.738</v>
      </c>
      <c r="C162" s="2"/>
      <c r="E162" s="29"/>
      <c r="F162" s="2">
        <v>39356</v>
      </c>
      <c r="G162">
        <v>105.16</v>
      </c>
      <c r="H162" s="26">
        <f t="shared" si="2"/>
        <v>0</v>
      </c>
    </row>
    <row r="163" spans="1:8" x14ac:dyDescent="0.25">
      <c r="A163" s="2">
        <v>41061</v>
      </c>
      <c r="B163" s="31">
        <v>3.6</v>
      </c>
      <c r="C163" s="2"/>
      <c r="E163" s="29"/>
      <c r="F163" s="2">
        <v>39387</v>
      </c>
      <c r="G163">
        <v>104.28</v>
      </c>
      <c r="H163" s="26">
        <f t="shared" si="2"/>
        <v>0</v>
      </c>
    </row>
    <row r="164" spans="1:8" x14ac:dyDescent="0.25">
      <c r="A164" s="2">
        <v>41091</v>
      </c>
      <c r="B164" s="31">
        <v>3.4812500000000002</v>
      </c>
      <c r="C164" s="2"/>
      <c r="E164" s="29"/>
      <c r="F164" s="2">
        <v>39417</v>
      </c>
      <c r="G164">
        <v>103.41</v>
      </c>
      <c r="H164" s="26">
        <f t="shared" si="2"/>
        <v>0</v>
      </c>
    </row>
    <row r="165" spans="1:8" x14ac:dyDescent="0.25">
      <c r="A165" s="2">
        <v>41122</v>
      </c>
      <c r="B165" s="31">
        <v>3.512</v>
      </c>
      <c r="C165" s="2"/>
      <c r="E165" s="29"/>
      <c r="F165" s="2">
        <v>39448</v>
      </c>
      <c r="G165">
        <v>102.62</v>
      </c>
      <c r="H165" s="26">
        <f t="shared" si="2"/>
        <v>0</v>
      </c>
    </row>
    <row r="166" spans="1:8" x14ac:dyDescent="0.25">
      <c r="A166" s="2">
        <v>41153</v>
      </c>
      <c r="B166" s="31">
        <v>3.4037500000000001</v>
      </c>
      <c r="C166" s="2"/>
      <c r="E166" s="29"/>
      <c r="F166" s="2">
        <v>39479</v>
      </c>
      <c r="G166">
        <v>101.84</v>
      </c>
      <c r="H166" s="26">
        <f t="shared" si="2"/>
        <v>0</v>
      </c>
    </row>
    <row r="167" spans="1:8" x14ac:dyDescent="0.25">
      <c r="A167" s="2">
        <v>41183</v>
      </c>
      <c r="B167" s="31">
        <v>3.30125</v>
      </c>
      <c r="C167" s="2"/>
      <c r="E167" s="29"/>
      <c r="F167" s="2">
        <v>39508</v>
      </c>
      <c r="G167">
        <v>101.07</v>
      </c>
      <c r="H167" s="26">
        <f t="shared" si="2"/>
        <v>0</v>
      </c>
    </row>
    <row r="168" spans="1:8" x14ac:dyDescent="0.25">
      <c r="A168" s="2">
        <v>41214</v>
      </c>
      <c r="B168" s="31">
        <v>3.282</v>
      </c>
      <c r="C168" s="2"/>
      <c r="E168" s="29"/>
      <c r="F168" s="2">
        <v>39539</v>
      </c>
      <c r="G168">
        <v>99.89</v>
      </c>
      <c r="H168" s="26">
        <f t="shared" si="2"/>
        <v>0</v>
      </c>
    </row>
    <row r="169" spans="1:8" x14ac:dyDescent="0.25">
      <c r="A169" s="2">
        <v>41244</v>
      </c>
      <c r="B169" s="31">
        <v>3.27</v>
      </c>
      <c r="C169" s="2"/>
      <c r="E169" s="29"/>
      <c r="F169" s="2">
        <v>39569</v>
      </c>
      <c r="G169">
        <v>98.73</v>
      </c>
      <c r="H169" s="26">
        <f t="shared" si="2"/>
        <v>0</v>
      </c>
    </row>
    <row r="170" spans="1:8" x14ac:dyDescent="0.25">
      <c r="A170" s="2">
        <v>41275</v>
      </c>
      <c r="B170" s="31">
        <v>3.339</v>
      </c>
      <c r="C170" s="2"/>
      <c r="E170" s="29"/>
      <c r="F170" s="2">
        <v>39600</v>
      </c>
      <c r="G170">
        <v>97.57</v>
      </c>
      <c r="H170" s="26">
        <f t="shared" si="2"/>
        <v>0</v>
      </c>
    </row>
    <row r="171" spans="1:8" x14ac:dyDescent="0.25">
      <c r="A171" s="2">
        <v>41306</v>
      </c>
      <c r="B171" s="31">
        <v>3.4824999999999999</v>
      </c>
      <c r="C171" s="2"/>
      <c r="E171" s="29"/>
      <c r="F171" s="2">
        <v>39630</v>
      </c>
      <c r="G171">
        <v>96.28</v>
      </c>
      <c r="H171" s="26">
        <f t="shared" si="2"/>
        <v>0</v>
      </c>
    </row>
    <row r="172" spans="1:8" x14ac:dyDescent="0.25">
      <c r="A172" s="2">
        <v>41334</v>
      </c>
      <c r="B172" s="31">
        <v>3.50875</v>
      </c>
      <c r="C172" s="2"/>
      <c r="E172" s="29"/>
      <c r="F172" s="2">
        <v>39661</v>
      </c>
      <c r="G172">
        <v>95.01</v>
      </c>
      <c r="H172" s="26">
        <f t="shared" si="2"/>
        <v>0</v>
      </c>
    </row>
    <row r="173" spans="1:8" x14ac:dyDescent="0.25">
      <c r="A173" s="2">
        <v>41365</v>
      </c>
      <c r="B173" s="31">
        <v>3.3887499999999999</v>
      </c>
      <c r="C173" s="2"/>
      <c r="E173" s="29"/>
      <c r="F173" s="2">
        <v>39692</v>
      </c>
      <c r="G173">
        <v>93.74</v>
      </c>
      <c r="H173" s="26">
        <f t="shared" si="2"/>
        <v>0</v>
      </c>
    </row>
    <row r="174" spans="1:8" x14ac:dyDescent="0.25">
      <c r="A174" s="2">
        <v>41395</v>
      </c>
      <c r="B174" s="31">
        <v>3.4660000000000002</v>
      </c>
      <c r="C174" s="2"/>
      <c r="E174" s="29"/>
      <c r="F174" s="2">
        <v>39722</v>
      </c>
      <c r="G174">
        <v>93.15</v>
      </c>
      <c r="H174" s="26">
        <f t="shared" si="2"/>
        <v>0</v>
      </c>
    </row>
    <row r="175" spans="1:8" x14ac:dyDescent="0.25">
      <c r="A175" s="2">
        <v>41426</v>
      </c>
      <c r="B175" s="31">
        <v>4.0075000000000003</v>
      </c>
      <c r="C175" s="2"/>
      <c r="E175" s="29"/>
      <c r="F175" s="2">
        <v>39753</v>
      </c>
      <c r="G175">
        <v>92.55</v>
      </c>
      <c r="H175" s="26">
        <f t="shared" si="2"/>
        <v>0</v>
      </c>
    </row>
    <row r="176" spans="1:8" x14ac:dyDescent="0.25">
      <c r="A176" s="2">
        <v>41456</v>
      </c>
      <c r="B176" s="31">
        <v>4.3075000000000001</v>
      </c>
      <c r="C176" s="2"/>
      <c r="E176" s="29"/>
      <c r="F176" s="2">
        <v>39783</v>
      </c>
      <c r="G176">
        <v>91.97</v>
      </c>
      <c r="H176" s="26">
        <f t="shared" si="2"/>
        <v>0</v>
      </c>
    </row>
    <row r="177" spans="1:8" x14ac:dyDescent="0.25">
      <c r="A177" s="2">
        <v>41487</v>
      </c>
      <c r="B177" s="31">
        <v>4.3860000000000001</v>
      </c>
      <c r="C177" s="2"/>
      <c r="E177" s="29"/>
      <c r="F177" s="2">
        <v>39814</v>
      </c>
      <c r="G177">
        <v>92.08</v>
      </c>
      <c r="H177" s="26">
        <f t="shared" si="2"/>
        <v>0</v>
      </c>
    </row>
    <row r="178" spans="1:8" x14ac:dyDescent="0.25">
      <c r="A178" s="2">
        <v>41518</v>
      </c>
      <c r="B178" s="31">
        <v>4.4212499999999997</v>
      </c>
      <c r="C178" s="2"/>
      <c r="E178" s="29"/>
      <c r="F178" s="2">
        <v>39845</v>
      </c>
      <c r="G178">
        <v>92.19</v>
      </c>
      <c r="H178" s="26">
        <f t="shared" si="2"/>
        <v>0</v>
      </c>
    </row>
    <row r="179" spans="1:8" x14ac:dyDescent="0.25">
      <c r="A179" s="2">
        <v>41548</v>
      </c>
      <c r="B179" s="31">
        <v>4.1219999999999999</v>
      </c>
      <c r="C179" s="2"/>
      <c r="E179" s="29"/>
      <c r="F179" s="2">
        <v>39873</v>
      </c>
      <c r="G179">
        <v>92.31</v>
      </c>
      <c r="H179" s="26">
        <f t="shared" si="2"/>
        <v>0</v>
      </c>
    </row>
    <row r="180" spans="1:8" x14ac:dyDescent="0.25">
      <c r="A180" s="2">
        <v>41579</v>
      </c>
      <c r="B180" s="31">
        <v>4.1862499999999896</v>
      </c>
      <c r="C180" s="2"/>
      <c r="E180" s="29"/>
      <c r="F180" s="2">
        <v>39904</v>
      </c>
      <c r="G180">
        <v>91.51</v>
      </c>
      <c r="H180" s="26">
        <f t="shared" si="2"/>
        <v>0</v>
      </c>
    </row>
    <row r="181" spans="1:8" x14ac:dyDescent="0.25">
      <c r="A181" s="2">
        <v>41609</v>
      </c>
      <c r="B181" s="31">
        <v>4.37</v>
      </c>
      <c r="C181" s="2"/>
      <c r="E181" s="29"/>
      <c r="F181" s="2">
        <v>39934</v>
      </c>
      <c r="G181">
        <v>90.71</v>
      </c>
      <c r="H181" s="26">
        <f t="shared" si="2"/>
        <v>0</v>
      </c>
    </row>
    <row r="182" spans="1:8" x14ac:dyDescent="0.25">
      <c r="A182" s="2">
        <v>41640</v>
      </c>
      <c r="B182" s="31">
        <v>4.3620000000000001</v>
      </c>
      <c r="C182" s="2"/>
      <c r="E182" s="29"/>
      <c r="F182" s="2">
        <v>39965</v>
      </c>
      <c r="G182">
        <v>89.92</v>
      </c>
      <c r="H182" s="26">
        <f t="shared" si="2"/>
        <v>0</v>
      </c>
    </row>
    <row r="183" spans="1:8" x14ac:dyDescent="0.25">
      <c r="A183" s="2">
        <v>41671</v>
      </c>
      <c r="B183" s="31">
        <v>4.2275</v>
      </c>
      <c r="C183" s="2"/>
      <c r="E183" s="29"/>
      <c r="F183" s="2">
        <v>39995</v>
      </c>
      <c r="G183">
        <v>89.45</v>
      </c>
      <c r="H183" s="26">
        <f t="shared" si="2"/>
        <v>0</v>
      </c>
    </row>
    <row r="184" spans="1:8" x14ac:dyDescent="0.25">
      <c r="A184" s="2">
        <v>41699</v>
      </c>
      <c r="B184" s="31">
        <v>4.2487500000000002</v>
      </c>
      <c r="C184" s="2"/>
      <c r="E184" s="29"/>
      <c r="F184" s="2">
        <v>40026</v>
      </c>
      <c r="G184">
        <v>88.99</v>
      </c>
      <c r="H184" s="26">
        <f t="shared" si="2"/>
        <v>0</v>
      </c>
    </row>
    <row r="185" spans="1:8" x14ac:dyDescent="0.25">
      <c r="A185" s="2">
        <v>41730</v>
      </c>
      <c r="B185" s="31">
        <v>4.2562499999999996</v>
      </c>
      <c r="C185" s="2"/>
      <c r="E185" s="29"/>
      <c r="F185" s="2">
        <v>40057</v>
      </c>
      <c r="G185">
        <v>88.52</v>
      </c>
      <c r="H185" s="26">
        <f t="shared" si="2"/>
        <v>0</v>
      </c>
    </row>
    <row r="186" spans="1:8" x14ac:dyDescent="0.25">
      <c r="A186" s="2">
        <v>41760</v>
      </c>
      <c r="B186" s="31">
        <v>4.0970000000000004</v>
      </c>
      <c r="C186" s="2"/>
      <c r="E186" s="29"/>
      <c r="F186" s="2">
        <v>40087</v>
      </c>
      <c r="G186">
        <v>88.39</v>
      </c>
      <c r="H186" s="26">
        <f t="shared" si="2"/>
        <v>0</v>
      </c>
    </row>
    <row r="187" spans="1:8" x14ac:dyDescent="0.25">
      <c r="A187" s="2">
        <v>41791</v>
      </c>
      <c r="B187" s="31">
        <v>4.05</v>
      </c>
      <c r="C187" s="2"/>
      <c r="E187" s="29"/>
      <c r="F187" s="2">
        <v>40118</v>
      </c>
      <c r="G187">
        <v>88.26</v>
      </c>
      <c r="H187" s="26">
        <f t="shared" si="2"/>
        <v>0</v>
      </c>
    </row>
    <row r="188" spans="1:8" x14ac:dyDescent="0.25">
      <c r="A188" s="2">
        <v>41821</v>
      </c>
      <c r="B188" s="31">
        <v>4.03</v>
      </c>
      <c r="C188" s="2"/>
      <c r="E188" s="29"/>
      <c r="F188" s="2">
        <v>40148</v>
      </c>
      <c r="G188">
        <v>88.13</v>
      </c>
      <c r="H188" s="26">
        <f t="shared" si="2"/>
        <v>0</v>
      </c>
    </row>
    <row r="189" spans="1:8" x14ac:dyDescent="0.25">
      <c r="A189" s="2">
        <v>41852</v>
      </c>
      <c r="B189" s="31">
        <v>4.0087499999999903</v>
      </c>
      <c r="C189" s="2"/>
      <c r="E189" s="29"/>
      <c r="F189" s="2">
        <v>40179</v>
      </c>
      <c r="G189">
        <v>87.98</v>
      </c>
      <c r="H189" s="26">
        <f t="shared" si="2"/>
        <v>0</v>
      </c>
    </row>
    <row r="190" spans="1:8" x14ac:dyDescent="0.25">
      <c r="A190" s="2">
        <v>41883</v>
      </c>
      <c r="B190" s="31">
        <v>4.0374999999999996</v>
      </c>
      <c r="C190" s="2"/>
      <c r="E190" s="29"/>
      <c r="F190" s="2">
        <v>40210</v>
      </c>
      <c r="G190">
        <v>87.84</v>
      </c>
      <c r="H190" s="26">
        <f t="shared" si="2"/>
        <v>0</v>
      </c>
    </row>
    <row r="191" spans="1:8" x14ac:dyDescent="0.25">
      <c r="A191" s="2">
        <v>41913</v>
      </c>
      <c r="B191" s="31">
        <v>3.9060000000000001</v>
      </c>
      <c r="C191" s="2"/>
      <c r="E191" s="29"/>
      <c r="F191" s="2">
        <v>40238</v>
      </c>
      <c r="G191">
        <v>87.69</v>
      </c>
      <c r="H191" s="26">
        <f t="shared" si="2"/>
        <v>0</v>
      </c>
    </row>
    <row r="192" spans="1:8" x14ac:dyDescent="0.25">
      <c r="A192" s="2">
        <v>41944</v>
      </c>
      <c r="B192" s="31">
        <v>3.8725000000000001</v>
      </c>
      <c r="C192" s="2"/>
      <c r="E192" s="29"/>
      <c r="F192" s="2">
        <v>40269</v>
      </c>
      <c r="G192">
        <v>88.16</v>
      </c>
      <c r="H192" s="26">
        <f t="shared" si="2"/>
        <v>0</v>
      </c>
    </row>
    <row r="193" spans="1:8" x14ac:dyDescent="0.25">
      <c r="A193" s="2">
        <v>41974</v>
      </c>
      <c r="B193" s="31">
        <v>3.754</v>
      </c>
      <c r="C193" s="2"/>
      <c r="E193" s="29"/>
      <c r="F193" s="2">
        <v>40299</v>
      </c>
      <c r="G193">
        <v>88.63</v>
      </c>
      <c r="H193" s="26">
        <f t="shared" si="2"/>
        <v>0</v>
      </c>
    </row>
    <row r="194" spans="1:8" x14ac:dyDescent="0.25">
      <c r="A194" s="2">
        <v>42005</v>
      </c>
      <c r="B194" s="31">
        <v>3.5762499999999999</v>
      </c>
      <c r="C194" s="2"/>
      <c r="E194" s="29"/>
      <c r="F194" s="2">
        <v>40330</v>
      </c>
      <c r="G194">
        <v>89.12</v>
      </c>
      <c r="H194" s="26">
        <f t="shared" si="2"/>
        <v>0</v>
      </c>
    </row>
    <row r="195" spans="1:8" x14ac:dyDescent="0.25">
      <c r="A195" s="2">
        <v>42036</v>
      </c>
      <c r="B195" s="31">
        <v>3.61625</v>
      </c>
      <c r="C195" s="2"/>
      <c r="E195" s="29"/>
      <c r="F195" s="2">
        <v>40360</v>
      </c>
      <c r="G195">
        <v>90.35</v>
      </c>
      <c r="H195" s="26">
        <f t="shared" ref="H195:H258" si="3">IF(G195&lt;110,0,IF(G195&lt;=125,(G195-110)/($K$2-$K$3),1))</f>
        <v>0</v>
      </c>
    </row>
    <row r="196" spans="1:8" x14ac:dyDescent="0.25">
      <c r="A196" s="2">
        <v>42064</v>
      </c>
      <c r="B196" s="31">
        <v>3.67</v>
      </c>
      <c r="C196" s="2"/>
      <c r="E196" s="29"/>
      <c r="F196" s="2">
        <v>40391</v>
      </c>
      <c r="G196">
        <v>91.6</v>
      </c>
      <c r="H196" s="26">
        <f t="shared" si="3"/>
        <v>0</v>
      </c>
    </row>
    <row r="197" spans="1:8" x14ac:dyDescent="0.25">
      <c r="A197" s="2">
        <v>42095</v>
      </c>
      <c r="B197" s="31">
        <v>3.577</v>
      </c>
      <c r="C197" s="2"/>
      <c r="E197" s="29"/>
      <c r="F197" s="2">
        <v>40422</v>
      </c>
      <c r="G197">
        <v>92.88</v>
      </c>
      <c r="H197" s="26">
        <f t="shared" si="3"/>
        <v>0</v>
      </c>
    </row>
    <row r="198" spans="1:8" x14ac:dyDescent="0.25">
      <c r="A198" s="2">
        <v>42125</v>
      </c>
      <c r="B198" s="31">
        <v>3.7462499999999999</v>
      </c>
      <c r="C198" s="2"/>
      <c r="E198" s="29"/>
      <c r="F198" s="2">
        <v>40452</v>
      </c>
      <c r="G198">
        <v>92.93</v>
      </c>
      <c r="H198" s="26">
        <f t="shared" si="3"/>
        <v>0</v>
      </c>
    </row>
    <row r="199" spans="1:8" x14ac:dyDescent="0.25">
      <c r="A199" s="2">
        <v>42156</v>
      </c>
      <c r="B199" s="31">
        <v>3.895</v>
      </c>
      <c r="C199" s="2"/>
      <c r="E199" s="29"/>
      <c r="F199" s="2">
        <v>40483</v>
      </c>
      <c r="G199">
        <v>92.99</v>
      </c>
      <c r="H199" s="26">
        <f t="shared" si="3"/>
        <v>0</v>
      </c>
    </row>
    <row r="200" spans="1:8" x14ac:dyDescent="0.25">
      <c r="A200" s="2">
        <v>42186</v>
      </c>
      <c r="B200" s="31">
        <v>3.9460000000000002</v>
      </c>
      <c r="C200" s="2"/>
      <c r="E200" s="29"/>
      <c r="F200" s="2">
        <v>40513</v>
      </c>
      <c r="G200">
        <v>93.04</v>
      </c>
      <c r="H200" s="26">
        <f t="shared" si="3"/>
        <v>0</v>
      </c>
    </row>
    <row r="201" spans="1:8" x14ac:dyDescent="0.25">
      <c r="A201" s="2">
        <v>42217</v>
      </c>
      <c r="B201" s="31">
        <v>3.8050000000000002</v>
      </c>
      <c r="C201" s="2"/>
      <c r="E201" s="29"/>
      <c r="F201" s="2">
        <v>40544</v>
      </c>
      <c r="G201">
        <v>91.96</v>
      </c>
      <c r="H201" s="26">
        <f t="shared" si="3"/>
        <v>0</v>
      </c>
    </row>
    <row r="202" spans="1:8" x14ac:dyDescent="0.25">
      <c r="A202" s="2">
        <v>42248</v>
      </c>
      <c r="B202" s="31">
        <v>3.7962500000000001</v>
      </c>
      <c r="C202" s="2"/>
      <c r="E202" s="29"/>
      <c r="F202" s="2">
        <v>40575</v>
      </c>
      <c r="G202">
        <v>90.88</v>
      </c>
      <c r="H202" s="26">
        <f t="shared" si="3"/>
        <v>0</v>
      </c>
    </row>
    <row r="203" spans="1:8" x14ac:dyDescent="0.25">
      <c r="A203" s="2">
        <v>42278</v>
      </c>
      <c r="B203" s="31">
        <v>3.6960000000000002</v>
      </c>
      <c r="C203" s="2"/>
      <c r="E203" s="29"/>
      <c r="F203" s="2">
        <v>40603</v>
      </c>
      <c r="G203">
        <v>89.81</v>
      </c>
      <c r="H203" s="26">
        <f t="shared" si="3"/>
        <v>0</v>
      </c>
    </row>
    <row r="204" spans="1:8" x14ac:dyDescent="0.25">
      <c r="A204" s="2">
        <v>42309</v>
      </c>
      <c r="B204" s="31">
        <v>3.8487499999999999</v>
      </c>
      <c r="C204" s="2"/>
      <c r="E204" s="29"/>
      <c r="F204" s="2">
        <v>40634</v>
      </c>
      <c r="G204">
        <v>90.1</v>
      </c>
      <c r="H204" s="26">
        <f t="shared" si="3"/>
        <v>0</v>
      </c>
    </row>
    <row r="205" spans="1:8" x14ac:dyDescent="0.25">
      <c r="A205" s="2">
        <v>42339</v>
      </c>
      <c r="B205" s="31">
        <v>3.8639999999999999</v>
      </c>
      <c r="C205" s="2"/>
      <c r="E205" s="29"/>
      <c r="F205" s="2">
        <v>40664</v>
      </c>
      <c r="G205">
        <v>90.4</v>
      </c>
      <c r="H205" s="26">
        <f t="shared" si="3"/>
        <v>0</v>
      </c>
    </row>
    <row r="206" spans="1:8" x14ac:dyDescent="0.25">
      <c r="A206" s="2">
        <v>42370</v>
      </c>
      <c r="B206" s="31">
        <v>3.7725</v>
      </c>
      <c r="C206" s="2"/>
      <c r="E206" s="29"/>
      <c r="F206" s="2">
        <v>40695</v>
      </c>
      <c r="G206">
        <v>90.7</v>
      </c>
      <c r="H206" s="26">
        <f t="shared" si="3"/>
        <v>0</v>
      </c>
    </row>
    <row r="207" spans="1:8" x14ac:dyDescent="0.25">
      <c r="A207" s="2">
        <v>42401</v>
      </c>
      <c r="B207" s="31">
        <v>3.5474999999999999</v>
      </c>
      <c r="C207" s="2"/>
      <c r="E207" s="29"/>
      <c r="F207" s="2">
        <v>40725</v>
      </c>
      <c r="G207">
        <v>91.74</v>
      </c>
      <c r="H207" s="26">
        <f t="shared" si="3"/>
        <v>0</v>
      </c>
    </row>
    <row r="208" spans="1:8" x14ac:dyDescent="0.25">
      <c r="A208" s="2">
        <v>42430</v>
      </c>
      <c r="B208" s="31">
        <v>3.569</v>
      </c>
      <c r="C208" s="2"/>
      <c r="E208" s="29"/>
      <c r="F208" s="2">
        <v>40756</v>
      </c>
      <c r="G208">
        <v>92.81</v>
      </c>
      <c r="H208" s="26">
        <f t="shared" si="3"/>
        <v>0</v>
      </c>
    </row>
    <row r="209" spans="1:8" x14ac:dyDescent="0.25">
      <c r="A209" s="2">
        <v>42461</v>
      </c>
      <c r="B209" s="31">
        <v>3.4649999999999999</v>
      </c>
      <c r="C209" s="2"/>
      <c r="E209" s="29"/>
      <c r="F209" s="2">
        <v>40787</v>
      </c>
      <c r="G209">
        <v>93.89</v>
      </c>
      <c r="H209" s="26">
        <f t="shared" si="3"/>
        <v>0</v>
      </c>
    </row>
    <row r="210" spans="1:8" x14ac:dyDescent="0.25">
      <c r="A210" s="2"/>
      <c r="C210" s="2"/>
      <c r="E210" s="29"/>
      <c r="F210" s="2">
        <v>40817</v>
      </c>
      <c r="G210">
        <v>94.26</v>
      </c>
      <c r="H210" s="26">
        <f t="shared" si="3"/>
        <v>0</v>
      </c>
    </row>
    <row r="211" spans="1:8" x14ac:dyDescent="0.25">
      <c r="A211" s="2"/>
      <c r="C211" s="2"/>
      <c r="E211" s="29"/>
      <c r="F211" s="2">
        <v>40848</v>
      </c>
      <c r="G211">
        <v>94.63</v>
      </c>
      <c r="H211" s="26">
        <f t="shared" si="3"/>
        <v>0</v>
      </c>
    </row>
    <row r="212" spans="1:8" x14ac:dyDescent="0.25">
      <c r="A212" s="2"/>
      <c r="C212" s="2"/>
      <c r="E212" s="29"/>
      <c r="F212" s="2">
        <v>40878</v>
      </c>
      <c r="G212">
        <v>95.01</v>
      </c>
      <c r="H212" s="26">
        <f t="shared" si="3"/>
        <v>0</v>
      </c>
    </row>
    <row r="213" spans="1:8" x14ac:dyDescent="0.25">
      <c r="A213" s="2"/>
      <c r="C213" s="2"/>
      <c r="E213" s="29"/>
      <c r="F213" s="2">
        <v>40909</v>
      </c>
      <c r="G213">
        <v>95.06</v>
      </c>
      <c r="H213" s="26">
        <f t="shared" si="3"/>
        <v>0</v>
      </c>
    </row>
    <row r="214" spans="1:8" x14ac:dyDescent="0.25">
      <c r="A214" s="2"/>
      <c r="C214" s="2"/>
      <c r="E214" s="29"/>
      <c r="F214" s="2">
        <v>40940</v>
      </c>
      <c r="G214">
        <v>95.12</v>
      </c>
      <c r="H214" s="26">
        <f t="shared" si="3"/>
        <v>0</v>
      </c>
    </row>
    <row r="215" spans="1:8" x14ac:dyDescent="0.25">
      <c r="A215" s="2"/>
      <c r="C215" s="2"/>
      <c r="E215" s="29"/>
      <c r="F215" s="2">
        <v>40969</v>
      </c>
      <c r="G215">
        <v>95.17</v>
      </c>
      <c r="H215" s="26">
        <f t="shared" si="3"/>
        <v>0</v>
      </c>
    </row>
    <row r="216" spans="1:8" x14ac:dyDescent="0.25">
      <c r="A216" s="2"/>
      <c r="C216" s="2"/>
      <c r="E216" s="29"/>
      <c r="F216" s="2">
        <v>41000</v>
      </c>
      <c r="G216">
        <v>95.34</v>
      </c>
      <c r="H216" s="26">
        <f t="shared" si="3"/>
        <v>0</v>
      </c>
    </row>
    <row r="217" spans="1:8" x14ac:dyDescent="0.25">
      <c r="A217" s="2"/>
      <c r="C217" s="2"/>
      <c r="E217" s="29"/>
      <c r="F217" s="2">
        <v>41030</v>
      </c>
      <c r="G217">
        <v>95.5</v>
      </c>
      <c r="H217" s="26">
        <f t="shared" si="3"/>
        <v>0</v>
      </c>
    </row>
    <row r="218" spans="1:8" x14ac:dyDescent="0.25">
      <c r="A218" s="2"/>
      <c r="C218" s="2"/>
      <c r="E218" s="29"/>
      <c r="F218" s="2">
        <v>41061</v>
      </c>
      <c r="G218">
        <v>95.67</v>
      </c>
      <c r="H218" s="26">
        <f t="shared" si="3"/>
        <v>0</v>
      </c>
    </row>
    <row r="219" spans="1:8" x14ac:dyDescent="0.25">
      <c r="A219" s="2"/>
      <c r="C219" s="2"/>
      <c r="E219" s="29"/>
      <c r="F219" s="2">
        <v>41091</v>
      </c>
      <c r="G219">
        <v>95.77</v>
      </c>
      <c r="H219" s="26">
        <f t="shared" si="3"/>
        <v>0</v>
      </c>
    </row>
    <row r="220" spans="1:8" x14ac:dyDescent="0.25">
      <c r="A220" s="2"/>
      <c r="C220" s="2"/>
      <c r="E220" s="29"/>
      <c r="F220" s="2">
        <v>41122</v>
      </c>
      <c r="G220">
        <v>95.88</v>
      </c>
      <c r="H220" s="26">
        <f t="shared" si="3"/>
        <v>0</v>
      </c>
    </row>
    <row r="221" spans="1:8" x14ac:dyDescent="0.25">
      <c r="A221" s="2"/>
      <c r="C221" s="2"/>
      <c r="E221" s="29"/>
      <c r="F221" s="2">
        <v>41153</v>
      </c>
      <c r="G221">
        <v>95.98</v>
      </c>
      <c r="H221" s="26">
        <f t="shared" si="3"/>
        <v>0</v>
      </c>
    </row>
    <row r="222" spans="1:8" x14ac:dyDescent="0.25">
      <c r="A222" s="2"/>
      <c r="C222" s="2"/>
      <c r="E222" s="29"/>
      <c r="F222" s="2">
        <v>41183</v>
      </c>
      <c r="G222">
        <v>96.47</v>
      </c>
      <c r="H222" s="26">
        <f t="shared" si="3"/>
        <v>0</v>
      </c>
    </row>
    <row r="223" spans="1:8" x14ac:dyDescent="0.25">
      <c r="A223" s="2"/>
      <c r="C223" s="2"/>
      <c r="E223" s="29"/>
      <c r="F223" s="2">
        <v>41214</v>
      </c>
      <c r="G223">
        <v>96.97</v>
      </c>
      <c r="H223" s="26">
        <f t="shared" si="3"/>
        <v>0</v>
      </c>
    </row>
    <row r="224" spans="1:8" x14ac:dyDescent="0.25">
      <c r="A224" s="2"/>
      <c r="C224" s="2"/>
      <c r="E224" s="29"/>
      <c r="F224" s="2">
        <v>41244</v>
      </c>
      <c r="G224">
        <v>97.47</v>
      </c>
      <c r="H224" s="26">
        <f t="shared" si="3"/>
        <v>0</v>
      </c>
    </row>
    <row r="225" spans="1:8" x14ac:dyDescent="0.25">
      <c r="A225" s="2"/>
      <c r="C225" s="2"/>
      <c r="E225" s="29"/>
      <c r="F225" s="2">
        <v>41275</v>
      </c>
      <c r="G225">
        <v>98.55</v>
      </c>
      <c r="H225" s="26">
        <f t="shared" si="3"/>
        <v>0</v>
      </c>
    </row>
    <row r="226" spans="1:8" x14ac:dyDescent="0.25">
      <c r="A226" s="2"/>
      <c r="C226" s="2"/>
      <c r="E226" s="29"/>
      <c r="F226" s="2">
        <v>41306</v>
      </c>
      <c r="G226">
        <v>99.64</v>
      </c>
      <c r="H226" s="26">
        <f t="shared" si="3"/>
        <v>0</v>
      </c>
    </row>
    <row r="227" spans="1:8" x14ac:dyDescent="0.25">
      <c r="A227" s="2"/>
      <c r="C227" s="2"/>
      <c r="E227" s="29"/>
      <c r="F227" s="2">
        <v>41334</v>
      </c>
      <c r="G227">
        <v>100.76</v>
      </c>
      <c r="H227" s="26">
        <f t="shared" si="3"/>
        <v>0</v>
      </c>
    </row>
    <row r="228" spans="1:8" x14ac:dyDescent="0.25">
      <c r="A228" s="2"/>
      <c r="C228" s="2"/>
      <c r="E228" s="29"/>
      <c r="F228" s="2">
        <v>41365</v>
      </c>
      <c r="G228">
        <v>101.88</v>
      </c>
      <c r="H228" s="26">
        <f t="shared" si="3"/>
        <v>0</v>
      </c>
    </row>
    <row r="229" spans="1:8" x14ac:dyDescent="0.25">
      <c r="A229" s="2"/>
      <c r="C229" s="2"/>
      <c r="E229" s="29"/>
      <c r="F229" s="2">
        <v>41395</v>
      </c>
      <c r="G229">
        <v>103</v>
      </c>
      <c r="H229" s="26">
        <f t="shared" si="3"/>
        <v>0</v>
      </c>
    </row>
    <row r="230" spans="1:8" x14ac:dyDescent="0.25">
      <c r="A230" s="2"/>
      <c r="C230" s="2"/>
      <c r="E230" s="29"/>
      <c r="F230" s="2">
        <v>41426</v>
      </c>
      <c r="G230">
        <v>104.14</v>
      </c>
      <c r="H230" s="26">
        <f t="shared" si="3"/>
        <v>0</v>
      </c>
    </row>
    <row r="231" spans="1:8" x14ac:dyDescent="0.25">
      <c r="A231" s="2"/>
      <c r="C231" s="2"/>
      <c r="E231" s="29"/>
      <c r="F231" s="2">
        <v>41456</v>
      </c>
      <c r="G231">
        <v>104.44</v>
      </c>
      <c r="H231" s="26">
        <f t="shared" si="3"/>
        <v>0</v>
      </c>
    </row>
    <row r="232" spans="1:8" x14ac:dyDescent="0.25">
      <c r="A232" s="2"/>
      <c r="C232" s="2"/>
      <c r="E232" s="29"/>
      <c r="F232" s="2">
        <v>41487</v>
      </c>
      <c r="G232">
        <v>104.74</v>
      </c>
      <c r="H232" s="26">
        <f t="shared" si="3"/>
        <v>0</v>
      </c>
    </row>
    <row r="233" spans="1:8" x14ac:dyDescent="0.25">
      <c r="A233" s="2"/>
      <c r="C233" s="2"/>
      <c r="E233" s="29"/>
      <c r="F233" s="2">
        <v>41518</v>
      </c>
      <c r="G233">
        <v>105.03</v>
      </c>
      <c r="H233" s="26">
        <f t="shared" si="3"/>
        <v>0</v>
      </c>
    </row>
    <row r="234" spans="1:8" x14ac:dyDescent="0.25">
      <c r="A234" s="2"/>
      <c r="C234" s="2"/>
      <c r="E234" s="29"/>
      <c r="F234" s="2">
        <v>41548</v>
      </c>
      <c r="G234">
        <v>105.2</v>
      </c>
      <c r="H234" s="26">
        <f t="shared" si="3"/>
        <v>0</v>
      </c>
    </row>
    <row r="235" spans="1:8" x14ac:dyDescent="0.25">
      <c r="A235" s="2"/>
      <c r="C235" s="2"/>
      <c r="E235" s="29"/>
      <c r="F235" s="2">
        <v>41579</v>
      </c>
      <c r="G235">
        <v>105.38</v>
      </c>
      <c r="H235" s="26">
        <f t="shared" si="3"/>
        <v>0</v>
      </c>
    </row>
    <row r="236" spans="1:8" x14ac:dyDescent="0.25">
      <c r="A236" s="2"/>
      <c r="C236" s="2"/>
      <c r="E236" s="29"/>
      <c r="F236" s="2">
        <v>41609</v>
      </c>
      <c r="G236">
        <v>105.55</v>
      </c>
      <c r="H236" s="26">
        <f t="shared" si="3"/>
        <v>0</v>
      </c>
    </row>
    <row r="237" spans="1:8" x14ac:dyDescent="0.25">
      <c r="A237" s="2"/>
      <c r="C237" s="2"/>
      <c r="E237" s="29"/>
      <c r="F237" s="2">
        <v>41640</v>
      </c>
      <c r="G237">
        <v>106.24</v>
      </c>
      <c r="H237" s="26">
        <f t="shared" si="3"/>
        <v>0</v>
      </c>
    </row>
    <row r="238" spans="1:8" x14ac:dyDescent="0.25">
      <c r="A238" s="2"/>
      <c r="C238" s="2"/>
      <c r="E238" s="29"/>
      <c r="F238" s="2">
        <v>41671</v>
      </c>
      <c r="G238">
        <v>106.93</v>
      </c>
      <c r="H238" s="26">
        <f t="shared" si="3"/>
        <v>0</v>
      </c>
    </row>
    <row r="239" spans="1:8" x14ac:dyDescent="0.25">
      <c r="A239" s="2"/>
      <c r="C239" s="2"/>
      <c r="E239" s="29"/>
      <c r="F239" s="2">
        <v>41699</v>
      </c>
      <c r="G239">
        <v>107.63</v>
      </c>
      <c r="H239" s="26">
        <f t="shared" si="3"/>
        <v>0</v>
      </c>
    </row>
    <row r="240" spans="1:8" x14ac:dyDescent="0.25">
      <c r="A240" s="2"/>
      <c r="C240" s="2"/>
      <c r="E240" s="29"/>
      <c r="F240" s="2">
        <v>41730</v>
      </c>
      <c r="G240">
        <v>108.51</v>
      </c>
      <c r="H240" s="26">
        <f t="shared" si="3"/>
        <v>0</v>
      </c>
    </row>
    <row r="241" spans="1:8" x14ac:dyDescent="0.25">
      <c r="A241" s="2"/>
      <c r="C241" s="2"/>
      <c r="E241" s="29"/>
      <c r="F241" s="2">
        <v>41760</v>
      </c>
      <c r="G241">
        <v>109.39</v>
      </c>
      <c r="H241" s="26">
        <f t="shared" si="3"/>
        <v>0</v>
      </c>
    </row>
    <row r="242" spans="1:8" x14ac:dyDescent="0.25">
      <c r="A242" s="2"/>
      <c r="C242" s="2"/>
      <c r="E242" s="29"/>
      <c r="F242" s="2">
        <v>41791</v>
      </c>
      <c r="G242">
        <v>110.28</v>
      </c>
      <c r="H242" s="26">
        <f t="shared" si="3"/>
        <v>1.8666666666666741E-2</v>
      </c>
    </row>
    <row r="243" spans="1:8" x14ac:dyDescent="0.25">
      <c r="A243" s="2"/>
      <c r="C243" s="2"/>
      <c r="E243" s="29"/>
      <c r="F243" s="2">
        <v>41821</v>
      </c>
      <c r="G243">
        <v>110.37</v>
      </c>
      <c r="H243" s="26">
        <f t="shared" si="3"/>
        <v>2.4666666666666968E-2</v>
      </c>
    </row>
    <row r="244" spans="1:8" x14ac:dyDescent="0.25">
      <c r="A244" s="2"/>
      <c r="C244" s="2"/>
      <c r="E244" s="29"/>
      <c r="F244" s="2">
        <v>41852</v>
      </c>
      <c r="G244">
        <v>110.47</v>
      </c>
      <c r="H244" s="26">
        <f t="shared" si="3"/>
        <v>3.1333333333333255E-2</v>
      </c>
    </row>
    <row r="245" spans="1:8" x14ac:dyDescent="0.25">
      <c r="A245" s="2"/>
      <c r="C245" s="2"/>
      <c r="E245" s="29"/>
      <c r="F245" s="2">
        <v>41883</v>
      </c>
      <c r="G245">
        <v>110.56</v>
      </c>
      <c r="H245" s="26">
        <f t="shared" si="3"/>
        <v>3.7333333333333482E-2</v>
      </c>
    </row>
    <row r="246" spans="1:8" x14ac:dyDescent="0.25">
      <c r="A246" s="2"/>
      <c r="C246" s="2"/>
      <c r="E246" s="29"/>
      <c r="F246" s="2">
        <v>41913</v>
      </c>
      <c r="G246">
        <v>110.58</v>
      </c>
      <c r="H246" s="26">
        <f t="shared" si="3"/>
        <v>3.8666666666666551E-2</v>
      </c>
    </row>
    <row r="247" spans="1:8" x14ac:dyDescent="0.25">
      <c r="A247" s="2"/>
      <c r="C247" s="2"/>
      <c r="E247" s="29"/>
      <c r="F247" s="2">
        <v>41944</v>
      </c>
      <c r="G247">
        <v>110.61</v>
      </c>
      <c r="H247" s="26">
        <f t="shared" si="3"/>
        <v>4.0666666666666629E-2</v>
      </c>
    </row>
    <row r="248" spans="1:8" x14ac:dyDescent="0.25">
      <c r="A248" s="2"/>
      <c r="C248" s="2"/>
      <c r="E248" s="29"/>
      <c r="F248" s="2">
        <v>41974</v>
      </c>
      <c r="G248">
        <v>110.63</v>
      </c>
      <c r="H248" s="26">
        <f t="shared" si="3"/>
        <v>4.1999999999999697E-2</v>
      </c>
    </row>
    <row r="249" spans="1:8" x14ac:dyDescent="0.25">
      <c r="A249" s="2"/>
      <c r="C249" s="2"/>
      <c r="E249" s="29"/>
      <c r="F249" s="2">
        <v>42005</v>
      </c>
      <c r="G249">
        <v>110.78</v>
      </c>
      <c r="H249" s="26">
        <f t="shared" si="3"/>
        <v>5.2000000000000074E-2</v>
      </c>
    </row>
    <row r="250" spans="1:8" x14ac:dyDescent="0.25">
      <c r="A250" s="2"/>
      <c r="C250" s="2"/>
      <c r="E250" s="29"/>
      <c r="F250" s="2">
        <v>42036</v>
      </c>
      <c r="G250">
        <v>110.93</v>
      </c>
      <c r="H250" s="26">
        <f t="shared" si="3"/>
        <v>6.2000000000000458E-2</v>
      </c>
    </row>
    <row r="251" spans="1:8" x14ac:dyDescent="0.25">
      <c r="A251" s="2"/>
      <c r="C251" s="2"/>
      <c r="E251" s="29"/>
      <c r="F251" s="2">
        <v>42064</v>
      </c>
      <c r="G251">
        <v>111.08</v>
      </c>
      <c r="H251" s="26">
        <f t="shared" si="3"/>
        <v>7.1999999999999884E-2</v>
      </c>
    </row>
    <row r="252" spans="1:8" x14ac:dyDescent="0.25">
      <c r="A252" s="2"/>
      <c r="C252" s="2"/>
      <c r="E252" s="29"/>
      <c r="F252" s="2">
        <v>42095</v>
      </c>
      <c r="G252">
        <v>111.22</v>
      </c>
      <c r="H252" s="26">
        <f t="shared" si="3"/>
        <v>8.1333333333333258E-2</v>
      </c>
    </row>
    <row r="253" spans="1:8" x14ac:dyDescent="0.25">
      <c r="A253" s="2"/>
      <c r="C253" s="2"/>
      <c r="E253" s="29"/>
      <c r="F253" s="2">
        <v>42125</v>
      </c>
      <c r="G253">
        <v>111.36</v>
      </c>
      <c r="H253" s="26">
        <f t="shared" si="3"/>
        <v>9.0666666666666632E-2</v>
      </c>
    </row>
    <row r="254" spans="1:8" x14ac:dyDescent="0.25">
      <c r="A254" s="2"/>
      <c r="C254" s="2"/>
      <c r="E254" s="29"/>
      <c r="F254" s="2">
        <v>42156</v>
      </c>
      <c r="G254">
        <v>111.49</v>
      </c>
      <c r="H254" s="26">
        <f t="shared" si="3"/>
        <v>9.9333333333332996E-2</v>
      </c>
    </row>
    <row r="255" spans="1:8" x14ac:dyDescent="0.25">
      <c r="A255" s="2"/>
      <c r="C255" s="2"/>
      <c r="E255" s="29"/>
      <c r="F255" s="2">
        <v>42186</v>
      </c>
      <c r="G255">
        <v>111.53</v>
      </c>
      <c r="H255" s="26">
        <f t="shared" si="3"/>
        <v>0.10200000000000008</v>
      </c>
    </row>
    <row r="256" spans="1:8" x14ac:dyDescent="0.25">
      <c r="A256" s="2"/>
      <c r="C256" s="2"/>
      <c r="E256" s="29"/>
      <c r="F256" s="2">
        <v>42217</v>
      </c>
      <c r="G256">
        <v>111.56</v>
      </c>
      <c r="H256" s="26">
        <f t="shared" si="3"/>
        <v>0.10400000000000015</v>
      </c>
    </row>
    <row r="257" spans="1:8" x14ac:dyDescent="0.25">
      <c r="A257" s="2"/>
      <c r="C257" s="2"/>
      <c r="E257" s="29"/>
      <c r="F257" s="2">
        <v>42248</v>
      </c>
      <c r="G257">
        <v>111.6</v>
      </c>
      <c r="H257" s="26">
        <f t="shared" si="3"/>
        <v>0.10666666666666628</v>
      </c>
    </row>
    <row r="258" spans="1:8" x14ac:dyDescent="0.25">
      <c r="A258" s="2"/>
      <c r="C258" s="2"/>
      <c r="E258" s="29"/>
      <c r="F258" s="2">
        <v>42278</v>
      </c>
      <c r="G258">
        <v>111.52</v>
      </c>
      <c r="H258" s="26">
        <f t="shared" si="3"/>
        <v>0.10133333333333307</v>
      </c>
    </row>
    <row r="259" spans="1:8" x14ac:dyDescent="0.25">
      <c r="A259" s="2"/>
      <c r="C259" s="2"/>
      <c r="E259" s="29"/>
      <c r="F259" s="2">
        <v>42309</v>
      </c>
      <c r="G259">
        <v>111.45</v>
      </c>
      <c r="H259" s="26">
        <f t="shared" ref="H259:H263" si="4">IF(G259&lt;110,0,IF(G259&lt;=125,(G259-110)/($K$2-$K$3),1))</f>
        <v>9.6666666666666859E-2</v>
      </c>
    </row>
    <row r="260" spans="1:8" x14ac:dyDescent="0.25">
      <c r="A260" s="2"/>
      <c r="C260" s="2"/>
      <c r="E260" s="29"/>
      <c r="F260" s="2">
        <v>42339</v>
      </c>
      <c r="G260">
        <v>111.37</v>
      </c>
      <c r="H260" s="26">
        <f t="shared" si="4"/>
        <v>9.1333333333333641E-2</v>
      </c>
    </row>
    <row r="261" spans="1:8" x14ac:dyDescent="0.25">
      <c r="A261" s="2"/>
      <c r="C261" s="2"/>
      <c r="E261" s="29"/>
      <c r="F261" s="2">
        <v>42370</v>
      </c>
      <c r="G261">
        <v>111.31</v>
      </c>
      <c r="H261" s="26">
        <f t="shared" si="4"/>
        <v>8.7333333333333485E-2</v>
      </c>
    </row>
    <row r="262" spans="1:8" x14ac:dyDescent="0.25">
      <c r="A262" s="2"/>
      <c r="C262" s="2"/>
      <c r="E262" s="29"/>
      <c r="F262" s="2">
        <v>42401</v>
      </c>
      <c r="G262">
        <v>111.24</v>
      </c>
      <c r="H262" s="26">
        <f t="shared" si="4"/>
        <v>8.2666666666666319E-2</v>
      </c>
    </row>
    <row r="263" spans="1:8" x14ac:dyDescent="0.25">
      <c r="A263" s="2"/>
      <c r="C263" s="2"/>
      <c r="E263" s="29"/>
      <c r="F263" s="2">
        <v>42430</v>
      </c>
      <c r="G263">
        <v>111.18</v>
      </c>
      <c r="H263" s="26">
        <f t="shared" si="4"/>
        <v>7.866666666666712E-2</v>
      </c>
    </row>
    <row r="264" spans="1:8" x14ac:dyDescent="0.25">
      <c r="A264" s="2"/>
      <c r="C264" s="2"/>
    </row>
    <row r="265" spans="1:8" x14ac:dyDescent="0.25">
      <c r="A265" s="2"/>
      <c r="C265" s="2"/>
    </row>
    <row r="266" spans="1:8" x14ac:dyDescent="0.25">
      <c r="A266" s="2"/>
      <c r="C266" s="2"/>
    </row>
    <row r="267" spans="1:8" x14ac:dyDescent="0.25">
      <c r="A267" s="2"/>
      <c r="C267" s="2"/>
    </row>
    <row r="268" spans="1:8" x14ac:dyDescent="0.25">
      <c r="A268" s="2"/>
      <c r="C268" s="2"/>
    </row>
    <row r="269" spans="1:8" x14ac:dyDescent="0.25">
      <c r="A269" s="2"/>
      <c r="C269" s="2"/>
    </row>
    <row r="270" spans="1:8" x14ac:dyDescent="0.25">
      <c r="A270" s="2"/>
      <c r="C270" s="2"/>
    </row>
    <row r="271" spans="1:8" x14ac:dyDescent="0.25">
      <c r="A271" s="2"/>
      <c r="C271" s="2"/>
    </row>
    <row r="272" spans="1:8" x14ac:dyDescent="0.25">
      <c r="A272" s="2"/>
      <c r="C272" s="2"/>
    </row>
    <row r="273" spans="1:3" x14ac:dyDescent="0.25">
      <c r="A273" s="2"/>
      <c r="C273" s="2"/>
    </row>
    <row r="274" spans="1:3" x14ac:dyDescent="0.25">
      <c r="A274" s="2"/>
      <c r="C274" s="2"/>
    </row>
    <row r="275" spans="1:3" x14ac:dyDescent="0.25">
      <c r="A275" s="2"/>
      <c r="C275" s="2"/>
    </row>
    <row r="276" spans="1:3" x14ac:dyDescent="0.25">
      <c r="A276" s="2"/>
      <c r="C276" s="2"/>
    </row>
    <row r="277" spans="1:3" x14ac:dyDescent="0.25">
      <c r="A277" s="2"/>
      <c r="C277" s="2"/>
    </row>
    <row r="278" spans="1:3" x14ac:dyDescent="0.25">
      <c r="A278" s="2"/>
      <c r="C278" s="2"/>
    </row>
    <row r="279" spans="1:3" x14ac:dyDescent="0.25">
      <c r="A279" s="2"/>
      <c r="C279" s="2"/>
    </row>
    <row r="280" spans="1:3" x14ac:dyDescent="0.25">
      <c r="A280" s="2"/>
      <c r="C280" s="2"/>
    </row>
    <row r="281" spans="1:3" x14ac:dyDescent="0.25">
      <c r="A281" s="2"/>
      <c r="C281" s="2"/>
    </row>
    <row r="282" spans="1:3" x14ac:dyDescent="0.25">
      <c r="A282" s="2"/>
      <c r="C282" s="2"/>
    </row>
    <row r="283" spans="1:3" x14ac:dyDescent="0.25">
      <c r="A283" s="2"/>
      <c r="C283" s="2"/>
    </row>
    <row r="284" spans="1:3" x14ac:dyDescent="0.25">
      <c r="A284" s="2"/>
      <c r="C284" s="2"/>
    </row>
    <row r="285" spans="1:3" x14ac:dyDescent="0.25">
      <c r="A285" s="2"/>
      <c r="C285" s="2"/>
    </row>
    <row r="286" spans="1:3" x14ac:dyDescent="0.25">
      <c r="A286" s="2"/>
      <c r="C286" s="2"/>
    </row>
    <row r="287" spans="1:3" x14ac:dyDescent="0.25">
      <c r="A287" s="2"/>
      <c r="C287" s="2"/>
    </row>
    <row r="288" spans="1:3" x14ac:dyDescent="0.25">
      <c r="A288" s="2"/>
      <c r="C288" s="2"/>
    </row>
    <row r="289" spans="1:3" x14ac:dyDescent="0.25">
      <c r="A289" s="2"/>
      <c r="C289" s="2"/>
    </row>
    <row r="290" spans="1:3" x14ac:dyDescent="0.25">
      <c r="A290" s="2"/>
      <c r="C290" s="2"/>
    </row>
    <row r="291" spans="1:3" x14ac:dyDescent="0.25">
      <c r="A291" s="2"/>
      <c r="C291" s="2"/>
    </row>
    <row r="292" spans="1:3" x14ac:dyDescent="0.25">
      <c r="A292" s="2"/>
      <c r="C292" s="2"/>
    </row>
    <row r="293" spans="1:3" x14ac:dyDescent="0.25">
      <c r="A293" s="2"/>
      <c r="C293" s="2"/>
    </row>
    <row r="294" spans="1:3" x14ac:dyDescent="0.25">
      <c r="A294" s="2"/>
      <c r="C294" s="2"/>
    </row>
    <row r="295" spans="1:3" x14ac:dyDescent="0.25">
      <c r="A295" s="2"/>
      <c r="C295" s="2"/>
    </row>
    <row r="296" spans="1:3" x14ac:dyDescent="0.25">
      <c r="A296" s="2"/>
      <c r="C296" s="2"/>
    </row>
    <row r="297" spans="1:3" x14ac:dyDescent="0.25">
      <c r="A297" s="2"/>
      <c r="C297" s="2"/>
    </row>
    <row r="298" spans="1:3" x14ac:dyDescent="0.25">
      <c r="A298" s="2"/>
      <c r="C298" s="2"/>
    </row>
    <row r="299" spans="1:3" x14ac:dyDescent="0.25">
      <c r="A299" s="2"/>
      <c r="C299" s="2"/>
    </row>
    <row r="300" spans="1:3" x14ac:dyDescent="0.25">
      <c r="A300" s="2"/>
      <c r="C300" s="2"/>
    </row>
    <row r="301" spans="1:3" x14ac:dyDescent="0.25">
      <c r="A301" s="2"/>
      <c r="C301" s="2"/>
    </row>
    <row r="302" spans="1:3" x14ac:dyDescent="0.25">
      <c r="A302" s="2"/>
      <c r="C302" s="2"/>
    </row>
    <row r="303" spans="1:3" x14ac:dyDescent="0.25">
      <c r="A303" s="2"/>
      <c r="C303" s="2"/>
    </row>
    <row r="304" spans="1:3" x14ac:dyDescent="0.25">
      <c r="A304" s="2"/>
      <c r="C304" s="2"/>
    </row>
    <row r="305" spans="1:3" x14ac:dyDescent="0.25">
      <c r="A305" s="2"/>
      <c r="C305" s="2"/>
    </row>
    <row r="306" spans="1:3" x14ac:dyDescent="0.25">
      <c r="A306" s="2"/>
      <c r="C306" s="2"/>
    </row>
    <row r="307" spans="1:3" x14ac:dyDescent="0.25">
      <c r="A307" s="2"/>
      <c r="C307" s="2"/>
    </row>
    <row r="308" spans="1:3" x14ac:dyDescent="0.25">
      <c r="A308" s="2"/>
      <c r="C308" s="2"/>
    </row>
    <row r="309" spans="1:3" x14ac:dyDescent="0.25">
      <c r="A309" s="2"/>
      <c r="C309" s="2"/>
    </row>
    <row r="310" spans="1:3" x14ac:dyDescent="0.25">
      <c r="A310" s="2"/>
      <c r="C310" s="2"/>
    </row>
    <row r="311" spans="1:3" x14ac:dyDescent="0.25">
      <c r="A311" s="2"/>
      <c r="C311" s="2"/>
    </row>
    <row r="312" spans="1:3" x14ac:dyDescent="0.25">
      <c r="A312" s="2"/>
      <c r="C312" s="2"/>
    </row>
    <row r="313" spans="1:3" x14ac:dyDescent="0.25">
      <c r="A313" s="2"/>
      <c r="C313" s="2"/>
    </row>
    <row r="314" spans="1:3" x14ac:dyDescent="0.25">
      <c r="A314" s="2"/>
      <c r="C314" s="2"/>
    </row>
    <row r="315" spans="1:3" x14ac:dyDescent="0.25">
      <c r="A315" s="2"/>
      <c r="C315" s="2"/>
    </row>
    <row r="316" spans="1:3" x14ac:dyDescent="0.25">
      <c r="A316" s="2"/>
      <c r="C316" s="2"/>
    </row>
    <row r="317" spans="1:3" x14ac:dyDescent="0.25">
      <c r="A317" s="2"/>
      <c r="C317" s="2"/>
    </row>
    <row r="318" spans="1:3" x14ac:dyDescent="0.25">
      <c r="A318" s="2"/>
      <c r="C318" s="2"/>
    </row>
    <row r="319" spans="1:3" x14ac:dyDescent="0.25">
      <c r="A319" s="2"/>
      <c r="C319" s="2"/>
    </row>
    <row r="320" spans="1:3" x14ac:dyDescent="0.25">
      <c r="A320" s="2"/>
      <c r="C320" s="2"/>
    </row>
    <row r="321" spans="1:3" x14ac:dyDescent="0.25">
      <c r="A321" s="2"/>
      <c r="C321" s="2"/>
    </row>
    <row r="322" spans="1:3" x14ac:dyDescent="0.25">
      <c r="A322" s="2"/>
      <c r="C322" s="2"/>
    </row>
    <row r="323" spans="1:3" x14ac:dyDescent="0.25">
      <c r="A323" s="2"/>
      <c r="C323" s="2"/>
    </row>
    <row r="324" spans="1:3" x14ac:dyDescent="0.25">
      <c r="A324" s="2"/>
      <c r="C324" s="2"/>
    </row>
    <row r="325" spans="1:3" x14ac:dyDescent="0.25">
      <c r="A325" s="2"/>
      <c r="C325" s="2"/>
    </row>
    <row r="326" spans="1:3" x14ac:dyDescent="0.25">
      <c r="A326" s="2"/>
      <c r="C326" s="2"/>
    </row>
    <row r="327" spans="1:3" x14ac:dyDescent="0.25">
      <c r="A327" s="2"/>
      <c r="C327" s="2"/>
    </row>
    <row r="328" spans="1:3" x14ac:dyDescent="0.25">
      <c r="A328" s="2"/>
      <c r="C328" s="2"/>
    </row>
    <row r="329" spans="1:3" x14ac:dyDescent="0.25">
      <c r="A329" s="2"/>
      <c r="C329" s="2"/>
    </row>
    <row r="330" spans="1:3" x14ac:dyDescent="0.25">
      <c r="A330" s="2"/>
      <c r="C330" s="2"/>
    </row>
    <row r="331" spans="1:3" x14ac:dyDescent="0.25">
      <c r="A331" s="2"/>
      <c r="C331" s="2"/>
    </row>
    <row r="332" spans="1:3" x14ac:dyDescent="0.25">
      <c r="A332" s="2"/>
      <c r="C332" s="2"/>
    </row>
    <row r="333" spans="1:3" x14ac:dyDescent="0.25">
      <c r="A333" s="2"/>
      <c r="C333" s="2"/>
    </row>
    <row r="334" spans="1:3" x14ac:dyDescent="0.25">
      <c r="A334" s="2"/>
      <c r="C334" s="2"/>
    </row>
    <row r="335" spans="1:3" x14ac:dyDescent="0.25">
      <c r="A335" s="2"/>
      <c r="C335" s="2"/>
    </row>
    <row r="336" spans="1:3" x14ac:dyDescent="0.25">
      <c r="A336" s="2"/>
      <c r="C336" s="2"/>
    </row>
    <row r="337" spans="1:3" x14ac:dyDescent="0.25">
      <c r="A337" s="2"/>
      <c r="C337" s="2"/>
    </row>
    <row r="338" spans="1:3" x14ac:dyDescent="0.25">
      <c r="A338" s="2"/>
      <c r="C338" s="2"/>
    </row>
    <row r="339" spans="1:3" x14ac:dyDescent="0.25">
      <c r="A339" s="2"/>
      <c r="C339" s="2"/>
    </row>
    <row r="340" spans="1:3" x14ac:dyDescent="0.25">
      <c r="A340" s="2"/>
      <c r="C340" s="2"/>
    </row>
    <row r="341" spans="1:3" x14ac:dyDescent="0.25">
      <c r="A341" s="2"/>
      <c r="C341" s="2"/>
    </row>
    <row r="342" spans="1:3" x14ac:dyDescent="0.25">
      <c r="A342" s="2"/>
      <c r="C342" s="2"/>
    </row>
    <row r="343" spans="1:3" x14ac:dyDescent="0.25">
      <c r="A343" s="2"/>
      <c r="C343" s="2"/>
    </row>
    <row r="344" spans="1:3" x14ac:dyDescent="0.25">
      <c r="A344" s="2"/>
      <c r="C344" s="2"/>
    </row>
    <row r="345" spans="1:3" x14ac:dyDescent="0.25">
      <c r="A345" s="2"/>
      <c r="C345" s="2"/>
    </row>
    <row r="346" spans="1:3" x14ac:dyDescent="0.25">
      <c r="A346" s="2"/>
      <c r="C346" s="2"/>
    </row>
    <row r="347" spans="1:3" x14ac:dyDescent="0.25">
      <c r="A347" s="2"/>
      <c r="C347" s="2"/>
    </row>
    <row r="348" spans="1:3" x14ac:dyDescent="0.25">
      <c r="A348" s="2"/>
      <c r="C348" s="2"/>
    </row>
    <row r="349" spans="1:3" x14ac:dyDescent="0.25">
      <c r="A349" s="2"/>
      <c r="C349" s="2"/>
    </row>
    <row r="350" spans="1:3" x14ac:dyDescent="0.25">
      <c r="A350" s="2"/>
      <c r="C350" s="2"/>
    </row>
    <row r="351" spans="1:3" x14ac:dyDescent="0.25">
      <c r="A351" s="2"/>
      <c r="C351" s="2"/>
    </row>
    <row r="352" spans="1:3" x14ac:dyDescent="0.25">
      <c r="A352" s="2"/>
      <c r="C352" s="2"/>
    </row>
    <row r="353" spans="1:3" x14ac:dyDescent="0.25">
      <c r="A353" s="2"/>
      <c r="C353" s="2"/>
    </row>
    <row r="354" spans="1:3" x14ac:dyDescent="0.25">
      <c r="A354" s="2"/>
      <c r="C354" s="2"/>
    </row>
    <row r="355" spans="1:3" x14ac:dyDescent="0.25">
      <c r="A355" s="2"/>
      <c r="C355" s="2"/>
    </row>
    <row r="356" spans="1:3" x14ac:dyDescent="0.25">
      <c r="A356" s="2"/>
      <c r="C356" s="2"/>
    </row>
    <row r="357" spans="1:3" x14ac:dyDescent="0.25">
      <c r="A357" s="2"/>
      <c r="C357" s="2"/>
    </row>
    <row r="358" spans="1:3" x14ac:dyDescent="0.25">
      <c r="A358" s="2"/>
      <c r="C358" s="2"/>
    </row>
    <row r="359" spans="1:3" x14ac:dyDescent="0.25">
      <c r="A359" s="2"/>
      <c r="C359" s="2"/>
    </row>
    <row r="360" spans="1:3" x14ac:dyDescent="0.25">
      <c r="A360" s="2"/>
      <c r="C360" s="2"/>
    </row>
    <row r="361" spans="1:3" x14ac:dyDescent="0.25">
      <c r="A361" s="2"/>
      <c r="C361" s="2"/>
    </row>
    <row r="362" spans="1:3" x14ac:dyDescent="0.25">
      <c r="A362" s="2"/>
      <c r="C362" s="2"/>
    </row>
    <row r="363" spans="1:3" x14ac:dyDescent="0.25">
      <c r="A363" s="2"/>
      <c r="C363" s="2"/>
    </row>
    <row r="364" spans="1:3" x14ac:dyDescent="0.25">
      <c r="A364" s="2"/>
      <c r="C364" s="2"/>
    </row>
    <row r="365" spans="1:3" x14ac:dyDescent="0.25">
      <c r="A365" s="2"/>
      <c r="C365" s="2"/>
    </row>
    <row r="366" spans="1:3" x14ac:dyDescent="0.25">
      <c r="A366" s="2"/>
      <c r="C366" s="2"/>
    </row>
    <row r="367" spans="1:3" x14ac:dyDescent="0.25">
      <c r="A367" s="2"/>
      <c r="C367" s="2"/>
    </row>
    <row r="368" spans="1:3" x14ac:dyDescent="0.25">
      <c r="A368" s="2"/>
      <c r="C368" s="2"/>
    </row>
    <row r="369" spans="1:3" x14ac:dyDescent="0.25">
      <c r="A369" s="2"/>
      <c r="C369" s="2"/>
    </row>
    <row r="370" spans="1:3" x14ac:dyDescent="0.25">
      <c r="A370" s="2"/>
      <c r="C370" s="2"/>
    </row>
    <row r="371" spans="1:3" x14ac:dyDescent="0.25">
      <c r="A371" s="2"/>
      <c r="C371" s="2"/>
    </row>
    <row r="372" spans="1:3" x14ac:dyDescent="0.25">
      <c r="A372" s="2"/>
      <c r="C372" s="2"/>
    </row>
    <row r="373" spans="1:3" x14ac:dyDescent="0.25">
      <c r="A373" s="2"/>
      <c r="C373" s="2"/>
    </row>
    <row r="374" spans="1:3" x14ac:dyDescent="0.25">
      <c r="A374" s="2"/>
      <c r="C374" s="2"/>
    </row>
    <row r="375" spans="1:3" x14ac:dyDescent="0.25">
      <c r="A375" s="2"/>
      <c r="C375" s="2"/>
    </row>
    <row r="376" spans="1:3" x14ac:dyDescent="0.25">
      <c r="A376" s="2"/>
      <c r="C376" s="2"/>
    </row>
    <row r="377" spans="1:3" x14ac:dyDescent="0.25">
      <c r="A377" s="2"/>
      <c r="C377" s="2"/>
    </row>
    <row r="378" spans="1:3" x14ac:dyDescent="0.25">
      <c r="A378" s="2"/>
      <c r="C378" s="2"/>
    </row>
    <row r="379" spans="1:3" x14ac:dyDescent="0.25">
      <c r="A379" s="2"/>
      <c r="C379" s="2"/>
    </row>
    <row r="380" spans="1:3" x14ac:dyDescent="0.25">
      <c r="A380" s="2"/>
      <c r="C380" s="2"/>
    </row>
    <row r="381" spans="1:3" x14ac:dyDescent="0.25">
      <c r="A381" s="2"/>
      <c r="C381" s="2"/>
    </row>
    <row r="382" spans="1:3" x14ac:dyDescent="0.25">
      <c r="A382" s="2"/>
      <c r="C382" s="2"/>
    </row>
    <row r="383" spans="1:3" x14ac:dyDescent="0.25">
      <c r="A383" s="2"/>
      <c r="C383" s="2"/>
    </row>
    <row r="384" spans="1:3" x14ac:dyDescent="0.25">
      <c r="A384" s="2"/>
      <c r="C384" s="2"/>
    </row>
    <row r="385" spans="1:3" x14ac:dyDescent="0.25">
      <c r="A385" s="2"/>
      <c r="C385" s="2"/>
    </row>
    <row r="386" spans="1:3" x14ac:dyDescent="0.25">
      <c r="A386" s="2"/>
      <c r="C386" s="2"/>
    </row>
    <row r="387" spans="1:3" x14ac:dyDescent="0.25">
      <c r="A387" s="2"/>
      <c r="C387" s="2"/>
    </row>
    <row r="388" spans="1:3" x14ac:dyDescent="0.25">
      <c r="A388" s="2"/>
      <c r="C388" s="2"/>
    </row>
    <row r="389" spans="1:3" x14ac:dyDescent="0.25">
      <c r="A389" s="2"/>
      <c r="C389" s="2"/>
    </row>
    <row r="390" spans="1:3" x14ac:dyDescent="0.25">
      <c r="A390" s="2"/>
      <c r="C390" s="2"/>
    </row>
    <row r="391" spans="1:3" x14ac:dyDescent="0.25">
      <c r="A391" s="2"/>
      <c r="C391" s="2"/>
    </row>
    <row r="392" spans="1:3" x14ac:dyDescent="0.25">
      <c r="A392" s="2"/>
      <c r="C392" s="2"/>
    </row>
    <row r="393" spans="1:3" x14ac:dyDescent="0.25">
      <c r="A393" s="2"/>
      <c r="C393" s="2"/>
    </row>
    <row r="394" spans="1:3" x14ac:dyDescent="0.25">
      <c r="A394" s="2"/>
      <c r="C394" s="2"/>
    </row>
    <row r="395" spans="1:3" x14ac:dyDescent="0.25">
      <c r="A395" s="2"/>
      <c r="C395" s="2"/>
    </row>
    <row r="396" spans="1:3" x14ac:dyDescent="0.25">
      <c r="A396" s="2"/>
      <c r="C396" s="2"/>
    </row>
    <row r="397" spans="1:3" x14ac:dyDescent="0.25">
      <c r="A397" s="2"/>
      <c r="C397" s="2"/>
    </row>
    <row r="398" spans="1:3" x14ac:dyDescent="0.25">
      <c r="A398" s="2"/>
      <c r="C398" s="2"/>
    </row>
    <row r="399" spans="1:3" x14ac:dyDescent="0.25">
      <c r="A399" s="2"/>
      <c r="C399" s="2"/>
    </row>
    <row r="400" spans="1:3" x14ac:dyDescent="0.25">
      <c r="A400" s="2"/>
      <c r="C400" s="2"/>
    </row>
    <row r="401" spans="1:3" x14ac:dyDescent="0.25">
      <c r="A401" s="2"/>
      <c r="C401" s="2"/>
    </row>
    <row r="402" spans="1:3" x14ac:dyDescent="0.25">
      <c r="A402" s="2"/>
      <c r="C402" s="2"/>
    </row>
    <row r="403" spans="1:3" x14ac:dyDescent="0.25">
      <c r="A403" s="2"/>
      <c r="C403" s="2"/>
    </row>
    <row r="404" spans="1:3" x14ac:dyDescent="0.25">
      <c r="A404" s="2"/>
      <c r="C404" s="2"/>
    </row>
    <row r="405" spans="1:3" x14ac:dyDescent="0.25">
      <c r="A405" s="2"/>
      <c r="C405" s="2"/>
    </row>
    <row r="406" spans="1:3" x14ac:dyDescent="0.25">
      <c r="A406" s="2"/>
      <c r="C406" s="2"/>
    </row>
    <row r="407" spans="1:3" x14ac:dyDescent="0.25">
      <c r="A407" s="2"/>
      <c r="C407" s="2"/>
    </row>
    <row r="408" spans="1:3" x14ac:dyDescent="0.25">
      <c r="A408" s="2"/>
      <c r="C408" s="2"/>
    </row>
    <row r="409" spans="1:3" x14ac:dyDescent="0.25">
      <c r="A409" s="2"/>
      <c r="C409" s="2"/>
    </row>
    <row r="410" spans="1:3" x14ac:dyDescent="0.25">
      <c r="A410" s="2"/>
      <c r="C410" s="2"/>
    </row>
    <row r="411" spans="1:3" x14ac:dyDescent="0.25">
      <c r="A411" s="2"/>
      <c r="C411" s="2"/>
    </row>
    <row r="412" spans="1:3" x14ac:dyDescent="0.25">
      <c r="A412" s="2"/>
      <c r="C412" s="2"/>
    </row>
    <row r="413" spans="1:3" x14ac:dyDescent="0.25">
      <c r="A413" s="2"/>
      <c r="C413" s="2"/>
    </row>
    <row r="414" spans="1:3" x14ac:dyDescent="0.25">
      <c r="A414" s="2"/>
      <c r="C414" s="2"/>
    </row>
    <row r="415" spans="1:3" x14ac:dyDescent="0.25">
      <c r="A415" s="2"/>
      <c r="C415" s="2"/>
    </row>
    <row r="416" spans="1:3" x14ac:dyDescent="0.25">
      <c r="A416" s="2"/>
      <c r="C416" s="2"/>
    </row>
    <row r="417" spans="1:3" x14ac:dyDescent="0.25">
      <c r="A417" s="2"/>
      <c r="C417" s="2"/>
    </row>
    <row r="418" spans="1:3" x14ac:dyDescent="0.25">
      <c r="A418" s="2"/>
      <c r="C418" s="2"/>
    </row>
    <row r="419" spans="1:3" x14ac:dyDescent="0.25">
      <c r="A419" s="2"/>
      <c r="C419" s="2"/>
    </row>
    <row r="420" spans="1:3" x14ac:dyDescent="0.25">
      <c r="A420" s="2"/>
      <c r="C420" s="2"/>
    </row>
    <row r="421" spans="1:3" x14ac:dyDescent="0.25">
      <c r="A421" s="2"/>
      <c r="C421" s="2"/>
    </row>
    <row r="422" spans="1:3" x14ac:dyDescent="0.25">
      <c r="A422" s="2"/>
      <c r="C422" s="2"/>
    </row>
    <row r="423" spans="1:3" x14ac:dyDescent="0.25">
      <c r="A423" s="2"/>
      <c r="C423" s="2"/>
    </row>
    <row r="424" spans="1:3" x14ac:dyDescent="0.25">
      <c r="A424" s="2"/>
      <c r="C424" s="2"/>
    </row>
    <row r="425" spans="1:3" x14ac:dyDescent="0.25">
      <c r="A425" s="2"/>
      <c r="C425" s="2"/>
    </row>
    <row r="426" spans="1:3" x14ac:dyDescent="0.25">
      <c r="A426" s="2"/>
      <c r="C426" s="2"/>
    </row>
    <row r="427" spans="1:3" x14ac:dyDescent="0.25">
      <c r="A427" s="2"/>
      <c r="C427" s="2"/>
    </row>
    <row r="428" spans="1:3" x14ac:dyDescent="0.25">
      <c r="A428" s="2"/>
      <c r="C428" s="2"/>
    </row>
    <row r="429" spans="1:3" x14ac:dyDescent="0.25">
      <c r="A429" s="2"/>
      <c r="C429" s="2"/>
    </row>
    <row r="430" spans="1:3" x14ac:dyDescent="0.25">
      <c r="A430" s="2"/>
      <c r="C430" s="2"/>
    </row>
    <row r="431" spans="1:3" x14ac:dyDescent="0.25">
      <c r="A431" s="2"/>
      <c r="C431" s="2"/>
    </row>
    <row r="432" spans="1:3" x14ac:dyDescent="0.25">
      <c r="A432" s="2"/>
      <c r="C432" s="2"/>
    </row>
    <row r="433" spans="1:3" x14ac:dyDescent="0.25">
      <c r="A433" s="2"/>
      <c r="C433" s="2"/>
    </row>
    <row r="434" spans="1:3" x14ac:dyDescent="0.25">
      <c r="A434" s="2"/>
      <c r="C434" s="2"/>
    </row>
    <row r="435" spans="1:3" x14ac:dyDescent="0.25">
      <c r="A435" s="2"/>
      <c r="C435" s="2"/>
    </row>
    <row r="436" spans="1:3" x14ac:dyDescent="0.25">
      <c r="A436" s="2"/>
      <c r="C436" s="2"/>
    </row>
    <row r="437" spans="1:3" x14ac:dyDescent="0.25">
      <c r="A437" s="2"/>
      <c r="C437" s="2"/>
    </row>
    <row r="438" spans="1:3" x14ac:dyDescent="0.25">
      <c r="A438" s="2"/>
      <c r="C438" s="2"/>
    </row>
    <row r="439" spans="1:3" x14ac:dyDescent="0.25">
      <c r="A439" s="2"/>
      <c r="C439" s="2"/>
    </row>
    <row r="440" spans="1:3" x14ac:dyDescent="0.25">
      <c r="A440" s="2"/>
      <c r="C440" s="2"/>
    </row>
    <row r="441" spans="1:3" x14ac:dyDescent="0.25">
      <c r="A441" s="2"/>
      <c r="C441" s="2"/>
    </row>
    <row r="442" spans="1:3" x14ac:dyDescent="0.25">
      <c r="A442" s="2"/>
      <c r="C442" s="2"/>
    </row>
    <row r="443" spans="1:3" x14ac:dyDescent="0.25">
      <c r="A443" s="2"/>
      <c r="C443" s="2"/>
    </row>
    <row r="444" spans="1:3" x14ac:dyDescent="0.25">
      <c r="A444" s="2"/>
      <c r="C444" s="2"/>
    </row>
    <row r="445" spans="1:3" x14ac:dyDescent="0.25">
      <c r="A445" s="2"/>
      <c r="C445" s="2"/>
    </row>
    <row r="446" spans="1:3" x14ac:dyDescent="0.25">
      <c r="A446" s="2"/>
      <c r="C446" s="2"/>
    </row>
    <row r="447" spans="1:3" x14ac:dyDescent="0.25">
      <c r="A447" s="2"/>
      <c r="C447" s="2"/>
    </row>
    <row r="448" spans="1:3" x14ac:dyDescent="0.25">
      <c r="A448" s="2"/>
      <c r="C448" s="2"/>
    </row>
    <row r="449" spans="1:3" x14ac:dyDescent="0.25">
      <c r="A449" s="2"/>
      <c r="C449" s="2"/>
    </row>
    <row r="450" spans="1:3" x14ac:dyDescent="0.25">
      <c r="A450" s="2"/>
      <c r="C450" s="2"/>
    </row>
    <row r="451" spans="1:3" x14ac:dyDescent="0.25">
      <c r="A451" s="2"/>
      <c r="C451" s="2"/>
    </row>
    <row r="452" spans="1:3" x14ac:dyDescent="0.25">
      <c r="A452" s="2"/>
      <c r="C452" s="2"/>
    </row>
    <row r="453" spans="1:3" x14ac:dyDescent="0.25">
      <c r="A453" s="2"/>
      <c r="C453" s="2"/>
    </row>
    <row r="454" spans="1:3" x14ac:dyDescent="0.25">
      <c r="A454" s="2"/>
      <c r="C454" s="2"/>
    </row>
    <row r="455" spans="1:3" x14ac:dyDescent="0.25">
      <c r="A455" s="2"/>
      <c r="C455" s="2"/>
    </row>
    <row r="456" spans="1:3" x14ac:dyDescent="0.25">
      <c r="A456" s="2"/>
      <c r="C456" s="2"/>
    </row>
    <row r="457" spans="1:3" x14ac:dyDescent="0.25">
      <c r="A457" s="2"/>
      <c r="C457" s="2"/>
    </row>
    <row r="458" spans="1:3" x14ac:dyDescent="0.25">
      <c r="A458" s="2"/>
      <c r="C458" s="2"/>
    </row>
    <row r="459" spans="1:3" x14ac:dyDescent="0.25">
      <c r="A459" s="2"/>
      <c r="C459" s="2"/>
    </row>
    <row r="460" spans="1:3" x14ac:dyDescent="0.25">
      <c r="A460" s="2"/>
      <c r="C460" s="2"/>
    </row>
    <row r="461" spans="1:3" x14ac:dyDescent="0.25">
      <c r="A461" s="2"/>
      <c r="C461" s="2"/>
    </row>
    <row r="462" spans="1:3" x14ac:dyDescent="0.25">
      <c r="A462" s="2"/>
      <c r="C462" s="2"/>
    </row>
    <row r="463" spans="1:3" x14ac:dyDescent="0.25">
      <c r="A463" s="2"/>
      <c r="C463" s="2"/>
    </row>
    <row r="464" spans="1:3" x14ac:dyDescent="0.25">
      <c r="A464" s="2"/>
      <c r="C464" s="2"/>
    </row>
    <row r="465" spans="1:3" x14ac:dyDescent="0.25">
      <c r="A465" s="2"/>
      <c r="C465" s="2"/>
    </row>
    <row r="466" spans="1:3" x14ac:dyDescent="0.25">
      <c r="A466" s="2"/>
      <c r="C466" s="2"/>
    </row>
    <row r="467" spans="1:3" x14ac:dyDescent="0.25">
      <c r="A467" s="2"/>
      <c r="C467" s="2"/>
    </row>
    <row r="468" spans="1:3" x14ac:dyDescent="0.25">
      <c r="A468" s="2"/>
      <c r="C468" s="2"/>
    </row>
    <row r="469" spans="1:3" x14ac:dyDescent="0.25">
      <c r="A469" s="2"/>
      <c r="C469" s="2"/>
    </row>
    <row r="470" spans="1:3" x14ac:dyDescent="0.25">
      <c r="A470" s="2"/>
      <c r="C470" s="2"/>
    </row>
    <row r="471" spans="1:3" x14ac:dyDescent="0.25">
      <c r="A471" s="2"/>
      <c r="C471" s="2"/>
    </row>
    <row r="472" spans="1:3" x14ac:dyDescent="0.25">
      <c r="A472" s="2"/>
      <c r="C472" s="2"/>
    </row>
    <row r="473" spans="1:3" x14ac:dyDescent="0.25">
      <c r="A473" s="2"/>
      <c r="C473" s="2"/>
    </row>
    <row r="474" spans="1:3" x14ac:dyDescent="0.25">
      <c r="A474" s="2"/>
      <c r="C474" s="2"/>
    </row>
    <row r="475" spans="1:3" x14ac:dyDescent="0.25">
      <c r="A475" s="2"/>
      <c r="C475" s="2"/>
    </row>
    <row r="476" spans="1:3" x14ac:dyDescent="0.25">
      <c r="A476" s="2"/>
      <c r="C476" s="2"/>
    </row>
    <row r="477" spans="1:3" x14ac:dyDescent="0.25">
      <c r="A477" s="2"/>
      <c r="C477" s="2"/>
    </row>
    <row r="478" spans="1:3" x14ac:dyDescent="0.25">
      <c r="A478" s="2"/>
      <c r="C478" s="2"/>
    </row>
    <row r="479" spans="1:3" x14ac:dyDescent="0.25">
      <c r="A479" s="2"/>
      <c r="C479" s="2"/>
    </row>
    <row r="480" spans="1:3" x14ac:dyDescent="0.25">
      <c r="A480" s="2"/>
      <c r="C480" s="2"/>
    </row>
    <row r="481" spans="1:3" x14ac:dyDescent="0.25">
      <c r="A481" s="2"/>
      <c r="C481" s="2"/>
    </row>
    <row r="482" spans="1:3" x14ac:dyDescent="0.25">
      <c r="A482" s="2"/>
      <c r="C482" s="2"/>
    </row>
    <row r="483" spans="1:3" x14ac:dyDescent="0.25">
      <c r="A483" s="2"/>
      <c r="C483" s="2"/>
    </row>
    <row r="484" spans="1:3" x14ac:dyDescent="0.25">
      <c r="A484" s="2"/>
      <c r="C484" s="2"/>
    </row>
    <row r="485" spans="1:3" x14ac:dyDescent="0.25">
      <c r="A485" s="2"/>
      <c r="C485" s="2"/>
    </row>
    <row r="486" spans="1:3" x14ac:dyDescent="0.25">
      <c r="A486" s="2"/>
      <c r="C486" s="2"/>
    </row>
    <row r="487" spans="1:3" x14ac:dyDescent="0.25">
      <c r="A487" s="2"/>
      <c r="C487" s="2"/>
    </row>
    <row r="488" spans="1:3" x14ac:dyDescent="0.25">
      <c r="A488" s="2"/>
      <c r="C488" s="2"/>
    </row>
    <row r="489" spans="1:3" x14ac:dyDescent="0.25">
      <c r="A489" s="2"/>
      <c r="C489" s="2"/>
    </row>
    <row r="490" spans="1:3" x14ac:dyDescent="0.25">
      <c r="A490" s="2"/>
      <c r="C490" s="2"/>
    </row>
    <row r="491" spans="1:3" x14ac:dyDescent="0.25">
      <c r="A491" s="2"/>
      <c r="C491" s="2"/>
    </row>
    <row r="492" spans="1:3" x14ac:dyDescent="0.25">
      <c r="A492" s="2"/>
      <c r="C492" s="2"/>
    </row>
    <row r="493" spans="1:3" x14ac:dyDescent="0.25">
      <c r="A493" s="2"/>
      <c r="C493" s="2"/>
    </row>
    <row r="494" spans="1:3" x14ac:dyDescent="0.25">
      <c r="A494" s="2"/>
      <c r="C494" s="2"/>
    </row>
    <row r="495" spans="1:3" x14ac:dyDescent="0.25">
      <c r="A495" s="2"/>
      <c r="C495" s="2"/>
    </row>
    <row r="496" spans="1:3" x14ac:dyDescent="0.25">
      <c r="A496" s="2"/>
      <c r="C496" s="2"/>
    </row>
    <row r="497" spans="1:3" x14ac:dyDescent="0.25">
      <c r="A497" s="2"/>
      <c r="C497" s="2"/>
    </row>
    <row r="498" spans="1:3" x14ac:dyDescent="0.25">
      <c r="A498" s="2"/>
      <c r="C498" s="2"/>
    </row>
    <row r="499" spans="1:3" x14ac:dyDescent="0.25">
      <c r="A499" s="2"/>
      <c r="C499" s="2"/>
    </row>
    <row r="500" spans="1:3" x14ac:dyDescent="0.25">
      <c r="A500" s="2"/>
      <c r="C500" s="2"/>
    </row>
    <row r="501" spans="1:3" x14ac:dyDescent="0.25">
      <c r="A501" s="2"/>
      <c r="C501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4"/>
  <sheetViews>
    <sheetView workbookViewId="0">
      <selection activeCell="U37" sqref="U37"/>
    </sheetView>
  </sheetViews>
  <sheetFormatPr defaultRowHeight="15" x14ac:dyDescent="0.25"/>
  <sheetData>
    <row r="1" spans="1:25" x14ac:dyDescent="0.25">
      <c r="B1" t="s">
        <v>320</v>
      </c>
      <c r="C1" t="s">
        <v>321</v>
      </c>
      <c r="D1" t="s">
        <v>315</v>
      </c>
      <c r="E1" t="s">
        <v>322</v>
      </c>
      <c r="I1" s="28"/>
      <c r="P1" s="29"/>
    </row>
    <row r="2" spans="1:25" x14ac:dyDescent="0.25">
      <c r="A2" s="2">
        <v>34366</v>
      </c>
      <c r="B2">
        <v>0</v>
      </c>
      <c r="C2">
        <v>0.68463784911777104</v>
      </c>
      <c r="D2">
        <v>0</v>
      </c>
      <c r="E2">
        <v>1</v>
      </c>
      <c r="I2" s="2"/>
      <c r="J2" s="2"/>
      <c r="Q2" s="2"/>
      <c r="X2" s="29"/>
    </row>
    <row r="3" spans="1:25" x14ac:dyDescent="0.25">
      <c r="A3" s="2">
        <v>34394</v>
      </c>
      <c r="B3">
        <v>0</v>
      </c>
      <c r="C3">
        <v>0.68970428545322104</v>
      </c>
      <c r="D3">
        <v>0</v>
      </c>
      <c r="E3">
        <v>1</v>
      </c>
      <c r="I3" s="2"/>
      <c r="J3" s="2"/>
      <c r="Q3" s="2"/>
      <c r="Y3" s="2"/>
    </row>
    <row r="4" spans="1:25" x14ac:dyDescent="0.25">
      <c r="A4" s="2">
        <v>34486</v>
      </c>
      <c r="B4">
        <v>0</v>
      </c>
      <c r="C4">
        <v>0.29594662307880498</v>
      </c>
      <c r="D4">
        <v>0</v>
      </c>
      <c r="E4">
        <v>0.99934529678935302</v>
      </c>
      <c r="I4" s="2"/>
      <c r="J4" s="2"/>
      <c r="Q4" s="2"/>
      <c r="Y4" s="2"/>
    </row>
    <row r="5" spans="1:25" x14ac:dyDescent="0.25">
      <c r="A5" s="2">
        <v>34516</v>
      </c>
      <c r="B5">
        <v>0</v>
      </c>
      <c r="C5">
        <v>0.30254041552862299</v>
      </c>
      <c r="D5">
        <v>0</v>
      </c>
      <c r="E5">
        <v>0.999939151471676</v>
      </c>
      <c r="I5" s="2"/>
      <c r="J5" s="2"/>
      <c r="Q5" s="2"/>
      <c r="Y5" s="2"/>
    </row>
    <row r="6" spans="1:25" x14ac:dyDescent="0.25">
      <c r="A6" s="2">
        <v>34547</v>
      </c>
      <c r="B6">
        <v>0</v>
      </c>
      <c r="C6">
        <v>0.240023749359627</v>
      </c>
      <c r="D6">
        <v>0</v>
      </c>
      <c r="E6">
        <v>0.99991997811540501</v>
      </c>
      <c r="I6" s="2"/>
      <c r="J6" s="2"/>
      <c r="Q6" s="2"/>
      <c r="Y6" s="2"/>
    </row>
    <row r="7" spans="1:25" x14ac:dyDescent="0.25">
      <c r="A7" s="2">
        <v>34578</v>
      </c>
      <c r="B7">
        <v>0</v>
      </c>
      <c r="C7">
        <v>0.28452537981417098</v>
      </c>
      <c r="D7">
        <v>0</v>
      </c>
      <c r="E7">
        <v>0.99994899952020799</v>
      </c>
      <c r="I7" s="2"/>
      <c r="J7" s="2"/>
      <c r="Q7" s="2"/>
      <c r="Y7" s="2"/>
    </row>
    <row r="8" spans="1:25" x14ac:dyDescent="0.25">
      <c r="A8" s="2">
        <v>34608</v>
      </c>
      <c r="B8">
        <v>0</v>
      </c>
      <c r="C8">
        <v>0.242626410905908</v>
      </c>
      <c r="D8">
        <v>0</v>
      </c>
      <c r="E8">
        <v>0.99993615235272504</v>
      </c>
      <c r="I8" s="2"/>
      <c r="J8" s="2"/>
      <c r="Q8" s="2"/>
      <c r="Y8" s="2"/>
    </row>
    <row r="9" spans="1:25" x14ac:dyDescent="0.25">
      <c r="A9" s="2">
        <v>34639</v>
      </c>
      <c r="B9">
        <v>0</v>
      </c>
      <c r="C9">
        <v>0.20849179633154999</v>
      </c>
      <c r="D9">
        <v>0</v>
      </c>
      <c r="E9">
        <v>0.99990147656335804</v>
      </c>
      <c r="I9" s="2"/>
      <c r="J9" s="2"/>
      <c r="Q9" s="2"/>
      <c r="Y9" s="2"/>
    </row>
    <row r="10" spans="1:25" x14ac:dyDescent="0.25">
      <c r="A10" s="2">
        <v>34669</v>
      </c>
      <c r="B10">
        <v>0</v>
      </c>
      <c r="C10">
        <v>0.15396001090147801</v>
      </c>
      <c r="D10">
        <v>0</v>
      </c>
      <c r="E10">
        <v>0.99981207030994101</v>
      </c>
      <c r="I10" s="2"/>
      <c r="J10" s="2"/>
      <c r="Q10" s="2"/>
      <c r="Y10" s="2"/>
    </row>
    <row r="11" spans="1:25" x14ac:dyDescent="0.25">
      <c r="A11" s="2">
        <v>34700</v>
      </c>
      <c r="B11">
        <v>0</v>
      </c>
      <c r="C11">
        <v>0.152121776689782</v>
      </c>
      <c r="D11">
        <v>0</v>
      </c>
      <c r="E11">
        <v>0.99981678234968596</v>
      </c>
      <c r="I11" s="2"/>
      <c r="J11" s="2"/>
      <c r="Q11" s="2"/>
      <c r="Y11" s="2"/>
    </row>
    <row r="12" spans="1:25" x14ac:dyDescent="0.25">
      <c r="A12" s="2">
        <v>34731</v>
      </c>
      <c r="B12">
        <v>0</v>
      </c>
      <c r="C12">
        <v>0.15934843049915701</v>
      </c>
      <c r="D12">
        <v>0</v>
      </c>
      <c r="E12">
        <v>0.99989065343970096</v>
      </c>
      <c r="I12" s="2"/>
      <c r="J12" s="2"/>
      <c r="Q12" s="2"/>
      <c r="Y12" s="2"/>
    </row>
    <row r="13" spans="1:25" x14ac:dyDescent="0.25">
      <c r="A13" s="2">
        <v>34759</v>
      </c>
      <c r="B13">
        <v>0</v>
      </c>
      <c r="C13">
        <v>0.21101042790083199</v>
      </c>
      <c r="D13">
        <v>0</v>
      </c>
      <c r="E13">
        <v>0.99996064993951195</v>
      </c>
      <c r="I13" s="2"/>
      <c r="J13" s="2"/>
      <c r="Q13" s="2"/>
      <c r="Y13" s="2"/>
    </row>
    <row r="14" spans="1:25" x14ac:dyDescent="0.25">
      <c r="A14" s="2">
        <v>34790</v>
      </c>
      <c r="B14">
        <v>0</v>
      </c>
      <c r="C14">
        <v>0.303401836420091</v>
      </c>
      <c r="D14">
        <v>0</v>
      </c>
      <c r="E14">
        <v>0.99999297761987704</v>
      </c>
      <c r="I14" s="2"/>
      <c r="J14" s="2"/>
      <c r="Q14" s="2"/>
      <c r="Y14" s="2"/>
    </row>
    <row r="15" spans="1:25" x14ac:dyDescent="0.25">
      <c r="A15" s="2">
        <v>34820</v>
      </c>
      <c r="B15">
        <v>0</v>
      </c>
      <c r="C15">
        <v>0.32102894044244301</v>
      </c>
      <c r="D15">
        <v>0</v>
      </c>
      <c r="E15">
        <v>0.99999745292070696</v>
      </c>
      <c r="I15" s="2"/>
      <c r="J15" s="2"/>
      <c r="Q15" s="2"/>
      <c r="Y15" s="2"/>
    </row>
    <row r="16" spans="1:25" x14ac:dyDescent="0.25">
      <c r="A16" s="2">
        <v>34851</v>
      </c>
      <c r="B16">
        <v>0</v>
      </c>
      <c r="C16">
        <v>0.46309668217416</v>
      </c>
      <c r="D16">
        <v>0</v>
      </c>
      <c r="E16">
        <v>0.99999963283712201</v>
      </c>
      <c r="I16" s="2"/>
      <c r="J16" s="2"/>
      <c r="Q16" s="2"/>
      <c r="Y16" s="2"/>
    </row>
    <row r="17" spans="1:25" x14ac:dyDescent="0.25">
      <c r="A17" s="2">
        <v>34881</v>
      </c>
      <c r="B17">
        <v>0</v>
      </c>
      <c r="C17">
        <v>0.58226141221431604</v>
      </c>
      <c r="D17">
        <v>0</v>
      </c>
      <c r="E17">
        <v>1</v>
      </c>
      <c r="I17" s="2"/>
      <c r="J17" s="2"/>
      <c r="Q17" s="2"/>
      <c r="Y17" s="2"/>
    </row>
    <row r="18" spans="1:25" x14ac:dyDescent="0.25">
      <c r="A18" s="2">
        <v>34912</v>
      </c>
      <c r="B18">
        <v>0</v>
      </c>
      <c r="C18">
        <v>0.58832506701593601</v>
      </c>
      <c r="D18">
        <v>0</v>
      </c>
      <c r="E18">
        <v>1</v>
      </c>
      <c r="I18" s="2"/>
      <c r="J18" s="2"/>
      <c r="Q18" s="2"/>
      <c r="Y18" s="2"/>
    </row>
    <row r="19" spans="1:25" x14ac:dyDescent="0.25">
      <c r="A19" s="2">
        <v>34943</v>
      </c>
      <c r="B19">
        <v>0</v>
      </c>
      <c r="C19">
        <v>0.49973127855509702</v>
      </c>
      <c r="D19">
        <v>0</v>
      </c>
      <c r="E19">
        <v>0.99999415867715102</v>
      </c>
      <c r="I19" s="2"/>
      <c r="J19" s="2"/>
      <c r="Q19" s="2"/>
      <c r="Y19" s="2"/>
    </row>
    <row r="20" spans="1:25" x14ac:dyDescent="0.25">
      <c r="A20" s="2">
        <v>34973</v>
      </c>
      <c r="B20">
        <v>0</v>
      </c>
      <c r="C20">
        <v>0.58816774910761105</v>
      </c>
      <c r="D20">
        <v>0</v>
      </c>
      <c r="E20">
        <v>0.99999963691294502</v>
      </c>
      <c r="I20" s="2"/>
      <c r="J20" s="2"/>
      <c r="Q20" s="2"/>
      <c r="Y20" s="2"/>
    </row>
    <row r="21" spans="1:25" x14ac:dyDescent="0.25">
      <c r="A21" s="2">
        <v>35004</v>
      </c>
      <c r="B21">
        <v>0</v>
      </c>
      <c r="C21">
        <v>0.60004284867552804</v>
      </c>
      <c r="D21">
        <v>0</v>
      </c>
      <c r="E21">
        <v>0.99999601360776202</v>
      </c>
      <c r="I21" s="2"/>
      <c r="J21" s="2"/>
      <c r="Q21" s="2"/>
      <c r="Y21" s="2"/>
    </row>
    <row r="22" spans="1:25" x14ac:dyDescent="0.25">
      <c r="A22" s="2">
        <v>35034</v>
      </c>
      <c r="B22">
        <v>0</v>
      </c>
      <c r="C22">
        <v>0.63600143165145795</v>
      </c>
      <c r="D22">
        <v>0</v>
      </c>
      <c r="E22">
        <v>1</v>
      </c>
      <c r="I22" s="2"/>
      <c r="J22" s="2"/>
      <c r="Q22" s="2"/>
      <c r="Y22" s="2"/>
    </row>
    <row r="23" spans="1:25" x14ac:dyDescent="0.25">
      <c r="A23" s="2">
        <v>35065</v>
      </c>
      <c r="B23">
        <v>0</v>
      </c>
      <c r="C23">
        <v>0.70482332300728001</v>
      </c>
      <c r="D23">
        <v>0</v>
      </c>
      <c r="E23">
        <v>1</v>
      </c>
      <c r="I23" s="2"/>
      <c r="J23" s="2"/>
      <c r="Q23" s="2"/>
      <c r="Y23" s="2"/>
    </row>
    <row r="24" spans="1:25" x14ac:dyDescent="0.25">
      <c r="A24" s="2">
        <v>35096</v>
      </c>
      <c r="B24">
        <v>0</v>
      </c>
      <c r="C24">
        <v>0.68176273275719701</v>
      </c>
      <c r="D24">
        <v>0</v>
      </c>
      <c r="E24">
        <v>1</v>
      </c>
      <c r="I24" s="2"/>
      <c r="J24" s="2"/>
      <c r="Q24" s="2"/>
      <c r="Y24" s="2"/>
    </row>
    <row r="25" spans="1:25" x14ac:dyDescent="0.25">
      <c r="A25" s="2">
        <v>35125</v>
      </c>
      <c r="B25">
        <v>0</v>
      </c>
      <c r="C25">
        <v>0.67823800937970102</v>
      </c>
      <c r="D25">
        <v>0</v>
      </c>
      <c r="E25">
        <v>1</v>
      </c>
      <c r="I25" s="2"/>
      <c r="J25" s="2"/>
      <c r="Q25" s="2"/>
      <c r="Y25" s="2"/>
    </row>
    <row r="26" spans="1:25" x14ac:dyDescent="0.25">
      <c r="A26" s="2">
        <v>35156</v>
      </c>
      <c r="B26">
        <v>0</v>
      </c>
      <c r="C26">
        <v>0.58856224438733895</v>
      </c>
      <c r="D26">
        <v>0</v>
      </c>
      <c r="E26">
        <v>0.99997873394854697</v>
      </c>
      <c r="I26" s="2"/>
      <c r="J26" s="2"/>
      <c r="Q26" s="2"/>
      <c r="Y26" s="2"/>
    </row>
    <row r="27" spans="1:25" x14ac:dyDescent="0.25">
      <c r="A27" s="2">
        <v>35186</v>
      </c>
      <c r="B27">
        <v>0</v>
      </c>
      <c r="C27">
        <v>0.48776183580237498</v>
      </c>
      <c r="D27">
        <v>0</v>
      </c>
      <c r="E27">
        <v>0.99989398100206905</v>
      </c>
      <c r="I27" s="2"/>
      <c r="J27" s="2"/>
      <c r="Q27" s="2"/>
      <c r="Y27" s="2"/>
    </row>
    <row r="28" spans="1:25" x14ac:dyDescent="0.25">
      <c r="A28" s="2">
        <v>35217</v>
      </c>
      <c r="B28">
        <v>0</v>
      </c>
      <c r="C28">
        <v>0.458475566921344</v>
      </c>
      <c r="D28">
        <v>0</v>
      </c>
      <c r="E28">
        <v>0.99981366153112705</v>
      </c>
      <c r="I28" s="2"/>
      <c r="J28" s="2"/>
      <c r="Q28" s="2"/>
      <c r="Y28" s="2"/>
    </row>
    <row r="29" spans="1:25" x14ac:dyDescent="0.25">
      <c r="A29" s="2">
        <v>35247</v>
      </c>
      <c r="B29">
        <v>0</v>
      </c>
      <c r="C29">
        <v>0.36619912136459398</v>
      </c>
      <c r="D29">
        <v>0</v>
      </c>
      <c r="E29">
        <v>0.999777970835666</v>
      </c>
      <c r="I29" s="2"/>
      <c r="J29" s="2"/>
      <c r="Q29" s="2"/>
      <c r="Y29" s="2"/>
    </row>
    <row r="30" spans="1:25" x14ac:dyDescent="0.25">
      <c r="A30" s="2">
        <v>35278</v>
      </c>
      <c r="B30">
        <v>0</v>
      </c>
      <c r="C30">
        <v>0.39627067284496098</v>
      </c>
      <c r="D30">
        <v>0</v>
      </c>
      <c r="E30">
        <v>0.999826712675567</v>
      </c>
      <c r="I30" s="2"/>
      <c r="J30" s="2"/>
      <c r="Q30" s="2"/>
      <c r="Y30" s="2"/>
    </row>
    <row r="31" spans="1:25" x14ac:dyDescent="0.25">
      <c r="A31" s="2">
        <v>35309</v>
      </c>
      <c r="B31">
        <v>0</v>
      </c>
      <c r="C31">
        <v>0.481671034820643</v>
      </c>
      <c r="D31">
        <v>0</v>
      </c>
      <c r="E31">
        <v>0.99988235872737696</v>
      </c>
      <c r="I31" s="2"/>
      <c r="J31" s="2"/>
      <c r="Q31" s="2"/>
      <c r="Y31" s="2"/>
    </row>
    <row r="32" spans="1:25" x14ac:dyDescent="0.25">
      <c r="A32" s="2">
        <v>35339</v>
      </c>
      <c r="B32">
        <v>0</v>
      </c>
      <c r="C32">
        <v>0.41080947954595598</v>
      </c>
      <c r="D32">
        <v>0</v>
      </c>
      <c r="E32">
        <v>0.99987308218119697</v>
      </c>
      <c r="I32" s="2"/>
      <c r="J32" s="2"/>
      <c r="Q32" s="2"/>
      <c r="Y32" s="2"/>
    </row>
    <row r="33" spans="1:25" x14ac:dyDescent="0.25">
      <c r="A33" s="2">
        <v>35370</v>
      </c>
      <c r="B33">
        <v>0</v>
      </c>
      <c r="C33">
        <v>0.50931068818931602</v>
      </c>
      <c r="D33">
        <v>0</v>
      </c>
      <c r="E33">
        <v>0.99995795917980002</v>
      </c>
      <c r="I33" s="2"/>
      <c r="J33" s="2"/>
      <c r="Q33" s="2"/>
      <c r="Y33" s="2"/>
    </row>
    <row r="34" spans="1:25" x14ac:dyDescent="0.25">
      <c r="A34" s="2">
        <v>35462</v>
      </c>
      <c r="B34">
        <v>0</v>
      </c>
      <c r="C34">
        <v>0.65889879351932501</v>
      </c>
      <c r="D34">
        <v>0</v>
      </c>
      <c r="E34">
        <v>0.99992190749294896</v>
      </c>
      <c r="I34" s="2"/>
      <c r="J34" s="2"/>
      <c r="Q34" s="2"/>
      <c r="Y34" s="2"/>
    </row>
    <row r="35" spans="1:25" x14ac:dyDescent="0.25">
      <c r="A35" s="2">
        <v>35490</v>
      </c>
      <c r="B35">
        <v>0</v>
      </c>
      <c r="C35">
        <v>0.59335057170849603</v>
      </c>
      <c r="D35">
        <v>0</v>
      </c>
      <c r="E35">
        <v>0.99998552533517704</v>
      </c>
      <c r="I35" s="2"/>
      <c r="J35" s="2"/>
      <c r="Q35" s="2"/>
      <c r="Y35" s="2"/>
    </row>
    <row r="36" spans="1:25" x14ac:dyDescent="0.25">
      <c r="A36" s="2">
        <v>35521</v>
      </c>
      <c r="B36">
        <v>0</v>
      </c>
      <c r="C36">
        <v>0.51674705170586599</v>
      </c>
      <c r="D36">
        <v>0</v>
      </c>
      <c r="E36">
        <v>0.99997895404729498</v>
      </c>
      <c r="I36" s="2"/>
      <c r="J36" s="2"/>
      <c r="Q36" s="2"/>
      <c r="Y36" s="2"/>
    </row>
    <row r="37" spans="1:25" x14ac:dyDescent="0.25">
      <c r="A37" s="2">
        <v>35551</v>
      </c>
      <c r="B37">
        <v>0</v>
      </c>
      <c r="C37">
        <v>0.46147711784742801</v>
      </c>
      <c r="D37">
        <v>0</v>
      </c>
      <c r="E37">
        <v>0.99997584823105401</v>
      </c>
      <c r="I37" s="2"/>
      <c r="J37" s="2"/>
      <c r="Q37" s="2"/>
      <c r="Y37" s="2"/>
    </row>
    <row r="38" spans="1:25" x14ac:dyDescent="0.25">
      <c r="A38" s="2">
        <v>35582</v>
      </c>
      <c r="B38">
        <v>0</v>
      </c>
      <c r="C38">
        <v>0.50707842278438697</v>
      </c>
      <c r="D38">
        <v>0</v>
      </c>
      <c r="E38">
        <v>0.99998490278988805</v>
      </c>
      <c r="I38" s="2"/>
      <c r="J38" s="2"/>
      <c r="Q38" s="2"/>
      <c r="Y38" s="2"/>
    </row>
    <row r="39" spans="1:25" x14ac:dyDescent="0.25">
      <c r="A39" s="2">
        <v>35612</v>
      </c>
      <c r="B39">
        <v>0</v>
      </c>
      <c r="C39">
        <v>0.589494987810397</v>
      </c>
      <c r="D39">
        <v>0</v>
      </c>
      <c r="E39">
        <v>0.99999545134693402</v>
      </c>
      <c r="I39" s="2"/>
      <c r="J39" s="2"/>
      <c r="Q39" s="2"/>
      <c r="Y39" s="2"/>
    </row>
    <row r="40" spans="1:25" x14ac:dyDescent="0.25">
      <c r="A40" s="2">
        <v>35643</v>
      </c>
      <c r="B40">
        <v>0</v>
      </c>
      <c r="C40">
        <v>0.61615932068324997</v>
      </c>
      <c r="D40">
        <v>0</v>
      </c>
      <c r="E40">
        <v>0.99999632110477699</v>
      </c>
      <c r="I40" s="2"/>
      <c r="J40" s="2"/>
      <c r="Q40" s="2"/>
      <c r="Y40" s="2"/>
    </row>
    <row r="41" spans="1:25" x14ac:dyDescent="0.25">
      <c r="A41" s="2">
        <v>35674</v>
      </c>
      <c r="B41">
        <v>0</v>
      </c>
      <c r="C41">
        <v>0.606617331115202</v>
      </c>
      <c r="D41">
        <v>0</v>
      </c>
      <c r="E41">
        <v>0.99999856360803197</v>
      </c>
      <c r="I41" s="2"/>
      <c r="J41" s="2"/>
      <c r="Q41" s="2"/>
      <c r="Y41" s="2"/>
    </row>
    <row r="42" spans="1:25" x14ac:dyDescent="0.25">
      <c r="A42" s="2">
        <v>35704</v>
      </c>
      <c r="B42">
        <v>0</v>
      </c>
      <c r="C42">
        <v>0.62939042535311296</v>
      </c>
      <c r="D42">
        <v>0</v>
      </c>
      <c r="E42">
        <v>0.99999814296729195</v>
      </c>
      <c r="I42" s="2"/>
      <c r="J42" s="2"/>
      <c r="Q42" s="2"/>
      <c r="Y42" s="2"/>
    </row>
    <row r="43" spans="1:25" x14ac:dyDescent="0.25">
      <c r="A43" s="2">
        <v>35735</v>
      </c>
      <c r="B43">
        <v>0</v>
      </c>
      <c r="C43">
        <v>0.68613411440204497</v>
      </c>
      <c r="D43">
        <v>0</v>
      </c>
      <c r="E43">
        <v>0.99999828823803005</v>
      </c>
      <c r="I43" s="2"/>
      <c r="J43" s="2"/>
      <c r="Q43" s="2"/>
      <c r="Y43" s="2"/>
    </row>
    <row r="44" spans="1:25" x14ac:dyDescent="0.25">
      <c r="A44" s="2">
        <v>35765</v>
      </c>
      <c r="B44">
        <v>0</v>
      </c>
      <c r="C44">
        <v>0.70832127784411603</v>
      </c>
      <c r="D44">
        <v>0</v>
      </c>
      <c r="E44">
        <v>0.99999800673641204</v>
      </c>
      <c r="I44" s="2"/>
      <c r="J44" s="2"/>
      <c r="Q44" s="2"/>
      <c r="Y44" s="2"/>
    </row>
    <row r="45" spans="1:25" x14ac:dyDescent="0.25">
      <c r="A45" s="2">
        <v>35796</v>
      </c>
      <c r="B45">
        <v>0</v>
      </c>
      <c r="C45">
        <v>0.67585264578452697</v>
      </c>
      <c r="D45">
        <v>0</v>
      </c>
      <c r="E45">
        <v>0.99999582510257001</v>
      </c>
      <c r="I45" s="2"/>
      <c r="J45" s="2"/>
      <c r="Q45" s="2"/>
      <c r="Y45" s="2"/>
    </row>
    <row r="46" spans="1:25" x14ac:dyDescent="0.25">
      <c r="A46" s="2">
        <v>35827</v>
      </c>
      <c r="B46">
        <v>0</v>
      </c>
      <c r="C46">
        <v>0.70301833987460804</v>
      </c>
      <c r="D46">
        <v>0</v>
      </c>
      <c r="E46">
        <v>1</v>
      </c>
      <c r="I46" s="2"/>
      <c r="J46" s="2"/>
      <c r="Q46" s="2"/>
      <c r="Y46" s="2"/>
    </row>
    <row r="47" spans="1:25" x14ac:dyDescent="0.25">
      <c r="A47" s="2">
        <v>35855</v>
      </c>
      <c r="B47">
        <v>0</v>
      </c>
      <c r="C47">
        <v>0.70169149461104496</v>
      </c>
      <c r="D47">
        <v>0</v>
      </c>
      <c r="E47">
        <v>1</v>
      </c>
      <c r="I47" s="2"/>
      <c r="J47" s="2"/>
      <c r="Q47" s="2"/>
      <c r="Y47" s="2"/>
    </row>
    <row r="48" spans="1:25" x14ac:dyDescent="0.25">
      <c r="A48" s="2">
        <v>35886</v>
      </c>
      <c r="B48">
        <v>0</v>
      </c>
      <c r="C48">
        <v>0.71136059679864905</v>
      </c>
      <c r="D48">
        <v>0</v>
      </c>
      <c r="E48">
        <v>1</v>
      </c>
      <c r="I48" s="2"/>
      <c r="J48" s="2"/>
      <c r="Q48" s="2"/>
      <c r="Y48" s="2"/>
    </row>
    <row r="49" spans="1:26" x14ac:dyDescent="0.25">
      <c r="A49" s="2">
        <v>35916</v>
      </c>
      <c r="B49">
        <v>0</v>
      </c>
      <c r="C49">
        <v>0.71794612909004996</v>
      </c>
      <c r="D49">
        <v>0</v>
      </c>
      <c r="E49">
        <v>1</v>
      </c>
      <c r="I49" s="2"/>
      <c r="J49" s="2"/>
      <c r="Q49" s="2"/>
      <c r="Y49" s="2"/>
    </row>
    <row r="50" spans="1:26" x14ac:dyDescent="0.25">
      <c r="A50" s="2">
        <v>35947</v>
      </c>
      <c r="B50">
        <v>0</v>
      </c>
      <c r="C50">
        <v>0.72700324115126003</v>
      </c>
      <c r="D50">
        <v>0</v>
      </c>
      <c r="E50">
        <v>1</v>
      </c>
      <c r="I50" s="2"/>
      <c r="J50" s="2"/>
      <c r="Q50" s="2"/>
      <c r="Y50" s="2"/>
    </row>
    <row r="51" spans="1:26" x14ac:dyDescent="0.25">
      <c r="A51" s="2">
        <v>35977</v>
      </c>
      <c r="B51">
        <v>0</v>
      </c>
      <c r="C51">
        <v>0.73583268646723698</v>
      </c>
      <c r="D51">
        <v>0</v>
      </c>
      <c r="E51">
        <v>1</v>
      </c>
      <c r="I51" s="2"/>
      <c r="J51" s="2"/>
      <c r="Q51" s="2"/>
      <c r="Y51" s="2"/>
    </row>
    <row r="52" spans="1:26" x14ac:dyDescent="0.25">
      <c r="A52" s="2">
        <v>36008</v>
      </c>
      <c r="B52">
        <v>0</v>
      </c>
      <c r="C52">
        <v>0.73802691002742904</v>
      </c>
      <c r="D52">
        <v>0</v>
      </c>
      <c r="E52">
        <v>1</v>
      </c>
      <c r="I52" s="2"/>
      <c r="J52" s="2"/>
      <c r="Q52" s="2"/>
      <c r="Y52" s="2"/>
    </row>
    <row r="53" spans="1:26" x14ac:dyDescent="0.25">
      <c r="A53" s="2">
        <v>36039</v>
      </c>
      <c r="B53">
        <v>0</v>
      </c>
      <c r="C53">
        <v>0.74772023908500196</v>
      </c>
      <c r="D53">
        <v>0</v>
      </c>
      <c r="E53">
        <v>1</v>
      </c>
      <c r="I53" s="2"/>
      <c r="J53" s="2"/>
      <c r="Q53" s="2"/>
      <c r="Y53" s="2"/>
    </row>
    <row r="54" spans="1:26" x14ac:dyDescent="0.25">
      <c r="A54" s="2">
        <v>36069</v>
      </c>
      <c r="B54">
        <v>0</v>
      </c>
      <c r="C54">
        <v>0.71401949965998401</v>
      </c>
      <c r="D54">
        <v>0</v>
      </c>
      <c r="E54">
        <v>1</v>
      </c>
      <c r="I54" s="2"/>
      <c r="J54" s="2"/>
      <c r="Q54" s="2"/>
      <c r="Y54" s="2"/>
    </row>
    <row r="55" spans="1:26" x14ac:dyDescent="0.25">
      <c r="A55" s="2">
        <v>36100</v>
      </c>
      <c r="B55">
        <v>0</v>
      </c>
      <c r="C55">
        <v>0.72856909966067895</v>
      </c>
      <c r="D55">
        <v>0</v>
      </c>
      <c r="E55">
        <v>1</v>
      </c>
      <c r="I55" s="2"/>
      <c r="J55" s="2"/>
      <c r="Q55" s="2"/>
      <c r="Y55" s="2"/>
    </row>
    <row r="56" spans="1:26" x14ac:dyDescent="0.25">
      <c r="A56" s="2">
        <v>36130</v>
      </c>
      <c r="B56">
        <v>0</v>
      </c>
      <c r="C56">
        <v>0.71366617428082502</v>
      </c>
      <c r="D56">
        <v>0</v>
      </c>
      <c r="E56">
        <v>1</v>
      </c>
      <c r="I56" s="2"/>
      <c r="J56" s="2"/>
      <c r="Q56" s="2"/>
      <c r="Y56" s="2"/>
    </row>
    <row r="57" spans="1:26" x14ac:dyDescent="0.25">
      <c r="A57" s="2">
        <v>36161</v>
      </c>
      <c r="B57">
        <v>0</v>
      </c>
      <c r="C57">
        <v>0.71583797420899997</v>
      </c>
      <c r="D57">
        <v>0</v>
      </c>
      <c r="E57">
        <v>1</v>
      </c>
      <c r="I57" s="2"/>
      <c r="J57" s="2"/>
      <c r="Q57" s="2"/>
      <c r="Y57" s="2"/>
    </row>
    <row r="58" spans="1:26" x14ac:dyDescent="0.25">
      <c r="A58" s="2">
        <v>36192</v>
      </c>
      <c r="B58">
        <v>0</v>
      </c>
      <c r="C58">
        <v>0.70767771166813398</v>
      </c>
      <c r="D58">
        <v>0</v>
      </c>
      <c r="E58">
        <v>1</v>
      </c>
      <c r="I58" s="2"/>
      <c r="J58" s="2"/>
      <c r="Q58" s="2"/>
      <c r="Y58" s="2"/>
    </row>
    <row r="59" spans="1:26" x14ac:dyDescent="0.25">
      <c r="A59" s="2">
        <v>36220</v>
      </c>
      <c r="B59">
        <v>0</v>
      </c>
      <c r="C59">
        <v>0.69721883789286598</v>
      </c>
      <c r="D59">
        <v>0</v>
      </c>
      <c r="E59">
        <v>1</v>
      </c>
      <c r="I59" s="2"/>
      <c r="J59" s="2"/>
      <c r="Q59" s="2"/>
      <c r="Y59" s="2"/>
    </row>
    <row r="60" spans="1:26" x14ac:dyDescent="0.25">
      <c r="A60" s="2">
        <v>36251</v>
      </c>
      <c r="B60">
        <v>1.25849969596414E-2</v>
      </c>
      <c r="C60">
        <v>0.71941901903789995</v>
      </c>
      <c r="D60">
        <v>8.6666666666663592E-3</v>
      </c>
      <c r="E60">
        <v>1</v>
      </c>
      <c r="I60" s="2"/>
      <c r="J60" s="2"/>
      <c r="Q60" s="2"/>
      <c r="Y60" s="2"/>
    </row>
    <row r="61" spans="1:26" x14ac:dyDescent="0.25">
      <c r="A61" s="2">
        <v>36281</v>
      </c>
      <c r="B61">
        <v>3.0601010892272702E-2</v>
      </c>
      <c r="C61">
        <v>0.73363847497441403</v>
      </c>
      <c r="D61">
        <v>2.0666666666666798E-2</v>
      </c>
      <c r="E61">
        <v>1</v>
      </c>
      <c r="I61" s="2"/>
      <c r="J61" s="2"/>
      <c r="Q61" s="2"/>
      <c r="Y61" s="2"/>
      <c r="Z61" s="33"/>
    </row>
    <row r="62" spans="1:26" x14ac:dyDescent="0.25">
      <c r="A62" s="2">
        <v>36312</v>
      </c>
      <c r="B62">
        <v>4.6804372053543798E-2</v>
      </c>
      <c r="C62">
        <v>0.70995467935879597</v>
      </c>
      <c r="D62">
        <v>3.2666666666666302E-2</v>
      </c>
      <c r="E62">
        <v>1</v>
      </c>
      <c r="I62" s="2"/>
      <c r="J62" s="2"/>
      <c r="Q62" s="2"/>
      <c r="Y62" s="2"/>
      <c r="Z62" s="33"/>
    </row>
    <row r="63" spans="1:26" x14ac:dyDescent="0.25">
      <c r="A63" s="2">
        <v>36342</v>
      </c>
      <c r="B63">
        <v>4.0729487951729502E-2</v>
      </c>
      <c r="C63">
        <v>0.60543577304962803</v>
      </c>
      <c r="D63">
        <v>3.3333333333333298E-2</v>
      </c>
      <c r="E63">
        <v>0.999998067465381</v>
      </c>
      <c r="I63" s="2"/>
      <c r="J63" s="2"/>
      <c r="Q63" s="2"/>
      <c r="Y63" s="2"/>
      <c r="Z63" s="33"/>
    </row>
    <row r="64" spans="1:26" x14ac:dyDescent="0.25">
      <c r="A64" s="2">
        <v>36373</v>
      </c>
      <c r="B64">
        <v>4.01670330741122E-2</v>
      </c>
      <c r="C64">
        <v>0.57410937130009299</v>
      </c>
      <c r="D64">
        <v>3.4666666666666401E-2</v>
      </c>
      <c r="E64">
        <v>0.99999771273706195</v>
      </c>
      <c r="I64" s="2"/>
      <c r="J64" s="2"/>
      <c r="Q64" s="2"/>
      <c r="Y64" s="2"/>
      <c r="Z64" s="33"/>
    </row>
    <row r="65" spans="1:26" x14ac:dyDescent="0.25">
      <c r="A65" s="2">
        <v>36404</v>
      </c>
      <c r="B65">
        <v>3.2028111286919202E-2</v>
      </c>
      <c r="C65">
        <v>0.44913061497388301</v>
      </c>
      <c r="D65">
        <v>3.5333333333333397E-2</v>
      </c>
      <c r="E65">
        <v>0.99999032422241196</v>
      </c>
      <c r="I65" s="2"/>
      <c r="J65" s="2"/>
      <c r="Q65" s="2"/>
      <c r="Y65" s="2"/>
      <c r="Z65" s="33"/>
    </row>
    <row r="66" spans="1:26" x14ac:dyDescent="0.25">
      <c r="A66" s="2">
        <v>36434</v>
      </c>
      <c r="B66">
        <v>2.93072201156486E-2</v>
      </c>
      <c r="C66">
        <v>0.50653937369966795</v>
      </c>
      <c r="D66">
        <v>2.86666666666671E-2</v>
      </c>
      <c r="E66">
        <v>0.99999710251438401</v>
      </c>
      <c r="I66" s="2"/>
      <c r="J66" s="2"/>
      <c r="Q66" s="2"/>
      <c r="Y66" s="2"/>
      <c r="Z66" s="33"/>
    </row>
    <row r="67" spans="1:26" x14ac:dyDescent="0.25">
      <c r="A67" s="2">
        <v>36465</v>
      </c>
      <c r="B67">
        <v>2.1653638988716799E-2</v>
      </c>
      <c r="C67">
        <v>0.47330788538878998</v>
      </c>
      <c r="D67">
        <v>2.2666666666666901E-2</v>
      </c>
      <c r="E67">
        <v>0.99999733411568303</v>
      </c>
      <c r="I67" s="2"/>
      <c r="J67" s="2"/>
      <c r="Q67" s="2"/>
      <c r="Y67" s="2"/>
      <c r="Z67" s="33"/>
    </row>
    <row r="68" spans="1:26" x14ac:dyDescent="0.25">
      <c r="A68" s="2">
        <v>36495</v>
      </c>
      <c r="B68">
        <v>1.68796613409627E-2</v>
      </c>
      <c r="C68">
        <v>0.52267729195401802</v>
      </c>
      <c r="D68">
        <v>1.5999999999999698E-2</v>
      </c>
      <c r="E68">
        <v>0.99999912751356401</v>
      </c>
      <c r="I68" s="2"/>
      <c r="J68" s="2"/>
      <c r="Q68" s="2"/>
      <c r="Y68" s="2"/>
      <c r="Z68" s="33"/>
    </row>
    <row r="69" spans="1:26" x14ac:dyDescent="0.25">
      <c r="A69" s="2">
        <v>36526</v>
      </c>
      <c r="B69">
        <v>2.50415891232647E-2</v>
      </c>
      <c r="C69">
        <v>0.46526390294354503</v>
      </c>
      <c r="D69">
        <v>2.6666666666667001E-2</v>
      </c>
      <c r="E69">
        <v>0.99999910371223599</v>
      </c>
      <c r="I69" s="2"/>
      <c r="J69" s="2"/>
      <c r="Q69" s="2"/>
      <c r="Y69" s="2"/>
      <c r="Z69" s="33"/>
    </row>
    <row r="70" spans="1:26" x14ac:dyDescent="0.25">
      <c r="A70" s="2">
        <v>36557</v>
      </c>
      <c r="B70">
        <v>2.51299832901286E-2</v>
      </c>
      <c r="C70">
        <v>0.33957023039155398</v>
      </c>
      <c r="D70">
        <v>3.66666666666665E-2</v>
      </c>
      <c r="E70">
        <v>0.999996738711182</v>
      </c>
      <c r="I70" s="2"/>
      <c r="J70" s="2"/>
      <c r="Q70" s="2"/>
      <c r="Y70" s="2"/>
      <c r="Z70" s="33"/>
    </row>
    <row r="71" spans="1:26" x14ac:dyDescent="0.25">
      <c r="A71" s="2">
        <v>36586</v>
      </c>
      <c r="B71">
        <v>2.8543452673746E-2</v>
      </c>
      <c r="C71">
        <v>0.30304983780089401</v>
      </c>
      <c r="D71">
        <v>4.6666666666666801E-2</v>
      </c>
      <c r="E71">
        <v>0.99999829050346201</v>
      </c>
      <c r="I71" s="2"/>
      <c r="J71" s="2"/>
      <c r="Q71" s="2"/>
      <c r="Y71" s="2"/>
      <c r="Z71" s="33"/>
    </row>
    <row r="72" spans="1:26" x14ac:dyDescent="0.25">
      <c r="A72" s="2">
        <v>36617</v>
      </c>
      <c r="B72">
        <v>4.3107849033907603E-2</v>
      </c>
      <c r="C72">
        <v>0.330307208434232</v>
      </c>
      <c r="D72">
        <v>6.4666666666666595E-2</v>
      </c>
      <c r="E72">
        <v>0.99999946905861103</v>
      </c>
      <c r="I72" s="2"/>
      <c r="J72" s="2"/>
      <c r="Q72" s="2"/>
      <c r="Y72" s="2"/>
      <c r="Z72" s="33"/>
    </row>
    <row r="73" spans="1:26" x14ac:dyDescent="0.25">
      <c r="A73" s="2">
        <v>36647</v>
      </c>
      <c r="B73">
        <v>6.06671539843062E-2</v>
      </c>
      <c r="C73">
        <v>0.36662022970285602</v>
      </c>
      <c r="D73">
        <v>8.2000000000000295E-2</v>
      </c>
      <c r="E73">
        <v>0.99999996318308604</v>
      </c>
      <c r="I73" s="2"/>
      <c r="J73" s="2"/>
      <c r="Q73" s="2"/>
      <c r="Y73" s="2"/>
      <c r="Z73" s="33"/>
    </row>
    <row r="74" spans="1:26" x14ac:dyDescent="0.25">
      <c r="A74" s="2">
        <v>36678</v>
      </c>
      <c r="B74">
        <v>4.7468866609046097E-2</v>
      </c>
      <c r="C74">
        <v>0.23521196886684601</v>
      </c>
      <c r="D74">
        <v>0.1</v>
      </c>
      <c r="E74">
        <v>0.99999982440834301</v>
      </c>
      <c r="I74" s="2"/>
      <c r="J74" s="2"/>
      <c r="Q74" s="2"/>
      <c r="Y74" s="2"/>
      <c r="Z74" s="33"/>
    </row>
    <row r="75" spans="1:26" x14ac:dyDescent="0.25">
      <c r="A75" s="2">
        <v>36708</v>
      </c>
      <c r="B75">
        <v>7.0711194911621297E-2</v>
      </c>
      <c r="C75">
        <v>0.31856064714140597</v>
      </c>
      <c r="D75">
        <v>0.11</v>
      </c>
      <c r="E75">
        <v>1</v>
      </c>
      <c r="I75" s="2"/>
      <c r="J75" s="2"/>
      <c r="Q75" s="2"/>
      <c r="Y75" s="2"/>
      <c r="Z75" s="33"/>
    </row>
    <row r="76" spans="1:26" x14ac:dyDescent="0.25">
      <c r="A76" s="2">
        <v>36739</v>
      </c>
      <c r="B76">
        <v>9.1250457477243294E-2</v>
      </c>
      <c r="C76">
        <v>0.37478765673011299</v>
      </c>
      <c r="D76">
        <v>0.12066666666666701</v>
      </c>
      <c r="E76">
        <v>1</v>
      </c>
      <c r="I76" s="2"/>
      <c r="J76" s="2"/>
      <c r="Q76" s="2"/>
      <c r="Y76" s="2"/>
      <c r="Z76" s="33"/>
    </row>
    <row r="77" spans="1:26" x14ac:dyDescent="0.25">
      <c r="A77" s="2">
        <v>36770</v>
      </c>
      <c r="B77">
        <v>0.112851485201615</v>
      </c>
      <c r="C77">
        <v>0.42807813383481702</v>
      </c>
      <c r="D77">
        <v>0.13066666666666599</v>
      </c>
      <c r="E77">
        <v>1</v>
      </c>
      <c r="I77" s="2"/>
      <c r="J77" s="2"/>
      <c r="Q77" s="2"/>
      <c r="Y77" s="2"/>
      <c r="Z77" s="33"/>
    </row>
    <row r="78" spans="1:26" x14ac:dyDescent="0.25">
      <c r="A78" s="2">
        <v>36800</v>
      </c>
      <c r="B78">
        <v>0.13159341525386101</v>
      </c>
      <c r="C78">
        <v>0.46816296263545498</v>
      </c>
      <c r="D78">
        <v>0.139333333333334</v>
      </c>
      <c r="E78">
        <v>1</v>
      </c>
      <c r="I78" s="2"/>
      <c r="J78" s="2"/>
      <c r="Q78" s="2"/>
      <c r="Y78" s="2"/>
      <c r="Z78" s="33"/>
    </row>
    <row r="79" spans="1:26" x14ac:dyDescent="0.25">
      <c r="A79" s="2">
        <v>36831</v>
      </c>
      <c r="B79">
        <v>0.15110296735364501</v>
      </c>
      <c r="C79">
        <v>0.506136990315187</v>
      </c>
      <c r="D79">
        <v>0.14799999999999999</v>
      </c>
      <c r="E79">
        <v>1</v>
      </c>
      <c r="I79" s="2"/>
      <c r="J79" s="2"/>
      <c r="Q79" s="2"/>
      <c r="Y79" s="2"/>
      <c r="Z79" s="33"/>
    </row>
    <row r="80" spans="1:26" x14ac:dyDescent="0.25">
      <c r="A80" s="2">
        <v>36861</v>
      </c>
      <c r="B80">
        <v>0.17027747979053701</v>
      </c>
      <c r="C80">
        <v>0.53885960524132903</v>
      </c>
      <c r="D80">
        <v>0.15666666666666601</v>
      </c>
      <c r="E80">
        <v>1</v>
      </c>
      <c r="I80" s="2"/>
      <c r="J80" s="2"/>
      <c r="Q80" s="2"/>
      <c r="Y80" s="2"/>
      <c r="Z80" s="33"/>
    </row>
    <row r="81" spans="1:26" x14ac:dyDescent="0.25">
      <c r="A81" s="2">
        <v>36892</v>
      </c>
      <c r="B81">
        <v>0.25230203455295402</v>
      </c>
      <c r="C81">
        <v>0.65174558292714702</v>
      </c>
      <c r="D81">
        <v>0.192</v>
      </c>
      <c r="E81">
        <v>1</v>
      </c>
      <c r="I81" s="2"/>
      <c r="J81" s="2"/>
      <c r="Q81" s="2"/>
      <c r="Y81" s="2"/>
      <c r="Z81" s="33"/>
    </row>
    <row r="82" spans="1:26" x14ac:dyDescent="0.25">
      <c r="A82" s="2">
        <v>36923</v>
      </c>
      <c r="B82">
        <v>0.32645026902130603</v>
      </c>
      <c r="C82">
        <v>0.71455537361468602</v>
      </c>
      <c r="D82">
        <v>0.22666666666666699</v>
      </c>
      <c r="E82">
        <v>1</v>
      </c>
      <c r="I82" s="2"/>
      <c r="J82" s="2"/>
      <c r="Q82" s="2"/>
      <c r="Y82" s="2"/>
      <c r="Z82" s="33"/>
    </row>
    <row r="83" spans="1:26" x14ac:dyDescent="0.25">
      <c r="A83" s="2">
        <v>36951</v>
      </c>
      <c r="B83">
        <v>0.38311792215458601</v>
      </c>
      <c r="C83">
        <v>0.72754071786416696</v>
      </c>
      <c r="D83">
        <v>0.26133333333333297</v>
      </c>
      <c r="E83">
        <v>1</v>
      </c>
      <c r="I83" s="2"/>
      <c r="J83" s="2"/>
      <c r="Q83" s="2"/>
      <c r="Y83" s="2"/>
      <c r="Z83" s="33"/>
    </row>
    <row r="84" spans="1:26" x14ac:dyDescent="0.25">
      <c r="A84" s="2">
        <v>36982</v>
      </c>
      <c r="B84">
        <v>0.39168278961583303</v>
      </c>
      <c r="C84">
        <v>0.71995851329949301</v>
      </c>
      <c r="D84">
        <v>0.27</v>
      </c>
      <c r="E84">
        <v>1</v>
      </c>
      <c r="I84" s="2"/>
      <c r="J84" s="2"/>
      <c r="Q84" s="2"/>
      <c r="Y84" s="2"/>
      <c r="Z84" s="33"/>
    </row>
    <row r="85" spans="1:26" x14ac:dyDescent="0.25">
      <c r="A85" s="2">
        <v>37012</v>
      </c>
      <c r="B85">
        <v>0.40594963835602899</v>
      </c>
      <c r="C85">
        <v>0.72302343494173205</v>
      </c>
      <c r="D85">
        <v>0.27866666666666701</v>
      </c>
      <c r="E85">
        <v>1</v>
      </c>
      <c r="I85" s="2"/>
      <c r="J85" s="2"/>
      <c r="Q85" s="2"/>
      <c r="Y85" s="2"/>
      <c r="Z85" s="33"/>
    </row>
    <row r="86" spans="1:26" x14ac:dyDescent="0.25">
      <c r="A86" s="2">
        <v>37043</v>
      </c>
      <c r="B86">
        <v>0.40684262209635902</v>
      </c>
      <c r="C86">
        <v>0.704395008049152</v>
      </c>
      <c r="D86">
        <v>0.28666666666666601</v>
      </c>
      <c r="E86">
        <v>1</v>
      </c>
      <c r="I86" s="2"/>
      <c r="J86" s="2"/>
      <c r="Q86" s="2"/>
      <c r="Y86" s="2"/>
      <c r="Z86" s="33"/>
    </row>
    <row r="87" spans="1:26" x14ac:dyDescent="0.25">
      <c r="A87" s="2">
        <v>37073</v>
      </c>
      <c r="B87">
        <v>0.41583003529103202</v>
      </c>
      <c r="C87">
        <v>0.71170960782912296</v>
      </c>
      <c r="D87">
        <v>0.28999999999999998</v>
      </c>
      <c r="E87">
        <v>1</v>
      </c>
      <c r="I87" s="2"/>
      <c r="J87" s="2"/>
      <c r="Q87" s="2"/>
      <c r="Y87" s="2"/>
      <c r="Z87" s="33"/>
    </row>
    <row r="88" spans="1:26" x14ac:dyDescent="0.25">
      <c r="A88" s="2">
        <v>37104</v>
      </c>
      <c r="B88">
        <v>0.41620576665474301</v>
      </c>
      <c r="C88">
        <v>0.704258987026669</v>
      </c>
      <c r="D88">
        <v>0.293333333333334</v>
      </c>
      <c r="E88">
        <v>1</v>
      </c>
      <c r="I88" s="2"/>
      <c r="J88" s="2"/>
      <c r="Q88" s="2"/>
      <c r="Y88" s="2"/>
      <c r="Z88" s="33"/>
    </row>
    <row r="89" spans="1:26" x14ac:dyDescent="0.25">
      <c r="A89" s="2">
        <v>37135</v>
      </c>
      <c r="B89">
        <v>0.42879146935439499</v>
      </c>
      <c r="C89">
        <v>0.71744439291351303</v>
      </c>
      <c r="D89">
        <v>0.29666666666666702</v>
      </c>
      <c r="E89">
        <v>1</v>
      </c>
      <c r="I89" s="2"/>
      <c r="J89" s="2"/>
      <c r="Q89" s="2"/>
      <c r="Y89" s="2"/>
      <c r="Z89" s="33"/>
    </row>
    <row r="90" spans="1:26" x14ac:dyDescent="0.25">
      <c r="A90" s="2">
        <v>37165</v>
      </c>
      <c r="B90">
        <v>0.40774142409192299</v>
      </c>
      <c r="C90">
        <v>0.67011094118764103</v>
      </c>
      <c r="D90">
        <v>0.30199999999999999</v>
      </c>
      <c r="E90">
        <v>1</v>
      </c>
      <c r="I90" s="2"/>
      <c r="J90" s="2"/>
      <c r="Q90" s="2"/>
      <c r="Y90" s="2"/>
      <c r="Z90" s="33"/>
    </row>
    <row r="91" spans="1:26" x14ac:dyDescent="0.25">
      <c r="A91" s="2">
        <v>37196</v>
      </c>
      <c r="B91">
        <v>0.43218590254856498</v>
      </c>
      <c r="C91">
        <v>0.69803720656007495</v>
      </c>
      <c r="D91">
        <v>0.30733333333333301</v>
      </c>
      <c r="E91">
        <v>1</v>
      </c>
      <c r="I91" s="2"/>
      <c r="J91" s="2"/>
      <c r="Q91" s="2"/>
      <c r="Y91" s="2"/>
      <c r="Z91" s="33"/>
    </row>
    <row r="92" spans="1:26" x14ac:dyDescent="0.25">
      <c r="A92" s="2">
        <v>37226</v>
      </c>
      <c r="B92">
        <v>0.43985952078672302</v>
      </c>
      <c r="C92">
        <v>0.699829706623459</v>
      </c>
      <c r="D92">
        <v>0.312</v>
      </c>
      <c r="E92">
        <v>1</v>
      </c>
      <c r="I92" s="2"/>
      <c r="J92" s="2"/>
      <c r="Q92" s="2"/>
      <c r="Y92" s="2"/>
      <c r="Z92" s="33"/>
    </row>
    <row r="93" spans="1:26" x14ac:dyDescent="0.25">
      <c r="A93" s="2">
        <v>37257</v>
      </c>
      <c r="B93">
        <v>0.42967406538714198</v>
      </c>
      <c r="C93">
        <v>0.71093600651454403</v>
      </c>
      <c r="D93">
        <v>0.3</v>
      </c>
      <c r="E93">
        <v>1</v>
      </c>
      <c r="I93" s="2"/>
      <c r="J93" s="2"/>
      <c r="Q93" s="2"/>
      <c r="Y93" s="2"/>
      <c r="Z93" s="33"/>
    </row>
    <row r="94" spans="1:26" x14ac:dyDescent="0.25">
      <c r="A94" s="2">
        <v>37288</v>
      </c>
      <c r="B94">
        <v>0.41340813974636298</v>
      </c>
      <c r="C94">
        <v>0.71082471614838905</v>
      </c>
      <c r="D94">
        <v>0.28866666666666702</v>
      </c>
      <c r="E94">
        <v>1</v>
      </c>
      <c r="I94" s="2"/>
      <c r="J94" s="2"/>
      <c r="Q94" s="2"/>
      <c r="Y94" s="2"/>
      <c r="Z94" s="33"/>
    </row>
    <row r="95" spans="1:26" x14ac:dyDescent="0.25">
      <c r="A95" s="2">
        <v>37316</v>
      </c>
      <c r="B95">
        <v>0.39111740687785002</v>
      </c>
      <c r="C95">
        <v>0.70159409415974205</v>
      </c>
      <c r="D95">
        <v>0.276666666666667</v>
      </c>
      <c r="E95">
        <v>1</v>
      </c>
      <c r="I95" s="2"/>
      <c r="J95" s="2"/>
      <c r="Q95" s="2"/>
      <c r="Y95" s="2"/>
      <c r="Z95" s="33"/>
    </row>
    <row r="96" spans="1:26" x14ac:dyDescent="0.25">
      <c r="A96" s="2">
        <v>37347</v>
      </c>
      <c r="B96">
        <v>0.39559719746521399</v>
      </c>
      <c r="C96">
        <v>0.70455150485296503</v>
      </c>
      <c r="D96">
        <v>0.27866666666666701</v>
      </c>
      <c r="E96">
        <v>1</v>
      </c>
      <c r="I96" s="2"/>
      <c r="J96" s="2"/>
      <c r="Q96" s="2"/>
      <c r="Y96" s="2"/>
      <c r="Z96" s="33"/>
    </row>
    <row r="97" spans="1:26" x14ac:dyDescent="0.25">
      <c r="A97" s="2">
        <v>37377</v>
      </c>
      <c r="B97">
        <v>0.40312876452797097</v>
      </c>
      <c r="C97">
        <v>0.71287363832077999</v>
      </c>
      <c r="D97">
        <v>0.28066666666666601</v>
      </c>
      <c r="E97">
        <v>1</v>
      </c>
      <c r="I97" s="2"/>
      <c r="J97" s="2"/>
      <c r="Q97" s="2"/>
      <c r="Y97" s="2"/>
      <c r="Z97" s="33"/>
    </row>
    <row r="98" spans="1:26" x14ac:dyDescent="0.25">
      <c r="A98" s="2">
        <v>37408</v>
      </c>
      <c r="B98">
        <v>0.37602010169217598</v>
      </c>
      <c r="C98">
        <v>0.66170958475847697</v>
      </c>
      <c r="D98">
        <v>0.28199999999999997</v>
      </c>
      <c r="E98">
        <v>1</v>
      </c>
      <c r="I98" s="2"/>
      <c r="J98" s="2"/>
      <c r="Q98" s="2"/>
      <c r="Y98" s="2"/>
      <c r="Z98" s="33"/>
    </row>
    <row r="99" spans="1:26" x14ac:dyDescent="0.25">
      <c r="A99" s="2">
        <v>37438</v>
      </c>
      <c r="B99">
        <v>0.407688902291237</v>
      </c>
      <c r="C99">
        <v>0.70586297903213102</v>
      </c>
      <c r="D99">
        <v>0.28666666666666601</v>
      </c>
      <c r="E99">
        <v>1</v>
      </c>
      <c r="I99" s="2"/>
      <c r="J99" s="2"/>
      <c r="Q99" s="2"/>
      <c r="Y99" s="2"/>
      <c r="Z99" s="33"/>
    </row>
    <row r="100" spans="1:26" x14ac:dyDescent="0.25">
      <c r="A100" s="2">
        <v>37469</v>
      </c>
      <c r="B100">
        <v>0.42301632668746397</v>
      </c>
      <c r="C100">
        <v>0.72237253370850196</v>
      </c>
      <c r="D100">
        <v>0.29066666666666702</v>
      </c>
      <c r="E100">
        <v>1</v>
      </c>
      <c r="I100" s="2"/>
      <c r="J100" s="2"/>
      <c r="Q100" s="2"/>
      <c r="Y100" s="2"/>
      <c r="Z100" s="33"/>
    </row>
    <row r="101" spans="1:26" x14ac:dyDescent="0.25">
      <c r="A101" s="2">
        <v>37500</v>
      </c>
      <c r="B101">
        <v>0.40977326548348197</v>
      </c>
      <c r="C101">
        <v>0.690216734722645</v>
      </c>
      <c r="D101">
        <v>0.29466666666666702</v>
      </c>
      <c r="E101">
        <v>1</v>
      </c>
      <c r="I101" s="28"/>
      <c r="J101" s="2"/>
      <c r="P101" s="29"/>
      <c r="Q101" s="2"/>
      <c r="Y101" s="2"/>
      <c r="Z101" s="33"/>
    </row>
    <row r="102" spans="1:26" x14ac:dyDescent="0.25">
      <c r="A102" s="2">
        <v>37530</v>
      </c>
      <c r="B102">
        <v>0.43532804907863198</v>
      </c>
      <c r="C102">
        <v>0.74004429936494698</v>
      </c>
      <c r="D102">
        <v>0.29199999999999998</v>
      </c>
      <c r="E102">
        <v>1</v>
      </c>
      <c r="I102" s="28"/>
      <c r="J102" s="2"/>
      <c r="P102" s="29"/>
      <c r="Q102" s="2"/>
      <c r="X102" s="29"/>
      <c r="Y102" s="2"/>
      <c r="Z102" s="33"/>
    </row>
    <row r="103" spans="1:26" x14ac:dyDescent="0.25">
      <c r="A103" s="2">
        <v>37561</v>
      </c>
      <c r="B103">
        <v>0.42848257812482199</v>
      </c>
      <c r="C103">
        <v>0.73679517840225195</v>
      </c>
      <c r="D103">
        <v>0.28866666666666702</v>
      </c>
      <c r="E103">
        <v>1</v>
      </c>
      <c r="I103" s="28"/>
      <c r="J103" s="2"/>
      <c r="P103" s="29"/>
      <c r="Q103" s="2"/>
      <c r="X103" s="29"/>
      <c r="Y103" s="2"/>
      <c r="Z103" s="33"/>
    </row>
    <row r="104" spans="1:26" x14ac:dyDescent="0.25">
      <c r="A104" s="2">
        <v>37591</v>
      </c>
      <c r="B104">
        <v>0.43138743198332102</v>
      </c>
      <c r="C104">
        <v>0.74871666836643602</v>
      </c>
      <c r="D104">
        <v>0.28599999999999998</v>
      </c>
      <c r="E104">
        <v>1</v>
      </c>
      <c r="I104" s="28"/>
      <c r="J104" s="2"/>
      <c r="P104" s="29"/>
      <c r="Q104" s="2"/>
      <c r="X104" s="29"/>
      <c r="Y104" s="2"/>
      <c r="Z104" s="33"/>
    </row>
    <row r="105" spans="1:26" x14ac:dyDescent="0.25">
      <c r="A105" s="2">
        <v>37622</v>
      </c>
      <c r="B105">
        <v>0.38749124878303398</v>
      </c>
      <c r="C105">
        <v>0.75710577422941505</v>
      </c>
      <c r="D105">
        <v>0.254</v>
      </c>
      <c r="E105">
        <v>1</v>
      </c>
      <c r="I105" s="28"/>
      <c r="J105" s="2"/>
      <c r="P105" s="29"/>
      <c r="Q105" s="2"/>
      <c r="X105" s="29"/>
      <c r="Y105" s="2"/>
      <c r="Z105" s="33"/>
    </row>
    <row r="106" spans="1:26" x14ac:dyDescent="0.25">
      <c r="A106" s="2">
        <v>37653</v>
      </c>
      <c r="B106">
        <v>0.31510872357425301</v>
      </c>
      <c r="C106">
        <v>0.69998826639639899</v>
      </c>
      <c r="D106">
        <v>0.223333333333333</v>
      </c>
      <c r="E106">
        <v>1</v>
      </c>
      <c r="I106" s="28"/>
      <c r="J106" s="2"/>
      <c r="P106" s="29"/>
      <c r="Q106" s="2"/>
      <c r="X106" s="29"/>
      <c r="Y106" s="2"/>
      <c r="Z106" s="33"/>
    </row>
    <row r="107" spans="1:26" x14ac:dyDescent="0.25">
      <c r="A107" s="2">
        <v>37681</v>
      </c>
      <c r="B107">
        <v>0.28775133990551799</v>
      </c>
      <c r="C107">
        <v>0.74086667873481005</v>
      </c>
      <c r="D107">
        <v>0.19266666666666701</v>
      </c>
      <c r="E107">
        <v>1</v>
      </c>
      <c r="I107" s="28"/>
      <c r="J107" s="2"/>
      <c r="P107" s="29"/>
      <c r="Q107" s="2"/>
      <c r="X107" s="29"/>
      <c r="Y107" s="2"/>
      <c r="Z107" s="33"/>
    </row>
    <row r="108" spans="1:26" x14ac:dyDescent="0.25">
      <c r="A108" s="2">
        <v>37712</v>
      </c>
      <c r="B108">
        <v>0.27820889794251102</v>
      </c>
      <c r="C108">
        <v>0.761033236132312</v>
      </c>
      <c r="D108">
        <v>0.18133333333333301</v>
      </c>
      <c r="E108">
        <v>1</v>
      </c>
      <c r="I108" s="28"/>
      <c r="J108" s="2"/>
      <c r="P108" s="29"/>
      <c r="Q108" s="2"/>
      <c r="X108" s="29"/>
      <c r="Y108" s="2"/>
      <c r="Z108" s="33"/>
    </row>
    <row r="109" spans="1:26" x14ac:dyDescent="0.25">
      <c r="A109" s="2">
        <v>37742</v>
      </c>
      <c r="B109">
        <v>0.250037116814816</v>
      </c>
      <c r="C109">
        <v>0.72947366168255801</v>
      </c>
      <c r="D109">
        <v>0.17</v>
      </c>
      <c r="E109">
        <v>1</v>
      </c>
      <c r="I109" s="28"/>
      <c r="J109" s="2"/>
      <c r="P109" s="29"/>
      <c r="Q109" s="2"/>
      <c r="X109" s="29"/>
      <c r="Y109" s="2"/>
      <c r="Z109" s="33"/>
    </row>
    <row r="110" spans="1:26" x14ac:dyDescent="0.25">
      <c r="A110" s="2">
        <v>37773</v>
      </c>
      <c r="B110">
        <v>0.24261811850229101</v>
      </c>
      <c r="C110">
        <v>0.76167309144185402</v>
      </c>
      <c r="D110">
        <v>0.15866666666666601</v>
      </c>
      <c r="E110">
        <v>0.99529046044893199</v>
      </c>
      <c r="I110" s="28"/>
      <c r="J110" s="2"/>
      <c r="P110" s="29"/>
      <c r="Q110" s="2"/>
      <c r="X110" s="29"/>
      <c r="Y110" s="2"/>
      <c r="Z110" s="33"/>
    </row>
    <row r="111" spans="1:26" x14ac:dyDescent="0.25">
      <c r="A111" s="2">
        <v>37803</v>
      </c>
      <c r="B111">
        <v>0.19804974078686499</v>
      </c>
      <c r="C111">
        <v>0.74739999999999995</v>
      </c>
      <c r="D111">
        <v>0.158</v>
      </c>
      <c r="E111">
        <v>0.83160000000000001</v>
      </c>
      <c r="I111" s="28"/>
      <c r="J111" s="2"/>
      <c r="P111" s="29"/>
      <c r="Q111" s="2"/>
      <c r="X111" s="29"/>
      <c r="Y111" s="2"/>
      <c r="Z111" s="33"/>
    </row>
    <row r="112" spans="1:26" x14ac:dyDescent="0.25">
      <c r="A112" s="2">
        <v>37834</v>
      </c>
      <c r="B112">
        <v>0.21145748211700599</v>
      </c>
      <c r="C112">
        <v>0.69909650010818503</v>
      </c>
      <c r="D112">
        <v>0.158</v>
      </c>
      <c r="E112">
        <v>0.94994454516887805</v>
      </c>
      <c r="I112" s="28"/>
      <c r="J112" s="2"/>
      <c r="P112" s="29"/>
      <c r="Q112" s="2"/>
      <c r="X112" s="29"/>
      <c r="Y112" s="2"/>
      <c r="Z112" s="33"/>
    </row>
    <row r="113" spans="1:26" x14ac:dyDescent="0.25">
      <c r="A113" s="2">
        <v>37865</v>
      </c>
      <c r="B113">
        <v>0.17846466328108601</v>
      </c>
      <c r="C113">
        <v>0.57727832256409795</v>
      </c>
      <c r="D113">
        <v>0.15733333333333299</v>
      </c>
      <c r="E113">
        <v>0.97233488110069899</v>
      </c>
      <c r="I113" s="28"/>
      <c r="J113" s="2"/>
      <c r="P113" s="29"/>
      <c r="Q113" s="2"/>
      <c r="X113" s="29"/>
      <c r="Y113" s="2"/>
      <c r="Z113" s="33"/>
    </row>
    <row r="114" spans="1:26" x14ac:dyDescent="0.25">
      <c r="A114" s="2">
        <v>37895</v>
      </c>
      <c r="B114">
        <v>0.22156554816123999</v>
      </c>
      <c r="C114">
        <v>0.57840463823636701</v>
      </c>
      <c r="D114">
        <v>0.19666666666666699</v>
      </c>
      <c r="E114">
        <v>0.96713824749577104</v>
      </c>
      <c r="I114" s="28"/>
      <c r="J114" s="2"/>
      <c r="P114" s="29"/>
      <c r="Q114" s="2"/>
      <c r="X114" s="29"/>
      <c r="Y114" s="2"/>
      <c r="Z114" s="33"/>
    </row>
    <row r="115" spans="1:26" x14ac:dyDescent="0.25">
      <c r="A115" s="2">
        <v>37926</v>
      </c>
      <c r="B115">
        <v>0.29730583188783999</v>
      </c>
      <c r="C115">
        <v>0.63837129669545101</v>
      </c>
      <c r="D115">
        <v>0.23599999999999999</v>
      </c>
      <c r="E115">
        <v>0.97821769120742996</v>
      </c>
      <c r="I115" s="28"/>
      <c r="J115" s="2"/>
      <c r="P115" s="29"/>
      <c r="Q115" s="2"/>
      <c r="X115" s="29"/>
      <c r="Y115" s="2"/>
      <c r="Z115" s="33"/>
    </row>
    <row r="116" spans="1:26" x14ac:dyDescent="0.25">
      <c r="A116" s="2">
        <v>37956</v>
      </c>
      <c r="B116">
        <v>0.35144166434160101</v>
      </c>
      <c r="C116">
        <v>0.64608161930680597</v>
      </c>
      <c r="D116">
        <v>0.274666666666667</v>
      </c>
      <c r="E116">
        <v>0.982197666257002</v>
      </c>
      <c r="I116" s="28"/>
      <c r="J116" s="2"/>
      <c r="P116" s="29"/>
      <c r="Q116" s="2"/>
      <c r="X116" s="29"/>
      <c r="Y116" s="2"/>
      <c r="Z116" s="33"/>
    </row>
    <row r="117" spans="1:26" x14ac:dyDescent="0.25">
      <c r="A117" s="2">
        <v>37987</v>
      </c>
      <c r="B117">
        <v>0.361017330259361</v>
      </c>
      <c r="C117">
        <v>0.65590316742792298</v>
      </c>
      <c r="D117">
        <v>0.27733333333333299</v>
      </c>
      <c r="E117">
        <v>0.98476244551141101</v>
      </c>
      <c r="I117" s="28"/>
      <c r="J117" s="2"/>
      <c r="P117" s="29"/>
      <c r="Q117" s="2"/>
      <c r="X117" s="29"/>
      <c r="Y117" s="2"/>
      <c r="Z117" s="33"/>
    </row>
    <row r="118" spans="1:26" x14ac:dyDescent="0.25">
      <c r="A118" s="2">
        <v>38018</v>
      </c>
      <c r="B118">
        <v>0.37577192833536699</v>
      </c>
      <c r="C118">
        <v>0.67486557290293503</v>
      </c>
      <c r="D118">
        <v>0.28066666666666601</v>
      </c>
      <c r="E118">
        <v>0.98504316151063498</v>
      </c>
      <c r="I118" s="28"/>
      <c r="J118" s="2"/>
      <c r="P118" s="29"/>
      <c r="Q118" s="2"/>
      <c r="X118" s="29"/>
      <c r="Y118" s="2"/>
      <c r="Z118" s="33"/>
    </row>
    <row r="119" spans="1:26" x14ac:dyDescent="0.25">
      <c r="A119" s="2">
        <v>38047</v>
      </c>
      <c r="B119">
        <v>0.38820872417070201</v>
      </c>
      <c r="C119">
        <v>0.68756464201436496</v>
      </c>
      <c r="D119">
        <v>0.28333333333333299</v>
      </c>
      <c r="E119">
        <v>0.98916183632016397</v>
      </c>
      <c r="I119" s="28"/>
      <c r="J119" s="2"/>
      <c r="P119" s="29"/>
      <c r="Q119" s="2"/>
      <c r="X119" s="29"/>
      <c r="Y119" s="2"/>
      <c r="Z119" s="33"/>
    </row>
    <row r="120" spans="1:26" x14ac:dyDescent="0.25">
      <c r="A120" s="2">
        <v>38078</v>
      </c>
      <c r="B120">
        <v>0.44902830752150402</v>
      </c>
      <c r="C120">
        <v>0.74158828523053899</v>
      </c>
      <c r="D120">
        <v>0.30199999999999999</v>
      </c>
      <c r="E120">
        <v>0.99513978456181995</v>
      </c>
      <c r="I120" s="28"/>
      <c r="J120" s="2"/>
      <c r="P120" s="29"/>
      <c r="Q120" s="2"/>
      <c r="X120" s="29"/>
      <c r="Y120" s="2"/>
      <c r="Z120" s="33"/>
    </row>
    <row r="121" spans="1:26" x14ac:dyDescent="0.25">
      <c r="A121" s="2">
        <v>38108</v>
      </c>
      <c r="B121">
        <v>0.42437133415506001</v>
      </c>
      <c r="C121">
        <v>0.66469471323628904</v>
      </c>
      <c r="D121">
        <v>0.32</v>
      </c>
      <c r="E121">
        <v>0.990710653216891</v>
      </c>
      <c r="I121" s="28"/>
      <c r="J121" s="2"/>
      <c r="P121" s="29"/>
      <c r="Q121" s="2"/>
      <c r="X121" s="29"/>
      <c r="Y121" s="2"/>
      <c r="Z121" s="33"/>
    </row>
    <row r="122" spans="1:26" x14ac:dyDescent="0.25">
      <c r="A122" s="2">
        <v>38139</v>
      </c>
      <c r="B122">
        <v>0.38453284357786699</v>
      </c>
      <c r="C122">
        <v>0.57272850684221199</v>
      </c>
      <c r="D122">
        <v>0.33800000000000002</v>
      </c>
      <c r="E122">
        <v>0.98661254126407005</v>
      </c>
      <c r="I122" s="28"/>
      <c r="J122" s="2"/>
      <c r="P122" s="29"/>
      <c r="Q122" s="2"/>
      <c r="X122" s="29"/>
      <c r="Y122" s="2"/>
      <c r="Z122" s="33"/>
    </row>
    <row r="123" spans="1:26" x14ac:dyDescent="0.25">
      <c r="A123" s="2">
        <v>38169</v>
      </c>
      <c r="B123">
        <v>0.44117021859290101</v>
      </c>
      <c r="C123">
        <v>0.57786754262123796</v>
      </c>
      <c r="D123">
        <v>0.38466666666666599</v>
      </c>
      <c r="E123">
        <v>0.98632972056853097</v>
      </c>
      <c r="I123" s="28"/>
      <c r="J123" s="2"/>
      <c r="P123" s="29"/>
      <c r="Q123" s="2"/>
      <c r="X123" s="29"/>
      <c r="Y123" s="2"/>
      <c r="Z123" s="33"/>
    </row>
    <row r="124" spans="1:26" x14ac:dyDescent="0.25">
      <c r="A124" s="2">
        <v>38200</v>
      </c>
      <c r="B124">
        <v>0.55169319337664602</v>
      </c>
      <c r="C124">
        <v>0.640543049471057</v>
      </c>
      <c r="D124">
        <v>0.43066666666666598</v>
      </c>
      <c r="E124">
        <v>0.99356066055658399</v>
      </c>
      <c r="I124" s="28"/>
      <c r="J124" s="2"/>
      <c r="P124" s="29"/>
      <c r="Q124" s="2"/>
      <c r="X124" s="29"/>
      <c r="Y124" s="2"/>
      <c r="Z124" s="33"/>
    </row>
    <row r="125" spans="1:26" x14ac:dyDescent="0.25">
      <c r="A125" s="2">
        <v>38231</v>
      </c>
      <c r="B125">
        <v>0.64886506934924704</v>
      </c>
      <c r="C125">
        <v>0.67893250139775596</v>
      </c>
      <c r="D125">
        <v>0.47666666666666702</v>
      </c>
      <c r="E125">
        <v>0.99633159242965696</v>
      </c>
      <c r="I125" s="28"/>
      <c r="J125" s="2"/>
      <c r="P125" s="29"/>
      <c r="Q125" s="2"/>
      <c r="X125" s="29"/>
      <c r="Y125" s="2"/>
      <c r="Z125" s="33"/>
    </row>
    <row r="126" spans="1:26" x14ac:dyDescent="0.25">
      <c r="A126" s="2">
        <v>38261</v>
      </c>
      <c r="B126">
        <v>0.68593916064485505</v>
      </c>
      <c r="C126">
        <v>0.69118443677090702</v>
      </c>
      <c r="D126">
        <v>0.49466666666666698</v>
      </c>
      <c r="E126">
        <v>0.99712702488735805</v>
      </c>
      <c r="I126" s="28"/>
      <c r="J126" s="2"/>
      <c r="P126" s="29"/>
      <c r="Q126" s="2"/>
      <c r="X126" s="29"/>
      <c r="Y126" s="2"/>
      <c r="Z126" s="33"/>
    </row>
    <row r="127" spans="1:26" x14ac:dyDescent="0.25">
      <c r="A127" s="2">
        <v>38292</v>
      </c>
      <c r="B127">
        <v>0.701876725435158</v>
      </c>
      <c r="C127">
        <v>0.68259805015938801</v>
      </c>
      <c r="D127">
        <v>0.51266666666666605</v>
      </c>
      <c r="E127">
        <v>0.99704329036889905</v>
      </c>
      <c r="I127" s="28"/>
      <c r="J127" s="2"/>
      <c r="P127" s="29"/>
      <c r="Q127" s="2"/>
      <c r="X127" s="29"/>
      <c r="Y127" s="2"/>
      <c r="Z127" s="33"/>
    </row>
    <row r="128" spans="1:26" x14ac:dyDescent="0.25">
      <c r="A128" s="2">
        <v>38322</v>
      </c>
      <c r="B128">
        <v>0.72721820677406102</v>
      </c>
      <c r="C128">
        <v>0.68318423990880495</v>
      </c>
      <c r="D128">
        <v>0.53066666666666595</v>
      </c>
      <c r="E128">
        <v>0.99723531151365996</v>
      </c>
      <c r="I128" s="28"/>
      <c r="J128" s="2"/>
      <c r="P128" s="29"/>
      <c r="Q128" s="2"/>
      <c r="X128" s="29"/>
      <c r="Y128" s="2"/>
      <c r="Z128" s="33"/>
    </row>
    <row r="129" spans="1:26" x14ac:dyDescent="0.25">
      <c r="A129" s="2">
        <v>38353</v>
      </c>
      <c r="B129">
        <v>0.762271138288795</v>
      </c>
      <c r="C129">
        <v>0.679730325393886</v>
      </c>
      <c r="D129">
        <v>0.55933333333333302</v>
      </c>
      <c r="E129">
        <v>0.99695363268594905</v>
      </c>
      <c r="I129" s="28"/>
      <c r="J129" s="2"/>
      <c r="P129" s="29"/>
      <c r="Q129" s="2"/>
      <c r="X129" s="29"/>
      <c r="Y129" s="2"/>
      <c r="Z129" s="33"/>
    </row>
    <row r="130" spans="1:26" x14ac:dyDescent="0.25">
      <c r="A130" s="2">
        <v>38384</v>
      </c>
      <c r="B130">
        <v>0.82401343242405301</v>
      </c>
      <c r="C130">
        <v>0.69964360949191995</v>
      </c>
      <c r="D130">
        <v>0.58733333333333304</v>
      </c>
      <c r="E130">
        <v>0.99734642358014702</v>
      </c>
      <c r="I130" s="28"/>
      <c r="J130" s="2"/>
      <c r="P130" s="29"/>
      <c r="Q130" s="2"/>
      <c r="X130" s="29"/>
      <c r="Y130" s="2"/>
      <c r="Z130" s="33"/>
    </row>
    <row r="131" spans="1:26" x14ac:dyDescent="0.25">
      <c r="A131" s="2">
        <v>38412</v>
      </c>
      <c r="B131">
        <v>0.86940340194020505</v>
      </c>
      <c r="C131">
        <v>0.703670754834959</v>
      </c>
      <c r="D131">
        <v>0.61533333333333395</v>
      </c>
      <c r="E131">
        <v>0.99872547457245298</v>
      </c>
      <c r="I131" s="28"/>
      <c r="J131" s="2"/>
      <c r="P131" s="29"/>
      <c r="Q131" s="2"/>
      <c r="X131" s="29"/>
      <c r="Y131" s="2"/>
      <c r="Z131" s="33"/>
    </row>
    <row r="132" spans="1:26" x14ac:dyDescent="0.25">
      <c r="A132" s="2">
        <v>38443</v>
      </c>
      <c r="B132">
        <v>0.90328102023462498</v>
      </c>
      <c r="C132">
        <v>0.67670147550411697</v>
      </c>
      <c r="D132">
        <v>0.667333333333334</v>
      </c>
      <c r="E132">
        <v>0.99530101888025702</v>
      </c>
      <c r="I132" s="28"/>
      <c r="J132" s="2"/>
      <c r="P132" s="29"/>
      <c r="Q132" s="2"/>
      <c r="X132" s="29"/>
      <c r="Y132" s="2"/>
      <c r="Z132" s="33"/>
    </row>
    <row r="133" spans="1:26" x14ac:dyDescent="0.25">
      <c r="A133" s="2">
        <v>38473</v>
      </c>
      <c r="B133">
        <v>1.0083540140334</v>
      </c>
      <c r="C133">
        <v>0.70077154511059903</v>
      </c>
      <c r="D133">
        <v>0.71933333333333405</v>
      </c>
      <c r="E133">
        <v>0.99571990776868002</v>
      </c>
      <c r="I133" s="28"/>
      <c r="J133" s="2"/>
      <c r="P133" s="29"/>
      <c r="Q133" s="2"/>
      <c r="X133" s="29"/>
      <c r="Y133" s="2"/>
      <c r="Z133" s="33"/>
    </row>
    <row r="134" spans="1:26" x14ac:dyDescent="0.25">
      <c r="A134" s="2">
        <v>38504</v>
      </c>
      <c r="B134">
        <v>1.0952982194243299</v>
      </c>
      <c r="C134">
        <v>0.70926844517388199</v>
      </c>
      <c r="D134">
        <v>0.77066666666666706</v>
      </c>
      <c r="E134">
        <v>0.99779774421449396</v>
      </c>
      <c r="I134" s="28"/>
      <c r="J134" s="2"/>
      <c r="P134" s="29"/>
      <c r="Q134" s="2"/>
      <c r="X134" s="29"/>
      <c r="Y134" s="2"/>
      <c r="Z134" s="33"/>
    </row>
    <row r="135" spans="1:26" x14ac:dyDescent="0.25">
      <c r="A135" s="2">
        <v>38534</v>
      </c>
      <c r="B135">
        <v>1.1805480136590201</v>
      </c>
      <c r="C135">
        <v>0.72701313536347401</v>
      </c>
      <c r="D135">
        <v>0.81</v>
      </c>
      <c r="E135">
        <v>0.99858475444675598</v>
      </c>
      <c r="I135" s="28"/>
      <c r="J135" s="2"/>
      <c r="P135" s="29"/>
      <c r="Q135" s="2"/>
      <c r="X135" s="29"/>
      <c r="Y135" s="2"/>
      <c r="Z135" s="33"/>
    </row>
    <row r="136" spans="1:26" x14ac:dyDescent="0.25">
      <c r="A136" s="2">
        <v>38565</v>
      </c>
      <c r="B136">
        <v>1.1822063295154599</v>
      </c>
      <c r="C136">
        <v>0.69425366248676801</v>
      </c>
      <c r="D136">
        <v>0.85</v>
      </c>
      <c r="E136">
        <v>0.99795252655712596</v>
      </c>
      <c r="I136" s="28"/>
      <c r="J136" s="2"/>
      <c r="P136" s="29"/>
      <c r="Q136" s="2"/>
      <c r="X136" s="29"/>
      <c r="Y136" s="2"/>
      <c r="Z136" s="33"/>
    </row>
    <row r="137" spans="1:26" x14ac:dyDescent="0.25">
      <c r="A137" s="2">
        <v>38596</v>
      </c>
      <c r="B137">
        <v>1.2378778560358401</v>
      </c>
      <c r="C137">
        <v>0.69671474556516999</v>
      </c>
      <c r="D137">
        <v>0.88866666666666705</v>
      </c>
      <c r="E137">
        <v>0.99630989678230297</v>
      </c>
      <c r="I137" s="28"/>
      <c r="J137" s="2"/>
      <c r="P137" s="29"/>
      <c r="Q137" s="2"/>
      <c r="X137" s="29"/>
      <c r="Y137" s="2"/>
      <c r="Z137" s="33"/>
    </row>
    <row r="138" spans="1:26" x14ac:dyDescent="0.25">
      <c r="A138" s="2">
        <v>38626</v>
      </c>
      <c r="B138">
        <v>1.2179840933174999</v>
      </c>
      <c r="C138">
        <v>0.698492278945678</v>
      </c>
      <c r="D138">
        <v>0.87333333333333296</v>
      </c>
      <c r="E138">
        <v>0.99493706683286398</v>
      </c>
      <c r="I138" s="28"/>
      <c r="J138" s="2"/>
      <c r="P138" s="29"/>
      <c r="Q138" s="2"/>
      <c r="X138" s="29"/>
      <c r="Y138" s="2"/>
      <c r="Z138" s="33"/>
    </row>
    <row r="139" spans="1:26" x14ac:dyDescent="0.25">
      <c r="A139" s="2">
        <v>38657</v>
      </c>
      <c r="B139">
        <v>1.1400959815915399</v>
      </c>
      <c r="C139">
        <v>0.66796505277846896</v>
      </c>
      <c r="D139">
        <v>0.85866666666666602</v>
      </c>
      <c r="E139">
        <v>0.99032497538866204</v>
      </c>
      <c r="I139" s="28"/>
      <c r="J139" s="2"/>
      <c r="P139" s="29"/>
      <c r="Q139" s="2"/>
      <c r="X139" s="29"/>
      <c r="Y139" s="2"/>
      <c r="Z139" s="33"/>
    </row>
    <row r="140" spans="1:26" x14ac:dyDescent="0.25">
      <c r="A140" s="2">
        <v>38687</v>
      </c>
      <c r="B140">
        <v>0.99402047866360399</v>
      </c>
      <c r="C140">
        <v>0.59644331040582599</v>
      </c>
      <c r="D140">
        <v>0.84399999999999997</v>
      </c>
      <c r="E140">
        <v>0.98409702811979405</v>
      </c>
      <c r="I140" s="28"/>
      <c r="J140" s="2"/>
      <c r="P140" s="29"/>
      <c r="Q140" s="2"/>
      <c r="X140" s="29"/>
      <c r="Y140" s="2"/>
      <c r="Z140" s="33"/>
    </row>
    <row r="141" spans="1:26" x14ac:dyDescent="0.25">
      <c r="A141" s="2">
        <v>38718</v>
      </c>
      <c r="B141">
        <v>1.01762800345649</v>
      </c>
      <c r="C141">
        <v>0.61007619260930401</v>
      </c>
      <c r="D141">
        <v>0.84466666666666701</v>
      </c>
      <c r="E141">
        <v>0.98440520967350098</v>
      </c>
      <c r="I141" s="28"/>
      <c r="J141" s="2"/>
      <c r="P141" s="29"/>
      <c r="Q141" s="2"/>
      <c r="X141" s="29"/>
      <c r="Y141" s="2"/>
      <c r="Z141" s="33"/>
    </row>
    <row r="142" spans="1:26" x14ac:dyDescent="0.25">
      <c r="A142" s="2">
        <v>38749</v>
      </c>
      <c r="B142">
        <v>1.0826475354390199</v>
      </c>
      <c r="C142">
        <v>0.64506722273635397</v>
      </c>
      <c r="D142">
        <v>0.84599999999999997</v>
      </c>
      <c r="E142">
        <v>0.98872800121185</v>
      </c>
      <c r="I142" s="28"/>
      <c r="J142" s="2"/>
      <c r="P142" s="29"/>
      <c r="Q142" s="2"/>
      <c r="X142" s="29"/>
      <c r="Y142" s="2"/>
      <c r="Z142" s="33"/>
    </row>
    <row r="143" spans="1:26" x14ac:dyDescent="0.25">
      <c r="A143" s="2">
        <v>38777</v>
      </c>
      <c r="B143">
        <v>1.0396871550706901</v>
      </c>
      <c r="C143">
        <v>0.61953948495253197</v>
      </c>
      <c r="D143">
        <v>0.84666666666666701</v>
      </c>
      <c r="E143">
        <v>0.98788683083133699</v>
      </c>
      <c r="I143" s="28"/>
      <c r="J143" s="2"/>
      <c r="P143" s="29"/>
      <c r="Q143" s="2"/>
      <c r="X143" s="29"/>
      <c r="Y143" s="2"/>
      <c r="Z143" s="33"/>
    </row>
    <row r="144" spans="1:26" x14ac:dyDescent="0.25">
      <c r="A144" s="2">
        <v>38808</v>
      </c>
      <c r="B144">
        <v>0.95870412251318804</v>
      </c>
      <c r="C144">
        <v>0.59678877013154596</v>
      </c>
      <c r="D144">
        <v>0.80866666666666598</v>
      </c>
      <c r="E144">
        <v>0.98955382381166901</v>
      </c>
      <c r="I144" s="28"/>
      <c r="J144" s="2"/>
      <c r="P144" s="29"/>
      <c r="Q144" s="2"/>
      <c r="X144" s="29"/>
      <c r="Y144" s="2"/>
      <c r="Z144" s="33"/>
    </row>
    <row r="145" spans="1:26" x14ac:dyDescent="0.25">
      <c r="A145" s="2">
        <v>38838</v>
      </c>
      <c r="B145">
        <v>0.82537292604559798</v>
      </c>
      <c r="C145">
        <v>0.53774506581748704</v>
      </c>
      <c r="D145">
        <v>0.77133333333333298</v>
      </c>
      <c r="E145">
        <v>0.99066024063908098</v>
      </c>
      <c r="I145" s="28"/>
      <c r="J145" s="2"/>
      <c r="P145" s="29"/>
      <c r="Q145" s="2"/>
      <c r="X145" s="29"/>
      <c r="Y145" s="2"/>
      <c r="Z145" s="33"/>
    </row>
    <row r="146" spans="1:26" x14ac:dyDescent="0.25">
      <c r="A146" s="2">
        <v>38869</v>
      </c>
      <c r="B146">
        <v>0.73244276135884201</v>
      </c>
      <c r="C146">
        <v>0.50108533632794106</v>
      </c>
      <c r="D146">
        <v>0.73466666666666602</v>
      </c>
      <c r="E146">
        <v>0.99079744697725802</v>
      </c>
      <c r="I146" s="28"/>
      <c r="J146" s="2"/>
      <c r="P146" s="29"/>
      <c r="Q146" s="2"/>
      <c r="X146" s="29"/>
      <c r="Y146" s="2"/>
      <c r="Z146" s="33"/>
    </row>
    <row r="147" spans="1:26" x14ac:dyDescent="0.25">
      <c r="A147" s="2">
        <v>38899</v>
      </c>
      <c r="B147">
        <v>0.60780035389197395</v>
      </c>
      <c r="C147">
        <v>0.46755540270437002</v>
      </c>
      <c r="D147">
        <v>0.65533333333333299</v>
      </c>
      <c r="E147">
        <v>0.98880614402746903</v>
      </c>
      <c r="I147" s="28"/>
      <c r="J147" s="2"/>
      <c r="P147" s="29"/>
      <c r="Q147" s="2"/>
      <c r="X147" s="29"/>
      <c r="Y147" s="2"/>
      <c r="Z147" s="33"/>
    </row>
    <row r="148" spans="1:26" x14ac:dyDescent="0.25">
      <c r="A148" s="2">
        <v>38930</v>
      </c>
      <c r="B148">
        <v>0.49980910783035098</v>
      </c>
      <c r="C148">
        <v>0.43719361857386102</v>
      </c>
      <c r="D148">
        <v>0.57799999999999996</v>
      </c>
      <c r="E148">
        <v>0.98709965540184497</v>
      </c>
      <c r="I148" s="28"/>
      <c r="J148" s="2"/>
      <c r="P148" s="29"/>
      <c r="Q148" s="2"/>
      <c r="X148" s="29"/>
      <c r="Y148" s="2"/>
      <c r="Z148" s="33"/>
    </row>
    <row r="149" spans="1:26" x14ac:dyDescent="0.25">
      <c r="A149" s="2">
        <v>38961</v>
      </c>
      <c r="B149">
        <v>0.562248515919617</v>
      </c>
      <c r="C149">
        <v>0.55959583583847405</v>
      </c>
      <c r="D149">
        <v>0.50266666666666704</v>
      </c>
      <c r="E149">
        <v>0.99360981019637595</v>
      </c>
      <c r="I149" s="28"/>
      <c r="J149" s="2"/>
      <c r="P149" s="29"/>
      <c r="Q149" s="2"/>
      <c r="X149" s="29"/>
      <c r="Y149" s="2"/>
      <c r="Z149" s="33"/>
    </row>
    <row r="150" spans="1:26" x14ac:dyDescent="0.25">
      <c r="A150" s="2">
        <v>38991</v>
      </c>
      <c r="B150">
        <v>0.56092734709953795</v>
      </c>
      <c r="C150">
        <v>0.59162662287419499</v>
      </c>
      <c r="D150">
        <v>0.47399999999999998</v>
      </c>
      <c r="E150">
        <v>0.99410534350945801</v>
      </c>
      <c r="I150" s="28"/>
      <c r="J150" s="2"/>
      <c r="P150" s="29"/>
      <c r="Q150" s="2"/>
      <c r="X150" s="29"/>
      <c r="Y150" s="2"/>
      <c r="Z150" s="33"/>
    </row>
    <row r="151" spans="1:26" x14ac:dyDescent="0.25">
      <c r="A151" s="2">
        <v>39022</v>
      </c>
      <c r="B151">
        <v>0.53456419648252296</v>
      </c>
      <c r="C151">
        <v>0.60024747645880105</v>
      </c>
      <c r="D151">
        <v>0.44533333333333402</v>
      </c>
      <c r="E151">
        <v>0.99386913107710495</v>
      </c>
      <c r="I151" s="28"/>
      <c r="J151" s="2"/>
      <c r="P151" s="29"/>
      <c r="Q151" s="2"/>
      <c r="X151" s="29"/>
      <c r="Y151" s="2"/>
      <c r="Z151" s="33"/>
    </row>
    <row r="152" spans="1:26" x14ac:dyDescent="0.25">
      <c r="A152" s="2">
        <v>39052</v>
      </c>
      <c r="B152">
        <v>0.52349604933543703</v>
      </c>
      <c r="C152">
        <v>0.62654271348167401</v>
      </c>
      <c r="D152">
        <v>0.417333333333334</v>
      </c>
      <c r="E152">
        <v>0.99478315156703401</v>
      </c>
      <c r="I152" s="28"/>
      <c r="J152" s="2"/>
      <c r="P152" s="29"/>
      <c r="Q152" s="2"/>
      <c r="X152" s="29"/>
      <c r="Y152" s="2"/>
      <c r="Z152" s="33"/>
    </row>
    <row r="153" spans="1:26" x14ac:dyDescent="0.25">
      <c r="A153" s="2">
        <v>39083</v>
      </c>
      <c r="B153">
        <v>0.48653838621190998</v>
      </c>
      <c r="C153">
        <v>0.65941443682069301</v>
      </c>
      <c r="D153">
        <v>0.36799999999999999</v>
      </c>
      <c r="E153">
        <v>0.99589233184282</v>
      </c>
      <c r="I153" s="28"/>
      <c r="J153" s="2"/>
      <c r="P153" s="29"/>
      <c r="Q153" s="2"/>
      <c r="X153" s="29"/>
      <c r="Y153" s="2"/>
      <c r="Z153" s="33"/>
    </row>
    <row r="154" spans="1:26" x14ac:dyDescent="0.25">
      <c r="A154" s="2">
        <v>39114</v>
      </c>
      <c r="B154">
        <v>0.40198906899957498</v>
      </c>
      <c r="C154">
        <v>0.62977132898153099</v>
      </c>
      <c r="D154">
        <v>0.31866666666666699</v>
      </c>
      <c r="E154">
        <v>0.99471839330318601</v>
      </c>
      <c r="I154" s="28"/>
      <c r="J154" s="2"/>
      <c r="P154" s="29"/>
      <c r="Q154" s="2"/>
      <c r="X154" s="29"/>
      <c r="Y154" s="2"/>
      <c r="Z154" s="33"/>
    </row>
    <row r="155" spans="1:26" x14ac:dyDescent="0.25">
      <c r="A155" s="2">
        <v>39142</v>
      </c>
      <c r="B155">
        <v>0.34152019946187601</v>
      </c>
      <c r="C155">
        <v>0.62974870267016103</v>
      </c>
      <c r="D155">
        <v>0.270666666666667</v>
      </c>
      <c r="E155">
        <v>0.99472460250442896</v>
      </c>
      <c r="I155" s="28"/>
      <c r="J155" s="2"/>
      <c r="P155" s="29"/>
      <c r="Q155" s="2"/>
      <c r="X155" s="29"/>
      <c r="Y155" s="2"/>
      <c r="Z155" s="33"/>
    </row>
    <row r="156" spans="1:26" x14ac:dyDescent="0.25">
      <c r="A156" s="2">
        <v>39173</v>
      </c>
      <c r="B156">
        <v>0.24809293550738201</v>
      </c>
      <c r="C156">
        <v>0.65281088621162298</v>
      </c>
      <c r="D156">
        <v>0.18933333333333399</v>
      </c>
      <c r="E156">
        <v>0.99594005416784004</v>
      </c>
      <c r="I156" s="28"/>
      <c r="J156" s="2"/>
      <c r="P156" s="29"/>
      <c r="Q156" s="2"/>
      <c r="X156" s="29"/>
      <c r="Y156" s="2"/>
      <c r="Z156" s="33"/>
    </row>
    <row r="157" spans="1:26" x14ac:dyDescent="0.25">
      <c r="A157" s="2">
        <v>39203</v>
      </c>
      <c r="B157">
        <v>0.14118773564040199</v>
      </c>
      <c r="C157">
        <v>0.64307006346988105</v>
      </c>
      <c r="D157">
        <v>0.109333333333333</v>
      </c>
      <c r="E157">
        <v>0.99588198275109496</v>
      </c>
      <c r="I157" s="28"/>
      <c r="J157" s="2"/>
      <c r="P157" s="29"/>
      <c r="Q157" s="2"/>
      <c r="X157" s="29"/>
      <c r="Y157" s="2"/>
      <c r="Z157" s="33"/>
    </row>
    <row r="158" spans="1:26" x14ac:dyDescent="0.25">
      <c r="A158" s="2">
        <v>39234</v>
      </c>
      <c r="B158">
        <v>3.8903029834780299E-2</v>
      </c>
      <c r="C158">
        <v>0.63186489361064402</v>
      </c>
      <c r="D158">
        <v>3.06666666666662E-2</v>
      </c>
      <c r="E158">
        <v>0.99531605147592805</v>
      </c>
      <c r="I158" s="28"/>
      <c r="J158" s="2"/>
      <c r="P158" s="29"/>
      <c r="Q158" s="2"/>
      <c r="X158" s="29"/>
      <c r="Y158" s="2"/>
      <c r="Z158" s="33"/>
    </row>
    <row r="159" spans="1:26" x14ac:dyDescent="0.25">
      <c r="A159" s="2">
        <v>39264</v>
      </c>
      <c r="B159">
        <v>0</v>
      </c>
      <c r="C159">
        <v>0.51682448647962598</v>
      </c>
      <c r="D159">
        <v>0</v>
      </c>
      <c r="E159">
        <v>0.983763167740627</v>
      </c>
      <c r="I159" s="28"/>
      <c r="J159" s="2"/>
      <c r="P159" s="29"/>
      <c r="Q159" s="2"/>
      <c r="X159" s="29"/>
      <c r="Y159" s="2"/>
      <c r="Z159" s="33"/>
    </row>
    <row r="160" spans="1:26" x14ac:dyDescent="0.25">
      <c r="A160" s="2">
        <v>39295</v>
      </c>
      <c r="B160">
        <v>0</v>
      </c>
      <c r="C160">
        <v>0.50727503749935099</v>
      </c>
      <c r="D160">
        <v>0</v>
      </c>
      <c r="E160">
        <v>0.97511432117775099</v>
      </c>
      <c r="I160" s="28"/>
      <c r="J160" s="2"/>
      <c r="P160" s="29"/>
      <c r="Q160" s="2"/>
      <c r="X160" s="29"/>
      <c r="Y160" s="2"/>
    </row>
    <row r="161" spans="1:25" x14ac:dyDescent="0.25">
      <c r="A161" s="2">
        <v>39326</v>
      </c>
      <c r="B161">
        <v>0</v>
      </c>
      <c r="C161">
        <v>0.553370891621075</v>
      </c>
      <c r="D161">
        <v>0</v>
      </c>
      <c r="E161">
        <v>0.97992472115878004</v>
      </c>
      <c r="I161" s="28"/>
      <c r="J161" s="2"/>
      <c r="P161" s="29"/>
      <c r="Q161" s="2"/>
      <c r="X161" s="29"/>
      <c r="Y161" s="2"/>
    </row>
    <row r="162" spans="1:25" x14ac:dyDescent="0.25">
      <c r="A162" s="2">
        <v>39356</v>
      </c>
      <c r="B162">
        <v>0</v>
      </c>
      <c r="C162">
        <v>0.602028481292743</v>
      </c>
      <c r="D162">
        <v>0</v>
      </c>
      <c r="E162">
        <v>0.98446367789268696</v>
      </c>
      <c r="I162" s="28"/>
      <c r="J162" s="2"/>
      <c r="P162" s="29"/>
      <c r="Q162" s="2"/>
      <c r="X162" s="29"/>
      <c r="Y162" s="2"/>
    </row>
    <row r="163" spans="1:25" x14ac:dyDescent="0.25">
      <c r="A163" s="2">
        <v>39387</v>
      </c>
      <c r="B163">
        <v>0</v>
      </c>
      <c r="C163">
        <v>0.60716058517587901</v>
      </c>
      <c r="D163">
        <v>0</v>
      </c>
      <c r="E163">
        <v>0.98073446413314302</v>
      </c>
      <c r="I163" s="28"/>
      <c r="J163" s="2"/>
      <c r="P163" s="29"/>
      <c r="Q163" s="2"/>
      <c r="X163" s="29"/>
      <c r="Y163" s="2"/>
    </row>
    <row r="164" spans="1:25" x14ac:dyDescent="0.25">
      <c r="A164" s="2">
        <v>39417</v>
      </c>
      <c r="B164">
        <v>0</v>
      </c>
      <c r="C164">
        <v>0.64674336515874498</v>
      </c>
      <c r="D164">
        <v>0</v>
      </c>
      <c r="E164">
        <v>0.98299520380066996</v>
      </c>
      <c r="I164" s="28"/>
      <c r="J164" s="2"/>
      <c r="P164" s="29"/>
      <c r="Q164" s="2"/>
      <c r="X164" s="29"/>
      <c r="Y164" s="2"/>
    </row>
    <row r="165" spans="1:25" x14ac:dyDescent="0.25">
      <c r="A165" s="2">
        <v>39448</v>
      </c>
      <c r="B165">
        <v>0</v>
      </c>
      <c r="C165">
        <v>0.66802593059294602</v>
      </c>
      <c r="D165">
        <v>0</v>
      </c>
      <c r="E165">
        <v>0.98511953212721404</v>
      </c>
      <c r="I165" s="28"/>
      <c r="J165" s="2"/>
      <c r="P165" s="29"/>
      <c r="Q165" s="2"/>
      <c r="X165" s="29"/>
      <c r="Y165" s="2"/>
    </row>
    <row r="166" spans="1:25" x14ac:dyDescent="0.25">
      <c r="A166" s="2">
        <v>39479</v>
      </c>
      <c r="B166">
        <v>0</v>
      </c>
      <c r="C166">
        <v>0.71616098010461104</v>
      </c>
      <c r="D166">
        <v>0</v>
      </c>
      <c r="E166">
        <v>0.99096965309164897</v>
      </c>
      <c r="I166" s="28"/>
      <c r="J166" s="2"/>
      <c r="P166" s="29"/>
      <c r="Q166" s="2"/>
      <c r="X166" s="29"/>
      <c r="Y166" s="2"/>
    </row>
    <row r="167" spans="1:25" x14ac:dyDescent="0.25">
      <c r="A167" s="2">
        <v>39508</v>
      </c>
      <c r="B167">
        <v>0</v>
      </c>
      <c r="C167">
        <v>0.68609222292497996</v>
      </c>
      <c r="D167">
        <v>0</v>
      </c>
      <c r="E167">
        <v>0.980433148887211</v>
      </c>
      <c r="I167" s="28"/>
      <c r="J167" s="2"/>
      <c r="P167" s="29"/>
      <c r="Q167" s="2"/>
      <c r="X167" s="29"/>
      <c r="Y167" s="2"/>
    </row>
    <row r="168" spans="1:25" x14ac:dyDescent="0.25">
      <c r="A168" s="2">
        <v>39539</v>
      </c>
      <c r="B168">
        <v>0</v>
      </c>
      <c r="C168">
        <v>0.68324415629308799</v>
      </c>
      <c r="D168">
        <v>0</v>
      </c>
      <c r="E168">
        <v>0.973133754894834</v>
      </c>
      <c r="I168" s="28"/>
      <c r="J168" s="2"/>
      <c r="P168" s="29"/>
      <c r="Q168" s="2"/>
      <c r="X168" s="29"/>
      <c r="Y168" s="2"/>
    </row>
    <row r="169" spans="1:25" x14ac:dyDescent="0.25">
      <c r="A169" s="2">
        <v>39569</v>
      </c>
      <c r="B169">
        <v>0</v>
      </c>
      <c r="C169">
        <v>0.69477720113199803</v>
      </c>
      <c r="D169">
        <v>0</v>
      </c>
      <c r="E169">
        <v>0.97199700119829002</v>
      </c>
      <c r="I169" s="28"/>
      <c r="J169" s="2"/>
      <c r="P169" s="29"/>
      <c r="Q169" s="2"/>
      <c r="X169" s="29"/>
      <c r="Y169" s="2"/>
    </row>
    <row r="170" spans="1:25" x14ac:dyDescent="0.25">
      <c r="A170" s="2">
        <v>39600</v>
      </c>
      <c r="B170">
        <v>0</v>
      </c>
      <c r="C170">
        <v>0.66991054909622205</v>
      </c>
      <c r="D170">
        <v>0</v>
      </c>
      <c r="E170">
        <v>0.95277805424776096</v>
      </c>
      <c r="I170" s="28"/>
      <c r="J170" s="2"/>
      <c r="P170" s="29"/>
      <c r="Q170" s="2"/>
      <c r="X170" s="29"/>
      <c r="Y170" s="2"/>
    </row>
    <row r="171" spans="1:25" x14ac:dyDescent="0.25">
      <c r="A171" s="2">
        <v>39630</v>
      </c>
      <c r="B171">
        <v>0</v>
      </c>
      <c r="C171">
        <v>0.59086071948934205</v>
      </c>
      <c r="D171">
        <v>0</v>
      </c>
      <c r="E171">
        <v>0.89919728291571499</v>
      </c>
      <c r="I171" s="28"/>
      <c r="J171" s="2"/>
      <c r="P171" s="29"/>
      <c r="Q171" s="2"/>
      <c r="X171" s="29"/>
      <c r="Y171" s="2"/>
    </row>
    <row r="172" spans="1:25" x14ac:dyDescent="0.25">
      <c r="A172" s="2">
        <v>39661</v>
      </c>
      <c r="B172">
        <v>0</v>
      </c>
      <c r="C172">
        <v>0.55724623301252696</v>
      </c>
      <c r="D172">
        <v>0</v>
      </c>
      <c r="E172">
        <v>0.87159868451425604</v>
      </c>
      <c r="I172" s="28"/>
      <c r="J172" s="2"/>
      <c r="P172" s="29"/>
      <c r="Q172" s="2"/>
      <c r="X172" s="29"/>
      <c r="Y172" s="2"/>
    </row>
    <row r="173" spans="1:25" x14ac:dyDescent="0.25">
      <c r="A173" s="2">
        <v>39692</v>
      </c>
      <c r="B173">
        <v>0</v>
      </c>
      <c r="C173">
        <v>0.53284573530614698</v>
      </c>
      <c r="D173">
        <v>0</v>
      </c>
      <c r="E173">
        <v>0.84574947773027898</v>
      </c>
      <c r="I173" s="28"/>
      <c r="J173" s="2"/>
      <c r="P173" s="29"/>
      <c r="Q173" s="2"/>
      <c r="X173" s="29"/>
      <c r="Y173" s="2"/>
    </row>
    <row r="174" spans="1:25" x14ac:dyDescent="0.25">
      <c r="A174" s="2">
        <v>39722</v>
      </c>
      <c r="B174">
        <v>0</v>
      </c>
      <c r="C174">
        <v>0.65504895880222802</v>
      </c>
      <c r="D174">
        <v>0</v>
      </c>
      <c r="E174">
        <v>0.89363949724157898</v>
      </c>
      <c r="I174" s="28"/>
      <c r="J174" s="2"/>
      <c r="P174" s="29"/>
      <c r="Q174" s="2"/>
      <c r="X174" s="29"/>
      <c r="Y174" s="2"/>
    </row>
    <row r="175" spans="1:25" x14ac:dyDescent="0.25">
      <c r="A175" s="2">
        <v>39753</v>
      </c>
      <c r="B175">
        <v>0</v>
      </c>
      <c r="C175">
        <v>0.61807565631295203</v>
      </c>
      <c r="D175">
        <v>0</v>
      </c>
      <c r="E175">
        <v>0.84186444391224902</v>
      </c>
      <c r="I175" s="28"/>
      <c r="J175" s="2"/>
      <c r="P175" s="29"/>
      <c r="Q175" s="2"/>
      <c r="X175" s="29"/>
      <c r="Y175" s="2"/>
    </row>
    <row r="176" spans="1:25" x14ac:dyDescent="0.25">
      <c r="A176" s="2">
        <v>39783</v>
      </c>
      <c r="B176">
        <v>0</v>
      </c>
      <c r="C176">
        <v>0.64264663446018799</v>
      </c>
      <c r="D176">
        <v>0</v>
      </c>
      <c r="E176">
        <v>0.83428301509911795</v>
      </c>
      <c r="I176" s="28"/>
      <c r="J176" s="2"/>
      <c r="P176" s="29"/>
      <c r="Q176" s="2"/>
      <c r="X176" s="29"/>
      <c r="Y176" s="2"/>
    </row>
    <row r="177" spans="1:25" x14ac:dyDescent="0.25">
      <c r="A177" s="2">
        <v>39814</v>
      </c>
      <c r="B177">
        <v>0</v>
      </c>
      <c r="C177">
        <v>0.72645471990865695</v>
      </c>
      <c r="D177">
        <v>0</v>
      </c>
      <c r="E177">
        <v>0.90545992907551798</v>
      </c>
      <c r="I177" s="28"/>
      <c r="J177" s="2"/>
      <c r="P177" s="29"/>
      <c r="Q177" s="2"/>
      <c r="X177" s="29"/>
      <c r="Y177" s="2"/>
    </row>
    <row r="178" spans="1:25" x14ac:dyDescent="0.25">
      <c r="A178" s="2">
        <v>39845</v>
      </c>
      <c r="B178">
        <v>0</v>
      </c>
      <c r="C178">
        <v>0.70676409402587703</v>
      </c>
      <c r="D178">
        <v>0</v>
      </c>
      <c r="E178">
        <v>0.96123167855712299</v>
      </c>
      <c r="I178" s="28"/>
      <c r="J178" s="2"/>
      <c r="P178" s="29"/>
      <c r="Q178" s="2"/>
      <c r="X178" s="29"/>
      <c r="Y178" s="2"/>
    </row>
    <row r="179" spans="1:25" x14ac:dyDescent="0.25">
      <c r="A179" s="2">
        <v>39873</v>
      </c>
      <c r="B179">
        <v>0</v>
      </c>
      <c r="C179">
        <v>0.679633194952734</v>
      </c>
      <c r="D179">
        <v>0</v>
      </c>
      <c r="E179">
        <v>0.98875934697262602</v>
      </c>
      <c r="I179" s="28"/>
      <c r="J179" s="2"/>
      <c r="P179" s="29"/>
      <c r="Q179" s="2"/>
      <c r="X179" s="29"/>
      <c r="Y179" s="2"/>
    </row>
    <row r="180" spans="1:25" x14ac:dyDescent="0.25">
      <c r="A180" s="2">
        <v>39904</v>
      </c>
      <c r="B180">
        <v>0</v>
      </c>
      <c r="C180">
        <v>0.68035916875484104</v>
      </c>
      <c r="D180">
        <v>0</v>
      </c>
      <c r="E180">
        <v>0.99211956107955801</v>
      </c>
      <c r="I180" s="28"/>
      <c r="J180" s="2"/>
      <c r="P180" s="29"/>
      <c r="Q180" s="2"/>
      <c r="X180" s="29"/>
      <c r="Y180" s="2"/>
    </row>
    <row r="181" spans="1:25" x14ac:dyDescent="0.25">
      <c r="A181" s="2">
        <v>39934</v>
      </c>
      <c r="B181">
        <v>0</v>
      </c>
      <c r="C181">
        <v>0.77422370660684803</v>
      </c>
      <c r="D181">
        <v>0</v>
      </c>
      <c r="E181">
        <v>0.99089302172442495</v>
      </c>
      <c r="I181" s="28"/>
      <c r="J181" s="2"/>
      <c r="P181" s="29"/>
      <c r="Q181" s="2"/>
      <c r="X181" s="29"/>
      <c r="Y181" s="2"/>
    </row>
    <row r="182" spans="1:25" x14ac:dyDescent="0.25">
      <c r="A182" s="2">
        <v>39965</v>
      </c>
      <c r="B182">
        <v>0</v>
      </c>
      <c r="C182">
        <v>0.75955729010323703</v>
      </c>
      <c r="D182">
        <v>0</v>
      </c>
      <c r="E182">
        <v>0.99296764971374596</v>
      </c>
      <c r="I182" s="28"/>
      <c r="J182" s="2"/>
      <c r="P182" s="29"/>
      <c r="Q182" s="2"/>
      <c r="X182" s="29"/>
      <c r="Y182" s="2"/>
    </row>
    <row r="183" spans="1:25" x14ac:dyDescent="0.25">
      <c r="A183" s="2">
        <v>39995</v>
      </c>
      <c r="B183">
        <v>0</v>
      </c>
      <c r="C183">
        <v>0.62122866127603404</v>
      </c>
      <c r="D183">
        <v>0</v>
      </c>
      <c r="E183">
        <v>0.99099620688675205</v>
      </c>
      <c r="I183" s="28"/>
      <c r="J183" s="2"/>
      <c r="P183" s="29"/>
      <c r="Q183" s="2"/>
      <c r="X183" s="29"/>
      <c r="Y183" s="2"/>
    </row>
    <row r="184" spans="1:25" x14ac:dyDescent="0.25">
      <c r="A184" s="2">
        <v>40026</v>
      </c>
      <c r="B184">
        <v>0</v>
      </c>
      <c r="C184">
        <v>0.68673805709803004</v>
      </c>
      <c r="D184">
        <v>0</v>
      </c>
      <c r="E184">
        <v>0.98623524377786198</v>
      </c>
      <c r="I184" s="28"/>
      <c r="J184" s="2"/>
      <c r="P184" s="29"/>
      <c r="Q184" s="2"/>
      <c r="X184" s="29"/>
      <c r="Y184" s="2"/>
    </row>
    <row r="185" spans="1:25" x14ac:dyDescent="0.25">
      <c r="A185" s="2">
        <v>40057</v>
      </c>
      <c r="B185">
        <v>0</v>
      </c>
      <c r="C185">
        <v>0.67550835483163696</v>
      </c>
      <c r="D185">
        <v>0</v>
      </c>
      <c r="E185">
        <v>0.98382157571726003</v>
      </c>
      <c r="I185" s="28"/>
      <c r="J185" s="2"/>
      <c r="P185" s="29"/>
      <c r="Q185" s="2"/>
      <c r="X185" s="29"/>
      <c r="Y185" s="2"/>
    </row>
    <row r="186" spans="1:25" x14ac:dyDescent="0.25">
      <c r="A186" s="2">
        <v>40087</v>
      </c>
      <c r="B186">
        <v>0</v>
      </c>
      <c r="C186">
        <v>0.69437754967935805</v>
      </c>
      <c r="D186">
        <v>0</v>
      </c>
      <c r="E186">
        <v>0.99128665108648395</v>
      </c>
      <c r="I186" s="28"/>
      <c r="J186" s="2"/>
      <c r="P186" s="29"/>
      <c r="Q186" s="2"/>
      <c r="X186" s="29"/>
      <c r="Y186" s="2"/>
    </row>
    <row r="187" spans="1:25" x14ac:dyDescent="0.25">
      <c r="A187" s="2">
        <v>40118</v>
      </c>
      <c r="B187">
        <v>0</v>
      </c>
      <c r="C187">
        <v>0.71624041967296304</v>
      </c>
      <c r="D187">
        <v>0</v>
      </c>
      <c r="E187">
        <v>0.98944102807801004</v>
      </c>
      <c r="I187" s="28"/>
      <c r="J187" s="2"/>
      <c r="P187" s="29"/>
      <c r="Q187" s="2"/>
      <c r="X187" s="29"/>
      <c r="Y187" s="2"/>
    </row>
    <row r="188" spans="1:25" x14ac:dyDescent="0.25">
      <c r="A188" s="2">
        <v>40148</v>
      </c>
      <c r="B188">
        <v>0</v>
      </c>
      <c r="C188">
        <v>0.74743182996052204</v>
      </c>
      <c r="D188">
        <v>0</v>
      </c>
      <c r="E188">
        <v>0.98402052135718998</v>
      </c>
      <c r="I188" s="28"/>
      <c r="J188" s="2"/>
      <c r="P188" s="29"/>
      <c r="Q188" s="2"/>
      <c r="X188" s="29"/>
      <c r="Y188" s="2"/>
    </row>
    <row r="189" spans="1:25" x14ac:dyDescent="0.25">
      <c r="A189" s="2">
        <v>40179</v>
      </c>
      <c r="B189">
        <v>0</v>
      </c>
      <c r="C189">
        <v>0.72818995756862304</v>
      </c>
      <c r="D189">
        <v>0</v>
      </c>
      <c r="E189">
        <v>0.98270711220104401</v>
      </c>
      <c r="I189" s="28"/>
      <c r="J189" s="2"/>
      <c r="P189" s="29"/>
      <c r="Q189" s="2"/>
      <c r="X189" s="29"/>
      <c r="Y189" s="2"/>
    </row>
    <row r="190" spans="1:25" x14ac:dyDescent="0.25">
      <c r="A190" s="2">
        <v>40210</v>
      </c>
      <c r="B190">
        <v>0</v>
      </c>
      <c r="C190">
        <v>0.69528135874337404</v>
      </c>
      <c r="D190">
        <v>0</v>
      </c>
      <c r="E190">
        <v>0.980233596730817</v>
      </c>
      <c r="I190" s="28"/>
      <c r="J190" s="2"/>
      <c r="P190" s="29"/>
      <c r="Q190" s="2"/>
      <c r="X190" s="29"/>
      <c r="Y190" s="2"/>
    </row>
    <row r="191" spans="1:25" x14ac:dyDescent="0.25">
      <c r="A191" s="2">
        <v>40238</v>
      </c>
      <c r="B191">
        <v>0</v>
      </c>
      <c r="C191">
        <v>0.70207021495604804</v>
      </c>
      <c r="D191">
        <v>0</v>
      </c>
      <c r="E191">
        <v>0.97437397140912596</v>
      </c>
      <c r="I191" s="28"/>
      <c r="J191" s="2"/>
      <c r="P191" s="29"/>
      <c r="Q191" s="2"/>
      <c r="X191" s="29"/>
      <c r="Y191" s="2"/>
    </row>
    <row r="192" spans="1:25" x14ac:dyDescent="0.25">
      <c r="A192" s="2">
        <v>40269</v>
      </c>
      <c r="B192">
        <v>0</v>
      </c>
      <c r="C192">
        <v>0.70046982982528205</v>
      </c>
      <c r="D192">
        <v>0</v>
      </c>
      <c r="E192">
        <v>0.97841871639174405</v>
      </c>
      <c r="I192" s="28"/>
      <c r="J192" s="2"/>
      <c r="P192" s="29"/>
      <c r="Q192" s="2"/>
      <c r="X192" s="29"/>
      <c r="Y192" s="2"/>
    </row>
    <row r="193" spans="1:25" x14ac:dyDescent="0.25">
      <c r="A193" s="2">
        <v>40299</v>
      </c>
      <c r="B193">
        <v>0</v>
      </c>
      <c r="C193">
        <v>0.67550777911563098</v>
      </c>
      <c r="D193">
        <v>0</v>
      </c>
      <c r="E193">
        <v>0.96861808008647599</v>
      </c>
      <c r="I193" s="28"/>
      <c r="J193" s="2"/>
      <c r="P193" s="29"/>
      <c r="Q193" s="2"/>
      <c r="X193" s="29"/>
      <c r="Y193" s="2"/>
    </row>
    <row r="194" spans="1:25" x14ac:dyDescent="0.25">
      <c r="A194" s="2">
        <v>40330</v>
      </c>
      <c r="B194">
        <v>0</v>
      </c>
      <c r="C194">
        <v>0.734852615002756</v>
      </c>
      <c r="D194">
        <v>0</v>
      </c>
      <c r="E194">
        <v>0.95123123542272103</v>
      </c>
      <c r="I194" s="28"/>
      <c r="J194" s="2"/>
      <c r="P194" s="29"/>
      <c r="Q194" s="2"/>
      <c r="X194" s="29"/>
      <c r="Y194" s="2"/>
    </row>
    <row r="195" spans="1:25" x14ac:dyDescent="0.25">
      <c r="A195" s="2">
        <v>40360</v>
      </c>
      <c r="B195">
        <v>0</v>
      </c>
      <c r="C195">
        <v>0.71307586116417399</v>
      </c>
      <c r="D195">
        <v>0</v>
      </c>
      <c r="E195">
        <v>0.74495603627871398</v>
      </c>
      <c r="I195" s="28"/>
      <c r="J195" s="2"/>
      <c r="P195" s="29"/>
      <c r="Q195" s="2"/>
      <c r="X195" s="29"/>
      <c r="Y195" s="2"/>
    </row>
    <row r="196" spans="1:25" x14ac:dyDescent="0.25">
      <c r="A196" s="2">
        <v>40391</v>
      </c>
      <c r="B196">
        <v>0</v>
      </c>
      <c r="C196">
        <v>0.57952633555765498</v>
      </c>
      <c r="D196">
        <v>0</v>
      </c>
      <c r="E196">
        <v>0.17430125366015001</v>
      </c>
      <c r="I196" s="28"/>
      <c r="J196" s="2"/>
      <c r="P196" s="29"/>
      <c r="Q196" s="2"/>
      <c r="X196" s="29"/>
      <c r="Y196" s="2"/>
    </row>
    <row r="197" spans="1:25" x14ac:dyDescent="0.25">
      <c r="A197" s="2">
        <v>40422</v>
      </c>
      <c r="B197">
        <v>0</v>
      </c>
      <c r="C197">
        <v>0.50926636063928798</v>
      </c>
      <c r="D197">
        <v>0</v>
      </c>
      <c r="E197">
        <v>4.1101594933352699E-2</v>
      </c>
      <c r="I197" s="28"/>
      <c r="J197" s="2"/>
      <c r="P197" s="29"/>
      <c r="Q197" s="2"/>
      <c r="X197" s="29"/>
      <c r="Y197" s="2"/>
    </row>
    <row r="198" spans="1:25" x14ac:dyDescent="0.25">
      <c r="A198" s="2">
        <v>40452</v>
      </c>
      <c r="B198">
        <v>0</v>
      </c>
      <c r="C198">
        <v>0.53778527495884298</v>
      </c>
      <c r="D198">
        <v>0</v>
      </c>
      <c r="E198">
        <v>4.3374668860556603E-2</v>
      </c>
      <c r="I198" s="28"/>
      <c r="J198" s="2"/>
      <c r="P198" s="29"/>
      <c r="Q198" s="2"/>
      <c r="X198" s="29"/>
      <c r="Y198" s="2"/>
    </row>
    <row r="199" spans="1:25" x14ac:dyDescent="0.25">
      <c r="A199" s="2">
        <v>40483</v>
      </c>
      <c r="B199">
        <v>0</v>
      </c>
      <c r="C199">
        <v>0.55439093068915701</v>
      </c>
      <c r="D199">
        <v>0</v>
      </c>
      <c r="E199">
        <v>2.13127749027845E-2</v>
      </c>
      <c r="I199" s="28"/>
      <c r="J199" s="2"/>
      <c r="P199" s="29"/>
      <c r="Q199" s="2"/>
      <c r="X199" s="29"/>
      <c r="Y199" s="2"/>
    </row>
    <row r="200" spans="1:25" x14ac:dyDescent="0.25">
      <c r="A200" s="2">
        <v>40513</v>
      </c>
      <c r="B200">
        <v>0</v>
      </c>
      <c r="C200">
        <v>0.62067091515986905</v>
      </c>
      <c r="D200">
        <v>0</v>
      </c>
      <c r="E200">
        <v>0.12867224662539001</v>
      </c>
      <c r="I200" s="28"/>
      <c r="J200" s="2"/>
      <c r="P200" s="29"/>
      <c r="Q200" s="2"/>
      <c r="X200" s="29"/>
      <c r="Y200" s="2"/>
    </row>
    <row r="201" spans="1:25" x14ac:dyDescent="0.25">
      <c r="A201" s="2">
        <v>40544</v>
      </c>
      <c r="B201">
        <v>0</v>
      </c>
      <c r="C201">
        <v>0.690429368076243</v>
      </c>
      <c r="D201">
        <v>0</v>
      </c>
      <c r="E201">
        <v>0.74297980279290499</v>
      </c>
      <c r="I201" s="28"/>
      <c r="J201" s="2"/>
      <c r="P201" s="29"/>
      <c r="Q201" s="2"/>
      <c r="X201" s="29"/>
      <c r="Y201" s="2"/>
    </row>
    <row r="202" spans="1:25" x14ac:dyDescent="0.25">
      <c r="A202" s="2">
        <v>40575</v>
      </c>
      <c r="B202">
        <v>0</v>
      </c>
      <c r="C202">
        <v>0.68378598569986704</v>
      </c>
      <c r="D202">
        <v>0</v>
      </c>
      <c r="E202">
        <v>0.759855255527214</v>
      </c>
      <c r="I202" s="28"/>
      <c r="J202" s="2"/>
      <c r="P202" s="29"/>
      <c r="Q202" s="2"/>
      <c r="X202" s="29"/>
      <c r="Y202" s="2"/>
    </row>
    <row r="203" spans="1:25" x14ac:dyDescent="0.25">
      <c r="A203" s="2">
        <v>40603</v>
      </c>
      <c r="B203">
        <v>0</v>
      </c>
      <c r="C203">
        <v>0.63429586323951603</v>
      </c>
      <c r="D203">
        <v>0</v>
      </c>
      <c r="E203">
        <v>0.80387488911210903</v>
      </c>
      <c r="I203" s="28"/>
      <c r="J203" s="2"/>
      <c r="P203" s="29"/>
      <c r="Q203" s="2"/>
      <c r="X203" s="29"/>
      <c r="Y203" s="2"/>
    </row>
    <row r="204" spans="1:25" x14ac:dyDescent="0.25">
      <c r="A204" s="2">
        <v>40634</v>
      </c>
      <c r="B204">
        <v>0</v>
      </c>
      <c r="C204">
        <v>0.67503398524110103</v>
      </c>
      <c r="D204">
        <v>0</v>
      </c>
      <c r="E204">
        <v>0.78537685515960798</v>
      </c>
      <c r="I204" s="28"/>
      <c r="J204" s="2"/>
      <c r="P204" s="29"/>
      <c r="Q204" s="2"/>
      <c r="X204" s="29"/>
      <c r="Y204" s="2"/>
    </row>
    <row r="205" spans="1:25" x14ac:dyDescent="0.25">
      <c r="A205" s="2">
        <v>40664</v>
      </c>
      <c r="B205">
        <v>0</v>
      </c>
      <c r="C205">
        <v>0.67756941363832801</v>
      </c>
      <c r="D205">
        <v>0</v>
      </c>
      <c r="E205">
        <v>0.79139153614117697</v>
      </c>
      <c r="I205" s="28"/>
      <c r="J205" s="2"/>
      <c r="P205" s="29"/>
      <c r="Q205" s="2"/>
      <c r="X205" s="29"/>
      <c r="Y205" s="2"/>
    </row>
    <row r="206" spans="1:25" x14ac:dyDescent="0.25">
      <c r="A206" s="2">
        <v>40695</v>
      </c>
      <c r="B206">
        <v>0</v>
      </c>
      <c r="C206">
        <v>0.64240714466686999</v>
      </c>
      <c r="D206">
        <v>0</v>
      </c>
      <c r="E206">
        <v>0.595874068824084</v>
      </c>
      <c r="I206" s="28"/>
      <c r="J206" s="2"/>
      <c r="P206" s="29"/>
      <c r="Q206" s="2"/>
      <c r="X206" s="29"/>
      <c r="Y206" s="2"/>
    </row>
    <row r="207" spans="1:25" x14ac:dyDescent="0.25">
      <c r="A207" s="2">
        <v>40725</v>
      </c>
      <c r="B207">
        <v>0</v>
      </c>
      <c r="C207">
        <v>0.64639883511007301</v>
      </c>
      <c r="D207">
        <v>0</v>
      </c>
      <c r="E207">
        <v>0.48705226571145699</v>
      </c>
      <c r="I207" s="28"/>
      <c r="J207" s="2"/>
      <c r="P207" s="29"/>
      <c r="Q207" s="2"/>
      <c r="X207" s="29"/>
      <c r="Y207" s="2"/>
    </row>
    <row r="208" spans="1:25" x14ac:dyDescent="0.25">
      <c r="A208" s="2">
        <v>40756</v>
      </c>
      <c r="B208">
        <v>0</v>
      </c>
      <c r="C208">
        <v>0.66585071047067101</v>
      </c>
      <c r="D208">
        <v>0</v>
      </c>
      <c r="E208">
        <v>0.66930735112128303</v>
      </c>
      <c r="I208" s="28"/>
      <c r="J208" s="2"/>
      <c r="P208" s="29"/>
      <c r="Q208" s="2"/>
      <c r="X208" s="29"/>
      <c r="Y208" s="2"/>
    </row>
    <row r="209" spans="1:25" x14ac:dyDescent="0.25">
      <c r="A209" s="2">
        <v>40787</v>
      </c>
      <c r="B209">
        <v>0</v>
      </c>
      <c r="C209">
        <v>0.68280803492497599</v>
      </c>
      <c r="D209">
        <v>0</v>
      </c>
      <c r="E209">
        <v>0.16527475037418701</v>
      </c>
      <c r="I209" s="28"/>
      <c r="J209" s="2"/>
      <c r="P209" s="29"/>
      <c r="Q209" s="2"/>
      <c r="X209" s="29"/>
      <c r="Y209" s="2"/>
    </row>
    <row r="210" spans="1:25" x14ac:dyDescent="0.25">
      <c r="A210" s="2">
        <v>40817</v>
      </c>
      <c r="B210">
        <v>0</v>
      </c>
      <c r="C210">
        <v>0.69195141355174405</v>
      </c>
      <c r="D210">
        <v>0</v>
      </c>
      <c r="E210">
        <v>6.0778885248094099E-2</v>
      </c>
      <c r="I210" s="28"/>
      <c r="J210" s="2"/>
      <c r="P210" s="29"/>
      <c r="Q210" s="2"/>
      <c r="X210" s="29"/>
      <c r="Y210" s="2"/>
    </row>
    <row r="211" spans="1:25" x14ac:dyDescent="0.25">
      <c r="A211" s="2">
        <v>40848</v>
      </c>
      <c r="B211">
        <v>0</v>
      </c>
      <c r="C211">
        <v>0.68652899564481795</v>
      </c>
      <c r="D211">
        <v>0</v>
      </c>
      <c r="E211">
        <v>8.3618928856142194E-2</v>
      </c>
      <c r="I211" s="28"/>
      <c r="J211" s="2"/>
      <c r="P211" s="29"/>
      <c r="Q211" s="2"/>
      <c r="X211" s="29"/>
      <c r="Y211" s="2"/>
    </row>
    <row r="212" spans="1:25" x14ac:dyDescent="0.25">
      <c r="A212" s="2">
        <v>40878</v>
      </c>
      <c r="B212">
        <v>0</v>
      </c>
      <c r="C212">
        <v>0.67505874116174602</v>
      </c>
      <c r="D212">
        <v>0</v>
      </c>
      <c r="E212">
        <v>9.7267712621240093E-2</v>
      </c>
      <c r="I212" s="28"/>
      <c r="J212" s="2"/>
      <c r="P212" s="29"/>
      <c r="Q212" s="2"/>
      <c r="X212" s="29"/>
      <c r="Y212" s="2"/>
    </row>
    <row r="213" spans="1:25" x14ac:dyDescent="0.25">
      <c r="A213" s="2">
        <v>40909</v>
      </c>
      <c r="B213">
        <v>0</v>
      </c>
      <c r="C213">
        <v>0.67528884034095005</v>
      </c>
      <c r="D213">
        <v>0</v>
      </c>
      <c r="E213">
        <v>0.107818245046892</v>
      </c>
      <c r="I213" s="28"/>
      <c r="J213" s="2"/>
      <c r="P213" s="29"/>
      <c r="Q213" s="2"/>
      <c r="X213" s="29"/>
      <c r="Y213" s="2"/>
    </row>
    <row r="214" spans="1:25" x14ac:dyDescent="0.25">
      <c r="A214" s="2">
        <v>40940</v>
      </c>
      <c r="B214">
        <v>0</v>
      </c>
      <c r="C214">
        <v>0.66586670524555602</v>
      </c>
      <c r="D214">
        <v>0</v>
      </c>
      <c r="E214">
        <v>0.120655323465786</v>
      </c>
      <c r="I214" s="28"/>
      <c r="J214" s="2"/>
      <c r="P214" s="29"/>
      <c r="Q214" s="2"/>
      <c r="X214" s="29"/>
      <c r="Y214" s="2"/>
    </row>
    <row r="215" spans="1:25" x14ac:dyDescent="0.25">
      <c r="A215" s="2">
        <v>40969</v>
      </c>
      <c r="B215">
        <v>0</v>
      </c>
      <c r="C215">
        <v>0.63335390958386495</v>
      </c>
      <c r="D215">
        <v>0</v>
      </c>
      <c r="E215">
        <v>4.6916448128138097E-2</v>
      </c>
      <c r="I215" s="28"/>
      <c r="J215" s="2"/>
      <c r="P215" s="29"/>
      <c r="Q215" s="2"/>
      <c r="X215" s="29"/>
      <c r="Y215" s="2"/>
    </row>
    <row r="216" spans="1:25" x14ac:dyDescent="0.25">
      <c r="A216" s="2">
        <v>41000</v>
      </c>
      <c r="B216">
        <v>0</v>
      </c>
      <c r="C216">
        <v>0.64683138799531004</v>
      </c>
      <c r="D216">
        <v>0</v>
      </c>
      <c r="E216">
        <v>3.2581160328252402E-2</v>
      </c>
      <c r="I216" s="28"/>
      <c r="J216" s="2"/>
      <c r="P216" s="29"/>
      <c r="Q216" s="2"/>
      <c r="X216" s="29"/>
      <c r="Y216" s="2"/>
    </row>
    <row r="217" spans="1:25" x14ac:dyDescent="0.25">
      <c r="A217" s="2">
        <v>41030</v>
      </c>
      <c r="B217">
        <v>0</v>
      </c>
      <c r="C217">
        <v>0.640844382547059</v>
      </c>
      <c r="D217">
        <v>0</v>
      </c>
      <c r="E217">
        <v>2.2356727281434501E-2</v>
      </c>
      <c r="I217" s="28"/>
      <c r="J217" s="2"/>
      <c r="P217" s="29"/>
      <c r="Q217" s="2"/>
      <c r="X217" s="29"/>
      <c r="Y217" s="2"/>
    </row>
    <row r="218" spans="1:25" x14ac:dyDescent="0.25">
      <c r="A218" s="2">
        <v>41061</v>
      </c>
      <c r="B218">
        <v>0</v>
      </c>
      <c r="C218">
        <v>0.675438501590371</v>
      </c>
      <c r="D218">
        <v>0</v>
      </c>
      <c r="E218">
        <v>5.3885139494083798E-4</v>
      </c>
      <c r="I218" s="28"/>
      <c r="J218" s="2"/>
      <c r="P218" s="29"/>
      <c r="Q218" s="2"/>
      <c r="X218" s="29"/>
      <c r="Y218" s="2"/>
    </row>
    <row r="219" spans="1:25" x14ac:dyDescent="0.25">
      <c r="A219" s="2">
        <v>41091</v>
      </c>
      <c r="B219">
        <v>0</v>
      </c>
      <c r="C219">
        <v>0.69630296540916403</v>
      </c>
      <c r="D219">
        <v>0</v>
      </c>
      <c r="E219">
        <v>5.2230933935548196E-4</v>
      </c>
      <c r="I219" s="28"/>
      <c r="J219" s="2"/>
      <c r="P219" s="29"/>
      <c r="Q219" s="2"/>
      <c r="X219" s="29"/>
      <c r="Y219" s="2"/>
    </row>
    <row r="220" spans="1:25" x14ac:dyDescent="0.25">
      <c r="A220" s="2">
        <v>41122</v>
      </c>
      <c r="B220">
        <v>0</v>
      </c>
      <c r="C220">
        <v>0.70564069202121504</v>
      </c>
      <c r="D220">
        <v>0</v>
      </c>
      <c r="E220">
        <v>3.5471193860732003E-4</v>
      </c>
      <c r="I220" s="28"/>
      <c r="J220" s="2"/>
      <c r="P220" s="29"/>
      <c r="Q220" s="2"/>
      <c r="X220" s="29"/>
      <c r="Y220" s="2"/>
    </row>
    <row r="221" spans="1:25" x14ac:dyDescent="0.25">
      <c r="A221" s="2">
        <v>41153</v>
      </c>
      <c r="B221">
        <v>0</v>
      </c>
      <c r="C221">
        <v>0.70248708769186496</v>
      </c>
      <c r="D221">
        <v>0</v>
      </c>
      <c r="E221">
        <v>4.0112483424190699E-4</v>
      </c>
      <c r="I221" s="28"/>
      <c r="J221" s="2"/>
      <c r="P221" s="29"/>
      <c r="Q221" s="2"/>
      <c r="X221" s="29"/>
      <c r="Y221" s="2"/>
    </row>
    <row r="222" spans="1:25" x14ac:dyDescent="0.25">
      <c r="A222" s="2">
        <v>41183</v>
      </c>
      <c r="B222">
        <v>0</v>
      </c>
      <c r="C222">
        <v>0.72256332100640397</v>
      </c>
      <c r="D222">
        <v>0</v>
      </c>
      <c r="E222">
        <v>1.0950554828477201E-3</v>
      </c>
      <c r="I222" s="28"/>
      <c r="J222" s="2"/>
      <c r="P222" s="29"/>
      <c r="Q222" s="2"/>
      <c r="X222" s="29"/>
      <c r="Y222" s="2"/>
    </row>
    <row r="223" spans="1:25" x14ac:dyDescent="0.25">
      <c r="A223" s="2">
        <v>41214</v>
      </c>
      <c r="B223">
        <v>0</v>
      </c>
      <c r="C223">
        <v>0.74073041689381003</v>
      </c>
      <c r="D223">
        <v>0</v>
      </c>
      <c r="E223">
        <v>9.2409307950109404E-4</v>
      </c>
      <c r="I223" s="28"/>
      <c r="J223" s="2"/>
      <c r="P223" s="29"/>
      <c r="Q223" s="2"/>
      <c r="X223" s="29"/>
      <c r="Y223" s="2"/>
    </row>
    <row r="224" spans="1:25" x14ac:dyDescent="0.25">
      <c r="A224" s="2">
        <v>41244</v>
      </c>
      <c r="B224">
        <v>0</v>
      </c>
      <c r="C224">
        <v>0.73106644061377202</v>
      </c>
      <c r="D224">
        <v>0</v>
      </c>
      <c r="E224">
        <v>7.6431158682242599E-4</v>
      </c>
      <c r="I224" s="28"/>
      <c r="J224" s="2"/>
      <c r="P224" s="29"/>
      <c r="Q224" s="2"/>
      <c r="X224" s="29"/>
      <c r="Y224" s="2"/>
    </row>
    <row r="225" spans="1:25" x14ac:dyDescent="0.25">
      <c r="A225" s="2">
        <v>41275</v>
      </c>
      <c r="B225">
        <v>0</v>
      </c>
      <c r="C225">
        <v>0.71833488657386602</v>
      </c>
      <c r="D225">
        <v>0</v>
      </c>
      <c r="E225">
        <v>6.7855154378187402E-4</v>
      </c>
      <c r="I225" s="28"/>
      <c r="J225" s="2"/>
      <c r="P225" s="29"/>
      <c r="Q225" s="2"/>
      <c r="X225" s="29"/>
      <c r="Y225" s="2"/>
    </row>
    <row r="226" spans="1:25" x14ac:dyDescent="0.25">
      <c r="A226" s="2">
        <v>41306</v>
      </c>
      <c r="B226">
        <v>0</v>
      </c>
      <c r="C226">
        <v>0.70794188319703399</v>
      </c>
      <c r="D226">
        <v>0</v>
      </c>
      <c r="E226">
        <v>5.4112076329037903E-2</v>
      </c>
      <c r="I226" s="28"/>
      <c r="J226" s="2"/>
      <c r="P226" s="29"/>
      <c r="Q226" s="2"/>
      <c r="X226" s="29"/>
      <c r="Y226" s="2"/>
    </row>
    <row r="227" spans="1:25" x14ac:dyDescent="0.25">
      <c r="A227" s="2">
        <v>41334</v>
      </c>
      <c r="B227">
        <v>0</v>
      </c>
      <c r="C227">
        <v>0.65686283286718095</v>
      </c>
      <c r="D227">
        <v>0</v>
      </c>
      <c r="E227">
        <v>9.93566172024231E-2</v>
      </c>
      <c r="I227" s="28"/>
      <c r="J227" s="2"/>
      <c r="P227" s="29"/>
      <c r="Q227" s="2"/>
      <c r="X227" s="29"/>
      <c r="Y227" s="2"/>
    </row>
    <row r="228" spans="1:25" x14ac:dyDescent="0.25">
      <c r="A228" s="2">
        <v>41365</v>
      </c>
      <c r="B228">
        <v>0</v>
      </c>
      <c r="C228">
        <v>0.64216308547686596</v>
      </c>
      <c r="D228">
        <v>0</v>
      </c>
      <c r="E228">
        <v>0.108698005096957</v>
      </c>
      <c r="I228" s="28"/>
      <c r="J228" s="2"/>
      <c r="P228" s="29"/>
      <c r="Q228" s="2"/>
      <c r="X228" s="29"/>
      <c r="Y228" s="2"/>
    </row>
    <row r="229" spans="1:25" x14ac:dyDescent="0.25">
      <c r="A229" s="2">
        <v>41395</v>
      </c>
      <c r="B229">
        <v>0</v>
      </c>
      <c r="C229">
        <v>0.67610243613924703</v>
      </c>
      <c r="D229">
        <v>0</v>
      </c>
      <c r="E229">
        <v>6.5189589608403806E-2</v>
      </c>
      <c r="I229" s="28"/>
      <c r="J229" s="2"/>
      <c r="P229" s="29"/>
      <c r="Q229" s="2"/>
      <c r="X229" s="29"/>
      <c r="Y229" s="2"/>
    </row>
    <row r="230" spans="1:25" x14ac:dyDescent="0.25">
      <c r="A230" s="2">
        <v>41426</v>
      </c>
      <c r="B230">
        <v>0</v>
      </c>
      <c r="C230">
        <v>0.65328621475014903</v>
      </c>
      <c r="D230">
        <v>0</v>
      </c>
      <c r="E230">
        <v>9.67512175259784E-2</v>
      </c>
      <c r="I230" s="28"/>
      <c r="J230" s="2"/>
      <c r="P230" s="29"/>
      <c r="Q230" s="2"/>
      <c r="X230" s="29"/>
      <c r="Y230" s="2"/>
    </row>
    <row r="231" spans="1:25" x14ac:dyDescent="0.25">
      <c r="A231" s="2">
        <v>41456</v>
      </c>
      <c r="B231">
        <v>0</v>
      </c>
      <c r="C231">
        <v>0.61923265392684901</v>
      </c>
      <c r="D231">
        <v>0</v>
      </c>
      <c r="E231">
        <v>0.76836740618324095</v>
      </c>
      <c r="I231" s="28"/>
      <c r="J231" s="2"/>
      <c r="P231" s="29"/>
      <c r="Q231" s="2"/>
      <c r="X231" s="29"/>
      <c r="Y231" s="2"/>
    </row>
    <row r="232" spans="1:25" x14ac:dyDescent="0.25">
      <c r="A232" s="2">
        <v>41487</v>
      </c>
      <c r="B232">
        <v>0</v>
      </c>
      <c r="C232">
        <v>0.50290207075990101</v>
      </c>
      <c r="D232">
        <v>0</v>
      </c>
      <c r="E232">
        <v>0.82336765956776303</v>
      </c>
      <c r="I232" s="28"/>
      <c r="J232" s="2"/>
      <c r="P232" s="29"/>
      <c r="Q232" s="2"/>
      <c r="X232" s="29"/>
      <c r="Y232" s="2"/>
    </row>
    <row r="233" spans="1:25" x14ac:dyDescent="0.25">
      <c r="A233" s="2">
        <v>41518</v>
      </c>
      <c r="B233">
        <v>0</v>
      </c>
      <c r="C233">
        <v>0.46783859440006598</v>
      </c>
      <c r="D233">
        <v>0</v>
      </c>
      <c r="E233">
        <v>0.833267765811192</v>
      </c>
      <c r="I233" s="28"/>
      <c r="J233" s="2"/>
      <c r="P233" s="29"/>
      <c r="Q233" s="2"/>
      <c r="X233" s="29"/>
      <c r="Y233" s="2"/>
    </row>
    <row r="234" spans="1:25" x14ac:dyDescent="0.25">
      <c r="A234" s="2">
        <v>41548</v>
      </c>
      <c r="B234">
        <v>0</v>
      </c>
      <c r="C234">
        <v>0.46170197146833297</v>
      </c>
      <c r="D234">
        <v>0</v>
      </c>
      <c r="E234">
        <v>0.83142058752833603</v>
      </c>
      <c r="I234" s="28"/>
      <c r="J234" s="2"/>
      <c r="P234" s="29"/>
      <c r="Q234" s="2"/>
      <c r="X234" s="29"/>
      <c r="Y234" s="2"/>
    </row>
    <row r="235" spans="1:25" x14ac:dyDescent="0.25">
      <c r="A235" s="2">
        <v>41579</v>
      </c>
      <c r="B235">
        <v>0</v>
      </c>
      <c r="C235">
        <v>0.54473969801843003</v>
      </c>
      <c r="D235">
        <v>0</v>
      </c>
      <c r="E235">
        <v>0.790055458233897</v>
      </c>
      <c r="I235" s="28"/>
      <c r="J235" s="2"/>
      <c r="P235" s="29"/>
      <c r="Q235" s="2"/>
      <c r="X235" s="29"/>
      <c r="Y235" s="2"/>
    </row>
    <row r="236" spans="1:25" x14ac:dyDescent="0.25">
      <c r="A236" s="2">
        <v>41609</v>
      </c>
      <c r="B236">
        <v>0</v>
      </c>
      <c r="C236">
        <v>0.53075857156998996</v>
      </c>
      <c r="D236">
        <v>0</v>
      </c>
      <c r="E236">
        <v>0.79918612379100595</v>
      </c>
      <c r="I236" s="28"/>
      <c r="J236" s="2"/>
      <c r="P236" s="29"/>
      <c r="Q236" s="2"/>
      <c r="X236" s="29"/>
      <c r="Y236" s="2"/>
    </row>
    <row r="237" spans="1:25" x14ac:dyDescent="0.25">
      <c r="A237" s="2">
        <v>41640</v>
      </c>
      <c r="B237">
        <v>0</v>
      </c>
      <c r="C237">
        <v>0.48531722542241001</v>
      </c>
      <c r="D237">
        <v>0</v>
      </c>
      <c r="E237">
        <v>0.82908169923702302</v>
      </c>
      <c r="I237" s="28"/>
      <c r="J237" s="2"/>
      <c r="P237" s="29"/>
      <c r="Q237" s="2"/>
      <c r="X237" s="29"/>
      <c r="Y237" s="2"/>
    </row>
    <row r="238" spans="1:25" x14ac:dyDescent="0.25">
      <c r="A238" s="2">
        <v>41671</v>
      </c>
      <c r="B238">
        <v>0</v>
      </c>
      <c r="C238">
        <v>0.49042814418987102</v>
      </c>
      <c r="D238">
        <v>0</v>
      </c>
      <c r="E238">
        <v>0.83050075591805905</v>
      </c>
      <c r="I238" s="28"/>
      <c r="J238" s="2"/>
      <c r="P238" s="29"/>
      <c r="Q238" s="2"/>
      <c r="X238" s="29"/>
      <c r="Y238" s="2"/>
    </row>
    <row r="239" spans="1:25" x14ac:dyDescent="0.25">
      <c r="A239" s="2">
        <v>41699</v>
      </c>
      <c r="B239">
        <v>0</v>
      </c>
      <c r="C239">
        <v>0.53027276069826002</v>
      </c>
      <c r="D239">
        <v>0</v>
      </c>
      <c r="E239">
        <v>0.81871000276352301</v>
      </c>
      <c r="I239" s="28"/>
      <c r="J239" s="2"/>
      <c r="P239" s="29"/>
      <c r="Q239" s="2"/>
      <c r="X239" s="29"/>
      <c r="Y239" s="2"/>
    </row>
    <row r="240" spans="1:25" x14ac:dyDescent="0.25">
      <c r="A240" s="2">
        <v>41730</v>
      </c>
      <c r="B240">
        <v>0</v>
      </c>
      <c r="C240">
        <v>0.53003136348027802</v>
      </c>
      <c r="D240">
        <v>0</v>
      </c>
      <c r="E240">
        <v>0.82718426141045398</v>
      </c>
      <c r="I240" s="28"/>
      <c r="J240" s="2"/>
      <c r="P240" s="29"/>
      <c r="Q240" s="2"/>
      <c r="X240" s="29"/>
      <c r="Y240" s="2"/>
    </row>
    <row r="241" spans="1:26" x14ac:dyDescent="0.25">
      <c r="A241" s="2">
        <v>41760</v>
      </c>
      <c r="B241">
        <v>0</v>
      </c>
      <c r="C241">
        <v>0.53373338146294202</v>
      </c>
      <c r="D241">
        <v>0</v>
      </c>
      <c r="E241">
        <v>0.838945224930848</v>
      </c>
      <c r="I241" s="28"/>
      <c r="J241" s="2"/>
      <c r="P241" s="29"/>
      <c r="Q241" s="2"/>
      <c r="X241" s="29"/>
      <c r="Y241" s="2"/>
    </row>
    <row r="242" spans="1:26" x14ac:dyDescent="0.25">
      <c r="A242" s="2">
        <v>41791</v>
      </c>
      <c r="B242">
        <v>2.0017157355378699E-2</v>
      </c>
      <c r="C242">
        <v>0.58068938206812604</v>
      </c>
      <c r="D242">
        <v>1.8666666666666699E-2</v>
      </c>
      <c r="E242">
        <v>0.820739594371242</v>
      </c>
      <c r="I242" s="28"/>
      <c r="J242" s="2"/>
      <c r="P242" s="29"/>
      <c r="Q242" s="2"/>
      <c r="X242" s="29"/>
      <c r="Y242" s="2"/>
    </row>
    <row r="243" spans="1:26" x14ac:dyDescent="0.25">
      <c r="A243" s="2">
        <v>41821</v>
      </c>
      <c r="B243">
        <v>2.6958294767320801E-2</v>
      </c>
      <c r="C243">
        <v>0.59145575591362498</v>
      </c>
      <c r="D243">
        <v>2.4666666666667E-2</v>
      </c>
      <c r="E243">
        <v>0.82473832199854602</v>
      </c>
      <c r="I243" s="28"/>
      <c r="J243" s="2"/>
      <c r="P243" s="29"/>
      <c r="Q243" s="2"/>
      <c r="X243" s="29"/>
      <c r="Y243" s="2"/>
      <c r="Z243" s="33"/>
    </row>
    <row r="244" spans="1:26" x14ac:dyDescent="0.25">
      <c r="A244" s="2">
        <v>41852</v>
      </c>
      <c r="B244">
        <v>3.4920585535858098E-2</v>
      </c>
      <c r="C244">
        <v>0.60280877805589395</v>
      </c>
      <c r="D244">
        <v>3.1333333333333303E-2</v>
      </c>
      <c r="E244">
        <v>0.82634781149587999</v>
      </c>
      <c r="I244" s="28"/>
      <c r="J244" s="2"/>
      <c r="P244" s="29"/>
      <c r="Q244" s="2"/>
      <c r="X244" s="29"/>
      <c r="Y244" s="2"/>
      <c r="Z244" s="33"/>
    </row>
    <row r="245" spans="1:26" x14ac:dyDescent="0.25">
      <c r="A245" s="2">
        <v>41883</v>
      </c>
      <c r="B245">
        <v>4.2761196939533598E-2</v>
      </c>
      <c r="C245">
        <v>0.61773837377204399</v>
      </c>
      <c r="D245">
        <v>3.7333333333333503E-2</v>
      </c>
      <c r="E245">
        <v>0.83121100386087299</v>
      </c>
      <c r="I245" s="28"/>
      <c r="J245" s="2"/>
      <c r="P245" s="29"/>
      <c r="Q245" s="2"/>
      <c r="X245" s="29"/>
      <c r="Y245" s="2"/>
      <c r="Z245" s="33"/>
    </row>
    <row r="246" spans="1:26" x14ac:dyDescent="0.25">
      <c r="A246" s="2">
        <v>41913</v>
      </c>
      <c r="B246">
        <v>4.3301531986161802E-2</v>
      </c>
      <c r="C246">
        <v>0.60371820487485195</v>
      </c>
      <c r="D246">
        <v>3.8666666666666599E-2</v>
      </c>
      <c r="E246">
        <v>0.83251935712688896</v>
      </c>
      <c r="I246" s="28"/>
      <c r="J246" s="2"/>
      <c r="P246" s="29"/>
      <c r="Q246" s="2"/>
      <c r="X246" s="29"/>
      <c r="Y246" s="2"/>
      <c r="Z246" s="33"/>
    </row>
    <row r="247" spans="1:26" x14ac:dyDescent="0.25">
      <c r="A247" s="2">
        <v>41944</v>
      </c>
      <c r="B247">
        <v>4.84024248713966E-2</v>
      </c>
      <c r="C247">
        <v>0.65424805360146299</v>
      </c>
      <c r="D247">
        <v>4.0666666666666601E-2</v>
      </c>
      <c r="E247">
        <v>0.80557662608982905</v>
      </c>
      <c r="I247" s="28"/>
      <c r="J247" s="2"/>
      <c r="P247" s="29"/>
      <c r="Q247" s="2"/>
      <c r="X247" s="29"/>
      <c r="Y247" s="2"/>
      <c r="Z247" s="33"/>
    </row>
    <row r="248" spans="1:26" x14ac:dyDescent="0.25">
      <c r="A248" s="2">
        <v>41974</v>
      </c>
      <c r="B248">
        <v>4.8571408647124503E-2</v>
      </c>
      <c r="C248">
        <v>0.65219554162814997</v>
      </c>
      <c r="D248">
        <v>4.1999999999999697E-2</v>
      </c>
      <c r="E248">
        <v>0.77248455818038797</v>
      </c>
      <c r="I248" s="28"/>
      <c r="J248" s="2"/>
      <c r="P248" s="29"/>
      <c r="Q248" s="2"/>
      <c r="X248" s="29"/>
      <c r="Y248" s="2"/>
      <c r="Z248" s="33"/>
    </row>
    <row r="249" spans="1:26" x14ac:dyDescent="0.25">
      <c r="A249" s="2">
        <v>42005</v>
      </c>
      <c r="B249">
        <v>3.1444752210818501E-2</v>
      </c>
      <c r="C249">
        <v>0.53633950001371</v>
      </c>
      <c r="D249">
        <v>5.2000000000000102E-2</v>
      </c>
      <c r="E249">
        <v>0.40390088353474402</v>
      </c>
      <c r="I249" s="28"/>
      <c r="J249" s="2"/>
      <c r="P249" s="29"/>
      <c r="Q249" s="2"/>
      <c r="X249" s="29"/>
      <c r="Y249" s="2"/>
      <c r="Z249" s="33"/>
    </row>
    <row r="250" spans="1:26" x14ac:dyDescent="0.25">
      <c r="A250" s="2">
        <v>42036</v>
      </c>
      <c r="B250">
        <v>9.6855860803990394E-3</v>
      </c>
      <c r="C250">
        <v>0.50284049353292504</v>
      </c>
      <c r="D250">
        <v>6.2000000000000499E-2</v>
      </c>
      <c r="E250">
        <v>0.109432440817899</v>
      </c>
      <c r="I250" s="28"/>
      <c r="J250" s="2"/>
      <c r="P250" s="29"/>
      <c r="Q250" s="2"/>
      <c r="X250" s="29"/>
      <c r="Y250" s="2"/>
      <c r="Z250" s="33"/>
    </row>
    <row r="251" spans="1:26" x14ac:dyDescent="0.25">
      <c r="A251" s="2">
        <v>42064</v>
      </c>
      <c r="B251">
        <v>1.22247300334388E-2</v>
      </c>
      <c r="C251">
        <v>0.49505806640553202</v>
      </c>
      <c r="D251">
        <v>7.1999999999999897E-2</v>
      </c>
      <c r="E251">
        <v>0.12097887792350701</v>
      </c>
      <c r="I251" s="28"/>
      <c r="J251" s="2"/>
      <c r="P251" s="29"/>
      <c r="Q251" s="2"/>
      <c r="X251" s="29"/>
      <c r="Y251" s="2"/>
      <c r="Z251" s="33"/>
    </row>
    <row r="252" spans="1:26" x14ac:dyDescent="0.25">
      <c r="A252" s="2">
        <v>42095</v>
      </c>
      <c r="B252">
        <v>1.8287687969342801E-2</v>
      </c>
      <c r="C252">
        <v>0.48989450551217401</v>
      </c>
      <c r="D252">
        <v>8.1333333333333299E-2</v>
      </c>
      <c r="E252">
        <v>0.15876061910603501</v>
      </c>
      <c r="I252" s="28"/>
      <c r="J252" s="2"/>
      <c r="P252" s="29"/>
      <c r="Q252" s="2"/>
      <c r="X252" s="29"/>
      <c r="Y252" s="2"/>
      <c r="Z252" s="33"/>
    </row>
    <row r="253" spans="1:26" x14ac:dyDescent="0.25">
      <c r="A253" s="2">
        <v>42125</v>
      </c>
      <c r="B253">
        <v>1.46692104088242E-2</v>
      </c>
      <c r="C253">
        <v>0.51625521803605001</v>
      </c>
      <c r="D253">
        <v>9.0666666666666604E-2</v>
      </c>
      <c r="E253">
        <v>0.112641885225647</v>
      </c>
      <c r="I253" s="28"/>
      <c r="J253" s="2"/>
      <c r="P253" s="29"/>
      <c r="Q253" s="2"/>
      <c r="X253" s="29"/>
      <c r="Y253" s="2"/>
      <c r="Z253" s="33"/>
    </row>
    <row r="254" spans="1:26" x14ac:dyDescent="0.25">
      <c r="A254" s="2">
        <v>42156</v>
      </c>
      <c r="B254">
        <v>4.9040634194086302E-2</v>
      </c>
      <c r="C254">
        <v>0.52836985860934205</v>
      </c>
      <c r="D254">
        <v>9.9333333333332996E-2</v>
      </c>
      <c r="E254">
        <v>0.33485654398175602</v>
      </c>
      <c r="I254" s="28"/>
      <c r="J254" s="2"/>
      <c r="P254" s="29"/>
      <c r="Q254" s="2"/>
      <c r="X254" s="29"/>
      <c r="Y254" s="2"/>
      <c r="Z254" s="33"/>
    </row>
    <row r="255" spans="1:26" x14ac:dyDescent="0.25">
      <c r="A255" s="2">
        <v>42186</v>
      </c>
      <c r="B255">
        <v>0.125544180384141</v>
      </c>
      <c r="C255">
        <v>0.67558046315391096</v>
      </c>
      <c r="D255">
        <v>0.10199999999999999</v>
      </c>
      <c r="E255">
        <v>0.82094493796676205</v>
      </c>
      <c r="I255" s="28"/>
      <c r="J255" s="2"/>
      <c r="P255" s="29"/>
      <c r="Q255" s="2"/>
      <c r="X255" s="29"/>
      <c r="Y255" s="2"/>
      <c r="Z255" s="33"/>
    </row>
    <row r="256" spans="1:26" x14ac:dyDescent="0.25">
      <c r="A256" s="2">
        <v>42217</v>
      </c>
      <c r="B256">
        <v>0.128877531448301</v>
      </c>
      <c r="C256">
        <v>0.66742607934819498</v>
      </c>
      <c r="D256">
        <v>0.104</v>
      </c>
      <c r="E256">
        <v>0.84935606775297001</v>
      </c>
      <c r="I256" s="28"/>
      <c r="J256" s="2"/>
      <c r="P256" s="29"/>
      <c r="Q256" s="2"/>
      <c r="X256" s="29"/>
      <c r="Y256" s="2"/>
      <c r="Z256" s="33"/>
    </row>
    <row r="257" spans="1:26" x14ac:dyDescent="0.25">
      <c r="A257" s="2">
        <v>42248</v>
      </c>
      <c r="B257">
        <v>0.112081038154088</v>
      </c>
      <c r="C257">
        <v>0.66436425710773805</v>
      </c>
      <c r="D257">
        <v>0.10666666666666599</v>
      </c>
      <c r="E257">
        <v>0.68733195172621897</v>
      </c>
      <c r="I257" s="28"/>
      <c r="J257" s="2"/>
      <c r="P257" s="29"/>
      <c r="Q257" s="2"/>
      <c r="X257" s="29"/>
      <c r="Y257" s="2"/>
      <c r="Z257" s="33"/>
    </row>
    <row r="258" spans="1:26" x14ac:dyDescent="0.25">
      <c r="A258" s="2">
        <v>42278</v>
      </c>
      <c r="B258">
        <v>9.57778001428711E-2</v>
      </c>
      <c r="C258">
        <v>0.64610496771827397</v>
      </c>
      <c r="D258">
        <v>0.101333333333333</v>
      </c>
      <c r="E258">
        <v>0.61940836730347604</v>
      </c>
      <c r="I258" s="28"/>
      <c r="J258" s="2"/>
      <c r="P258" s="29"/>
      <c r="Q258" s="2"/>
      <c r="X258" s="29"/>
      <c r="Y258" s="2"/>
      <c r="Z258" s="33"/>
    </row>
    <row r="259" spans="1:26" x14ac:dyDescent="0.25">
      <c r="A259" s="2">
        <v>42309</v>
      </c>
      <c r="B259">
        <v>3.1264681306331102E-2</v>
      </c>
      <c r="C259">
        <v>0.54534836030553102</v>
      </c>
      <c r="D259">
        <v>9.6666666666666803E-2</v>
      </c>
      <c r="E259">
        <v>0.227675918278061</v>
      </c>
      <c r="I259" s="28"/>
      <c r="J259" s="2"/>
      <c r="P259" s="29"/>
      <c r="Q259" s="2"/>
      <c r="X259" s="29"/>
      <c r="Y259" s="2"/>
      <c r="Z259" s="33"/>
    </row>
    <row r="260" spans="1:26" x14ac:dyDescent="0.25">
      <c r="A260" s="2">
        <v>42339</v>
      </c>
      <c r="B260">
        <v>0.108424626897297</v>
      </c>
      <c r="C260">
        <v>0.68312923005912096</v>
      </c>
      <c r="D260">
        <v>9.1333333333333599E-2</v>
      </c>
      <c r="E260">
        <v>0.78275513244032802</v>
      </c>
      <c r="I260" s="28"/>
      <c r="J260" s="2"/>
      <c r="P260" s="29"/>
      <c r="Q260" s="2"/>
      <c r="X260" s="29"/>
      <c r="Y260" s="2"/>
      <c r="Z260" s="33"/>
    </row>
    <row r="261" spans="1:26" x14ac:dyDescent="0.25">
      <c r="A261" s="2">
        <v>42370</v>
      </c>
      <c r="B261">
        <v>0.105061230559966</v>
      </c>
      <c r="C261">
        <v>0.68300392266310195</v>
      </c>
      <c r="D261">
        <v>8.7333333333333499E-2</v>
      </c>
      <c r="E261">
        <v>0.79804657890014497</v>
      </c>
      <c r="I261" s="28"/>
      <c r="J261" s="2"/>
      <c r="P261" s="29"/>
      <c r="Q261" s="2"/>
      <c r="X261" s="29"/>
      <c r="Y261" s="2"/>
      <c r="Z261" s="33"/>
    </row>
    <row r="262" spans="1:26" x14ac:dyDescent="0.25">
      <c r="A262" s="2">
        <v>42401</v>
      </c>
      <c r="B262">
        <v>6.9470229375956399E-2</v>
      </c>
      <c r="C262">
        <v>0.62881667627350302</v>
      </c>
      <c r="D262">
        <v>8.2666666666666305E-2</v>
      </c>
      <c r="E262">
        <v>0.55218019075135105</v>
      </c>
      <c r="I262" s="28"/>
      <c r="J262" s="2"/>
      <c r="P262" s="29"/>
      <c r="Q262" s="2"/>
      <c r="X262" s="29"/>
      <c r="Y262" s="2"/>
      <c r="Z262" s="33"/>
    </row>
    <row r="263" spans="1:26" x14ac:dyDescent="0.25">
      <c r="A263" s="2">
        <v>42430</v>
      </c>
      <c r="B263">
        <v>1.7035643505458602E-2</v>
      </c>
      <c r="C263">
        <v>0.56672061949638797</v>
      </c>
      <c r="D263">
        <v>7.8666666666667107E-2</v>
      </c>
      <c r="E263">
        <v>0.148543303026406</v>
      </c>
      <c r="I263" s="28"/>
      <c r="J263" s="2"/>
      <c r="P263" s="29"/>
      <c r="Q263" s="2"/>
      <c r="X263" s="29"/>
      <c r="Y263" s="2"/>
      <c r="Z263" s="33"/>
    </row>
    <row r="264" spans="1:26" x14ac:dyDescent="0.25">
      <c r="X264" s="29"/>
      <c r="Y264" s="2"/>
      <c r="Z264" s="33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3"/>
  <sheetViews>
    <sheetView workbookViewId="0">
      <selection activeCell="H2" sqref="H2:AE58"/>
    </sheetView>
  </sheetViews>
  <sheetFormatPr defaultRowHeight="15" x14ac:dyDescent="0.25"/>
  <sheetData>
    <row r="1" spans="1:7" x14ac:dyDescent="0.25">
      <c r="B1" t="s">
        <v>324</v>
      </c>
      <c r="C1" t="s">
        <v>325</v>
      </c>
      <c r="D1" t="s">
        <v>313</v>
      </c>
      <c r="E1" t="s">
        <v>326</v>
      </c>
      <c r="F1" t="s">
        <v>327</v>
      </c>
      <c r="G1" t="s">
        <v>328</v>
      </c>
    </row>
    <row r="2" spans="1:7" x14ac:dyDescent="0.25">
      <c r="A2" s="2">
        <v>34366</v>
      </c>
      <c r="B2">
        <v>0.529553122482607</v>
      </c>
      <c r="C2">
        <v>1.2219269050621799</v>
      </c>
      <c r="D2">
        <f>C2-B2</f>
        <v>0.69237378257957294</v>
      </c>
    </row>
    <row r="3" spans="1:7" x14ac:dyDescent="0.25">
      <c r="A3" s="2">
        <v>34394</v>
      </c>
      <c r="B3">
        <v>0.84380791658841303</v>
      </c>
      <c r="C3">
        <v>1.94527800506418</v>
      </c>
      <c r="D3">
        <f t="shared" ref="D3:D66" si="0">C3-B3</f>
        <v>1.1014700884757671</v>
      </c>
    </row>
    <row r="4" spans="1:7" x14ac:dyDescent="0.25">
      <c r="A4" s="2">
        <v>34486</v>
      </c>
      <c r="B4">
        <v>0.95963462979338199</v>
      </c>
      <c r="C4">
        <v>1.1848702087112499</v>
      </c>
      <c r="D4">
        <f t="shared" si="0"/>
        <v>0.22523557891786794</v>
      </c>
    </row>
    <row r="5" spans="1:7" x14ac:dyDescent="0.25">
      <c r="A5" s="2">
        <v>34516</v>
      </c>
      <c r="B5">
        <v>3.8799472364868</v>
      </c>
      <c r="C5">
        <v>3.5802242618974698</v>
      </c>
      <c r="D5">
        <f t="shared" si="0"/>
        <v>-0.29972297458933017</v>
      </c>
    </row>
    <row r="6" spans="1:7" x14ac:dyDescent="0.25">
      <c r="A6" s="2">
        <v>34547</v>
      </c>
      <c r="B6">
        <v>3.75382451316979</v>
      </c>
      <c r="C6">
        <v>3.6710837703758998</v>
      </c>
      <c r="D6">
        <f t="shared" si="0"/>
        <v>-8.274074279389021E-2</v>
      </c>
    </row>
    <row r="7" spans="1:7" x14ac:dyDescent="0.25">
      <c r="A7" s="2">
        <v>34578</v>
      </c>
      <c r="B7">
        <v>3.88246687729522</v>
      </c>
      <c r="C7">
        <v>3.2984967227797801</v>
      </c>
      <c r="D7">
        <f t="shared" si="0"/>
        <v>-0.58397015451543988</v>
      </c>
      <c r="E7">
        <f>AVERAGE(B2:B7)</f>
        <v>2.3082057159693687</v>
      </c>
      <c r="F7">
        <f>AVERAGE(C2:C7)</f>
        <v>2.4836466456484598</v>
      </c>
      <c r="G7">
        <f>F7-E7</f>
        <v>0.17544092967909108</v>
      </c>
    </row>
    <row r="8" spans="1:7" x14ac:dyDescent="0.25">
      <c r="A8" s="2">
        <v>34608</v>
      </c>
      <c r="B8">
        <v>3.3455064881626302</v>
      </c>
      <c r="C8">
        <v>3.2346733150168001</v>
      </c>
      <c r="D8">
        <f t="shared" si="0"/>
        <v>-0.11083317314583008</v>
      </c>
      <c r="E8">
        <f t="shared" ref="E8:F8" si="1">AVERAGE(B3:B8)</f>
        <v>2.7775312769160387</v>
      </c>
      <c r="F8">
        <f t="shared" si="1"/>
        <v>2.8191043806408964</v>
      </c>
      <c r="G8">
        <f t="shared" ref="G8:G71" si="2">F8-E8</f>
        <v>4.1573103724857674E-2</v>
      </c>
    </row>
    <row r="9" spans="1:7" x14ac:dyDescent="0.25">
      <c r="A9" s="2">
        <v>34639</v>
      </c>
      <c r="B9">
        <v>3.5968463067268202</v>
      </c>
      <c r="C9">
        <v>2.90438816532453</v>
      </c>
      <c r="D9">
        <f t="shared" si="0"/>
        <v>-0.69245814140229012</v>
      </c>
      <c r="E9">
        <f t="shared" ref="E9:F9" si="3">AVERAGE(B4:B9)</f>
        <v>3.236371008605774</v>
      </c>
      <c r="F9">
        <f t="shared" si="3"/>
        <v>2.9789560740176211</v>
      </c>
      <c r="G9">
        <f t="shared" si="2"/>
        <v>-0.2574149345881529</v>
      </c>
    </row>
    <row r="10" spans="1:7" x14ac:dyDescent="0.25">
      <c r="A10" s="2">
        <v>34669</v>
      </c>
      <c r="B10">
        <v>3.6329630825477799</v>
      </c>
      <c r="C10">
        <v>2.8125320273641101</v>
      </c>
      <c r="D10">
        <f t="shared" si="0"/>
        <v>-0.82043105518366977</v>
      </c>
      <c r="E10">
        <f t="shared" ref="E10:F10" si="4">AVERAGE(B5:B10)</f>
        <v>3.6819257507315069</v>
      </c>
      <c r="F10">
        <f t="shared" si="4"/>
        <v>3.2502330437930982</v>
      </c>
      <c r="G10">
        <f t="shared" si="2"/>
        <v>-0.43169270693840867</v>
      </c>
    </row>
    <row r="11" spans="1:7" x14ac:dyDescent="0.25">
      <c r="A11" s="2">
        <v>34700</v>
      </c>
      <c r="B11">
        <v>2.9538249754235402</v>
      </c>
      <c r="C11">
        <v>2.1187145388176698</v>
      </c>
      <c r="D11">
        <f t="shared" si="0"/>
        <v>-0.83511043660587037</v>
      </c>
      <c r="E11">
        <f t="shared" ref="E11:F11" si="5">AVERAGE(B6:B11)</f>
        <v>3.5275720405542965</v>
      </c>
      <c r="F11">
        <f t="shared" si="5"/>
        <v>3.0066480899464652</v>
      </c>
      <c r="G11">
        <f t="shared" si="2"/>
        <v>-0.52092395060783137</v>
      </c>
    </row>
    <row r="12" spans="1:7" x14ac:dyDescent="0.25">
      <c r="A12" s="2">
        <v>34731</v>
      </c>
      <c r="B12">
        <v>2.5759915926195198</v>
      </c>
      <c r="C12">
        <v>2.3256375592949401</v>
      </c>
      <c r="D12">
        <f t="shared" si="0"/>
        <v>-0.25035403332457973</v>
      </c>
      <c r="E12">
        <f t="shared" ref="E12:F12" si="6">AVERAGE(B7:B12)</f>
        <v>3.3312665537959187</v>
      </c>
      <c r="F12">
        <f t="shared" si="6"/>
        <v>2.7824070547663049</v>
      </c>
      <c r="G12">
        <f t="shared" si="2"/>
        <v>-0.54885949902961384</v>
      </c>
    </row>
    <row r="13" spans="1:7" x14ac:dyDescent="0.25">
      <c r="A13" s="2">
        <v>34759</v>
      </c>
      <c r="B13">
        <v>2.7608683629007502</v>
      </c>
      <c r="C13">
        <v>3.4104256808820099</v>
      </c>
      <c r="D13">
        <f t="shared" si="0"/>
        <v>0.64955731798125971</v>
      </c>
      <c r="E13">
        <f t="shared" ref="E13:F13" si="7">AVERAGE(B8:B13)</f>
        <v>3.1443334680635071</v>
      </c>
      <c r="F13">
        <f t="shared" si="7"/>
        <v>2.8010618811166768</v>
      </c>
      <c r="G13">
        <f t="shared" si="2"/>
        <v>-0.34327158694683035</v>
      </c>
    </row>
    <row r="14" spans="1:7" x14ac:dyDescent="0.25">
      <c r="A14" s="2">
        <v>34790</v>
      </c>
      <c r="B14">
        <v>3.3240019398835998</v>
      </c>
      <c r="C14">
        <v>4.3059669544318604</v>
      </c>
      <c r="D14">
        <f t="shared" si="0"/>
        <v>0.98196501454826057</v>
      </c>
      <c r="E14">
        <f t="shared" ref="E14:F14" si="8">AVERAGE(B9:B14)</f>
        <v>3.1407493766836683</v>
      </c>
      <c r="F14">
        <f t="shared" si="8"/>
        <v>2.9796108210191865</v>
      </c>
      <c r="G14">
        <f t="shared" si="2"/>
        <v>-0.16113855566448176</v>
      </c>
    </row>
    <row r="15" spans="1:7" x14ac:dyDescent="0.25">
      <c r="A15" s="2">
        <v>34820</v>
      </c>
      <c r="B15">
        <v>3.4429433895763699</v>
      </c>
      <c r="C15">
        <v>4.8025196153386496</v>
      </c>
      <c r="D15">
        <f t="shared" si="0"/>
        <v>1.3595762257622797</v>
      </c>
      <c r="E15">
        <f t="shared" ref="E15:F15" si="9">AVERAGE(B10:B15)</f>
        <v>3.1150988904919266</v>
      </c>
      <c r="F15">
        <f t="shared" si="9"/>
        <v>3.2959660626882066</v>
      </c>
      <c r="G15">
        <f t="shared" si="2"/>
        <v>0.18086717219628001</v>
      </c>
    </row>
    <row r="16" spans="1:7" x14ac:dyDescent="0.25">
      <c r="A16" s="2">
        <v>34851</v>
      </c>
      <c r="B16">
        <v>4.2943509007437601</v>
      </c>
      <c r="C16">
        <v>5.7713102826802203</v>
      </c>
      <c r="D16">
        <f t="shared" si="0"/>
        <v>1.4769593819364601</v>
      </c>
      <c r="E16">
        <f t="shared" ref="E16:F16" si="10">AVERAGE(B11:B16)</f>
        <v>3.2253301935245902</v>
      </c>
      <c r="F16">
        <f t="shared" si="10"/>
        <v>3.789095771907558</v>
      </c>
      <c r="G16">
        <f t="shared" si="2"/>
        <v>0.56376557838296781</v>
      </c>
    </row>
    <row r="17" spans="1:7" x14ac:dyDescent="0.25">
      <c r="A17" s="2">
        <v>34881</v>
      </c>
      <c r="B17">
        <v>4.5426025650081101</v>
      </c>
      <c r="C17">
        <v>5.9571943089131096</v>
      </c>
      <c r="D17">
        <f t="shared" si="0"/>
        <v>1.4145917439049995</v>
      </c>
      <c r="E17">
        <f t="shared" ref="E17:F17" si="11">AVERAGE(B12:B17)</f>
        <v>3.4901264584553515</v>
      </c>
      <c r="F17">
        <f t="shared" si="11"/>
        <v>4.4288424002567979</v>
      </c>
      <c r="G17">
        <f t="shared" si="2"/>
        <v>0.93871594180144635</v>
      </c>
    </row>
    <row r="18" spans="1:7" x14ac:dyDescent="0.25">
      <c r="A18" s="2">
        <v>34912</v>
      </c>
      <c r="B18">
        <v>4.9674690055708597</v>
      </c>
      <c r="C18">
        <v>6.2090125532182601</v>
      </c>
      <c r="D18">
        <f t="shared" si="0"/>
        <v>1.2415435476474004</v>
      </c>
      <c r="E18">
        <f t="shared" ref="E18:F18" si="12">AVERAGE(B13:B18)</f>
        <v>3.8887060272805751</v>
      </c>
      <c r="F18">
        <f t="shared" si="12"/>
        <v>5.0760715659106843</v>
      </c>
      <c r="G18">
        <f t="shared" si="2"/>
        <v>1.1873655386301092</v>
      </c>
    </row>
    <row r="19" spans="1:7" x14ac:dyDescent="0.25">
      <c r="A19" s="2">
        <v>34943</v>
      </c>
      <c r="B19">
        <v>5.3106536234315396</v>
      </c>
      <c r="C19">
        <v>5.0451808989396802</v>
      </c>
      <c r="D19">
        <f t="shared" si="0"/>
        <v>-0.26547272449185932</v>
      </c>
      <c r="E19">
        <f t="shared" ref="E19:F19" si="13">AVERAGE(B14:B19)</f>
        <v>4.3136702373690392</v>
      </c>
      <c r="F19">
        <f t="shared" si="13"/>
        <v>5.3485307689202957</v>
      </c>
      <c r="G19">
        <f t="shared" si="2"/>
        <v>1.0348605315512565</v>
      </c>
    </row>
    <row r="20" spans="1:7" x14ac:dyDescent="0.25">
      <c r="A20" s="2">
        <v>34973</v>
      </c>
      <c r="B20">
        <v>4.4245739764361502</v>
      </c>
      <c r="C20">
        <v>5.2760611334121501</v>
      </c>
      <c r="D20">
        <f t="shared" si="0"/>
        <v>0.85148715697599986</v>
      </c>
      <c r="E20">
        <f t="shared" ref="E20:F20" si="14">AVERAGE(B15:B20)</f>
        <v>4.4970989101277974</v>
      </c>
      <c r="F20">
        <f t="shared" si="14"/>
        <v>5.5102131320836785</v>
      </c>
      <c r="G20">
        <f t="shared" si="2"/>
        <v>1.0131142219558811</v>
      </c>
    </row>
    <row r="21" spans="1:7" x14ac:dyDescent="0.25">
      <c r="A21" s="2">
        <v>35004</v>
      </c>
      <c r="B21">
        <v>4.3267893823549697</v>
      </c>
      <c r="C21">
        <v>4.8832895268851004</v>
      </c>
      <c r="D21">
        <f t="shared" si="0"/>
        <v>0.55650014453013075</v>
      </c>
      <c r="E21">
        <f t="shared" ref="E21:F21" si="15">AVERAGE(B16:B21)</f>
        <v>4.6444065755908985</v>
      </c>
      <c r="F21">
        <f t="shared" si="15"/>
        <v>5.5236747840080866</v>
      </c>
      <c r="G21">
        <f t="shared" si="2"/>
        <v>0.87926820841718811</v>
      </c>
    </row>
    <row r="22" spans="1:7" x14ac:dyDescent="0.25">
      <c r="A22" s="2">
        <v>35034</v>
      </c>
      <c r="B22">
        <v>4.1838658922359802</v>
      </c>
      <c r="C22">
        <v>5.2247587962185396</v>
      </c>
      <c r="D22">
        <f t="shared" si="0"/>
        <v>1.0408929039825594</v>
      </c>
      <c r="E22">
        <f t="shared" ref="E22:F22" si="16">AVERAGE(B17:B22)</f>
        <v>4.6259924075062679</v>
      </c>
      <c r="F22">
        <f t="shared" si="16"/>
        <v>5.4325828695978062</v>
      </c>
      <c r="G22">
        <f t="shared" si="2"/>
        <v>0.80659046209153828</v>
      </c>
    </row>
    <row r="23" spans="1:7" x14ac:dyDescent="0.25">
      <c r="A23" s="2">
        <v>35065</v>
      </c>
      <c r="B23">
        <v>3.1208863355680001</v>
      </c>
      <c r="C23">
        <v>4.0712902497227903</v>
      </c>
      <c r="D23">
        <f t="shared" si="0"/>
        <v>0.9504039141547902</v>
      </c>
      <c r="E23">
        <f t="shared" ref="E23:F23" si="17">AVERAGE(B18:B23)</f>
        <v>4.3890397025995833</v>
      </c>
      <c r="F23">
        <f t="shared" si="17"/>
        <v>5.1182655263994201</v>
      </c>
      <c r="G23">
        <f t="shared" si="2"/>
        <v>0.7292258237998368</v>
      </c>
    </row>
    <row r="24" spans="1:7" x14ac:dyDescent="0.25">
      <c r="A24" s="2">
        <v>35096</v>
      </c>
      <c r="B24">
        <v>2.7980986824082099</v>
      </c>
      <c r="C24">
        <v>4.2917958442236603</v>
      </c>
      <c r="D24">
        <f t="shared" si="0"/>
        <v>1.4936971618154504</v>
      </c>
      <c r="E24">
        <f t="shared" ref="E24:F24" si="18">AVERAGE(B19:B24)</f>
        <v>4.0274779820724742</v>
      </c>
      <c r="F24">
        <f t="shared" si="18"/>
        <v>4.7987294082336538</v>
      </c>
      <c r="G24">
        <f t="shared" si="2"/>
        <v>0.77125142616117959</v>
      </c>
    </row>
    <row r="25" spans="1:7" x14ac:dyDescent="0.25">
      <c r="A25" s="2">
        <v>35125</v>
      </c>
      <c r="B25">
        <v>3.3344042315025999</v>
      </c>
      <c r="C25">
        <v>5.4939408368498102</v>
      </c>
      <c r="D25">
        <f t="shared" si="0"/>
        <v>2.1595366053472103</v>
      </c>
      <c r="E25">
        <f t="shared" ref="E25:F25" si="19">AVERAGE(B20:B25)</f>
        <v>3.6981030834176516</v>
      </c>
      <c r="F25">
        <f t="shared" si="19"/>
        <v>4.8735227312186753</v>
      </c>
      <c r="G25">
        <f t="shared" si="2"/>
        <v>1.1754196478010237</v>
      </c>
    </row>
    <row r="26" spans="1:7" x14ac:dyDescent="0.25">
      <c r="A26" s="2">
        <v>35156</v>
      </c>
      <c r="B26">
        <v>5.1036014658397999</v>
      </c>
      <c r="C26">
        <v>5.2926572966063699</v>
      </c>
      <c r="D26">
        <f t="shared" si="0"/>
        <v>0.18905583076656995</v>
      </c>
      <c r="E26">
        <f t="shared" ref="E26:F26" si="20">AVERAGE(B21:B26)</f>
        <v>3.8112743316515938</v>
      </c>
      <c r="F26">
        <f t="shared" si="20"/>
        <v>4.8762887584177115</v>
      </c>
      <c r="G26">
        <f t="shared" si="2"/>
        <v>1.0650144267661177</v>
      </c>
    </row>
    <row r="27" spans="1:7" x14ac:dyDescent="0.25">
      <c r="A27" s="2">
        <v>35186</v>
      </c>
      <c r="B27">
        <v>5.3054968724033902</v>
      </c>
      <c r="C27">
        <v>5.1103936726116403</v>
      </c>
      <c r="D27">
        <f t="shared" si="0"/>
        <v>-0.19510319979174984</v>
      </c>
      <c r="E27">
        <f t="shared" ref="E27:F27" si="21">AVERAGE(B22:B27)</f>
        <v>3.9743922466596628</v>
      </c>
      <c r="F27">
        <f t="shared" si="21"/>
        <v>4.9141394493721346</v>
      </c>
      <c r="G27">
        <f t="shared" si="2"/>
        <v>0.93974720271247181</v>
      </c>
    </row>
    <row r="28" spans="1:7" x14ac:dyDescent="0.25">
      <c r="A28" s="2">
        <v>35217</v>
      </c>
      <c r="B28">
        <v>5.7000763139744803</v>
      </c>
      <c r="C28">
        <v>5.5119246668799597</v>
      </c>
      <c r="D28">
        <f t="shared" si="0"/>
        <v>-0.18815164709452059</v>
      </c>
      <c r="E28">
        <f t="shared" ref="E28:F28" si="22">AVERAGE(B23:B28)</f>
        <v>4.2270939836160801</v>
      </c>
      <c r="F28">
        <f t="shared" si="22"/>
        <v>4.9620004278157053</v>
      </c>
      <c r="G28">
        <f t="shared" si="2"/>
        <v>0.73490644419962514</v>
      </c>
    </row>
    <row r="29" spans="1:7" x14ac:dyDescent="0.25">
      <c r="A29" s="2">
        <v>35247</v>
      </c>
      <c r="B29">
        <v>5.96738063380685</v>
      </c>
      <c r="C29">
        <v>4.9538032714437401</v>
      </c>
      <c r="D29">
        <f t="shared" si="0"/>
        <v>-1.0135773623631099</v>
      </c>
      <c r="E29">
        <f t="shared" ref="E29:F29" si="23">AVERAGE(B24:B29)</f>
        <v>4.7015096999892227</v>
      </c>
      <c r="F29">
        <f t="shared" si="23"/>
        <v>5.109085931435863</v>
      </c>
      <c r="G29">
        <f t="shared" si="2"/>
        <v>0.40757623144664024</v>
      </c>
    </row>
    <row r="30" spans="1:7" x14ac:dyDescent="0.25">
      <c r="A30" s="2">
        <v>35278</v>
      </c>
      <c r="B30">
        <v>5.8188227684743401</v>
      </c>
      <c r="C30">
        <v>5.2194124761491203</v>
      </c>
      <c r="D30">
        <f t="shared" si="0"/>
        <v>-0.59941029232521981</v>
      </c>
      <c r="E30">
        <f t="shared" ref="E30:F30" si="24">AVERAGE(B25:B30)</f>
        <v>5.2049637143335774</v>
      </c>
      <c r="F30">
        <f t="shared" si="24"/>
        <v>5.2636887034234396</v>
      </c>
      <c r="G30">
        <f t="shared" si="2"/>
        <v>5.8724989089862234E-2</v>
      </c>
    </row>
    <row r="31" spans="1:7" x14ac:dyDescent="0.25">
      <c r="A31" s="2">
        <v>35309</v>
      </c>
      <c r="B31">
        <v>5.0951116881763996</v>
      </c>
      <c r="C31">
        <v>4.7619599842961398</v>
      </c>
      <c r="D31">
        <f t="shared" si="0"/>
        <v>-0.33315170388025983</v>
      </c>
      <c r="E31">
        <f t="shared" ref="E31:F31" si="25">AVERAGE(B26:B31)</f>
        <v>5.4984149571125442</v>
      </c>
      <c r="F31">
        <f t="shared" si="25"/>
        <v>5.1416918946644952</v>
      </c>
      <c r="G31">
        <f t="shared" si="2"/>
        <v>-0.35672306244804908</v>
      </c>
    </row>
    <row r="32" spans="1:7" x14ac:dyDescent="0.25">
      <c r="A32" s="2">
        <v>35339</v>
      </c>
      <c r="B32">
        <v>4.8798940589105699</v>
      </c>
      <c r="C32">
        <v>4.5966032641547603</v>
      </c>
      <c r="D32">
        <f t="shared" si="0"/>
        <v>-0.28329079475580965</v>
      </c>
      <c r="E32">
        <f t="shared" ref="E32:F32" si="26">AVERAGE(B27:B32)</f>
        <v>5.4611303892910046</v>
      </c>
      <c r="F32">
        <f t="shared" si="26"/>
        <v>5.0256828892558936</v>
      </c>
      <c r="G32">
        <f t="shared" si="2"/>
        <v>-0.43544750003511101</v>
      </c>
    </row>
    <row r="33" spans="1:7" x14ac:dyDescent="0.25">
      <c r="A33" s="2">
        <v>35370</v>
      </c>
      <c r="B33">
        <v>4.7941658656460602</v>
      </c>
      <c r="C33">
        <v>4.6171884792355504</v>
      </c>
      <c r="D33">
        <f t="shared" si="0"/>
        <v>-0.17697738641050975</v>
      </c>
      <c r="E33">
        <f t="shared" ref="E33:F33" si="27">AVERAGE(B28:B33)</f>
        <v>5.37590855483145</v>
      </c>
      <c r="F33">
        <f t="shared" si="27"/>
        <v>4.9434820236932113</v>
      </c>
      <c r="G33">
        <f t="shared" si="2"/>
        <v>-0.4324265311382387</v>
      </c>
    </row>
    <row r="34" spans="1:7" x14ac:dyDescent="0.25">
      <c r="A34" s="2">
        <v>35462</v>
      </c>
      <c r="B34">
        <v>0.67139285996701303</v>
      </c>
      <c r="C34">
        <v>0.86468895976874505</v>
      </c>
      <c r="D34">
        <f t="shared" si="0"/>
        <v>0.19329609980173201</v>
      </c>
      <c r="E34">
        <f t="shared" ref="E34:F34" si="28">AVERAGE(B29:B34)</f>
        <v>4.5377946458302061</v>
      </c>
      <c r="F34">
        <f t="shared" si="28"/>
        <v>4.1689427391746765</v>
      </c>
      <c r="G34">
        <f t="shared" si="2"/>
        <v>-0.36885190665552958</v>
      </c>
    </row>
    <row r="35" spans="1:7" x14ac:dyDescent="0.25">
      <c r="A35" s="2">
        <v>35490</v>
      </c>
      <c r="B35">
        <v>3.9289487986746798</v>
      </c>
      <c r="C35">
        <v>5.5520325827301402</v>
      </c>
      <c r="D35">
        <f t="shared" si="0"/>
        <v>1.6230837840554604</v>
      </c>
      <c r="E35">
        <f t="shared" ref="E35:F35" si="29">AVERAGE(B30:B35)</f>
        <v>4.1980560066415107</v>
      </c>
      <c r="F35">
        <f t="shared" si="29"/>
        <v>4.2686476243890761</v>
      </c>
      <c r="G35">
        <f t="shared" si="2"/>
        <v>7.0591617747565394E-2</v>
      </c>
    </row>
    <row r="36" spans="1:7" x14ac:dyDescent="0.25">
      <c r="A36" s="2">
        <v>35521</v>
      </c>
      <c r="B36">
        <v>5.34279426123521</v>
      </c>
      <c r="C36">
        <v>5.7238030375917797</v>
      </c>
      <c r="D36">
        <f t="shared" si="0"/>
        <v>0.38100877635656971</v>
      </c>
      <c r="E36">
        <f t="shared" ref="E36:F36" si="30">AVERAGE(B31:B36)</f>
        <v>4.1187179221016548</v>
      </c>
      <c r="F36">
        <f t="shared" si="30"/>
        <v>4.3527127179628522</v>
      </c>
      <c r="G36">
        <f t="shared" si="2"/>
        <v>0.23399479586119742</v>
      </c>
    </row>
    <row r="37" spans="1:7" x14ac:dyDescent="0.25">
      <c r="A37" s="2">
        <v>35551</v>
      </c>
      <c r="B37">
        <v>5.8279380008500299</v>
      </c>
      <c r="C37">
        <v>5.76036110354086</v>
      </c>
      <c r="D37">
        <f t="shared" si="0"/>
        <v>-6.7576897309169937E-2</v>
      </c>
      <c r="E37">
        <f t="shared" ref="E37:F37" si="31">AVERAGE(B32:B37)</f>
        <v>4.2408556408805937</v>
      </c>
      <c r="F37">
        <f t="shared" si="31"/>
        <v>4.5191129045036389</v>
      </c>
      <c r="G37">
        <f t="shared" si="2"/>
        <v>0.27825726362304515</v>
      </c>
    </row>
    <row r="38" spans="1:7" x14ac:dyDescent="0.25">
      <c r="A38" s="2">
        <v>35582</v>
      </c>
      <c r="B38">
        <v>6.3040742339261699</v>
      </c>
      <c r="C38">
        <v>6.59589186413245</v>
      </c>
      <c r="D38">
        <f t="shared" si="0"/>
        <v>0.29181763020628004</v>
      </c>
      <c r="E38">
        <f t="shared" ref="E38:F38" si="32">AVERAGE(B33:B38)</f>
        <v>4.4782190033831935</v>
      </c>
      <c r="F38">
        <f t="shared" si="32"/>
        <v>4.852327671166587</v>
      </c>
      <c r="G38">
        <f t="shared" si="2"/>
        <v>0.37410866778339358</v>
      </c>
    </row>
    <row r="39" spans="1:7" x14ac:dyDescent="0.25">
      <c r="A39" s="2">
        <v>35612</v>
      </c>
      <c r="B39">
        <v>7.0159285609240802</v>
      </c>
      <c r="C39">
        <v>6.8273786675302297</v>
      </c>
      <c r="D39">
        <f t="shared" si="0"/>
        <v>-0.18854989339385053</v>
      </c>
      <c r="E39">
        <f t="shared" ref="E39:F39" si="33">AVERAGE(B34:B39)</f>
        <v>4.8485127859295298</v>
      </c>
      <c r="F39">
        <f t="shared" si="33"/>
        <v>5.2206927025490346</v>
      </c>
      <c r="G39">
        <f t="shared" si="2"/>
        <v>0.37217991661950478</v>
      </c>
    </row>
    <row r="40" spans="1:7" x14ac:dyDescent="0.25">
      <c r="A40" s="2">
        <v>35643</v>
      </c>
      <c r="B40">
        <v>7.0529610586879796</v>
      </c>
      <c r="C40">
        <v>7.2701541197881197</v>
      </c>
      <c r="D40">
        <f t="shared" si="0"/>
        <v>0.21719306110014003</v>
      </c>
      <c r="E40">
        <f t="shared" ref="E40:F40" si="34">AVERAGE(B35:B40)</f>
        <v>5.9121074857163585</v>
      </c>
      <c r="F40">
        <f t="shared" si="34"/>
        <v>6.2882702292189299</v>
      </c>
      <c r="G40">
        <f t="shared" si="2"/>
        <v>0.3761627435025714</v>
      </c>
    </row>
    <row r="41" spans="1:7" x14ac:dyDescent="0.25">
      <c r="A41" s="2">
        <v>35674</v>
      </c>
      <c r="B41">
        <v>6.7032071396788897</v>
      </c>
      <c r="C41">
        <v>6.1009240291451796</v>
      </c>
      <c r="D41">
        <f t="shared" si="0"/>
        <v>-0.60228311053371009</v>
      </c>
      <c r="E41">
        <f t="shared" ref="E41:F41" si="35">AVERAGE(B36:B41)</f>
        <v>6.374483875883727</v>
      </c>
      <c r="F41">
        <f t="shared" si="35"/>
        <v>6.3797521369547683</v>
      </c>
      <c r="G41">
        <f t="shared" si="2"/>
        <v>5.2682610710412803E-3</v>
      </c>
    </row>
    <row r="42" spans="1:7" x14ac:dyDescent="0.25">
      <c r="A42" s="2">
        <v>35704</v>
      </c>
      <c r="B42">
        <v>6.3542925713971599</v>
      </c>
      <c r="C42">
        <v>6.2114768904406796</v>
      </c>
      <c r="D42">
        <f t="shared" si="0"/>
        <v>-0.14281568095648023</v>
      </c>
      <c r="E42">
        <f t="shared" ref="E42:F42" si="36">AVERAGE(B37:B42)</f>
        <v>6.5430669275773852</v>
      </c>
      <c r="F42">
        <f t="shared" si="36"/>
        <v>6.4610311124295867</v>
      </c>
      <c r="G42">
        <f t="shared" si="2"/>
        <v>-8.2035815147798452E-2</v>
      </c>
    </row>
    <row r="43" spans="1:7" x14ac:dyDescent="0.25">
      <c r="A43" s="2">
        <v>35735</v>
      </c>
      <c r="B43">
        <v>6.38595608563599</v>
      </c>
      <c r="C43">
        <v>6.0331646149051297</v>
      </c>
      <c r="D43">
        <f t="shared" si="0"/>
        <v>-0.35279147073086037</v>
      </c>
      <c r="E43">
        <f t="shared" ref="E43:F43" si="37">AVERAGE(B38:B43)</f>
        <v>6.6360699417083779</v>
      </c>
      <c r="F43">
        <f t="shared" si="37"/>
        <v>6.5064983643236323</v>
      </c>
      <c r="G43">
        <f t="shared" si="2"/>
        <v>-0.12957157738474567</v>
      </c>
    </row>
    <row r="44" spans="1:7" x14ac:dyDescent="0.25">
      <c r="A44" s="2">
        <v>35765</v>
      </c>
      <c r="B44">
        <v>6.18670357871859</v>
      </c>
      <c r="C44">
        <v>6.3345332161100698</v>
      </c>
      <c r="D44">
        <f t="shared" si="0"/>
        <v>0.14782963739147981</v>
      </c>
      <c r="E44">
        <f t="shared" ref="E44:F44" si="38">AVERAGE(B39:B44)</f>
        <v>6.6165081658404494</v>
      </c>
      <c r="F44">
        <f t="shared" si="38"/>
        <v>6.4629385896532341</v>
      </c>
      <c r="G44">
        <f t="shared" si="2"/>
        <v>-0.15356957618721534</v>
      </c>
    </row>
    <row r="45" spans="1:7" x14ac:dyDescent="0.25">
      <c r="A45" s="2">
        <v>35796</v>
      </c>
      <c r="B45">
        <v>4.5568299284118003</v>
      </c>
      <c r="C45">
        <v>4.5539889733241203</v>
      </c>
      <c r="D45">
        <f t="shared" si="0"/>
        <v>-2.8409550876800083E-3</v>
      </c>
      <c r="E45">
        <f t="shared" ref="E45:F45" si="39">AVERAGE(B40:B45)</f>
        <v>6.2066583937550677</v>
      </c>
      <c r="F45">
        <f t="shared" si="39"/>
        <v>6.0840403072855507</v>
      </c>
      <c r="G45">
        <f t="shared" si="2"/>
        <v>-0.122618086469517</v>
      </c>
    </row>
    <row r="46" spans="1:7" x14ac:dyDescent="0.25">
      <c r="A46" s="2">
        <v>35827</v>
      </c>
      <c r="B46">
        <v>4.4194416162476102</v>
      </c>
      <c r="C46">
        <v>4.9976452785083199</v>
      </c>
      <c r="D46">
        <f t="shared" si="0"/>
        <v>0.57820366226070963</v>
      </c>
      <c r="E46">
        <f t="shared" ref="E46:F46" si="40">AVERAGE(B41:B46)</f>
        <v>5.7677384866816732</v>
      </c>
      <c r="F46">
        <f t="shared" si="40"/>
        <v>5.7052888337389165</v>
      </c>
      <c r="G46">
        <f t="shared" si="2"/>
        <v>-6.2449652942756728E-2</v>
      </c>
    </row>
    <row r="47" spans="1:7" x14ac:dyDescent="0.25">
      <c r="A47" s="2">
        <v>35855</v>
      </c>
      <c r="B47">
        <v>5.3148224144037597</v>
      </c>
      <c r="C47">
        <v>6.4342548748849904</v>
      </c>
      <c r="D47">
        <f t="shared" si="0"/>
        <v>1.1194324604812307</v>
      </c>
      <c r="E47">
        <f t="shared" ref="E47:F47" si="41">AVERAGE(B42:B47)</f>
        <v>5.536341032469152</v>
      </c>
      <c r="F47">
        <f t="shared" si="41"/>
        <v>5.7608439746955513</v>
      </c>
      <c r="G47">
        <f t="shared" si="2"/>
        <v>0.22450294222639933</v>
      </c>
    </row>
    <row r="48" spans="1:7" x14ac:dyDescent="0.25">
      <c r="A48" s="2">
        <v>35886</v>
      </c>
      <c r="B48">
        <v>5.2058218468717099</v>
      </c>
      <c r="C48">
        <v>5.99578207118756</v>
      </c>
      <c r="D48">
        <f t="shared" si="0"/>
        <v>0.78996022431585011</v>
      </c>
      <c r="E48">
        <f t="shared" ref="E48:F48" si="42">AVERAGE(B43:B48)</f>
        <v>5.3449292450482426</v>
      </c>
      <c r="F48">
        <f t="shared" si="42"/>
        <v>5.7248948381533653</v>
      </c>
      <c r="G48">
        <f t="shared" si="2"/>
        <v>0.37996559310512268</v>
      </c>
    </row>
    <row r="49" spans="1:7" x14ac:dyDescent="0.25">
      <c r="A49" s="2">
        <v>35916</v>
      </c>
      <c r="B49">
        <v>5.1396137584392498</v>
      </c>
      <c r="C49">
        <v>5.79818557614764</v>
      </c>
      <c r="D49">
        <f t="shared" si="0"/>
        <v>0.65857181770839013</v>
      </c>
      <c r="E49">
        <f t="shared" ref="E49:F49" si="43">AVERAGE(B44:B49)</f>
        <v>5.1372055238487873</v>
      </c>
      <c r="F49">
        <f t="shared" si="43"/>
        <v>5.6857316650271166</v>
      </c>
      <c r="G49">
        <f t="shared" si="2"/>
        <v>0.54852614117832932</v>
      </c>
    </row>
    <row r="50" spans="1:7" x14ac:dyDescent="0.25">
      <c r="A50" s="2">
        <v>35947</v>
      </c>
      <c r="B50">
        <v>4.9892031645998802</v>
      </c>
      <c r="C50">
        <v>6.0807698900758904</v>
      </c>
      <c r="D50">
        <f t="shared" si="0"/>
        <v>1.0915667254760102</v>
      </c>
      <c r="E50">
        <f t="shared" ref="E50:F50" si="44">AVERAGE(B45:B50)</f>
        <v>4.9376221214956688</v>
      </c>
      <c r="F50">
        <f t="shared" si="44"/>
        <v>5.6434377773547544</v>
      </c>
      <c r="G50">
        <f t="shared" si="2"/>
        <v>0.70581565585908557</v>
      </c>
    </row>
    <row r="51" spans="1:7" x14ac:dyDescent="0.25">
      <c r="A51" s="2">
        <v>35977</v>
      </c>
      <c r="B51">
        <v>8.5725676020014898</v>
      </c>
      <c r="C51">
        <v>7.3488415391148703</v>
      </c>
      <c r="D51">
        <f t="shared" si="0"/>
        <v>-1.2237260628866196</v>
      </c>
      <c r="E51">
        <f t="shared" ref="E51:F51" si="45">AVERAGE(B46:B51)</f>
        <v>5.6069117337606178</v>
      </c>
      <c r="F51">
        <f t="shared" si="45"/>
        <v>6.1092465383198791</v>
      </c>
      <c r="G51">
        <f t="shared" si="2"/>
        <v>0.50233480455926127</v>
      </c>
    </row>
    <row r="52" spans="1:7" x14ac:dyDescent="0.25">
      <c r="A52" s="2">
        <v>36008</v>
      </c>
      <c r="B52">
        <v>5.9333978555069402</v>
      </c>
      <c r="C52">
        <v>7.1745036086815599</v>
      </c>
      <c r="D52">
        <f t="shared" si="0"/>
        <v>1.2411057531746197</v>
      </c>
      <c r="E52">
        <f t="shared" ref="E52:F52" si="46">AVERAGE(B47:B52)</f>
        <v>5.8592377736371715</v>
      </c>
      <c r="F52">
        <f t="shared" si="46"/>
        <v>6.4720562600154201</v>
      </c>
      <c r="G52">
        <f t="shared" si="2"/>
        <v>0.61281848637824865</v>
      </c>
    </row>
    <row r="53" spans="1:7" x14ac:dyDescent="0.25">
      <c r="A53" s="2">
        <v>36039</v>
      </c>
      <c r="B53">
        <v>6.8849873226790397</v>
      </c>
      <c r="C53">
        <v>5.8357421268634697</v>
      </c>
      <c r="D53">
        <f t="shared" si="0"/>
        <v>-1.04924519581557</v>
      </c>
      <c r="E53">
        <f t="shared" ref="E53:F53" si="47">AVERAGE(B48:B53)</f>
        <v>6.1209319250163849</v>
      </c>
      <c r="F53">
        <f t="shared" si="47"/>
        <v>6.3723041353451668</v>
      </c>
      <c r="G53">
        <f t="shared" si="2"/>
        <v>0.25137221032878188</v>
      </c>
    </row>
    <row r="54" spans="1:7" x14ac:dyDescent="0.25">
      <c r="A54" s="2">
        <v>36069</v>
      </c>
      <c r="B54">
        <v>3.7178603449438801</v>
      </c>
      <c r="C54">
        <v>5.7247965888810803</v>
      </c>
      <c r="D54">
        <f t="shared" si="0"/>
        <v>2.0069362439372003</v>
      </c>
      <c r="E54">
        <f t="shared" ref="E54:F54" si="48">AVERAGE(B49:B54)</f>
        <v>5.8729383413617464</v>
      </c>
      <c r="F54">
        <f t="shared" si="48"/>
        <v>6.327139888294087</v>
      </c>
      <c r="G54">
        <f t="shared" si="2"/>
        <v>0.45420154693234061</v>
      </c>
    </row>
    <row r="55" spans="1:7" x14ac:dyDescent="0.25">
      <c r="A55" s="2">
        <v>36100</v>
      </c>
      <c r="B55">
        <v>3.9343280071531601</v>
      </c>
      <c r="C55">
        <v>4.2694792520760698</v>
      </c>
      <c r="D55">
        <f t="shared" si="0"/>
        <v>0.33515124492290971</v>
      </c>
      <c r="E55">
        <f t="shared" ref="E55:F55" si="49">AVERAGE(B50:B55)</f>
        <v>5.6720573828140646</v>
      </c>
      <c r="F55">
        <f t="shared" si="49"/>
        <v>6.0723555009488228</v>
      </c>
      <c r="G55">
        <f t="shared" si="2"/>
        <v>0.40029811813475824</v>
      </c>
    </row>
    <row r="56" spans="1:7" x14ac:dyDescent="0.25">
      <c r="A56" s="2">
        <v>36130</v>
      </c>
      <c r="B56">
        <v>3.9755616617380798</v>
      </c>
      <c r="C56">
        <v>3.3064661184336002</v>
      </c>
      <c r="D56">
        <f t="shared" si="0"/>
        <v>-0.66909554330447962</v>
      </c>
      <c r="E56">
        <f t="shared" ref="E56:F56" si="50">AVERAGE(B51:B56)</f>
        <v>5.5031171323370982</v>
      </c>
      <c r="F56">
        <f t="shared" si="50"/>
        <v>5.6099715390084413</v>
      </c>
      <c r="G56">
        <f t="shared" si="2"/>
        <v>0.10685440667134305</v>
      </c>
    </row>
    <row r="57" spans="1:7" x14ac:dyDescent="0.25">
      <c r="A57" s="2">
        <v>36161</v>
      </c>
      <c r="B57">
        <v>1.6642833583935399</v>
      </c>
      <c r="C57">
        <v>1.70206714421126</v>
      </c>
      <c r="D57">
        <f t="shared" si="0"/>
        <v>3.7783785817720128E-2</v>
      </c>
      <c r="E57">
        <f t="shared" ref="E57:F57" si="51">AVERAGE(B52:B57)</f>
        <v>4.3517364250691069</v>
      </c>
      <c r="F57">
        <f t="shared" si="51"/>
        <v>4.668842473191174</v>
      </c>
      <c r="G57">
        <f t="shared" si="2"/>
        <v>0.31710604812206711</v>
      </c>
    </row>
    <row r="58" spans="1:7" x14ac:dyDescent="0.25">
      <c r="A58" s="2">
        <v>36192</v>
      </c>
      <c r="B58">
        <v>1.8480881360994399</v>
      </c>
      <c r="C58">
        <v>2.08000402933965</v>
      </c>
      <c r="D58">
        <f t="shared" si="0"/>
        <v>0.23191589324021011</v>
      </c>
      <c r="E58">
        <f t="shared" ref="E58:F58" si="52">AVERAGE(B53:B58)</f>
        <v>3.6708514718345229</v>
      </c>
      <c r="F58">
        <f t="shared" si="52"/>
        <v>3.8197592099675219</v>
      </c>
      <c r="G58">
        <f t="shared" si="2"/>
        <v>0.14890773813299907</v>
      </c>
    </row>
    <row r="59" spans="1:7" x14ac:dyDescent="0.25">
      <c r="A59" s="2">
        <v>36220</v>
      </c>
      <c r="B59">
        <v>1.9908443548622501</v>
      </c>
      <c r="C59">
        <v>2.9413024253689199</v>
      </c>
      <c r="D59">
        <f t="shared" si="0"/>
        <v>0.95045807050666986</v>
      </c>
      <c r="E59">
        <f t="shared" ref="E59:F59" si="53">AVERAGE(B54:B59)</f>
        <v>2.8551609771983917</v>
      </c>
      <c r="F59">
        <f t="shared" si="53"/>
        <v>3.3373525930517638</v>
      </c>
      <c r="G59">
        <f t="shared" si="2"/>
        <v>0.48219161585337211</v>
      </c>
    </row>
    <row r="60" spans="1:7" x14ac:dyDescent="0.25">
      <c r="A60" s="2">
        <v>36251</v>
      </c>
      <c r="B60">
        <v>3.1416548891317202</v>
      </c>
      <c r="C60">
        <v>3.7641891058289301</v>
      </c>
      <c r="D60">
        <f t="shared" si="0"/>
        <v>0.62253421669720987</v>
      </c>
      <c r="E60">
        <f t="shared" ref="E60:F60" si="54">AVERAGE(B55:B60)</f>
        <v>2.7591267345630315</v>
      </c>
      <c r="F60">
        <f t="shared" si="54"/>
        <v>3.0105846792097384</v>
      </c>
      <c r="G60">
        <f t="shared" si="2"/>
        <v>0.2514579446467069</v>
      </c>
    </row>
    <row r="61" spans="1:7" x14ac:dyDescent="0.25">
      <c r="A61" s="2">
        <v>36281</v>
      </c>
      <c r="B61">
        <v>2.56228750183416</v>
      </c>
      <c r="C61">
        <v>4.30759915560688</v>
      </c>
      <c r="D61">
        <f t="shared" si="0"/>
        <v>1.74531165377272</v>
      </c>
      <c r="E61">
        <f t="shared" ref="E61:F61" si="55">AVERAGE(B56:B61)</f>
        <v>2.5304533170098651</v>
      </c>
      <c r="F61">
        <f t="shared" si="55"/>
        <v>3.0169379964648733</v>
      </c>
      <c r="G61">
        <f t="shared" si="2"/>
        <v>0.48648467945500817</v>
      </c>
    </row>
    <row r="62" spans="1:7" x14ac:dyDescent="0.25">
      <c r="A62" s="2">
        <v>36312</v>
      </c>
      <c r="B62">
        <v>4.0693815786796801</v>
      </c>
      <c r="C62">
        <v>5.0574251491599798</v>
      </c>
      <c r="D62">
        <f t="shared" si="0"/>
        <v>0.98804357048029967</v>
      </c>
      <c r="E62">
        <f t="shared" ref="E62:F62" si="56">AVERAGE(B57:B62)</f>
        <v>2.5460899698334649</v>
      </c>
      <c r="F62">
        <f t="shared" si="56"/>
        <v>3.3087645015859368</v>
      </c>
      <c r="G62">
        <f t="shared" si="2"/>
        <v>0.76267453175247191</v>
      </c>
    </row>
    <row r="63" spans="1:7" x14ac:dyDescent="0.25">
      <c r="A63" s="2">
        <v>36342</v>
      </c>
      <c r="B63">
        <v>6.6314382115630703</v>
      </c>
      <c r="C63">
        <v>5.68332793368422</v>
      </c>
      <c r="D63">
        <f t="shared" si="0"/>
        <v>-0.94811027787885038</v>
      </c>
      <c r="E63">
        <f t="shared" ref="E63:F63" si="57">AVERAGE(B58:B63)</f>
        <v>3.3739491120283867</v>
      </c>
      <c r="F63">
        <f t="shared" si="57"/>
        <v>3.9723079664980965</v>
      </c>
      <c r="G63">
        <f t="shared" si="2"/>
        <v>0.59835885446970982</v>
      </c>
    </row>
    <row r="64" spans="1:7" x14ac:dyDescent="0.25">
      <c r="A64" s="2">
        <v>36373</v>
      </c>
      <c r="B64">
        <v>6.2396931610472999</v>
      </c>
      <c r="C64">
        <v>5.9858953543763</v>
      </c>
      <c r="D64">
        <f t="shared" si="0"/>
        <v>-0.25379780667099983</v>
      </c>
      <c r="E64">
        <f t="shared" ref="E64:F64" si="58">AVERAGE(B59:B64)</f>
        <v>4.1058832828530294</v>
      </c>
      <c r="F64">
        <f t="shared" si="58"/>
        <v>4.6232898540042049</v>
      </c>
      <c r="G64">
        <f t="shared" si="2"/>
        <v>0.5174065711511755</v>
      </c>
    </row>
    <row r="65" spans="1:7" x14ac:dyDescent="0.25">
      <c r="A65" s="2">
        <v>36404</v>
      </c>
      <c r="B65">
        <v>6.7769256703945198</v>
      </c>
      <c r="C65">
        <v>5.1791420383293403</v>
      </c>
      <c r="D65">
        <f t="shared" si="0"/>
        <v>-1.5977836320651795</v>
      </c>
      <c r="E65">
        <f t="shared" ref="E65:F65" si="59">AVERAGE(B60:B65)</f>
        <v>4.9035635021084083</v>
      </c>
      <c r="F65">
        <f t="shared" si="59"/>
        <v>4.9962631228309418</v>
      </c>
      <c r="G65">
        <f t="shared" si="2"/>
        <v>9.269962072253346E-2</v>
      </c>
    </row>
    <row r="66" spans="1:7" x14ac:dyDescent="0.25">
      <c r="A66" s="2">
        <v>36434</v>
      </c>
      <c r="B66">
        <v>5.5031657463791204</v>
      </c>
      <c r="C66">
        <v>5.2535024513347697</v>
      </c>
      <c r="D66">
        <f t="shared" si="0"/>
        <v>-0.2496632950443507</v>
      </c>
      <c r="E66">
        <f t="shared" ref="E66:F66" si="60">AVERAGE(B61:B66)</f>
        <v>5.2971486449829746</v>
      </c>
      <c r="F66">
        <f t="shared" si="60"/>
        <v>5.2444820137485806</v>
      </c>
      <c r="G66">
        <f t="shared" si="2"/>
        <v>-5.2666631234393968E-2</v>
      </c>
    </row>
    <row r="67" spans="1:7" x14ac:dyDescent="0.25">
      <c r="A67" s="2">
        <v>36465</v>
      </c>
      <c r="B67">
        <v>5.3722524425587102</v>
      </c>
      <c r="C67">
        <v>4.9104239328453003</v>
      </c>
      <c r="D67">
        <f t="shared" ref="D67:D130" si="61">C67-B67</f>
        <v>-0.46182850971340983</v>
      </c>
      <c r="E67">
        <f t="shared" ref="E67:F67" si="62">AVERAGE(B62:B67)</f>
        <v>5.7654761351037331</v>
      </c>
      <c r="F67">
        <f t="shared" si="62"/>
        <v>5.344952809954985</v>
      </c>
      <c r="G67">
        <f t="shared" si="2"/>
        <v>-0.42052332514874813</v>
      </c>
    </row>
    <row r="68" spans="1:7" x14ac:dyDescent="0.25">
      <c r="A68" s="2">
        <v>36495</v>
      </c>
      <c r="B68">
        <v>5.4195241369106402</v>
      </c>
      <c r="C68">
        <v>5.2067976029244303</v>
      </c>
      <c r="D68">
        <f t="shared" si="61"/>
        <v>-0.21272653398620989</v>
      </c>
      <c r="E68">
        <f t="shared" ref="E68:F68" si="63">AVERAGE(B63:B68)</f>
        <v>5.9904998948088943</v>
      </c>
      <c r="F68">
        <f t="shared" si="63"/>
        <v>5.3698482189157266</v>
      </c>
      <c r="G68">
        <f t="shared" si="2"/>
        <v>-0.62065167589316772</v>
      </c>
    </row>
    <row r="69" spans="1:7" x14ac:dyDescent="0.25">
      <c r="A69" s="2">
        <v>36526</v>
      </c>
      <c r="B69">
        <v>4.4834944818323299</v>
      </c>
      <c r="C69">
        <v>3.9574657311295498</v>
      </c>
      <c r="D69">
        <f t="shared" si="61"/>
        <v>-0.5260287507027801</v>
      </c>
      <c r="E69">
        <f t="shared" ref="E69:F69" si="64">AVERAGE(B64:B69)</f>
        <v>5.6325092731871038</v>
      </c>
      <c r="F69">
        <f t="shared" si="64"/>
        <v>5.0822045184899478</v>
      </c>
      <c r="G69">
        <f t="shared" si="2"/>
        <v>-0.55030475469715601</v>
      </c>
    </row>
    <row r="70" spans="1:7" x14ac:dyDescent="0.25">
      <c r="A70" s="2">
        <v>36557</v>
      </c>
      <c r="B70">
        <v>4.4979954834493698</v>
      </c>
      <c r="C70">
        <v>3.9790078381536702</v>
      </c>
      <c r="D70">
        <f t="shared" si="61"/>
        <v>-0.51898764529569963</v>
      </c>
      <c r="E70">
        <f t="shared" ref="E70:F70" si="65">AVERAGE(B65:B70)</f>
        <v>5.342226326920783</v>
      </c>
      <c r="F70">
        <f t="shared" si="65"/>
        <v>4.7477232657861768</v>
      </c>
      <c r="G70">
        <f t="shared" si="2"/>
        <v>-0.59450306113460627</v>
      </c>
    </row>
    <row r="71" spans="1:7" x14ac:dyDescent="0.25">
      <c r="A71" s="2">
        <v>36586</v>
      </c>
      <c r="B71">
        <v>5.6019764102711704</v>
      </c>
      <c r="C71">
        <v>5.2225089362890298</v>
      </c>
      <c r="D71">
        <f t="shared" si="61"/>
        <v>-0.37946747398214065</v>
      </c>
      <c r="E71">
        <f t="shared" ref="E71:F71" si="66">AVERAGE(B66:B71)</f>
        <v>5.1464014502335571</v>
      </c>
      <c r="F71">
        <f t="shared" si="66"/>
        <v>4.7549510821127923</v>
      </c>
      <c r="G71">
        <f t="shared" si="2"/>
        <v>-0.39145036812076484</v>
      </c>
    </row>
    <row r="72" spans="1:7" x14ac:dyDescent="0.25">
      <c r="A72" s="2">
        <v>36617</v>
      </c>
      <c r="B72">
        <v>6.6234476392261001</v>
      </c>
      <c r="C72">
        <v>6.1355820312517402</v>
      </c>
      <c r="D72">
        <f t="shared" si="61"/>
        <v>-0.48786560797435996</v>
      </c>
      <c r="E72">
        <f t="shared" ref="E72:F72" si="67">AVERAGE(B67:B72)</f>
        <v>5.3331150990413869</v>
      </c>
      <c r="F72">
        <f t="shared" si="67"/>
        <v>4.9019643454322859</v>
      </c>
      <c r="G72">
        <f t="shared" ref="G72:G135" si="68">F72-E72</f>
        <v>-0.43115075360910105</v>
      </c>
    </row>
    <row r="73" spans="1:7" x14ac:dyDescent="0.25">
      <c r="A73" s="2">
        <v>36647</v>
      </c>
      <c r="B73">
        <v>6.8557389717855903</v>
      </c>
      <c r="C73">
        <v>6.9749858828907003</v>
      </c>
      <c r="D73">
        <f t="shared" si="61"/>
        <v>0.11924691110510999</v>
      </c>
      <c r="E73">
        <f t="shared" ref="E73:F73" si="69">AVERAGE(B68:B73)</f>
        <v>5.5803628539125327</v>
      </c>
      <c r="F73">
        <f t="shared" si="69"/>
        <v>5.2460580037731868</v>
      </c>
      <c r="G73">
        <f t="shared" si="68"/>
        <v>-0.33430485013934597</v>
      </c>
    </row>
    <row r="74" spans="1:7" x14ac:dyDescent="0.25">
      <c r="A74" s="2">
        <v>36678</v>
      </c>
      <c r="B74">
        <v>8.5331695683822009</v>
      </c>
      <c r="C74">
        <v>6.9669350569528703</v>
      </c>
      <c r="D74">
        <f t="shared" si="61"/>
        <v>-1.5662345114293306</v>
      </c>
      <c r="E74">
        <f t="shared" ref="E74:F74" si="70">AVERAGE(B69:B74)</f>
        <v>6.0993037591577943</v>
      </c>
      <c r="F74">
        <f t="shared" si="70"/>
        <v>5.5394142461112601</v>
      </c>
      <c r="G74">
        <f t="shared" si="68"/>
        <v>-0.55988951304653423</v>
      </c>
    </row>
    <row r="75" spans="1:7" x14ac:dyDescent="0.25">
      <c r="A75" s="2">
        <v>36708</v>
      </c>
      <c r="B75">
        <v>7.8492288098364504</v>
      </c>
      <c r="C75">
        <v>7.2997286674187398</v>
      </c>
      <c r="D75">
        <f t="shared" si="61"/>
        <v>-0.54950014241771061</v>
      </c>
      <c r="E75">
        <f t="shared" ref="E75:F75" si="71">AVERAGE(B70:B75)</f>
        <v>6.6602594804918143</v>
      </c>
      <c r="F75">
        <f t="shared" si="71"/>
        <v>6.0964580688261245</v>
      </c>
      <c r="G75">
        <f t="shared" si="68"/>
        <v>-0.56380141166568976</v>
      </c>
    </row>
    <row r="76" spans="1:7" x14ac:dyDescent="0.25">
      <c r="A76" s="2">
        <v>36739</v>
      </c>
      <c r="B76">
        <v>7.9575533000434104</v>
      </c>
      <c r="C76">
        <v>7.8774138084209602</v>
      </c>
      <c r="D76">
        <f t="shared" si="61"/>
        <v>-8.0139491622450265E-2</v>
      </c>
      <c r="E76">
        <f t="shared" ref="E76:F76" si="72">AVERAGE(B71:B76)</f>
        <v>7.2368524499241538</v>
      </c>
      <c r="F76">
        <f t="shared" si="72"/>
        <v>6.7461923972040063</v>
      </c>
      <c r="G76">
        <f t="shared" si="68"/>
        <v>-0.49066005272014745</v>
      </c>
    </row>
    <row r="77" spans="1:7" x14ac:dyDescent="0.25">
      <c r="A77" s="2">
        <v>36770</v>
      </c>
      <c r="B77">
        <v>7.8250629351774696</v>
      </c>
      <c r="C77">
        <v>6.9897073585370704</v>
      </c>
      <c r="D77">
        <f t="shared" si="61"/>
        <v>-0.83535557664039928</v>
      </c>
      <c r="E77">
        <f t="shared" ref="E77:F77" si="73">AVERAGE(B72:B77)</f>
        <v>7.6073668707418705</v>
      </c>
      <c r="F77">
        <f t="shared" si="73"/>
        <v>7.040725467578679</v>
      </c>
      <c r="G77">
        <f t="shared" si="68"/>
        <v>-0.56664140316319145</v>
      </c>
    </row>
    <row r="78" spans="1:7" x14ac:dyDescent="0.25">
      <c r="A78" s="2">
        <v>36800</v>
      </c>
      <c r="B78">
        <v>6.6693110684635801</v>
      </c>
      <c r="C78">
        <v>7.1878441739949404</v>
      </c>
      <c r="D78">
        <f t="shared" si="61"/>
        <v>0.51853310553136023</v>
      </c>
      <c r="E78">
        <f t="shared" ref="E78:F78" si="74">AVERAGE(B73:B78)</f>
        <v>7.6150107756147838</v>
      </c>
      <c r="F78">
        <f t="shared" si="74"/>
        <v>7.2161024913692131</v>
      </c>
      <c r="G78">
        <f t="shared" si="68"/>
        <v>-0.39890828424557068</v>
      </c>
    </row>
    <row r="79" spans="1:7" x14ac:dyDescent="0.25">
      <c r="A79" s="2">
        <v>36831</v>
      </c>
      <c r="B79">
        <v>7.2469536215075596</v>
      </c>
      <c r="C79">
        <v>6.7301369163993101</v>
      </c>
      <c r="D79">
        <f t="shared" si="61"/>
        <v>-0.51681670510824951</v>
      </c>
      <c r="E79">
        <f t="shared" ref="E79:F79" si="75">AVERAGE(B74:B79)</f>
        <v>7.680213217235111</v>
      </c>
      <c r="F79">
        <f t="shared" si="75"/>
        <v>7.1752943302873158</v>
      </c>
      <c r="G79">
        <f t="shared" si="68"/>
        <v>-0.50491888694779519</v>
      </c>
    </row>
    <row r="80" spans="1:7" x14ac:dyDescent="0.25">
      <c r="A80" s="2">
        <v>36861</v>
      </c>
      <c r="B80">
        <v>6.6192942937667896</v>
      </c>
      <c r="C80">
        <v>7.1670409241006103</v>
      </c>
      <c r="D80">
        <f t="shared" si="61"/>
        <v>0.54774663033382076</v>
      </c>
      <c r="E80">
        <f t="shared" ref="E80:F80" si="76">AVERAGE(B75:B80)</f>
        <v>7.3612340047992104</v>
      </c>
      <c r="F80">
        <f t="shared" si="76"/>
        <v>7.2086453081452717</v>
      </c>
      <c r="G80">
        <f t="shared" si="68"/>
        <v>-0.1525886966539387</v>
      </c>
    </row>
    <row r="81" spans="1:7" x14ac:dyDescent="0.25">
      <c r="A81" s="2">
        <v>36892</v>
      </c>
      <c r="B81">
        <v>4.3203269593879696</v>
      </c>
      <c r="C81">
        <v>5.7644235699674899</v>
      </c>
      <c r="D81">
        <f t="shared" si="61"/>
        <v>1.4440966105795203</v>
      </c>
      <c r="E81">
        <f t="shared" ref="E81:F81" si="77">AVERAGE(B76:B81)</f>
        <v>6.7730836963911303</v>
      </c>
      <c r="F81">
        <f t="shared" si="77"/>
        <v>6.9527611252367301</v>
      </c>
      <c r="G81">
        <f t="shared" si="68"/>
        <v>0.17967742884559978</v>
      </c>
    </row>
    <row r="82" spans="1:7" x14ac:dyDescent="0.25">
      <c r="A82" s="2">
        <v>36923</v>
      </c>
      <c r="B82">
        <v>4.7505734024894304</v>
      </c>
      <c r="C82">
        <v>6.4575421382180496</v>
      </c>
      <c r="D82">
        <f t="shared" si="61"/>
        <v>1.7069687357286192</v>
      </c>
      <c r="E82">
        <f t="shared" ref="E82:F82" si="78">AVERAGE(B77:B82)</f>
        <v>6.2385870467987994</v>
      </c>
      <c r="F82">
        <f t="shared" si="78"/>
        <v>6.7161158468695783</v>
      </c>
      <c r="G82">
        <f t="shared" si="68"/>
        <v>0.47752880007077891</v>
      </c>
    </row>
    <row r="83" spans="1:7" x14ac:dyDescent="0.25">
      <c r="A83" s="2">
        <v>36951</v>
      </c>
      <c r="B83">
        <v>7.6085699495263999</v>
      </c>
      <c r="C83">
        <v>8.7218623673954507</v>
      </c>
      <c r="D83">
        <f t="shared" si="61"/>
        <v>1.1132924178690509</v>
      </c>
      <c r="E83">
        <f t="shared" ref="E83:F83" si="79">AVERAGE(B78:B83)</f>
        <v>6.2025048825236206</v>
      </c>
      <c r="F83">
        <f t="shared" si="79"/>
        <v>7.0048083483459758</v>
      </c>
      <c r="G83">
        <f t="shared" si="68"/>
        <v>0.80230346582235512</v>
      </c>
    </row>
    <row r="84" spans="1:7" x14ac:dyDescent="0.25">
      <c r="A84" s="2">
        <v>36982</v>
      </c>
      <c r="B84">
        <v>7.7558213586495901</v>
      </c>
      <c r="C84">
        <v>9.6888883721715899</v>
      </c>
      <c r="D84">
        <f t="shared" si="61"/>
        <v>1.9330670135219998</v>
      </c>
      <c r="E84">
        <f t="shared" ref="E84:F84" si="80">AVERAGE(B79:B84)</f>
        <v>6.3835899308879567</v>
      </c>
      <c r="F84">
        <f t="shared" si="80"/>
        <v>7.4216490480420836</v>
      </c>
      <c r="G84">
        <f t="shared" si="68"/>
        <v>1.0380591171541269</v>
      </c>
    </row>
    <row r="85" spans="1:7" x14ac:dyDescent="0.25">
      <c r="A85" s="2">
        <v>37012</v>
      </c>
      <c r="B85">
        <v>9.3717205928944392</v>
      </c>
      <c r="C85">
        <v>10.2150171845144</v>
      </c>
      <c r="D85">
        <f t="shared" si="61"/>
        <v>0.84329659161996062</v>
      </c>
      <c r="E85">
        <f t="shared" ref="E85:F85" si="81">AVERAGE(B80:B85)</f>
        <v>6.7377177594524369</v>
      </c>
      <c r="F85">
        <f t="shared" si="81"/>
        <v>8.0024624260612658</v>
      </c>
      <c r="G85">
        <f t="shared" si="68"/>
        <v>1.2647446666088289</v>
      </c>
    </row>
    <row r="86" spans="1:7" x14ac:dyDescent="0.25">
      <c r="A86" s="2">
        <v>37043</v>
      </c>
      <c r="B86">
        <v>12.3911731488305</v>
      </c>
      <c r="C86">
        <v>10.4856063317735</v>
      </c>
      <c r="D86">
        <f t="shared" si="61"/>
        <v>-1.9055668170570002</v>
      </c>
      <c r="E86">
        <f t="shared" ref="E86:F86" si="82">AVERAGE(B81:B86)</f>
        <v>7.6996975686297207</v>
      </c>
      <c r="F86">
        <f t="shared" si="82"/>
        <v>8.5555566606734121</v>
      </c>
      <c r="G86">
        <f t="shared" si="68"/>
        <v>0.85585909204369148</v>
      </c>
    </row>
    <row r="87" spans="1:7" x14ac:dyDescent="0.25">
      <c r="A87" s="2">
        <v>37073</v>
      </c>
      <c r="B87">
        <v>9.7758096457978194</v>
      </c>
      <c r="C87">
        <v>9.7965561348228807</v>
      </c>
      <c r="D87">
        <f t="shared" si="61"/>
        <v>2.0746489025061265E-2</v>
      </c>
      <c r="E87">
        <f t="shared" ref="E87:F87" si="83">AVERAGE(B82:B87)</f>
        <v>8.6089446830313623</v>
      </c>
      <c r="F87">
        <f t="shared" si="83"/>
        <v>9.227578754815978</v>
      </c>
      <c r="G87">
        <f t="shared" si="68"/>
        <v>0.61863407178461571</v>
      </c>
    </row>
    <row r="88" spans="1:7" x14ac:dyDescent="0.25">
      <c r="A88" s="2">
        <v>37104</v>
      </c>
      <c r="B88">
        <v>9.6472944066144599</v>
      </c>
      <c r="C88">
        <v>10.188395809954701</v>
      </c>
      <c r="D88">
        <f t="shared" si="61"/>
        <v>0.54110140334024059</v>
      </c>
      <c r="E88">
        <f t="shared" ref="E88:F88" si="84">AVERAGE(B83:B88)</f>
        <v>9.425064850385537</v>
      </c>
      <c r="F88">
        <f t="shared" si="84"/>
        <v>9.8493877001054191</v>
      </c>
      <c r="G88">
        <f t="shared" si="68"/>
        <v>0.4243228497198821</v>
      </c>
    </row>
    <row r="89" spans="1:7" x14ac:dyDescent="0.25">
      <c r="A89" s="2">
        <v>37135</v>
      </c>
      <c r="B89">
        <v>7.4133147618787598</v>
      </c>
      <c r="C89">
        <v>8.9419049274754006</v>
      </c>
      <c r="D89">
        <f t="shared" si="61"/>
        <v>1.5285901655966407</v>
      </c>
      <c r="E89">
        <f t="shared" ref="E89:F89" si="85">AVERAGE(B84:B89)</f>
        <v>9.3925223191109275</v>
      </c>
      <c r="F89">
        <f t="shared" si="85"/>
        <v>9.8860614601187446</v>
      </c>
      <c r="G89">
        <f t="shared" si="68"/>
        <v>0.49353914100781715</v>
      </c>
    </row>
    <row r="90" spans="1:7" x14ac:dyDescent="0.25">
      <c r="A90" s="2">
        <v>37165</v>
      </c>
      <c r="B90">
        <v>7.1895255356240702</v>
      </c>
      <c r="C90">
        <v>8.3752100638190807</v>
      </c>
      <c r="D90">
        <f t="shared" si="61"/>
        <v>1.1856845281950106</v>
      </c>
      <c r="E90">
        <f t="shared" ref="E90:F90" si="86">AVERAGE(B85:B90)</f>
        <v>9.2981396819400093</v>
      </c>
      <c r="F90">
        <f t="shared" si="86"/>
        <v>9.6671150753933262</v>
      </c>
      <c r="G90">
        <f t="shared" si="68"/>
        <v>0.36897539345331687</v>
      </c>
    </row>
    <row r="91" spans="1:7" x14ac:dyDescent="0.25">
      <c r="A91" s="2">
        <v>37196</v>
      </c>
      <c r="B91">
        <v>6.1653824209531596</v>
      </c>
      <c r="C91">
        <v>7.9182050296858302</v>
      </c>
      <c r="D91">
        <f t="shared" si="61"/>
        <v>1.7528226087326706</v>
      </c>
      <c r="E91">
        <f t="shared" ref="E91:F91" si="87">AVERAGE(B86:B91)</f>
        <v>8.7637499866164621</v>
      </c>
      <c r="F91">
        <f t="shared" si="87"/>
        <v>9.2843130495885653</v>
      </c>
      <c r="G91">
        <f t="shared" si="68"/>
        <v>0.5205630629721032</v>
      </c>
    </row>
    <row r="92" spans="1:7" x14ac:dyDescent="0.25">
      <c r="A92" s="2">
        <v>37226</v>
      </c>
      <c r="B92">
        <v>5.6325835637942401</v>
      </c>
      <c r="C92">
        <v>7.0694794170512401</v>
      </c>
      <c r="D92">
        <f t="shared" si="61"/>
        <v>1.436895853257</v>
      </c>
      <c r="E92">
        <f t="shared" ref="E92:F92" si="88">AVERAGE(B87:B92)</f>
        <v>7.6373183891104182</v>
      </c>
      <c r="F92">
        <f t="shared" si="88"/>
        <v>8.7149585638015221</v>
      </c>
      <c r="G92">
        <f t="shared" si="68"/>
        <v>1.077640174691104</v>
      </c>
    </row>
    <row r="93" spans="1:7" x14ac:dyDescent="0.25">
      <c r="A93" s="2">
        <v>37257</v>
      </c>
      <c r="B93">
        <v>6.3847629421718297</v>
      </c>
      <c r="C93">
        <v>4.1408967403163999</v>
      </c>
      <c r="D93">
        <f t="shared" si="61"/>
        <v>-2.2438662018554298</v>
      </c>
      <c r="E93">
        <f t="shared" ref="E93:F93" si="89">AVERAGE(B88:B93)</f>
        <v>7.0721439385060876</v>
      </c>
      <c r="F93">
        <f t="shared" si="89"/>
        <v>7.7723486647171081</v>
      </c>
      <c r="G93">
        <f t="shared" si="68"/>
        <v>0.70020472621102048</v>
      </c>
    </row>
    <row r="94" spans="1:7" x14ac:dyDescent="0.25">
      <c r="A94" s="2">
        <v>37288</v>
      </c>
      <c r="B94">
        <v>3.9826685619072899</v>
      </c>
      <c r="C94">
        <v>3.6655065703277701</v>
      </c>
      <c r="D94">
        <f t="shared" si="61"/>
        <v>-0.31716199157951985</v>
      </c>
      <c r="E94">
        <f t="shared" ref="E94:F94" si="90">AVERAGE(B89:B94)</f>
        <v>6.1280396310548921</v>
      </c>
      <c r="F94">
        <f t="shared" si="90"/>
        <v>6.6852004581126208</v>
      </c>
      <c r="G94">
        <f t="shared" si="68"/>
        <v>0.55716082705772862</v>
      </c>
    </row>
    <row r="95" spans="1:7" x14ac:dyDescent="0.25">
      <c r="A95" s="2">
        <v>37316</v>
      </c>
      <c r="B95">
        <v>3.0258705906696499</v>
      </c>
      <c r="C95">
        <v>4.1663730029762602</v>
      </c>
      <c r="D95">
        <f t="shared" si="61"/>
        <v>1.1405024123066103</v>
      </c>
      <c r="E95">
        <f t="shared" ref="E95:F95" si="91">AVERAGE(B90:B95)</f>
        <v>5.396798935853373</v>
      </c>
      <c r="F95">
        <f t="shared" si="91"/>
        <v>5.8892784706960972</v>
      </c>
      <c r="G95">
        <f t="shared" si="68"/>
        <v>0.49247953484272422</v>
      </c>
    </row>
    <row r="96" spans="1:7" x14ac:dyDescent="0.25">
      <c r="A96" s="2">
        <v>37347</v>
      </c>
      <c r="B96">
        <v>5.1757034489187896</v>
      </c>
      <c r="C96">
        <v>5.7993053847528104</v>
      </c>
      <c r="D96">
        <f t="shared" si="61"/>
        <v>0.62360193583402079</v>
      </c>
      <c r="E96">
        <f t="shared" ref="E96:F96" si="92">AVERAGE(B91:B96)</f>
        <v>5.0611619214024932</v>
      </c>
      <c r="F96">
        <f t="shared" si="92"/>
        <v>5.459961024185052</v>
      </c>
      <c r="G96">
        <f t="shared" si="68"/>
        <v>0.39879910278255881</v>
      </c>
    </row>
    <row r="97" spans="1:7" x14ac:dyDescent="0.25">
      <c r="A97" s="2">
        <v>37377</v>
      </c>
      <c r="B97">
        <v>4.7932652501821504</v>
      </c>
      <c r="C97">
        <v>6.0631639825171098</v>
      </c>
      <c r="D97">
        <f t="shared" si="61"/>
        <v>1.2698987323349593</v>
      </c>
      <c r="E97">
        <f t="shared" ref="E97:F97" si="93">AVERAGE(B92:B97)</f>
        <v>4.8324757262739917</v>
      </c>
      <c r="F97">
        <f t="shared" si="93"/>
        <v>5.1507875163235983</v>
      </c>
      <c r="G97">
        <f t="shared" si="68"/>
        <v>0.31831179004960664</v>
      </c>
    </row>
    <row r="98" spans="1:7" x14ac:dyDescent="0.25">
      <c r="A98" s="2">
        <v>37408</v>
      </c>
      <c r="B98">
        <v>4.0513700652497402</v>
      </c>
      <c r="C98">
        <v>7.0379151230494799</v>
      </c>
      <c r="D98">
        <f t="shared" si="61"/>
        <v>2.9865450577997397</v>
      </c>
      <c r="E98">
        <f t="shared" ref="E98:F98" si="94">AVERAGE(B93:B98)</f>
        <v>4.5689401431832417</v>
      </c>
      <c r="F98">
        <f t="shared" si="94"/>
        <v>5.1455268006566381</v>
      </c>
      <c r="G98">
        <f t="shared" si="68"/>
        <v>0.57658665747339644</v>
      </c>
    </row>
    <row r="99" spans="1:7" x14ac:dyDescent="0.25">
      <c r="A99" s="2">
        <v>37438</v>
      </c>
      <c r="B99">
        <v>5.0678916448765703</v>
      </c>
      <c r="C99">
        <v>7.2264384854131203</v>
      </c>
      <c r="D99">
        <f t="shared" si="61"/>
        <v>2.15854684053655</v>
      </c>
      <c r="E99">
        <f t="shared" ref="E99:F99" si="95">AVERAGE(B94:B99)</f>
        <v>4.3494615936340315</v>
      </c>
      <c r="F99">
        <f t="shared" si="95"/>
        <v>5.6597837581727584</v>
      </c>
      <c r="G99">
        <f t="shared" si="68"/>
        <v>1.3103221645387269</v>
      </c>
    </row>
    <row r="100" spans="1:7" x14ac:dyDescent="0.25">
      <c r="A100" s="2">
        <v>37469</v>
      </c>
      <c r="B100">
        <v>6.4425394825515703</v>
      </c>
      <c r="C100">
        <v>7.49307138003656</v>
      </c>
      <c r="D100">
        <f t="shared" si="61"/>
        <v>1.0505318974849898</v>
      </c>
      <c r="E100">
        <f t="shared" ref="E100:F100" si="96">AVERAGE(B95:B100)</f>
        <v>4.759440080408079</v>
      </c>
      <c r="F100">
        <f t="shared" si="96"/>
        <v>6.2977112264575572</v>
      </c>
      <c r="G100">
        <f t="shared" si="68"/>
        <v>1.5382711460494782</v>
      </c>
    </row>
    <row r="101" spans="1:7" x14ac:dyDescent="0.25">
      <c r="A101" s="2">
        <v>37500</v>
      </c>
      <c r="B101">
        <v>8.8997739915403908</v>
      </c>
      <c r="C101">
        <v>7.28806984171755</v>
      </c>
      <c r="D101">
        <f t="shared" si="61"/>
        <v>-1.6117041498228408</v>
      </c>
      <c r="E101">
        <f t="shared" ref="E101:F101" si="97">AVERAGE(B96:B101)</f>
        <v>5.7384239805532014</v>
      </c>
      <c r="F101">
        <f t="shared" si="97"/>
        <v>6.817994032914438</v>
      </c>
      <c r="G101">
        <f t="shared" si="68"/>
        <v>1.0795700523612366</v>
      </c>
    </row>
    <row r="102" spans="1:7" x14ac:dyDescent="0.25">
      <c r="A102" s="2">
        <v>37530</v>
      </c>
      <c r="B102">
        <v>5.1789176257843703</v>
      </c>
      <c r="C102">
        <v>7.9171182748823403</v>
      </c>
      <c r="D102">
        <f t="shared" si="61"/>
        <v>2.73820064909797</v>
      </c>
      <c r="E102">
        <f t="shared" ref="E102:F102" si="98">AVERAGE(B97:B102)</f>
        <v>5.7389596766974655</v>
      </c>
      <c r="F102">
        <f t="shared" si="98"/>
        <v>7.1709628479360275</v>
      </c>
      <c r="G102">
        <f t="shared" si="68"/>
        <v>1.4320031712385619</v>
      </c>
    </row>
    <row r="103" spans="1:7" x14ac:dyDescent="0.25">
      <c r="A103" s="2">
        <v>37561</v>
      </c>
      <c r="B103">
        <v>6.53514763041255</v>
      </c>
      <c r="C103">
        <v>5.2474029285673804</v>
      </c>
      <c r="D103">
        <f t="shared" si="61"/>
        <v>-1.2877447018451695</v>
      </c>
      <c r="E103">
        <f t="shared" ref="E103:F103" si="99">AVERAGE(B98:B103)</f>
        <v>6.0292734067358653</v>
      </c>
      <c r="F103">
        <f t="shared" si="99"/>
        <v>7.0350026722777388</v>
      </c>
      <c r="G103">
        <f t="shared" si="68"/>
        <v>1.0057292655418735</v>
      </c>
    </row>
    <row r="104" spans="1:7" x14ac:dyDescent="0.25">
      <c r="A104" s="2">
        <v>37591</v>
      </c>
      <c r="B104">
        <v>2.7079941278900899</v>
      </c>
      <c r="C104">
        <v>2.59591424739267</v>
      </c>
      <c r="D104">
        <f t="shared" si="61"/>
        <v>-0.1120798804974199</v>
      </c>
      <c r="E104">
        <f t="shared" ref="E104:F104" si="100">AVERAGE(B99:B104)</f>
        <v>5.8053774171759249</v>
      </c>
      <c r="F104">
        <f t="shared" si="100"/>
        <v>6.2946691930016039</v>
      </c>
      <c r="G104">
        <f t="shared" si="68"/>
        <v>0.48929177582567895</v>
      </c>
    </row>
    <row r="105" spans="1:7" x14ac:dyDescent="0.25">
      <c r="A105" s="2">
        <v>37622</v>
      </c>
      <c r="B105">
        <v>2.5387772574967702</v>
      </c>
      <c r="C105">
        <v>1.6108490831512701</v>
      </c>
      <c r="D105">
        <f t="shared" si="61"/>
        <v>-0.92792817434550012</v>
      </c>
      <c r="E105">
        <f t="shared" ref="E105:F105" si="101">AVERAGE(B100:B105)</f>
        <v>5.3838583526126236</v>
      </c>
      <c r="F105">
        <f t="shared" si="101"/>
        <v>5.3587376259579615</v>
      </c>
      <c r="G105">
        <f t="shared" si="68"/>
        <v>-2.5120726654662029E-2</v>
      </c>
    </row>
    <row r="106" spans="1:7" x14ac:dyDescent="0.25">
      <c r="A106" s="2">
        <v>37653</v>
      </c>
      <c r="B106">
        <v>7.5946175670549696</v>
      </c>
      <c r="C106">
        <v>2.12785151145986</v>
      </c>
      <c r="D106">
        <f t="shared" si="61"/>
        <v>-5.4667660555951096</v>
      </c>
      <c r="E106">
        <f t="shared" ref="E106:F106" si="102">AVERAGE(B101:B106)</f>
        <v>5.5758713666965223</v>
      </c>
      <c r="F106">
        <f t="shared" si="102"/>
        <v>4.4645343145285112</v>
      </c>
      <c r="G106">
        <f t="shared" si="68"/>
        <v>-1.111337052168011</v>
      </c>
    </row>
    <row r="107" spans="1:7" x14ac:dyDescent="0.25">
      <c r="A107" s="2">
        <v>37681</v>
      </c>
      <c r="B107">
        <v>4.0756665270370602</v>
      </c>
      <c r="C107">
        <v>2.74508896023438</v>
      </c>
      <c r="D107">
        <f t="shared" si="61"/>
        <v>-1.3305775668026802</v>
      </c>
      <c r="E107">
        <f t="shared" ref="E107:F107" si="103">AVERAGE(B102:B107)</f>
        <v>4.7718534559459682</v>
      </c>
      <c r="F107">
        <f t="shared" si="103"/>
        <v>3.7073708342813165</v>
      </c>
      <c r="G107">
        <f t="shared" si="68"/>
        <v>-1.0644826216646517</v>
      </c>
    </row>
    <row r="108" spans="1:7" x14ac:dyDescent="0.25">
      <c r="A108" s="2">
        <v>37712</v>
      </c>
      <c r="B108">
        <v>3.7107213654790301</v>
      </c>
      <c r="C108">
        <v>3.5506196322972499</v>
      </c>
      <c r="D108">
        <f t="shared" si="61"/>
        <v>-0.16010173318178023</v>
      </c>
      <c r="E108">
        <f t="shared" ref="E108:F108" si="104">AVERAGE(B103:B108)</f>
        <v>4.5271540792284117</v>
      </c>
      <c r="F108">
        <f t="shared" si="104"/>
        <v>2.9796210605171347</v>
      </c>
      <c r="G108">
        <f t="shared" si="68"/>
        <v>-1.547533018711277</v>
      </c>
    </row>
    <row r="109" spans="1:7" x14ac:dyDescent="0.25">
      <c r="A109" s="2">
        <v>37742</v>
      </c>
      <c r="B109">
        <v>1.37063596145379</v>
      </c>
      <c r="C109">
        <v>2.84895060925371</v>
      </c>
      <c r="D109">
        <f t="shared" si="61"/>
        <v>1.4783146477999201</v>
      </c>
      <c r="E109">
        <f t="shared" ref="E109:F109" si="105">AVERAGE(B104:B109)</f>
        <v>3.666402134401952</v>
      </c>
      <c r="F109">
        <f t="shared" si="105"/>
        <v>2.5798790072981901</v>
      </c>
      <c r="G109">
        <f t="shared" si="68"/>
        <v>-1.0865231271037619</v>
      </c>
    </row>
    <row r="110" spans="1:7" x14ac:dyDescent="0.25">
      <c r="A110" s="2">
        <v>37773</v>
      </c>
      <c r="B110">
        <v>0.15078392451997</v>
      </c>
      <c r="C110">
        <v>3.0187720587533899</v>
      </c>
      <c r="D110">
        <f t="shared" si="61"/>
        <v>2.8679881342334199</v>
      </c>
      <c r="E110">
        <f t="shared" ref="E110:F110" si="106">AVERAGE(B105:B110)</f>
        <v>3.2402004338402652</v>
      </c>
      <c r="F110">
        <f t="shared" si="106"/>
        <v>2.6503553091916432</v>
      </c>
      <c r="G110">
        <f t="shared" si="68"/>
        <v>-0.58984512464862204</v>
      </c>
    </row>
    <row r="111" spans="1:7" x14ac:dyDescent="0.25">
      <c r="A111" s="2">
        <v>37803</v>
      </c>
      <c r="B111">
        <v>0</v>
      </c>
      <c r="C111">
        <v>1.1004109048675099</v>
      </c>
      <c r="D111">
        <f t="shared" si="61"/>
        <v>1.1004109048675099</v>
      </c>
      <c r="E111">
        <f t="shared" ref="E111:F111" si="107">AVERAGE(B106:B111)</f>
        <v>2.8170708909241369</v>
      </c>
      <c r="F111">
        <f t="shared" si="107"/>
        <v>2.5652822794776835</v>
      </c>
      <c r="G111">
        <f t="shared" si="68"/>
        <v>-0.25178861144645337</v>
      </c>
    </row>
    <row r="112" spans="1:7" x14ac:dyDescent="0.25">
      <c r="A112" s="2">
        <v>37834</v>
      </c>
      <c r="B112">
        <v>1.8841702634669599</v>
      </c>
      <c r="C112">
        <v>1.51436332285996</v>
      </c>
      <c r="D112">
        <f t="shared" si="61"/>
        <v>-0.36980694060699992</v>
      </c>
      <c r="E112">
        <f t="shared" ref="E112:F112" si="108">AVERAGE(B107:B112)</f>
        <v>1.8653296736594684</v>
      </c>
      <c r="F112">
        <f t="shared" si="108"/>
        <v>2.4630342480443672</v>
      </c>
      <c r="G112">
        <f t="shared" si="68"/>
        <v>0.59770457438489877</v>
      </c>
    </row>
    <row r="113" spans="1:7" x14ac:dyDescent="0.25">
      <c r="A113" s="2">
        <v>37865</v>
      </c>
      <c r="B113">
        <v>8.1697578236565196</v>
      </c>
      <c r="C113">
        <v>2.6844707900171798</v>
      </c>
      <c r="D113">
        <f t="shared" si="61"/>
        <v>-5.4852870336393398</v>
      </c>
      <c r="E113">
        <f t="shared" ref="E113:F113" si="109">AVERAGE(B108:B113)</f>
        <v>2.5476782230960446</v>
      </c>
      <c r="F113">
        <f t="shared" si="109"/>
        <v>2.452931219674833</v>
      </c>
      <c r="G113">
        <f t="shared" si="68"/>
        <v>-9.4747003421211673E-2</v>
      </c>
    </row>
    <row r="114" spans="1:7" x14ac:dyDescent="0.25">
      <c r="A114" s="2">
        <v>37895</v>
      </c>
      <c r="B114">
        <v>3.3769521406754501</v>
      </c>
      <c r="C114">
        <v>2.43152315268313</v>
      </c>
      <c r="D114">
        <f t="shared" si="61"/>
        <v>-0.94542898799232011</v>
      </c>
      <c r="E114">
        <f t="shared" ref="E114:F114" si="110">AVERAGE(B109:B114)</f>
        <v>2.4920500189621149</v>
      </c>
      <c r="F114">
        <f t="shared" si="110"/>
        <v>2.2664151397391468</v>
      </c>
      <c r="G114">
        <f t="shared" si="68"/>
        <v>-0.2256348792229681</v>
      </c>
    </row>
    <row r="115" spans="1:7" x14ac:dyDescent="0.25">
      <c r="A115" s="2">
        <v>37926</v>
      </c>
      <c r="B115">
        <v>2.54299341530364</v>
      </c>
      <c r="C115">
        <v>2.52288358650963</v>
      </c>
      <c r="D115">
        <f t="shared" si="61"/>
        <v>-2.0109828794010021E-2</v>
      </c>
      <c r="E115">
        <f t="shared" ref="E115:F115" si="111">AVERAGE(B110:B115)</f>
        <v>2.6874429279370902</v>
      </c>
      <c r="F115">
        <f t="shared" si="111"/>
        <v>2.2120706359484665</v>
      </c>
      <c r="G115">
        <f t="shared" si="68"/>
        <v>-0.47537229198862363</v>
      </c>
    </row>
    <row r="116" spans="1:7" x14ac:dyDescent="0.25">
      <c r="A116" s="2">
        <v>37956</v>
      </c>
      <c r="B116">
        <v>2.89057833795543</v>
      </c>
      <c r="C116">
        <v>3.17122622903111</v>
      </c>
      <c r="D116">
        <f t="shared" si="61"/>
        <v>0.28064789107568</v>
      </c>
      <c r="E116">
        <f t="shared" ref="E116:F116" si="112">AVERAGE(B111:B116)</f>
        <v>3.1440753301763333</v>
      </c>
      <c r="F116">
        <f t="shared" si="112"/>
        <v>2.2374796643280868</v>
      </c>
      <c r="G116">
        <f t="shared" si="68"/>
        <v>-0.90659566584824658</v>
      </c>
    </row>
    <row r="117" spans="1:7" x14ac:dyDescent="0.25">
      <c r="A117" s="2">
        <v>37987</v>
      </c>
      <c r="B117">
        <v>2.5224808986151199</v>
      </c>
      <c r="C117">
        <v>2.6312888332891902</v>
      </c>
      <c r="D117">
        <f t="shared" si="61"/>
        <v>0.10880793467407024</v>
      </c>
      <c r="E117">
        <f t="shared" ref="E117:F117" si="113">AVERAGE(B112:B117)</f>
        <v>3.564488813278853</v>
      </c>
      <c r="F117">
        <f t="shared" si="113"/>
        <v>2.4926259857317001</v>
      </c>
      <c r="G117">
        <f t="shared" si="68"/>
        <v>-1.0718628275471529</v>
      </c>
    </row>
    <row r="118" spans="1:7" x14ac:dyDescent="0.25">
      <c r="A118" s="2">
        <v>38018</v>
      </c>
      <c r="B118">
        <v>2.5692939232550098</v>
      </c>
      <c r="C118">
        <v>3.0888639565798202</v>
      </c>
      <c r="D118">
        <f t="shared" si="61"/>
        <v>0.51957003332481033</v>
      </c>
      <c r="E118">
        <f t="shared" ref="E118:F118" si="114">AVERAGE(B113:B118)</f>
        <v>3.6786760899101956</v>
      </c>
      <c r="F118">
        <f t="shared" si="114"/>
        <v>2.7550427580183432</v>
      </c>
      <c r="G118">
        <f t="shared" si="68"/>
        <v>-0.92363333189185237</v>
      </c>
    </row>
    <row r="119" spans="1:7" x14ac:dyDescent="0.25">
      <c r="A119" s="2">
        <v>38047</v>
      </c>
      <c r="B119">
        <v>4.2518888206162204</v>
      </c>
      <c r="C119">
        <v>4.4370504146338599</v>
      </c>
      <c r="D119">
        <f t="shared" si="61"/>
        <v>0.18516159401763943</v>
      </c>
      <c r="E119">
        <f t="shared" ref="E119:F119" si="115">AVERAGE(B114:B119)</f>
        <v>3.0256979227368119</v>
      </c>
      <c r="F119">
        <f t="shared" si="115"/>
        <v>3.0471393621211234</v>
      </c>
      <c r="G119">
        <f t="shared" si="68"/>
        <v>2.1441439384311423E-2</v>
      </c>
    </row>
    <row r="120" spans="1:7" x14ac:dyDescent="0.25">
      <c r="A120" s="2">
        <v>38078</v>
      </c>
      <c r="B120">
        <v>4.9345938589513603</v>
      </c>
      <c r="C120">
        <v>5.5433552888513997</v>
      </c>
      <c r="D120">
        <f t="shared" si="61"/>
        <v>0.60876142990003945</v>
      </c>
      <c r="E120">
        <f t="shared" ref="E120:F120" si="116">AVERAGE(B115:B120)</f>
        <v>3.285304875782797</v>
      </c>
      <c r="F120">
        <f t="shared" si="116"/>
        <v>3.5657780514825013</v>
      </c>
      <c r="G120">
        <f t="shared" si="68"/>
        <v>0.28047317569970431</v>
      </c>
    </row>
    <row r="121" spans="1:7" x14ac:dyDescent="0.25">
      <c r="A121" s="2">
        <v>38108</v>
      </c>
      <c r="B121">
        <v>7.6486898073680996</v>
      </c>
      <c r="C121">
        <v>5.91038748178525</v>
      </c>
      <c r="D121">
        <f t="shared" si="61"/>
        <v>-1.7383023255828496</v>
      </c>
      <c r="E121">
        <f t="shared" ref="E121:F121" si="117">AVERAGE(B116:B121)</f>
        <v>4.1362542744602067</v>
      </c>
      <c r="F121">
        <f t="shared" si="117"/>
        <v>4.1303620340284377</v>
      </c>
      <c r="G121">
        <f t="shared" si="68"/>
        <v>-5.892240431768947E-3</v>
      </c>
    </row>
    <row r="122" spans="1:7" x14ac:dyDescent="0.25">
      <c r="A122" s="2">
        <v>38139</v>
      </c>
      <c r="B122">
        <v>9.7089953197197207</v>
      </c>
      <c r="C122">
        <v>6.43216867995584</v>
      </c>
      <c r="D122">
        <f t="shared" si="61"/>
        <v>-3.2768266397638808</v>
      </c>
      <c r="E122">
        <f t="shared" ref="E122:F122" si="118">AVERAGE(B117:B122)</f>
        <v>5.2726571047542556</v>
      </c>
      <c r="F122">
        <f t="shared" si="118"/>
        <v>4.6738524425158934</v>
      </c>
      <c r="G122">
        <f t="shared" si="68"/>
        <v>-0.59880466223836226</v>
      </c>
    </row>
    <row r="123" spans="1:7" x14ac:dyDescent="0.25">
      <c r="A123" s="2">
        <v>38169</v>
      </c>
      <c r="B123">
        <v>8.3109609476158202</v>
      </c>
      <c r="C123">
        <v>6.5008839807968499</v>
      </c>
      <c r="D123">
        <f t="shared" si="61"/>
        <v>-1.8100769668189702</v>
      </c>
      <c r="E123">
        <f t="shared" ref="E123:F123" si="119">AVERAGE(B118:B123)</f>
        <v>6.2374037795877051</v>
      </c>
      <c r="F123">
        <f t="shared" si="119"/>
        <v>5.3187849671005036</v>
      </c>
      <c r="G123">
        <f t="shared" si="68"/>
        <v>-0.91861881248720145</v>
      </c>
    </row>
    <row r="124" spans="1:7" x14ac:dyDescent="0.25">
      <c r="A124" s="2">
        <v>38200</v>
      </c>
      <c r="B124">
        <v>7.5481825094344801</v>
      </c>
      <c r="C124">
        <v>7.3753870954348599</v>
      </c>
      <c r="D124">
        <f t="shared" si="61"/>
        <v>-0.17279541399962017</v>
      </c>
      <c r="E124">
        <f t="shared" ref="E124:F124" si="120">AVERAGE(B119:B124)</f>
        <v>7.0672185439509505</v>
      </c>
      <c r="F124">
        <f t="shared" si="120"/>
        <v>6.0332054902430103</v>
      </c>
      <c r="G124">
        <f t="shared" si="68"/>
        <v>-1.0340130537079402</v>
      </c>
    </row>
    <row r="125" spans="1:7" x14ac:dyDescent="0.25">
      <c r="A125" s="2">
        <v>38231</v>
      </c>
      <c r="B125">
        <v>7.1518760396087</v>
      </c>
      <c r="C125">
        <v>6.89726721472789</v>
      </c>
      <c r="D125">
        <f t="shared" si="61"/>
        <v>-0.25460882488081005</v>
      </c>
      <c r="E125">
        <f t="shared" ref="E125:F125" si="121">AVERAGE(B120:B125)</f>
        <v>7.5505497471163636</v>
      </c>
      <c r="F125">
        <f t="shared" si="121"/>
        <v>6.4432416235920149</v>
      </c>
      <c r="G125">
        <f t="shared" si="68"/>
        <v>-1.1073081235243487</v>
      </c>
    </row>
    <row r="126" spans="1:7" x14ac:dyDescent="0.25">
      <c r="A126" s="2">
        <v>38261</v>
      </c>
      <c r="B126">
        <v>6.6247952796856602</v>
      </c>
      <c r="C126">
        <v>7.3615183725825997</v>
      </c>
      <c r="D126">
        <f t="shared" si="61"/>
        <v>0.73672309289693949</v>
      </c>
      <c r="E126">
        <f t="shared" ref="E126:F126" si="122">AVERAGE(B121:B126)</f>
        <v>7.8322499839054132</v>
      </c>
      <c r="F126">
        <f t="shared" si="122"/>
        <v>6.7462688042138828</v>
      </c>
      <c r="G126">
        <f t="shared" si="68"/>
        <v>-1.0859811796915304</v>
      </c>
    </row>
    <row r="127" spans="1:7" x14ac:dyDescent="0.25">
      <c r="A127" s="2">
        <v>38292</v>
      </c>
      <c r="B127">
        <v>7.0552271330285503</v>
      </c>
      <c r="C127">
        <v>7.2203947364073198</v>
      </c>
      <c r="D127">
        <f t="shared" si="61"/>
        <v>0.16516760337876946</v>
      </c>
      <c r="E127">
        <f t="shared" ref="E127:F127" si="123">AVERAGE(B122:B127)</f>
        <v>7.7333395381821548</v>
      </c>
      <c r="F127">
        <f t="shared" si="123"/>
        <v>6.9646033466508932</v>
      </c>
      <c r="G127">
        <f t="shared" si="68"/>
        <v>-0.7687361915312616</v>
      </c>
    </row>
    <row r="128" spans="1:7" x14ac:dyDescent="0.25">
      <c r="A128" s="2">
        <v>38322</v>
      </c>
      <c r="B128">
        <v>7.8340094234953597</v>
      </c>
      <c r="C128">
        <v>7.7393628983518896</v>
      </c>
      <c r="D128">
        <f t="shared" si="61"/>
        <v>-9.4646525143470051E-2</v>
      </c>
      <c r="E128">
        <f t="shared" ref="E128:F128" si="124">AVERAGE(B123:B128)</f>
        <v>7.4208418888114283</v>
      </c>
      <c r="F128">
        <f t="shared" si="124"/>
        <v>7.1824690497169028</v>
      </c>
      <c r="G128">
        <f t="shared" si="68"/>
        <v>-0.23837283909452545</v>
      </c>
    </row>
    <row r="129" spans="1:7" x14ac:dyDescent="0.25">
      <c r="A129" s="2">
        <v>38353</v>
      </c>
      <c r="B129">
        <v>5.3981533429909403</v>
      </c>
      <c r="C129">
        <v>5.9261230172462804</v>
      </c>
      <c r="D129">
        <f t="shared" si="61"/>
        <v>0.52796967425534014</v>
      </c>
      <c r="E129">
        <f t="shared" ref="E129:F129" si="125">AVERAGE(B124:B129)</f>
        <v>6.9353739547072815</v>
      </c>
      <c r="F129">
        <f t="shared" si="125"/>
        <v>7.0866755557918077</v>
      </c>
      <c r="G129">
        <f t="shared" si="68"/>
        <v>0.15130160108452628</v>
      </c>
    </row>
    <row r="130" spans="1:7" x14ac:dyDescent="0.25">
      <c r="A130" s="2">
        <v>38384</v>
      </c>
      <c r="B130">
        <v>6.1684286314950301</v>
      </c>
      <c r="C130">
        <v>6.4883475248838103</v>
      </c>
      <c r="D130">
        <f t="shared" si="61"/>
        <v>0.31991889338878021</v>
      </c>
      <c r="E130">
        <f t="shared" ref="E130:F130" si="126">AVERAGE(B125:B130)</f>
        <v>6.705414975050707</v>
      </c>
      <c r="F130">
        <f t="shared" si="126"/>
        <v>6.9388356273666316</v>
      </c>
      <c r="G130">
        <f t="shared" si="68"/>
        <v>0.23342065231592457</v>
      </c>
    </row>
    <row r="131" spans="1:7" x14ac:dyDescent="0.25">
      <c r="A131" s="2">
        <v>38412</v>
      </c>
      <c r="B131">
        <v>8.7148126852384191</v>
      </c>
      <c r="C131">
        <v>8.7784643675556797</v>
      </c>
      <c r="D131">
        <f t="shared" ref="D131:D194" si="127">C131-B131</f>
        <v>6.3651682317260594E-2</v>
      </c>
      <c r="E131">
        <f t="shared" ref="E131:F131" si="128">AVERAGE(B126:B131)</f>
        <v>6.9659044159889936</v>
      </c>
      <c r="F131">
        <f t="shared" si="128"/>
        <v>7.252368486171263</v>
      </c>
      <c r="G131">
        <f t="shared" si="68"/>
        <v>0.28646407018226938</v>
      </c>
    </row>
    <row r="132" spans="1:7" x14ac:dyDescent="0.25">
      <c r="A132" s="2">
        <v>38443</v>
      </c>
      <c r="B132">
        <v>8.6162507761618201</v>
      </c>
      <c r="C132">
        <v>9.0960887384434201</v>
      </c>
      <c r="D132">
        <f t="shared" si="127"/>
        <v>0.47983796228160003</v>
      </c>
      <c r="E132">
        <f t="shared" ref="E132:F132" si="129">AVERAGE(B127:B132)</f>
        <v>7.2978136654016863</v>
      </c>
      <c r="F132">
        <f t="shared" si="129"/>
        <v>7.5414635471480667</v>
      </c>
      <c r="G132">
        <f t="shared" si="68"/>
        <v>0.24364988174638036</v>
      </c>
    </row>
    <row r="133" spans="1:7" x14ac:dyDescent="0.25">
      <c r="A133" s="2">
        <v>38473</v>
      </c>
      <c r="B133">
        <v>9.4247979447858299</v>
      </c>
      <c r="C133">
        <v>10.4334640550223</v>
      </c>
      <c r="D133">
        <f t="shared" si="127"/>
        <v>1.0086661102364705</v>
      </c>
      <c r="E133">
        <f t="shared" ref="E133:F133" si="130">AVERAGE(B128:B133)</f>
        <v>7.6927421340278999</v>
      </c>
      <c r="F133">
        <f t="shared" si="130"/>
        <v>8.0769751002505625</v>
      </c>
      <c r="G133">
        <f t="shared" si="68"/>
        <v>0.38423296622266268</v>
      </c>
    </row>
    <row r="134" spans="1:7" x14ac:dyDescent="0.25">
      <c r="A134" s="2">
        <v>38504</v>
      </c>
      <c r="B134">
        <v>10.2504299213611</v>
      </c>
      <c r="C134">
        <v>11.7467180955729</v>
      </c>
      <c r="D134">
        <f t="shared" si="127"/>
        <v>1.4962881742118004</v>
      </c>
      <c r="E134">
        <f t="shared" ref="E134:F134" si="131">AVERAGE(B129:B134)</f>
        <v>8.0954788836721914</v>
      </c>
      <c r="F134">
        <f t="shared" si="131"/>
        <v>8.744867633120732</v>
      </c>
      <c r="G134">
        <f t="shared" si="68"/>
        <v>0.64938874944854064</v>
      </c>
    </row>
    <row r="135" spans="1:7" x14ac:dyDescent="0.25">
      <c r="A135" s="2">
        <v>38534</v>
      </c>
      <c r="B135">
        <v>9.9195743496795306</v>
      </c>
      <c r="C135">
        <v>12.036664199963999</v>
      </c>
      <c r="D135">
        <f t="shared" si="127"/>
        <v>2.1170898502844686</v>
      </c>
      <c r="E135">
        <f t="shared" ref="E135:F135" si="132">AVERAGE(B130:B135)</f>
        <v>8.8490490514536226</v>
      </c>
      <c r="F135">
        <f t="shared" si="132"/>
        <v>9.763291163573685</v>
      </c>
      <c r="G135">
        <f t="shared" si="68"/>
        <v>0.91424211212006234</v>
      </c>
    </row>
    <row r="136" spans="1:7" x14ac:dyDescent="0.25">
      <c r="A136" s="2">
        <v>38565</v>
      </c>
      <c r="B136">
        <v>10.8225179564622</v>
      </c>
      <c r="C136">
        <v>11.4603367407829</v>
      </c>
      <c r="D136">
        <f t="shared" si="127"/>
        <v>0.63781878432070016</v>
      </c>
      <c r="E136">
        <f t="shared" ref="E136:F136" si="133">AVERAGE(B131:B136)</f>
        <v>9.6247306056148165</v>
      </c>
      <c r="F136">
        <f t="shared" si="133"/>
        <v>10.5919560328902</v>
      </c>
      <c r="G136">
        <f t="shared" ref="G136:G199" si="134">F136-E136</f>
        <v>0.96722542727538396</v>
      </c>
    </row>
    <row r="137" spans="1:7" x14ac:dyDescent="0.25">
      <c r="A137" s="2">
        <v>38596</v>
      </c>
      <c r="B137">
        <v>8.6336891034619594</v>
      </c>
      <c r="C137">
        <v>8.9771155353485206</v>
      </c>
      <c r="D137">
        <f t="shared" si="127"/>
        <v>0.34342643188656119</v>
      </c>
      <c r="E137">
        <f t="shared" ref="E137:F137" si="135">AVERAGE(B132:B137)</f>
        <v>9.6112100086520744</v>
      </c>
      <c r="F137">
        <f t="shared" si="135"/>
        <v>10.625064560855675</v>
      </c>
      <c r="G137">
        <f t="shared" si="134"/>
        <v>1.0138545522036004</v>
      </c>
    </row>
    <row r="138" spans="1:7" x14ac:dyDescent="0.25">
      <c r="A138" s="2">
        <v>38626</v>
      </c>
      <c r="B138">
        <v>8.1209205271984306</v>
      </c>
      <c r="C138">
        <v>8.75068211889106</v>
      </c>
      <c r="D138">
        <f t="shared" si="127"/>
        <v>0.62976159169262935</v>
      </c>
      <c r="E138">
        <f t="shared" ref="E138:F138" si="136">AVERAGE(B133:B138)</f>
        <v>9.5286549671581753</v>
      </c>
      <c r="F138">
        <f t="shared" si="136"/>
        <v>10.56749679093028</v>
      </c>
      <c r="G138">
        <f t="shared" si="134"/>
        <v>1.0388418237721044</v>
      </c>
    </row>
    <row r="139" spans="1:7" x14ac:dyDescent="0.25">
      <c r="A139" s="2">
        <v>38657</v>
      </c>
      <c r="B139">
        <v>7.8888779872989803</v>
      </c>
      <c r="C139">
        <v>7.5906167262534696</v>
      </c>
      <c r="D139">
        <f t="shared" si="127"/>
        <v>-0.29826126104551065</v>
      </c>
      <c r="E139">
        <f t="shared" ref="E139:F139" si="137">AVERAGE(B134:B139)</f>
        <v>9.2726683075770335</v>
      </c>
      <c r="F139">
        <f t="shared" si="137"/>
        <v>10.093688902802143</v>
      </c>
      <c r="G139">
        <f t="shared" si="134"/>
        <v>0.82102059522510906</v>
      </c>
    </row>
    <row r="140" spans="1:7" x14ac:dyDescent="0.25">
      <c r="A140" s="2">
        <v>38687</v>
      </c>
      <c r="B140">
        <v>7.8834141807479901</v>
      </c>
      <c r="C140">
        <v>7.1423314929369903</v>
      </c>
      <c r="D140">
        <f t="shared" si="127"/>
        <v>-0.74108268781099973</v>
      </c>
      <c r="E140">
        <f t="shared" ref="E140:F140" si="138">AVERAGE(B135:B140)</f>
        <v>8.878165684141516</v>
      </c>
      <c r="F140">
        <f t="shared" si="138"/>
        <v>9.3262911356961578</v>
      </c>
      <c r="G140">
        <f t="shared" si="134"/>
        <v>0.44812545155464178</v>
      </c>
    </row>
    <row r="141" spans="1:7" x14ac:dyDescent="0.25">
      <c r="A141" s="2">
        <v>38718</v>
      </c>
      <c r="B141">
        <v>5.8467457717080196</v>
      </c>
      <c r="C141">
        <v>5.4929061568425901</v>
      </c>
      <c r="D141">
        <f t="shared" si="127"/>
        <v>-0.35383961486542947</v>
      </c>
      <c r="E141">
        <f t="shared" ref="E141:F141" si="139">AVERAGE(B136:B141)</f>
        <v>8.1993609211462637</v>
      </c>
      <c r="F141">
        <f t="shared" si="139"/>
        <v>8.2356647951759214</v>
      </c>
      <c r="G141">
        <f t="shared" si="134"/>
        <v>3.6303874029657734E-2</v>
      </c>
    </row>
    <row r="142" spans="1:7" x14ac:dyDescent="0.25">
      <c r="A142" s="2">
        <v>38749</v>
      </c>
      <c r="B142">
        <v>6.0693054827005897</v>
      </c>
      <c r="C142">
        <v>6.2837240639934597</v>
      </c>
      <c r="D142">
        <f t="shared" si="127"/>
        <v>0.21441858129287006</v>
      </c>
      <c r="E142">
        <f t="shared" ref="E142:F142" si="140">AVERAGE(B137:B142)</f>
        <v>7.4071588421859955</v>
      </c>
      <c r="F142">
        <f t="shared" si="140"/>
        <v>7.3728960157110164</v>
      </c>
      <c r="G142">
        <f t="shared" si="134"/>
        <v>-3.4262826474979136E-2</v>
      </c>
    </row>
    <row r="143" spans="1:7" x14ac:dyDescent="0.25">
      <c r="A143" s="2">
        <v>38777</v>
      </c>
      <c r="B143">
        <v>8.2193923047453001</v>
      </c>
      <c r="C143">
        <v>8.0575652740239292</v>
      </c>
      <c r="D143">
        <f t="shared" si="127"/>
        <v>-0.16182703072137095</v>
      </c>
      <c r="E143">
        <f t="shared" ref="E143:F143" si="141">AVERAGE(B138:B143)</f>
        <v>7.3381093757332181</v>
      </c>
      <c r="F143">
        <f t="shared" si="141"/>
        <v>7.2196376388235821</v>
      </c>
      <c r="G143">
        <f t="shared" si="134"/>
        <v>-0.11847173690963597</v>
      </c>
    </row>
    <row r="144" spans="1:7" x14ac:dyDescent="0.25">
      <c r="A144" s="2">
        <v>38808</v>
      </c>
      <c r="B144">
        <v>7.4263208749932303</v>
      </c>
      <c r="C144">
        <v>8.9634991420062295</v>
      </c>
      <c r="D144">
        <f t="shared" si="127"/>
        <v>1.5371782670129992</v>
      </c>
      <c r="E144">
        <f t="shared" ref="E144:F144" si="142">AVERAGE(B139:B144)</f>
        <v>7.2223427670323517</v>
      </c>
      <c r="F144">
        <f t="shared" si="142"/>
        <v>7.2551071426761107</v>
      </c>
      <c r="G144">
        <f t="shared" si="134"/>
        <v>3.2764375643759003E-2</v>
      </c>
    </row>
    <row r="145" spans="1:7" x14ac:dyDescent="0.25">
      <c r="A145" s="2">
        <v>38838</v>
      </c>
      <c r="B145">
        <v>9.2074380815409</v>
      </c>
      <c r="C145">
        <v>9.6770681391873996</v>
      </c>
      <c r="D145">
        <f t="shared" si="127"/>
        <v>0.46963005764649957</v>
      </c>
      <c r="E145">
        <f t="shared" ref="E145:F145" si="143">AVERAGE(B140:B145)</f>
        <v>7.4421027827393376</v>
      </c>
      <c r="F145">
        <f t="shared" si="143"/>
        <v>7.6028490448317667</v>
      </c>
      <c r="G145">
        <f t="shared" si="134"/>
        <v>0.16074626209242915</v>
      </c>
    </row>
    <row r="146" spans="1:7" x14ac:dyDescent="0.25">
      <c r="A146" s="2">
        <v>38869</v>
      </c>
      <c r="B146">
        <v>9.3964351438879294</v>
      </c>
      <c r="C146">
        <v>10.332001741690499</v>
      </c>
      <c r="D146">
        <f t="shared" si="127"/>
        <v>0.93556659780256979</v>
      </c>
      <c r="E146">
        <f t="shared" ref="E146:F146" si="144">AVERAGE(B141:B146)</f>
        <v>7.6942729432626606</v>
      </c>
      <c r="F146">
        <f t="shared" si="144"/>
        <v>8.1344607529573505</v>
      </c>
      <c r="G146">
        <f t="shared" si="134"/>
        <v>0.44018780969468985</v>
      </c>
    </row>
    <row r="147" spans="1:7" x14ac:dyDescent="0.25">
      <c r="A147" s="2">
        <v>38899</v>
      </c>
      <c r="B147">
        <v>8.2715549409728908</v>
      </c>
      <c r="C147">
        <v>9.5030791196195494</v>
      </c>
      <c r="D147">
        <f t="shared" si="127"/>
        <v>1.2315241786466586</v>
      </c>
      <c r="E147">
        <f t="shared" ref="E147:F147" si="145">AVERAGE(B142:B147)</f>
        <v>8.098407804806806</v>
      </c>
      <c r="F147">
        <f t="shared" si="145"/>
        <v>8.8028229134201776</v>
      </c>
      <c r="G147">
        <f t="shared" si="134"/>
        <v>0.70441510861337164</v>
      </c>
    </row>
    <row r="148" spans="1:7" x14ac:dyDescent="0.25">
      <c r="A148" s="2">
        <v>38930</v>
      </c>
      <c r="B148">
        <v>9.1044008593174794</v>
      </c>
      <c r="C148">
        <v>9.3694924601689191</v>
      </c>
      <c r="D148">
        <f t="shared" si="127"/>
        <v>0.26509160085143968</v>
      </c>
      <c r="E148">
        <f t="shared" ref="E148:F148" si="146">AVERAGE(B143:B148)</f>
        <v>8.6042570342429538</v>
      </c>
      <c r="F148">
        <f t="shared" si="146"/>
        <v>9.3171176461160865</v>
      </c>
      <c r="G148">
        <f t="shared" si="134"/>
        <v>0.71286061187313265</v>
      </c>
    </row>
    <row r="149" spans="1:7" x14ac:dyDescent="0.25">
      <c r="A149" s="2">
        <v>38961</v>
      </c>
      <c r="B149">
        <v>7.5475291829435198</v>
      </c>
      <c r="C149">
        <v>8.7843488716112699</v>
      </c>
      <c r="D149">
        <f t="shared" si="127"/>
        <v>1.2368196886677501</v>
      </c>
      <c r="E149">
        <f t="shared" ref="E149:F149" si="147">AVERAGE(B144:B149)</f>
        <v>8.4922798472759915</v>
      </c>
      <c r="F149">
        <f t="shared" si="147"/>
        <v>9.4382482457139787</v>
      </c>
      <c r="G149">
        <f t="shared" si="134"/>
        <v>0.94596839843798719</v>
      </c>
    </row>
    <row r="150" spans="1:7" x14ac:dyDescent="0.25">
      <c r="A150" s="2">
        <v>38991</v>
      </c>
      <c r="B150">
        <v>8.4205517776939107</v>
      </c>
      <c r="C150">
        <v>8.9237043908637599</v>
      </c>
      <c r="D150">
        <f t="shared" si="127"/>
        <v>0.50315261316984916</v>
      </c>
      <c r="E150">
        <f t="shared" ref="E150:F150" si="148">AVERAGE(B145:B150)</f>
        <v>8.6579849977261052</v>
      </c>
      <c r="F150">
        <f t="shared" si="148"/>
        <v>9.4316157871902337</v>
      </c>
      <c r="G150">
        <f t="shared" si="134"/>
        <v>0.77363078946412855</v>
      </c>
    </row>
    <row r="151" spans="1:7" x14ac:dyDescent="0.25">
      <c r="A151" s="2">
        <v>39022</v>
      </c>
      <c r="B151">
        <v>7.7903665978798804</v>
      </c>
      <c r="C151">
        <v>8.1111208991266803</v>
      </c>
      <c r="D151">
        <f t="shared" si="127"/>
        <v>0.32075430124679993</v>
      </c>
      <c r="E151">
        <f t="shared" ref="E151:F151" si="149">AVERAGE(B146:B151)</f>
        <v>8.4218064171159348</v>
      </c>
      <c r="F151">
        <f t="shared" si="149"/>
        <v>9.1706245805134472</v>
      </c>
      <c r="G151">
        <f t="shared" si="134"/>
        <v>0.74881816339751239</v>
      </c>
    </row>
    <row r="152" spans="1:7" x14ac:dyDescent="0.25">
      <c r="A152" s="2">
        <v>39052</v>
      </c>
      <c r="B152">
        <v>8.0061873738766707</v>
      </c>
      <c r="C152">
        <v>8.5695810601202194</v>
      </c>
      <c r="D152">
        <f t="shared" si="127"/>
        <v>0.56339368624354869</v>
      </c>
      <c r="E152">
        <f t="shared" ref="E152:F152" si="150">AVERAGE(B147:B152)</f>
        <v>8.1900984554473926</v>
      </c>
      <c r="F152">
        <f t="shared" si="150"/>
        <v>8.8768878002517351</v>
      </c>
      <c r="G152">
        <f t="shared" si="134"/>
        <v>0.68678934480434251</v>
      </c>
    </row>
    <row r="153" spans="1:7" x14ac:dyDescent="0.25">
      <c r="A153" s="2">
        <v>39083</v>
      </c>
      <c r="B153">
        <v>6.5509955712002101</v>
      </c>
      <c r="C153">
        <v>6.4879781857353001</v>
      </c>
      <c r="D153">
        <f t="shared" si="127"/>
        <v>-6.3017385464910092E-2</v>
      </c>
      <c r="E153">
        <f t="shared" ref="E153:F153" si="151">AVERAGE(B148:B153)</f>
        <v>7.9033385604852784</v>
      </c>
      <c r="F153">
        <f t="shared" si="151"/>
        <v>8.3743709779376925</v>
      </c>
      <c r="G153">
        <f t="shared" si="134"/>
        <v>0.47103241745241409</v>
      </c>
    </row>
    <row r="154" spans="1:7" x14ac:dyDescent="0.25">
      <c r="A154" s="2">
        <v>39114</v>
      </c>
      <c r="B154">
        <v>6.7885031012654897</v>
      </c>
      <c r="C154">
        <v>6.3805058625022602</v>
      </c>
      <c r="D154">
        <f t="shared" si="127"/>
        <v>-0.40799723876322957</v>
      </c>
      <c r="E154">
        <f t="shared" ref="E154:F154" si="152">AVERAGE(B149:B154)</f>
        <v>7.5173556008099469</v>
      </c>
      <c r="F154">
        <f t="shared" si="152"/>
        <v>7.8762065449932486</v>
      </c>
      <c r="G154">
        <f t="shared" si="134"/>
        <v>0.35885094418330166</v>
      </c>
    </row>
    <row r="155" spans="1:7" x14ac:dyDescent="0.25">
      <c r="A155" s="2">
        <v>39142</v>
      </c>
      <c r="B155">
        <v>8.0515795902652307</v>
      </c>
      <c r="C155">
        <v>8.0687592337483007</v>
      </c>
      <c r="D155">
        <f t="shared" si="127"/>
        <v>1.7179643483069995E-2</v>
      </c>
      <c r="E155">
        <f t="shared" ref="E155:F155" si="153">AVERAGE(B150:B155)</f>
        <v>7.6013640020302331</v>
      </c>
      <c r="F155">
        <f t="shared" si="153"/>
        <v>7.7569416053494207</v>
      </c>
      <c r="G155">
        <f t="shared" si="134"/>
        <v>0.15557760331918757</v>
      </c>
    </row>
    <row r="156" spans="1:7" x14ac:dyDescent="0.25">
      <c r="A156" s="2">
        <v>39173</v>
      </c>
      <c r="B156">
        <v>7.78127274525741</v>
      </c>
      <c r="C156">
        <v>8.7847095374265205</v>
      </c>
      <c r="D156">
        <f t="shared" si="127"/>
        <v>1.0034367921691105</v>
      </c>
      <c r="E156">
        <f t="shared" ref="E156:F156" si="154">AVERAGE(B151:B156)</f>
        <v>7.4948174966241483</v>
      </c>
      <c r="F156">
        <f t="shared" si="154"/>
        <v>7.7337757964432141</v>
      </c>
      <c r="G156">
        <f t="shared" si="134"/>
        <v>0.2389582998190658</v>
      </c>
    </row>
    <row r="157" spans="1:7" x14ac:dyDescent="0.25">
      <c r="A157" s="2">
        <v>39203</v>
      </c>
      <c r="B157">
        <v>8.6315954783159796</v>
      </c>
      <c r="C157">
        <v>8.8114203554466695</v>
      </c>
      <c r="D157">
        <f t="shared" si="127"/>
        <v>0.17982487713068984</v>
      </c>
      <c r="E157">
        <f t="shared" ref="E157:F157" si="155">AVERAGE(B152:B157)</f>
        <v>7.6350223100301653</v>
      </c>
      <c r="F157">
        <f t="shared" si="155"/>
        <v>7.8504923724965456</v>
      </c>
      <c r="G157">
        <f t="shared" si="134"/>
        <v>0.21547006246638034</v>
      </c>
    </row>
    <row r="158" spans="1:7" x14ac:dyDescent="0.25">
      <c r="A158" s="2">
        <v>39234</v>
      </c>
      <c r="B158">
        <v>8.5305108710254292</v>
      </c>
      <c r="C158">
        <v>8.7499361258303399</v>
      </c>
      <c r="D158">
        <f t="shared" si="127"/>
        <v>0.21942525480491071</v>
      </c>
      <c r="E158">
        <f t="shared" ref="E158:F158" si="156">AVERAGE(B153:B158)</f>
        <v>7.7224095595549578</v>
      </c>
      <c r="F158">
        <f t="shared" si="156"/>
        <v>7.8805515501148982</v>
      </c>
      <c r="G158">
        <f t="shared" si="134"/>
        <v>0.15814199055994038</v>
      </c>
    </row>
    <row r="159" spans="1:7" x14ac:dyDescent="0.25">
      <c r="A159" s="2">
        <v>39264</v>
      </c>
      <c r="B159">
        <v>8.0140793539326207</v>
      </c>
      <c r="C159">
        <v>6.6061433656113504</v>
      </c>
      <c r="D159">
        <f t="shared" si="127"/>
        <v>-1.4079359883212703</v>
      </c>
      <c r="E159">
        <f t="shared" ref="E159:F159" si="157">AVERAGE(B154:B159)</f>
        <v>7.9662568566770275</v>
      </c>
      <c r="F159">
        <f t="shared" si="157"/>
        <v>7.9002457467609064</v>
      </c>
      <c r="G159">
        <f t="shared" si="134"/>
        <v>-6.6011109916121136E-2</v>
      </c>
    </row>
    <row r="160" spans="1:7" x14ac:dyDescent="0.25">
      <c r="A160" s="2">
        <v>39295</v>
      </c>
      <c r="B160">
        <v>7.5927664799469099</v>
      </c>
      <c r="C160">
        <v>6.11286538197254</v>
      </c>
      <c r="D160">
        <f t="shared" si="127"/>
        <v>-1.4799010979743699</v>
      </c>
      <c r="E160">
        <f t="shared" ref="E160:F160" si="158">AVERAGE(B155:B160)</f>
        <v>8.1003007531239302</v>
      </c>
      <c r="F160">
        <f t="shared" si="158"/>
        <v>7.8556390000059535</v>
      </c>
      <c r="G160">
        <f t="shared" si="134"/>
        <v>-0.24466175311797667</v>
      </c>
    </row>
    <row r="161" spans="1:7" x14ac:dyDescent="0.25">
      <c r="A161" s="2">
        <v>39326</v>
      </c>
      <c r="B161">
        <v>5.6374965927830498</v>
      </c>
      <c r="C161">
        <v>5.2193328576445897</v>
      </c>
      <c r="D161">
        <f t="shared" si="127"/>
        <v>-0.41816373513846017</v>
      </c>
      <c r="E161">
        <f t="shared" ref="E161:F161" si="159">AVERAGE(B156:B161)</f>
        <v>7.6979535868769</v>
      </c>
      <c r="F161">
        <f t="shared" si="159"/>
        <v>7.3807346039886683</v>
      </c>
      <c r="G161">
        <f t="shared" si="134"/>
        <v>-0.31721898288823169</v>
      </c>
    </row>
    <row r="162" spans="1:7" x14ac:dyDescent="0.25">
      <c r="A162" s="2">
        <v>39356</v>
      </c>
      <c r="B162">
        <v>6.1997417009690201</v>
      </c>
      <c r="C162">
        <v>5.4398389221546299</v>
      </c>
      <c r="D162">
        <f t="shared" si="127"/>
        <v>-0.75990277881439017</v>
      </c>
      <c r="E162">
        <f t="shared" ref="E162:F162" si="160">AVERAGE(B157:B162)</f>
        <v>7.4343650794955023</v>
      </c>
      <c r="F162">
        <f t="shared" si="160"/>
        <v>6.8232561681100199</v>
      </c>
      <c r="G162">
        <f t="shared" si="134"/>
        <v>-0.6111089113854824</v>
      </c>
    </row>
    <row r="163" spans="1:7" x14ac:dyDescent="0.25">
      <c r="A163" s="2">
        <v>39387</v>
      </c>
      <c r="B163">
        <v>5.5770671508984799</v>
      </c>
      <c r="C163">
        <v>4.8790708319351399</v>
      </c>
      <c r="D163">
        <f t="shared" si="127"/>
        <v>-0.69799631896334002</v>
      </c>
      <c r="E163">
        <f t="shared" ref="E163:F163" si="161">AVERAGE(B158:B163)</f>
        <v>6.9252770249259186</v>
      </c>
      <c r="F163">
        <f t="shared" si="161"/>
        <v>6.1678645808580974</v>
      </c>
      <c r="G163">
        <f t="shared" si="134"/>
        <v>-0.75741244406782116</v>
      </c>
    </row>
    <row r="164" spans="1:7" x14ac:dyDescent="0.25">
      <c r="A164" s="2">
        <v>39417</v>
      </c>
      <c r="B164">
        <v>5.22727477653752</v>
      </c>
      <c r="C164">
        <v>5.2151851782273999</v>
      </c>
      <c r="D164">
        <f t="shared" si="127"/>
        <v>-1.2089598310120131E-2</v>
      </c>
      <c r="E164">
        <f t="shared" ref="E164:F164" si="162">AVERAGE(B159:B164)</f>
        <v>6.3747376758446004</v>
      </c>
      <c r="F164">
        <f t="shared" si="162"/>
        <v>5.5787394229242748</v>
      </c>
      <c r="G164">
        <f t="shared" si="134"/>
        <v>-0.79599825292032556</v>
      </c>
    </row>
    <row r="165" spans="1:7" x14ac:dyDescent="0.25">
      <c r="A165" s="2">
        <v>39448</v>
      </c>
      <c r="B165">
        <v>4.2925988865779399</v>
      </c>
      <c r="C165">
        <v>3.9696379349709598</v>
      </c>
      <c r="D165">
        <f t="shared" si="127"/>
        <v>-0.32296095160698002</v>
      </c>
      <c r="E165">
        <f t="shared" ref="E165:F165" si="163">AVERAGE(B160:B165)</f>
        <v>5.7544909312854857</v>
      </c>
      <c r="F165">
        <f t="shared" si="163"/>
        <v>5.1393218511508776</v>
      </c>
      <c r="G165">
        <f t="shared" si="134"/>
        <v>-0.61516908013460814</v>
      </c>
    </row>
    <row r="166" spans="1:7" x14ac:dyDescent="0.25">
      <c r="A166" s="2">
        <v>39479</v>
      </c>
      <c r="B166">
        <v>5.3199806459097498</v>
      </c>
      <c r="C166">
        <v>4.3654102605844596</v>
      </c>
      <c r="D166">
        <f t="shared" si="127"/>
        <v>-0.95457038532529026</v>
      </c>
      <c r="E166">
        <f t="shared" ref="E166:F166" si="164">AVERAGE(B161:B166)</f>
        <v>5.3756932922792933</v>
      </c>
      <c r="F166">
        <f t="shared" si="164"/>
        <v>4.8480793309195294</v>
      </c>
      <c r="G166">
        <f t="shared" si="134"/>
        <v>-0.52761396135976391</v>
      </c>
    </row>
    <row r="167" spans="1:7" x14ac:dyDescent="0.25">
      <c r="A167" s="2">
        <v>39508</v>
      </c>
      <c r="B167">
        <v>6.63094418738486</v>
      </c>
      <c r="C167">
        <v>5.4279412417325599</v>
      </c>
      <c r="D167">
        <f t="shared" si="127"/>
        <v>-1.2030029456523001</v>
      </c>
      <c r="E167">
        <f t="shared" ref="E167:F167" si="165">AVERAGE(B162:B167)</f>
        <v>5.5412678913795963</v>
      </c>
      <c r="F167">
        <f t="shared" si="165"/>
        <v>4.882847394934192</v>
      </c>
      <c r="G167">
        <f t="shared" si="134"/>
        <v>-0.65842049644540435</v>
      </c>
    </row>
    <row r="168" spans="1:7" x14ac:dyDescent="0.25">
      <c r="A168" s="2">
        <v>39539</v>
      </c>
      <c r="B168">
        <v>6.5576220615687602</v>
      </c>
      <c r="C168">
        <v>5.6166192210313604</v>
      </c>
      <c r="D168">
        <f t="shared" si="127"/>
        <v>-0.9410028405373998</v>
      </c>
      <c r="E168">
        <f t="shared" ref="E168:F168" si="166">AVERAGE(B163:B168)</f>
        <v>5.6009146181462173</v>
      </c>
      <c r="F168">
        <f t="shared" si="166"/>
        <v>4.9123107780803128</v>
      </c>
      <c r="G168">
        <f t="shared" si="134"/>
        <v>-0.68860384006590447</v>
      </c>
    </row>
    <row r="169" spans="1:7" x14ac:dyDescent="0.25">
      <c r="A169" s="2">
        <v>39569</v>
      </c>
      <c r="B169">
        <v>6.0270473673124796</v>
      </c>
      <c r="C169">
        <v>6.0553747649045002</v>
      </c>
      <c r="D169">
        <f t="shared" si="127"/>
        <v>2.8327397592020631E-2</v>
      </c>
      <c r="E169">
        <f t="shared" ref="E169:F169" si="167">AVERAGE(B164:B169)</f>
        <v>5.6759113208818848</v>
      </c>
      <c r="F169">
        <f t="shared" si="167"/>
        <v>5.1083614335752063</v>
      </c>
      <c r="G169">
        <f t="shared" si="134"/>
        <v>-0.56754988730667844</v>
      </c>
    </row>
    <row r="170" spans="1:7" x14ac:dyDescent="0.25">
      <c r="A170" s="2">
        <v>39600</v>
      </c>
      <c r="B170">
        <v>5.88725666977777</v>
      </c>
      <c r="C170">
        <v>6.0818816551200499</v>
      </c>
      <c r="D170">
        <f t="shared" si="127"/>
        <v>0.1946249853422799</v>
      </c>
      <c r="E170">
        <f t="shared" ref="E170:F170" si="168">AVERAGE(B165:B170)</f>
        <v>5.7859083030885934</v>
      </c>
      <c r="F170">
        <f t="shared" si="168"/>
        <v>5.2528108463906484</v>
      </c>
      <c r="G170">
        <f t="shared" si="134"/>
        <v>-0.53309745669794495</v>
      </c>
    </row>
    <row r="171" spans="1:7" x14ac:dyDescent="0.25">
      <c r="A171" s="2">
        <v>39630</v>
      </c>
      <c r="B171">
        <v>5.7022889902249503</v>
      </c>
      <c r="C171">
        <v>5.2260387622639799</v>
      </c>
      <c r="D171">
        <f t="shared" si="127"/>
        <v>-0.47625022796097038</v>
      </c>
      <c r="E171">
        <f t="shared" ref="E171:F171" si="169">AVERAGE(B166:B171)</f>
        <v>6.0208566536964296</v>
      </c>
      <c r="F171">
        <f t="shared" si="169"/>
        <v>5.4622109842728186</v>
      </c>
      <c r="G171">
        <f t="shared" si="134"/>
        <v>-0.55864566942361105</v>
      </c>
    </row>
    <row r="172" spans="1:7" x14ac:dyDescent="0.25">
      <c r="A172" s="2">
        <v>39661</v>
      </c>
      <c r="B172">
        <v>5.0416148319424803</v>
      </c>
      <c r="C172">
        <v>5.1844522554739401</v>
      </c>
      <c r="D172">
        <f t="shared" si="127"/>
        <v>0.14283742353145978</v>
      </c>
      <c r="E172">
        <f t="shared" ref="E172:F172" si="170">AVERAGE(B167:B172)</f>
        <v>5.9744623513685502</v>
      </c>
      <c r="F172">
        <f t="shared" si="170"/>
        <v>5.5987179834210652</v>
      </c>
      <c r="G172">
        <f t="shared" si="134"/>
        <v>-0.375744367947485</v>
      </c>
    </row>
    <row r="173" spans="1:7" x14ac:dyDescent="0.25">
      <c r="A173" s="2">
        <v>39692</v>
      </c>
      <c r="B173">
        <v>4.7133042314412501</v>
      </c>
      <c r="C173">
        <v>4.2933389368849602</v>
      </c>
      <c r="D173">
        <f t="shared" si="127"/>
        <v>-0.41996529455628995</v>
      </c>
      <c r="E173">
        <f t="shared" ref="E173:F173" si="171">AVERAGE(B168:B173)</f>
        <v>5.6548556920446158</v>
      </c>
      <c r="F173">
        <f t="shared" si="171"/>
        <v>5.4096175992797981</v>
      </c>
      <c r="G173">
        <f t="shared" si="134"/>
        <v>-0.24523809276481767</v>
      </c>
    </row>
    <row r="174" spans="1:7" x14ac:dyDescent="0.25">
      <c r="A174" s="2">
        <v>39722</v>
      </c>
      <c r="B174">
        <v>4.7439089059703097</v>
      </c>
      <c r="C174">
        <v>4.8691188961853902</v>
      </c>
      <c r="D174">
        <f t="shared" si="127"/>
        <v>0.1252099902150805</v>
      </c>
      <c r="E174">
        <f t="shared" ref="E174:F174" si="172">AVERAGE(B169:B174)</f>
        <v>5.3525701661115397</v>
      </c>
      <c r="F174">
        <f t="shared" si="172"/>
        <v>5.2850342118054696</v>
      </c>
      <c r="G174">
        <f t="shared" si="134"/>
        <v>-6.7535954306070067E-2</v>
      </c>
    </row>
    <row r="175" spans="1:7" x14ac:dyDescent="0.25">
      <c r="A175" s="2">
        <v>39753</v>
      </c>
      <c r="B175">
        <v>3.59926827967828</v>
      </c>
      <c r="C175">
        <v>4.23364410564057</v>
      </c>
      <c r="D175">
        <f t="shared" si="127"/>
        <v>0.63437582596229003</v>
      </c>
      <c r="E175">
        <f t="shared" ref="E175:F175" si="173">AVERAGE(B170:B175)</f>
        <v>4.947940318172507</v>
      </c>
      <c r="F175">
        <f t="shared" si="173"/>
        <v>4.9814124352614817</v>
      </c>
      <c r="G175">
        <f t="shared" si="134"/>
        <v>3.3472117088974684E-2</v>
      </c>
    </row>
    <row r="176" spans="1:7" x14ac:dyDescent="0.25">
      <c r="A176" s="2">
        <v>39783</v>
      </c>
      <c r="B176">
        <v>4.9157220309572098</v>
      </c>
      <c r="C176">
        <v>4.4742844947395097</v>
      </c>
      <c r="D176">
        <f t="shared" si="127"/>
        <v>-0.4414375362177001</v>
      </c>
      <c r="E176">
        <f t="shared" ref="E176:F176" si="174">AVERAGE(B171:B176)</f>
        <v>4.7860178783690799</v>
      </c>
      <c r="F176">
        <f t="shared" si="174"/>
        <v>4.7134795751980585</v>
      </c>
      <c r="G176">
        <f t="shared" si="134"/>
        <v>-7.253830317102139E-2</v>
      </c>
    </row>
    <row r="177" spans="1:7" x14ac:dyDescent="0.25">
      <c r="A177" s="2">
        <v>39814</v>
      </c>
      <c r="B177">
        <v>3.33024335167176</v>
      </c>
      <c r="C177">
        <v>3.9928371498375101</v>
      </c>
      <c r="D177">
        <f t="shared" si="127"/>
        <v>0.66259379816575015</v>
      </c>
      <c r="E177">
        <f t="shared" ref="E177:F177" si="175">AVERAGE(B172:B177)</f>
        <v>4.3906769386102154</v>
      </c>
      <c r="F177">
        <f t="shared" si="175"/>
        <v>4.5079459731269802</v>
      </c>
      <c r="G177">
        <f t="shared" si="134"/>
        <v>0.11726903451676485</v>
      </c>
    </row>
    <row r="178" spans="1:7" x14ac:dyDescent="0.25">
      <c r="A178" s="2">
        <v>39845</v>
      </c>
      <c r="B178">
        <v>3.4252320845941</v>
      </c>
      <c r="C178">
        <v>3.2439734606602002</v>
      </c>
      <c r="D178">
        <f t="shared" si="127"/>
        <v>-0.1812586239338998</v>
      </c>
      <c r="E178">
        <f t="shared" ref="E178:F178" si="176">AVERAGE(B173:B178)</f>
        <v>4.1212798140521523</v>
      </c>
      <c r="F178">
        <f t="shared" si="176"/>
        <v>4.1845328406580231</v>
      </c>
      <c r="G178">
        <f t="shared" si="134"/>
        <v>6.3253026605870843E-2</v>
      </c>
    </row>
    <row r="179" spans="1:7" x14ac:dyDescent="0.25">
      <c r="A179" s="2">
        <v>39873</v>
      </c>
      <c r="B179">
        <v>2.2612028701136402</v>
      </c>
      <c r="C179">
        <v>1.95903594424669</v>
      </c>
      <c r="D179">
        <f t="shared" si="127"/>
        <v>-0.30216692586695015</v>
      </c>
      <c r="E179">
        <f t="shared" ref="E179:F179" si="177">AVERAGE(B174:B179)</f>
        <v>3.712596253830883</v>
      </c>
      <c r="F179">
        <f t="shared" si="177"/>
        <v>3.7954823418849784</v>
      </c>
      <c r="G179">
        <f t="shared" si="134"/>
        <v>8.2886088054095364E-2</v>
      </c>
    </row>
    <row r="180" spans="1:7" x14ac:dyDescent="0.25">
      <c r="A180" s="2">
        <v>39904</v>
      </c>
      <c r="B180">
        <v>0.99999778583866905</v>
      </c>
      <c r="C180">
        <v>1.0493589022012499</v>
      </c>
      <c r="D180">
        <f t="shared" si="127"/>
        <v>4.9361116362580892E-2</v>
      </c>
      <c r="E180">
        <f t="shared" ref="E180:F180" si="178">AVERAGE(B175:B180)</f>
        <v>3.0886110671422764</v>
      </c>
      <c r="F180">
        <f t="shared" si="178"/>
        <v>3.1588556762209543</v>
      </c>
      <c r="G180">
        <f t="shared" si="134"/>
        <v>7.0244609078677911E-2</v>
      </c>
    </row>
    <row r="181" spans="1:7" x14ac:dyDescent="0.25">
      <c r="A181" s="2">
        <v>39934</v>
      </c>
      <c r="B181">
        <v>0.57564984758027304</v>
      </c>
      <c r="C181">
        <v>1.3939092668223001</v>
      </c>
      <c r="D181">
        <f t="shared" si="127"/>
        <v>0.81825941924202705</v>
      </c>
      <c r="E181">
        <f t="shared" ref="E181:F181" si="179">AVERAGE(B176:B181)</f>
        <v>2.5846746617926089</v>
      </c>
      <c r="F181">
        <f t="shared" si="179"/>
        <v>2.6855665364179102</v>
      </c>
      <c r="G181">
        <f t="shared" si="134"/>
        <v>0.10089187462530136</v>
      </c>
    </row>
    <row r="182" spans="1:7" x14ac:dyDescent="0.25">
      <c r="A182" s="2">
        <v>39965</v>
      </c>
      <c r="B182">
        <v>0.95276541848807705</v>
      </c>
      <c r="C182">
        <v>1.9505942147106501</v>
      </c>
      <c r="D182">
        <f t="shared" si="127"/>
        <v>0.99782879622257303</v>
      </c>
      <c r="E182">
        <f t="shared" ref="E182:F182" si="180">AVERAGE(B177:B182)</f>
        <v>1.9241818930477532</v>
      </c>
      <c r="F182">
        <f t="shared" si="180"/>
        <v>2.2649514897464336</v>
      </c>
      <c r="G182">
        <f t="shared" si="134"/>
        <v>0.34076959669868034</v>
      </c>
    </row>
    <row r="183" spans="1:7" x14ac:dyDescent="0.25">
      <c r="A183" s="2">
        <v>39995</v>
      </c>
      <c r="B183">
        <v>2.3707868299114399</v>
      </c>
      <c r="C183">
        <v>2.0470297303849301</v>
      </c>
      <c r="D183">
        <f t="shared" si="127"/>
        <v>-0.32375709952650977</v>
      </c>
      <c r="E183">
        <f t="shared" ref="E183:F183" si="181">AVERAGE(B178:B183)</f>
        <v>1.7642724727543666</v>
      </c>
      <c r="F183">
        <f t="shared" si="181"/>
        <v>1.9406502531710033</v>
      </c>
      <c r="G183">
        <f t="shared" si="134"/>
        <v>0.17637778041663665</v>
      </c>
    </row>
    <row r="184" spans="1:7" x14ac:dyDescent="0.25">
      <c r="A184" s="2">
        <v>40026</v>
      </c>
      <c r="B184">
        <v>1.3073259266303501</v>
      </c>
      <c r="C184">
        <v>1.91417709959506</v>
      </c>
      <c r="D184">
        <f t="shared" si="127"/>
        <v>0.60685117296470992</v>
      </c>
      <c r="E184">
        <f t="shared" ref="E184:F184" si="182">AVERAGE(B179:B184)</f>
        <v>1.4112881130937416</v>
      </c>
      <c r="F184">
        <f t="shared" si="182"/>
        <v>1.7190175263268133</v>
      </c>
      <c r="G184">
        <f t="shared" si="134"/>
        <v>0.30772941323307168</v>
      </c>
    </row>
    <row r="185" spans="1:7" x14ac:dyDescent="0.25">
      <c r="A185" s="2">
        <v>40057</v>
      </c>
      <c r="B185">
        <v>1.19291778625105</v>
      </c>
      <c r="C185">
        <v>1.87353521688346</v>
      </c>
      <c r="D185">
        <f t="shared" si="127"/>
        <v>0.68061743063240998</v>
      </c>
      <c r="E185">
        <f t="shared" ref="E185:F185" si="183">AVERAGE(B180:B185)</f>
        <v>1.2332405991166431</v>
      </c>
      <c r="F185">
        <f t="shared" si="183"/>
        <v>1.7047674050996082</v>
      </c>
      <c r="G185">
        <f t="shared" si="134"/>
        <v>0.47152680598296515</v>
      </c>
    </row>
    <row r="186" spans="1:7" x14ac:dyDescent="0.25">
      <c r="A186" s="2">
        <v>40087</v>
      </c>
      <c r="B186">
        <v>1.28779825203892</v>
      </c>
      <c r="C186">
        <v>2.2385695663677998</v>
      </c>
      <c r="D186">
        <f t="shared" si="127"/>
        <v>0.95077131432887985</v>
      </c>
      <c r="E186">
        <f t="shared" ref="E186:F186" si="184">AVERAGE(B181:B186)</f>
        <v>1.2812073434833515</v>
      </c>
      <c r="F186">
        <f t="shared" si="184"/>
        <v>1.9029691824607002</v>
      </c>
      <c r="G186">
        <f t="shared" si="134"/>
        <v>0.62176183897734871</v>
      </c>
    </row>
    <row r="187" spans="1:7" x14ac:dyDescent="0.25">
      <c r="A187" s="2">
        <v>40118</v>
      </c>
      <c r="B187">
        <v>1.1446157930430401</v>
      </c>
      <c r="C187">
        <v>2.2342699137428599</v>
      </c>
      <c r="D187">
        <f t="shared" si="127"/>
        <v>1.0896541206998198</v>
      </c>
      <c r="E187">
        <f t="shared" ref="E187:F187" si="185">AVERAGE(B182:B187)</f>
        <v>1.3760350010604796</v>
      </c>
      <c r="F187">
        <f t="shared" si="185"/>
        <v>2.0430292902807934</v>
      </c>
      <c r="G187">
        <f t="shared" si="134"/>
        <v>0.66699428922031379</v>
      </c>
    </row>
    <row r="188" spans="1:7" x14ac:dyDescent="0.25">
      <c r="A188" s="2">
        <v>40148</v>
      </c>
      <c r="B188">
        <v>1.33265844445087</v>
      </c>
      <c r="C188">
        <v>2.4788846283585699</v>
      </c>
      <c r="D188">
        <f t="shared" si="127"/>
        <v>1.1462261839076999</v>
      </c>
      <c r="E188">
        <f t="shared" ref="E188:F188" si="186">AVERAGE(B183:B188)</f>
        <v>1.4393505053876117</v>
      </c>
      <c r="F188">
        <f t="shared" si="186"/>
        <v>2.1310776925554467</v>
      </c>
      <c r="G188">
        <f t="shared" si="134"/>
        <v>0.69172718716783499</v>
      </c>
    </row>
    <row r="189" spans="1:7" x14ac:dyDescent="0.25">
      <c r="A189" s="2">
        <v>40179</v>
      </c>
      <c r="B189">
        <v>1.0805331275464301</v>
      </c>
      <c r="C189">
        <v>1.9760794818203899</v>
      </c>
      <c r="D189">
        <f t="shared" si="127"/>
        <v>0.8955463542739599</v>
      </c>
      <c r="E189">
        <f t="shared" ref="E189:F189" si="187">AVERAGE(B184:B189)</f>
        <v>1.2243082216601102</v>
      </c>
      <c r="F189">
        <f t="shared" si="187"/>
        <v>2.1192526511280234</v>
      </c>
      <c r="G189">
        <f t="shared" si="134"/>
        <v>0.89494442946791319</v>
      </c>
    </row>
    <row r="190" spans="1:7" x14ac:dyDescent="0.25">
      <c r="A190" s="2">
        <v>40210</v>
      </c>
      <c r="B190">
        <v>1.26657930396056</v>
      </c>
      <c r="C190">
        <v>2.2124484934447302</v>
      </c>
      <c r="D190">
        <f t="shared" si="127"/>
        <v>0.9458691894841702</v>
      </c>
      <c r="E190">
        <f t="shared" ref="E190:F190" si="188">AVERAGE(B185:B190)</f>
        <v>1.2175171178818116</v>
      </c>
      <c r="F190">
        <f t="shared" si="188"/>
        <v>2.1689645501029684</v>
      </c>
      <c r="G190">
        <f t="shared" si="134"/>
        <v>0.9514474322211568</v>
      </c>
    </row>
    <row r="191" spans="1:7" x14ac:dyDescent="0.25">
      <c r="A191" s="2">
        <v>40238</v>
      </c>
      <c r="B191">
        <v>1.80072994603966</v>
      </c>
      <c r="C191">
        <v>3.0762241863658502</v>
      </c>
      <c r="D191">
        <f t="shared" si="127"/>
        <v>1.2754942403261902</v>
      </c>
      <c r="E191">
        <f t="shared" ref="E191:F191" si="189">AVERAGE(B186:B191)</f>
        <v>1.3188191445132469</v>
      </c>
      <c r="F191">
        <f t="shared" si="189"/>
        <v>2.3694127116833665</v>
      </c>
      <c r="G191">
        <f t="shared" si="134"/>
        <v>1.0505935671701196</v>
      </c>
    </row>
    <row r="192" spans="1:7" x14ac:dyDescent="0.25">
      <c r="A192" s="2">
        <v>40269</v>
      </c>
      <c r="B192">
        <v>1.8817655960420301</v>
      </c>
      <c r="C192">
        <v>3.6283589786651702</v>
      </c>
      <c r="D192">
        <f t="shared" si="127"/>
        <v>1.7465933826231401</v>
      </c>
      <c r="E192">
        <f t="shared" ref="E192:F192" si="190">AVERAGE(B187:B192)</f>
        <v>1.4178137018470984</v>
      </c>
      <c r="F192">
        <f t="shared" si="190"/>
        <v>2.6010442803995955</v>
      </c>
      <c r="G192">
        <f t="shared" si="134"/>
        <v>1.183230578552497</v>
      </c>
    </row>
    <row r="193" spans="1:7" x14ac:dyDescent="0.25">
      <c r="A193" s="2">
        <v>40299</v>
      </c>
      <c r="B193">
        <v>2.5389970769296899</v>
      </c>
      <c r="C193">
        <v>4.0350911618917102</v>
      </c>
      <c r="D193">
        <f t="shared" si="127"/>
        <v>1.4960940849620203</v>
      </c>
      <c r="E193">
        <f t="shared" ref="E193:F193" si="191">AVERAGE(B188:B193)</f>
        <v>1.6502105824948732</v>
      </c>
      <c r="F193">
        <f t="shared" si="191"/>
        <v>2.90118115509107</v>
      </c>
      <c r="G193">
        <f t="shared" si="134"/>
        <v>1.2509705725961968</v>
      </c>
    </row>
    <row r="194" spans="1:7" x14ac:dyDescent="0.25">
      <c r="A194" s="2">
        <v>40330</v>
      </c>
      <c r="B194">
        <v>2.8340748554291801</v>
      </c>
      <c r="C194">
        <v>4.5637604631492898</v>
      </c>
      <c r="D194">
        <f t="shared" si="127"/>
        <v>1.7296856077201097</v>
      </c>
      <c r="E194">
        <f t="shared" ref="E194:F194" si="192">AVERAGE(B189:B194)</f>
        <v>1.9004466509912585</v>
      </c>
      <c r="F194">
        <f t="shared" si="192"/>
        <v>3.2486604608895235</v>
      </c>
      <c r="G194">
        <f t="shared" si="134"/>
        <v>1.348213809898265</v>
      </c>
    </row>
    <row r="195" spans="1:7" x14ac:dyDescent="0.25">
      <c r="A195" s="2">
        <v>40360</v>
      </c>
      <c r="B195">
        <v>2.1597055399851501</v>
      </c>
      <c r="C195">
        <v>3.64508986623003</v>
      </c>
      <c r="D195">
        <f t="shared" ref="D195:D258" si="193">C195-B195</f>
        <v>1.4853843262448798</v>
      </c>
      <c r="E195">
        <f t="shared" ref="E195:F195" si="194">AVERAGE(B190:B195)</f>
        <v>2.080308719731045</v>
      </c>
      <c r="F195">
        <f t="shared" si="194"/>
        <v>3.5268288582911302</v>
      </c>
      <c r="G195">
        <f t="shared" si="134"/>
        <v>1.4465201385600852</v>
      </c>
    </row>
    <row r="196" spans="1:7" x14ac:dyDescent="0.25">
      <c r="A196" s="2">
        <v>40391</v>
      </c>
      <c r="B196">
        <v>3.2770444152829699</v>
      </c>
      <c r="C196">
        <v>1.41891597189019</v>
      </c>
      <c r="D196">
        <f t="shared" si="193"/>
        <v>-1.8581284433927798</v>
      </c>
      <c r="E196">
        <f t="shared" ref="E196:F196" si="195">AVERAGE(B191:B196)</f>
        <v>2.4153862382847802</v>
      </c>
      <c r="F196">
        <f t="shared" si="195"/>
        <v>3.3945734380320403</v>
      </c>
      <c r="G196">
        <f t="shared" si="134"/>
        <v>0.9791871997472601</v>
      </c>
    </row>
    <row r="197" spans="1:7" x14ac:dyDescent="0.25">
      <c r="A197" s="2">
        <v>40422</v>
      </c>
      <c r="B197">
        <v>2.2142965186648298</v>
      </c>
      <c r="C197">
        <v>0.81798790137171995</v>
      </c>
      <c r="D197">
        <f t="shared" si="193"/>
        <v>-1.3963086172931098</v>
      </c>
      <c r="E197">
        <f t="shared" ref="E197:F197" si="196">AVERAGE(B192:B197)</f>
        <v>2.484314000388975</v>
      </c>
      <c r="F197">
        <f t="shared" si="196"/>
        <v>3.018200723866352</v>
      </c>
      <c r="G197">
        <f t="shared" si="134"/>
        <v>0.53388672347737698</v>
      </c>
    </row>
    <row r="198" spans="1:7" x14ac:dyDescent="0.25">
      <c r="A198" s="2">
        <v>40452</v>
      </c>
      <c r="B198">
        <v>4.2452952854939996</v>
      </c>
      <c r="C198">
        <v>0.86850666827963396</v>
      </c>
      <c r="D198">
        <f t="shared" si="193"/>
        <v>-3.3767886172143657</v>
      </c>
      <c r="E198">
        <f t="shared" ref="E198:F198" si="197">AVERAGE(B193:B198)</f>
        <v>2.8782356152976369</v>
      </c>
      <c r="F198">
        <f t="shared" si="197"/>
        <v>2.5582253388020955</v>
      </c>
      <c r="G198">
        <f t="shared" si="134"/>
        <v>-0.32001027649554148</v>
      </c>
    </row>
    <row r="199" spans="1:7" x14ac:dyDescent="0.25">
      <c r="A199" s="2">
        <v>40483</v>
      </c>
      <c r="B199">
        <v>4.7257040739745699</v>
      </c>
      <c r="C199">
        <v>0.85679149721489301</v>
      </c>
      <c r="D199">
        <f t="shared" si="193"/>
        <v>-3.8689125767596768</v>
      </c>
      <c r="E199">
        <f t="shared" ref="E199:F199" si="198">AVERAGE(B194:B199)</f>
        <v>3.2426867814717828</v>
      </c>
      <c r="F199">
        <f t="shared" si="198"/>
        <v>2.0285087280226262</v>
      </c>
      <c r="G199">
        <f t="shared" si="134"/>
        <v>-1.2141780534491566</v>
      </c>
    </row>
    <row r="200" spans="1:7" x14ac:dyDescent="0.25">
      <c r="A200" s="2">
        <v>40513</v>
      </c>
      <c r="B200">
        <v>4.3548069807262904</v>
      </c>
      <c r="C200">
        <v>0.77492561915187796</v>
      </c>
      <c r="D200">
        <f t="shared" si="193"/>
        <v>-3.5798813615744125</v>
      </c>
      <c r="E200">
        <f t="shared" ref="E200:F200" si="199">AVERAGE(B195:B200)</f>
        <v>3.4961421356879683</v>
      </c>
      <c r="F200">
        <f t="shared" si="199"/>
        <v>1.3970362540230576</v>
      </c>
      <c r="G200">
        <f t="shared" ref="G200:G263" si="200">F200-E200</f>
        <v>-2.0991058816649106</v>
      </c>
    </row>
    <row r="201" spans="1:7" x14ac:dyDescent="0.25">
      <c r="A201" s="2">
        <v>40544</v>
      </c>
      <c r="B201">
        <v>1.61596246400629</v>
      </c>
      <c r="C201">
        <v>0.99240751864242405</v>
      </c>
      <c r="D201">
        <f t="shared" si="193"/>
        <v>-0.62355494536386591</v>
      </c>
      <c r="E201">
        <f t="shared" ref="E201:F201" si="201">AVERAGE(B196:B201)</f>
        <v>3.4055182896914915</v>
      </c>
      <c r="F201">
        <f t="shared" si="201"/>
        <v>0.95492252942512312</v>
      </c>
      <c r="G201">
        <f t="shared" si="200"/>
        <v>-2.4505957602663684</v>
      </c>
    </row>
    <row r="202" spans="1:7" x14ac:dyDescent="0.25">
      <c r="A202" s="2">
        <v>40575</v>
      </c>
      <c r="B202">
        <v>1.1703241064447301</v>
      </c>
      <c r="C202">
        <v>1.1906804023977899</v>
      </c>
      <c r="D202">
        <f t="shared" si="193"/>
        <v>2.0356295953059877E-2</v>
      </c>
      <c r="E202">
        <f t="shared" ref="E202:F202" si="202">AVERAGE(B197:B202)</f>
        <v>3.054398238218452</v>
      </c>
      <c r="F202">
        <f t="shared" si="202"/>
        <v>0.91688326784305652</v>
      </c>
      <c r="G202">
        <f t="shared" si="200"/>
        <v>-2.1375149703753955</v>
      </c>
    </row>
    <row r="203" spans="1:7" x14ac:dyDescent="0.25">
      <c r="A203" s="2">
        <v>40603</v>
      </c>
      <c r="B203">
        <v>1.656910479992</v>
      </c>
      <c r="C203">
        <v>2.3885619603536101</v>
      </c>
      <c r="D203">
        <f t="shared" si="193"/>
        <v>0.7316514803616101</v>
      </c>
      <c r="E203">
        <f t="shared" ref="E203:F203" si="203">AVERAGE(B198:B203)</f>
        <v>2.9615005651063133</v>
      </c>
      <c r="F203">
        <f t="shared" si="203"/>
        <v>1.178645611006705</v>
      </c>
      <c r="G203">
        <f t="shared" si="200"/>
        <v>-1.7828549540996084</v>
      </c>
    </row>
    <row r="204" spans="1:7" x14ac:dyDescent="0.25">
      <c r="A204" s="2">
        <v>40634</v>
      </c>
      <c r="B204">
        <v>1.48726191121037</v>
      </c>
      <c r="C204">
        <v>2.4731797941309299</v>
      </c>
      <c r="D204">
        <f t="shared" si="193"/>
        <v>0.98591788292055993</v>
      </c>
      <c r="E204">
        <f t="shared" ref="E204:F204" si="204">AVERAGE(B199:B204)</f>
        <v>2.5018283360590416</v>
      </c>
      <c r="F204">
        <f t="shared" si="204"/>
        <v>1.4460911319819207</v>
      </c>
      <c r="G204">
        <f t="shared" si="200"/>
        <v>-1.0557372040771209</v>
      </c>
    </row>
    <row r="205" spans="1:7" x14ac:dyDescent="0.25">
      <c r="A205" s="2">
        <v>40664</v>
      </c>
      <c r="B205">
        <v>1.93912216845548</v>
      </c>
      <c r="C205">
        <v>2.8630597588735398</v>
      </c>
      <c r="D205">
        <f t="shared" si="193"/>
        <v>0.92393759041805978</v>
      </c>
      <c r="E205">
        <f t="shared" ref="E205:F205" si="205">AVERAGE(B200:B205)</f>
        <v>2.0373980184725267</v>
      </c>
      <c r="F205">
        <f t="shared" si="205"/>
        <v>1.7804691755916953</v>
      </c>
      <c r="G205">
        <f t="shared" si="200"/>
        <v>-0.2569288428808314</v>
      </c>
    </row>
    <row r="206" spans="1:7" x14ac:dyDescent="0.25">
      <c r="A206" s="2">
        <v>40695</v>
      </c>
      <c r="B206">
        <v>2.09195782673536</v>
      </c>
      <c r="C206">
        <v>2.4884641058717798</v>
      </c>
      <c r="D206">
        <f t="shared" si="193"/>
        <v>0.39650627913641978</v>
      </c>
      <c r="E206">
        <f t="shared" ref="E206:F206" si="206">AVERAGE(B201:B206)</f>
        <v>1.6602564928073715</v>
      </c>
      <c r="F206">
        <f t="shared" si="206"/>
        <v>2.0660589233783457</v>
      </c>
      <c r="G206">
        <f t="shared" si="200"/>
        <v>0.4058024305709742</v>
      </c>
    </row>
    <row r="207" spans="1:7" x14ac:dyDescent="0.25">
      <c r="A207" s="2">
        <v>40725</v>
      </c>
      <c r="B207">
        <v>1.7109659959950601</v>
      </c>
      <c r="C207">
        <v>2.1955532771360202</v>
      </c>
      <c r="D207">
        <f t="shared" si="193"/>
        <v>0.48458728114096017</v>
      </c>
      <c r="E207">
        <f t="shared" ref="E207:F207" si="207">AVERAGE(B202:B207)</f>
        <v>1.6760904148055003</v>
      </c>
      <c r="F207">
        <f t="shared" si="207"/>
        <v>2.2665832164606114</v>
      </c>
      <c r="G207">
        <f t="shared" si="200"/>
        <v>0.5904928016551112</v>
      </c>
    </row>
    <row r="208" spans="1:7" x14ac:dyDescent="0.25">
      <c r="A208" s="2">
        <v>40756</v>
      </c>
      <c r="B208">
        <v>2.28277994284133</v>
      </c>
      <c r="C208">
        <v>3.0584204743048602</v>
      </c>
      <c r="D208">
        <f t="shared" si="193"/>
        <v>0.77564053146353018</v>
      </c>
      <c r="E208">
        <f t="shared" ref="E208:F208" si="208">AVERAGE(B203:B208)</f>
        <v>1.8614997208716</v>
      </c>
      <c r="F208">
        <f t="shared" si="208"/>
        <v>2.5778732284451231</v>
      </c>
      <c r="G208">
        <f t="shared" si="200"/>
        <v>0.71637350757352314</v>
      </c>
    </row>
    <row r="209" spans="1:7" x14ac:dyDescent="0.25">
      <c r="A209" s="2">
        <v>40787</v>
      </c>
      <c r="B209">
        <v>2.39130873026423</v>
      </c>
      <c r="C209">
        <v>2.0504317497712399</v>
      </c>
      <c r="D209">
        <f t="shared" si="193"/>
        <v>-0.34087698049299009</v>
      </c>
      <c r="E209">
        <f t="shared" ref="E209:F209" si="209">AVERAGE(B204:B209)</f>
        <v>1.9838994292503049</v>
      </c>
      <c r="F209">
        <f t="shared" si="209"/>
        <v>2.5215181933480619</v>
      </c>
      <c r="G209">
        <f t="shared" si="200"/>
        <v>0.537618764097757</v>
      </c>
    </row>
    <row r="210" spans="1:7" x14ac:dyDescent="0.25">
      <c r="A210" s="2">
        <v>40817</v>
      </c>
      <c r="B210">
        <v>2.9676677280677701</v>
      </c>
      <c r="C210">
        <v>1.9970563288499199</v>
      </c>
      <c r="D210">
        <f t="shared" si="193"/>
        <v>-0.97061139921785022</v>
      </c>
      <c r="E210">
        <f t="shared" ref="E210:F210" si="210">AVERAGE(B205:B210)</f>
        <v>2.2306337320598719</v>
      </c>
      <c r="F210">
        <f t="shared" si="210"/>
        <v>2.4421642824678931</v>
      </c>
      <c r="G210">
        <f t="shared" si="200"/>
        <v>0.21153055040802116</v>
      </c>
    </row>
    <row r="211" spans="1:7" x14ac:dyDescent="0.25">
      <c r="A211" s="2">
        <v>40848</v>
      </c>
      <c r="B211">
        <v>1.4723128361806901</v>
      </c>
      <c r="C211">
        <v>1.65055067914249</v>
      </c>
      <c r="D211">
        <f t="shared" si="193"/>
        <v>0.1782378429617999</v>
      </c>
      <c r="E211">
        <f t="shared" ref="E211:F211" si="211">AVERAGE(B206:B211)</f>
        <v>2.1528321766807399</v>
      </c>
      <c r="F211">
        <f t="shared" si="211"/>
        <v>2.2400794358460518</v>
      </c>
      <c r="G211">
        <f t="shared" si="200"/>
        <v>8.7247259165311952E-2</v>
      </c>
    </row>
    <row r="212" spans="1:7" x14ac:dyDescent="0.25">
      <c r="A212" s="2">
        <v>40878</v>
      </c>
      <c r="B212">
        <v>0.65433118440599802</v>
      </c>
      <c r="C212">
        <v>1.5491943345353001</v>
      </c>
      <c r="D212">
        <f t="shared" si="193"/>
        <v>0.89486315012930207</v>
      </c>
      <c r="E212">
        <f t="shared" ref="E212:F212" si="212">AVERAGE(B207:B212)</f>
        <v>1.913227736292513</v>
      </c>
      <c r="F212">
        <f t="shared" si="212"/>
        <v>2.0835344739566386</v>
      </c>
      <c r="G212">
        <f t="shared" si="200"/>
        <v>0.17030673766412563</v>
      </c>
    </row>
    <row r="213" spans="1:7" x14ac:dyDescent="0.25">
      <c r="A213" s="2">
        <v>40909</v>
      </c>
      <c r="B213">
        <v>1.5059361908589399</v>
      </c>
      <c r="C213">
        <v>1.2093779742541699</v>
      </c>
      <c r="D213">
        <f t="shared" si="193"/>
        <v>-0.29655821660477</v>
      </c>
      <c r="E213">
        <f t="shared" ref="E213:F213" si="213">AVERAGE(B208:B213)</f>
        <v>1.8790561021031593</v>
      </c>
      <c r="F213">
        <f t="shared" si="213"/>
        <v>1.9191719234763305</v>
      </c>
      <c r="G213">
        <f t="shared" si="200"/>
        <v>4.0115821373171157E-2</v>
      </c>
    </row>
    <row r="214" spans="1:7" x14ac:dyDescent="0.25">
      <c r="A214" s="2">
        <v>40940</v>
      </c>
      <c r="B214">
        <v>1.21159459002564</v>
      </c>
      <c r="C214">
        <v>0.91935798338407304</v>
      </c>
      <c r="D214">
        <f t="shared" si="193"/>
        <v>-0.29223660664156692</v>
      </c>
      <c r="E214">
        <f t="shared" ref="E214:F214" si="214">AVERAGE(B209:B214)</f>
        <v>1.7005252099672115</v>
      </c>
      <c r="F214">
        <f t="shared" si="214"/>
        <v>1.5626615083228652</v>
      </c>
      <c r="G214">
        <f t="shared" si="200"/>
        <v>-0.13786370164434625</v>
      </c>
    </row>
    <row r="215" spans="1:7" x14ac:dyDescent="0.25">
      <c r="A215" s="2">
        <v>40969</v>
      </c>
      <c r="B215">
        <v>1.91666206686734</v>
      </c>
      <c r="C215">
        <v>1.06791594543888</v>
      </c>
      <c r="D215">
        <f t="shared" si="193"/>
        <v>-0.84874612142845995</v>
      </c>
      <c r="E215">
        <f t="shared" ref="E215:F215" si="215">AVERAGE(B210:B215)</f>
        <v>1.6214174327343962</v>
      </c>
      <c r="F215">
        <f t="shared" si="215"/>
        <v>1.3989088742674722</v>
      </c>
      <c r="G215">
        <f t="shared" si="200"/>
        <v>-0.22250855846692397</v>
      </c>
    </row>
    <row r="216" spans="1:7" x14ac:dyDescent="0.25">
      <c r="A216" s="2">
        <v>41000</v>
      </c>
      <c r="B216">
        <v>1.0869426339464401</v>
      </c>
      <c r="C216">
        <v>0.84588385723778403</v>
      </c>
      <c r="D216">
        <f t="shared" si="193"/>
        <v>-0.24105877670865605</v>
      </c>
      <c r="E216">
        <f t="shared" ref="E216:F216" si="216">AVERAGE(B211:B216)</f>
        <v>1.3079632503808412</v>
      </c>
      <c r="F216">
        <f t="shared" si="216"/>
        <v>1.2070467956654494</v>
      </c>
      <c r="G216">
        <f t="shared" si="200"/>
        <v>-0.10091645471539179</v>
      </c>
    </row>
    <row r="217" spans="1:7" x14ac:dyDescent="0.25">
      <c r="A217" s="2">
        <v>41030</v>
      </c>
      <c r="B217">
        <v>1.2083741027777199</v>
      </c>
      <c r="C217">
        <v>0.60787671634826601</v>
      </c>
      <c r="D217">
        <f t="shared" si="193"/>
        <v>-0.60049738642945394</v>
      </c>
      <c r="E217">
        <f t="shared" ref="E217:F217" si="217">AVERAGE(B212:B217)</f>
        <v>1.2639734614803462</v>
      </c>
      <c r="F217">
        <f t="shared" si="217"/>
        <v>1.0332678018664123</v>
      </c>
      <c r="G217">
        <f t="shared" si="200"/>
        <v>-0.23070565961393386</v>
      </c>
    </row>
    <row r="218" spans="1:7" x14ac:dyDescent="0.25">
      <c r="A218" s="2">
        <v>41061</v>
      </c>
      <c r="B218">
        <v>1.42734410556395</v>
      </c>
      <c r="C218">
        <v>0.64842579661720201</v>
      </c>
      <c r="D218">
        <f t="shared" si="193"/>
        <v>-0.77891830894674796</v>
      </c>
      <c r="E218">
        <f t="shared" ref="E218:F218" si="218">AVERAGE(B213:B218)</f>
        <v>1.392808948340005</v>
      </c>
      <c r="F218">
        <f t="shared" si="218"/>
        <v>0.88313971221339582</v>
      </c>
      <c r="G218">
        <f t="shared" si="200"/>
        <v>-0.50966923612660919</v>
      </c>
    </row>
    <row r="219" spans="1:7" x14ac:dyDescent="0.25">
      <c r="A219" s="2">
        <v>41091</v>
      </c>
      <c r="B219">
        <v>1.2749337224919399</v>
      </c>
      <c r="C219">
        <v>0.55463991881471397</v>
      </c>
      <c r="D219">
        <f t="shared" si="193"/>
        <v>-0.72029380367722595</v>
      </c>
      <c r="E219">
        <f t="shared" ref="E219:F219" si="219">AVERAGE(B214:B219)</f>
        <v>1.3543085369455052</v>
      </c>
      <c r="F219">
        <f t="shared" si="219"/>
        <v>0.77401670297348657</v>
      </c>
      <c r="G219">
        <f t="shared" si="200"/>
        <v>-0.58029183397201867</v>
      </c>
    </row>
    <row r="220" spans="1:7" x14ac:dyDescent="0.25">
      <c r="A220" s="2">
        <v>41122</v>
      </c>
      <c r="B220">
        <v>1.2851154885289999</v>
      </c>
      <c r="C220">
        <v>0.40799122112501501</v>
      </c>
      <c r="D220">
        <f t="shared" si="193"/>
        <v>-0.87712426740398497</v>
      </c>
      <c r="E220">
        <f t="shared" ref="E220:F220" si="220">AVERAGE(B215:B220)</f>
        <v>1.3665620200293984</v>
      </c>
      <c r="F220">
        <f t="shared" si="220"/>
        <v>0.68878890926364356</v>
      </c>
      <c r="G220">
        <f t="shared" si="200"/>
        <v>-0.67777311076575486</v>
      </c>
    </row>
    <row r="221" spans="1:7" x14ac:dyDescent="0.25">
      <c r="A221" s="2">
        <v>41153</v>
      </c>
      <c r="B221">
        <v>0.77812368276306598</v>
      </c>
      <c r="C221">
        <v>0.30226697207358399</v>
      </c>
      <c r="D221">
        <f t="shared" si="193"/>
        <v>-0.47585671068948199</v>
      </c>
      <c r="E221">
        <f t="shared" ref="E221:F221" si="221">AVERAGE(B216:B221)</f>
        <v>1.176805622678686</v>
      </c>
      <c r="F221">
        <f t="shared" si="221"/>
        <v>0.56118074703609422</v>
      </c>
      <c r="G221">
        <f t="shared" si="200"/>
        <v>-0.61562487564259183</v>
      </c>
    </row>
    <row r="222" spans="1:7" x14ac:dyDescent="0.25">
      <c r="A222" s="2">
        <v>41183</v>
      </c>
      <c r="B222">
        <v>0.73926080475087397</v>
      </c>
      <c r="C222">
        <v>0.29929269884112503</v>
      </c>
      <c r="D222">
        <f t="shared" si="193"/>
        <v>-0.43996810590974894</v>
      </c>
      <c r="E222">
        <f t="shared" ref="E222:F222" si="222">AVERAGE(B217:B222)</f>
        <v>1.1188586511460914</v>
      </c>
      <c r="F222">
        <f t="shared" si="222"/>
        <v>0.470082220636651</v>
      </c>
      <c r="G222">
        <f t="shared" si="200"/>
        <v>-0.64877643050944034</v>
      </c>
    </row>
    <row r="223" spans="1:7" x14ac:dyDescent="0.25">
      <c r="A223" s="2">
        <v>41214</v>
      </c>
      <c r="B223">
        <v>0.72452553719746204</v>
      </c>
      <c r="C223">
        <v>0.25910068286295601</v>
      </c>
      <c r="D223">
        <f t="shared" si="193"/>
        <v>-0.46542485433450603</v>
      </c>
      <c r="E223">
        <f t="shared" ref="E223:F223" si="223">AVERAGE(B218:B223)</f>
        <v>1.0382172235493818</v>
      </c>
      <c r="F223">
        <f t="shared" si="223"/>
        <v>0.41195288172243266</v>
      </c>
      <c r="G223">
        <f t="shared" si="200"/>
        <v>-0.62626434182694912</v>
      </c>
    </row>
    <row r="224" spans="1:7" x14ac:dyDescent="0.25">
      <c r="A224" s="2">
        <v>41244</v>
      </c>
      <c r="B224">
        <v>0.86482100409984697</v>
      </c>
      <c r="C224">
        <v>0.23764532094860999</v>
      </c>
      <c r="D224">
        <f t="shared" si="193"/>
        <v>-0.62717568315123695</v>
      </c>
      <c r="E224">
        <f t="shared" ref="E224:F224" si="224">AVERAGE(B219:B224)</f>
        <v>0.94446337330536478</v>
      </c>
      <c r="F224">
        <f t="shared" si="224"/>
        <v>0.34348946911100064</v>
      </c>
      <c r="G224">
        <f t="shared" si="200"/>
        <v>-0.60097390419436414</v>
      </c>
    </row>
    <row r="225" spans="1:7" x14ac:dyDescent="0.25">
      <c r="A225" s="2">
        <v>41275</v>
      </c>
      <c r="B225">
        <v>0.59198414259128396</v>
      </c>
      <c r="C225">
        <v>0.20340796685399701</v>
      </c>
      <c r="D225">
        <f t="shared" si="193"/>
        <v>-0.38857617573728698</v>
      </c>
      <c r="E225">
        <f t="shared" ref="E225:F225" si="225">AVERAGE(B220:B225)</f>
        <v>0.83063844332192216</v>
      </c>
      <c r="F225">
        <f t="shared" si="225"/>
        <v>0.28495081045088116</v>
      </c>
      <c r="G225">
        <f t="shared" si="200"/>
        <v>-0.54568763287104094</v>
      </c>
    </row>
    <row r="226" spans="1:7" x14ac:dyDescent="0.25">
      <c r="A226" s="2">
        <v>41306</v>
      </c>
      <c r="B226">
        <v>0.47261342481216301</v>
      </c>
      <c r="C226">
        <v>0.306543437697959</v>
      </c>
      <c r="D226">
        <f t="shared" si="193"/>
        <v>-0.16606998711420401</v>
      </c>
      <c r="E226">
        <f t="shared" ref="E226:F226" si="226">AVERAGE(B221:B226)</f>
        <v>0.6952214327024494</v>
      </c>
      <c r="F226">
        <f t="shared" si="226"/>
        <v>0.26804284654637184</v>
      </c>
      <c r="G226">
        <f t="shared" si="200"/>
        <v>-0.42717858615607757</v>
      </c>
    </row>
    <row r="227" spans="1:7" x14ac:dyDescent="0.25">
      <c r="A227" s="2">
        <v>41334</v>
      </c>
      <c r="B227">
        <v>0.82383841280407899</v>
      </c>
      <c r="C227">
        <v>0.51328063932930501</v>
      </c>
      <c r="D227">
        <f t="shared" si="193"/>
        <v>-0.31055777347477398</v>
      </c>
      <c r="E227">
        <f t="shared" ref="E227:F227" si="227">AVERAGE(B222:B227)</f>
        <v>0.7028405543759515</v>
      </c>
      <c r="F227">
        <f t="shared" si="227"/>
        <v>0.30321179108899199</v>
      </c>
      <c r="G227">
        <f t="shared" si="200"/>
        <v>-0.39962876328695951</v>
      </c>
    </row>
    <row r="228" spans="1:7" x14ac:dyDescent="0.25">
      <c r="A228" s="2">
        <v>41365</v>
      </c>
      <c r="B228">
        <v>1.10537604064127</v>
      </c>
      <c r="C228">
        <v>0.672271491723753</v>
      </c>
      <c r="D228">
        <f t="shared" si="193"/>
        <v>-0.43310454891751704</v>
      </c>
      <c r="E228">
        <f t="shared" ref="E228:F228" si="228">AVERAGE(B223:B228)</f>
        <v>0.7638597603576841</v>
      </c>
      <c r="F228">
        <f t="shared" si="228"/>
        <v>0.36537492323609672</v>
      </c>
      <c r="G228">
        <f t="shared" si="200"/>
        <v>-0.39848483712158739</v>
      </c>
    </row>
    <row r="229" spans="1:7" x14ac:dyDescent="0.25">
      <c r="A229" s="2">
        <v>41395</v>
      </c>
      <c r="B229">
        <v>1.4344883473688901</v>
      </c>
      <c r="C229">
        <v>0.72931678574167402</v>
      </c>
      <c r="D229">
        <f t="shared" si="193"/>
        <v>-0.70517156162721606</v>
      </c>
      <c r="E229">
        <f t="shared" ref="E229:F229" si="229">AVERAGE(B224:B229)</f>
        <v>0.88218689538625539</v>
      </c>
      <c r="F229">
        <f t="shared" si="229"/>
        <v>0.44374427371588299</v>
      </c>
      <c r="G229">
        <f t="shared" si="200"/>
        <v>-0.4384426216703724</v>
      </c>
    </row>
    <row r="230" spans="1:7" x14ac:dyDescent="0.25">
      <c r="A230" s="2">
        <v>41426</v>
      </c>
      <c r="B230">
        <v>1.4940840416377299</v>
      </c>
      <c r="C230">
        <v>0.96102793062564595</v>
      </c>
      <c r="D230">
        <f t="shared" si="193"/>
        <v>-0.53305611101208394</v>
      </c>
      <c r="E230">
        <f t="shared" ref="E230:F230" si="230">AVERAGE(B225:B230)</f>
        <v>0.98706406830923588</v>
      </c>
      <c r="F230">
        <f t="shared" si="230"/>
        <v>0.56430804199538909</v>
      </c>
      <c r="G230">
        <f t="shared" si="200"/>
        <v>-0.42275602631384679</v>
      </c>
    </row>
    <row r="231" spans="1:7" x14ac:dyDescent="0.25">
      <c r="A231" s="2">
        <v>41456</v>
      </c>
      <c r="B231">
        <v>3.3399246285866799</v>
      </c>
      <c r="C231">
        <v>2.62818001580631</v>
      </c>
      <c r="D231">
        <f t="shared" si="193"/>
        <v>-0.71174461278036993</v>
      </c>
      <c r="E231">
        <f t="shared" ref="E231:F231" si="231">AVERAGE(B226:B231)</f>
        <v>1.4450541493084685</v>
      </c>
      <c r="F231">
        <f t="shared" si="231"/>
        <v>0.96843671682077448</v>
      </c>
      <c r="G231">
        <f t="shared" si="200"/>
        <v>-0.47661743248769406</v>
      </c>
    </row>
    <row r="232" spans="1:7" x14ac:dyDescent="0.25">
      <c r="A232" s="2">
        <v>41487</v>
      </c>
      <c r="B232">
        <v>3.42528589133775</v>
      </c>
      <c r="C232">
        <v>3.2138319667838302</v>
      </c>
      <c r="D232">
        <f t="shared" si="193"/>
        <v>-0.21145392455391976</v>
      </c>
      <c r="E232">
        <f t="shared" ref="E232:F232" si="232">AVERAGE(B227:B232)</f>
        <v>1.9371662270627332</v>
      </c>
      <c r="F232">
        <f t="shared" si="232"/>
        <v>1.4529848050017531</v>
      </c>
      <c r="G232">
        <f t="shared" si="200"/>
        <v>-0.48418142206098014</v>
      </c>
    </row>
    <row r="233" spans="1:7" x14ac:dyDescent="0.25">
      <c r="A233" s="2">
        <v>41518</v>
      </c>
      <c r="B233">
        <v>2.8028905655420302</v>
      </c>
      <c r="C233">
        <v>2.85999560132624</v>
      </c>
      <c r="D233">
        <f t="shared" si="193"/>
        <v>5.7105035784209779E-2</v>
      </c>
      <c r="E233">
        <f t="shared" ref="E233:F233" si="233">AVERAGE(B228:B233)</f>
        <v>2.2670082525190582</v>
      </c>
      <c r="F233">
        <f t="shared" si="233"/>
        <v>1.8441039653345754</v>
      </c>
      <c r="G233">
        <f t="shared" si="200"/>
        <v>-0.42290428718448281</v>
      </c>
    </row>
    <row r="234" spans="1:7" x14ac:dyDescent="0.25">
      <c r="A234" s="2">
        <v>41548</v>
      </c>
      <c r="B234">
        <v>2.7068785413060099</v>
      </c>
      <c r="C234">
        <v>2.98199592252426</v>
      </c>
      <c r="D234">
        <f t="shared" si="193"/>
        <v>0.27511738121825013</v>
      </c>
      <c r="E234">
        <f t="shared" ref="E234:F234" si="234">AVERAGE(B229:B234)</f>
        <v>2.5339253359631813</v>
      </c>
      <c r="F234">
        <f t="shared" si="234"/>
        <v>2.22905803713466</v>
      </c>
      <c r="G234">
        <f t="shared" si="200"/>
        <v>-0.30486729882852126</v>
      </c>
    </row>
    <row r="235" spans="1:7" x14ac:dyDescent="0.25">
      <c r="A235" s="2">
        <v>41579</v>
      </c>
      <c r="B235">
        <v>1.8897074000598899</v>
      </c>
      <c r="C235">
        <v>2.6494169614679501</v>
      </c>
      <c r="D235">
        <f t="shared" si="193"/>
        <v>0.75970956140806023</v>
      </c>
      <c r="E235">
        <f t="shared" ref="E235:F235" si="235">AVERAGE(B230:B235)</f>
        <v>2.6097951780783486</v>
      </c>
      <c r="F235">
        <f t="shared" si="235"/>
        <v>2.5490747330890393</v>
      </c>
      <c r="G235">
        <f t="shared" si="200"/>
        <v>-6.0720444989309286E-2</v>
      </c>
    </row>
    <row r="236" spans="1:7" x14ac:dyDescent="0.25">
      <c r="A236" s="2">
        <v>41609</v>
      </c>
      <c r="B236">
        <v>2.1693536709952101</v>
      </c>
      <c r="C236">
        <v>2.9077183903610999</v>
      </c>
      <c r="D236">
        <f t="shared" si="193"/>
        <v>0.73836471936588977</v>
      </c>
      <c r="E236">
        <f t="shared" ref="E236:F236" si="236">AVERAGE(B231:B236)</f>
        <v>2.7223401163045953</v>
      </c>
      <c r="F236">
        <f t="shared" si="236"/>
        <v>2.8735231430449484</v>
      </c>
      <c r="G236">
        <f t="shared" si="200"/>
        <v>0.15118302674035311</v>
      </c>
    </row>
    <row r="237" spans="1:7" x14ac:dyDescent="0.25">
      <c r="A237" s="2">
        <v>41640</v>
      </c>
      <c r="B237">
        <v>1.6626819080183199</v>
      </c>
      <c r="C237">
        <v>2.4402124477526499</v>
      </c>
      <c r="D237">
        <f t="shared" si="193"/>
        <v>0.77753053973432995</v>
      </c>
      <c r="E237">
        <f t="shared" ref="E237:F237" si="237">AVERAGE(B232:B237)</f>
        <v>2.4427996628765349</v>
      </c>
      <c r="F237">
        <f t="shared" si="237"/>
        <v>2.8421952150360053</v>
      </c>
      <c r="G237">
        <f t="shared" si="200"/>
        <v>0.39939555215947031</v>
      </c>
    </row>
    <row r="238" spans="1:7" x14ac:dyDescent="0.25">
      <c r="A238" s="2">
        <v>41671</v>
      </c>
      <c r="B238">
        <v>1.6475623814076501</v>
      </c>
      <c r="C238">
        <v>2.7385970872623</v>
      </c>
      <c r="D238">
        <f t="shared" si="193"/>
        <v>1.0910347058546499</v>
      </c>
      <c r="E238">
        <f t="shared" ref="E238:F238" si="238">AVERAGE(B233:B238)</f>
        <v>2.1465124112215181</v>
      </c>
      <c r="F238">
        <f t="shared" si="238"/>
        <v>2.7629894017824164</v>
      </c>
      <c r="G238">
        <f t="shared" si="200"/>
        <v>0.61647699056089822</v>
      </c>
    </row>
    <row r="239" spans="1:7" x14ac:dyDescent="0.25">
      <c r="A239" s="2">
        <v>41699</v>
      </c>
      <c r="B239">
        <v>2.2549652119008101</v>
      </c>
      <c r="C239">
        <v>3.7997261843730299</v>
      </c>
      <c r="D239">
        <f t="shared" si="193"/>
        <v>1.5447609724722198</v>
      </c>
      <c r="E239">
        <f t="shared" ref="E239:F239" si="239">AVERAGE(B234:B239)</f>
        <v>2.0551915189479817</v>
      </c>
      <c r="F239">
        <f t="shared" si="239"/>
        <v>2.9196111656235479</v>
      </c>
      <c r="G239">
        <f t="shared" si="200"/>
        <v>0.86441964667556626</v>
      </c>
    </row>
    <row r="240" spans="1:7" x14ac:dyDescent="0.25">
      <c r="A240" s="2">
        <v>41730</v>
      </c>
      <c r="B240">
        <v>2.62268737808945</v>
      </c>
      <c r="C240">
        <v>4.6535697549449999</v>
      </c>
      <c r="D240">
        <f t="shared" si="193"/>
        <v>2.03088237685555</v>
      </c>
      <c r="E240">
        <f t="shared" ref="E240:F240" si="240">AVERAGE(B235:B240)</f>
        <v>2.0411596584118885</v>
      </c>
      <c r="F240">
        <f t="shared" si="240"/>
        <v>3.1982068043603378</v>
      </c>
      <c r="G240">
        <f t="shared" si="200"/>
        <v>1.1570471459484493</v>
      </c>
    </row>
    <row r="241" spans="1:7" x14ac:dyDescent="0.25">
      <c r="A241" s="2">
        <v>41760</v>
      </c>
      <c r="B241">
        <v>3.4712542451944701</v>
      </c>
      <c r="C241">
        <v>5.47482789288342</v>
      </c>
      <c r="D241">
        <f t="shared" si="193"/>
        <v>2.0035736476889499</v>
      </c>
      <c r="E241">
        <f t="shared" ref="E241:F241" si="241">AVERAGE(B236:B241)</f>
        <v>2.3047507992676515</v>
      </c>
      <c r="F241">
        <f t="shared" si="241"/>
        <v>3.6691086262629162</v>
      </c>
      <c r="G241">
        <f t="shared" si="200"/>
        <v>1.3643578269952648</v>
      </c>
    </row>
    <row r="242" spans="1:7" x14ac:dyDescent="0.25">
      <c r="A242" s="2">
        <v>41791</v>
      </c>
      <c r="B242">
        <v>3.96727962852006</v>
      </c>
      <c r="C242">
        <v>6.5104310615905296</v>
      </c>
      <c r="D242">
        <f t="shared" si="193"/>
        <v>2.5431514330704696</v>
      </c>
      <c r="E242">
        <f t="shared" ref="E242:F242" si="242">AVERAGE(B237:B242)</f>
        <v>2.6044051255217937</v>
      </c>
      <c r="F242">
        <f t="shared" si="242"/>
        <v>4.269560738134488</v>
      </c>
      <c r="G242">
        <f t="shared" si="200"/>
        <v>1.6651556126126943</v>
      </c>
    </row>
    <row r="243" spans="1:7" x14ac:dyDescent="0.25">
      <c r="A243" s="2">
        <v>41821</v>
      </c>
      <c r="B243">
        <v>3.9210315390033199</v>
      </c>
      <c r="C243">
        <v>6.4227362377484498</v>
      </c>
      <c r="D243">
        <f t="shared" si="193"/>
        <v>2.5017046987451299</v>
      </c>
      <c r="E243">
        <f t="shared" ref="E243:F243" si="243">AVERAGE(B238:B243)</f>
        <v>2.98079673068596</v>
      </c>
      <c r="F243">
        <f t="shared" si="243"/>
        <v>4.9333147031337878</v>
      </c>
      <c r="G243">
        <f t="shared" si="200"/>
        <v>1.9525179724478279</v>
      </c>
    </row>
    <row r="244" spans="1:7" x14ac:dyDescent="0.25">
      <c r="A244" s="2">
        <v>41852</v>
      </c>
      <c r="B244">
        <v>3.4124453352120301</v>
      </c>
      <c r="C244">
        <v>6.7795152154271303</v>
      </c>
      <c r="D244">
        <f t="shared" si="193"/>
        <v>3.3670698802151002</v>
      </c>
      <c r="E244">
        <f t="shared" ref="E244:F244" si="244">AVERAGE(B239:B244)</f>
        <v>3.2749438896533571</v>
      </c>
      <c r="F244">
        <f t="shared" si="244"/>
        <v>5.6068010578279264</v>
      </c>
      <c r="G244">
        <f t="shared" si="200"/>
        <v>2.3318571681745692</v>
      </c>
    </row>
    <row r="245" spans="1:7" x14ac:dyDescent="0.25">
      <c r="A245" s="2">
        <v>41883</v>
      </c>
      <c r="B245">
        <v>3.09363492159035</v>
      </c>
      <c r="C245">
        <v>5.9050017246378896</v>
      </c>
      <c r="D245">
        <f t="shared" si="193"/>
        <v>2.8113668030475396</v>
      </c>
      <c r="E245">
        <f t="shared" ref="E245:F245" si="245">AVERAGE(B240:B245)</f>
        <v>3.414722174601613</v>
      </c>
      <c r="F245">
        <f t="shared" si="245"/>
        <v>5.9576803145387371</v>
      </c>
      <c r="G245">
        <f t="shared" si="200"/>
        <v>2.5429581399371242</v>
      </c>
    </row>
    <row r="246" spans="1:7" x14ac:dyDescent="0.25">
      <c r="A246" s="2">
        <v>41913</v>
      </c>
      <c r="B246">
        <v>3.2056842612213199</v>
      </c>
      <c r="C246">
        <v>5.9080901255964697</v>
      </c>
      <c r="D246">
        <f t="shared" si="193"/>
        <v>2.7024058643751498</v>
      </c>
      <c r="E246">
        <f t="shared" ref="E246:F246" si="246">AVERAGE(B241:B246)</f>
        <v>3.5118883217902579</v>
      </c>
      <c r="F246">
        <f t="shared" si="246"/>
        <v>6.1667670429806476</v>
      </c>
      <c r="G246">
        <f t="shared" si="200"/>
        <v>2.6548787211903897</v>
      </c>
    </row>
    <row r="247" spans="1:7" x14ac:dyDescent="0.25">
      <c r="A247" s="2">
        <v>41944</v>
      </c>
      <c r="B247">
        <v>2.3709820905487899</v>
      </c>
      <c r="C247">
        <v>5.3958012316049997</v>
      </c>
      <c r="D247">
        <f t="shared" si="193"/>
        <v>3.0248191410562097</v>
      </c>
      <c r="E247">
        <f t="shared" ref="E247:F247" si="247">AVERAGE(B242:B247)</f>
        <v>3.3285096293493122</v>
      </c>
      <c r="F247">
        <f t="shared" si="247"/>
        <v>6.1535959327675789</v>
      </c>
      <c r="G247">
        <f t="shared" si="200"/>
        <v>2.8250863034182667</v>
      </c>
    </row>
    <row r="248" spans="1:7" x14ac:dyDescent="0.25">
      <c r="A248" s="2">
        <v>41974</v>
      </c>
      <c r="B248">
        <v>2.73430456415407</v>
      </c>
      <c r="C248">
        <v>5.4457001779407799</v>
      </c>
      <c r="D248">
        <f t="shared" si="193"/>
        <v>2.7113956137867099</v>
      </c>
      <c r="E248">
        <f t="shared" ref="E248:F248" si="248">AVERAGE(B243:B248)</f>
        <v>3.1230137852883133</v>
      </c>
      <c r="F248">
        <f t="shared" si="248"/>
        <v>5.9761407854926203</v>
      </c>
      <c r="G248">
        <f t="shared" si="200"/>
        <v>2.853127000204307</v>
      </c>
    </row>
    <row r="249" spans="1:7" x14ac:dyDescent="0.25">
      <c r="A249" s="2">
        <v>42005</v>
      </c>
      <c r="B249">
        <v>1.1144372393558999</v>
      </c>
      <c r="C249">
        <v>2.5283566374054498</v>
      </c>
      <c r="D249">
        <f t="shared" si="193"/>
        <v>1.4139193980495499</v>
      </c>
      <c r="E249">
        <f t="shared" ref="E249:F249" si="249">AVERAGE(B244:B249)</f>
        <v>2.6552480686804096</v>
      </c>
      <c r="F249">
        <f t="shared" si="249"/>
        <v>5.3270775187687862</v>
      </c>
      <c r="G249">
        <f t="shared" si="200"/>
        <v>2.6718294500883766</v>
      </c>
    </row>
    <row r="250" spans="1:7" x14ac:dyDescent="0.25">
      <c r="A250" s="2">
        <v>42036</v>
      </c>
      <c r="B250">
        <v>0.91481912808052401</v>
      </c>
      <c r="C250">
        <v>1.3667988189687601</v>
      </c>
      <c r="D250">
        <f t="shared" si="193"/>
        <v>0.45197969088823609</v>
      </c>
      <c r="E250">
        <f t="shared" ref="E250:F250" si="250">AVERAGE(B245:B250)</f>
        <v>2.2389770341584923</v>
      </c>
      <c r="F250">
        <f t="shared" si="250"/>
        <v>4.4249581193590579</v>
      </c>
      <c r="G250">
        <f t="shared" si="200"/>
        <v>2.1859810852005657</v>
      </c>
    </row>
    <row r="251" spans="1:7" x14ac:dyDescent="0.25">
      <c r="A251" s="2">
        <v>42064</v>
      </c>
      <c r="B251">
        <v>1.39785647005809</v>
      </c>
      <c r="C251">
        <v>1.8611661238897701</v>
      </c>
      <c r="D251">
        <f t="shared" si="193"/>
        <v>0.4633096538316801</v>
      </c>
      <c r="E251">
        <f t="shared" ref="E251:F251" si="251">AVERAGE(B246:B251)</f>
        <v>1.9563472922364487</v>
      </c>
      <c r="F251">
        <f t="shared" si="251"/>
        <v>3.7509855192343711</v>
      </c>
      <c r="G251">
        <f t="shared" si="200"/>
        <v>1.7946382269979224</v>
      </c>
    </row>
    <row r="252" spans="1:7" x14ac:dyDescent="0.25">
      <c r="A252" s="2">
        <v>42095</v>
      </c>
      <c r="B252">
        <v>1.6470801298868001</v>
      </c>
      <c r="C252">
        <v>2.33020674705228</v>
      </c>
      <c r="D252">
        <f t="shared" si="193"/>
        <v>0.68312661716547995</v>
      </c>
      <c r="E252">
        <f t="shared" ref="E252:F252" si="252">AVERAGE(B247:B252)</f>
        <v>1.6965799370140291</v>
      </c>
      <c r="F252">
        <f t="shared" si="252"/>
        <v>3.1546716228103402</v>
      </c>
      <c r="G252">
        <f t="shared" si="200"/>
        <v>1.4580916857963111</v>
      </c>
    </row>
    <row r="253" spans="1:7" x14ac:dyDescent="0.25">
      <c r="A253" s="2">
        <v>42125</v>
      </c>
      <c r="B253">
        <v>1.6335556493719099</v>
      </c>
      <c r="C253">
        <v>2.2277336414211999</v>
      </c>
      <c r="D253">
        <f t="shared" si="193"/>
        <v>0.59417799204929</v>
      </c>
      <c r="E253">
        <f t="shared" ref="E253:F253" si="253">AVERAGE(B248:B253)</f>
        <v>1.5736755301512158</v>
      </c>
      <c r="F253">
        <f t="shared" si="253"/>
        <v>2.6266603577797065</v>
      </c>
      <c r="G253">
        <f t="shared" si="200"/>
        <v>1.0529848276284908</v>
      </c>
    </row>
    <row r="254" spans="1:7" x14ac:dyDescent="0.25">
      <c r="A254" s="2">
        <v>42156</v>
      </c>
      <c r="B254">
        <v>3.6371307723866302</v>
      </c>
      <c r="C254">
        <v>4.3385197660323804</v>
      </c>
      <c r="D254">
        <f t="shared" si="193"/>
        <v>0.70138899364575025</v>
      </c>
      <c r="E254">
        <f t="shared" ref="E254:F254" si="254">AVERAGE(B249:B254)</f>
        <v>1.7241465648566423</v>
      </c>
      <c r="F254">
        <f t="shared" si="254"/>
        <v>2.4421302891283063</v>
      </c>
      <c r="G254">
        <f t="shared" si="200"/>
        <v>0.71798372427166401</v>
      </c>
    </row>
    <row r="255" spans="1:7" x14ac:dyDescent="0.25">
      <c r="A255" s="2">
        <v>42186</v>
      </c>
      <c r="B255">
        <v>5.8433548627125997</v>
      </c>
      <c r="C255">
        <v>7.9957189909881103</v>
      </c>
      <c r="D255">
        <f t="shared" si="193"/>
        <v>2.1523641282755106</v>
      </c>
      <c r="E255">
        <f t="shared" ref="E255:F255" si="255">AVERAGE(B250:B255)</f>
        <v>2.512299502082759</v>
      </c>
      <c r="F255">
        <f t="shared" si="255"/>
        <v>3.3533573480587502</v>
      </c>
      <c r="G255">
        <f t="shared" si="200"/>
        <v>0.8410578459759912</v>
      </c>
    </row>
    <row r="256" spans="1:7" x14ac:dyDescent="0.25">
      <c r="A256" s="2">
        <v>42217</v>
      </c>
      <c r="B256">
        <v>4.92007462356242</v>
      </c>
      <c r="C256">
        <v>8.0474603246789798</v>
      </c>
      <c r="D256">
        <f t="shared" si="193"/>
        <v>3.1273857011165598</v>
      </c>
      <c r="E256">
        <f t="shared" ref="E256:F256" si="256">AVERAGE(B251:B256)</f>
        <v>3.1798420846630751</v>
      </c>
      <c r="F256">
        <f t="shared" si="256"/>
        <v>4.4668009323437863</v>
      </c>
      <c r="G256">
        <f t="shared" si="200"/>
        <v>1.2869588476807112</v>
      </c>
    </row>
    <row r="257" spans="1:7" x14ac:dyDescent="0.25">
      <c r="A257" s="2">
        <v>42248</v>
      </c>
      <c r="B257">
        <v>4.0312125844088502</v>
      </c>
      <c r="C257">
        <v>6.1068853486087402</v>
      </c>
      <c r="D257">
        <f t="shared" si="193"/>
        <v>2.07567276419989</v>
      </c>
      <c r="E257">
        <f t="shared" ref="E257:F257" si="257">AVERAGE(B252:B257)</f>
        <v>3.6187347703882025</v>
      </c>
      <c r="F257">
        <f t="shared" si="257"/>
        <v>5.1744208031302819</v>
      </c>
      <c r="G257">
        <f t="shared" si="200"/>
        <v>1.5556860327420794</v>
      </c>
    </row>
    <row r="258" spans="1:7" x14ac:dyDescent="0.25">
      <c r="A258" s="2">
        <v>42278</v>
      </c>
      <c r="B258">
        <v>3.7896330544299999</v>
      </c>
      <c r="C258">
        <v>5.5837026037874402</v>
      </c>
      <c r="D258">
        <f t="shared" si="193"/>
        <v>1.7940695493574403</v>
      </c>
      <c r="E258">
        <f t="shared" ref="E258:F258" si="258">AVERAGE(B253:B258)</f>
        <v>3.975826924478735</v>
      </c>
      <c r="F258">
        <f t="shared" si="258"/>
        <v>5.716670112586141</v>
      </c>
      <c r="G258">
        <f t="shared" si="200"/>
        <v>1.740843188107406</v>
      </c>
    </row>
    <row r="259" spans="1:7" x14ac:dyDescent="0.25">
      <c r="A259" s="2">
        <v>42309</v>
      </c>
      <c r="B259">
        <v>1.75032368761545</v>
      </c>
      <c r="C259">
        <v>2.6481833224956102</v>
      </c>
      <c r="D259">
        <f t="shared" ref="D259:D263" si="259">C259-B259</f>
        <v>0.89785963488016018</v>
      </c>
      <c r="E259">
        <f t="shared" ref="E259:F259" si="260">AVERAGE(B254:B259)</f>
        <v>3.9952882641859908</v>
      </c>
      <c r="F259">
        <f t="shared" si="260"/>
        <v>5.786745059431877</v>
      </c>
      <c r="G259">
        <f t="shared" si="200"/>
        <v>1.7914567952458862</v>
      </c>
    </row>
    <row r="260" spans="1:7" x14ac:dyDescent="0.25">
      <c r="A260" s="2">
        <v>42339</v>
      </c>
      <c r="B260">
        <v>3.6378277472276102</v>
      </c>
      <c r="C260">
        <v>6.3191902327752603</v>
      </c>
      <c r="D260">
        <f t="shared" si="259"/>
        <v>2.6813624855476501</v>
      </c>
      <c r="E260">
        <f t="shared" ref="E260:F260" si="261">AVERAGE(B255:B260)</f>
        <v>3.9954044266594884</v>
      </c>
      <c r="F260">
        <f t="shared" si="261"/>
        <v>6.1168568038890241</v>
      </c>
      <c r="G260">
        <f t="shared" si="200"/>
        <v>2.1214523772295357</v>
      </c>
    </row>
    <row r="261" spans="1:7" x14ac:dyDescent="0.25">
      <c r="A261" s="2">
        <v>42370</v>
      </c>
      <c r="B261">
        <v>2.7121206660339201</v>
      </c>
      <c r="C261">
        <v>4.7722098258847003</v>
      </c>
      <c r="D261">
        <f t="shared" si="259"/>
        <v>2.0600891598507802</v>
      </c>
      <c r="E261">
        <f t="shared" ref="E261:F261" si="262">AVERAGE(B256:B261)</f>
        <v>3.4735320605463755</v>
      </c>
      <c r="F261">
        <f t="shared" si="262"/>
        <v>5.5796052763717876</v>
      </c>
      <c r="G261">
        <f t="shared" si="200"/>
        <v>2.1060732158254121</v>
      </c>
    </row>
    <row r="262" spans="1:7" x14ac:dyDescent="0.25">
      <c r="A262" s="2">
        <v>42401</v>
      </c>
      <c r="B262">
        <v>2.1096499736632599</v>
      </c>
      <c r="C262">
        <v>3.7943209914523601</v>
      </c>
      <c r="D262">
        <f t="shared" si="259"/>
        <v>1.6846710177891002</v>
      </c>
      <c r="E262">
        <f t="shared" ref="E262:F262" si="263">AVERAGE(B257:B262)</f>
        <v>3.0051279522298486</v>
      </c>
      <c r="F262">
        <f t="shared" si="263"/>
        <v>4.8707487208340181</v>
      </c>
      <c r="G262">
        <f t="shared" si="200"/>
        <v>1.8656207686041695</v>
      </c>
    </row>
    <row r="263" spans="1:7" x14ac:dyDescent="0.25">
      <c r="A263" s="2">
        <v>42430</v>
      </c>
      <c r="B263">
        <v>2.0550056621045698</v>
      </c>
      <c r="C263">
        <v>2.3137703941297101</v>
      </c>
      <c r="D263">
        <f t="shared" si="259"/>
        <v>0.25876473202514028</v>
      </c>
      <c r="E263">
        <f t="shared" ref="E263:F263" si="264">AVERAGE(B258:B263)</f>
        <v>2.6757601318458017</v>
      </c>
      <c r="F263">
        <f t="shared" si="264"/>
        <v>4.2385628950875143</v>
      </c>
      <c r="G263">
        <f t="shared" si="200"/>
        <v>1.5628027632417125</v>
      </c>
    </row>
  </sheetData>
  <pageMargins left="0.7" right="0.7" top="0.75" bottom="0.75" header="0.3" footer="0.3"/>
  <pageSetup scale="1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Housing Stock</vt:lpstr>
      <vt:lpstr>EHS</vt:lpstr>
      <vt:lpstr>Turnover EHS</vt:lpstr>
      <vt:lpstr>OTM Turnover MBS</vt:lpstr>
      <vt:lpstr>Mtg Rate</vt:lpstr>
      <vt:lpstr>OTM Refi</vt:lpstr>
      <vt:lpstr>model vs actual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Letica</dc:creator>
  <cp:lastModifiedBy>Sharad Chaudhary</cp:lastModifiedBy>
  <cp:lastPrinted>2016-04-12T14:18:41Z</cp:lastPrinted>
  <dcterms:created xsi:type="dcterms:W3CDTF">2016-04-11T18:02:06Z</dcterms:created>
  <dcterms:modified xsi:type="dcterms:W3CDTF">2017-07-14T15:45:32Z</dcterms:modified>
</cp:coreProperties>
</file>