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BAs" sheetId="1" r:id="rId3"/>
    <sheet state="visible" name="Specified Pools" sheetId="2" r:id="rId4"/>
    <sheet state="visible" name="MBS Derivatives" sheetId="3" r:id="rId5"/>
  </sheets>
  <definedNames/>
  <calcPr/>
</workbook>
</file>

<file path=xl/sharedStrings.xml><?xml version="1.0" encoding="utf-8"?>
<sst xmlns="http://schemas.openxmlformats.org/spreadsheetml/2006/main" count="99" uniqueCount="14">
  <si>
    <t>Scenario Projections</t>
  </si>
  <si>
    <t>Price</t>
  </si>
  <si>
    <t>OAS</t>
  </si>
  <si>
    <t>Duration</t>
  </si>
  <si>
    <t>Convexity</t>
  </si>
  <si>
    <t>Scale</t>
  </si>
  <si>
    <t>YB</t>
  </si>
  <si>
    <t>FHL.PC.311(S1)</t>
  </si>
  <si>
    <t>FHL.PC.326(S2)</t>
  </si>
  <si>
    <t>F4320(SD)</t>
  </si>
  <si>
    <t>FN.TR.418(C15)</t>
  </si>
  <si>
    <t>N12.70(HS)</t>
  </si>
  <si>
    <t>FNMA 30-years</t>
  </si>
  <si>
    <t>GNMA 30-years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</si>
</sst>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9.14"/>
    <col customWidth="1" min="3" max="3" width="1.57"/>
    <col customWidth="1" min="4" max="5" width="7.86"/>
    <col customWidth="1" min="6" max="6" width="1.57"/>
    <col customWidth="1" min="7" max="8" width="7.86"/>
    <col customWidth="1" min="9" max="9" width="1.57"/>
    <col customWidth="1" min="10" max="11" width="7.86"/>
    <col customWidth="1" min="12" max="12" width="1.57"/>
    <col customWidth="1" min="13" max="30" width="7.86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0</v>
      </c>
    </row>
    <row r="2">
      <c r="A2" s="1"/>
      <c r="B2" s="3" t="s">
        <v>1</v>
      </c>
      <c r="C2" s="2"/>
      <c r="D2" s="3" t="s">
        <v>2</v>
      </c>
      <c r="E2" s="4"/>
      <c r="F2" s="2"/>
      <c r="G2" s="3" t="s">
        <v>3</v>
      </c>
      <c r="H2" s="4"/>
      <c r="I2" s="2"/>
      <c r="J2" s="3" t="s">
        <v>4</v>
      </c>
      <c r="K2" s="4"/>
      <c r="L2" s="2"/>
      <c r="M2" s="3">
        <v>-300.0</v>
      </c>
      <c r="N2" s="4"/>
      <c r="O2" s="3">
        <v>-200.0</v>
      </c>
      <c r="P2" s="4"/>
      <c r="Q2" s="3">
        <v>-100.0</v>
      </c>
      <c r="R2" s="4"/>
      <c r="S2" s="3">
        <v>-50.0</v>
      </c>
      <c r="T2" s="4"/>
      <c r="U2" s="3">
        <f>0</f>
        <v>0</v>
      </c>
      <c r="V2" s="4"/>
      <c r="W2" s="3">
        <f>50</f>
        <v>50</v>
      </c>
      <c r="X2" s="4"/>
      <c r="Y2" s="3">
        <f>100</f>
        <v>100</v>
      </c>
      <c r="Z2" s="4"/>
      <c r="AA2" s="3">
        <f>200</f>
        <v>200</v>
      </c>
      <c r="AB2" s="4"/>
      <c r="AC2" s="3">
        <f>300</f>
        <v>300</v>
      </c>
      <c r="AD2" s="4"/>
    </row>
    <row r="3">
      <c r="B3" s="5"/>
      <c r="C3" s="6"/>
      <c r="D3" s="6" t="s">
        <v>5</v>
      </c>
      <c r="E3" s="6" t="s">
        <v>6</v>
      </c>
      <c r="F3" s="6"/>
      <c r="G3" s="6" t="s">
        <v>5</v>
      </c>
      <c r="H3" s="6" t="s">
        <v>6</v>
      </c>
      <c r="I3" s="6"/>
      <c r="J3" s="6" t="s">
        <v>5</v>
      </c>
      <c r="K3" s="6" t="s">
        <v>6</v>
      </c>
      <c r="L3" s="6"/>
      <c r="M3" s="6" t="s">
        <v>5</v>
      </c>
      <c r="N3" s="6" t="s">
        <v>6</v>
      </c>
      <c r="O3" s="6" t="s">
        <v>5</v>
      </c>
      <c r="P3" s="6" t="s">
        <v>6</v>
      </c>
      <c r="Q3" s="6" t="s">
        <v>5</v>
      </c>
      <c r="R3" s="6" t="s">
        <v>6</v>
      </c>
      <c r="S3" s="6" t="s">
        <v>5</v>
      </c>
      <c r="T3" s="6" t="s">
        <v>6</v>
      </c>
      <c r="U3" s="6" t="s">
        <v>5</v>
      </c>
      <c r="V3" s="6" t="s">
        <v>6</v>
      </c>
      <c r="W3" s="6" t="s">
        <v>5</v>
      </c>
      <c r="X3" s="6" t="s">
        <v>6</v>
      </c>
      <c r="Y3" s="6" t="s">
        <v>5</v>
      </c>
      <c r="Z3" s="6" t="s">
        <v>6</v>
      </c>
      <c r="AA3" s="6" t="s">
        <v>5</v>
      </c>
      <c r="AB3" s="6" t="s">
        <v>6</v>
      </c>
      <c r="AC3" s="6" t="s">
        <v>5</v>
      </c>
      <c r="AD3" s="6" t="s">
        <v>6</v>
      </c>
    </row>
    <row r="4">
      <c r="A4" s="8" t="s">
        <v>12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9">
        <v>2.5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9">
        <v>3.0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9">
        <v>3.5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9">
        <v>4.0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9">
        <v>4.5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9">
        <v>5.0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9">
        <v>5.5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8" t="s">
        <v>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9">
        <v>2.5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9">
        <v>3.0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9">
        <v>3.5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9">
        <v>4.0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9">
        <v>4.5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9">
        <v>5.0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9">
        <v>5.5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</sheetData>
  <mergeCells count="13">
    <mergeCell ref="W2:X2"/>
    <mergeCell ref="Y2:Z2"/>
    <mergeCell ref="AA2:AB2"/>
    <mergeCell ref="AC2:AD2"/>
    <mergeCell ref="M1:AD1"/>
    <mergeCell ref="G2:H2"/>
    <mergeCell ref="J2:K2"/>
    <mergeCell ref="M2:N2"/>
    <mergeCell ref="O2:P2"/>
    <mergeCell ref="Q2:R2"/>
    <mergeCell ref="S2:T2"/>
    <mergeCell ref="U2:V2"/>
    <mergeCell ref="D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9.14"/>
    <col customWidth="1" min="3" max="3" width="1.57"/>
    <col customWidth="1" min="4" max="5" width="7.86"/>
    <col customWidth="1" min="6" max="6" width="1.57"/>
    <col customWidth="1" min="7" max="8" width="7.86"/>
    <col customWidth="1" min="9" max="9" width="1.57"/>
    <col customWidth="1" min="10" max="11" width="7.86"/>
    <col customWidth="1" min="12" max="12" width="1.57"/>
    <col customWidth="1" min="13" max="30" width="7.86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0</v>
      </c>
    </row>
    <row r="2">
      <c r="A2" s="1"/>
      <c r="B2" s="3" t="s">
        <v>1</v>
      </c>
      <c r="C2" s="2"/>
      <c r="D2" s="3" t="s">
        <v>2</v>
      </c>
      <c r="E2" s="4"/>
      <c r="F2" s="2"/>
      <c r="G2" s="3" t="s">
        <v>3</v>
      </c>
      <c r="H2" s="4"/>
      <c r="I2" s="2"/>
      <c r="J2" s="3" t="s">
        <v>4</v>
      </c>
      <c r="K2" s="4"/>
      <c r="L2" s="2"/>
      <c r="M2" s="3">
        <v>-300.0</v>
      </c>
      <c r="N2" s="4"/>
      <c r="O2" s="3">
        <v>-200.0</v>
      </c>
      <c r="P2" s="4"/>
      <c r="Q2" s="3">
        <v>-100.0</v>
      </c>
      <c r="R2" s="4"/>
      <c r="S2" s="3">
        <v>-50.0</v>
      </c>
      <c r="T2" s="4"/>
      <c r="U2" s="3">
        <f>0</f>
        <v>0</v>
      </c>
      <c r="V2" s="4"/>
      <c r="W2" s="3">
        <f>50</f>
        <v>50</v>
      </c>
      <c r="X2" s="4"/>
      <c r="Y2" s="3">
        <f>100</f>
        <v>100</v>
      </c>
      <c r="Z2" s="4"/>
      <c r="AA2" s="3">
        <f>200</f>
        <v>200</v>
      </c>
      <c r="AB2" s="4"/>
      <c r="AC2" s="3">
        <f>300</f>
        <v>300</v>
      </c>
      <c r="AD2" s="4"/>
    </row>
    <row r="3">
      <c r="B3" s="5"/>
      <c r="C3" s="6"/>
      <c r="D3" s="6" t="s">
        <v>5</v>
      </c>
      <c r="E3" s="6" t="s">
        <v>6</v>
      </c>
      <c r="F3" s="6"/>
      <c r="G3" s="6" t="s">
        <v>5</v>
      </c>
      <c r="H3" s="6" t="s">
        <v>6</v>
      </c>
      <c r="I3" s="6"/>
      <c r="J3" s="6" t="s">
        <v>5</v>
      </c>
      <c r="K3" s="6" t="s">
        <v>6</v>
      </c>
      <c r="L3" s="6"/>
      <c r="M3" s="6" t="s">
        <v>5</v>
      </c>
      <c r="N3" s="6" t="s">
        <v>6</v>
      </c>
      <c r="O3" s="6" t="s">
        <v>5</v>
      </c>
      <c r="P3" s="6" t="s">
        <v>6</v>
      </c>
      <c r="Q3" s="6" t="s">
        <v>5</v>
      </c>
      <c r="R3" s="6" t="s">
        <v>6</v>
      </c>
      <c r="S3" s="6" t="s">
        <v>5</v>
      </c>
      <c r="T3" s="6" t="s">
        <v>6</v>
      </c>
      <c r="U3" s="6" t="s">
        <v>5</v>
      </c>
      <c r="V3" s="6" t="s">
        <v>6</v>
      </c>
      <c r="W3" s="6" t="s">
        <v>5</v>
      </c>
      <c r="X3" s="6" t="s">
        <v>6</v>
      </c>
      <c r="Y3" s="6" t="s">
        <v>5</v>
      </c>
      <c r="Z3" s="6" t="s">
        <v>6</v>
      </c>
      <c r="AA3" s="6" t="s">
        <v>5</v>
      </c>
      <c r="AB3" s="6" t="s">
        <v>6</v>
      </c>
      <c r="AC3" s="6" t="s">
        <v>5</v>
      </c>
      <c r="AD3" s="6" t="s">
        <v>6</v>
      </c>
    </row>
    <row r="4">
      <c r="A4" s="7" t="s">
        <v>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7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7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7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7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</sheetData>
  <mergeCells count="13">
    <mergeCell ref="W2:X2"/>
    <mergeCell ref="Y2:Z2"/>
    <mergeCell ref="AA2:AB2"/>
    <mergeCell ref="AC2:AD2"/>
    <mergeCell ref="M1:AD1"/>
    <mergeCell ref="G2:H2"/>
    <mergeCell ref="J2:K2"/>
    <mergeCell ref="M2:N2"/>
    <mergeCell ref="O2:P2"/>
    <mergeCell ref="Q2:R2"/>
    <mergeCell ref="S2:T2"/>
    <mergeCell ref="U2:V2"/>
    <mergeCell ref="D2:E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9.14"/>
    <col customWidth="1" min="3" max="3" width="1.57"/>
    <col customWidth="1" min="4" max="5" width="7.86"/>
    <col customWidth="1" min="6" max="6" width="1.57"/>
    <col customWidth="1" min="7" max="8" width="7.86"/>
    <col customWidth="1" min="9" max="9" width="1.57"/>
    <col customWidth="1" min="10" max="11" width="7.86"/>
    <col customWidth="1" min="12" max="12" width="1.57"/>
    <col customWidth="1" min="13" max="30" width="7.86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0</v>
      </c>
    </row>
    <row r="2">
      <c r="A2" s="1"/>
      <c r="B2" s="3" t="s">
        <v>1</v>
      </c>
      <c r="C2" s="2"/>
      <c r="D2" s="3" t="s">
        <v>2</v>
      </c>
      <c r="E2" s="4"/>
      <c r="F2" s="2"/>
      <c r="G2" s="3" t="s">
        <v>3</v>
      </c>
      <c r="H2" s="4"/>
      <c r="I2" s="2"/>
      <c r="J2" s="3" t="s">
        <v>4</v>
      </c>
      <c r="K2" s="4"/>
      <c r="L2" s="2"/>
      <c r="M2" s="3">
        <v>-300.0</v>
      </c>
      <c r="N2" s="4"/>
      <c r="O2" s="3">
        <v>-200.0</v>
      </c>
      <c r="P2" s="4"/>
      <c r="Q2" s="3">
        <v>-100.0</v>
      </c>
      <c r="R2" s="4"/>
      <c r="S2" s="3">
        <v>-50.0</v>
      </c>
      <c r="T2" s="4"/>
      <c r="U2" s="3">
        <f>0</f>
        <v>0</v>
      </c>
      <c r="V2" s="4"/>
      <c r="W2" s="3">
        <f>50</f>
        <v>50</v>
      </c>
      <c r="X2" s="4"/>
      <c r="Y2" s="3">
        <f>100</f>
        <v>100</v>
      </c>
      <c r="Z2" s="4"/>
      <c r="AA2" s="3">
        <f>200</f>
        <v>200</v>
      </c>
      <c r="AB2" s="4"/>
      <c r="AC2" s="3">
        <f>300</f>
        <v>300</v>
      </c>
      <c r="AD2" s="4"/>
    </row>
    <row r="3">
      <c r="B3" s="5"/>
      <c r="C3" s="6"/>
      <c r="D3" s="6" t="s">
        <v>5</v>
      </c>
      <c r="E3" s="6" t="s">
        <v>6</v>
      </c>
      <c r="F3" s="6"/>
      <c r="G3" s="6" t="s">
        <v>5</v>
      </c>
      <c r="H3" s="6" t="s">
        <v>6</v>
      </c>
      <c r="I3" s="6"/>
      <c r="J3" s="6" t="s">
        <v>5</v>
      </c>
      <c r="K3" s="6" t="s">
        <v>6</v>
      </c>
      <c r="L3" s="6"/>
      <c r="M3" s="6" t="s">
        <v>5</v>
      </c>
      <c r="N3" s="6" t="s">
        <v>6</v>
      </c>
      <c r="O3" s="6" t="s">
        <v>5</v>
      </c>
      <c r="P3" s="6" t="s">
        <v>6</v>
      </c>
      <c r="Q3" s="6" t="s">
        <v>5</v>
      </c>
      <c r="R3" s="6" t="s">
        <v>6</v>
      </c>
      <c r="S3" s="6" t="s">
        <v>5</v>
      </c>
      <c r="T3" s="6" t="s">
        <v>6</v>
      </c>
      <c r="U3" s="6" t="s">
        <v>5</v>
      </c>
      <c r="V3" s="6" t="s">
        <v>6</v>
      </c>
      <c r="W3" s="6" t="s">
        <v>5</v>
      </c>
      <c r="X3" s="6" t="s">
        <v>6</v>
      </c>
      <c r="Y3" s="6" t="s">
        <v>5</v>
      </c>
      <c r="Z3" s="6" t="s">
        <v>6</v>
      </c>
      <c r="AA3" s="6" t="s">
        <v>5</v>
      </c>
      <c r="AB3" s="6" t="s">
        <v>6</v>
      </c>
      <c r="AC3" s="6" t="s">
        <v>5</v>
      </c>
      <c r="AD3" s="6" t="s">
        <v>6</v>
      </c>
    </row>
    <row r="4">
      <c r="A4" s="7" t="s">
        <v>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7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7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7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7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</sheetData>
  <mergeCells count="13">
    <mergeCell ref="G2:H2"/>
    <mergeCell ref="J2:K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M1:AD1"/>
    <mergeCell ref="D2:E2"/>
  </mergeCells>
  <drawing r:id="rId1"/>
</worksheet>
</file>