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 activeTab="10"/>
  </bookViews>
  <sheets>
    <sheet name="2018" sheetId="19" r:id="rId1"/>
    <sheet name="2016" sheetId="18" r:id="rId2"/>
    <sheet name="2014" sheetId="10" r:id="rId3"/>
    <sheet name="2013" sheetId="6" r:id="rId4"/>
    <sheet name="2012" sheetId="15" r:id="rId5"/>
    <sheet name="2011" sheetId="8" r:id="rId6"/>
    <sheet name="2010" sheetId="9" r:id="rId7"/>
    <sheet name="2009" sheetId="14" r:id="rId8"/>
    <sheet name="2005" sheetId="13" r:id="rId9"/>
    <sheet name="PMI_base" sheetId="17" r:id="rId10"/>
    <sheet name="PMIOcc" sheetId="11" r:id="rId11"/>
    <sheet name="PMILoanSize" sheetId="12" r:id="rId12"/>
    <sheet name="UpdateDate" sheetId="7" state="hidden" r:id="rId13"/>
  </sheets>
  <calcPr calcId="152511"/>
</workbook>
</file>

<file path=xl/calcChain.xml><?xml version="1.0" encoding="utf-8"?>
<calcChain xmlns="http://schemas.openxmlformats.org/spreadsheetml/2006/main">
  <c r="W14" i="17" l="1"/>
  <c r="V14" i="17"/>
  <c r="U14" i="17"/>
  <c r="T14" i="17"/>
  <c r="S14" i="17"/>
  <c r="R14" i="17"/>
  <c r="Q14" i="17"/>
  <c r="P14" i="17"/>
  <c r="O14" i="17"/>
  <c r="W13" i="17"/>
  <c r="V13" i="17"/>
  <c r="U13" i="17"/>
  <c r="T13" i="17"/>
  <c r="S13" i="17"/>
  <c r="R13" i="17"/>
  <c r="Q13" i="17"/>
  <c r="P13" i="17"/>
  <c r="O13" i="17"/>
  <c r="W12" i="17"/>
  <c r="V12" i="17"/>
  <c r="U12" i="17"/>
  <c r="T12" i="17"/>
  <c r="S12" i="17"/>
  <c r="R12" i="17"/>
  <c r="Q12" i="17"/>
  <c r="P12" i="17"/>
  <c r="O12" i="17"/>
  <c r="W11" i="17"/>
  <c r="V11" i="17"/>
  <c r="U11" i="17"/>
  <c r="T11" i="17"/>
  <c r="S11" i="17"/>
  <c r="R11" i="17"/>
  <c r="Q11" i="17"/>
  <c r="P11" i="17"/>
  <c r="O11" i="17"/>
  <c r="W10" i="17"/>
  <c r="V10" i="17"/>
  <c r="U10" i="17"/>
  <c r="T10" i="17"/>
  <c r="S10" i="17"/>
  <c r="R10" i="17"/>
  <c r="Q10" i="17"/>
  <c r="P10" i="17"/>
  <c r="O10" i="17"/>
  <c r="W9" i="17"/>
  <c r="V9" i="17"/>
  <c r="U9" i="17"/>
  <c r="T9" i="17"/>
  <c r="S9" i="17"/>
  <c r="R9" i="17"/>
  <c r="Q9" i="17"/>
  <c r="P9" i="17"/>
  <c r="O9" i="17"/>
  <c r="W14" i="19"/>
  <c r="V14" i="19"/>
  <c r="U14" i="19"/>
  <c r="T14" i="19"/>
  <c r="S14" i="19"/>
  <c r="R14" i="19"/>
  <c r="Q14" i="19"/>
  <c r="P14" i="19"/>
  <c r="O14" i="19"/>
  <c r="W13" i="19"/>
  <c r="V13" i="19"/>
  <c r="U13" i="19"/>
  <c r="T13" i="19"/>
  <c r="S13" i="19"/>
  <c r="R13" i="19"/>
  <c r="Q13" i="19"/>
  <c r="P13" i="19"/>
  <c r="O13" i="19"/>
  <c r="W12" i="19"/>
  <c r="V12" i="19"/>
  <c r="U12" i="19"/>
  <c r="T12" i="19"/>
  <c r="S12" i="19"/>
  <c r="R12" i="19"/>
  <c r="Q12" i="19"/>
  <c r="P12" i="19"/>
  <c r="O12" i="19"/>
  <c r="W11" i="19"/>
  <c r="V11" i="19"/>
  <c r="U11" i="19"/>
  <c r="T11" i="19"/>
  <c r="S11" i="19"/>
  <c r="R11" i="19"/>
  <c r="Q11" i="19"/>
  <c r="P11" i="19"/>
  <c r="O11" i="19"/>
  <c r="W10" i="19"/>
  <c r="V10" i="19"/>
  <c r="U10" i="19"/>
  <c r="T10" i="19"/>
  <c r="S10" i="19"/>
  <c r="R10" i="19"/>
  <c r="Q10" i="19"/>
  <c r="P10" i="19"/>
  <c r="O10" i="19"/>
  <c r="W9" i="19"/>
  <c r="V9" i="19"/>
  <c r="U9" i="19"/>
  <c r="T9" i="19"/>
  <c r="S9" i="19"/>
  <c r="R9" i="19"/>
  <c r="Q9" i="19"/>
  <c r="P9" i="19"/>
  <c r="O9" i="19"/>
  <c r="W122" i="17" l="1"/>
  <c r="V122" i="17"/>
  <c r="U122" i="17"/>
  <c r="T122" i="17"/>
  <c r="S122" i="17"/>
  <c r="R122" i="17"/>
  <c r="Q122" i="17"/>
  <c r="P122" i="17"/>
  <c r="O122" i="17"/>
  <c r="W121" i="17"/>
  <c r="V121" i="17"/>
  <c r="U121" i="17"/>
  <c r="T121" i="17"/>
  <c r="S121" i="17"/>
  <c r="R121" i="17"/>
  <c r="Q121" i="17"/>
  <c r="P121" i="17"/>
  <c r="O121" i="17"/>
  <c r="W120" i="17"/>
  <c r="V120" i="17"/>
  <c r="U120" i="17"/>
  <c r="T120" i="17"/>
  <c r="S120" i="17"/>
  <c r="R120" i="17"/>
  <c r="Q120" i="17"/>
  <c r="P120" i="17"/>
  <c r="O120" i="17"/>
  <c r="W119" i="17"/>
  <c r="V119" i="17"/>
  <c r="U119" i="17"/>
  <c r="T119" i="17"/>
  <c r="S119" i="17"/>
  <c r="R119" i="17"/>
  <c r="Q119" i="17"/>
  <c r="P119" i="17"/>
  <c r="O119" i="17"/>
  <c r="W118" i="17"/>
  <c r="V118" i="17"/>
  <c r="U118" i="17"/>
  <c r="T118" i="17"/>
  <c r="S118" i="17"/>
  <c r="R118" i="17"/>
  <c r="Q118" i="17"/>
  <c r="P118" i="17"/>
  <c r="O118" i="17"/>
  <c r="W117" i="17"/>
  <c r="V117" i="17"/>
  <c r="U117" i="17"/>
  <c r="T117" i="17"/>
  <c r="S117" i="17"/>
  <c r="R117" i="17"/>
  <c r="Q117" i="17"/>
  <c r="P117" i="17"/>
  <c r="O117" i="17"/>
  <c r="W14" i="18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R10" i="18"/>
  <c r="Q10" i="18"/>
  <c r="P10" i="18"/>
  <c r="O10" i="18"/>
  <c r="W9" i="18"/>
  <c r="V9" i="18"/>
  <c r="U9" i="18"/>
  <c r="T9" i="18"/>
  <c r="S9" i="18"/>
  <c r="R9" i="18"/>
  <c r="Q9" i="18"/>
  <c r="P9" i="18"/>
  <c r="O9" i="18"/>
  <c r="Q710" i="17"/>
  <c r="P710" i="17"/>
  <c r="O710" i="17"/>
  <c r="N710" i="17"/>
  <c r="Q709" i="17"/>
  <c r="P709" i="17"/>
  <c r="O709" i="17"/>
  <c r="N709" i="17"/>
  <c r="Q708" i="17"/>
  <c r="P708" i="17"/>
  <c r="O708" i="17"/>
  <c r="N708" i="17"/>
  <c r="Q707" i="17"/>
  <c r="P707" i="17"/>
  <c r="O707" i="17"/>
  <c r="N707" i="17"/>
  <c r="Q706" i="17"/>
  <c r="P706" i="17"/>
  <c r="O706" i="17"/>
  <c r="N706" i="17"/>
  <c r="Q650" i="17"/>
  <c r="P650" i="17"/>
  <c r="O650" i="17"/>
  <c r="N650" i="17"/>
  <c r="Q649" i="17"/>
  <c r="P649" i="17"/>
  <c r="O649" i="17"/>
  <c r="N649" i="17"/>
  <c r="Q648" i="17"/>
  <c r="P648" i="17"/>
  <c r="O648" i="17"/>
  <c r="N648" i="17"/>
  <c r="Q647" i="17"/>
  <c r="P647" i="17"/>
  <c r="O647" i="17"/>
  <c r="N647" i="17"/>
  <c r="Q646" i="17"/>
  <c r="P646" i="17"/>
  <c r="O646" i="17"/>
  <c r="N646" i="17"/>
  <c r="F600" i="17"/>
  <c r="F599" i="17"/>
  <c r="F598" i="17"/>
  <c r="Q589" i="17"/>
  <c r="P589" i="17"/>
  <c r="O589" i="17"/>
  <c r="N589" i="17"/>
  <c r="Q588" i="17"/>
  <c r="P588" i="17"/>
  <c r="O588" i="17"/>
  <c r="N588" i="17"/>
  <c r="Q587" i="17"/>
  <c r="P587" i="17"/>
  <c r="O587" i="17"/>
  <c r="N587" i="17"/>
  <c r="P586" i="17"/>
  <c r="O586" i="17"/>
  <c r="N586" i="17"/>
  <c r="P529" i="17"/>
  <c r="O529" i="17"/>
  <c r="N529" i="17"/>
  <c r="P528" i="17"/>
  <c r="O528" i="17"/>
  <c r="N528" i="17"/>
  <c r="P527" i="17"/>
  <c r="O527" i="17"/>
  <c r="N527" i="17"/>
  <c r="P526" i="17"/>
  <c r="O526" i="17"/>
  <c r="N526" i="17"/>
  <c r="Q483" i="17"/>
  <c r="P483" i="17"/>
  <c r="O483" i="17"/>
  <c r="N483" i="17"/>
  <c r="Q482" i="17"/>
  <c r="Q489" i="17" s="1"/>
  <c r="P482" i="17"/>
  <c r="P489" i="17" s="1"/>
  <c r="O482" i="17"/>
  <c r="O489" i="17"/>
  <c r="N482" i="17"/>
  <c r="N489" i="17"/>
  <c r="Q481" i="17"/>
  <c r="Q488" i="17" s="1"/>
  <c r="P481" i="17"/>
  <c r="P488" i="17" s="1"/>
  <c r="O481" i="17"/>
  <c r="O488" i="17"/>
  <c r="N481" i="17"/>
  <c r="N488" i="17" s="1"/>
  <c r="Q480" i="17"/>
  <c r="Q487" i="17" s="1"/>
  <c r="P480" i="17"/>
  <c r="P487" i="17" s="1"/>
  <c r="O480" i="17"/>
  <c r="O487" i="17" s="1"/>
  <c r="N480" i="17"/>
  <c r="N487" i="17"/>
  <c r="P479" i="17"/>
  <c r="P486" i="17"/>
  <c r="O479" i="17"/>
  <c r="O486" i="17" s="1"/>
  <c r="N479" i="17"/>
  <c r="N486" i="17" s="1"/>
  <c r="Q469" i="17"/>
  <c r="P469" i="17"/>
  <c r="O469" i="17"/>
  <c r="N469" i="17"/>
  <c r="Q468" i="17"/>
  <c r="P468" i="17"/>
  <c r="O468" i="17"/>
  <c r="N468" i="17"/>
  <c r="Q467" i="17"/>
  <c r="P467" i="17"/>
  <c r="O467" i="17"/>
  <c r="N467" i="17"/>
  <c r="P466" i="17"/>
  <c r="O466" i="17"/>
  <c r="N466" i="17"/>
  <c r="Q402" i="17"/>
  <c r="P402" i="17"/>
  <c r="O402" i="17"/>
  <c r="N402" i="17"/>
  <c r="Q401" i="17"/>
  <c r="P401" i="17"/>
  <c r="O401" i="17"/>
  <c r="N401" i="17"/>
  <c r="Q400" i="17"/>
  <c r="P400" i="17"/>
  <c r="O400" i="17"/>
  <c r="N400" i="17"/>
  <c r="P399" i="17"/>
  <c r="O399" i="17"/>
  <c r="N399" i="17"/>
  <c r="Q349" i="17"/>
  <c r="P349" i="17"/>
  <c r="O349" i="17"/>
  <c r="N349" i="17"/>
  <c r="Q348" i="17"/>
  <c r="P348" i="17"/>
  <c r="O348" i="17"/>
  <c r="N348" i="17"/>
  <c r="Q347" i="17"/>
  <c r="P347" i="17"/>
  <c r="O347" i="17"/>
  <c r="N347" i="17"/>
  <c r="P346" i="17"/>
  <c r="O346" i="17"/>
  <c r="N346" i="17"/>
  <c r="Q289" i="17"/>
  <c r="P289" i="17"/>
  <c r="O289" i="17"/>
  <c r="N289" i="17"/>
  <c r="Q288" i="17"/>
  <c r="P288" i="17"/>
  <c r="O288" i="17"/>
  <c r="N288" i="17"/>
  <c r="Q287" i="17"/>
  <c r="P287" i="17"/>
  <c r="O287" i="17"/>
  <c r="N287" i="17"/>
  <c r="Q286" i="17"/>
  <c r="P286" i="17"/>
  <c r="O286" i="17"/>
  <c r="N286" i="17"/>
  <c r="Q229" i="17"/>
  <c r="P229" i="17"/>
  <c r="O229" i="17"/>
  <c r="N229" i="17"/>
  <c r="Q228" i="17"/>
  <c r="P228" i="17"/>
  <c r="O228" i="17"/>
  <c r="N228" i="17"/>
  <c r="Q227" i="17"/>
  <c r="P227" i="17"/>
  <c r="O227" i="17"/>
  <c r="N227" i="17"/>
  <c r="Q226" i="17"/>
  <c r="P226" i="17"/>
  <c r="O226" i="17"/>
  <c r="N226" i="17"/>
  <c r="Q130" i="6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27" i="15"/>
  <c r="N24" i="15"/>
  <c r="N31" i="15" s="1"/>
  <c r="O24" i="15"/>
  <c r="O31" i="15" s="1"/>
  <c r="P24" i="15"/>
  <c r="P31" i="15" s="1"/>
  <c r="N25" i="15"/>
  <c r="N32" i="15" s="1"/>
  <c r="O25" i="15"/>
  <c r="O32" i="15" s="1"/>
  <c r="P25" i="15"/>
  <c r="P32" i="15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N30" i="15"/>
  <c r="Q33" i="15"/>
  <c r="P33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/>
</calcChain>
</file>

<file path=xl/sharedStrings.xml><?xml version="1.0" encoding="utf-8"?>
<sst xmlns="http://schemas.openxmlformats.org/spreadsheetml/2006/main" count="3548" uniqueCount="71">
  <si>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</si>
  <si>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</si>
  <si>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</si>
  <si>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</si>
  <si>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</si>
  <si>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</si>
  <si>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</si>
  <si>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</si>
  <si>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</si>
  <si>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</si>
  <si>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</si>
  <si>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</si>
  <si>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</si>
  <si>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</si>
  <si>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</si>
  <si>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</si>
  <si>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</si>
  <si>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</si>
  <si>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</si>
  <si>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</si>
  <si>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</si>
  <si>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</si>
  <si>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</si>
  <si>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</si>
  <si>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</si>
  <si>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</si>
  <si>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</si>
  <si>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</si>
  <si>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</si>
  <si>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</si>
  <si>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</si>
  <si>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</si>
  <si>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</si>
  <si>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</si>
  <si>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</si>
  <si>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</si>
  <si>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</si>
  <si>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</si>
  <si>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</si>
  <si>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</si>
  <si>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</si>
  <si>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</si>
  <si>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</si>
  <si>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</si>
  <si>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</si>
  <si>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</si>
  <si>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</si>
  <si>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</si>
  <si>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</si>
  <si>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</si>
  <si>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</si>
  <si>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</si>
  <si>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</si>
  <si>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</si>
  <si>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</si>
  <si>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</si>
  <si>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</si>
  <si>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</si>
  <si>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</si>
  <si>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</si>
  <si>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</si>
  <si>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</si>
  <si>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</si>
  <si>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</si>
  <si>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</si>
  <si>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</si>
  <si>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Same</t>
  </si>
  <si>
    <t>&gt; 650000</t>
  </si>
  <si>
    <t>&lt;= 650000</t>
  </si>
  <si>
    <t>Same as Purch</t>
  </si>
  <si>
    <t>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</si>
</sst>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tgprofessor.com/A%20-%20PMI/sample_mortgage_insurance_premiums.htm" TargetMode="External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Relationship Id="rId4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workbookViewId="0">
      <selection activeCell="N2" sqref="N2:X7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43255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9">
        <v>55</v>
      </c>
      <c r="G3" s="1">
        <v>42464</v>
      </c>
      <c r="H3" s="1">
        <v>42461</v>
      </c>
      <c r="I3" s="1">
        <v>73051</v>
      </c>
      <c r="N3" s="8" t="s">
        <v>17</v>
      </c>
      <c r="O3" s="9">
        <v>55</v>
      </c>
      <c r="P3" s="9">
        <v>67</v>
      </c>
      <c r="Q3" s="9">
        <v>84</v>
      </c>
      <c r="R3" s="9">
        <v>96</v>
      </c>
      <c r="S3" s="9">
        <v>117</v>
      </c>
      <c r="T3" s="9">
        <v>150</v>
      </c>
      <c r="U3" s="9">
        <v>160</v>
      </c>
      <c r="V3" s="9">
        <v>180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9">
        <v>37</v>
      </c>
      <c r="G4" s="1">
        <v>42464</v>
      </c>
      <c r="H4" s="1">
        <v>42461</v>
      </c>
      <c r="I4" s="1">
        <v>73051</v>
      </c>
      <c r="N4" s="4" t="s">
        <v>19</v>
      </c>
      <c r="O4" s="9">
        <v>37</v>
      </c>
      <c r="P4" s="9">
        <v>52</v>
      </c>
      <c r="Q4" s="9">
        <v>65</v>
      </c>
      <c r="R4" s="9">
        <v>76</v>
      </c>
      <c r="S4" s="9">
        <v>94</v>
      </c>
      <c r="T4" s="9">
        <v>125</v>
      </c>
      <c r="U4" s="9">
        <v>129</v>
      </c>
      <c r="V4" s="9">
        <v>137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9">
        <v>27</v>
      </c>
      <c r="G5" s="1">
        <v>42464</v>
      </c>
      <c r="H5" s="1">
        <v>42461</v>
      </c>
      <c r="I5" s="1">
        <v>73051</v>
      </c>
      <c r="N5" s="4" t="s">
        <v>20</v>
      </c>
      <c r="O5" s="9">
        <v>27</v>
      </c>
      <c r="P5" s="9">
        <v>37</v>
      </c>
      <c r="Q5" s="9">
        <v>45</v>
      </c>
      <c r="R5" s="9">
        <v>54</v>
      </c>
      <c r="S5" s="9">
        <v>64</v>
      </c>
      <c r="T5" s="9">
        <v>88</v>
      </c>
      <c r="U5" s="9">
        <v>89</v>
      </c>
      <c r="V5" s="9">
        <v>92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9">
        <v>18</v>
      </c>
      <c r="G6" s="1">
        <v>42464</v>
      </c>
      <c r="H6" s="1">
        <v>42461</v>
      </c>
      <c r="I6" s="1">
        <v>73051</v>
      </c>
      <c r="N6" s="4" t="s">
        <v>21</v>
      </c>
      <c r="O6" s="9">
        <v>18</v>
      </c>
      <c r="P6" s="9">
        <v>19</v>
      </c>
      <c r="Q6" s="9">
        <v>22</v>
      </c>
      <c r="R6" s="9">
        <v>24</v>
      </c>
      <c r="S6" s="9">
        <v>27</v>
      </c>
      <c r="T6" s="9">
        <v>37</v>
      </c>
      <c r="U6" s="9">
        <v>39</v>
      </c>
      <c r="V6" s="9">
        <v>42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67</v>
      </c>
      <c r="G9" s="1">
        <v>42464</v>
      </c>
      <c r="H9" s="1">
        <v>42461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52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55</v>
      </c>
      <c r="P10" s="4">
        <f t="shared" si="0"/>
        <v>67</v>
      </c>
      <c r="Q10" s="4">
        <f t="shared" si="0"/>
        <v>84</v>
      </c>
      <c r="R10" s="4">
        <f t="shared" si="0"/>
        <v>96</v>
      </c>
      <c r="S10" s="4">
        <f t="shared" si="0"/>
        <v>117</v>
      </c>
      <c r="T10" s="4">
        <f t="shared" si="0"/>
        <v>150</v>
      </c>
      <c r="U10" s="4">
        <f t="shared" si="0"/>
        <v>160</v>
      </c>
      <c r="V10" s="4">
        <f t="shared" si="0"/>
        <v>180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37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37</v>
      </c>
      <c r="P11" s="4">
        <f t="shared" si="1"/>
        <v>52</v>
      </c>
      <c r="Q11" s="4">
        <f t="shared" si="1"/>
        <v>65</v>
      </c>
      <c r="R11" s="4">
        <f t="shared" si="1"/>
        <v>76</v>
      </c>
      <c r="S11" s="4">
        <f t="shared" si="1"/>
        <v>94</v>
      </c>
      <c r="T11" s="4">
        <f t="shared" si="1"/>
        <v>125</v>
      </c>
      <c r="U11" s="4">
        <f t="shared" si="1"/>
        <v>129</v>
      </c>
      <c r="V11" s="4">
        <f t="shared" si="1"/>
        <v>137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19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27</v>
      </c>
      <c r="P12" s="4">
        <f t="shared" si="1"/>
        <v>37</v>
      </c>
      <c r="Q12" s="4">
        <f t="shared" si="1"/>
        <v>45</v>
      </c>
      <c r="R12" s="4">
        <f t="shared" si="1"/>
        <v>54</v>
      </c>
      <c r="S12" s="4">
        <f t="shared" si="1"/>
        <v>64</v>
      </c>
      <c r="T12" s="4">
        <f t="shared" si="1"/>
        <v>88</v>
      </c>
      <c r="U12" s="4">
        <f t="shared" si="1"/>
        <v>89</v>
      </c>
      <c r="V12" s="4">
        <f t="shared" si="1"/>
        <v>92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18</v>
      </c>
      <c r="P13" s="4">
        <f t="shared" si="1"/>
        <v>19</v>
      </c>
      <c r="Q13" s="4">
        <f t="shared" si="1"/>
        <v>22</v>
      </c>
      <c r="R13" s="4">
        <f t="shared" si="1"/>
        <v>24</v>
      </c>
      <c r="S13" s="4">
        <f t="shared" si="1"/>
        <v>27</v>
      </c>
      <c r="T13" s="4">
        <f t="shared" si="1"/>
        <v>37</v>
      </c>
      <c r="U13" s="4">
        <f t="shared" si="1"/>
        <v>39</v>
      </c>
      <c r="V13" s="4">
        <f t="shared" si="1"/>
        <v>42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84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65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45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22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96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76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54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24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117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94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64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27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150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125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88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37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160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129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89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39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180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137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92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42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 s="9">
        <v>55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 s="9">
        <v>37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 s="9">
        <v>27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 s="9">
        <v>18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67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52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37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19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84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65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45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22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96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76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54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24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117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94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64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27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150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125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88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37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160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129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89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39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180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137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92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42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workbookViewId="0">
      <selection activeCell="N2" sqref="N2:X7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F39" sqref="F3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42461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42461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42461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42461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42461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42461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42461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42461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42461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42461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42461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18264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18264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18264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18264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57"/>
  <sheetViews>
    <sheetView topLeftCell="A73" workbookViewId="0">
      <selection activeCell="G86" sqref="G86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9" width="12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43255</v>
      </c>
      <c r="H2" s="1">
        <v>43252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43255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9">
        <v>55</v>
      </c>
      <c r="G3" s="1">
        <v>43255</v>
      </c>
      <c r="H3" s="1">
        <v>43252</v>
      </c>
      <c r="I3" s="1">
        <v>73051</v>
      </c>
      <c r="N3" s="8" t="s">
        <v>17</v>
      </c>
      <c r="O3" s="9">
        <v>55</v>
      </c>
      <c r="P3" s="9">
        <v>67</v>
      </c>
      <c r="Q3" s="9">
        <v>84</v>
      </c>
      <c r="R3" s="9">
        <v>96</v>
      </c>
      <c r="S3" s="9">
        <v>117</v>
      </c>
      <c r="T3" s="9">
        <v>150</v>
      </c>
      <c r="U3" s="9">
        <v>160</v>
      </c>
      <c r="V3" s="9">
        <v>180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9">
        <v>37</v>
      </c>
      <c r="G4" s="1">
        <v>43255</v>
      </c>
      <c r="H4" s="1">
        <v>43252</v>
      </c>
      <c r="I4" s="1">
        <v>73051</v>
      </c>
      <c r="N4" s="4" t="s">
        <v>19</v>
      </c>
      <c r="O4" s="9">
        <v>37</v>
      </c>
      <c r="P4" s="9">
        <v>52</v>
      </c>
      <c r="Q4" s="9">
        <v>65</v>
      </c>
      <c r="R4" s="9">
        <v>76</v>
      </c>
      <c r="S4" s="9">
        <v>94</v>
      </c>
      <c r="T4" s="9">
        <v>125</v>
      </c>
      <c r="U4" s="9">
        <v>129</v>
      </c>
      <c r="V4" s="9">
        <v>137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9">
        <v>27</v>
      </c>
      <c r="G5" s="1">
        <v>43255</v>
      </c>
      <c r="H5" s="1">
        <v>43252</v>
      </c>
      <c r="I5" s="1">
        <v>73051</v>
      </c>
      <c r="N5" s="4" t="s">
        <v>20</v>
      </c>
      <c r="O5" s="9">
        <v>27</v>
      </c>
      <c r="P5" s="9">
        <v>37</v>
      </c>
      <c r="Q5" s="9">
        <v>45</v>
      </c>
      <c r="R5" s="9">
        <v>54</v>
      </c>
      <c r="S5" s="9">
        <v>64</v>
      </c>
      <c r="T5" s="9">
        <v>88</v>
      </c>
      <c r="U5" s="9">
        <v>89</v>
      </c>
      <c r="V5" s="9">
        <v>92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9">
        <v>18</v>
      </c>
      <c r="G6" s="1">
        <v>43255</v>
      </c>
      <c r="H6" s="1">
        <v>43252</v>
      </c>
      <c r="I6" s="1">
        <v>73051</v>
      </c>
      <c r="N6" s="4" t="s">
        <v>21</v>
      </c>
      <c r="O6" s="9">
        <v>18</v>
      </c>
      <c r="P6" s="9">
        <v>19</v>
      </c>
      <c r="Q6" s="9">
        <v>22</v>
      </c>
      <c r="R6" s="9">
        <v>24</v>
      </c>
      <c r="S6" s="9">
        <v>27</v>
      </c>
      <c r="T6" s="9">
        <v>37</v>
      </c>
      <c r="U6" s="9">
        <v>39</v>
      </c>
      <c r="V6" s="9">
        <v>42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43255</v>
      </c>
      <c r="H7" s="1">
        <v>43252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43255</v>
      </c>
      <c r="H8" s="1">
        <v>43252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67</v>
      </c>
      <c r="G9" s="1">
        <v>43255</v>
      </c>
      <c r="H9" s="1">
        <v>43252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52</v>
      </c>
      <c r="G10" s="1">
        <v>43255</v>
      </c>
      <c r="H10" s="1">
        <v>43252</v>
      </c>
      <c r="I10" s="1">
        <v>73051</v>
      </c>
      <c r="N10" s="8" t="s">
        <v>17</v>
      </c>
      <c r="O10" s="4">
        <f>O3</f>
        <v>55</v>
      </c>
      <c r="P10" s="4">
        <f t="shared" si="0"/>
        <v>67</v>
      </c>
      <c r="Q10" s="4">
        <f t="shared" si="0"/>
        <v>84</v>
      </c>
      <c r="R10" s="4">
        <f t="shared" si="0"/>
        <v>96</v>
      </c>
      <c r="S10" s="4">
        <f t="shared" si="0"/>
        <v>117</v>
      </c>
      <c r="T10" s="4">
        <f t="shared" si="0"/>
        <v>150</v>
      </c>
      <c r="U10" s="4">
        <f t="shared" si="0"/>
        <v>160</v>
      </c>
      <c r="V10" s="4">
        <f t="shared" si="0"/>
        <v>180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37</v>
      </c>
      <c r="G11" s="1">
        <v>43255</v>
      </c>
      <c r="H11" s="1">
        <v>43252</v>
      </c>
      <c r="I11" s="1">
        <v>73051</v>
      </c>
      <c r="N11" s="4" t="s">
        <v>19</v>
      </c>
      <c r="O11" s="4">
        <f t="shared" ref="O11:W14" si="1">O4</f>
        <v>37</v>
      </c>
      <c r="P11" s="4">
        <f t="shared" si="1"/>
        <v>52</v>
      </c>
      <c r="Q11" s="4">
        <f t="shared" si="1"/>
        <v>65</v>
      </c>
      <c r="R11" s="4">
        <f t="shared" si="1"/>
        <v>76</v>
      </c>
      <c r="S11" s="4">
        <f t="shared" si="1"/>
        <v>94</v>
      </c>
      <c r="T11" s="4">
        <f t="shared" si="1"/>
        <v>125</v>
      </c>
      <c r="U11" s="4">
        <f t="shared" si="1"/>
        <v>129</v>
      </c>
      <c r="V11" s="4">
        <f t="shared" si="1"/>
        <v>137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19</v>
      </c>
      <c r="G12" s="1">
        <v>43255</v>
      </c>
      <c r="H12" s="1">
        <v>43252</v>
      </c>
      <c r="I12" s="1">
        <v>73051</v>
      </c>
      <c r="N12" s="4" t="s">
        <v>20</v>
      </c>
      <c r="O12" s="4">
        <f t="shared" si="1"/>
        <v>27</v>
      </c>
      <c r="P12" s="4">
        <f t="shared" si="1"/>
        <v>37</v>
      </c>
      <c r="Q12" s="4">
        <f t="shared" si="1"/>
        <v>45</v>
      </c>
      <c r="R12" s="4">
        <f t="shared" si="1"/>
        <v>54</v>
      </c>
      <c r="S12" s="4">
        <f t="shared" si="1"/>
        <v>64</v>
      </c>
      <c r="T12" s="4">
        <f t="shared" si="1"/>
        <v>88</v>
      </c>
      <c r="U12" s="4">
        <f t="shared" si="1"/>
        <v>89</v>
      </c>
      <c r="V12" s="4">
        <f t="shared" si="1"/>
        <v>92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43255</v>
      </c>
      <c r="H13" s="1">
        <v>43252</v>
      </c>
      <c r="I13" s="1">
        <v>73051</v>
      </c>
      <c r="N13" s="4" t="s">
        <v>21</v>
      </c>
      <c r="O13" s="4">
        <f t="shared" si="1"/>
        <v>18</v>
      </c>
      <c r="P13" s="4">
        <f t="shared" si="1"/>
        <v>19</v>
      </c>
      <c r="Q13" s="4">
        <f t="shared" si="1"/>
        <v>22</v>
      </c>
      <c r="R13" s="4">
        <f t="shared" si="1"/>
        <v>24</v>
      </c>
      <c r="S13" s="4">
        <f t="shared" si="1"/>
        <v>27</v>
      </c>
      <c r="T13" s="4">
        <f t="shared" si="1"/>
        <v>37</v>
      </c>
      <c r="U13" s="4">
        <f t="shared" si="1"/>
        <v>39</v>
      </c>
      <c r="V13" s="4">
        <f t="shared" si="1"/>
        <v>42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43255</v>
      </c>
      <c r="H14" s="1">
        <v>43252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84</v>
      </c>
      <c r="G15" s="1">
        <v>43255</v>
      </c>
      <c r="H15" s="1">
        <v>43252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65</v>
      </c>
      <c r="G16" s="1">
        <v>43255</v>
      </c>
      <c r="H16" s="1">
        <v>43252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45</v>
      </c>
      <c r="G17" s="1">
        <v>43255</v>
      </c>
      <c r="H17" s="1">
        <v>43252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22</v>
      </c>
      <c r="G18" s="1">
        <v>43255</v>
      </c>
      <c r="H18" s="1">
        <v>43252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43255</v>
      </c>
      <c r="H19" s="1">
        <v>43252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43255</v>
      </c>
      <c r="H20" s="1">
        <v>43252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96</v>
      </c>
      <c r="G21" s="1">
        <v>43255</v>
      </c>
      <c r="H21" s="1">
        <v>43252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76</v>
      </c>
      <c r="G22" s="1">
        <v>43255</v>
      </c>
      <c r="H22" s="1">
        <v>43252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54</v>
      </c>
      <c r="G23" s="1">
        <v>43255</v>
      </c>
      <c r="H23" s="1">
        <v>43252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24</v>
      </c>
      <c r="G24" s="1">
        <v>43255</v>
      </c>
      <c r="H24" s="1">
        <v>43252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43255</v>
      </c>
      <c r="H25" s="1">
        <v>43252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43255</v>
      </c>
      <c r="H26" s="1">
        <v>43252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117</v>
      </c>
      <c r="G27" s="1">
        <v>43255</v>
      </c>
      <c r="H27" s="1">
        <v>43252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94</v>
      </c>
      <c r="G28" s="1">
        <v>43255</v>
      </c>
      <c r="H28" s="1">
        <v>43252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64</v>
      </c>
      <c r="G29" s="1">
        <v>43255</v>
      </c>
      <c r="H29" s="1">
        <v>43252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27</v>
      </c>
      <c r="G30" s="1">
        <v>43255</v>
      </c>
      <c r="H30" s="1">
        <v>43252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43255</v>
      </c>
      <c r="H31" s="1">
        <v>43252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43255</v>
      </c>
      <c r="H32" s="1">
        <v>43252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150</v>
      </c>
      <c r="G33" s="1">
        <v>43255</v>
      </c>
      <c r="H33" s="1">
        <v>43252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125</v>
      </c>
      <c r="G34" s="1">
        <v>43255</v>
      </c>
      <c r="H34" s="1">
        <v>43252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88</v>
      </c>
      <c r="G35" s="1">
        <v>43255</v>
      </c>
      <c r="H35" s="1">
        <v>43252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37</v>
      </c>
      <c r="G36" s="1">
        <v>43255</v>
      </c>
      <c r="H36" s="1">
        <v>43252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43255</v>
      </c>
      <c r="H37" s="1">
        <v>43252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43255</v>
      </c>
      <c r="H38" s="1">
        <v>43252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160</v>
      </c>
      <c r="G39" s="1">
        <v>43255</v>
      </c>
      <c r="H39" s="1">
        <v>43252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129</v>
      </c>
      <c r="G40" s="1">
        <v>43255</v>
      </c>
      <c r="H40" s="1">
        <v>43252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89</v>
      </c>
      <c r="G41" s="1">
        <v>43255</v>
      </c>
      <c r="H41" s="1">
        <v>43252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39</v>
      </c>
      <c r="G42" s="1">
        <v>43255</v>
      </c>
      <c r="H42" s="1">
        <v>43252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43255</v>
      </c>
      <c r="H43" s="1">
        <v>43252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43255</v>
      </c>
      <c r="H44" s="1">
        <v>43252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180</v>
      </c>
      <c r="G45" s="1">
        <v>43255</v>
      </c>
      <c r="H45" s="1">
        <v>43252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137</v>
      </c>
      <c r="G46" s="1">
        <v>43255</v>
      </c>
      <c r="H46" s="1">
        <v>43252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92</v>
      </c>
      <c r="G47" s="1">
        <v>43255</v>
      </c>
      <c r="H47" s="1">
        <v>43252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42</v>
      </c>
      <c r="G48" s="1">
        <v>43255</v>
      </c>
      <c r="H48" s="1">
        <v>43252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43255</v>
      </c>
      <c r="H49" s="1">
        <v>43252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43255</v>
      </c>
      <c r="H50" s="1">
        <v>43252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43255</v>
      </c>
      <c r="H51" s="1">
        <v>43252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43255</v>
      </c>
      <c r="H52" s="1">
        <v>43252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43255</v>
      </c>
      <c r="H53" s="1">
        <v>43252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43255</v>
      </c>
      <c r="H54" s="1">
        <v>43252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43255</v>
      </c>
      <c r="H55" s="1">
        <v>43252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43255</v>
      </c>
      <c r="H56" s="1">
        <v>43252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 s="9">
        <v>55</v>
      </c>
      <c r="G57" s="1">
        <v>43255</v>
      </c>
      <c r="H57" s="1">
        <v>43252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 s="9">
        <v>37</v>
      </c>
      <c r="G58" s="1">
        <v>43255</v>
      </c>
      <c r="H58" s="1">
        <v>43252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 s="9">
        <v>27</v>
      </c>
      <c r="G59" s="1">
        <v>43255</v>
      </c>
      <c r="H59" s="1">
        <v>43252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 s="9">
        <v>18</v>
      </c>
      <c r="G60" s="1">
        <v>43255</v>
      </c>
      <c r="H60" s="1">
        <v>43252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43255</v>
      </c>
      <c r="H61" s="1">
        <v>43252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43255</v>
      </c>
      <c r="H62" s="1">
        <v>43252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67</v>
      </c>
      <c r="G63" s="1">
        <v>43255</v>
      </c>
      <c r="H63" s="1">
        <v>43252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52</v>
      </c>
      <c r="G64" s="1">
        <v>43255</v>
      </c>
      <c r="H64" s="1">
        <v>43252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37</v>
      </c>
      <c r="G65" s="1">
        <v>43255</v>
      </c>
      <c r="H65" s="1">
        <v>43252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19</v>
      </c>
      <c r="G66" s="1">
        <v>43255</v>
      </c>
      <c r="H66" s="1">
        <v>43252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43255</v>
      </c>
      <c r="H67" s="1">
        <v>43252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43255</v>
      </c>
      <c r="H68" s="1">
        <v>43252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84</v>
      </c>
      <c r="G69" s="1">
        <v>43255</v>
      </c>
      <c r="H69" s="1">
        <v>43252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65</v>
      </c>
      <c r="G70" s="1">
        <v>43255</v>
      </c>
      <c r="H70" s="1">
        <v>43252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45</v>
      </c>
      <c r="G71" s="1">
        <v>43255</v>
      </c>
      <c r="H71" s="1">
        <v>43252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22</v>
      </c>
      <c r="G72" s="1">
        <v>43255</v>
      </c>
      <c r="H72" s="1">
        <v>43252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43255</v>
      </c>
      <c r="H73" s="1">
        <v>43252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43255</v>
      </c>
      <c r="H74" s="1">
        <v>43252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96</v>
      </c>
      <c r="G75" s="1">
        <v>43255</v>
      </c>
      <c r="H75" s="1">
        <v>43252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76</v>
      </c>
      <c r="G76" s="1">
        <v>43255</v>
      </c>
      <c r="H76" s="1">
        <v>43252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54</v>
      </c>
      <c r="G77" s="1">
        <v>43255</v>
      </c>
      <c r="H77" s="1">
        <v>43252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24</v>
      </c>
      <c r="G78" s="1">
        <v>43255</v>
      </c>
      <c r="H78" s="1">
        <v>43252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43255</v>
      </c>
      <c r="H79" s="1">
        <v>43252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43255</v>
      </c>
      <c r="H80" s="1">
        <v>43252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117</v>
      </c>
      <c r="G81" s="1">
        <v>43255</v>
      </c>
      <c r="H81" s="1">
        <v>43252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94</v>
      </c>
      <c r="G82" s="1">
        <v>43255</v>
      </c>
      <c r="H82" s="1">
        <v>43252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64</v>
      </c>
      <c r="G83" s="1">
        <v>43255</v>
      </c>
      <c r="H83" s="1">
        <v>43252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27</v>
      </c>
      <c r="G84" s="1">
        <v>43255</v>
      </c>
      <c r="H84" s="1">
        <v>43252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43255</v>
      </c>
      <c r="H85" s="1">
        <v>43252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43255</v>
      </c>
      <c r="H86" s="1">
        <v>43252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150</v>
      </c>
      <c r="G87" s="1">
        <v>43255</v>
      </c>
      <c r="H87" s="1">
        <v>43252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125</v>
      </c>
      <c r="G88" s="1">
        <v>43255</v>
      </c>
      <c r="H88" s="1">
        <v>43252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88</v>
      </c>
      <c r="G89" s="1">
        <v>43255</v>
      </c>
      <c r="H89" s="1">
        <v>43252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37</v>
      </c>
      <c r="G90" s="1">
        <v>43255</v>
      </c>
      <c r="H90" s="1">
        <v>43252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43255</v>
      </c>
      <c r="H91" s="1">
        <v>43252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43255</v>
      </c>
      <c r="H92" s="1">
        <v>43252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160</v>
      </c>
      <c r="G93" s="1">
        <v>43255</v>
      </c>
      <c r="H93" s="1">
        <v>43252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129</v>
      </c>
      <c r="G94" s="1">
        <v>43255</v>
      </c>
      <c r="H94" s="1">
        <v>43252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89</v>
      </c>
      <c r="G95" s="1">
        <v>43255</v>
      </c>
      <c r="H95" s="1">
        <v>43252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39</v>
      </c>
      <c r="G96" s="1">
        <v>43255</v>
      </c>
      <c r="H96" s="1">
        <v>43252</v>
      </c>
      <c r="I96" s="1">
        <v>73051</v>
      </c>
    </row>
    <row r="97" spans="1:24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43255</v>
      </c>
      <c r="H97" s="1">
        <v>43252</v>
      </c>
      <c r="I97" s="1">
        <v>73051</v>
      </c>
    </row>
    <row r="98" spans="1:24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43255</v>
      </c>
      <c r="H98" s="1">
        <v>43252</v>
      </c>
      <c r="I98" s="1">
        <v>73051</v>
      </c>
    </row>
    <row r="99" spans="1:24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180</v>
      </c>
      <c r="G99" s="1">
        <v>43255</v>
      </c>
      <c r="H99" s="1">
        <v>43252</v>
      </c>
      <c r="I99" s="1">
        <v>73051</v>
      </c>
    </row>
    <row r="100" spans="1:24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137</v>
      </c>
      <c r="G100" s="1">
        <v>43255</v>
      </c>
      <c r="H100" s="1">
        <v>43252</v>
      </c>
      <c r="I100" s="1">
        <v>73051</v>
      </c>
    </row>
    <row r="101" spans="1:24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92</v>
      </c>
      <c r="G101" s="1">
        <v>43255</v>
      </c>
      <c r="H101" s="1">
        <v>43252</v>
      </c>
      <c r="I101" s="1">
        <v>73051</v>
      </c>
    </row>
    <row r="102" spans="1:24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42</v>
      </c>
      <c r="G102" s="1">
        <v>43255</v>
      </c>
      <c r="H102" s="1">
        <v>43252</v>
      </c>
      <c r="I102" s="1">
        <v>73051</v>
      </c>
    </row>
    <row r="103" spans="1:24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43255</v>
      </c>
      <c r="H103" s="1">
        <v>43252</v>
      </c>
      <c r="I103" s="1">
        <v>73051</v>
      </c>
    </row>
    <row r="104" spans="1:24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43255</v>
      </c>
      <c r="H104" s="1">
        <v>43252</v>
      </c>
      <c r="I104" s="1">
        <v>73051</v>
      </c>
    </row>
    <row r="105" spans="1:24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43255</v>
      </c>
      <c r="H105" s="1">
        <v>43252</v>
      </c>
      <c r="I105" s="1">
        <v>73051</v>
      </c>
    </row>
    <row r="106" spans="1:24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43255</v>
      </c>
      <c r="H106" s="1">
        <v>43252</v>
      </c>
      <c r="I106" s="1">
        <v>73051</v>
      </c>
    </row>
    <row r="107" spans="1:24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43255</v>
      </c>
      <c r="H107" s="1">
        <v>43252</v>
      </c>
      <c r="I107" s="1">
        <v>73051</v>
      </c>
    </row>
    <row r="108" spans="1:24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43255</v>
      </c>
      <c r="H108" s="1">
        <v>43252</v>
      </c>
      <c r="I108" s="1">
        <v>73051</v>
      </c>
    </row>
    <row r="109" spans="1:24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43255</v>
      </c>
      <c r="H109" s="1">
        <v>43252</v>
      </c>
      <c r="I109" s="1">
        <v>73051</v>
      </c>
    </row>
    <row r="110" spans="1:24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42464</v>
      </c>
      <c r="H110" s="1">
        <v>42461</v>
      </c>
      <c r="I110" s="1">
        <v>43252</v>
      </c>
      <c r="N110" s="4" t="s">
        <v>27</v>
      </c>
      <c r="O110" t="s">
        <v>12</v>
      </c>
      <c r="P110" t="s">
        <v>59</v>
      </c>
      <c r="Q110" t="s">
        <v>60</v>
      </c>
      <c r="R110" t="s">
        <v>61</v>
      </c>
      <c r="S110" t="s">
        <v>62</v>
      </c>
      <c r="T110" t="s">
        <v>63</v>
      </c>
      <c r="U110" t="s">
        <v>64</v>
      </c>
      <c r="V110" t="s">
        <v>65</v>
      </c>
      <c r="W110" s="4" t="s">
        <v>16</v>
      </c>
      <c r="X110" s="1">
        <v>42464</v>
      </c>
    </row>
    <row r="111" spans="1:24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v>54.999999999999993</v>
      </c>
      <c r="G111" s="1">
        <v>42464</v>
      </c>
      <c r="H111" s="1">
        <v>42461</v>
      </c>
      <c r="I111" s="1">
        <v>43252</v>
      </c>
      <c r="N111" s="8" t="s">
        <v>17</v>
      </c>
      <c r="O111" s="9">
        <v>54.999999999999993</v>
      </c>
      <c r="P111" s="9">
        <v>75</v>
      </c>
      <c r="Q111" s="9">
        <v>95</v>
      </c>
      <c r="R111" s="9">
        <v>114.99999999999999</v>
      </c>
      <c r="S111" s="9">
        <v>140</v>
      </c>
      <c r="T111" s="9">
        <v>190</v>
      </c>
      <c r="U111" s="9">
        <v>205.00000000000003</v>
      </c>
      <c r="V111" s="9">
        <v>225</v>
      </c>
      <c r="W111" s="4" t="s">
        <v>18</v>
      </c>
    </row>
    <row r="112" spans="1:24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v>41</v>
      </c>
      <c r="G112" s="1">
        <v>42464</v>
      </c>
      <c r="H112" s="1">
        <v>42461</v>
      </c>
      <c r="I112" s="1">
        <v>43252</v>
      </c>
      <c r="N112" s="4" t="s">
        <v>19</v>
      </c>
      <c r="O112" s="9">
        <v>41</v>
      </c>
      <c r="P112" s="9">
        <v>59</v>
      </c>
      <c r="Q112" s="9">
        <v>73</v>
      </c>
      <c r="R112" s="9">
        <v>87</v>
      </c>
      <c r="S112" s="9">
        <v>108</v>
      </c>
      <c r="T112" s="9">
        <v>142</v>
      </c>
      <c r="U112" s="9">
        <v>150</v>
      </c>
      <c r="V112" s="9">
        <v>161</v>
      </c>
      <c r="W112" s="4" t="s">
        <v>18</v>
      </c>
    </row>
    <row r="113" spans="1:23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v>30</v>
      </c>
      <c r="G113" s="1">
        <v>42464</v>
      </c>
      <c r="H113" s="1">
        <v>42461</v>
      </c>
      <c r="I113" s="1">
        <v>43252</v>
      </c>
      <c r="N113" s="4" t="s">
        <v>20</v>
      </c>
      <c r="O113" s="9">
        <v>30</v>
      </c>
      <c r="P113" s="9">
        <v>41</v>
      </c>
      <c r="Q113" s="9">
        <v>50</v>
      </c>
      <c r="R113" s="9">
        <v>60</v>
      </c>
      <c r="S113" s="9">
        <v>73</v>
      </c>
      <c r="T113" s="9">
        <v>100</v>
      </c>
      <c r="U113" s="9">
        <v>105</v>
      </c>
      <c r="V113" s="9">
        <v>110.00000000000001</v>
      </c>
      <c r="W113" s="4" t="s">
        <v>18</v>
      </c>
    </row>
    <row r="114" spans="1:23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v>19</v>
      </c>
      <c r="G114" s="1">
        <v>42464</v>
      </c>
      <c r="H114" s="1">
        <v>42461</v>
      </c>
      <c r="I114" s="1">
        <v>43252</v>
      </c>
      <c r="N114" s="4" t="s">
        <v>21</v>
      </c>
      <c r="O114" s="9">
        <v>19</v>
      </c>
      <c r="P114" s="9">
        <v>20</v>
      </c>
      <c r="Q114" s="9">
        <v>23</v>
      </c>
      <c r="R114" s="9">
        <v>27</v>
      </c>
      <c r="S114" s="9">
        <v>32</v>
      </c>
      <c r="T114" s="9">
        <v>41</v>
      </c>
      <c r="U114" s="9">
        <v>43</v>
      </c>
      <c r="V114" s="9">
        <v>45</v>
      </c>
      <c r="W114" s="4" t="s">
        <v>18</v>
      </c>
    </row>
    <row r="115" spans="1:23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v>0</v>
      </c>
      <c r="G115" s="1">
        <v>42464</v>
      </c>
      <c r="H115" s="1">
        <v>42461</v>
      </c>
      <c r="I115" s="1">
        <v>43252</v>
      </c>
      <c r="N115" s="4" t="s">
        <v>22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4" t="s">
        <v>18</v>
      </c>
    </row>
    <row r="116" spans="1:23" x14ac:dyDescent="0.25">
      <c r="A116" t="s">
        <v>7</v>
      </c>
      <c r="B116">
        <v>740</v>
      </c>
      <c r="C116">
        <v>760</v>
      </c>
      <c r="D116">
        <v>97</v>
      </c>
      <c r="E116">
        <v>999</v>
      </c>
      <c r="G116" s="1">
        <v>42464</v>
      </c>
      <c r="H116" s="1">
        <v>42461</v>
      </c>
      <c r="I116" s="1">
        <v>43252</v>
      </c>
      <c r="N116" s="4"/>
      <c r="O116" s="4"/>
      <c r="P116" s="4"/>
      <c r="Q116" s="4"/>
      <c r="R116" s="4"/>
      <c r="S116" s="4"/>
      <c r="T116" s="4"/>
    </row>
    <row r="117" spans="1:23" x14ac:dyDescent="0.25">
      <c r="A117" t="s">
        <v>7</v>
      </c>
      <c r="B117">
        <v>740</v>
      </c>
      <c r="C117">
        <v>760</v>
      </c>
      <c r="D117">
        <v>95</v>
      </c>
      <c r="E117">
        <v>97</v>
      </c>
      <c r="F117" s="9">
        <v>75</v>
      </c>
      <c r="G117" s="1">
        <v>42464</v>
      </c>
      <c r="H117" s="1">
        <v>42461</v>
      </c>
      <c r="I117" s="1">
        <v>43252</v>
      </c>
      <c r="M117" t="s">
        <v>66</v>
      </c>
      <c r="N117" s="4" t="s">
        <v>28</v>
      </c>
      <c r="O117" s="4" t="str">
        <f>O110</f>
        <v>760+</v>
      </c>
      <c r="P117" s="4" t="str">
        <f t="shared" ref="P117:W118" si="2">P110</f>
        <v>740-759</v>
      </c>
      <c r="Q117" s="4" t="str">
        <f t="shared" si="2"/>
        <v>720-739</v>
      </c>
      <c r="R117" s="4" t="str">
        <f t="shared" si="2"/>
        <v>700-719</v>
      </c>
      <c r="S117" s="4" t="str">
        <f t="shared" si="2"/>
        <v>680-699</v>
      </c>
      <c r="T117" s="4" t="str">
        <f t="shared" si="2"/>
        <v>660-679</v>
      </c>
      <c r="U117" s="4" t="str">
        <f t="shared" si="2"/>
        <v>640-659</v>
      </c>
      <c r="V117" s="4" t="str">
        <f t="shared" si="2"/>
        <v>620-639</v>
      </c>
      <c r="W117" s="4" t="str">
        <f t="shared" si="2"/>
        <v>&lt; 620</v>
      </c>
    </row>
    <row r="118" spans="1:23" x14ac:dyDescent="0.25">
      <c r="A118" t="s">
        <v>7</v>
      </c>
      <c r="B118">
        <v>740</v>
      </c>
      <c r="C118">
        <v>760</v>
      </c>
      <c r="D118">
        <v>90</v>
      </c>
      <c r="E118">
        <v>95</v>
      </c>
      <c r="F118" s="9">
        <v>59</v>
      </c>
      <c r="G118" s="1">
        <v>42464</v>
      </c>
      <c r="H118" s="1">
        <v>42461</v>
      </c>
      <c r="I118" s="1">
        <v>43252</v>
      </c>
      <c r="N118" s="8" t="s">
        <v>17</v>
      </c>
      <c r="O118" s="4">
        <f>O111</f>
        <v>54.999999999999993</v>
      </c>
      <c r="P118" s="4">
        <f t="shared" si="2"/>
        <v>75</v>
      </c>
      <c r="Q118" s="4">
        <f t="shared" si="2"/>
        <v>95</v>
      </c>
      <c r="R118" s="4">
        <f t="shared" si="2"/>
        <v>114.99999999999999</v>
      </c>
      <c r="S118" s="4">
        <f t="shared" si="2"/>
        <v>140</v>
      </c>
      <c r="T118" s="4">
        <f t="shared" si="2"/>
        <v>190</v>
      </c>
      <c r="U118" s="4">
        <f t="shared" si="2"/>
        <v>205.00000000000003</v>
      </c>
      <c r="V118" s="4">
        <f t="shared" si="2"/>
        <v>225</v>
      </c>
      <c r="W118" s="4" t="str">
        <f t="shared" si="2"/>
        <v>Null</v>
      </c>
    </row>
    <row r="119" spans="1:23" x14ac:dyDescent="0.25">
      <c r="A119" t="s">
        <v>7</v>
      </c>
      <c r="B119">
        <v>740</v>
      </c>
      <c r="C119">
        <v>760</v>
      </c>
      <c r="D119">
        <v>85</v>
      </c>
      <c r="E119">
        <v>90</v>
      </c>
      <c r="F119" s="9">
        <v>41</v>
      </c>
      <c r="G119" s="1">
        <v>42464</v>
      </c>
      <c r="H119" s="1">
        <v>42461</v>
      </c>
      <c r="I119" s="1">
        <v>43252</v>
      </c>
      <c r="N119" s="4" t="s">
        <v>19</v>
      </c>
      <c r="O119" s="4">
        <f t="shared" ref="O119:W122" si="3">O112</f>
        <v>41</v>
      </c>
      <c r="P119" s="4">
        <f t="shared" si="3"/>
        <v>59</v>
      </c>
      <c r="Q119" s="4">
        <f t="shared" si="3"/>
        <v>73</v>
      </c>
      <c r="R119" s="4">
        <f t="shared" si="3"/>
        <v>87</v>
      </c>
      <c r="S119" s="4">
        <f t="shared" si="3"/>
        <v>108</v>
      </c>
      <c r="T119" s="4">
        <f t="shared" si="3"/>
        <v>142</v>
      </c>
      <c r="U119" s="4">
        <f t="shared" si="3"/>
        <v>150</v>
      </c>
      <c r="V119" s="4">
        <f t="shared" si="3"/>
        <v>161</v>
      </c>
      <c r="W119" s="4" t="str">
        <f t="shared" si="3"/>
        <v>Null</v>
      </c>
    </row>
    <row r="120" spans="1:23" x14ac:dyDescent="0.25">
      <c r="A120" t="s">
        <v>7</v>
      </c>
      <c r="B120">
        <v>740</v>
      </c>
      <c r="C120">
        <v>760</v>
      </c>
      <c r="D120">
        <v>80</v>
      </c>
      <c r="E120">
        <v>85</v>
      </c>
      <c r="F120" s="9">
        <v>20</v>
      </c>
      <c r="G120" s="1">
        <v>42464</v>
      </c>
      <c r="H120" s="1">
        <v>42461</v>
      </c>
      <c r="I120" s="1">
        <v>43252</v>
      </c>
      <c r="N120" s="4" t="s">
        <v>20</v>
      </c>
      <c r="O120" s="4">
        <f t="shared" si="3"/>
        <v>30</v>
      </c>
      <c r="P120" s="4">
        <f t="shared" si="3"/>
        <v>41</v>
      </c>
      <c r="Q120" s="4">
        <f t="shared" si="3"/>
        <v>50</v>
      </c>
      <c r="R120" s="4">
        <f t="shared" si="3"/>
        <v>60</v>
      </c>
      <c r="S120" s="4">
        <f t="shared" si="3"/>
        <v>73</v>
      </c>
      <c r="T120" s="4">
        <f t="shared" si="3"/>
        <v>100</v>
      </c>
      <c r="U120" s="4">
        <f t="shared" si="3"/>
        <v>105</v>
      </c>
      <c r="V120" s="4">
        <f t="shared" si="3"/>
        <v>110.00000000000001</v>
      </c>
      <c r="W120" s="4" t="str">
        <f t="shared" si="3"/>
        <v>Null</v>
      </c>
    </row>
    <row r="121" spans="1:23" x14ac:dyDescent="0.25">
      <c r="A121" t="s">
        <v>7</v>
      </c>
      <c r="B121">
        <v>740</v>
      </c>
      <c r="C121">
        <v>760</v>
      </c>
      <c r="D121">
        <v>0</v>
      </c>
      <c r="E121">
        <v>80</v>
      </c>
      <c r="F121" s="10">
        <v>0</v>
      </c>
      <c r="G121" s="1">
        <v>42464</v>
      </c>
      <c r="H121" s="1">
        <v>42461</v>
      </c>
      <c r="I121" s="1">
        <v>43252</v>
      </c>
      <c r="N121" s="4" t="s">
        <v>21</v>
      </c>
      <c r="O121" s="4">
        <f t="shared" si="3"/>
        <v>19</v>
      </c>
      <c r="P121" s="4">
        <f t="shared" si="3"/>
        <v>20</v>
      </c>
      <c r="Q121" s="4">
        <f t="shared" si="3"/>
        <v>23</v>
      </c>
      <c r="R121" s="4">
        <f t="shared" si="3"/>
        <v>27</v>
      </c>
      <c r="S121" s="4">
        <f t="shared" si="3"/>
        <v>32</v>
      </c>
      <c r="T121" s="4">
        <f t="shared" si="3"/>
        <v>41</v>
      </c>
      <c r="U121" s="4">
        <f t="shared" si="3"/>
        <v>43</v>
      </c>
      <c r="V121" s="4">
        <f t="shared" si="3"/>
        <v>45</v>
      </c>
      <c r="W121" s="4" t="str">
        <f t="shared" si="3"/>
        <v>Null</v>
      </c>
    </row>
    <row r="122" spans="1:23" x14ac:dyDescent="0.25">
      <c r="A122" t="s">
        <v>7</v>
      </c>
      <c r="B122">
        <v>720</v>
      </c>
      <c r="C122">
        <v>740</v>
      </c>
      <c r="D122">
        <v>97</v>
      </c>
      <c r="E122">
        <v>999</v>
      </c>
      <c r="G122" s="1">
        <v>42464</v>
      </c>
      <c r="H122" s="1">
        <v>42461</v>
      </c>
      <c r="I122" s="1">
        <v>43252</v>
      </c>
      <c r="N122" s="4" t="s">
        <v>22</v>
      </c>
      <c r="O122" s="4">
        <f t="shared" si="3"/>
        <v>0</v>
      </c>
      <c r="P122" s="4">
        <f t="shared" si="3"/>
        <v>0</v>
      </c>
      <c r="Q122" s="4">
        <f t="shared" si="3"/>
        <v>0</v>
      </c>
      <c r="R122" s="4">
        <f t="shared" si="3"/>
        <v>0</v>
      </c>
      <c r="S122" s="4">
        <f t="shared" si="3"/>
        <v>0</v>
      </c>
      <c r="T122" s="4">
        <f t="shared" si="3"/>
        <v>0</v>
      </c>
      <c r="U122" s="4">
        <f t="shared" si="3"/>
        <v>0</v>
      </c>
      <c r="V122" s="4">
        <f t="shared" si="3"/>
        <v>0</v>
      </c>
      <c r="W122" s="4" t="str">
        <f t="shared" si="3"/>
        <v>Null</v>
      </c>
    </row>
    <row r="123" spans="1:23" x14ac:dyDescent="0.25">
      <c r="A123" t="s">
        <v>7</v>
      </c>
      <c r="B123">
        <v>720</v>
      </c>
      <c r="C123">
        <v>740</v>
      </c>
      <c r="D123">
        <v>95</v>
      </c>
      <c r="E123">
        <v>97</v>
      </c>
      <c r="F123" s="9">
        <v>95</v>
      </c>
      <c r="G123" s="1">
        <v>42464</v>
      </c>
      <c r="H123" s="1">
        <v>42461</v>
      </c>
      <c r="I123" s="1">
        <v>43252</v>
      </c>
      <c r="N123" s="4"/>
      <c r="O123" s="4"/>
      <c r="P123" s="4"/>
      <c r="Q123" s="4"/>
      <c r="R123" s="4"/>
      <c r="S123" s="4"/>
      <c r="T123" s="4"/>
    </row>
    <row r="124" spans="1:23" x14ac:dyDescent="0.25">
      <c r="A124" t="s">
        <v>7</v>
      </c>
      <c r="B124">
        <v>720</v>
      </c>
      <c r="C124">
        <v>740</v>
      </c>
      <c r="D124">
        <v>90</v>
      </c>
      <c r="E124">
        <v>95</v>
      </c>
      <c r="F124" s="9">
        <v>73</v>
      </c>
      <c r="G124" s="1">
        <v>42464</v>
      </c>
      <c r="H124" s="1">
        <v>42461</v>
      </c>
      <c r="I124" s="1">
        <v>43252</v>
      </c>
    </row>
    <row r="125" spans="1:23" x14ac:dyDescent="0.25">
      <c r="A125" t="s">
        <v>7</v>
      </c>
      <c r="B125">
        <v>720</v>
      </c>
      <c r="C125">
        <v>740</v>
      </c>
      <c r="D125">
        <v>85</v>
      </c>
      <c r="E125">
        <v>90</v>
      </c>
      <c r="F125" s="9">
        <v>50</v>
      </c>
      <c r="G125" s="1">
        <v>42464</v>
      </c>
      <c r="H125" s="1">
        <v>42461</v>
      </c>
      <c r="I125" s="1">
        <v>43252</v>
      </c>
      <c r="N125" t="s">
        <v>24</v>
      </c>
      <c r="O125" s="6" t="s">
        <v>50</v>
      </c>
    </row>
    <row r="126" spans="1:23" x14ac:dyDescent="0.25">
      <c r="A126" t="s">
        <v>7</v>
      </c>
      <c r="B126">
        <v>720</v>
      </c>
      <c r="C126">
        <v>740</v>
      </c>
      <c r="D126">
        <v>80</v>
      </c>
      <c r="E126">
        <v>85</v>
      </c>
      <c r="F126" s="9">
        <v>23</v>
      </c>
      <c r="G126" s="1">
        <v>42464</v>
      </c>
      <c r="H126" s="1">
        <v>42461</v>
      </c>
      <c r="I126" s="1">
        <v>43252</v>
      </c>
      <c r="N126" t="s">
        <v>25</v>
      </c>
      <c r="O126" t="s">
        <v>26</v>
      </c>
    </row>
    <row r="127" spans="1:23" x14ac:dyDescent="0.25">
      <c r="A127" t="s">
        <v>7</v>
      </c>
      <c r="B127">
        <v>720</v>
      </c>
      <c r="C127">
        <v>740</v>
      </c>
      <c r="D127">
        <v>0</v>
      </c>
      <c r="E127">
        <v>80</v>
      </c>
      <c r="F127" s="10">
        <v>0</v>
      </c>
      <c r="G127" s="1">
        <v>42464</v>
      </c>
      <c r="H127" s="1">
        <v>42461</v>
      </c>
      <c r="I127" s="1">
        <v>43252</v>
      </c>
    </row>
    <row r="128" spans="1:23" x14ac:dyDescent="0.25">
      <c r="A128" t="s">
        <v>7</v>
      </c>
      <c r="B128">
        <v>700</v>
      </c>
      <c r="C128">
        <v>720</v>
      </c>
      <c r="D128">
        <v>97</v>
      </c>
      <c r="E128">
        <v>999</v>
      </c>
      <c r="G128" s="1">
        <v>42464</v>
      </c>
      <c r="H128" s="1">
        <v>42461</v>
      </c>
      <c r="I128" s="1">
        <v>43252</v>
      </c>
    </row>
    <row r="129" spans="1:9" x14ac:dyDescent="0.25">
      <c r="A129" t="s">
        <v>7</v>
      </c>
      <c r="B129">
        <v>700</v>
      </c>
      <c r="C129">
        <v>720</v>
      </c>
      <c r="D129">
        <v>95</v>
      </c>
      <c r="E129">
        <v>97</v>
      </c>
      <c r="F129" s="9">
        <v>114.99999999999999</v>
      </c>
      <c r="G129" s="1">
        <v>42464</v>
      </c>
      <c r="H129" s="1">
        <v>42461</v>
      </c>
      <c r="I129" s="1">
        <v>43252</v>
      </c>
    </row>
    <row r="130" spans="1:9" x14ac:dyDescent="0.25">
      <c r="A130" t="s">
        <v>7</v>
      </c>
      <c r="B130">
        <v>700</v>
      </c>
      <c r="C130">
        <v>720</v>
      </c>
      <c r="D130">
        <v>90</v>
      </c>
      <c r="E130">
        <v>95</v>
      </c>
      <c r="F130" s="9">
        <v>87</v>
      </c>
      <c r="G130" s="1">
        <v>42464</v>
      </c>
      <c r="H130" s="1">
        <v>42461</v>
      </c>
      <c r="I130" s="1">
        <v>43252</v>
      </c>
    </row>
    <row r="131" spans="1:9" x14ac:dyDescent="0.25">
      <c r="A131" t="s">
        <v>7</v>
      </c>
      <c r="B131">
        <v>700</v>
      </c>
      <c r="C131">
        <v>720</v>
      </c>
      <c r="D131">
        <v>85</v>
      </c>
      <c r="E131">
        <v>90</v>
      </c>
      <c r="F131" s="9">
        <v>60</v>
      </c>
      <c r="G131" s="1">
        <v>42464</v>
      </c>
      <c r="H131" s="1">
        <v>42461</v>
      </c>
      <c r="I131" s="1">
        <v>43252</v>
      </c>
    </row>
    <row r="132" spans="1:9" x14ac:dyDescent="0.25">
      <c r="A132" t="s">
        <v>7</v>
      </c>
      <c r="B132">
        <v>700</v>
      </c>
      <c r="C132">
        <v>720</v>
      </c>
      <c r="D132">
        <v>80</v>
      </c>
      <c r="E132">
        <v>85</v>
      </c>
      <c r="F132" s="9">
        <v>27</v>
      </c>
      <c r="G132" s="1">
        <v>42464</v>
      </c>
      <c r="H132" s="1">
        <v>42461</v>
      </c>
      <c r="I132" s="1">
        <v>43252</v>
      </c>
    </row>
    <row r="133" spans="1:9" x14ac:dyDescent="0.25">
      <c r="A133" t="s">
        <v>7</v>
      </c>
      <c r="B133">
        <v>700</v>
      </c>
      <c r="C133">
        <v>720</v>
      </c>
      <c r="D133">
        <v>0</v>
      </c>
      <c r="E133">
        <v>80</v>
      </c>
      <c r="F133" s="10">
        <v>0</v>
      </c>
      <c r="G133" s="1">
        <v>42464</v>
      </c>
      <c r="H133" s="1">
        <v>42461</v>
      </c>
      <c r="I133" s="1">
        <v>43252</v>
      </c>
    </row>
    <row r="134" spans="1:9" x14ac:dyDescent="0.25">
      <c r="A134" t="s">
        <v>7</v>
      </c>
      <c r="B134">
        <v>680</v>
      </c>
      <c r="C134">
        <v>700</v>
      </c>
      <c r="D134">
        <v>97</v>
      </c>
      <c r="E134">
        <v>999</v>
      </c>
      <c r="G134" s="1">
        <v>42464</v>
      </c>
      <c r="H134" s="1">
        <v>42461</v>
      </c>
      <c r="I134" s="1">
        <v>43252</v>
      </c>
    </row>
    <row r="135" spans="1:9" x14ac:dyDescent="0.25">
      <c r="A135" t="s">
        <v>7</v>
      </c>
      <c r="B135">
        <v>680</v>
      </c>
      <c r="C135">
        <v>700</v>
      </c>
      <c r="D135">
        <v>95</v>
      </c>
      <c r="E135">
        <v>97</v>
      </c>
      <c r="F135" s="9">
        <v>140</v>
      </c>
      <c r="G135" s="1">
        <v>42464</v>
      </c>
      <c r="H135" s="1">
        <v>42461</v>
      </c>
      <c r="I135" s="1">
        <v>43252</v>
      </c>
    </row>
    <row r="136" spans="1:9" x14ac:dyDescent="0.25">
      <c r="A136" t="s">
        <v>7</v>
      </c>
      <c r="B136">
        <v>680</v>
      </c>
      <c r="C136">
        <v>700</v>
      </c>
      <c r="D136">
        <v>90</v>
      </c>
      <c r="E136">
        <v>95</v>
      </c>
      <c r="F136" s="9">
        <v>108</v>
      </c>
      <c r="G136" s="1">
        <v>42464</v>
      </c>
      <c r="H136" s="1">
        <v>42461</v>
      </c>
      <c r="I136" s="1">
        <v>43252</v>
      </c>
    </row>
    <row r="137" spans="1:9" x14ac:dyDescent="0.25">
      <c r="A137" t="s">
        <v>7</v>
      </c>
      <c r="B137">
        <v>680</v>
      </c>
      <c r="C137">
        <v>700</v>
      </c>
      <c r="D137">
        <v>85</v>
      </c>
      <c r="E137">
        <v>90</v>
      </c>
      <c r="F137" s="9">
        <v>73</v>
      </c>
      <c r="G137" s="1">
        <v>42464</v>
      </c>
      <c r="H137" s="1">
        <v>42461</v>
      </c>
      <c r="I137" s="1">
        <v>43252</v>
      </c>
    </row>
    <row r="138" spans="1:9" x14ac:dyDescent="0.25">
      <c r="A138" t="s">
        <v>7</v>
      </c>
      <c r="B138">
        <v>680</v>
      </c>
      <c r="C138">
        <v>700</v>
      </c>
      <c r="D138">
        <v>80</v>
      </c>
      <c r="E138">
        <v>85</v>
      </c>
      <c r="F138" s="9">
        <v>32</v>
      </c>
      <c r="G138" s="1">
        <v>42464</v>
      </c>
      <c r="H138" s="1">
        <v>42461</v>
      </c>
      <c r="I138" s="1">
        <v>43252</v>
      </c>
    </row>
    <row r="139" spans="1:9" x14ac:dyDescent="0.25">
      <c r="A139" t="s">
        <v>7</v>
      </c>
      <c r="B139">
        <v>680</v>
      </c>
      <c r="C139">
        <v>700</v>
      </c>
      <c r="D139">
        <v>0</v>
      </c>
      <c r="E139">
        <v>80</v>
      </c>
      <c r="F139" s="10">
        <v>0</v>
      </c>
      <c r="G139" s="1">
        <v>42464</v>
      </c>
      <c r="H139" s="1">
        <v>42461</v>
      </c>
      <c r="I139" s="1">
        <v>43252</v>
      </c>
    </row>
    <row r="140" spans="1:9" x14ac:dyDescent="0.25">
      <c r="A140" t="s">
        <v>7</v>
      </c>
      <c r="B140">
        <v>660</v>
      </c>
      <c r="C140">
        <v>680</v>
      </c>
      <c r="D140">
        <v>97</v>
      </c>
      <c r="E140">
        <v>999</v>
      </c>
      <c r="G140" s="1">
        <v>42464</v>
      </c>
      <c r="H140" s="1">
        <v>42461</v>
      </c>
      <c r="I140" s="1">
        <v>43252</v>
      </c>
    </row>
    <row r="141" spans="1:9" x14ac:dyDescent="0.25">
      <c r="A141" t="s">
        <v>7</v>
      </c>
      <c r="B141">
        <v>660</v>
      </c>
      <c r="C141">
        <v>680</v>
      </c>
      <c r="D141">
        <v>95</v>
      </c>
      <c r="E141">
        <v>97</v>
      </c>
      <c r="F141" s="9">
        <v>190</v>
      </c>
      <c r="G141" s="1">
        <v>42464</v>
      </c>
      <c r="H141" s="1">
        <v>42461</v>
      </c>
      <c r="I141" s="1">
        <v>43252</v>
      </c>
    </row>
    <row r="142" spans="1:9" x14ac:dyDescent="0.25">
      <c r="A142" t="s">
        <v>7</v>
      </c>
      <c r="B142">
        <v>660</v>
      </c>
      <c r="C142">
        <v>680</v>
      </c>
      <c r="D142">
        <v>90</v>
      </c>
      <c r="E142">
        <v>95</v>
      </c>
      <c r="F142" s="9">
        <v>142</v>
      </c>
      <c r="G142" s="1">
        <v>42464</v>
      </c>
      <c r="H142" s="1">
        <v>42461</v>
      </c>
      <c r="I142" s="1">
        <v>43252</v>
      </c>
    </row>
    <row r="143" spans="1:9" x14ac:dyDescent="0.25">
      <c r="A143" t="s">
        <v>7</v>
      </c>
      <c r="B143">
        <v>660</v>
      </c>
      <c r="C143">
        <v>680</v>
      </c>
      <c r="D143">
        <v>85</v>
      </c>
      <c r="E143">
        <v>90</v>
      </c>
      <c r="F143" s="9">
        <v>100</v>
      </c>
      <c r="G143" s="1">
        <v>42464</v>
      </c>
      <c r="H143" s="1">
        <v>42461</v>
      </c>
      <c r="I143" s="1">
        <v>43252</v>
      </c>
    </row>
    <row r="144" spans="1:9" x14ac:dyDescent="0.25">
      <c r="A144" t="s">
        <v>7</v>
      </c>
      <c r="B144">
        <v>660</v>
      </c>
      <c r="C144">
        <v>680</v>
      </c>
      <c r="D144">
        <v>80</v>
      </c>
      <c r="E144">
        <v>85</v>
      </c>
      <c r="F144" s="9">
        <v>41</v>
      </c>
      <c r="G144" s="1">
        <v>42464</v>
      </c>
      <c r="H144" s="1">
        <v>42461</v>
      </c>
      <c r="I144" s="1">
        <v>43252</v>
      </c>
    </row>
    <row r="145" spans="1:9" x14ac:dyDescent="0.25">
      <c r="A145" t="s">
        <v>7</v>
      </c>
      <c r="B145">
        <v>660</v>
      </c>
      <c r="C145">
        <v>680</v>
      </c>
      <c r="D145">
        <v>0</v>
      </c>
      <c r="E145">
        <v>80</v>
      </c>
      <c r="F145" s="10">
        <v>0</v>
      </c>
      <c r="G145" s="1">
        <v>42464</v>
      </c>
      <c r="H145" s="1">
        <v>42461</v>
      </c>
      <c r="I145" s="1">
        <v>43252</v>
      </c>
    </row>
    <row r="146" spans="1:9" x14ac:dyDescent="0.25">
      <c r="A146" t="s">
        <v>7</v>
      </c>
      <c r="B146">
        <v>640</v>
      </c>
      <c r="C146">
        <v>660</v>
      </c>
      <c r="D146">
        <v>97</v>
      </c>
      <c r="E146">
        <v>999</v>
      </c>
      <c r="G146" s="1">
        <v>42464</v>
      </c>
      <c r="H146" s="1">
        <v>42461</v>
      </c>
      <c r="I146" s="1">
        <v>43252</v>
      </c>
    </row>
    <row r="147" spans="1:9" x14ac:dyDescent="0.25">
      <c r="A147" t="s">
        <v>7</v>
      </c>
      <c r="B147">
        <v>640</v>
      </c>
      <c r="C147">
        <v>660</v>
      </c>
      <c r="D147">
        <v>95</v>
      </c>
      <c r="E147">
        <v>97</v>
      </c>
      <c r="F147" s="9">
        <v>205.00000000000003</v>
      </c>
      <c r="G147" s="1">
        <v>42464</v>
      </c>
      <c r="H147" s="1">
        <v>42461</v>
      </c>
      <c r="I147" s="1">
        <v>43252</v>
      </c>
    </row>
    <row r="148" spans="1:9" x14ac:dyDescent="0.25">
      <c r="A148" t="s">
        <v>7</v>
      </c>
      <c r="B148">
        <v>640</v>
      </c>
      <c r="C148">
        <v>660</v>
      </c>
      <c r="D148">
        <v>90</v>
      </c>
      <c r="E148">
        <v>95</v>
      </c>
      <c r="F148" s="9">
        <v>150</v>
      </c>
      <c r="G148" s="1">
        <v>42464</v>
      </c>
      <c r="H148" s="1">
        <v>42461</v>
      </c>
      <c r="I148" s="1">
        <v>43252</v>
      </c>
    </row>
    <row r="149" spans="1:9" x14ac:dyDescent="0.25">
      <c r="A149" t="s">
        <v>7</v>
      </c>
      <c r="B149">
        <v>640</v>
      </c>
      <c r="C149">
        <v>660</v>
      </c>
      <c r="D149">
        <v>85</v>
      </c>
      <c r="E149">
        <v>90</v>
      </c>
      <c r="F149" s="9">
        <v>105</v>
      </c>
      <c r="G149" s="1">
        <v>42464</v>
      </c>
      <c r="H149" s="1">
        <v>42461</v>
      </c>
      <c r="I149" s="1">
        <v>43252</v>
      </c>
    </row>
    <row r="150" spans="1:9" x14ac:dyDescent="0.25">
      <c r="A150" t="s">
        <v>7</v>
      </c>
      <c r="B150">
        <v>640</v>
      </c>
      <c r="C150">
        <v>660</v>
      </c>
      <c r="D150">
        <v>80</v>
      </c>
      <c r="E150">
        <v>85</v>
      </c>
      <c r="F150" s="9">
        <v>43</v>
      </c>
      <c r="G150" s="1">
        <v>42464</v>
      </c>
      <c r="H150" s="1">
        <v>42461</v>
      </c>
      <c r="I150" s="1">
        <v>43252</v>
      </c>
    </row>
    <row r="151" spans="1:9" x14ac:dyDescent="0.25">
      <c r="A151" t="s">
        <v>7</v>
      </c>
      <c r="B151">
        <v>640</v>
      </c>
      <c r="C151">
        <v>660</v>
      </c>
      <c r="D151">
        <v>0</v>
      </c>
      <c r="E151">
        <v>80</v>
      </c>
      <c r="F151" s="10">
        <v>0</v>
      </c>
      <c r="G151" s="1">
        <v>42464</v>
      </c>
      <c r="H151" s="1">
        <v>42461</v>
      </c>
      <c r="I151" s="1">
        <v>43252</v>
      </c>
    </row>
    <row r="152" spans="1:9" x14ac:dyDescent="0.25">
      <c r="A152" t="s">
        <v>7</v>
      </c>
      <c r="B152">
        <v>620</v>
      </c>
      <c r="C152">
        <v>640</v>
      </c>
      <c r="D152">
        <v>97</v>
      </c>
      <c r="E152">
        <v>999</v>
      </c>
      <c r="G152" s="1">
        <v>42464</v>
      </c>
      <c r="H152" s="1">
        <v>42461</v>
      </c>
      <c r="I152" s="1">
        <v>43252</v>
      </c>
    </row>
    <row r="153" spans="1:9" x14ac:dyDescent="0.25">
      <c r="A153" t="s">
        <v>7</v>
      </c>
      <c r="B153">
        <v>620</v>
      </c>
      <c r="C153">
        <v>640</v>
      </c>
      <c r="D153">
        <v>95</v>
      </c>
      <c r="E153">
        <v>97</v>
      </c>
      <c r="F153" s="9">
        <v>225</v>
      </c>
      <c r="G153" s="1">
        <v>42464</v>
      </c>
      <c r="H153" s="1">
        <v>42461</v>
      </c>
      <c r="I153" s="1">
        <v>43252</v>
      </c>
    </row>
    <row r="154" spans="1:9" x14ac:dyDescent="0.25">
      <c r="A154" t="s">
        <v>7</v>
      </c>
      <c r="B154">
        <v>620</v>
      </c>
      <c r="C154">
        <v>640</v>
      </c>
      <c r="D154">
        <v>90</v>
      </c>
      <c r="E154">
        <v>95</v>
      </c>
      <c r="F154" s="9">
        <v>161</v>
      </c>
      <c r="G154" s="1">
        <v>42464</v>
      </c>
      <c r="H154" s="1">
        <v>42461</v>
      </c>
      <c r="I154" s="1">
        <v>43252</v>
      </c>
    </row>
    <row r="155" spans="1:9" x14ac:dyDescent="0.25">
      <c r="A155" t="s">
        <v>7</v>
      </c>
      <c r="B155">
        <v>620</v>
      </c>
      <c r="C155">
        <v>640</v>
      </c>
      <c r="D155">
        <v>85</v>
      </c>
      <c r="E155">
        <v>90</v>
      </c>
      <c r="F155" s="9">
        <v>110.00000000000001</v>
      </c>
      <c r="G155" s="1">
        <v>42464</v>
      </c>
      <c r="H155" s="1">
        <v>42461</v>
      </c>
      <c r="I155" s="1">
        <v>43252</v>
      </c>
    </row>
    <row r="156" spans="1:9" x14ac:dyDescent="0.25">
      <c r="A156" t="s">
        <v>7</v>
      </c>
      <c r="B156">
        <v>620</v>
      </c>
      <c r="C156">
        <v>640</v>
      </c>
      <c r="D156">
        <v>80</v>
      </c>
      <c r="E156">
        <v>85</v>
      </c>
      <c r="F156" s="9">
        <v>45</v>
      </c>
      <c r="G156" s="1">
        <v>42464</v>
      </c>
      <c r="H156" s="1">
        <v>42461</v>
      </c>
      <c r="I156" s="1">
        <v>43252</v>
      </c>
    </row>
    <row r="157" spans="1:9" x14ac:dyDescent="0.25">
      <c r="A157" t="s">
        <v>7</v>
      </c>
      <c r="B157">
        <v>620</v>
      </c>
      <c r="C157">
        <v>640</v>
      </c>
      <c r="D157">
        <v>0</v>
      </c>
      <c r="E157">
        <v>80</v>
      </c>
      <c r="F157" s="10">
        <v>0</v>
      </c>
      <c r="G157" s="1">
        <v>42464</v>
      </c>
      <c r="H157" s="1">
        <v>42461</v>
      </c>
      <c r="I157" s="1">
        <v>43252</v>
      </c>
    </row>
    <row r="158" spans="1:9" x14ac:dyDescent="0.25">
      <c r="A158" t="s">
        <v>7</v>
      </c>
      <c r="B158">
        <v>300</v>
      </c>
      <c r="C158">
        <v>620</v>
      </c>
      <c r="D158">
        <v>97</v>
      </c>
      <c r="E158">
        <v>999</v>
      </c>
      <c r="G158" s="1">
        <v>42464</v>
      </c>
      <c r="H158" s="1">
        <v>42461</v>
      </c>
      <c r="I158" s="1">
        <v>43252</v>
      </c>
    </row>
    <row r="159" spans="1:9" x14ac:dyDescent="0.25">
      <c r="A159" t="s">
        <v>7</v>
      </c>
      <c r="B159">
        <v>300</v>
      </c>
      <c r="C159">
        <v>620</v>
      </c>
      <c r="D159">
        <v>95</v>
      </c>
      <c r="E159">
        <v>97</v>
      </c>
      <c r="F159" s="9"/>
      <c r="G159" s="1">
        <v>42464</v>
      </c>
      <c r="H159" s="1">
        <v>42461</v>
      </c>
      <c r="I159" s="1">
        <v>43252</v>
      </c>
    </row>
    <row r="160" spans="1:9" x14ac:dyDescent="0.25">
      <c r="A160" t="s">
        <v>7</v>
      </c>
      <c r="B160">
        <v>300</v>
      </c>
      <c r="C160">
        <v>620</v>
      </c>
      <c r="D160">
        <v>90</v>
      </c>
      <c r="E160">
        <v>95</v>
      </c>
      <c r="F160" s="9"/>
      <c r="G160" s="1">
        <v>42464</v>
      </c>
      <c r="H160" s="1">
        <v>42461</v>
      </c>
      <c r="I160" s="1">
        <v>43252</v>
      </c>
    </row>
    <row r="161" spans="1:9" x14ac:dyDescent="0.25">
      <c r="A161" t="s">
        <v>7</v>
      </c>
      <c r="B161">
        <v>300</v>
      </c>
      <c r="C161">
        <v>620</v>
      </c>
      <c r="D161">
        <v>85</v>
      </c>
      <c r="E161">
        <v>90</v>
      </c>
      <c r="F161" s="9"/>
      <c r="G161" s="1">
        <v>42464</v>
      </c>
      <c r="H161" s="1">
        <v>42461</v>
      </c>
      <c r="I161" s="1">
        <v>43252</v>
      </c>
    </row>
    <row r="162" spans="1:9" x14ac:dyDescent="0.25">
      <c r="A162" t="s">
        <v>7</v>
      </c>
      <c r="B162">
        <v>300</v>
      </c>
      <c r="C162">
        <v>620</v>
      </c>
      <c r="D162">
        <v>80</v>
      </c>
      <c r="E162">
        <v>85</v>
      </c>
      <c r="F162" s="9"/>
      <c r="G162" s="1">
        <v>42464</v>
      </c>
      <c r="H162" s="1">
        <v>42461</v>
      </c>
      <c r="I162" s="1">
        <v>43252</v>
      </c>
    </row>
    <row r="163" spans="1:9" x14ac:dyDescent="0.25">
      <c r="A163" t="s">
        <v>7</v>
      </c>
      <c r="B163">
        <v>300</v>
      </c>
      <c r="C163">
        <v>620</v>
      </c>
      <c r="D163">
        <v>0</v>
      </c>
      <c r="E163">
        <v>80</v>
      </c>
      <c r="F163" s="10"/>
      <c r="G163" s="1">
        <v>42464</v>
      </c>
      <c r="H163" s="1">
        <v>42461</v>
      </c>
      <c r="I163" s="1">
        <v>43252</v>
      </c>
    </row>
    <row r="164" spans="1:9" x14ac:dyDescent="0.25">
      <c r="A164" t="s">
        <v>8</v>
      </c>
      <c r="B164">
        <v>760</v>
      </c>
      <c r="C164">
        <v>999</v>
      </c>
      <c r="D164">
        <v>97</v>
      </c>
      <c r="E164">
        <v>999</v>
      </c>
      <c r="G164" s="1">
        <v>42464</v>
      </c>
      <c r="H164" s="1">
        <v>42461</v>
      </c>
      <c r="I164" s="1">
        <v>43252</v>
      </c>
    </row>
    <row r="165" spans="1:9" x14ac:dyDescent="0.25">
      <c r="A165" t="s">
        <v>8</v>
      </c>
      <c r="B165">
        <v>760</v>
      </c>
      <c r="C165">
        <v>999</v>
      </c>
      <c r="D165">
        <v>95</v>
      </c>
      <c r="E165">
        <v>97</v>
      </c>
      <c r="F165">
        <v>54.999999999999993</v>
      </c>
      <c r="G165" s="1">
        <v>42464</v>
      </c>
      <c r="H165" s="1">
        <v>42461</v>
      </c>
      <c r="I165" s="1">
        <v>43252</v>
      </c>
    </row>
    <row r="166" spans="1:9" x14ac:dyDescent="0.25">
      <c r="A166" t="s">
        <v>8</v>
      </c>
      <c r="B166">
        <v>760</v>
      </c>
      <c r="C166">
        <v>999</v>
      </c>
      <c r="D166">
        <v>90</v>
      </c>
      <c r="E166">
        <v>95</v>
      </c>
      <c r="F166">
        <v>41</v>
      </c>
      <c r="G166" s="1">
        <v>42464</v>
      </c>
      <c r="H166" s="1">
        <v>42461</v>
      </c>
      <c r="I166" s="1">
        <v>43252</v>
      </c>
    </row>
    <row r="167" spans="1:9" x14ac:dyDescent="0.25">
      <c r="A167" t="s">
        <v>8</v>
      </c>
      <c r="B167">
        <v>760</v>
      </c>
      <c r="C167">
        <v>999</v>
      </c>
      <c r="D167">
        <v>85</v>
      </c>
      <c r="E167">
        <v>90</v>
      </c>
      <c r="F167">
        <v>30</v>
      </c>
      <c r="G167" s="1">
        <v>42464</v>
      </c>
      <c r="H167" s="1">
        <v>42461</v>
      </c>
      <c r="I167" s="1">
        <v>43252</v>
      </c>
    </row>
    <row r="168" spans="1:9" x14ac:dyDescent="0.25">
      <c r="A168" t="s">
        <v>8</v>
      </c>
      <c r="B168">
        <v>760</v>
      </c>
      <c r="C168">
        <v>999</v>
      </c>
      <c r="D168">
        <v>80</v>
      </c>
      <c r="E168">
        <v>85</v>
      </c>
      <c r="F168">
        <v>19</v>
      </c>
      <c r="G168" s="1">
        <v>42464</v>
      </c>
      <c r="H168" s="1">
        <v>42461</v>
      </c>
      <c r="I168" s="1">
        <v>43252</v>
      </c>
    </row>
    <row r="169" spans="1:9" x14ac:dyDescent="0.25">
      <c r="A169" t="s">
        <v>8</v>
      </c>
      <c r="B169">
        <v>760</v>
      </c>
      <c r="C169">
        <v>999</v>
      </c>
      <c r="D169">
        <v>0</v>
      </c>
      <c r="E169">
        <v>80</v>
      </c>
      <c r="F169">
        <v>0</v>
      </c>
      <c r="G169" s="1">
        <v>42464</v>
      </c>
      <c r="H169" s="1">
        <v>42461</v>
      </c>
      <c r="I169" s="1">
        <v>43252</v>
      </c>
    </row>
    <row r="170" spans="1:9" x14ac:dyDescent="0.25">
      <c r="A170" t="s">
        <v>8</v>
      </c>
      <c r="B170">
        <v>740</v>
      </c>
      <c r="C170">
        <v>760</v>
      </c>
      <c r="D170">
        <v>97</v>
      </c>
      <c r="E170">
        <v>999</v>
      </c>
      <c r="G170" s="1">
        <v>42464</v>
      </c>
      <c r="H170" s="1">
        <v>42461</v>
      </c>
      <c r="I170" s="1">
        <v>43252</v>
      </c>
    </row>
    <row r="171" spans="1:9" x14ac:dyDescent="0.25">
      <c r="A171" t="s">
        <v>8</v>
      </c>
      <c r="B171">
        <v>740</v>
      </c>
      <c r="C171">
        <v>760</v>
      </c>
      <c r="D171">
        <v>95</v>
      </c>
      <c r="E171">
        <v>97</v>
      </c>
      <c r="F171" s="9">
        <v>75</v>
      </c>
      <c r="G171" s="1">
        <v>42464</v>
      </c>
      <c r="H171" s="1">
        <v>42461</v>
      </c>
      <c r="I171" s="1">
        <v>43252</v>
      </c>
    </row>
    <row r="172" spans="1:9" x14ac:dyDescent="0.25">
      <c r="A172" t="s">
        <v>8</v>
      </c>
      <c r="B172">
        <v>740</v>
      </c>
      <c r="C172">
        <v>760</v>
      </c>
      <c r="D172">
        <v>90</v>
      </c>
      <c r="E172">
        <v>95</v>
      </c>
      <c r="F172" s="9">
        <v>59</v>
      </c>
      <c r="G172" s="1">
        <v>42464</v>
      </c>
      <c r="H172" s="1">
        <v>42461</v>
      </c>
      <c r="I172" s="1">
        <v>43252</v>
      </c>
    </row>
    <row r="173" spans="1:9" x14ac:dyDescent="0.25">
      <c r="A173" t="s">
        <v>8</v>
      </c>
      <c r="B173">
        <v>740</v>
      </c>
      <c r="C173">
        <v>760</v>
      </c>
      <c r="D173">
        <v>85</v>
      </c>
      <c r="E173">
        <v>90</v>
      </c>
      <c r="F173" s="9">
        <v>41</v>
      </c>
      <c r="G173" s="1">
        <v>42464</v>
      </c>
      <c r="H173" s="1">
        <v>42461</v>
      </c>
      <c r="I173" s="1">
        <v>43252</v>
      </c>
    </row>
    <row r="174" spans="1:9" x14ac:dyDescent="0.25">
      <c r="A174" t="s">
        <v>8</v>
      </c>
      <c r="B174">
        <v>740</v>
      </c>
      <c r="C174">
        <v>760</v>
      </c>
      <c r="D174">
        <v>80</v>
      </c>
      <c r="E174">
        <v>85</v>
      </c>
      <c r="F174" s="9">
        <v>20</v>
      </c>
      <c r="G174" s="1">
        <v>42464</v>
      </c>
      <c r="H174" s="1">
        <v>42461</v>
      </c>
      <c r="I174" s="1">
        <v>43252</v>
      </c>
    </row>
    <row r="175" spans="1:9" x14ac:dyDescent="0.25">
      <c r="A175" t="s">
        <v>8</v>
      </c>
      <c r="B175">
        <v>740</v>
      </c>
      <c r="C175">
        <v>760</v>
      </c>
      <c r="D175">
        <v>0</v>
      </c>
      <c r="E175">
        <v>80</v>
      </c>
      <c r="F175" s="10">
        <v>0</v>
      </c>
      <c r="G175" s="1">
        <v>42464</v>
      </c>
      <c r="H175" s="1">
        <v>42461</v>
      </c>
      <c r="I175" s="1">
        <v>43252</v>
      </c>
    </row>
    <row r="176" spans="1:9" x14ac:dyDescent="0.25">
      <c r="A176" t="s">
        <v>8</v>
      </c>
      <c r="B176">
        <v>720</v>
      </c>
      <c r="C176">
        <v>740</v>
      </c>
      <c r="D176">
        <v>97</v>
      </c>
      <c r="E176">
        <v>999</v>
      </c>
      <c r="G176" s="1">
        <v>42464</v>
      </c>
      <c r="H176" s="1">
        <v>42461</v>
      </c>
      <c r="I176" s="1">
        <v>43252</v>
      </c>
    </row>
    <row r="177" spans="1:9" x14ac:dyDescent="0.25">
      <c r="A177" t="s">
        <v>8</v>
      </c>
      <c r="B177">
        <v>720</v>
      </c>
      <c r="C177">
        <v>740</v>
      </c>
      <c r="D177">
        <v>95</v>
      </c>
      <c r="E177">
        <v>97</v>
      </c>
      <c r="F177" s="9">
        <v>95</v>
      </c>
      <c r="G177" s="1">
        <v>42464</v>
      </c>
      <c r="H177" s="1">
        <v>42461</v>
      </c>
      <c r="I177" s="1">
        <v>43252</v>
      </c>
    </row>
    <row r="178" spans="1:9" x14ac:dyDescent="0.25">
      <c r="A178" t="s">
        <v>8</v>
      </c>
      <c r="B178">
        <v>720</v>
      </c>
      <c r="C178">
        <v>740</v>
      </c>
      <c r="D178">
        <v>90</v>
      </c>
      <c r="E178">
        <v>95</v>
      </c>
      <c r="F178" s="9">
        <v>73</v>
      </c>
      <c r="G178" s="1">
        <v>42464</v>
      </c>
      <c r="H178" s="1">
        <v>42461</v>
      </c>
      <c r="I178" s="1">
        <v>43252</v>
      </c>
    </row>
    <row r="179" spans="1:9" x14ac:dyDescent="0.25">
      <c r="A179" t="s">
        <v>8</v>
      </c>
      <c r="B179">
        <v>720</v>
      </c>
      <c r="C179">
        <v>740</v>
      </c>
      <c r="D179">
        <v>85</v>
      </c>
      <c r="E179">
        <v>90</v>
      </c>
      <c r="F179" s="9">
        <v>50</v>
      </c>
      <c r="G179" s="1">
        <v>42464</v>
      </c>
      <c r="H179" s="1">
        <v>42461</v>
      </c>
      <c r="I179" s="1">
        <v>43252</v>
      </c>
    </row>
    <row r="180" spans="1:9" x14ac:dyDescent="0.25">
      <c r="A180" t="s">
        <v>8</v>
      </c>
      <c r="B180">
        <v>720</v>
      </c>
      <c r="C180">
        <v>740</v>
      </c>
      <c r="D180">
        <v>80</v>
      </c>
      <c r="E180">
        <v>85</v>
      </c>
      <c r="F180" s="9">
        <v>23</v>
      </c>
      <c r="G180" s="1">
        <v>42464</v>
      </c>
      <c r="H180" s="1">
        <v>42461</v>
      </c>
      <c r="I180" s="1">
        <v>43252</v>
      </c>
    </row>
    <row r="181" spans="1:9" x14ac:dyDescent="0.25">
      <c r="A181" t="s">
        <v>8</v>
      </c>
      <c r="B181">
        <v>720</v>
      </c>
      <c r="C181">
        <v>740</v>
      </c>
      <c r="D181">
        <v>0</v>
      </c>
      <c r="E181">
        <v>80</v>
      </c>
      <c r="F181" s="10">
        <v>0</v>
      </c>
      <c r="G181" s="1">
        <v>42464</v>
      </c>
      <c r="H181" s="1">
        <v>42461</v>
      </c>
      <c r="I181" s="1">
        <v>43252</v>
      </c>
    </row>
    <row r="182" spans="1:9" x14ac:dyDescent="0.25">
      <c r="A182" t="s">
        <v>8</v>
      </c>
      <c r="B182">
        <v>700</v>
      </c>
      <c r="C182">
        <v>720</v>
      </c>
      <c r="D182">
        <v>97</v>
      </c>
      <c r="E182">
        <v>999</v>
      </c>
      <c r="G182" s="1">
        <v>42464</v>
      </c>
      <c r="H182" s="1">
        <v>42461</v>
      </c>
      <c r="I182" s="1">
        <v>43252</v>
      </c>
    </row>
    <row r="183" spans="1:9" x14ac:dyDescent="0.25">
      <c r="A183" t="s">
        <v>8</v>
      </c>
      <c r="B183">
        <v>700</v>
      </c>
      <c r="C183">
        <v>720</v>
      </c>
      <c r="D183">
        <v>95</v>
      </c>
      <c r="E183">
        <v>97</v>
      </c>
      <c r="F183" s="9">
        <v>114.99999999999999</v>
      </c>
      <c r="G183" s="1">
        <v>42464</v>
      </c>
      <c r="H183" s="1">
        <v>42461</v>
      </c>
      <c r="I183" s="1">
        <v>43252</v>
      </c>
    </row>
    <row r="184" spans="1:9" x14ac:dyDescent="0.25">
      <c r="A184" t="s">
        <v>8</v>
      </c>
      <c r="B184">
        <v>700</v>
      </c>
      <c r="C184">
        <v>720</v>
      </c>
      <c r="D184">
        <v>90</v>
      </c>
      <c r="E184">
        <v>95</v>
      </c>
      <c r="F184" s="9">
        <v>87</v>
      </c>
      <c r="G184" s="1">
        <v>42464</v>
      </c>
      <c r="H184" s="1">
        <v>42461</v>
      </c>
      <c r="I184" s="1">
        <v>43252</v>
      </c>
    </row>
    <row r="185" spans="1:9" x14ac:dyDescent="0.25">
      <c r="A185" t="s">
        <v>8</v>
      </c>
      <c r="B185">
        <v>700</v>
      </c>
      <c r="C185">
        <v>720</v>
      </c>
      <c r="D185">
        <v>85</v>
      </c>
      <c r="E185">
        <v>90</v>
      </c>
      <c r="F185" s="9">
        <v>60</v>
      </c>
      <c r="G185" s="1">
        <v>42464</v>
      </c>
      <c r="H185" s="1">
        <v>42461</v>
      </c>
      <c r="I185" s="1">
        <v>43252</v>
      </c>
    </row>
    <row r="186" spans="1:9" x14ac:dyDescent="0.25">
      <c r="A186" t="s">
        <v>8</v>
      </c>
      <c r="B186">
        <v>700</v>
      </c>
      <c r="C186">
        <v>720</v>
      </c>
      <c r="D186">
        <v>80</v>
      </c>
      <c r="E186">
        <v>85</v>
      </c>
      <c r="F186" s="9">
        <v>27</v>
      </c>
      <c r="G186" s="1">
        <v>42464</v>
      </c>
      <c r="H186" s="1">
        <v>42461</v>
      </c>
      <c r="I186" s="1">
        <v>43252</v>
      </c>
    </row>
    <row r="187" spans="1:9" x14ac:dyDescent="0.25">
      <c r="A187" t="s">
        <v>8</v>
      </c>
      <c r="B187">
        <v>700</v>
      </c>
      <c r="C187">
        <v>720</v>
      </c>
      <c r="D187">
        <v>0</v>
      </c>
      <c r="E187">
        <v>80</v>
      </c>
      <c r="F187" s="10">
        <v>0</v>
      </c>
      <c r="G187" s="1">
        <v>42464</v>
      </c>
      <c r="H187" s="1">
        <v>42461</v>
      </c>
      <c r="I187" s="1">
        <v>43252</v>
      </c>
    </row>
    <row r="188" spans="1:9" x14ac:dyDescent="0.25">
      <c r="A188" t="s">
        <v>8</v>
      </c>
      <c r="B188">
        <v>680</v>
      </c>
      <c r="C188">
        <v>700</v>
      </c>
      <c r="D188">
        <v>97</v>
      </c>
      <c r="E188">
        <v>999</v>
      </c>
      <c r="G188" s="1">
        <v>42464</v>
      </c>
      <c r="H188" s="1">
        <v>42461</v>
      </c>
      <c r="I188" s="1">
        <v>43252</v>
      </c>
    </row>
    <row r="189" spans="1:9" x14ac:dyDescent="0.25">
      <c r="A189" t="s">
        <v>8</v>
      </c>
      <c r="B189">
        <v>680</v>
      </c>
      <c r="C189">
        <v>700</v>
      </c>
      <c r="D189">
        <v>95</v>
      </c>
      <c r="E189">
        <v>97</v>
      </c>
      <c r="F189" s="9">
        <v>140</v>
      </c>
      <c r="G189" s="1">
        <v>42464</v>
      </c>
      <c r="H189" s="1">
        <v>42461</v>
      </c>
      <c r="I189" s="1">
        <v>43252</v>
      </c>
    </row>
    <row r="190" spans="1:9" x14ac:dyDescent="0.25">
      <c r="A190" t="s">
        <v>8</v>
      </c>
      <c r="B190">
        <v>680</v>
      </c>
      <c r="C190">
        <v>700</v>
      </c>
      <c r="D190">
        <v>90</v>
      </c>
      <c r="E190">
        <v>95</v>
      </c>
      <c r="F190" s="9">
        <v>108</v>
      </c>
      <c r="G190" s="1">
        <v>42464</v>
      </c>
      <c r="H190" s="1">
        <v>42461</v>
      </c>
      <c r="I190" s="1">
        <v>43252</v>
      </c>
    </row>
    <row r="191" spans="1:9" x14ac:dyDescent="0.25">
      <c r="A191" t="s">
        <v>8</v>
      </c>
      <c r="B191">
        <v>680</v>
      </c>
      <c r="C191">
        <v>700</v>
      </c>
      <c r="D191">
        <v>85</v>
      </c>
      <c r="E191">
        <v>90</v>
      </c>
      <c r="F191" s="9">
        <v>73</v>
      </c>
      <c r="G191" s="1">
        <v>42464</v>
      </c>
      <c r="H191" s="1">
        <v>42461</v>
      </c>
      <c r="I191" s="1">
        <v>43252</v>
      </c>
    </row>
    <row r="192" spans="1:9" x14ac:dyDescent="0.25">
      <c r="A192" t="s">
        <v>8</v>
      </c>
      <c r="B192">
        <v>680</v>
      </c>
      <c r="C192">
        <v>700</v>
      </c>
      <c r="D192">
        <v>80</v>
      </c>
      <c r="E192">
        <v>85</v>
      </c>
      <c r="F192" s="9">
        <v>32</v>
      </c>
      <c r="G192" s="1">
        <v>42464</v>
      </c>
      <c r="H192" s="1">
        <v>42461</v>
      </c>
      <c r="I192" s="1">
        <v>43252</v>
      </c>
    </row>
    <row r="193" spans="1:9" x14ac:dyDescent="0.25">
      <c r="A193" t="s">
        <v>8</v>
      </c>
      <c r="B193">
        <v>680</v>
      </c>
      <c r="C193">
        <v>700</v>
      </c>
      <c r="D193">
        <v>0</v>
      </c>
      <c r="E193">
        <v>80</v>
      </c>
      <c r="F193" s="10">
        <v>0</v>
      </c>
      <c r="G193" s="1">
        <v>42464</v>
      </c>
      <c r="H193" s="1">
        <v>42461</v>
      </c>
      <c r="I193" s="1">
        <v>43252</v>
      </c>
    </row>
    <row r="194" spans="1:9" x14ac:dyDescent="0.25">
      <c r="A194" t="s">
        <v>8</v>
      </c>
      <c r="B194">
        <v>660</v>
      </c>
      <c r="C194">
        <v>680</v>
      </c>
      <c r="D194">
        <v>97</v>
      </c>
      <c r="E194">
        <v>999</v>
      </c>
      <c r="G194" s="1">
        <v>42464</v>
      </c>
      <c r="H194" s="1">
        <v>42461</v>
      </c>
      <c r="I194" s="1">
        <v>43252</v>
      </c>
    </row>
    <row r="195" spans="1:9" x14ac:dyDescent="0.25">
      <c r="A195" t="s">
        <v>8</v>
      </c>
      <c r="B195">
        <v>660</v>
      </c>
      <c r="C195">
        <v>680</v>
      </c>
      <c r="D195">
        <v>95</v>
      </c>
      <c r="E195">
        <v>97</v>
      </c>
      <c r="F195" s="9">
        <v>190</v>
      </c>
      <c r="G195" s="1">
        <v>42464</v>
      </c>
      <c r="H195" s="1">
        <v>42461</v>
      </c>
      <c r="I195" s="1">
        <v>43252</v>
      </c>
    </row>
    <row r="196" spans="1:9" x14ac:dyDescent="0.25">
      <c r="A196" t="s">
        <v>8</v>
      </c>
      <c r="B196">
        <v>660</v>
      </c>
      <c r="C196">
        <v>680</v>
      </c>
      <c r="D196">
        <v>90</v>
      </c>
      <c r="E196">
        <v>95</v>
      </c>
      <c r="F196" s="9">
        <v>142</v>
      </c>
      <c r="G196" s="1">
        <v>42464</v>
      </c>
      <c r="H196" s="1">
        <v>42461</v>
      </c>
      <c r="I196" s="1">
        <v>43252</v>
      </c>
    </row>
    <row r="197" spans="1:9" x14ac:dyDescent="0.25">
      <c r="A197" t="s">
        <v>8</v>
      </c>
      <c r="B197">
        <v>660</v>
      </c>
      <c r="C197">
        <v>680</v>
      </c>
      <c r="D197">
        <v>85</v>
      </c>
      <c r="E197">
        <v>90</v>
      </c>
      <c r="F197" s="9">
        <v>100</v>
      </c>
      <c r="G197" s="1">
        <v>42464</v>
      </c>
      <c r="H197" s="1">
        <v>42461</v>
      </c>
      <c r="I197" s="1">
        <v>43252</v>
      </c>
    </row>
    <row r="198" spans="1:9" x14ac:dyDescent="0.25">
      <c r="A198" t="s">
        <v>8</v>
      </c>
      <c r="B198">
        <v>660</v>
      </c>
      <c r="C198">
        <v>680</v>
      </c>
      <c r="D198">
        <v>80</v>
      </c>
      <c r="E198">
        <v>85</v>
      </c>
      <c r="F198" s="9">
        <v>41</v>
      </c>
      <c r="G198" s="1">
        <v>42464</v>
      </c>
      <c r="H198" s="1">
        <v>42461</v>
      </c>
      <c r="I198" s="1">
        <v>43252</v>
      </c>
    </row>
    <row r="199" spans="1:9" x14ac:dyDescent="0.25">
      <c r="A199" t="s">
        <v>8</v>
      </c>
      <c r="B199">
        <v>660</v>
      </c>
      <c r="C199">
        <v>680</v>
      </c>
      <c r="D199">
        <v>0</v>
      </c>
      <c r="E199">
        <v>80</v>
      </c>
      <c r="F199" s="10">
        <v>0</v>
      </c>
      <c r="G199" s="1">
        <v>42464</v>
      </c>
      <c r="H199" s="1">
        <v>42461</v>
      </c>
      <c r="I199" s="1">
        <v>43252</v>
      </c>
    </row>
    <row r="200" spans="1:9" x14ac:dyDescent="0.25">
      <c r="A200" t="s">
        <v>8</v>
      </c>
      <c r="B200">
        <v>640</v>
      </c>
      <c r="C200">
        <v>660</v>
      </c>
      <c r="D200">
        <v>97</v>
      </c>
      <c r="E200">
        <v>999</v>
      </c>
      <c r="G200" s="1">
        <v>42464</v>
      </c>
      <c r="H200" s="1">
        <v>42461</v>
      </c>
      <c r="I200" s="1">
        <v>43252</v>
      </c>
    </row>
    <row r="201" spans="1:9" x14ac:dyDescent="0.25">
      <c r="A201" t="s">
        <v>8</v>
      </c>
      <c r="B201">
        <v>640</v>
      </c>
      <c r="C201">
        <v>660</v>
      </c>
      <c r="D201">
        <v>95</v>
      </c>
      <c r="E201">
        <v>97</v>
      </c>
      <c r="F201" s="9">
        <v>205.00000000000003</v>
      </c>
      <c r="G201" s="1">
        <v>42464</v>
      </c>
      <c r="H201" s="1">
        <v>42461</v>
      </c>
      <c r="I201" s="1">
        <v>43252</v>
      </c>
    </row>
    <row r="202" spans="1:9" x14ac:dyDescent="0.25">
      <c r="A202" t="s">
        <v>8</v>
      </c>
      <c r="B202">
        <v>640</v>
      </c>
      <c r="C202">
        <v>660</v>
      </c>
      <c r="D202">
        <v>90</v>
      </c>
      <c r="E202">
        <v>95</v>
      </c>
      <c r="F202" s="9">
        <v>150</v>
      </c>
      <c r="G202" s="1">
        <v>42464</v>
      </c>
      <c r="H202" s="1">
        <v>42461</v>
      </c>
      <c r="I202" s="1">
        <v>43252</v>
      </c>
    </row>
    <row r="203" spans="1:9" x14ac:dyDescent="0.25">
      <c r="A203" t="s">
        <v>8</v>
      </c>
      <c r="B203">
        <v>640</v>
      </c>
      <c r="C203">
        <v>660</v>
      </c>
      <c r="D203">
        <v>85</v>
      </c>
      <c r="E203">
        <v>90</v>
      </c>
      <c r="F203" s="9">
        <v>105</v>
      </c>
      <c r="G203" s="1">
        <v>42464</v>
      </c>
      <c r="H203" s="1">
        <v>42461</v>
      </c>
      <c r="I203" s="1">
        <v>43252</v>
      </c>
    </row>
    <row r="204" spans="1:9" x14ac:dyDescent="0.25">
      <c r="A204" t="s">
        <v>8</v>
      </c>
      <c r="B204">
        <v>640</v>
      </c>
      <c r="C204">
        <v>660</v>
      </c>
      <c r="D204">
        <v>80</v>
      </c>
      <c r="E204">
        <v>85</v>
      </c>
      <c r="F204" s="9">
        <v>43</v>
      </c>
      <c r="G204" s="1">
        <v>42464</v>
      </c>
      <c r="H204" s="1">
        <v>42461</v>
      </c>
      <c r="I204" s="1">
        <v>43252</v>
      </c>
    </row>
    <row r="205" spans="1:9" x14ac:dyDescent="0.25">
      <c r="A205" t="s">
        <v>8</v>
      </c>
      <c r="B205">
        <v>640</v>
      </c>
      <c r="C205">
        <v>660</v>
      </c>
      <c r="D205">
        <v>0</v>
      </c>
      <c r="E205">
        <v>80</v>
      </c>
      <c r="F205" s="10">
        <v>0</v>
      </c>
      <c r="G205" s="1">
        <v>42464</v>
      </c>
      <c r="H205" s="1">
        <v>42461</v>
      </c>
      <c r="I205" s="1">
        <v>43252</v>
      </c>
    </row>
    <row r="206" spans="1:9" x14ac:dyDescent="0.25">
      <c r="A206" t="s">
        <v>8</v>
      </c>
      <c r="B206">
        <v>620</v>
      </c>
      <c r="C206">
        <v>640</v>
      </c>
      <c r="D206">
        <v>97</v>
      </c>
      <c r="E206">
        <v>999</v>
      </c>
      <c r="G206" s="1">
        <v>42464</v>
      </c>
      <c r="H206" s="1">
        <v>42461</v>
      </c>
      <c r="I206" s="1">
        <v>43252</v>
      </c>
    </row>
    <row r="207" spans="1:9" x14ac:dyDescent="0.25">
      <c r="A207" t="s">
        <v>8</v>
      </c>
      <c r="B207">
        <v>620</v>
      </c>
      <c r="C207">
        <v>640</v>
      </c>
      <c r="D207">
        <v>95</v>
      </c>
      <c r="E207">
        <v>97</v>
      </c>
      <c r="F207" s="9">
        <v>225</v>
      </c>
      <c r="G207" s="1">
        <v>42464</v>
      </c>
      <c r="H207" s="1">
        <v>42461</v>
      </c>
      <c r="I207" s="1">
        <v>43252</v>
      </c>
    </row>
    <row r="208" spans="1:9" x14ac:dyDescent="0.25">
      <c r="A208" t="s">
        <v>8</v>
      </c>
      <c r="B208">
        <v>620</v>
      </c>
      <c r="C208">
        <v>640</v>
      </c>
      <c r="D208">
        <v>90</v>
      </c>
      <c r="E208">
        <v>95</v>
      </c>
      <c r="F208" s="9">
        <v>161</v>
      </c>
      <c r="G208" s="1">
        <v>42464</v>
      </c>
      <c r="H208" s="1">
        <v>42461</v>
      </c>
      <c r="I208" s="1">
        <v>43252</v>
      </c>
    </row>
    <row r="209" spans="1:19" x14ac:dyDescent="0.25">
      <c r="A209" t="s">
        <v>8</v>
      </c>
      <c r="B209">
        <v>620</v>
      </c>
      <c r="C209">
        <v>640</v>
      </c>
      <c r="D209">
        <v>85</v>
      </c>
      <c r="E209">
        <v>90</v>
      </c>
      <c r="F209" s="9">
        <v>110.00000000000001</v>
      </c>
      <c r="G209" s="1">
        <v>42464</v>
      </c>
      <c r="H209" s="1">
        <v>42461</v>
      </c>
      <c r="I209" s="1">
        <v>43252</v>
      </c>
    </row>
    <row r="210" spans="1:19" x14ac:dyDescent="0.25">
      <c r="A210" t="s">
        <v>8</v>
      </c>
      <c r="B210">
        <v>620</v>
      </c>
      <c r="C210">
        <v>640</v>
      </c>
      <c r="D210">
        <v>80</v>
      </c>
      <c r="E210">
        <v>85</v>
      </c>
      <c r="F210" s="9">
        <v>45</v>
      </c>
      <c r="G210" s="1">
        <v>42464</v>
      </c>
      <c r="H210" s="1">
        <v>42461</v>
      </c>
      <c r="I210" s="1">
        <v>43252</v>
      </c>
    </row>
    <row r="211" spans="1:19" x14ac:dyDescent="0.25">
      <c r="A211" t="s">
        <v>8</v>
      </c>
      <c r="B211">
        <v>620</v>
      </c>
      <c r="C211">
        <v>640</v>
      </c>
      <c r="D211">
        <v>0</v>
      </c>
      <c r="E211">
        <v>80</v>
      </c>
      <c r="F211" s="10">
        <v>0</v>
      </c>
      <c r="G211" s="1">
        <v>42464</v>
      </c>
      <c r="H211" s="1">
        <v>42461</v>
      </c>
      <c r="I211" s="1">
        <v>43252</v>
      </c>
    </row>
    <row r="212" spans="1:19" x14ac:dyDescent="0.25">
      <c r="A212" t="s">
        <v>8</v>
      </c>
      <c r="B212">
        <v>300</v>
      </c>
      <c r="C212">
        <v>620</v>
      </c>
      <c r="D212">
        <v>97</v>
      </c>
      <c r="E212">
        <v>999</v>
      </c>
      <c r="G212" s="1">
        <v>42464</v>
      </c>
      <c r="H212" s="1">
        <v>42461</v>
      </c>
      <c r="I212" s="1">
        <v>43252</v>
      </c>
    </row>
    <row r="213" spans="1:19" x14ac:dyDescent="0.25">
      <c r="A213" t="s">
        <v>8</v>
      </c>
      <c r="B213">
        <v>300</v>
      </c>
      <c r="C213">
        <v>620</v>
      </c>
      <c r="D213">
        <v>95</v>
      </c>
      <c r="E213">
        <v>97</v>
      </c>
      <c r="G213" s="1">
        <v>42464</v>
      </c>
      <c r="H213" s="1">
        <v>42461</v>
      </c>
      <c r="I213" s="1">
        <v>43252</v>
      </c>
    </row>
    <row r="214" spans="1:19" x14ac:dyDescent="0.25">
      <c r="A214" t="s">
        <v>8</v>
      </c>
      <c r="B214">
        <v>300</v>
      </c>
      <c r="C214">
        <v>620</v>
      </c>
      <c r="D214">
        <v>90</v>
      </c>
      <c r="E214">
        <v>95</v>
      </c>
      <c r="G214" s="1">
        <v>42464</v>
      </c>
      <c r="H214" s="1">
        <v>42461</v>
      </c>
      <c r="I214" s="1">
        <v>43252</v>
      </c>
    </row>
    <row r="215" spans="1:19" x14ac:dyDescent="0.25">
      <c r="A215" t="s">
        <v>8</v>
      </c>
      <c r="B215">
        <v>300</v>
      </c>
      <c r="C215">
        <v>620</v>
      </c>
      <c r="D215">
        <v>85</v>
      </c>
      <c r="E215">
        <v>90</v>
      </c>
      <c r="G215" s="1">
        <v>42464</v>
      </c>
      <c r="H215" s="1">
        <v>42461</v>
      </c>
      <c r="I215" s="1">
        <v>43252</v>
      </c>
    </row>
    <row r="216" spans="1:19" x14ac:dyDescent="0.25">
      <c r="A216" t="s">
        <v>8</v>
      </c>
      <c r="B216">
        <v>300</v>
      </c>
      <c r="C216">
        <v>620</v>
      </c>
      <c r="D216">
        <v>80</v>
      </c>
      <c r="E216">
        <v>85</v>
      </c>
      <c r="G216" s="1">
        <v>42464</v>
      </c>
      <c r="H216" s="1">
        <v>42461</v>
      </c>
      <c r="I216" s="1">
        <v>43252</v>
      </c>
    </row>
    <row r="217" spans="1:19" x14ac:dyDescent="0.25">
      <c r="A217" t="s">
        <v>8</v>
      </c>
      <c r="B217">
        <v>300</v>
      </c>
      <c r="C217">
        <v>620</v>
      </c>
      <c r="D217">
        <v>0</v>
      </c>
      <c r="E217">
        <v>80</v>
      </c>
      <c r="G217" s="1">
        <v>42464</v>
      </c>
      <c r="H217" s="1">
        <v>42461</v>
      </c>
      <c r="I217" s="1">
        <v>43252</v>
      </c>
    </row>
    <row r="218" spans="1:19" x14ac:dyDescent="0.25">
      <c r="A218" t="s">
        <v>7</v>
      </c>
      <c r="B218">
        <v>760</v>
      </c>
      <c r="C218">
        <v>999</v>
      </c>
      <c r="D218">
        <v>97</v>
      </c>
      <c r="E218">
        <v>999</v>
      </c>
      <c r="G218" s="1">
        <v>41760</v>
      </c>
      <c r="H218" s="1">
        <v>41760</v>
      </c>
      <c r="I218" s="1">
        <v>42461</v>
      </c>
      <c r="M218" s="4" t="s">
        <v>27</v>
      </c>
      <c r="N218" s="4" t="s">
        <v>12</v>
      </c>
      <c r="O218" s="4" t="s">
        <v>13</v>
      </c>
      <c r="P218" s="4" t="s">
        <v>14</v>
      </c>
      <c r="Q218" s="4" t="s">
        <v>15</v>
      </c>
      <c r="R218" s="4" t="s">
        <v>16</v>
      </c>
      <c r="S218" s="7">
        <v>41760</v>
      </c>
    </row>
    <row r="219" spans="1:19" x14ac:dyDescent="0.25">
      <c r="A219" t="s">
        <v>7</v>
      </c>
      <c r="B219">
        <v>760</v>
      </c>
      <c r="C219">
        <v>999</v>
      </c>
      <c r="D219">
        <v>95</v>
      </c>
      <c r="E219">
        <v>97</v>
      </c>
      <c r="F219">
        <v>110</v>
      </c>
      <c r="G219" s="1">
        <v>41760</v>
      </c>
      <c r="H219" s="1">
        <v>41760</v>
      </c>
      <c r="I219" s="1">
        <v>42461</v>
      </c>
      <c r="M219" s="8" t="s">
        <v>17</v>
      </c>
      <c r="N219" s="4">
        <v>105</v>
      </c>
      <c r="O219" s="4">
        <v>110</v>
      </c>
      <c r="P219" s="4">
        <v>131</v>
      </c>
      <c r="Q219" s="4">
        <v>148</v>
      </c>
      <c r="R219" s="4" t="s">
        <v>18</v>
      </c>
      <c r="S219" s="4"/>
    </row>
    <row r="220" spans="1:19" x14ac:dyDescent="0.25">
      <c r="A220" t="s">
        <v>7</v>
      </c>
      <c r="B220">
        <v>760</v>
      </c>
      <c r="C220">
        <v>999</v>
      </c>
      <c r="D220">
        <v>90</v>
      </c>
      <c r="E220">
        <v>95</v>
      </c>
      <c r="F220">
        <v>59</v>
      </c>
      <c r="G220" s="1">
        <v>41760</v>
      </c>
      <c r="H220" s="1">
        <v>41760</v>
      </c>
      <c r="I220" s="1">
        <v>42461</v>
      </c>
      <c r="M220" s="4" t="s">
        <v>19</v>
      </c>
      <c r="N220" s="4">
        <v>54</v>
      </c>
      <c r="O220" s="4">
        <v>62</v>
      </c>
      <c r="P220" s="4">
        <v>89</v>
      </c>
      <c r="Q220" s="4">
        <v>115</v>
      </c>
      <c r="R220" s="4" t="s">
        <v>18</v>
      </c>
      <c r="S220" s="4"/>
    </row>
    <row r="221" spans="1:19" x14ac:dyDescent="0.25">
      <c r="A221" t="s">
        <v>7</v>
      </c>
      <c r="B221">
        <v>760</v>
      </c>
      <c r="C221">
        <v>999</v>
      </c>
      <c r="D221">
        <v>85</v>
      </c>
      <c r="E221">
        <v>90</v>
      </c>
      <c r="F221">
        <v>44</v>
      </c>
      <c r="G221" s="1">
        <v>41760</v>
      </c>
      <c r="H221" s="1">
        <v>41760</v>
      </c>
      <c r="I221" s="1">
        <v>42461</v>
      </c>
      <c r="M221" s="4" t="s">
        <v>20</v>
      </c>
      <c r="N221" s="4">
        <v>39</v>
      </c>
      <c r="O221" s="4">
        <v>44</v>
      </c>
      <c r="P221" s="4">
        <v>57</v>
      </c>
      <c r="Q221" s="4">
        <v>71</v>
      </c>
      <c r="R221" s="4" t="s">
        <v>18</v>
      </c>
      <c r="S221" s="4"/>
    </row>
    <row r="222" spans="1:19" x14ac:dyDescent="0.25">
      <c r="A222" t="s">
        <v>7</v>
      </c>
      <c r="B222">
        <v>760</v>
      </c>
      <c r="C222">
        <v>999</v>
      </c>
      <c r="D222">
        <v>80</v>
      </c>
      <c r="E222">
        <v>85</v>
      </c>
      <c r="F222">
        <v>28</v>
      </c>
      <c r="G222" s="1">
        <v>41760</v>
      </c>
      <c r="H222" s="1">
        <v>41760</v>
      </c>
      <c r="I222" s="1">
        <v>42461</v>
      </c>
      <c r="M222" s="4" t="s">
        <v>21</v>
      </c>
      <c r="N222" s="4">
        <v>23</v>
      </c>
      <c r="O222" s="4">
        <v>27</v>
      </c>
      <c r="P222" s="4">
        <v>33</v>
      </c>
      <c r="Q222" s="4">
        <v>39</v>
      </c>
      <c r="R222" s="4" t="s">
        <v>18</v>
      </c>
      <c r="S222" s="4"/>
    </row>
    <row r="223" spans="1:19" x14ac:dyDescent="0.25">
      <c r="A223" t="s">
        <v>7</v>
      </c>
      <c r="B223">
        <v>760</v>
      </c>
      <c r="C223">
        <v>999</v>
      </c>
      <c r="D223">
        <v>0</v>
      </c>
      <c r="E223">
        <v>80</v>
      </c>
      <c r="F223">
        <v>0</v>
      </c>
      <c r="G223" s="1">
        <v>41760</v>
      </c>
      <c r="H223" s="1">
        <v>41760</v>
      </c>
      <c r="I223" s="1">
        <v>42461</v>
      </c>
      <c r="M223" s="4" t="s">
        <v>22</v>
      </c>
      <c r="N223" s="4">
        <v>0</v>
      </c>
      <c r="O223" s="4">
        <v>0</v>
      </c>
      <c r="P223" s="4">
        <v>0</v>
      </c>
      <c r="Q223" s="4">
        <v>0</v>
      </c>
      <c r="R223" s="4" t="s">
        <v>18</v>
      </c>
      <c r="S223" s="4"/>
    </row>
    <row r="224" spans="1:19" x14ac:dyDescent="0.25">
      <c r="A224" t="s">
        <v>7</v>
      </c>
      <c r="B224">
        <v>720</v>
      </c>
      <c r="C224">
        <v>760</v>
      </c>
      <c r="D224">
        <v>97</v>
      </c>
      <c r="E224">
        <v>999</v>
      </c>
      <c r="G224" s="1">
        <v>41760</v>
      </c>
      <c r="H224" s="1">
        <v>41760</v>
      </c>
      <c r="I224" s="1">
        <v>42461</v>
      </c>
      <c r="M224" s="4"/>
      <c r="N224" s="4"/>
      <c r="O224" s="4"/>
      <c r="P224" s="4"/>
      <c r="Q224" s="4"/>
      <c r="R224" s="4"/>
      <c r="S224" s="4"/>
    </row>
    <row r="225" spans="1:19" x14ac:dyDescent="0.25">
      <c r="A225" t="s">
        <v>7</v>
      </c>
      <c r="B225">
        <v>720</v>
      </c>
      <c r="C225">
        <v>760</v>
      </c>
      <c r="D225">
        <v>95</v>
      </c>
      <c r="E225">
        <v>97</v>
      </c>
      <c r="F225">
        <v>120</v>
      </c>
      <c r="G225" s="1">
        <v>41760</v>
      </c>
      <c r="H225" s="1">
        <v>41760</v>
      </c>
      <c r="I225" s="1">
        <v>42461</v>
      </c>
      <c r="M225" s="4" t="s">
        <v>28</v>
      </c>
      <c r="N225" s="4" t="s">
        <v>12</v>
      </c>
      <c r="O225" s="4" t="s">
        <v>13</v>
      </c>
      <c r="P225" s="4" t="s">
        <v>14</v>
      </c>
      <c r="Q225" s="4" t="s">
        <v>15</v>
      </c>
      <c r="R225" s="4" t="s">
        <v>16</v>
      </c>
      <c r="S225" s="7">
        <v>41760</v>
      </c>
    </row>
    <row r="226" spans="1:19" x14ac:dyDescent="0.25">
      <c r="A226" t="s">
        <v>7</v>
      </c>
      <c r="B226">
        <v>720</v>
      </c>
      <c r="C226">
        <v>760</v>
      </c>
      <c r="D226">
        <v>90</v>
      </c>
      <c r="E226">
        <v>95</v>
      </c>
      <c r="F226">
        <v>72</v>
      </c>
      <c r="G226" s="1">
        <v>41760</v>
      </c>
      <c r="H226" s="1">
        <v>41760</v>
      </c>
      <c r="I226" s="1">
        <v>42461</v>
      </c>
      <c r="M226" s="8" t="s">
        <v>17</v>
      </c>
      <c r="N226" s="4">
        <f>N219+5</f>
        <v>110</v>
      </c>
      <c r="O226" s="4">
        <f>O219+10</f>
        <v>120</v>
      </c>
      <c r="P226" s="4">
        <f>P219+15</f>
        <v>146</v>
      </c>
      <c r="Q226" s="4">
        <f>Q219+30</f>
        <v>178</v>
      </c>
      <c r="R226" s="4" t="s">
        <v>18</v>
      </c>
      <c r="S226" s="4"/>
    </row>
    <row r="227" spans="1:19" x14ac:dyDescent="0.25">
      <c r="A227" t="s">
        <v>7</v>
      </c>
      <c r="B227">
        <v>720</v>
      </c>
      <c r="C227">
        <v>760</v>
      </c>
      <c r="D227">
        <v>85</v>
      </c>
      <c r="E227">
        <v>90</v>
      </c>
      <c r="F227">
        <v>54</v>
      </c>
      <c r="G227" s="1">
        <v>41760</v>
      </c>
      <c r="H227" s="1">
        <v>41760</v>
      </c>
      <c r="I227" s="1">
        <v>42461</v>
      </c>
      <c r="M227" s="4" t="s">
        <v>19</v>
      </c>
      <c r="N227" s="4">
        <f t="shared" ref="N227:N229" si="4">N220+5</f>
        <v>59</v>
      </c>
      <c r="O227" s="4">
        <f t="shared" ref="O227:O229" si="5">O220+10</f>
        <v>72</v>
      </c>
      <c r="P227" s="4">
        <f t="shared" ref="P227:P229" si="6">P220+15</f>
        <v>104</v>
      </c>
      <c r="Q227" s="4">
        <f t="shared" ref="Q227:Q229" si="7">Q220+30</f>
        <v>145</v>
      </c>
      <c r="R227" s="4" t="s">
        <v>18</v>
      </c>
      <c r="S227" s="4"/>
    </row>
    <row r="228" spans="1:19" x14ac:dyDescent="0.25">
      <c r="A228" t="s">
        <v>7</v>
      </c>
      <c r="B228">
        <v>720</v>
      </c>
      <c r="C228">
        <v>760</v>
      </c>
      <c r="D228">
        <v>80</v>
      </c>
      <c r="E228">
        <v>85</v>
      </c>
      <c r="F228">
        <v>37</v>
      </c>
      <c r="G228" s="1">
        <v>41760</v>
      </c>
      <c r="H228" s="1">
        <v>41760</v>
      </c>
      <c r="I228" s="1">
        <v>42461</v>
      </c>
      <c r="M228" s="4" t="s">
        <v>20</v>
      </c>
      <c r="N228" s="4">
        <f t="shared" si="4"/>
        <v>44</v>
      </c>
      <c r="O228" s="4">
        <f t="shared" si="5"/>
        <v>54</v>
      </c>
      <c r="P228" s="4">
        <f t="shared" si="6"/>
        <v>72</v>
      </c>
      <c r="Q228" s="4">
        <f t="shared" si="7"/>
        <v>101</v>
      </c>
      <c r="R228" s="4" t="s">
        <v>18</v>
      </c>
      <c r="S228" s="4"/>
    </row>
    <row r="229" spans="1:19" x14ac:dyDescent="0.25">
      <c r="A229" t="s">
        <v>7</v>
      </c>
      <c r="B229">
        <v>720</v>
      </c>
      <c r="C229">
        <v>760</v>
      </c>
      <c r="D229">
        <v>0</v>
      </c>
      <c r="E229">
        <v>80</v>
      </c>
      <c r="F229">
        <v>0</v>
      </c>
      <c r="G229" s="1">
        <v>41760</v>
      </c>
      <c r="H229" s="1">
        <v>41760</v>
      </c>
      <c r="I229" s="1">
        <v>42461</v>
      </c>
      <c r="M229" s="4" t="s">
        <v>21</v>
      </c>
      <c r="N229" s="4">
        <f t="shared" si="4"/>
        <v>28</v>
      </c>
      <c r="O229" s="4">
        <f t="shared" si="5"/>
        <v>37</v>
      </c>
      <c r="P229" s="4">
        <f t="shared" si="6"/>
        <v>48</v>
      </c>
      <c r="Q229" s="4">
        <f t="shared" si="7"/>
        <v>69</v>
      </c>
      <c r="R229" s="4" t="s">
        <v>18</v>
      </c>
      <c r="S229" s="4"/>
    </row>
    <row r="230" spans="1:19" x14ac:dyDescent="0.25">
      <c r="A230" t="s">
        <v>7</v>
      </c>
      <c r="B230">
        <v>680</v>
      </c>
      <c r="C230">
        <v>720</v>
      </c>
      <c r="D230">
        <v>97</v>
      </c>
      <c r="E230">
        <v>999</v>
      </c>
      <c r="G230" s="1">
        <v>41760</v>
      </c>
      <c r="H230" s="1">
        <v>41760</v>
      </c>
      <c r="I230" s="1">
        <v>42461</v>
      </c>
      <c r="M230" s="4" t="s">
        <v>22</v>
      </c>
      <c r="N230" s="4">
        <v>0</v>
      </c>
      <c r="O230" s="4">
        <v>0</v>
      </c>
      <c r="P230" s="4">
        <v>0</v>
      </c>
      <c r="Q230" s="4">
        <v>0</v>
      </c>
      <c r="R230" s="4" t="s">
        <v>18</v>
      </c>
      <c r="S230" s="4"/>
    </row>
    <row r="231" spans="1:19" x14ac:dyDescent="0.25">
      <c r="A231" t="s">
        <v>7</v>
      </c>
      <c r="B231">
        <v>680</v>
      </c>
      <c r="C231">
        <v>720</v>
      </c>
      <c r="D231">
        <v>95</v>
      </c>
      <c r="E231">
        <v>97</v>
      </c>
      <c r="F231">
        <v>146</v>
      </c>
      <c r="G231" s="1">
        <v>41760</v>
      </c>
      <c r="H231" s="1">
        <v>41760</v>
      </c>
      <c r="I231" s="1">
        <v>42461</v>
      </c>
      <c r="M231" s="4"/>
      <c r="N231" s="4"/>
      <c r="O231" s="4"/>
      <c r="P231" s="4"/>
      <c r="Q231" s="4"/>
      <c r="R231" s="4"/>
      <c r="S231" s="4"/>
    </row>
    <row r="232" spans="1:19" x14ac:dyDescent="0.25">
      <c r="A232" t="s">
        <v>7</v>
      </c>
      <c r="B232">
        <v>680</v>
      </c>
      <c r="C232">
        <v>720</v>
      </c>
      <c r="D232">
        <v>90</v>
      </c>
      <c r="E232">
        <v>95</v>
      </c>
      <c r="F232">
        <v>104</v>
      </c>
      <c r="G232" s="1">
        <v>41760</v>
      </c>
      <c r="H232" s="1">
        <v>41760</v>
      </c>
      <c r="I232" s="1">
        <v>42461</v>
      </c>
    </row>
    <row r="233" spans="1:19" x14ac:dyDescent="0.25">
      <c r="A233" t="s">
        <v>7</v>
      </c>
      <c r="B233">
        <v>680</v>
      </c>
      <c r="C233">
        <v>720</v>
      </c>
      <c r="D233">
        <v>85</v>
      </c>
      <c r="E233">
        <v>90</v>
      </c>
      <c r="F233">
        <v>72</v>
      </c>
      <c r="G233" s="1">
        <v>41760</v>
      </c>
      <c r="H233" s="1">
        <v>41760</v>
      </c>
      <c r="I233" s="1">
        <v>42461</v>
      </c>
      <c r="M233" t="s">
        <v>24</v>
      </c>
      <c r="N233" t="s">
        <v>54</v>
      </c>
    </row>
    <row r="234" spans="1:19" x14ac:dyDescent="0.25">
      <c r="A234" t="s">
        <v>7</v>
      </c>
      <c r="B234">
        <v>680</v>
      </c>
      <c r="C234">
        <v>720</v>
      </c>
      <c r="D234">
        <v>80</v>
      </c>
      <c r="E234">
        <v>85</v>
      </c>
      <c r="F234">
        <v>48</v>
      </c>
      <c r="G234" s="1">
        <v>41760</v>
      </c>
      <c r="H234" s="1">
        <v>41760</v>
      </c>
      <c r="I234" s="1">
        <v>42461</v>
      </c>
      <c r="M234" t="s">
        <v>25</v>
      </c>
      <c r="N234" t="s">
        <v>26</v>
      </c>
    </row>
    <row r="235" spans="1:19" x14ac:dyDescent="0.25">
      <c r="A235" t="s">
        <v>7</v>
      </c>
      <c r="B235">
        <v>680</v>
      </c>
      <c r="C235">
        <v>720</v>
      </c>
      <c r="D235">
        <v>0</v>
      </c>
      <c r="E235">
        <v>80</v>
      </c>
      <c r="F235">
        <v>0</v>
      </c>
      <c r="G235" s="1">
        <v>41760</v>
      </c>
      <c r="H235" s="1">
        <v>41760</v>
      </c>
      <c r="I235" s="1">
        <v>42461</v>
      </c>
    </row>
    <row r="236" spans="1:19" x14ac:dyDescent="0.25">
      <c r="A236" t="s">
        <v>7</v>
      </c>
      <c r="B236">
        <v>620</v>
      </c>
      <c r="C236">
        <v>680</v>
      </c>
      <c r="D236">
        <v>97</v>
      </c>
      <c r="E236">
        <v>999</v>
      </c>
      <c r="G236" s="1">
        <v>41760</v>
      </c>
      <c r="H236" s="1">
        <v>41760</v>
      </c>
      <c r="I236" s="1">
        <v>42461</v>
      </c>
    </row>
    <row r="237" spans="1:19" x14ac:dyDescent="0.25">
      <c r="A237" t="s">
        <v>7</v>
      </c>
      <c r="B237">
        <v>620</v>
      </c>
      <c r="C237">
        <v>680</v>
      </c>
      <c r="D237">
        <v>95</v>
      </c>
      <c r="E237">
        <v>97</v>
      </c>
      <c r="F237">
        <v>178</v>
      </c>
      <c r="G237" s="1">
        <v>41760</v>
      </c>
      <c r="H237" s="1">
        <v>41760</v>
      </c>
      <c r="I237" s="1">
        <v>42461</v>
      </c>
    </row>
    <row r="238" spans="1:19" x14ac:dyDescent="0.25">
      <c r="A238" t="s">
        <v>7</v>
      </c>
      <c r="B238">
        <v>620</v>
      </c>
      <c r="C238">
        <v>680</v>
      </c>
      <c r="D238">
        <v>90</v>
      </c>
      <c r="E238">
        <v>95</v>
      </c>
      <c r="F238">
        <v>145</v>
      </c>
      <c r="G238" s="1">
        <v>41760</v>
      </c>
      <c r="H238" s="1">
        <v>41760</v>
      </c>
      <c r="I238" s="1">
        <v>42461</v>
      </c>
    </row>
    <row r="239" spans="1:19" x14ac:dyDescent="0.25">
      <c r="A239" t="s">
        <v>7</v>
      </c>
      <c r="B239">
        <v>620</v>
      </c>
      <c r="C239">
        <v>680</v>
      </c>
      <c r="D239">
        <v>85</v>
      </c>
      <c r="E239">
        <v>90</v>
      </c>
      <c r="F239">
        <v>101</v>
      </c>
      <c r="G239" s="1">
        <v>41760</v>
      </c>
      <c r="H239" s="1">
        <v>41760</v>
      </c>
      <c r="I239" s="1">
        <v>42461</v>
      </c>
    </row>
    <row r="240" spans="1:19" x14ac:dyDescent="0.25">
      <c r="A240" t="s">
        <v>7</v>
      </c>
      <c r="B240">
        <v>620</v>
      </c>
      <c r="C240">
        <v>680</v>
      </c>
      <c r="D240">
        <v>80</v>
      </c>
      <c r="E240">
        <v>85</v>
      </c>
      <c r="F240">
        <v>69</v>
      </c>
      <c r="G240" s="1">
        <v>41760</v>
      </c>
      <c r="H240" s="1">
        <v>41760</v>
      </c>
      <c r="I240" s="1">
        <v>42461</v>
      </c>
    </row>
    <row r="241" spans="1:9" x14ac:dyDescent="0.25">
      <c r="A241" t="s">
        <v>7</v>
      </c>
      <c r="B241">
        <v>620</v>
      </c>
      <c r="C241">
        <v>680</v>
      </c>
      <c r="D241">
        <v>0</v>
      </c>
      <c r="E241">
        <v>80</v>
      </c>
      <c r="F241">
        <v>0</v>
      </c>
      <c r="G241" s="1">
        <v>41760</v>
      </c>
      <c r="H241" s="1">
        <v>41760</v>
      </c>
      <c r="I241" s="1">
        <v>42461</v>
      </c>
    </row>
    <row r="242" spans="1:9" x14ac:dyDescent="0.25">
      <c r="A242" t="s">
        <v>7</v>
      </c>
      <c r="B242">
        <v>300</v>
      </c>
      <c r="C242">
        <v>620</v>
      </c>
      <c r="D242">
        <v>97</v>
      </c>
      <c r="E242">
        <v>999</v>
      </c>
      <c r="G242" s="1">
        <v>41760</v>
      </c>
      <c r="H242" s="1">
        <v>41760</v>
      </c>
      <c r="I242" s="1">
        <v>42461</v>
      </c>
    </row>
    <row r="243" spans="1:9" x14ac:dyDescent="0.25">
      <c r="A243" t="s">
        <v>7</v>
      </c>
      <c r="B243">
        <v>300</v>
      </c>
      <c r="C243">
        <v>620</v>
      </c>
      <c r="D243">
        <v>95</v>
      </c>
      <c r="E243">
        <v>97</v>
      </c>
      <c r="G243" s="1">
        <v>41760</v>
      </c>
      <c r="H243" s="1">
        <v>41760</v>
      </c>
      <c r="I243" s="1">
        <v>42461</v>
      </c>
    </row>
    <row r="244" spans="1:9" x14ac:dyDescent="0.25">
      <c r="A244" t="s">
        <v>7</v>
      </c>
      <c r="B244">
        <v>300</v>
      </c>
      <c r="C244">
        <v>620</v>
      </c>
      <c r="D244">
        <v>90</v>
      </c>
      <c r="E244">
        <v>95</v>
      </c>
      <c r="G244" s="1">
        <v>41760</v>
      </c>
      <c r="H244" s="1">
        <v>41760</v>
      </c>
      <c r="I244" s="1">
        <v>42461</v>
      </c>
    </row>
    <row r="245" spans="1:9" x14ac:dyDescent="0.25">
      <c r="A245" t="s">
        <v>7</v>
      </c>
      <c r="B245">
        <v>300</v>
      </c>
      <c r="C245">
        <v>620</v>
      </c>
      <c r="D245">
        <v>85</v>
      </c>
      <c r="E245">
        <v>90</v>
      </c>
      <c r="G245" s="1">
        <v>41760</v>
      </c>
      <c r="H245" s="1">
        <v>41760</v>
      </c>
      <c r="I245" s="1">
        <v>42461</v>
      </c>
    </row>
    <row r="246" spans="1:9" x14ac:dyDescent="0.25">
      <c r="A246" t="s">
        <v>7</v>
      </c>
      <c r="B246">
        <v>300</v>
      </c>
      <c r="C246">
        <v>620</v>
      </c>
      <c r="D246">
        <v>80</v>
      </c>
      <c r="E246">
        <v>85</v>
      </c>
      <c r="G246" s="1">
        <v>41760</v>
      </c>
      <c r="H246" s="1">
        <v>41760</v>
      </c>
      <c r="I246" s="1">
        <v>42461</v>
      </c>
    </row>
    <row r="247" spans="1:9" x14ac:dyDescent="0.25">
      <c r="A247" t="s">
        <v>7</v>
      </c>
      <c r="B247">
        <v>300</v>
      </c>
      <c r="C247">
        <v>620</v>
      </c>
      <c r="D247">
        <v>0</v>
      </c>
      <c r="E247">
        <v>80</v>
      </c>
      <c r="G247" s="1">
        <v>41760</v>
      </c>
      <c r="H247" s="1">
        <v>41760</v>
      </c>
      <c r="I247" s="1">
        <v>42461</v>
      </c>
    </row>
    <row r="248" spans="1:9" x14ac:dyDescent="0.25">
      <c r="A248" t="s">
        <v>8</v>
      </c>
      <c r="B248">
        <v>760</v>
      </c>
      <c r="C248">
        <v>999</v>
      </c>
      <c r="D248">
        <v>97</v>
      </c>
      <c r="E248">
        <v>999</v>
      </c>
      <c r="G248" s="1">
        <v>41760</v>
      </c>
      <c r="H248" s="1">
        <v>41760</v>
      </c>
      <c r="I248" s="1">
        <v>42461</v>
      </c>
    </row>
    <row r="249" spans="1:9" x14ac:dyDescent="0.25">
      <c r="A249" t="s">
        <v>8</v>
      </c>
      <c r="B249">
        <v>760</v>
      </c>
      <c r="C249">
        <v>999</v>
      </c>
      <c r="D249">
        <v>95</v>
      </c>
      <c r="E249">
        <v>97</v>
      </c>
      <c r="F249">
        <v>105</v>
      </c>
      <c r="G249" s="1">
        <v>41760</v>
      </c>
      <c r="H249" s="1">
        <v>41760</v>
      </c>
      <c r="I249" s="1">
        <v>42461</v>
      </c>
    </row>
    <row r="250" spans="1:9" x14ac:dyDescent="0.25">
      <c r="A250" t="s">
        <v>8</v>
      </c>
      <c r="B250">
        <v>760</v>
      </c>
      <c r="C250">
        <v>999</v>
      </c>
      <c r="D250">
        <v>90</v>
      </c>
      <c r="E250">
        <v>95</v>
      </c>
      <c r="F250">
        <v>54</v>
      </c>
      <c r="G250" s="1">
        <v>41760</v>
      </c>
      <c r="H250" s="1">
        <v>41760</v>
      </c>
      <c r="I250" s="1">
        <v>42461</v>
      </c>
    </row>
    <row r="251" spans="1:9" x14ac:dyDescent="0.25">
      <c r="A251" t="s">
        <v>8</v>
      </c>
      <c r="B251">
        <v>760</v>
      </c>
      <c r="C251">
        <v>999</v>
      </c>
      <c r="D251">
        <v>85</v>
      </c>
      <c r="E251">
        <v>90</v>
      </c>
      <c r="F251">
        <v>39</v>
      </c>
      <c r="G251" s="1">
        <v>41760</v>
      </c>
      <c r="H251" s="1">
        <v>41760</v>
      </c>
      <c r="I251" s="1">
        <v>42461</v>
      </c>
    </row>
    <row r="252" spans="1:9" x14ac:dyDescent="0.25">
      <c r="A252" t="s">
        <v>8</v>
      </c>
      <c r="B252">
        <v>760</v>
      </c>
      <c r="C252">
        <v>999</v>
      </c>
      <c r="D252">
        <v>80</v>
      </c>
      <c r="E252">
        <v>85</v>
      </c>
      <c r="F252">
        <v>23</v>
      </c>
      <c r="G252" s="1">
        <v>41760</v>
      </c>
      <c r="H252" s="1">
        <v>41760</v>
      </c>
      <c r="I252" s="1">
        <v>42461</v>
      </c>
    </row>
    <row r="253" spans="1:9" x14ac:dyDescent="0.25">
      <c r="A253" t="s">
        <v>8</v>
      </c>
      <c r="B253">
        <v>760</v>
      </c>
      <c r="C253">
        <v>999</v>
      </c>
      <c r="D253">
        <v>0</v>
      </c>
      <c r="E253">
        <v>80</v>
      </c>
      <c r="F253">
        <v>0</v>
      </c>
      <c r="G253" s="1">
        <v>41760</v>
      </c>
      <c r="H253" s="1">
        <v>41760</v>
      </c>
      <c r="I253" s="1">
        <v>42461</v>
      </c>
    </row>
    <row r="254" spans="1:9" x14ac:dyDescent="0.25">
      <c r="A254" t="s">
        <v>8</v>
      </c>
      <c r="B254">
        <v>720</v>
      </c>
      <c r="C254">
        <v>760</v>
      </c>
      <c r="D254">
        <v>97</v>
      </c>
      <c r="E254">
        <v>999</v>
      </c>
      <c r="G254" s="1">
        <v>41760</v>
      </c>
      <c r="H254" s="1">
        <v>41760</v>
      </c>
      <c r="I254" s="1">
        <v>42461</v>
      </c>
    </row>
    <row r="255" spans="1:9" x14ac:dyDescent="0.25">
      <c r="A255" t="s">
        <v>8</v>
      </c>
      <c r="B255">
        <v>720</v>
      </c>
      <c r="C255">
        <v>760</v>
      </c>
      <c r="D255">
        <v>95</v>
      </c>
      <c r="E255">
        <v>97</v>
      </c>
      <c r="F255">
        <v>110</v>
      </c>
      <c r="G255" s="1">
        <v>41760</v>
      </c>
      <c r="H255" s="1">
        <v>41760</v>
      </c>
      <c r="I255" s="1">
        <v>42461</v>
      </c>
    </row>
    <row r="256" spans="1:9" x14ac:dyDescent="0.25">
      <c r="A256" t="s">
        <v>8</v>
      </c>
      <c r="B256">
        <v>720</v>
      </c>
      <c r="C256">
        <v>760</v>
      </c>
      <c r="D256">
        <v>90</v>
      </c>
      <c r="E256">
        <v>95</v>
      </c>
      <c r="F256">
        <v>62</v>
      </c>
      <c r="G256" s="1">
        <v>41760</v>
      </c>
      <c r="H256" s="1">
        <v>41760</v>
      </c>
      <c r="I256" s="1">
        <v>42461</v>
      </c>
    </row>
    <row r="257" spans="1:9" x14ac:dyDescent="0.25">
      <c r="A257" t="s">
        <v>8</v>
      </c>
      <c r="B257">
        <v>720</v>
      </c>
      <c r="C257">
        <v>760</v>
      </c>
      <c r="D257">
        <v>85</v>
      </c>
      <c r="E257">
        <v>90</v>
      </c>
      <c r="F257">
        <v>44</v>
      </c>
      <c r="G257" s="1">
        <v>41760</v>
      </c>
      <c r="H257" s="1">
        <v>41760</v>
      </c>
      <c r="I257" s="1">
        <v>42461</v>
      </c>
    </row>
    <row r="258" spans="1:9" x14ac:dyDescent="0.25">
      <c r="A258" t="s">
        <v>8</v>
      </c>
      <c r="B258">
        <v>720</v>
      </c>
      <c r="C258">
        <v>760</v>
      </c>
      <c r="D258">
        <v>80</v>
      </c>
      <c r="E258">
        <v>85</v>
      </c>
      <c r="F258">
        <v>27</v>
      </c>
      <c r="G258" s="1">
        <v>41760</v>
      </c>
      <c r="H258" s="1">
        <v>41760</v>
      </c>
      <c r="I258" s="1">
        <v>42461</v>
      </c>
    </row>
    <row r="259" spans="1:9" x14ac:dyDescent="0.25">
      <c r="A259" t="s">
        <v>8</v>
      </c>
      <c r="B259">
        <v>720</v>
      </c>
      <c r="C259">
        <v>760</v>
      </c>
      <c r="D259">
        <v>0</v>
      </c>
      <c r="E259">
        <v>80</v>
      </c>
      <c r="F259">
        <v>0</v>
      </c>
      <c r="G259" s="1">
        <v>41760</v>
      </c>
      <c r="H259" s="1">
        <v>41760</v>
      </c>
      <c r="I259" s="1">
        <v>42461</v>
      </c>
    </row>
    <row r="260" spans="1:9" x14ac:dyDescent="0.25">
      <c r="A260" t="s">
        <v>8</v>
      </c>
      <c r="B260">
        <v>680</v>
      </c>
      <c r="C260">
        <v>720</v>
      </c>
      <c r="D260">
        <v>97</v>
      </c>
      <c r="E260">
        <v>999</v>
      </c>
      <c r="G260" s="1">
        <v>41760</v>
      </c>
      <c r="H260" s="1">
        <v>41760</v>
      </c>
      <c r="I260" s="1">
        <v>42461</v>
      </c>
    </row>
    <row r="261" spans="1:9" x14ac:dyDescent="0.25">
      <c r="A261" t="s">
        <v>8</v>
      </c>
      <c r="B261">
        <v>680</v>
      </c>
      <c r="C261">
        <v>720</v>
      </c>
      <c r="D261">
        <v>95</v>
      </c>
      <c r="E261">
        <v>97</v>
      </c>
      <c r="F261">
        <v>131</v>
      </c>
      <c r="G261" s="1">
        <v>41760</v>
      </c>
      <c r="H261" s="1">
        <v>41760</v>
      </c>
      <c r="I261" s="1">
        <v>42461</v>
      </c>
    </row>
    <row r="262" spans="1:9" x14ac:dyDescent="0.25">
      <c r="A262" t="s">
        <v>8</v>
      </c>
      <c r="B262">
        <v>680</v>
      </c>
      <c r="C262">
        <v>720</v>
      </c>
      <c r="D262">
        <v>90</v>
      </c>
      <c r="E262">
        <v>95</v>
      </c>
      <c r="F262">
        <v>89</v>
      </c>
      <c r="G262" s="1">
        <v>41760</v>
      </c>
      <c r="H262" s="1">
        <v>41760</v>
      </c>
      <c r="I262" s="1">
        <v>42461</v>
      </c>
    </row>
    <row r="263" spans="1:9" x14ac:dyDescent="0.25">
      <c r="A263" t="s">
        <v>8</v>
      </c>
      <c r="B263">
        <v>680</v>
      </c>
      <c r="C263">
        <v>720</v>
      </c>
      <c r="D263">
        <v>85</v>
      </c>
      <c r="E263">
        <v>90</v>
      </c>
      <c r="F263">
        <v>57</v>
      </c>
      <c r="G263" s="1">
        <v>41760</v>
      </c>
      <c r="H263" s="1">
        <v>41760</v>
      </c>
      <c r="I263" s="1">
        <v>42461</v>
      </c>
    </row>
    <row r="264" spans="1:9" x14ac:dyDescent="0.25">
      <c r="A264" t="s">
        <v>8</v>
      </c>
      <c r="B264">
        <v>680</v>
      </c>
      <c r="C264">
        <v>720</v>
      </c>
      <c r="D264">
        <v>80</v>
      </c>
      <c r="E264">
        <v>85</v>
      </c>
      <c r="F264">
        <v>33</v>
      </c>
      <c r="G264" s="1">
        <v>41760</v>
      </c>
      <c r="H264" s="1">
        <v>41760</v>
      </c>
      <c r="I264" s="1">
        <v>42461</v>
      </c>
    </row>
    <row r="265" spans="1:9" x14ac:dyDescent="0.25">
      <c r="A265" t="s">
        <v>8</v>
      </c>
      <c r="B265">
        <v>680</v>
      </c>
      <c r="C265">
        <v>720</v>
      </c>
      <c r="D265">
        <v>0</v>
      </c>
      <c r="E265">
        <v>80</v>
      </c>
      <c r="F265">
        <v>0</v>
      </c>
      <c r="G265" s="1">
        <v>41760</v>
      </c>
      <c r="H265" s="1">
        <v>41760</v>
      </c>
      <c r="I265" s="1">
        <v>42461</v>
      </c>
    </row>
    <row r="266" spans="1:9" x14ac:dyDescent="0.25">
      <c r="A266" t="s">
        <v>8</v>
      </c>
      <c r="B266">
        <v>620</v>
      </c>
      <c r="C266">
        <v>680</v>
      </c>
      <c r="D266">
        <v>97</v>
      </c>
      <c r="E266">
        <v>999</v>
      </c>
      <c r="G266" s="1">
        <v>41760</v>
      </c>
      <c r="H266" s="1">
        <v>41760</v>
      </c>
      <c r="I266" s="1">
        <v>42461</v>
      </c>
    </row>
    <row r="267" spans="1:9" x14ac:dyDescent="0.25">
      <c r="A267" t="s">
        <v>8</v>
      </c>
      <c r="B267">
        <v>620</v>
      </c>
      <c r="C267">
        <v>680</v>
      </c>
      <c r="D267">
        <v>95</v>
      </c>
      <c r="E267">
        <v>97</v>
      </c>
      <c r="F267">
        <v>148</v>
      </c>
      <c r="G267" s="1">
        <v>41760</v>
      </c>
      <c r="H267" s="1">
        <v>41760</v>
      </c>
      <c r="I267" s="1">
        <v>42461</v>
      </c>
    </row>
    <row r="268" spans="1:9" x14ac:dyDescent="0.25">
      <c r="A268" t="s">
        <v>8</v>
      </c>
      <c r="B268">
        <v>620</v>
      </c>
      <c r="C268">
        <v>680</v>
      </c>
      <c r="D268">
        <v>90</v>
      </c>
      <c r="E268">
        <v>95</v>
      </c>
      <c r="F268">
        <v>115</v>
      </c>
      <c r="G268" s="1">
        <v>41760</v>
      </c>
      <c r="H268" s="1">
        <v>41760</v>
      </c>
      <c r="I268" s="1">
        <v>42461</v>
      </c>
    </row>
    <row r="269" spans="1:9" x14ac:dyDescent="0.25">
      <c r="A269" t="s">
        <v>8</v>
      </c>
      <c r="B269">
        <v>620</v>
      </c>
      <c r="C269">
        <v>680</v>
      </c>
      <c r="D269">
        <v>85</v>
      </c>
      <c r="E269">
        <v>90</v>
      </c>
      <c r="F269">
        <v>71</v>
      </c>
      <c r="G269" s="1">
        <v>41760</v>
      </c>
      <c r="H269" s="1">
        <v>41760</v>
      </c>
      <c r="I269" s="1">
        <v>42461</v>
      </c>
    </row>
    <row r="270" spans="1:9" x14ac:dyDescent="0.25">
      <c r="A270" t="s">
        <v>8</v>
      </c>
      <c r="B270">
        <v>620</v>
      </c>
      <c r="C270">
        <v>680</v>
      </c>
      <c r="D270">
        <v>80</v>
      </c>
      <c r="E270">
        <v>85</v>
      </c>
      <c r="F270">
        <v>39</v>
      </c>
      <c r="G270" s="1">
        <v>41760</v>
      </c>
      <c r="H270" s="1">
        <v>41760</v>
      </c>
      <c r="I270" s="1">
        <v>42461</v>
      </c>
    </row>
    <row r="271" spans="1:9" x14ac:dyDescent="0.25">
      <c r="A271" t="s">
        <v>8</v>
      </c>
      <c r="B271">
        <v>620</v>
      </c>
      <c r="C271">
        <v>680</v>
      </c>
      <c r="D271">
        <v>0</v>
      </c>
      <c r="E271">
        <v>80</v>
      </c>
      <c r="F271">
        <v>0</v>
      </c>
      <c r="G271" s="1">
        <v>41760</v>
      </c>
      <c r="H271" s="1">
        <v>41760</v>
      </c>
      <c r="I271" s="1">
        <v>42461</v>
      </c>
    </row>
    <row r="272" spans="1:9" x14ac:dyDescent="0.25">
      <c r="A272" t="s">
        <v>8</v>
      </c>
      <c r="B272">
        <v>300</v>
      </c>
      <c r="C272">
        <v>620</v>
      </c>
      <c r="D272">
        <v>97</v>
      </c>
      <c r="E272">
        <v>999</v>
      </c>
      <c r="G272" s="1">
        <v>41760</v>
      </c>
      <c r="H272" s="1">
        <v>41760</v>
      </c>
      <c r="I272" s="1">
        <v>42461</v>
      </c>
    </row>
    <row r="273" spans="1:19" x14ac:dyDescent="0.25">
      <c r="A273" t="s">
        <v>8</v>
      </c>
      <c r="B273">
        <v>300</v>
      </c>
      <c r="C273">
        <v>620</v>
      </c>
      <c r="D273">
        <v>95</v>
      </c>
      <c r="E273">
        <v>97</v>
      </c>
      <c r="G273" s="1">
        <v>41760</v>
      </c>
      <c r="H273" s="1">
        <v>41760</v>
      </c>
      <c r="I273" s="1">
        <v>42461</v>
      </c>
    </row>
    <row r="274" spans="1:19" x14ac:dyDescent="0.25">
      <c r="A274" t="s">
        <v>8</v>
      </c>
      <c r="B274">
        <v>300</v>
      </c>
      <c r="C274">
        <v>620</v>
      </c>
      <c r="D274">
        <v>90</v>
      </c>
      <c r="E274">
        <v>95</v>
      </c>
      <c r="G274" s="1">
        <v>41760</v>
      </c>
      <c r="H274" s="1">
        <v>41760</v>
      </c>
      <c r="I274" s="1">
        <v>42461</v>
      </c>
    </row>
    <row r="275" spans="1:19" x14ac:dyDescent="0.25">
      <c r="A275" t="s">
        <v>8</v>
      </c>
      <c r="B275">
        <v>300</v>
      </c>
      <c r="C275">
        <v>620</v>
      </c>
      <c r="D275">
        <v>85</v>
      </c>
      <c r="E275">
        <v>90</v>
      </c>
      <c r="G275" s="1">
        <v>41760</v>
      </c>
      <c r="H275" s="1">
        <v>41760</v>
      </c>
      <c r="I275" s="1">
        <v>42461</v>
      </c>
    </row>
    <row r="276" spans="1:19" x14ac:dyDescent="0.25">
      <c r="A276" t="s">
        <v>8</v>
      </c>
      <c r="B276">
        <v>300</v>
      </c>
      <c r="C276">
        <v>620</v>
      </c>
      <c r="D276">
        <v>80</v>
      </c>
      <c r="E276">
        <v>85</v>
      </c>
      <c r="G276" s="1">
        <v>41760</v>
      </c>
      <c r="H276" s="1">
        <v>41760</v>
      </c>
      <c r="I276" s="1">
        <v>42461</v>
      </c>
    </row>
    <row r="277" spans="1:19" x14ac:dyDescent="0.25">
      <c r="A277" t="s">
        <v>8</v>
      </c>
      <c r="B277">
        <v>300</v>
      </c>
      <c r="C277">
        <v>620</v>
      </c>
      <c r="D277">
        <v>0</v>
      </c>
      <c r="E277">
        <v>80</v>
      </c>
      <c r="G277" s="1">
        <v>41760</v>
      </c>
      <c r="H277" s="1">
        <v>41760</v>
      </c>
      <c r="I277" s="1">
        <v>42461</v>
      </c>
    </row>
    <row r="278" spans="1:19" x14ac:dyDescent="0.25">
      <c r="A278" t="s">
        <v>7</v>
      </c>
      <c r="B278">
        <v>760</v>
      </c>
      <c r="C278">
        <v>999</v>
      </c>
      <c r="D278">
        <v>97</v>
      </c>
      <c r="E278">
        <v>999</v>
      </c>
      <c r="G278" s="1">
        <v>41487</v>
      </c>
      <c r="H278" s="1">
        <v>41487</v>
      </c>
      <c r="I278" s="1">
        <v>41760</v>
      </c>
      <c r="M278" t="s">
        <v>11</v>
      </c>
      <c r="N278" t="s">
        <v>12</v>
      </c>
      <c r="O278" t="s">
        <v>13</v>
      </c>
      <c r="P278" t="s">
        <v>14</v>
      </c>
      <c r="Q278" t="s">
        <v>15</v>
      </c>
      <c r="R278" t="s">
        <v>16</v>
      </c>
      <c r="S278" s="1">
        <v>41487</v>
      </c>
    </row>
    <row r="279" spans="1:19" x14ac:dyDescent="0.25">
      <c r="A279" t="s">
        <v>7</v>
      </c>
      <c r="B279">
        <v>760</v>
      </c>
      <c r="C279">
        <v>999</v>
      </c>
      <c r="D279">
        <v>95</v>
      </c>
      <c r="E279">
        <v>97</v>
      </c>
      <c r="F279">
        <v>115</v>
      </c>
      <c r="G279" s="1">
        <v>41487</v>
      </c>
      <c r="H279" s="1">
        <v>41487</v>
      </c>
      <c r="I279" s="1">
        <v>41760</v>
      </c>
      <c r="M279" s="2" t="s">
        <v>17</v>
      </c>
      <c r="N279">
        <v>110</v>
      </c>
      <c r="O279">
        <v>115</v>
      </c>
      <c r="P279">
        <v>136</v>
      </c>
      <c r="Q279" s="9">
        <v>153</v>
      </c>
      <c r="R279" s="3" t="s">
        <v>18</v>
      </c>
    </row>
    <row r="280" spans="1:19" x14ac:dyDescent="0.25">
      <c r="A280" t="s">
        <v>7</v>
      </c>
      <c r="B280">
        <v>760</v>
      </c>
      <c r="C280">
        <v>999</v>
      </c>
      <c r="D280">
        <v>90</v>
      </c>
      <c r="E280">
        <v>95</v>
      </c>
      <c r="F280">
        <v>64</v>
      </c>
      <c r="G280" s="1">
        <v>41487</v>
      </c>
      <c r="H280" s="1">
        <v>41487</v>
      </c>
      <c r="I280" s="1">
        <v>41760</v>
      </c>
      <c r="M280" t="s">
        <v>19</v>
      </c>
      <c r="N280">
        <v>59</v>
      </c>
      <c r="O280">
        <v>67</v>
      </c>
      <c r="P280">
        <v>94</v>
      </c>
      <c r="Q280">
        <v>120</v>
      </c>
      <c r="R280" s="3" t="s">
        <v>18</v>
      </c>
    </row>
    <row r="281" spans="1:19" x14ac:dyDescent="0.25">
      <c r="A281" t="s">
        <v>7</v>
      </c>
      <c r="B281">
        <v>760</v>
      </c>
      <c r="C281">
        <v>999</v>
      </c>
      <c r="D281">
        <v>85</v>
      </c>
      <c r="E281">
        <v>90</v>
      </c>
      <c r="F281">
        <v>49</v>
      </c>
      <c r="G281" s="1">
        <v>41487</v>
      </c>
      <c r="H281" s="1">
        <v>41487</v>
      </c>
      <c r="I281" s="1">
        <v>41760</v>
      </c>
      <c r="M281" t="s">
        <v>20</v>
      </c>
      <c r="N281">
        <v>44</v>
      </c>
      <c r="O281">
        <v>49</v>
      </c>
      <c r="P281">
        <v>62</v>
      </c>
      <c r="Q281">
        <v>76</v>
      </c>
      <c r="R281" s="3" t="s">
        <v>18</v>
      </c>
    </row>
    <row r="282" spans="1:19" x14ac:dyDescent="0.25">
      <c r="A282" t="s">
        <v>7</v>
      </c>
      <c r="B282">
        <v>760</v>
      </c>
      <c r="C282">
        <v>999</v>
      </c>
      <c r="D282">
        <v>80</v>
      </c>
      <c r="E282">
        <v>85</v>
      </c>
      <c r="F282">
        <v>33</v>
      </c>
      <c r="G282" s="1">
        <v>41487</v>
      </c>
      <c r="H282" s="1">
        <v>41487</v>
      </c>
      <c r="I282" s="1">
        <v>41760</v>
      </c>
      <c r="M282" t="s">
        <v>21</v>
      </c>
      <c r="N282">
        <v>28</v>
      </c>
      <c r="O282">
        <v>32</v>
      </c>
      <c r="P282">
        <v>38</v>
      </c>
      <c r="Q282">
        <v>44</v>
      </c>
      <c r="R282" s="3" t="s">
        <v>18</v>
      </c>
    </row>
    <row r="283" spans="1:19" x14ac:dyDescent="0.25">
      <c r="A283" t="s">
        <v>7</v>
      </c>
      <c r="B283">
        <v>760</v>
      </c>
      <c r="C283">
        <v>999</v>
      </c>
      <c r="D283">
        <v>0</v>
      </c>
      <c r="E283">
        <v>80</v>
      </c>
      <c r="F283">
        <v>0</v>
      </c>
      <c r="G283" s="1">
        <v>41487</v>
      </c>
      <c r="H283" s="1">
        <v>41487</v>
      </c>
      <c r="I283" s="1">
        <v>41760</v>
      </c>
      <c r="M283" t="s">
        <v>22</v>
      </c>
      <c r="N283">
        <v>0</v>
      </c>
      <c r="O283">
        <v>0</v>
      </c>
      <c r="P283">
        <v>0</v>
      </c>
      <c r="Q283">
        <v>0</v>
      </c>
      <c r="R283" s="3" t="s">
        <v>18</v>
      </c>
    </row>
    <row r="284" spans="1:19" x14ac:dyDescent="0.25">
      <c r="A284" t="s">
        <v>7</v>
      </c>
      <c r="B284">
        <v>720</v>
      </c>
      <c r="C284">
        <v>760</v>
      </c>
      <c r="D284">
        <v>97</v>
      </c>
      <c r="E284">
        <v>999</v>
      </c>
      <c r="G284" s="1">
        <v>41487</v>
      </c>
      <c r="H284" s="1">
        <v>41487</v>
      </c>
      <c r="I284" s="1">
        <v>41760</v>
      </c>
    </row>
    <row r="285" spans="1:19" x14ac:dyDescent="0.25">
      <c r="A285" t="s">
        <v>7</v>
      </c>
      <c r="B285">
        <v>720</v>
      </c>
      <c r="C285">
        <v>760</v>
      </c>
      <c r="D285">
        <v>95</v>
      </c>
      <c r="E285">
        <v>97</v>
      </c>
      <c r="F285">
        <v>125</v>
      </c>
      <c r="G285" s="1">
        <v>41487</v>
      </c>
      <c r="H285" s="1">
        <v>41487</v>
      </c>
      <c r="I285" s="1">
        <v>41760</v>
      </c>
      <c r="M285" t="s">
        <v>23</v>
      </c>
      <c r="N285" t="s">
        <v>12</v>
      </c>
      <c r="O285" t="s">
        <v>13</v>
      </c>
      <c r="P285" t="s">
        <v>14</v>
      </c>
      <c r="Q285" t="s">
        <v>15</v>
      </c>
      <c r="R285" t="s">
        <v>16</v>
      </c>
      <c r="S285" s="1">
        <v>41487</v>
      </c>
    </row>
    <row r="286" spans="1:19" x14ac:dyDescent="0.25">
      <c r="A286" t="s">
        <v>7</v>
      </c>
      <c r="B286">
        <v>720</v>
      </c>
      <c r="C286">
        <v>760</v>
      </c>
      <c r="D286">
        <v>90</v>
      </c>
      <c r="E286">
        <v>95</v>
      </c>
      <c r="F286">
        <v>77</v>
      </c>
      <c r="G286" s="1">
        <v>41487</v>
      </c>
      <c r="H286" s="1">
        <v>41487</v>
      </c>
      <c r="I286" s="1">
        <v>41760</v>
      </c>
      <c r="M286" s="2" t="s">
        <v>17</v>
      </c>
      <c r="N286">
        <f>N279+5</f>
        <v>115</v>
      </c>
      <c r="O286">
        <f>O279+10</f>
        <v>125</v>
      </c>
      <c r="P286">
        <f>P279+15</f>
        <v>151</v>
      </c>
      <c r="Q286">
        <f>Q279+30</f>
        <v>183</v>
      </c>
      <c r="R286" s="3" t="s">
        <v>18</v>
      </c>
    </row>
    <row r="287" spans="1:19" x14ac:dyDescent="0.25">
      <c r="A287" t="s">
        <v>7</v>
      </c>
      <c r="B287">
        <v>720</v>
      </c>
      <c r="C287">
        <v>760</v>
      </c>
      <c r="D287">
        <v>85</v>
      </c>
      <c r="E287">
        <v>90</v>
      </c>
      <c r="F287">
        <v>59</v>
      </c>
      <c r="G287" s="1">
        <v>41487</v>
      </c>
      <c r="H287" s="1">
        <v>41487</v>
      </c>
      <c r="I287" s="1">
        <v>41760</v>
      </c>
      <c r="M287" t="s">
        <v>19</v>
      </c>
      <c r="N287">
        <f t="shared" ref="N287:N289" si="8">N280+5</f>
        <v>64</v>
      </c>
      <c r="O287">
        <f t="shared" ref="O287:O289" si="9">O280+10</f>
        <v>77</v>
      </c>
      <c r="P287">
        <f t="shared" ref="P287:P289" si="10">P280+15</f>
        <v>109</v>
      </c>
      <c r="Q287">
        <f>Q280+30</f>
        <v>150</v>
      </c>
      <c r="R287" s="3" t="s">
        <v>18</v>
      </c>
    </row>
    <row r="288" spans="1:19" x14ac:dyDescent="0.25">
      <c r="A288" t="s">
        <v>7</v>
      </c>
      <c r="B288">
        <v>720</v>
      </c>
      <c r="C288">
        <v>760</v>
      </c>
      <c r="D288">
        <v>80</v>
      </c>
      <c r="E288">
        <v>85</v>
      </c>
      <c r="F288">
        <v>42</v>
      </c>
      <c r="G288" s="1">
        <v>41487</v>
      </c>
      <c r="H288" s="1">
        <v>41487</v>
      </c>
      <c r="I288" s="1">
        <v>41760</v>
      </c>
      <c r="M288" t="s">
        <v>20</v>
      </c>
      <c r="N288">
        <f t="shared" si="8"/>
        <v>49</v>
      </c>
      <c r="O288">
        <f t="shared" si="9"/>
        <v>59</v>
      </c>
      <c r="P288">
        <f t="shared" si="10"/>
        <v>77</v>
      </c>
      <c r="Q288">
        <f t="shared" ref="Q288:Q289" si="11">Q281+30</f>
        <v>106</v>
      </c>
      <c r="R288" s="3" t="s">
        <v>18</v>
      </c>
    </row>
    <row r="289" spans="1:18" x14ac:dyDescent="0.25">
      <c r="A289" t="s">
        <v>7</v>
      </c>
      <c r="B289">
        <v>720</v>
      </c>
      <c r="C289">
        <v>760</v>
      </c>
      <c r="D289">
        <v>0</v>
      </c>
      <c r="E289">
        <v>80</v>
      </c>
      <c r="F289">
        <v>0</v>
      </c>
      <c r="G289" s="1">
        <v>41487</v>
      </c>
      <c r="H289" s="1">
        <v>41487</v>
      </c>
      <c r="I289" s="1">
        <v>41760</v>
      </c>
      <c r="M289" t="s">
        <v>21</v>
      </c>
      <c r="N289">
        <f t="shared" si="8"/>
        <v>33</v>
      </c>
      <c r="O289">
        <f t="shared" si="9"/>
        <v>42</v>
      </c>
      <c r="P289">
        <f t="shared" si="10"/>
        <v>53</v>
      </c>
      <c r="Q289">
        <f t="shared" si="11"/>
        <v>74</v>
      </c>
      <c r="R289" s="3" t="s">
        <v>18</v>
      </c>
    </row>
    <row r="290" spans="1:18" x14ac:dyDescent="0.25">
      <c r="A290" t="s">
        <v>7</v>
      </c>
      <c r="B290">
        <v>680</v>
      </c>
      <c r="C290">
        <v>720</v>
      </c>
      <c r="D290">
        <v>97</v>
      </c>
      <c r="E290">
        <v>999</v>
      </c>
      <c r="G290" s="1">
        <v>41487</v>
      </c>
      <c r="H290" s="1">
        <v>41487</v>
      </c>
      <c r="I290" s="1">
        <v>41760</v>
      </c>
      <c r="M290" t="s">
        <v>22</v>
      </c>
      <c r="N290">
        <v>0</v>
      </c>
      <c r="O290">
        <v>0</v>
      </c>
      <c r="P290">
        <v>0</v>
      </c>
      <c r="Q290">
        <v>0</v>
      </c>
      <c r="R290" s="3" t="s">
        <v>18</v>
      </c>
    </row>
    <row r="291" spans="1:18" x14ac:dyDescent="0.25">
      <c r="A291" t="s">
        <v>7</v>
      </c>
      <c r="B291">
        <v>680</v>
      </c>
      <c r="C291">
        <v>720</v>
      </c>
      <c r="D291">
        <v>95</v>
      </c>
      <c r="E291">
        <v>97</v>
      </c>
      <c r="F291">
        <v>151</v>
      </c>
      <c r="G291" s="1">
        <v>41487</v>
      </c>
      <c r="H291" s="1">
        <v>41487</v>
      </c>
      <c r="I291" s="1">
        <v>41760</v>
      </c>
    </row>
    <row r="292" spans="1:18" x14ac:dyDescent="0.25">
      <c r="A292" t="s">
        <v>7</v>
      </c>
      <c r="B292">
        <v>680</v>
      </c>
      <c r="C292">
        <v>720</v>
      </c>
      <c r="D292">
        <v>90</v>
      </c>
      <c r="E292">
        <v>95</v>
      </c>
      <c r="F292">
        <v>109</v>
      </c>
      <c r="G292" s="1">
        <v>41487</v>
      </c>
      <c r="H292" s="1">
        <v>41487</v>
      </c>
      <c r="I292" s="1">
        <v>41760</v>
      </c>
    </row>
    <row r="293" spans="1:18" x14ac:dyDescent="0.25">
      <c r="A293" t="s">
        <v>7</v>
      </c>
      <c r="B293">
        <v>680</v>
      </c>
      <c r="C293">
        <v>720</v>
      </c>
      <c r="D293">
        <v>85</v>
      </c>
      <c r="E293">
        <v>90</v>
      </c>
      <c r="F293">
        <v>77</v>
      </c>
      <c r="G293" s="1">
        <v>41487</v>
      </c>
      <c r="H293" s="1">
        <v>41487</v>
      </c>
      <c r="I293" s="1">
        <v>41760</v>
      </c>
    </row>
    <row r="294" spans="1:18" x14ac:dyDescent="0.25">
      <c r="A294" t="s">
        <v>7</v>
      </c>
      <c r="B294">
        <v>680</v>
      </c>
      <c r="C294">
        <v>720</v>
      </c>
      <c r="D294">
        <v>80</v>
      </c>
      <c r="E294">
        <v>85</v>
      </c>
      <c r="F294">
        <v>53</v>
      </c>
      <c r="G294" s="1">
        <v>41487</v>
      </c>
      <c r="H294" s="1">
        <v>41487</v>
      </c>
      <c r="I294" s="1">
        <v>41760</v>
      </c>
    </row>
    <row r="295" spans="1:18" x14ac:dyDescent="0.25">
      <c r="A295" t="s">
        <v>7</v>
      </c>
      <c r="B295">
        <v>680</v>
      </c>
      <c r="C295">
        <v>720</v>
      </c>
      <c r="D295">
        <v>0</v>
      </c>
      <c r="E295">
        <v>80</v>
      </c>
      <c r="F295">
        <v>0</v>
      </c>
      <c r="G295" s="1">
        <v>41487</v>
      </c>
      <c r="H295" s="1">
        <v>41487</v>
      </c>
      <c r="I295" s="1">
        <v>41760</v>
      </c>
    </row>
    <row r="296" spans="1:18" x14ac:dyDescent="0.25">
      <c r="A296" t="s">
        <v>7</v>
      </c>
      <c r="B296">
        <v>620</v>
      </c>
      <c r="C296">
        <v>680</v>
      </c>
      <c r="D296">
        <v>97</v>
      </c>
      <c r="E296">
        <v>999</v>
      </c>
      <c r="G296" s="1">
        <v>41487</v>
      </c>
      <c r="H296" s="1">
        <v>41487</v>
      </c>
      <c r="I296" s="1">
        <v>41760</v>
      </c>
    </row>
    <row r="297" spans="1:18" x14ac:dyDescent="0.25">
      <c r="A297" t="s">
        <v>7</v>
      </c>
      <c r="B297">
        <v>620</v>
      </c>
      <c r="C297">
        <v>680</v>
      </c>
      <c r="D297">
        <v>95</v>
      </c>
      <c r="E297">
        <v>97</v>
      </c>
      <c r="F297">
        <v>183</v>
      </c>
      <c r="G297" s="1">
        <v>41487</v>
      </c>
      <c r="H297" s="1">
        <v>41487</v>
      </c>
      <c r="I297" s="1">
        <v>41760</v>
      </c>
    </row>
    <row r="298" spans="1:18" x14ac:dyDescent="0.25">
      <c r="A298" t="s">
        <v>7</v>
      </c>
      <c r="B298">
        <v>620</v>
      </c>
      <c r="C298">
        <v>680</v>
      </c>
      <c r="D298">
        <v>90</v>
      </c>
      <c r="E298">
        <v>95</v>
      </c>
      <c r="F298">
        <v>150</v>
      </c>
      <c r="G298" s="1">
        <v>41487</v>
      </c>
      <c r="H298" s="1">
        <v>41487</v>
      </c>
      <c r="I298" s="1">
        <v>41760</v>
      </c>
    </row>
    <row r="299" spans="1:18" x14ac:dyDescent="0.25">
      <c r="A299" t="s">
        <v>7</v>
      </c>
      <c r="B299">
        <v>620</v>
      </c>
      <c r="C299">
        <v>680</v>
      </c>
      <c r="D299">
        <v>85</v>
      </c>
      <c r="E299">
        <v>90</v>
      </c>
      <c r="F299">
        <v>106</v>
      </c>
      <c r="G299" s="1">
        <v>41487</v>
      </c>
      <c r="H299" s="1">
        <v>41487</v>
      </c>
      <c r="I299" s="1">
        <v>41760</v>
      </c>
    </row>
    <row r="300" spans="1:18" x14ac:dyDescent="0.25">
      <c r="A300" t="s">
        <v>7</v>
      </c>
      <c r="B300">
        <v>620</v>
      </c>
      <c r="C300">
        <v>680</v>
      </c>
      <c r="D300">
        <v>80</v>
      </c>
      <c r="E300">
        <v>85</v>
      </c>
      <c r="F300">
        <v>74</v>
      </c>
      <c r="G300" s="1">
        <v>41487</v>
      </c>
      <c r="H300" s="1">
        <v>41487</v>
      </c>
      <c r="I300" s="1">
        <v>41760</v>
      </c>
    </row>
    <row r="301" spans="1:18" x14ac:dyDescent="0.25">
      <c r="A301" t="s">
        <v>7</v>
      </c>
      <c r="B301">
        <v>620</v>
      </c>
      <c r="C301">
        <v>680</v>
      </c>
      <c r="D301">
        <v>0</v>
      </c>
      <c r="E301">
        <v>80</v>
      </c>
      <c r="F301">
        <v>0</v>
      </c>
      <c r="G301" s="1">
        <v>41487</v>
      </c>
      <c r="H301" s="1">
        <v>41487</v>
      </c>
      <c r="I301" s="1">
        <v>41760</v>
      </c>
    </row>
    <row r="302" spans="1:18" x14ac:dyDescent="0.25">
      <c r="A302" t="s">
        <v>7</v>
      </c>
      <c r="B302">
        <v>300</v>
      </c>
      <c r="C302">
        <v>620</v>
      </c>
      <c r="D302">
        <v>97</v>
      </c>
      <c r="E302">
        <v>999</v>
      </c>
      <c r="G302" s="1">
        <v>41487</v>
      </c>
      <c r="H302" s="1">
        <v>41487</v>
      </c>
      <c r="I302" s="1">
        <v>41760</v>
      </c>
    </row>
    <row r="303" spans="1:18" x14ac:dyDescent="0.25">
      <c r="A303" t="s">
        <v>7</v>
      </c>
      <c r="B303">
        <v>300</v>
      </c>
      <c r="C303">
        <v>620</v>
      </c>
      <c r="D303">
        <v>95</v>
      </c>
      <c r="E303">
        <v>97</v>
      </c>
      <c r="G303" s="1">
        <v>41487</v>
      </c>
      <c r="H303" s="1">
        <v>41487</v>
      </c>
      <c r="I303" s="1">
        <v>41760</v>
      </c>
    </row>
    <row r="304" spans="1:18" x14ac:dyDescent="0.25">
      <c r="A304" t="s">
        <v>7</v>
      </c>
      <c r="B304">
        <v>300</v>
      </c>
      <c r="C304">
        <v>620</v>
      </c>
      <c r="D304">
        <v>90</v>
      </c>
      <c r="E304">
        <v>95</v>
      </c>
      <c r="G304" s="1">
        <v>41487</v>
      </c>
      <c r="H304" s="1">
        <v>41487</v>
      </c>
      <c r="I304" s="1">
        <v>41760</v>
      </c>
    </row>
    <row r="305" spans="1:9" x14ac:dyDescent="0.25">
      <c r="A305" t="s">
        <v>7</v>
      </c>
      <c r="B305">
        <v>300</v>
      </c>
      <c r="C305">
        <v>620</v>
      </c>
      <c r="D305">
        <v>85</v>
      </c>
      <c r="E305">
        <v>90</v>
      </c>
      <c r="G305" s="1">
        <v>41487</v>
      </c>
      <c r="H305" s="1">
        <v>41487</v>
      </c>
      <c r="I305" s="1">
        <v>41760</v>
      </c>
    </row>
    <row r="306" spans="1:9" x14ac:dyDescent="0.25">
      <c r="A306" t="s">
        <v>7</v>
      </c>
      <c r="B306">
        <v>300</v>
      </c>
      <c r="C306">
        <v>620</v>
      </c>
      <c r="D306">
        <v>80</v>
      </c>
      <c r="E306">
        <v>85</v>
      </c>
      <c r="G306" s="1">
        <v>41487</v>
      </c>
      <c r="H306" s="1">
        <v>41487</v>
      </c>
      <c r="I306" s="1">
        <v>41760</v>
      </c>
    </row>
    <row r="307" spans="1:9" x14ac:dyDescent="0.25">
      <c r="A307" t="s">
        <v>7</v>
      </c>
      <c r="B307">
        <v>300</v>
      </c>
      <c r="C307">
        <v>620</v>
      </c>
      <c r="D307">
        <v>0</v>
      </c>
      <c r="E307">
        <v>80</v>
      </c>
      <c r="G307" s="1">
        <v>41487</v>
      </c>
      <c r="H307" s="1">
        <v>41487</v>
      </c>
      <c r="I307" s="1">
        <v>41760</v>
      </c>
    </row>
    <row r="308" spans="1:9" x14ac:dyDescent="0.25">
      <c r="A308" t="s">
        <v>8</v>
      </c>
      <c r="B308">
        <v>760</v>
      </c>
      <c r="C308">
        <v>999</v>
      </c>
      <c r="D308">
        <v>97</v>
      </c>
      <c r="E308">
        <v>999</v>
      </c>
      <c r="G308" s="1">
        <v>41487</v>
      </c>
      <c r="H308" s="1">
        <v>41487</v>
      </c>
      <c r="I308" s="1">
        <v>41760</v>
      </c>
    </row>
    <row r="309" spans="1:9" x14ac:dyDescent="0.25">
      <c r="A309" t="s">
        <v>8</v>
      </c>
      <c r="B309">
        <v>760</v>
      </c>
      <c r="C309">
        <v>999</v>
      </c>
      <c r="D309">
        <v>95</v>
      </c>
      <c r="E309">
        <v>97</v>
      </c>
      <c r="F309">
        <v>110</v>
      </c>
      <c r="G309" s="1">
        <v>41487</v>
      </c>
      <c r="H309" s="1">
        <v>41487</v>
      </c>
      <c r="I309" s="1">
        <v>41760</v>
      </c>
    </row>
    <row r="310" spans="1:9" x14ac:dyDescent="0.25">
      <c r="A310" t="s">
        <v>8</v>
      </c>
      <c r="B310">
        <v>760</v>
      </c>
      <c r="C310">
        <v>999</v>
      </c>
      <c r="D310">
        <v>90</v>
      </c>
      <c r="E310">
        <v>95</v>
      </c>
      <c r="F310">
        <v>59</v>
      </c>
      <c r="G310" s="1">
        <v>41487</v>
      </c>
      <c r="H310" s="1">
        <v>41487</v>
      </c>
      <c r="I310" s="1">
        <v>41760</v>
      </c>
    </row>
    <row r="311" spans="1:9" x14ac:dyDescent="0.25">
      <c r="A311" t="s">
        <v>8</v>
      </c>
      <c r="B311">
        <v>760</v>
      </c>
      <c r="C311">
        <v>999</v>
      </c>
      <c r="D311">
        <v>85</v>
      </c>
      <c r="E311">
        <v>90</v>
      </c>
      <c r="F311">
        <v>44</v>
      </c>
      <c r="G311" s="1">
        <v>41487</v>
      </c>
      <c r="H311" s="1">
        <v>41487</v>
      </c>
      <c r="I311" s="1">
        <v>41760</v>
      </c>
    </row>
    <row r="312" spans="1:9" x14ac:dyDescent="0.25">
      <c r="A312" t="s">
        <v>8</v>
      </c>
      <c r="B312">
        <v>760</v>
      </c>
      <c r="C312">
        <v>999</v>
      </c>
      <c r="D312">
        <v>80</v>
      </c>
      <c r="E312">
        <v>85</v>
      </c>
      <c r="F312">
        <v>28</v>
      </c>
      <c r="G312" s="1">
        <v>41487</v>
      </c>
      <c r="H312" s="1">
        <v>41487</v>
      </c>
      <c r="I312" s="1">
        <v>41760</v>
      </c>
    </row>
    <row r="313" spans="1:9" x14ac:dyDescent="0.25">
      <c r="A313" t="s">
        <v>8</v>
      </c>
      <c r="B313">
        <v>760</v>
      </c>
      <c r="C313">
        <v>999</v>
      </c>
      <c r="D313">
        <v>0</v>
      </c>
      <c r="E313">
        <v>80</v>
      </c>
      <c r="F313">
        <v>0</v>
      </c>
      <c r="G313" s="1">
        <v>41487</v>
      </c>
      <c r="H313" s="1">
        <v>41487</v>
      </c>
      <c r="I313" s="1">
        <v>41760</v>
      </c>
    </row>
    <row r="314" spans="1:9" x14ac:dyDescent="0.25">
      <c r="A314" t="s">
        <v>8</v>
      </c>
      <c r="B314">
        <v>720</v>
      </c>
      <c r="C314">
        <v>760</v>
      </c>
      <c r="D314">
        <v>97</v>
      </c>
      <c r="E314">
        <v>999</v>
      </c>
      <c r="G314" s="1">
        <v>41487</v>
      </c>
      <c r="H314" s="1">
        <v>41487</v>
      </c>
      <c r="I314" s="1">
        <v>41760</v>
      </c>
    </row>
    <row r="315" spans="1:9" x14ac:dyDescent="0.25">
      <c r="A315" t="s">
        <v>8</v>
      </c>
      <c r="B315">
        <v>720</v>
      </c>
      <c r="C315">
        <v>760</v>
      </c>
      <c r="D315">
        <v>95</v>
      </c>
      <c r="E315">
        <v>97</v>
      </c>
      <c r="F315">
        <v>115</v>
      </c>
      <c r="G315" s="1">
        <v>41487</v>
      </c>
      <c r="H315" s="1">
        <v>41487</v>
      </c>
      <c r="I315" s="1">
        <v>41760</v>
      </c>
    </row>
    <row r="316" spans="1:9" x14ac:dyDescent="0.25">
      <c r="A316" t="s">
        <v>8</v>
      </c>
      <c r="B316">
        <v>720</v>
      </c>
      <c r="C316">
        <v>760</v>
      </c>
      <c r="D316">
        <v>90</v>
      </c>
      <c r="E316">
        <v>95</v>
      </c>
      <c r="F316">
        <v>67</v>
      </c>
      <c r="G316" s="1">
        <v>41487</v>
      </c>
      <c r="H316" s="1">
        <v>41487</v>
      </c>
      <c r="I316" s="1">
        <v>41760</v>
      </c>
    </row>
    <row r="317" spans="1:9" x14ac:dyDescent="0.25">
      <c r="A317" t="s">
        <v>8</v>
      </c>
      <c r="B317">
        <v>720</v>
      </c>
      <c r="C317">
        <v>760</v>
      </c>
      <c r="D317">
        <v>85</v>
      </c>
      <c r="E317">
        <v>90</v>
      </c>
      <c r="F317">
        <v>49</v>
      </c>
      <c r="G317" s="1">
        <v>41487</v>
      </c>
      <c r="H317" s="1">
        <v>41487</v>
      </c>
      <c r="I317" s="1">
        <v>41760</v>
      </c>
    </row>
    <row r="318" spans="1:9" x14ac:dyDescent="0.25">
      <c r="A318" t="s">
        <v>8</v>
      </c>
      <c r="B318">
        <v>720</v>
      </c>
      <c r="C318">
        <v>760</v>
      </c>
      <c r="D318">
        <v>80</v>
      </c>
      <c r="E318">
        <v>85</v>
      </c>
      <c r="F318">
        <v>32</v>
      </c>
      <c r="G318" s="1">
        <v>41487</v>
      </c>
      <c r="H318" s="1">
        <v>41487</v>
      </c>
      <c r="I318" s="1">
        <v>41760</v>
      </c>
    </row>
    <row r="319" spans="1:9" x14ac:dyDescent="0.25">
      <c r="A319" t="s">
        <v>8</v>
      </c>
      <c r="B319">
        <v>720</v>
      </c>
      <c r="C319">
        <v>760</v>
      </c>
      <c r="D319">
        <v>0</v>
      </c>
      <c r="E319">
        <v>80</v>
      </c>
      <c r="F319">
        <v>0</v>
      </c>
      <c r="G319" s="1">
        <v>41487</v>
      </c>
      <c r="H319" s="1">
        <v>41487</v>
      </c>
      <c r="I319" s="1">
        <v>41760</v>
      </c>
    </row>
    <row r="320" spans="1:9" x14ac:dyDescent="0.25">
      <c r="A320" t="s">
        <v>8</v>
      </c>
      <c r="B320">
        <v>680</v>
      </c>
      <c r="C320">
        <v>720</v>
      </c>
      <c r="D320">
        <v>97</v>
      </c>
      <c r="E320">
        <v>999</v>
      </c>
      <c r="G320" s="1">
        <v>41487</v>
      </c>
      <c r="H320" s="1">
        <v>41487</v>
      </c>
      <c r="I320" s="1">
        <v>41760</v>
      </c>
    </row>
    <row r="321" spans="1:9" x14ac:dyDescent="0.25">
      <c r="A321" t="s">
        <v>8</v>
      </c>
      <c r="B321">
        <v>680</v>
      </c>
      <c r="C321">
        <v>720</v>
      </c>
      <c r="D321">
        <v>95</v>
      </c>
      <c r="E321">
        <v>97</v>
      </c>
      <c r="F321">
        <v>136</v>
      </c>
      <c r="G321" s="1">
        <v>41487</v>
      </c>
      <c r="H321" s="1">
        <v>41487</v>
      </c>
      <c r="I321" s="1">
        <v>41760</v>
      </c>
    </row>
    <row r="322" spans="1:9" x14ac:dyDescent="0.25">
      <c r="A322" t="s">
        <v>8</v>
      </c>
      <c r="B322">
        <v>680</v>
      </c>
      <c r="C322">
        <v>720</v>
      </c>
      <c r="D322">
        <v>90</v>
      </c>
      <c r="E322">
        <v>95</v>
      </c>
      <c r="F322">
        <v>94</v>
      </c>
      <c r="G322" s="1">
        <v>41487</v>
      </c>
      <c r="H322" s="1">
        <v>41487</v>
      </c>
      <c r="I322" s="1">
        <v>41760</v>
      </c>
    </row>
    <row r="323" spans="1:9" x14ac:dyDescent="0.25">
      <c r="A323" t="s">
        <v>8</v>
      </c>
      <c r="B323">
        <v>680</v>
      </c>
      <c r="C323">
        <v>720</v>
      </c>
      <c r="D323">
        <v>85</v>
      </c>
      <c r="E323">
        <v>90</v>
      </c>
      <c r="F323">
        <v>62</v>
      </c>
      <c r="G323" s="1">
        <v>41487</v>
      </c>
      <c r="H323" s="1">
        <v>41487</v>
      </c>
      <c r="I323" s="1">
        <v>41760</v>
      </c>
    </row>
    <row r="324" spans="1:9" x14ac:dyDescent="0.25">
      <c r="A324" t="s">
        <v>8</v>
      </c>
      <c r="B324">
        <v>680</v>
      </c>
      <c r="C324">
        <v>720</v>
      </c>
      <c r="D324">
        <v>80</v>
      </c>
      <c r="E324">
        <v>85</v>
      </c>
      <c r="F324">
        <v>38</v>
      </c>
      <c r="G324" s="1">
        <v>41487</v>
      </c>
      <c r="H324" s="1">
        <v>41487</v>
      </c>
      <c r="I324" s="1">
        <v>41760</v>
      </c>
    </row>
    <row r="325" spans="1:9" x14ac:dyDescent="0.25">
      <c r="A325" t="s">
        <v>8</v>
      </c>
      <c r="B325">
        <v>680</v>
      </c>
      <c r="C325">
        <v>720</v>
      </c>
      <c r="D325">
        <v>0</v>
      </c>
      <c r="E325">
        <v>80</v>
      </c>
      <c r="F325">
        <v>0</v>
      </c>
      <c r="G325" s="1">
        <v>41487</v>
      </c>
      <c r="H325" s="1">
        <v>41487</v>
      </c>
      <c r="I325" s="1">
        <v>41760</v>
      </c>
    </row>
    <row r="326" spans="1:9" x14ac:dyDescent="0.25">
      <c r="A326" t="s">
        <v>8</v>
      </c>
      <c r="B326">
        <v>620</v>
      </c>
      <c r="C326">
        <v>680</v>
      </c>
      <c r="D326">
        <v>97</v>
      </c>
      <c r="E326">
        <v>999</v>
      </c>
      <c r="G326" s="1">
        <v>41487</v>
      </c>
      <c r="H326" s="1">
        <v>41487</v>
      </c>
      <c r="I326" s="1">
        <v>41760</v>
      </c>
    </row>
    <row r="327" spans="1:9" x14ac:dyDescent="0.25">
      <c r="A327" t="s">
        <v>8</v>
      </c>
      <c r="B327">
        <v>620</v>
      </c>
      <c r="C327">
        <v>680</v>
      </c>
      <c r="D327">
        <v>95</v>
      </c>
      <c r="E327">
        <v>97</v>
      </c>
      <c r="F327" s="9">
        <v>153</v>
      </c>
      <c r="G327" s="1">
        <v>41487</v>
      </c>
      <c r="H327" s="1">
        <v>41487</v>
      </c>
      <c r="I327" s="1">
        <v>41760</v>
      </c>
    </row>
    <row r="328" spans="1:9" x14ac:dyDescent="0.25">
      <c r="A328" t="s">
        <v>8</v>
      </c>
      <c r="B328">
        <v>620</v>
      </c>
      <c r="C328">
        <v>680</v>
      </c>
      <c r="D328">
        <v>90</v>
      </c>
      <c r="E328">
        <v>95</v>
      </c>
      <c r="F328">
        <v>120</v>
      </c>
      <c r="G328" s="1">
        <v>41487</v>
      </c>
      <c r="H328" s="1">
        <v>41487</v>
      </c>
      <c r="I328" s="1">
        <v>41760</v>
      </c>
    </row>
    <row r="329" spans="1:9" x14ac:dyDescent="0.25">
      <c r="A329" t="s">
        <v>8</v>
      </c>
      <c r="B329">
        <v>620</v>
      </c>
      <c r="C329">
        <v>680</v>
      </c>
      <c r="D329">
        <v>85</v>
      </c>
      <c r="E329">
        <v>90</v>
      </c>
      <c r="F329">
        <v>76</v>
      </c>
      <c r="G329" s="1">
        <v>41487</v>
      </c>
      <c r="H329" s="1">
        <v>41487</v>
      </c>
      <c r="I329" s="1">
        <v>41760</v>
      </c>
    </row>
    <row r="330" spans="1:9" x14ac:dyDescent="0.25">
      <c r="A330" t="s">
        <v>8</v>
      </c>
      <c r="B330">
        <v>620</v>
      </c>
      <c r="C330">
        <v>680</v>
      </c>
      <c r="D330">
        <v>80</v>
      </c>
      <c r="E330">
        <v>85</v>
      </c>
      <c r="F330">
        <v>44</v>
      </c>
      <c r="G330" s="1">
        <v>41487</v>
      </c>
      <c r="H330" s="1">
        <v>41487</v>
      </c>
      <c r="I330" s="1">
        <v>41760</v>
      </c>
    </row>
    <row r="331" spans="1:9" x14ac:dyDescent="0.25">
      <c r="A331" t="s">
        <v>8</v>
      </c>
      <c r="B331">
        <v>620</v>
      </c>
      <c r="C331">
        <v>680</v>
      </c>
      <c r="D331">
        <v>0</v>
      </c>
      <c r="E331">
        <v>80</v>
      </c>
      <c r="F331">
        <v>0</v>
      </c>
      <c r="G331" s="1">
        <v>41487</v>
      </c>
      <c r="H331" s="1">
        <v>41487</v>
      </c>
      <c r="I331" s="1">
        <v>41760</v>
      </c>
    </row>
    <row r="332" spans="1:9" x14ac:dyDescent="0.25">
      <c r="A332" t="s">
        <v>8</v>
      </c>
      <c r="B332">
        <v>300</v>
      </c>
      <c r="C332">
        <v>620</v>
      </c>
      <c r="D332">
        <v>97</v>
      </c>
      <c r="E332">
        <v>999</v>
      </c>
      <c r="G332" s="1">
        <v>41487</v>
      </c>
      <c r="H332" s="1">
        <v>41487</v>
      </c>
      <c r="I332" s="1">
        <v>41760</v>
      </c>
    </row>
    <row r="333" spans="1:9" x14ac:dyDescent="0.25">
      <c r="A333" t="s">
        <v>8</v>
      </c>
      <c r="B333">
        <v>300</v>
      </c>
      <c r="C333">
        <v>620</v>
      </c>
      <c r="D333">
        <v>95</v>
      </c>
      <c r="E333">
        <v>97</v>
      </c>
      <c r="G333" s="1">
        <v>41487</v>
      </c>
      <c r="H333" s="1">
        <v>41487</v>
      </c>
      <c r="I333" s="1">
        <v>41760</v>
      </c>
    </row>
    <row r="334" spans="1:9" x14ac:dyDescent="0.25">
      <c r="A334" t="s">
        <v>8</v>
      </c>
      <c r="B334">
        <v>300</v>
      </c>
      <c r="C334">
        <v>620</v>
      </c>
      <c r="D334">
        <v>90</v>
      </c>
      <c r="E334">
        <v>95</v>
      </c>
      <c r="G334" s="1">
        <v>41487</v>
      </c>
      <c r="H334" s="1">
        <v>41487</v>
      </c>
      <c r="I334" s="1">
        <v>41760</v>
      </c>
    </row>
    <row r="335" spans="1:9" x14ac:dyDescent="0.25">
      <c r="A335" t="s">
        <v>8</v>
      </c>
      <c r="B335">
        <v>300</v>
      </c>
      <c r="C335">
        <v>620</v>
      </c>
      <c r="D335">
        <v>85</v>
      </c>
      <c r="E335">
        <v>90</v>
      </c>
      <c r="G335" s="1">
        <v>41487</v>
      </c>
      <c r="H335" s="1">
        <v>41487</v>
      </c>
      <c r="I335" s="1">
        <v>41760</v>
      </c>
    </row>
    <row r="336" spans="1:9" x14ac:dyDescent="0.25">
      <c r="A336" t="s">
        <v>8</v>
      </c>
      <c r="B336">
        <v>300</v>
      </c>
      <c r="C336">
        <v>620</v>
      </c>
      <c r="D336">
        <v>80</v>
      </c>
      <c r="E336">
        <v>85</v>
      </c>
      <c r="G336" s="1">
        <v>41487</v>
      </c>
      <c r="H336" s="1">
        <v>41487</v>
      </c>
      <c r="I336" s="1">
        <v>41760</v>
      </c>
    </row>
    <row r="337" spans="1:19" x14ac:dyDescent="0.25">
      <c r="A337" t="s">
        <v>8</v>
      </c>
      <c r="B337">
        <v>300</v>
      </c>
      <c r="C337">
        <v>620</v>
      </c>
      <c r="D337">
        <v>0</v>
      </c>
      <c r="E337">
        <v>80</v>
      </c>
      <c r="G337" s="1">
        <v>41487</v>
      </c>
      <c r="H337" s="1">
        <v>41487</v>
      </c>
      <c r="I337" s="1">
        <v>41760</v>
      </c>
    </row>
    <row r="338" spans="1:19" x14ac:dyDescent="0.25">
      <c r="A338" t="s">
        <v>7</v>
      </c>
      <c r="B338">
        <v>760</v>
      </c>
      <c r="C338">
        <v>999</v>
      </c>
      <c r="D338">
        <v>97</v>
      </c>
      <c r="E338">
        <v>999</v>
      </c>
      <c r="G338" s="1">
        <v>41395</v>
      </c>
      <c r="H338" s="1">
        <v>41395</v>
      </c>
      <c r="I338" s="1">
        <v>41487</v>
      </c>
      <c r="M338" t="s">
        <v>11</v>
      </c>
      <c r="N338" t="s">
        <v>12</v>
      </c>
      <c r="O338" t="s">
        <v>13</v>
      </c>
      <c r="P338" t="s">
        <v>14</v>
      </c>
      <c r="Q338" t="s">
        <v>15</v>
      </c>
      <c r="R338" t="s">
        <v>16</v>
      </c>
      <c r="S338" s="1">
        <v>41395</v>
      </c>
    </row>
    <row r="339" spans="1:19" x14ac:dyDescent="0.25">
      <c r="A339" t="s">
        <v>7</v>
      </c>
      <c r="B339">
        <v>760</v>
      </c>
      <c r="C339">
        <v>999</v>
      </c>
      <c r="D339">
        <v>95</v>
      </c>
      <c r="E339">
        <v>97</v>
      </c>
      <c r="F339">
        <v>115</v>
      </c>
      <c r="G339" s="1">
        <v>41395</v>
      </c>
      <c r="H339" s="1">
        <v>41395</v>
      </c>
      <c r="I339" s="1">
        <v>41487</v>
      </c>
      <c r="M339" s="2" t="s">
        <v>17</v>
      </c>
      <c r="N339">
        <v>110</v>
      </c>
      <c r="O339">
        <v>115</v>
      </c>
      <c r="P339">
        <v>136</v>
      </c>
      <c r="Q339" s="3" t="s">
        <v>18</v>
      </c>
      <c r="R339" s="3" t="s">
        <v>18</v>
      </c>
    </row>
    <row r="340" spans="1:19" x14ac:dyDescent="0.25">
      <c r="A340" t="s">
        <v>7</v>
      </c>
      <c r="B340">
        <v>760</v>
      </c>
      <c r="C340">
        <v>999</v>
      </c>
      <c r="D340">
        <v>90</v>
      </c>
      <c r="E340">
        <v>95</v>
      </c>
      <c r="F340">
        <v>64</v>
      </c>
      <c r="G340" s="1">
        <v>41395</v>
      </c>
      <c r="H340" s="1">
        <v>41395</v>
      </c>
      <c r="I340" s="1">
        <v>41487</v>
      </c>
      <c r="M340" t="s">
        <v>19</v>
      </c>
      <c r="N340">
        <v>59</v>
      </c>
      <c r="O340">
        <v>67</v>
      </c>
      <c r="P340">
        <v>94</v>
      </c>
      <c r="Q340">
        <v>120</v>
      </c>
      <c r="R340" s="3" t="s">
        <v>18</v>
      </c>
    </row>
    <row r="341" spans="1:19" x14ac:dyDescent="0.25">
      <c r="A341" t="s">
        <v>7</v>
      </c>
      <c r="B341">
        <v>760</v>
      </c>
      <c r="C341">
        <v>999</v>
      </c>
      <c r="D341">
        <v>85</v>
      </c>
      <c r="E341">
        <v>90</v>
      </c>
      <c r="F341">
        <v>49</v>
      </c>
      <c r="G341" s="1">
        <v>41395</v>
      </c>
      <c r="H341" s="1">
        <v>41395</v>
      </c>
      <c r="I341" s="1">
        <v>41487</v>
      </c>
      <c r="M341" t="s">
        <v>20</v>
      </c>
      <c r="N341">
        <v>44</v>
      </c>
      <c r="O341">
        <v>49</v>
      </c>
      <c r="P341">
        <v>62</v>
      </c>
      <c r="Q341">
        <v>76</v>
      </c>
      <c r="R341" s="3" t="s">
        <v>18</v>
      </c>
    </row>
    <row r="342" spans="1:19" x14ac:dyDescent="0.25">
      <c r="A342" t="s">
        <v>7</v>
      </c>
      <c r="B342">
        <v>760</v>
      </c>
      <c r="C342">
        <v>999</v>
      </c>
      <c r="D342">
        <v>80</v>
      </c>
      <c r="E342">
        <v>85</v>
      </c>
      <c r="F342">
        <v>33</v>
      </c>
      <c r="G342" s="1">
        <v>41395</v>
      </c>
      <c r="H342" s="1">
        <v>41395</v>
      </c>
      <c r="I342" s="1">
        <v>41487</v>
      </c>
      <c r="M342" t="s">
        <v>21</v>
      </c>
      <c r="N342">
        <v>28</v>
      </c>
      <c r="O342">
        <v>32</v>
      </c>
      <c r="P342">
        <v>38</v>
      </c>
      <c r="Q342">
        <v>44</v>
      </c>
      <c r="R342" s="3" t="s">
        <v>18</v>
      </c>
    </row>
    <row r="343" spans="1:19" x14ac:dyDescent="0.25">
      <c r="A343" t="s">
        <v>7</v>
      </c>
      <c r="B343">
        <v>760</v>
      </c>
      <c r="C343">
        <v>999</v>
      </c>
      <c r="D343">
        <v>0</v>
      </c>
      <c r="E343">
        <v>80</v>
      </c>
      <c r="F343">
        <v>0</v>
      </c>
      <c r="G343" s="1">
        <v>41395</v>
      </c>
      <c r="H343" s="1">
        <v>41395</v>
      </c>
      <c r="I343" s="1">
        <v>41487</v>
      </c>
      <c r="M343" t="s">
        <v>22</v>
      </c>
      <c r="N343">
        <v>0</v>
      </c>
      <c r="O343">
        <v>0</v>
      </c>
      <c r="P343">
        <v>0</v>
      </c>
      <c r="Q343">
        <v>0</v>
      </c>
      <c r="R343" s="3" t="s">
        <v>18</v>
      </c>
    </row>
    <row r="344" spans="1:19" x14ac:dyDescent="0.25">
      <c r="A344" t="s">
        <v>7</v>
      </c>
      <c r="B344">
        <v>720</v>
      </c>
      <c r="C344">
        <v>760</v>
      </c>
      <c r="D344">
        <v>97</v>
      </c>
      <c r="E344">
        <v>999</v>
      </c>
      <c r="G344" s="1">
        <v>41395</v>
      </c>
      <c r="H344" s="1">
        <v>41395</v>
      </c>
      <c r="I344" s="1">
        <v>41487</v>
      </c>
    </row>
    <row r="345" spans="1:19" x14ac:dyDescent="0.25">
      <c r="A345" t="s">
        <v>7</v>
      </c>
      <c r="B345">
        <v>720</v>
      </c>
      <c r="C345">
        <v>760</v>
      </c>
      <c r="D345">
        <v>95</v>
      </c>
      <c r="E345">
        <v>97</v>
      </c>
      <c r="F345">
        <v>125</v>
      </c>
      <c r="G345" s="1">
        <v>41395</v>
      </c>
      <c r="H345" s="1">
        <v>41395</v>
      </c>
      <c r="I345" s="1">
        <v>41487</v>
      </c>
      <c r="M345" t="s">
        <v>23</v>
      </c>
      <c r="N345" t="s">
        <v>12</v>
      </c>
      <c r="O345" t="s">
        <v>13</v>
      </c>
      <c r="P345" t="s">
        <v>14</v>
      </c>
      <c r="Q345" t="s">
        <v>15</v>
      </c>
      <c r="R345" t="s">
        <v>16</v>
      </c>
      <c r="S345" s="1">
        <v>41395</v>
      </c>
    </row>
    <row r="346" spans="1:19" x14ac:dyDescent="0.25">
      <c r="A346" t="s">
        <v>7</v>
      </c>
      <c r="B346">
        <v>720</v>
      </c>
      <c r="C346">
        <v>760</v>
      </c>
      <c r="D346">
        <v>90</v>
      </c>
      <c r="E346">
        <v>95</v>
      </c>
      <c r="F346">
        <v>77</v>
      </c>
      <c r="G346" s="1">
        <v>41395</v>
      </c>
      <c r="H346" s="1">
        <v>41395</v>
      </c>
      <c r="I346" s="1">
        <v>41487</v>
      </c>
      <c r="M346" s="2" t="s">
        <v>17</v>
      </c>
      <c r="N346">
        <f>N339+5</f>
        <v>115</v>
      </c>
      <c r="O346">
        <f>O339+10</f>
        <v>125</v>
      </c>
      <c r="P346">
        <f>P339+15</f>
        <v>151</v>
      </c>
      <c r="Q346" s="3" t="s">
        <v>18</v>
      </c>
      <c r="R346" s="3" t="s">
        <v>18</v>
      </c>
    </row>
    <row r="347" spans="1:19" x14ac:dyDescent="0.25">
      <c r="A347" t="s">
        <v>7</v>
      </c>
      <c r="B347">
        <v>720</v>
      </c>
      <c r="C347">
        <v>760</v>
      </c>
      <c r="D347">
        <v>85</v>
      </c>
      <c r="E347">
        <v>90</v>
      </c>
      <c r="F347">
        <v>59</v>
      </c>
      <c r="G347" s="1">
        <v>41395</v>
      </c>
      <c r="H347" s="1">
        <v>41395</v>
      </c>
      <c r="I347" s="1">
        <v>41487</v>
      </c>
      <c r="M347" t="s">
        <v>19</v>
      </c>
      <c r="N347">
        <f t="shared" ref="N347:N349" si="12">N340+5</f>
        <v>64</v>
      </c>
      <c r="O347">
        <f t="shared" ref="O347:O349" si="13">O340+10</f>
        <v>77</v>
      </c>
      <c r="P347">
        <f t="shared" ref="P347:P349" si="14">P340+15</f>
        <v>109</v>
      </c>
      <c r="Q347">
        <f>Q340+30</f>
        <v>150</v>
      </c>
      <c r="R347" s="3" t="s">
        <v>18</v>
      </c>
    </row>
    <row r="348" spans="1:19" x14ac:dyDescent="0.25">
      <c r="A348" t="s">
        <v>7</v>
      </c>
      <c r="B348">
        <v>720</v>
      </c>
      <c r="C348">
        <v>760</v>
      </c>
      <c r="D348">
        <v>80</v>
      </c>
      <c r="E348">
        <v>85</v>
      </c>
      <c r="F348">
        <v>42</v>
      </c>
      <c r="G348" s="1">
        <v>41395</v>
      </c>
      <c r="H348" s="1">
        <v>41395</v>
      </c>
      <c r="I348" s="1">
        <v>41487</v>
      </c>
      <c r="M348" t="s">
        <v>20</v>
      </c>
      <c r="N348">
        <f t="shared" si="12"/>
        <v>49</v>
      </c>
      <c r="O348">
        <f t="shared" si="13"/>
        <v>59</v>
      </c>
      <c r="P348">
        <f t="shared" si="14"/>
        <v>77</v>
      </c>
      <c r="Q348">
        <f t="shared" ref="Q348:Q349" si="15">Q341+30</f>
        <v>106</v>
      </c>
      <c r="R348" s="3" t="s">
        <v>18</v>
      </c>
    </row>
    <row r="349" spans="1:19" x14ac:dyDescent="0.25">
      <c r="A349" t="s">
        <v>7</v>
      </c>
      <c r="B349">
        <v>720</v>
      </c>
      <c r="C349">
        <v>760</v>
      </c>
      <c r="D349">
        <v>0</v>
      </c>
      <c r="E349">
        <v>80</v>
      </c>
      <c r="F349">
        <v>0</v>
      </c>
      <c r="G349" s="1">
        <v>41395</v>
      </c>
      <c r="H349" s="1">
        <v>41395</v>
      </c>
      <c r="I349" s="1">
        <v>41487</v>
      </c>
      <c r="M349" t="s">
        <v>21</v>
      </c>
      <c r="N349">
        <f t="shared" si="12"/>
        <v>33</v>
      </c>
      <c r="O349">
        <f t="shared" si="13"/>
        <v>42</v>
      </c>
      <c r="P349">
        <f t="shared" si="14"/>
        <v>53</v>
      </c>
      <c r="Q349">
        <f t="shared" si="15"/>
        <v>74</v>
      </c>
      <c r="R349" s="3" t="s">
        <v>18</v>
      </c>
    </row>
    <row r="350" spans="1:19" x14ac:dyDescent="0.25">
      <c r="A350" t="s">
        <v>7</v>
      </c>
      <c r="B350">
        <v>680</v>
      </c>
      <c r="C350">
        <v>720</v>
      </c>
      <c r="D350">
        <v>97</v>
      </c>
      <c r="E350">
        <v>999</v>
      </c>
      <c r="G350" s="1">
        <v>41395</v>
      </c>
      <c r="H350" s="1">
        <v>41395</v>
      </c>
      <c r="I350" s="1">
        <v>41487</v>
      </c>
      <c r="M350" t="s">
        <v>22</v>
      </c>
      <c r="N350">
        <v>0</v>
      </c>
      <c r="O350">
        <v>0</v>
      </c>
      <c r="P350">
        <v>0</v>
      </c>
      <c r="Q350">
        <v>0</v>
      </c>
      <c r="R350" s="3" t="s">
        <v>18</v>
      </c>
    </row>
    <row r="351" spans="1:19" x14ac:dyDescent="0.25">
      <c r="A351" t="s">
        <v>7</v>
      </c>
      <c r="B351">
        <v>680</v>
      </c>
      <c r="C351">
        <v>720</v>
      </c>
      <c r="D351">
        <v>95</v>
      </c>
      <c r="E351">
        <v>97</v>
      </c>
      <c r="F351">
        <v>151</v>
      </c>
      <c r="G351" s="1">
        <v>41395</v>
      </c>
      <c r="H351" s="1">
        <v>41395</v>
      </c>
      <c r="I351" s="1">
        <v>41487</v>
      </c>
    </row>
    <row r="352" spans="1:19" x14ac:dyDescent="0.25">
      <c r="A352" t="s">
        <v>7</v>
      </c>
      <c r="B352">
        <v>680</v>
      </c>
      <c r="C352">
        <v>720</v>
      </c>
      <c r="D352">
        <v>90</v>
      </c>
      <c r="E352">
        <v>95</v>
      </c>
      <c r="F352">
        <v>109</v>
      </c>
      <c r="G352" s="1">
        <v>41395</v>
      </c>
      <c r="H352" s="1">
        <v>41395</v>
      </c>
      <c r="I352" s="1">
        <v>41487</v>
      </c>
    </row>
    <row r="353" spans="1:9" x14ac:dyDescent="0.25">
      <c r="A353" t="s">
        <v>7</v>
      </c>
      <c r="B353">
        <v>680</v>
      </c>
      <c r="C353">
        <v>720</v>
      </c>
      <c r="D353">
        <v>85</v>
      </c>
      <c r="E353">
        <v>90</v>
      </c>
      <c r="F353">
        <v>77</v>
      </c>
      <c r="G353" s="1">
        <v>41395</v>
      </c>
      <c r="H353" s="1">
        <v>41395</v>
      </c>
      <c r="I353" s="1">
        <v>41487</v>
      </c>
    </row>
    <row r="354" spans="1:9" x14ac:dyDescent="0.25">
      <c r="A354" t="s">
        <v>7</v>
      </c>
      <c r="B354">
        <v>680</v>
      </c>
      <c r="C354">
        <v>720</v>
      </c>
      <c r="D354">
        <v>80</v>
      </c>
      <c r="E354">
        <v>85</v>
      </c>
      <c r="F354">
        <v>53</v>
      </c>
      <c r="G354" s="1">
        <v>41395</v>
      </c>
      <c r="H354" s="1">
        <v>41395</v>
      </c>
      <c r="I354" s="1">
        <v>41487</v>
      </c>
    </row>
    <row r="355" spans="1:9" x14ac:dyDescent="0.25">
      <c r="A355" t="s">
        <v>7</v>
      </c>
      <c r="B355">
        <v>680</v>
      </c>
      <c r="C355">
        <v>720</v>
      </c>
      <c r="D355">
        <v>0</v>
      </c>
      <c r="E355">
        <v>80</v>
      </c>
      <c r="F355">
        <v>0</v>
      </c>
      <c r="G355" s="1">
        <v>41395</v>
      </c>
      <c r="H355" s="1">
        <v>41395</v>
      </c>
      <c r="I355" s="1">
        <v>41487</v>
      </c>
    </row>
    <row r="356" spans="1:9" x14ac:dyDescent="0.25">
      <c r="A356" t="s">
        <v>7</v>
      </c>
      <c r="B356">
        <v>620</v>
      </c>
      <c r="C356">
        <v>680</v>
      </c>
      <c r="D356">
        <v>97</v>
      </c>
      <c r="E356">
        <v>999</v>
      </c>
      <c r="G356" s="1">
        <v>41395</v>
      </c>
      <c r="H356" s="1">
        <v>41395</v>
      </c>
      <c r="I356" s="1">
        <v>41487</v>
      </c>
    </row>
    <row r="357" spans="1:9" x14ac:dyDescent="0.25">
      <c r="A357" t="s">
        <v>7</v>
      </c>
      <c r="B357">
        <v>620</v>
      </c>
      <c r="C357">
        <v>680</v>
      </c>
      <c r="D357">
        <v>95</v>
      </c>
      <c r="E357">
        <v>97</v>
      </c>
      <c r="G357" s="1">
        <v>41395</v>
      </c>
      <c r="H357" s="1">
        <v>41395</v>
      </c>
      <c r="I357" s="1">
        <v>41487</v>
      </c>
    </row>
    <row r="358" spans="1:9" x14ac:dyDescent="0.25">
      <c r="A358" t="s">
        <v>7</v>
      </c>
      <c r="B358">
        <v>620</v>
      </c>
      <c r="C358">
        <v>680</v>
      </c>
      <c r="D358">
        <v>90</v>
      </c>
      <c r="E358">
        <v>95</v>
      </c>
      <c r="F358">
        <v>150</v>
      </c>
      <c r="G358" s="1">
        <v>41395</v>
      </c>
      <c r="H358" s="1">
        <v>41395</v>
      </c>
      <c r="I358" s="1">
        <v>41487</v>
      </c>
    </row>
    <row r="359" spans="1:9" x14ac:dyDescent="0.25">
      <c r="A359" t="s">
        <v>7</v>
      </c>
      <c r="B359">
        <v>620</v>
      </c>
      <c r="C359">
        <v>680</v>
      </c>
      <c r="D359">
        <v>85</v>
      </c>
      <c r="E359">
        <v>90</v>
      </c>
      <c r="F359">
        <v>106</v>
      </c>
      <c r="G359" s="1">
        <v>41395</v>
      </c>
      <c r="H359" s="1">
        <v>41395</v>
      </c>
      <c r="I359" s="1">
        <v>41487</v>
      </c>
    </row>
    <row r="360" spans="1:9" x14ac:dyDescent="0.25">
      <c r="A360" t="s">
        <v>7</v>
      </c>
      <c r="B360">
        <v>620</v>
      </c>
      <c r="C360">
        <v>680</v>
      </c>
      <c r="D360">
        <v>80</v>
      </c>
      <c r="E360">
        <v>85</v>
      </c>
      <c r="F360">
        <v>74</v>
      </c>
      <c r="G360" s="1">
        <v>41395</v>
      </c>
      <c r="H360" s="1">
        <v>41395</v>
      </c>
      <c r="I360" s="1">
        <v>41487</v>
      </c>
    </row>
    <row r="361" spans="1:9" x14ac:dyDescent="0.25">
      <c r="A361" t="s">
        <v>7</v>
      </c>
      <c r="B361">
        <v>620</v>
      </c>
      <c r="C361">
        <v>680</v>
      </c>
      <c r="D361">
        <v>0</v>
      </c>
      <c r="E361">
        <v>80</v>
      </c>
      <c r="F361">
        <v>0</v>
      </c>
      <c r="G361" s="1">
        <v>41395</v>
      </c>
      <c r="H361" s="1">
        <v>41395</v>
      </c>
      <c r="I361" s="1">
        <v>41487</v>
      </c>
    </row>
    <row r="362" spans="1:9" x14ac:dyDescent="0.25">
      <c r="A362" t="s">
        <v>7</v>
      </c>
      <c r="B362">
        <v>300</v>
      </c>
      <c r="C362">
        <v>620</v>
      </c>
      <c r="D362">
        <v>97</v>
      </c>
      <c r="E362">
        <v>999</v>
      </c>
      <c r="G362" s="1">
        <v>41395</v>
      </c>
      <c r="H362" s="1">
        <v>41395</v>
      </c>
      <c r="I362" s="1">
        <v>41487</v>
      </c>
    </row>
    <row r="363" spans="1:9" x14ac:dyDescent="0.25">
      <c r="A363" t="s">
        <v>7</v>
      </c>
      <c r="B363">
        <v>300</v>
      </c>
      <c r="C363">
        <v>620</v>
      </c>
      <c r="D363">
        <v>95</v>
      </c>
      <c r="E363">
        <v>97</v>
      </c>
      <c r="G363" s="1">
        <v>41395</v>
      </c>
      <c r="H363" s="1">
        <v>41395</v>
      </c>
      <c r="I363" s="1">
        <v>41487</v>
      </c>
    </row>
    <row r="364" spans="1:9" x14ac:dyDescent="0.25">
      <c r="A364" t="s">
        <v>7</v>
      </c>
      <c r="B364">
        <v>300</v>
      </c>
      <c r="C364">
        <v>620</v>
      </c>
      <c r="D364">
        <v>90</v>
      </c>
      <c r="E364">
        <v>95</v>
      </c>
      <c r="G364" s="1">
        <v>41395</v>
      </c>
      <c r="H364" s="1">
        <v>41395</v>
      </c>
      <c r="I364" s="1">
        <v>41487</v>
      </c>
    </row>
    <row r="365" spans="1:9" x14ac:dyDescent="0.25">
      <c r="A365" t="s">
        <v>7</v>
      </c>
      <c r="B365">
        <v>300</v>
      </c>
      <c r="C365">
        <v>620</v>
      </c>
      <c r="D365">
        <v>85</v>
      </c>
      <c r="E365">
        <v>90</v>
      </c>
      <c r="G365" s="1">
        <v>41395</v>
      </c>
      <c r="H365" s="1">
        <v>41395</v>
      </c>
      <c r="I365" s="1">
        <v>41487</v>
      </c>
    </row>
    <row r="366" spans="1:9" x14ac:dyDescent="0.25">
      <c r="A366" t="s">
        <v>7</v>
      </c>
      <c r="B366">
        <v>300</v>
      </c>
      <c r="C366">
        <v>620</v>
      </c>
      <c r="D366">
        <v>80</v>
      </c>
      <c r="E366">
        <v>85</v>
      </c>
      <c r="G366" s="1">
        <v>41395</v>
      </c>
      <c r="H366" s="1">
        <v>41395</v>
      </c>
      <c r="I366" s="1">
        <v>41487</v>
      </c>
    </row>
    <row r="367" spans="1:9" x14ac:dyDescent="0.25">
      <c r="A367" t="s">
        <v>7</v>
      </c>
      <c r="B367">
        <v>300</v>
      </c>
      <c r="C367">
        <v>620</v>
      </c>
      <c r="D367">
        <v>0</v>
      </c>
      <c r="E367">
        <v>80</v>
      </c>
      <c r="G367" s="1">
        <v>41395</v>
      </c>
      <c r="H367" s="1">
        <v>41395</v>
      </c>
      <c r="I367" s="1">
        <v>41487</v>
      </c>
    </row>
    <row r="368" spans="1:9" x14ac:dyDescent="0.25">
      <c r="A368" t="s">
        <v>8</v>
      </c>
      <c r="B368">
        <v>760</v>
      </c>
      <c r="C368">
        <v>999</v>
      </c>
      <c r="D368">
        <v>97</v>
      </c>
      <c r="E368">
        <v>999</v>
      </c>
      <c r="G368" s="1">
        <v>41395</v>
      </c>
      <c r="H368" s="1">
        <v>41395</v>
      </c>
      <c r="I368" s="1">
        <v>41487</v>
      </c>
    </row>
    <row r="369" spans="1:9" x14ac:dyDescent="0.25">
      <c r="A369" t="s">
        <v>8</v>
      </c>
      <c r="B369">
        <v>760</v>
      </c>
      <c r="C369">
        <v>999</v>
      </c>
      <c r="D369">
        <v>95</v>
      </c>
      <c r="E369">
        <v>97</v>
      </c>
      <c r="F369">
        <v>110</v>
      </c>
      <c r="G369" s="1">
        <v>41395</v>
      </c>
      <c r="H369" s="1">
        <v>41395</v>
      </c>
      <c r="I369" s="1">
        <v>41487</v>
      </c>
    </row>
    <row r="370" spans="1:9" x14ac:dyDescent="0.25">
      <c r="A370" t="s">
        <v>8</v>
      </c>
      <c r="B370">
        <v>760</v>
      </c>
      <c r="C370">
        <v>999</v>
      </c>
      <c r="D370">
        <v>90</v>
      </c>
      <c r="E370">
        <v>95</v>
      </c>
      <c r="F370">
        <v>59</v>
      </c>
      <c r="G370" s="1">
        <v>41395</v>
      </c>
      <c r="H370" s="1">
        <v>41395</v>
      </c>
      <c r="I370" s="1">
        <v>41487</v>
      </c>
    </row>
    <row r="371" spans="1:9" x14ac:dyDescent="0.25">
      <c r="A371" t="s">
        <v>8</v>
      </c>
      <c r="B371">
        <v>760</v>
      </c>
      <c r="C371">
        <v>999</v>
      </c>
      <c r="D371">
        <v>85</v>
      </c>
      <c r="E371">
        <v>90</v>
      </c>
      <c r="F371">
        <v>44</v>
      </c>
      <c r="G371" s="1">
        <v>41395</v>
      </c>
      <c r="H371" s="1">
        <v>41395</v>
      </c>
      <c r="I371" s="1">
        <v>41487</v>
      </c>
    </row>
    <row r="372" spans="1:9" x14ac:dyDescent="0.25">
      <c r="A372" t="s">
        <v>8</v>
      </c>
      <c r="B372">
        <v>760</v>
      </c>
      <c r="C372">
        <v>999</v>
      </c>
      <c r="D372">
        <v>80</v>
      </c>
      <c r="E372">
        <v>85</v>
      </c>
      <c r="F372">
        <v>28</v>
      </c>
      <c r="G372" s="1">
        <v>41395</v>
      </c>
      <c r="H372" s="1">
        <v>41395</v>
      </c>
      <c r="I372" s="1">
        <v>41487</v>
      </c>
    </row>
    <row r="373" spans="1:9" x14ac:dyDescent="0.25">
      <c r="A373" t="s">
        <v>8</v>
      </c>
      <c r="B373">
        <v>760</v>
      </c>
      <c r="C373">
        <v>999</v>
      </c>
      <c r="D373">
        <v>0</v>
      </c>
      <c r="E373">
        <v>80</v>
      </c>
      <c r="F373">
        <v>0</v>
      </c>
      <c r="G373" s="1">
        <v>41395</v>
      </c>
      <c r="H373" s="1">
        <v>41395</v>
      </c>
      <c r="I373" s="1">
        <v>41487</v>
      </c>
    </row>
    <row r="374" spans="1:9" x14ac:dyDescent="0.25">
      <c r="A374" t="s">
        <v>8</v>
      </c>
      <c r="B374">
        <v>720</v>
      </c>
      <c r="C374">
        <v>760</v>
      </c>
      <c r="D374">
        <v>97</v>
      </c>
      <c r="E374">
        <v>999</v>
      </c>
      <c r="G374" s="1">
        <v>41395</v>
      </c>
      <c r="H374" s="1">
        <v>41395</v>
      </c>
      <c r="I374" s="1">
        <v>41487</v>
      </c>
    </row>
    <row r="375" spans="1:9" x14ac:dyDescent="0.25">
      <c r="A375" t="s">
        <v>8</v>
      </c>
      <c r="B375">
        <v>720</v>
      </c>
      <c r="C375">
        <v>760</v>
      </c>
      <c r="D375">
        <v>95</v>
      </c>
      <c r="E375">
        <v>97</v>
      </c>
      <c r="F375">
        <v>115</v>
      </c>
      <c r="G375" s="1">
        <v>41395</v>
      </c>
      <c r="H375" s="1">
        <v>41395</v>
      </c>
      <c r="I375" s="1">
        <v>41487</v>
      </c>
    </row>
    <row r="376" spans="1:9" x14ac:dyDescent="0.25">
      <c r="A376" t="s">
        <v>8</v>
      </c>
      <c r="B376">
        <v>720</v>
      </c>
      <c r="C376">
        <v>760</v>
      </c>
      <c r="D376">
        <v>90</v>
      </c>
      <c r="E376">
        <v>95</v>
      </c>
      <c r="F376">
        <v>67</v>
      </c>
      <c r="G376" s="1">
        <v>41395</v>
      </c>
      <c r="H376" s="1">
        <v>41395</v>
      </c>
      <c r="I376" s="1">
        <v>41487</v>
      </c>
    </row>
    <row r="377" spans="1:9" x14ac:dyDescent="0.25">
      <c r="A377" t="s">
        <v>8</v>
      </c>
      <c r="B377">
        <v>720</v>
      </c>
      <c r="C377">
        <v>760</v>
      </c>
      <c r="D377">
        <v>85</v>
      </c>
      <c r="E377">
        <v>90</v>
      </c>
      <c r="F377">
        <v>49</v>
      </c>
      <c r="G377" s="1">
        <v>41395</v>
      </c>
      <c r="H377" s="1">
        <v>41395</v>
      </c>
      <c r="I377" s="1">
        <v>41487</v>
      </c>
    </row>
    <row r="378" spans="1:9" x14ac:dyDescent="0.25">
      <c r="A378" t="s">
        <v>8</v>
      </c>
      <c r="B378">
        <v>720</v>
      </c>
      <c r="C378">
        <v>760</v>
      </c>
      <c r="D378">
        <v>80</v>
      </c>
      <c r="E378">
        <v>85</v>
      </c>
      <c r="F378">
        <v>32</v>
      </c>
      <c r="G378" s="1">
        <v>41395</v>
      </c>
      <c r="H378" s="1">
        <v>41395</v>
      </c>
      <c r="I378" s="1">
        <v>41487</v>
      </c>
    </row>
    <row r="379" spans="1:9" x14ac:dyDescent="0.25">
      <c r="A379" t="s">
        <v>8</v>
      </c>
      <c r="B379">
        <v>720</v>
      </c>
      <c r="C379">
        <v>760</v>
      </c>
      <c r="D379">
        <v>0</v>
      </c>
      <c r="E379">
        <v>80</v>
      </c>
      <c r="F379">
        <v>0</v>
      </c>
      <c r="G379" s="1">
        <v>41395</v>
      </c>
      <c r="H379" s="1">
        <v>41395</v>
      </c>
      <c r="I379" s="1">
        <v>41487</v>
      </c>
    </row>
    <row r="380" spans="1:9" x14ac:dyDescent="0.25">
      <c r="A380" t="s">
        <v>8</v>
      </c>
      <c r="B380">
        <v>680</v>
      </c>
      <c r="C380">
        <v>720</v>
      </c>
      <c r="D380">
        <v>97</v>
      </c>
      <c r="E380">
        <v>999</v>
      </c>
      <c r="G380" s="1">
        <v>41395</v>
      </c>
      <c r="H380" s="1">
        <v>41395</v>
      </c>
      <c r="I380" s="1">
        <v>41487</v>
      </c>
    </row>
    <row r="381" spans="1:9" x14ac:dyDescent="0.25">
      <c r="A381" t="s">
        <v>8</v>
      </c>
      <c r="B381">
        <v>680</v>
      </c>
      <c r="C381">
        <v>720</v>
      </c>
      <c r="D381">
        <v>95</v>
      </c>
      <c r="E381">
        <v>97</v>
      </c>
      <c r="F381">
        <v>136</v>
      </c>
      <c r="G381" s="1">
        <v>41395</v>
      </c>
      <c r="H381" s="1">
        <v>41395</v>
      </c>
      <c r="I381" s="1">
        <v>41487</v>
      </c>
    </row>
    <row r="382" spans="1:9" x14ac:dyDescent="0.25">
      <c r="A382" t="s">
        <v>8</v>
      </c>
      <c r="B382">
        <v>680</v>
      </c>
      <c r="C382">
        <v>720</v>
      </c>
      <c r="D382">
        <v>90</v>
      </c>
      <c r="E382">
        <v>95</v>
      </c>
      <c r="F382">
        <v>94</v>
      </c>
      <c r="G382" s="1">
        <v>41395</v>
      </c>
      <c r="H382" s="1">
        <v>41395</v>
      </c>
      <c r="I382" s="1">
        <v>41487</v>
      </c>
    </row>
    <row r="383" spans="1:9" x14ac:dyDescent="0.25">
      <c r="A383" t="s">
        <v>8</v>
      </c>
      <c r="B383">
        <v>680</v>
      </c>
      <c r="C383">
        <v>720</v>
      </c>
      <c r="D383">
        <v>85</v>
      </c>
      <c r="E383">
        <v>90</v>
      </c>
      <c r="F383">
        <v>62</v>
      </c>
      <c r="G383" s="1">
        <v>41395</v>
      </c>
      <c r="H383" s="1">
        <v>41395</v>
      </c>
      <c r="I383" s="1">
        <v>41487</v>
      </c>
    </row>
    <row r="384" spans="1:9" x14ac:dyDescent="0.25">
      <c r="A384" t="s">
        <v>8</v>
      </c>
      <c r="B384">
        <v>680</v>
      </c>
      <c r="C384">
        <v>720</v>
      </c>
      <c r="D384">
        <v>80</v>
      </c>
      <c r="E384">
        <v>85</v>
      </c>
      <c r="F384">
        <v>38</v>
      </c>
      <c r="G384" s="1">
        <v>41395</v>
      </c>
      <c r="H384" s="1">
        <v>41395</v>
      </c>
      <c r="I384" s="1">
        <v>41487</v>
      </c>
    </row>
    <row r="385" spans="1:19" x14ac:dyDescent="0.25">
      <c r="A385" t="s">
        <v>8</v>
      </c>
      <c r="B385">
        <v>680</v>
      </c>
      <c r="C385">
        <v>720</v>
      </c>
      <c r="D385">
        <v>0</v>
      </c>
      <c r="E385">
        <v>80</v>
      </c>
      <c r="F385">
        <v>0</v>
      </c>
      <c r="G385" s="1">
        <v>41395</v>
      </c>
      <c r="H385" s="1">
        <v>41395</v>
      </c>
      <c r="I385" s="1">
        <v>41487</v>
      </c>
    </row>
    <row r="386" spans="1:19" x14ac:dyDescent="0.25">
      <c r="A386" t="s">
        <v>8</v>
      </c>
      <c r="B386">
        <v>620</v>
      </c>
      <c r="C386">
        <v>680</v>
      </c>
      <c r="D386">
        <v>97</v>
      </c>
      <c r="E386">
        <v>999</v>
      </c>
      <c r="G386" s="1">
        <v>41395</v>
      </c>
      <c r="H386" s="1">
        <v>41395</v>
      </c>
      <c r="I386" s="1">
        <v>41487</v>
      </c>
    </row>
    <row r="387" spans="1:19" x14ac:dyDescent="0.25">
      <c r="A387" t="s">
        <v>8</v>
      </c>
      <c r="B387">
        <v>620</v>
      </c>
      <c r="C387">
        <v>680</v>
      </c>
      <c r="D387">
        <v>95</v>
      </c>
      <c r="E387">
        <v>97</v>
      </c>
      <c r="G387" s="1">
        <v>41395</v>
      </c>
      <c r="H387" s="1">
        <v>41395</v>
      </c>
      <c r="I387" s="1">
        <v>41487</v>
      </c>
    </row>
    <row r="388" spans="1:19" x14ac:dyDescent="0.25">
      <c r="A388" t="s">
        <v>8</v>
      </c>
      <c r="B388">
        <v>620</v>
      </c>
      <c r="C388">
        <v>680</v>
      </c>
      <c r="D388">
        <v>90</v>
      </c>
      <c r="E388">
        <v>95</v>
      </c>
      <c r="F388">
        <v>120</v>
      </c>
      <c r="G388" s="1">
        <v>41395</v>
      </c>
      <c r="H388" s="1">
        <v>41395</v>
      </c>
      <c r="I388" s="1">
        <v>41487</v>
      </c>
    </row>
    <row r="389" spans="1:19" x14ac:dyDescent="0.25">
      <c r="A389" t="s">
        <v>8</v>
      </c>
      <c r="B389">
        <v>620</v>
      </c>
      <c r="C389">
        <v>680</v>
      </c>
      <c r="D389">
        <v>85</v>
      </c>
      <c r="E389">
        <v>90</v>
      </c>
      <c r="F389">
        <v>76</v>
      </c>
      <c r="G389" s="1">
        <v>41395</v>
      </c>
      <c r="H389" s="1">
        <v>41395</v>
      </c>
      <c r="I389" s="1">
        <v>41487</v>
      </c>
    </row>
    <row r="390" spans="1:19" x14ac:dyDescent="0.25">
      <c r="A390" t="s">
        <v>8</v>
      </c>
      <c r="B390">
        <v>620</v>
      </c>
      <c r="C390">
        <v>680</v>
      </c>
      <c r="D390">
        <v>80</v>
      </c>
      <c r="E390">
        <v>85</v>
      </c>
      <c r="F390">
        <v>44</v>
      </c>
      <c r="G390" s="1">
        <v>41395</v>
      </c>
      <c r="H390" s="1">
        <v>41395</v>
      </c>
      <c r="I390" s="1">
        <v>41487</v>
      </c>
    </row>
    <row r="391" spans="1:19" x14ac:dyDescent="0.25">
      <c r="A391" t="s">
        <v>8</v>
      </c>
      <c r="B391">
        <v>620</v>
      </c>
      <c r="C391">
        <v>680</v>
      </c>
      <c r="D391">
        <v>0</v>
      </c>
      <c r="E391">
        <v>80</v>
      </c>
      <c r="F391">
        <v>0</v>
      </c>
      <c r="G391" s="1">
        <v>41395</v>
      </c>
      <c r="H391" s="1">
        <v>41395</v>
      </c>
      <c r="I391" s="1">
        <v>41487</v>
      </c>
    </row>
    <row r="392" spans="1:19" x14ac:dyDescent="0.25">
      <c r="A392" t="s">
        <v>8</v>
      </c>
      <c r="B392">
        <v>300</v>
      </c>
      <c r="C392">
        <v>620</v>
      </c>
      <c r="D392">
        <v>97</v>
      </c>
      <c r="E392">
        <v>999</v>
      </c>
      <c r="G392" s="1">
        <v>41395</v>
      </c>
      <c r="H392" s="1">
        <v>41395</v>
      </c>
      <c r="I392" s="1">
        <v>41487</v>
      </c>
    </row>
    <row r="393" spans="1:19" x14ac:dyDescent="0.25">
      <c r="A393" t="s">
        <v>8</v>
      </c>
      <c r="B393">
        <v>300</v>
      </c>
      <c r="C393">
        <v>620</v>
      </c>
      <c r="D393">
        <v>95</v>
      </c>
      <c r="E393">
        <v>97</v>
      </c>
      <c r="G393" s="1">
        <v>41395</v>
      </c>
      <c r="H393" s="1">
        <v>41395</v>
      </c>
      <c r="I393" s="1">
        <v>41487</v>
      </c>
    </row>
    <row r="394" spans="1:19" x14ac:dyDescent="0.25">
      <c r="A394" t="s">
        <v>8</v>
      </c>
      <c r="B394">
        <v>300</v>
      </c>
      <c r="C394">
        <v>620</v>
      </c>
      <c r="D394">
        <v>90</v>
      </c>
      <c r="E394">
        <v>95</v>
      </c>
      <c r="G394" s="1">
        <v>41395</v>
      </c>
      <c r="H394" s="1">
        <v>41395</v>
      </c>
      <c r="I394" s="1">
        <v>41487</v>
      </c>
    </row>
    <row r="395" spans="1:19" x14ac:dyDescent="0.25">
      <c r="A395" t="s">
        <v>8</v>
      </c>
      <c r="B395">
        <v>300</v>
      </c>
      <c r="C395">
        <v>620</v>
      </c>
      <c r="D395">
        <v>85</v>
      </c>
      <c r="E395">
        <v>90</v>
      </c>
      <c r="G395" s="1">
        <v>41395</v>
      </c>
      <c r="H395" s="1">
        <v>41395</v>
      </c>
      <c r="I395" s="1">
        <v>41487</v>
      </c>
    </row>
    <row r="396" spans="1:19" x14ac:dyDescent="0.25">
      <c r="A396" t="s">
        <v>8</v>
      </c>
      <c r="B396">
        <v>300</v>
      </c>
      <c r="C396">
        <v>620</v>
      </c>
      <c r="D396">
        <v>80</v>
      </c>
      <c r="E396">
        <v>85</v>
      </c>
      <c r="G396" s="1">
        <v>41395</v>
      </c>
      <c r="H396" s="1">
        <v>41395</v>
      </c>
      <c r="I396" s="1">
        <v>41487</v>
      </c>
    </row>
    <row r="397" spans="1:19" x14ac:dyDescent="0.25">
      <c r="A397" t="s">
        <v>8</v>
      </c>
      <c r="B397">
        <v>300</v>
      </c>
      <c r="C397">
        <v>620</v>
      </c>
      <c r="D397">
        <v>0</v>
      </c>
      <c r="E397">
        <v>80</v>
      </c>
      <c r="G397" s="1">
        <v>41395</v>
      </c>
      <c r="H397" s="1">
        <v>41395</v>
      </c>
      <c r="I397" s="1">
        <v>41487</v>
      </c>
    </row>
    <row r="398" spans="1:19" x14ac:dyDescent="0.25">
      <c r="A398" t="s">
        <v>7</v>
      </c>
      <c r="B398">
        <v>760</v>
      </c>
      <c r="C398">
        <v>999</v>
      </c>
      <c r="D398">
        <v>97</v>
      </c>
      <c r="E398">
        <v>999</v>
      </c>
      <c r="G398" s="1">
        <v>41306</v>
      </c>
      <c r="H398" s="1">
        <v>41306</v>
      </c>
      <c r="I398" s="1">
        <v>41395</v>
      </c>
      <c r="M398" t="s">
        <v>11</v>
      </c>
      <c r="N398" t="s">
        <v>12</v>
      </c>
      <c r="O398" t="s">
        <v>13</v>
      </c>
      <c r="P398" t="s">
        <v>14</v>
      </c>
      <c r="Q398" t="s">
        <v>15</v>
      </c>
      <c r="R398" t="s">
        <v>16</v>
      </c>
      <c r="S398" s="1">
        <v>41306</v>
      </c>
    </row>
    <row r="399" spans="1:19" x14ac:dyDescent="0.25">
      <c r="A399" t="s">
        <v>7</v>
      </c>
      <c r="B399">
        <v>760</v>
      </c>
      <c r="C399">
        <v>999</v>
      </c>
      <c r="D399">
        <v>95</v>
      </c>
      <c r="E399">
        <v>97</v>
      </c>
      <c r="F399">
        <v>86</v>
      </c>
      <c r="G399" s="1">
        <v>41306</v>
      </c>
      <c r="H399" s="1">
        <v>41306</v>
      </c>
      <c r="I399" s="1">
        <v>41395</v>
      </c>
      <c r="M399" s="2" t="s">
        <v>17</v>
      </c>
      <c r="N399">
        <f>N406-5</f>
        <v>81</v>
      </c>
      <c r="O399">
        <f>O406-10</f>
        <v>88</v>
      </c>
      <c r="P399">
        <f>P406-15</f>
        <v>110</v>
      </c>
      <c r="Q399" s="3" t="s">
        <v>18</v>
      </c>
      <c r="R399" s="3" t="s">
        <v>18</v>
      </c>
    </row>
    <row r="400" spans="1:19" x14ac:dyDescent="0.25">
      <c r="A400" t="s">
        <v>7</v>
      </c>
      <c r="B400">
        <v>760</v>
      </c>
      <c r="C400">
        <v>999</v>
      </c>
      <c r="D400">
        <v>90</v>
      </c>
      <c r="E400">
        <v>95</v>
      </c>
      <c r="F400">
        <v>64</v>
      </c>
      <c r="G400" s="1">
        <v>41306</v>
      </c>
      <c r="H400" s="1">
        <v>41306</v>
      </c>
      <c r="I400" s="1">
        <v>41395</v>
      </c>
      <c r="M400" t="s">
        <v>19</v>
      </c>
      <c r="N400">
        <f t="shared" ref="N400:N402" si="16">N407-5</f>
        <v>59</v>
      </c>
      <c r="O400">
        <f t="shared" ref="O400:O402" si="17">O407-10</f>
        <v>67</v>
      </c>
      <c r="P400">
        <f t="shared" ref="P400:P402" si="18">P407-15</f>
        <v>94</v>
      </c>
      <c r="Q400">
        <f>Q407-30</f>
        <v>120</v>
      </c>
      <c r="R400" s="3" t="s">
        <v>18</v>
      </c>
    </row>
    <row r="401" spans="1:19" x14ac:dyDescent="0.25">
      <c r="A401" t="s">
        <v>7</v>
      </c>
      <c r="B401">
        <v>760</v>
      </c>
      <c r="C401">
        <v>999</v>
      </c>
      <c r="D401">
        <v>85</v>
      </c>
      <c r="E401">
        <v>90</v>
      </c>
      <c r="F401">
        <v>49</v>
      </c>
      <c r="G401" s="1">
        <v>41306</v>
      </c>
      <c r="H401" s="1">
        <v>41306</v>
      </c>
      <c r="I401" s="1">
        <v>41395</v>
      </c>
      <c r="M401" t="s">
        <v>20</v>
      </c>
      <c r="N401">
        <f t="shared" si="16"/>
        <v>44</v>
      </c>
      <c r="O401">
        <f t="shared" si="17"/>
        <v>49</v>
      </c>
      <c r="P401">
        <f t="shared" si="18"/>
        <v>62</v>
      </c>
      <c r="Q401">
        <f t="shared" ref="Q401:Q402" si="19">Q408-30</f>
        <v>76</v>
      </c>
      <c r="R401" s="3" t="s">
        <v>18</v>
      </c>
    </row>
    <row r="402" spans="1:19" x14ac:dyDescent="0.25">
      <c r="A402" t="s">
        <v>7</v>
      </c>
      <c r="B402">
        <v>760</v>
      </c>
      <c r="C402">
        <v>999</v>
      </c>
      <c r="D402">
        <v>80</v>
      </c>
      <c r="E402">
        <v>85</v>
      </c>
      <c r="F402">
        <v>33</v>
      </c>
      <c r="G402" s="1">
        <v>41306</v>
      </c>
      <c r="H402" s="1">
        <v>41306</v>
      </c>
      <c r="I402" s="1">
        <v>41395</v>
      </c>
      <c r="M402" t="s">
        <v>21</v>
      </c>
      <c r="N402">
        <f t="shared" si="16"/>
        <v>28</v>
      </c>
      <c r="O402">
        <f t="shared" si="17"/>
        <v>32</v>
      </c>
      <c r="P402">
        <f t="shared" si="18"/>
        <v>38</v>
      </c>
      <c r="Q402">
        <f t="shared" si="19"/>
        <v>44</v>
      </c>
      <c r="R402" s="3" t="s">
        <v>18</v>
      </c>
    </row>
    <row r="403" spans="1:19" x14ac:dyDescent="0.25">
      <c r="A403" t="s">
        <v>7</v>
      </c>
      <c r="B403">
        <v>760</v>
      </c>
      <c r="C403">
        <v>999</v>
      </c>
      <c r="D403">
        <v>0</v>
      </c>
      <c r="E403">
        <v>80</v>
      </c>
      <c r="F403">
        <v>0</v>
      </c>
      <c r="G403" s="1">
        <v>41306</v>
      </c>
      <c r="H403" s="1">
        <v>41306</v>
      </c>
      <c r="I403" s="1">
        <v>41395</v>
      </c>
      <c r="M403" t="s">
        <v>22</v>
      </c>
      <c r="N403">
        <v>0</v>
      </c>
      <c r="O403">
        <v>0</v>
      </c>
      <c r="P403">
        <v>0</v>
      </c>
      <c r="Q403">
        <v>0</v>
      </c>
      <c r="R403" s="3" t="s">
        <v>18</v>
      </c>
    </row>
    <row r="404" spans="1:19" x14ac:dyDescent="0.25">
      <c r="A404" t="s">
        <v>7</v>
      </c>
      <c r="B404">
        <v>720</v>
      </c>
      <c r="C404">
        <v>760</v>
      </c>
      <c r="D404">
        <v>97</v>
      </c>
      <c r="E404">
        <v>999</v>
      </c>
      <c r="G404" s="1">
        <v>41306</v>
      </c>
      <c r="H404" s="1">
        <v>41306</v>
      </c>
      <c r="I404" s="1">
        <v>41395</v>
      </c>
    </row>
    <row r="405" spans="1:19" x14ac:dyDescent="0.25">
      <c r="A405" t="s">
        <v>7</v>
      </c>
      <c r="B405">
        <v>720</v>
      </c>
      <c r="C405">
        <v>760</v>
      </c>
      <c r="D405">
        <v>95</v>
      </c>
      <c r="E405">
        <v>97</v>
      </c>
      <c r="F405">
        <v>98</v>
      </c>
      <c r="G405" s="1">
        <v>41306</v>
      </c>
      <c r="H405" s="1">
        <v>41306</v>
      </c>
      <c r="I405" s="1">
        <v>41395</v>
      </c>
      <c r="M405" t="s">
        <v>23</v>
      </c>
      <c r="N405" t="s">
        <v>12</v>
      </c>
      <c r="O405" t="s">
        <v>13</v>
      </c>
      <c r="P405" t="s">
        <v>14</v>
      </c>
      <c r="Q405" t="s">
        <v>15</v>
      </c>
      <c r="R405" t="s">
        <v>16</v>
      </c>
      <c r="S405" s="1">
        <v>41306</v>
      </c>
    </row>
    <row r="406" spans="1:19" x14ac:dyDescent="0.25">
      <c r="A406" t="s">
        <v>7</v>
      </c>
      <c r="B406">
        <v>720</v>
      </c>
      <c r="C406">
        <v>760</v>
      </c>
      <c r="D406">
        <v>90</v>
      </c>
      <c r="E406">
        <v>95</v>
      </c>
      <c r="F406">
        <v>77</v>
      </c>
      <c r="G406" s="1">
        <v>41306</v>
      </c>
      <c r="H406" s="1">
        <v>41306</v>
      </c>
      <c r="I406" s="1">
        <v>41395</v>
      </c>
      <c r="M406" s="2" t="s">
        <v>17</v>
      </c>
      <c r="N406">
        <v>86</v>
      </c>
      <c r="O406">
        <v>98</v>
      </c>
      <c r="P406">
        <v>125</v>
      </c>
      <c r="Q406" s="3" t="s">
        <v>18</v>
      </c>
      <c r="R406" s="3" t="s">
        <v>18</v>
      </c>
    </row>
    <row r="407" spans="1:19" x14ac:dyDescent="0.25">
      <c r="A407" t="s">
        <v>7</v>
      </c>
      <c r="B407">
        <v>720</v>
      </c>
      <c r="C407">
        <v>760</v>
      </c>
      <c r="D407">
        <v>85</v>
      </c>
      <c r="E407">
        <v>90</v>
      </c>
      <c r="F407">
        <v>59</v>
      </c>
      <c r="G407" s="1">
        <v>41306</v>
      </c>
      <c r="H407" s="1">
        <v>41306</v>
      </c>
      <c r="I407" s="1">
        <v>41395</v>
      </c>
      <c r="M407" t="s">
        <v>19</v>
      </c>
      <c r="N407">
        <v>64</v>
      </c>
      <c r="O407">
        <v>77</v>
      </c>
      <c r="P407">
        <v>109</v>
      </c>
      <c r="Q407">
        <v>150</v>
      </c>
      <c r="R407" s="3" t="s">
        <v>18</v>
      </c>
    </row>
    <row r="408" spans="1:19" x14ac:dyDescent="0.25">
      <c r="A408" t="s">
        <v>7</v>
      </c>
      <c r="B408">
        <v>720</v>
      </c>
      <c r="C408">
        <v>760</v>
      </c>
      <c r="D408">
        <v>80</v>
      </c>
      <c r="E408">
        <v>85</v>
      </c>
      <c r="F408">
        <v>42</v>
      </c>
      <c r="G408" s="1">
        <v>41306</v>
      </c>
      <c r="H408" s="1">
        <v>41306</v>
      </c>
      <c r="I408" s="1">
        <v>41395</v>
      </c>
      <c r="M408" t="s">
        <v>20</v>
      </c>
      <c r="N408">
        <v>49</v>
      </c>
      <c r="O408">
        <v>59</v>
      </c>
      <c r="P408">
        <v>77</v>
      </c>
      <c r="Q408">
        <v>106</v>
      </c>
      <c r="R408" s="3" t="s">
        <v>18</v>
      </c>
    </row>
    <row r="409" spans="1:19" x14ac:dyDescent="0.25">
      <c r="A409" t="s">
        <v>7</v>
      </c>
      <c r="B409">
        <v>720</v>
      </c>
      <c r="C409">
        <v>760</v>
      </c>
      <c r="D409">
        <v>0</v>
      </c>
      <c r="E409">
        <v>80</v>
      </c>
      <c r="F409">
        <v>0</v>
      </c>
      <c r="G409" s="1">
        <v>41306</v>
      </c>
      <c r="H409" s="1">
        <v>41306</v>
      </c>
      <c r="I409" s="1">
        <v>41395</v>
      </c>
      <c r="M409" t="s">
        <v>21</v>
      </c>
      <c r="N409">
        <v>33</v>
      </c>
      <c r="O409">
        <v>42</v>
      </c>
      <c r="P409">
        <v>53</v>
      </c>
      <c r="Q409">
        <v>74</v>
      </c>
      <c r="R409" s="3" t="s">
        <v>18</v>
      </c>
    </row>
    <row r="410" spans="1:19" x14ac:dyDescent="0.25">
      <c r="A410" t="s">
        <v>7</v>
      </c>
      <c r="B410">
        <v>680</v>
      </c>
      <c r="C410">
        <v>720</v>
      </c>
      <c r="D410">
        <v>97</v>
      </c>
      <c r="E410">
        <v>999</v>
      </c>
      <c r="G410" s="1">
        <v>41306</v>
      </c>
      <c r="H410" s="1">
        <v>41306</v>
      </c>
      <c r="I410" s="1">
        <v>41395</v>
      </c>
      <c r="M410" t="s">
        <v>22</v>
      </c>
      <c r="N410">
        <v>0</v>
      </c>
      <c r="O410">
        <v>0</v>
      </c>
      <c r="P410">
        <v>0</v>
      </c>
      <c r="Q410">
        <v>0</v>
      </c>
      <c r="R410" s="3" t="s">
        <v>18</v>
      </c>
    </row>
    <row r="411" spans="1:19" x14ac:dyDescent="0.25">
      <c r="A411" t="s">
        <v>7</v>
      </c>
      <c r="B411">
        <v>680</v>
      </c>
      <c r="C411">
        <v>720</v>
      </c>
      <c r="D411">
        <v>95</v>
      </c>
      <c r="E411">
        <v>97</v>
      </c>
      <c r="F411">
        <v>125</v>
      </c>
      <c r="G411" s="1">
        <v>41306</v>
      </c>
      <c r="H411" s="1">
        <v>41306</v>
      </c>
      <c r="I411" s="1">
        <v>41395</v>
      </c>
    </row>
    <row r="412" spans="1:19" x14ac:dyDescent="0.25">
      <c r="A412" t="s">
        <v>7</v>
      </c>
      <c r="B412">
        <v>680</v>
      </c>
      <c r="C412">
        <v>720</v>
      </c>
      <c r="D412">
        <v>90</v>
      </c>
      <c r="E412">
        <v>95</v>
      </c>
      <c r="F412">
        <v>109</v>
      </c>
      <c r="G412" s="1">
        <v>41306</v>
      </c>
      <c r="H412" s="1">
        <v>41306</v>
      </c>
      <c r="I412" s="1">
        <v>41395</v>
      </c>
      <c r="M412" t="s">
        <v>24</v>
      </c>
      <c r="N412" t="s">
        <v>55</v>
      </c>
    </row>
    <row r="413" spans="1:19" x14ac:dyDescent="0.25">
      <c r="A413" t="s">
        <v>7</v>
      </c>
      <c r="B413">
        <v>680</v>
      </c>
      <c r="C413">
        <v>720</v>
      </c>
      <c r="D413">
        <v>85</v>
      </c>
      <c r="E413">
        <v>90</v>
      </c>
      <c r="F413">
        <v>77</v>
      </c>
      <c r="G413" s="1">
        <v>41306</v>
      </c>
      <c r="H413" s="1">
        <v>41306</v>
      </c>
      <c r="I413" s="1">
        <v>41395</v>
      </c>
      <c r="M413" t="s">
        <v>25</v>
      </c>
      <c r="N413" t="s">
        <v>26</v>
      </c>
    </row>
    <row r="414" spans="1:19" x14ac:dyDescent="0.25">
      <c r="A414" t="s">
        <v>7</v>
      </c>
      <c r="B414">
        <v>680</v>
      </c>
      <c r="C414">
        <v>720</v>
      </c>
      <c r="D414">
        <v>80</v>
      </c>
      <c r="E414">
        <v>85</v>
      </c>
      <c r="F414">
        <v>53</v>
      </c>
      <c r="G414" s="1">
        <v>41306</v>
      </c>
      <c r="H414" s="1">
        <v>41306</v>
      </c>
      <c r="I414" s="1">
        <v>41395</v>
      </c>
    </row>
    <row r="415" spans="1:19" x14ac:dyDescent="0.25">
      <c r="A415" t="s">
        <v>7</v>
      </c>
      <c r="B415">
        <v>680</v>
      </c>
      <c r="C415">
        <v>720</v>
      </c>
      <c r="D415">
        <v>0</v>
      </c>
      <c r="E415">
        <v>80</v>
      </c>
      <c r="F415">
        <v>0</v>
      </c>
      <c r="G415" s="1">
        <v>41306</v>
      </c>
      <c r="H415" s="1">
        <v>41306</v>
      </c>
      <c r="I415" s="1">
        <v>41395</v>
      </c>
    </row>
    <row r="416" spans="1:19" x14ac:dyDescent="0.25">
      <c r="A416" t="s">
        <v>7</v>
      </c>
      <c r="B416">
        <v>620</v>
      </c>
      <c r="C416">
        <v>680</v>
      </c>
      <c r="D416">
        <v>97</v>
      </c>
      <c r="E416">
        <v>999</v>
      </c>
      <c r="G416" s="1">
        <v>41306</v>
      </c>
      <c r="H416" s="1">
        <v>41306</v>
      </c>
      <c r="I416" s="1">
        <v>41395</v>
      </c>
    </row>
    <row r="417" spans="1:9" x14ac:dyDescent="0.25">
      <c r="A417" t="s">
        <v>7</v>
      </c>
      <c r="B417">
        <v>620</v>
      </c>
      <c r="C417">
        <v>680</v>
      </c>
      <c r="D417">
        <v>95</v>
      </c>
      <c r="E417">
        <v>97</v>
      </c>
      <c r="G417" s="1">
        <v>41306</v>
      </c>
      <c r="H417" s="1">
        <v>41306</v>
      </c>
      <c r="I417" s="1">
        <v>41395</v>
      </c>
    </row>
    <row r="418" spans="1:9" x14ac:dyDescent="0.25">
      <c r="A418" t="s">
        <v>7</v>
      </c>
      <c r="B418">
        <v>620</v>
      </c>
      <c r="C418">
        <v>680</v>
      </c>
      <c r="D418">
        <v>90</v>
      </c>
      <c r="E418">
        <v>95</v>
      </c>
      <c r="F418">
        <v>150</v>
      </c>
      <c r="G418" s="1">
        <v>41306</v>
      </c>
      <c r="H418" s="1">
        <v>41306</v>
      </c>
      <c r="I418" s="1">
        <v>41395</v>
      </c>
    </row>
    <row r="419" spans="1:9" x14ac:dyDescent="0.25">
      <c r="A419" t="s">
        <v>7</v>
      </c>
      <c r="B419">
        <v>620</v>
      </c>
      <c r="C419">
        <v>680</v>
      </c>
      <c r="D419">
        <v>85</v>
      </c>
      <c r="E419">
        <v>90</v>
      </c>
      <c r="F419">
        <v>106</v>
      </c>
      <c r="G419" s="1">
        <v>41306</v>
      </c>
      <c r="H419" s="1">
        <v>41306</v>
      </c>
      <c r="I419" s="1">
        <v>41395</v>
      </c>
    </row>
    <row r="420" spans="1:9" x14ac:dyDescent="0.25">
      <c r="A420" t="s">
        <v>7</v>
      </c>
      <c r="B420">
        <v>620</v>
      </c>
      <c r="C420">
        <v>680</v>
      </c>
      <c r="D420">
        <v>80</v>
      </c>
      <c r="E420">
        <v>85</v>
      </c>
      <c r="F420">
        <v>74</v>
      </c>
      <c r="G420" s="1">
        <v>41306</v>
      </c>
      <c r="H420" s="1">
        <v>41306</v>
      </c>
      <c r="I420" s="1">
        <v>41395</v>
      </c>
    </row>
    <row r="421" spans="1:9" x14ac:dyDescent="0.25">
      <c r="A421" t="s">
        <v>7</v>
      </c>
      <c r="B421">
        <v>620</v>
      </c>
      <c r="C421">
        <v>680</v>
      </c>
      <c r="D421">
        <v>0</v>
      </c>
      <c r="E421">
        <v>80</v>
      </c>
      <c r="F421">
        <v>0</v>
      </c>
      <c r="G421" s="1">
        <v>41306</v>
      </c>
      <c r="H421" s="1">
        <v>41306</v>
      </c>
      <c r="I421" s="1">
        <v>41395</v>
      </c>
    </row>
    <row r="422" spans="1:9" x14ac:dyDescent="0.25">
      <c r="A422" t="s">
        <v>7</v>
      </c>
      <c r="B422">
        <v>300</v>
      </c>
      <c r="C422">
        <v>620</v>
      </c>
      <c r="D422">
        <v>97</v>
      </c>
      <c r="E422">
        <v>999</v>
      </c>
      <c r="G422" s="1">
        <v>41306</v>
      </c>
      <c r="H422" s="1">
        <v>41306</v>
      </c>
      <c r="I422" s="1">
        <v>41395</v>
      </c>
    </row>
    <row r="423" spans="1:9" x14ac:dyDescent="0.25">
      <c r="A423" t="s">
        <v>7</v>
      </c>
      <c r="B423">
        <v>300</v>
      </c>
      <c r="C423">
        <v>620</v>
      </c>
      <c r="D423">
        <v>95</v>
      </c>
      <c r="E423">
        <v>97</v>
      </c>
      <c r="G423" s="1">
        <v>41306</v>
      </c>
      <c r="H423" s="1">
        <v>41306</v>
      </c>
      <c r="I423" s="1">
        <v>41395</v>
      </c>
    </row>
    <row r="424" spans="1:9" x14ac:dyDescent="0.25">
      <c r="A424" t="s">
        <v>7</v>
      </c>
      <c r="B424">
        <v>300</v>
      </c>
      <c r="C424">
        <v>620</v>
      </c>
      <c r="D424">
        <v>90</v>
      </c>
      <c r="E424">
        <v>95</v>
      </c>
      <c r="G424" s="1">
        <v>41306</v>
      </c>
      <c r="H424" s="1">
        <v>41306</v>
      </c>
      <c r="I424" s="1">
        <v>41395</v>
      </c>
    </row>
    <row r="425" spans="1:9" x14ac:dyDescent="0.25">
      <c r="A425" t="s">
        <v>7</v>
      </c>
      <c r="B425">
        <v>300</v>
      </c>
      <c r="C425">
        <v>620</v>
      </c>
      <c r="D425">
        <v>85</v>
      </c>
      <c r="E425">
        <v>90</v>
      </c>
      <c r="G425" s="1">
        <v>41306</v>
      </c>
      <c r="H425" s="1">
        <v>41306</v>
      </c>
      <c r="I425" s="1">
        <v>41395</v>
      </c>
    </row>
    <row r="426" spans="1:9" x14ac:dyDescent="0.25">
      <c r="A426" t="s">
        <v>7</v>
      </c>
      <c r="B426">
        <v>300</v>
      </c>
      <c r="C426">
        <v>620</v>
      </c>
      <c r="D426">
        <v>80</v>
      </c>
      <c r="E426">
        <v>85</v>
      </c>
      <c r="G426" s="1">
        <v>41306</v>
      </c>
      <c r="H426" s="1">
        <v>41306</v>
      </c>
      <c r="I426" s="1">
        <v>41395</v>
      </c>
    </row>
    <row r="427" spans="1:9" x14ac:dyDescent="0.25">
      <c r="A427" t="s">
        <v>7</v>
      </c>
      <c r="B427">
        <v>300</v>
      </c>
      <c r="C427">
        <v>620</v>
      </c>
      <c r="D427">
        <v>0</v>
      </c>
      <c r="E427">
        <v>80</v>
      </c>
      <c r="G427" s="1">
        <v>41306</v>
      </c>
      <c r="H427" s="1">
        <v>41306</v>
      </c>
      <c r="I427" s="1">
        <v>41395</v>
      </c>
    </row>
    <row r="428" spans="1:9" x14ac:dyDescent="0.25">
      <c r="A428" t="s">
        <v>8</v>
      </c>
      <c r="B428">
        <v>760</v>
      </c>
      <c r="C428">
        <v>999</v>
      </c>
      <c r="D428">
        <v>97</v>
      </c>
      <c r="E428">
        <v>999</v>
      </c>
      <c r="G428" s="1">
        <v>41306</v>
      </c>
      <c r="H428" s="1">
        <v>41306</v>
      </c>
      <c r="I428" s="1">
        <v>41395</v>
      </c>
    </row>
    <row r="429" spans="1:9" x14ac:dyDescent="0.25">
      <c r="A429" t="s">
        <v>8</v>
      </c>
      <c r="B429">
        <v>760</v>
      </c>
      <c r="C429">
        <v>999</v>
      </c>
      <c r="D429">
        <v>95</v>
      </c>
      <c r="E429">
        <v>97</v>
      </c>
      <c r="F429">
        <v>81</v>
      </c>
      <c r="G429" s="1">
        <v>41306</v>
      </c>
      <c r="H429" s="1">
        <v>41306</v>
      </c>
      <c r="I429" s="1">
        <v>41395</v>
      </c>
    </row>
    <row r="430" spans="1:9" x14ac:dyDescent="0.25">
      <c r="A430" t="s">
        <v>8</v>
      </c>
      <c r="B430">
        <v>760</v>
      </c>
      <c r="C430">
        <v>999</v>
      </c>
      <c r="D430">
        <v>90</v>
      </c>
      <c r="E430">
        <v>95</v>
      </c>
      <c r="F430">
        <v>59</v>
      </c>
      <c r="G430" s="1">
        <v>41306</v>
      </c>
      <c r="H430" s="1">
        <v>41306</v>
      </c>
      <c r="I430" s="1">
        <v>41395</v>
      </c>
    </row>
    <row r="431" spans="1:9" x14ac:dyDescent="0.25">
      <c r="A431" t="s">
        <v>8</v>
      </c>
      <c r="B431">
        <v>760</v>
      </c>
      <c r="C431">
        <v>999</v>
      </c>
      <c r="D431">
        <v>85</v>
      </c>
      <c r="E431">
        <v>90</v>
      </c>
      <c r="F431">
        <v>44</v>
      </c>
      <c r="G431" s="1">
        <v>41306</v>
      </c>
      <c r="H431" s="1">
        <v>41306</v>
      </c>
      <c r="I431" s="1">
        <v>41395</v>
      </c>
    </row>
    <row r="432" spans="1:9" x14ac:dyDescent="0.25">
      <c r="A432" t="s">
        <v>8</v>
      </c>
      <c r="B432">
        <v>760</v>
      </c>
      <c r="C432">
        <v>999</v>
      </c>
      <c r="D432">
        <v>80</v>
      </c>
      <c r="E432">
        <v>85</v>
      </c>
      <c r="F432">
        <v>28</v>
      </c>
      <c r="G432" s="1">
        <v>41306</v>
      </c>
      <c r="H432" s="1">
        <v>41306</v>
      </c>
      <c r="I432" s="1">
        <v>41395</v>
      </c>
    </row>
    <row r="433" spans="1:9" x14ac:dyDescent="0.25">
      <c r="A433" t="s">
        <v>8</v>
      </c>
      <c r="B433">
        <v>760</v>
      </c>
      <c r="C433">
        <v>999</v>
      </c>
      <c r="D433">
        <v>0</v>
      </c>
      <c r="E433">
        <v>80</v>
      </c>
      <c r="F433">
        <v>0</v>
      </c>
      <c r="G433" s="1">
        <v>41306</v>
      </c>
      <c r="H433" s="1">
        <v>41306</v>
      </c>
      <c r="I433" s="1">
        <v>41395</v>
      </c>
    </row>
    <row r="434" spans="1:9" x14ac:dyDescent="0.25">
      <c r="A434" t="s">
        <v>8</v>
      </c>
      <c r="B434">
        <v>720</v>
      </c>
      <c r="C434">
        <v>760</v>
      </c>
      <c r="D434">
        <v>97</v>
      </c>
      <c r="E434">
        <v>999</v>
      </c>
      <c r="G434" s="1">
        <v>41306</v>
      </c>
      <c r="H434" s="1">
        <v>41306</v>
      </c>
      <c r="I434" s="1">
        <v>41395</v>
      </c>
    </row>
    <row r="435" spans="1:9" x14ac:dyDescent="0.25">
      <c r="A435" t="s">
        <v>8</v>
      </c>
      <c r="B435">
        <v>720</v>
      </c>
      <c r="C435">
        <v>760</v>
      </c>
      <c r="D435">
        <v>95</v>
      </c>
      <c r="E435">
        <v>97</v>
      </c>
      <c r="F435">
        <v>88</v>
      </c>
      <c r="G435" s="1">
        <v>41306</v>
      </c>
      <c r="H435" s="1">
        <v>41306</v>
      </c>
      <c r="I435" s="1">
        <v>41395</v>
      </c>
    </row>
    <row r="436" spans="1:9" x14ac:dyDescent="0.25">
      <c r="A436" t="s">
        <v>8</v>
      </c>
      <c r="B436">
        <v>720</v>
      </c>
      <c r="C436">
        <v>760</v>
      </c>
      <c r="D436">
        <v>90</v>
      </c>
      <c r="E436">
        <v>95</v>
      </c>
      <c r="F436">
        <v>67</v>
      </c>
      <c r="G436" s="1">
        <v>41306</v>
      </c>
      <c r="H436" s="1">
        <v>41306</v>
      </c>
      <c r="I436" s="1">
        <v>41395</v>
      </c>
    </row>
    <row r="437" spans="1:9" x14ac:dyDescent="0.25">
      <c r="A437" t="s">
        <v>8</v>
      </c>
      <c r="B437">
        <v>720</v>
      </c>
      <c r="C437">
        <v>760</v>
      </c>
      <c r="D437">
        <v>85</v>
      </c>
      <c r="E437">
        <v>90</v>
      </c>
      <c r="F437">
        <v>49</v>
      </c>
      <c r="G437" s="1">
        <v>41306</v>
      </c>
      <c r="H437" s="1">
        <v>41306</v>
      </c>
      <c r="I437" s="1">
        <v>41395</v>
      </c>
    </row>
    <row r="438" spans="1:9" x14ac:dyDescent="0.25">
      <c r="A438" t="s">
        <v>8</v>
      </c>
      <c r="B438">
        <v>720</v>
      </c>
      <c r="C438">
        <v>760</v>
      </c>
      <c r="D438">
        <v>80</v>
      </c>
      <c r="E438">
        <v>85</v>
      </c>
      <c r="F438">
        <v>32</v>
      </c>
      <c r="G438" s="1">
        <v>41306</v>
      </c>
      <c r="H438" s="1">
        <v>41306</v>
      </c>
      <c r="I438" s="1">
        <v>41395</v>
      </c>
    </row>
    <row r="439" spans="1:9" x14ac:dyDescent="0.25">
      <c r="A439" t="s">
        <v>8</v>
      </c>
      <c r="B439">
        <v>720</v>
      </c>
      <c r="C439">
        <v>760</v>
      </c>
      <c r="D439">
        <v>0</v>
      </c>
      <c r="E439">
        <v>80</v>
      </c>
      <c r="F439">
        <v>0</v>
      </c>
      <c r="G439" s="1">
        <v>41306</v>
      </c>
      <c r="H439" s="1">
        <v>41306</v>
      </c>
      <c r="I439" s="1">
        <v>41395</v>
      </c>
    </row>
    <row r="440" spans="1:9" x14ac:dyDescent="0.25">
      <c r="A440" t="s">
        <v>8</v>
      </c>
      <c r="B440">
        <v>680</v>
      </c>
      <c r="C440">
        <v>720</v>
      </c>
      <c r="D440">
        <v>97</v>
      </c>
      <c r="E440">
        <v>999</v>
      </c>
      <c r="G440" s="1">
        <v>41306</v>
      </c>
      <c r="H440" s="1">
        <v>41306</v>
      </c>
      <c r="I440" s="1">
        <v>41395</v>
      </c>
    </row>
    <row r="441" spans="1:9" x14ac:dyDescent="0.25">
      <c r="A441" t="s">
        <v>8</v>
      </c>
      <c r="B441">
        <v>680</v>
      </c>
      <c r="C441">
        <v>720</v>
      </c>
      <c r="D441">
        <v>95</v>
      </c>
      <c r="E441">
        <v>97</v>
      </c>
      <c r="F441">
        <v>110</v>
      </c>
      <c r="G441" s="1">
        <v>41306</v>
      </c>
      <c r="H441" s="1">
        <v>41306</v>
      </c>
      <c r="I441" s="1">
        <v>41395</v>
      </c>
    </row>
    <row r="442" spans="1:9" x14ac:dyDescent="0.25">
      <c r="A442" t="s">
        <v>8</v>
      </c>
      <c r="B442">
        <v>680</v>
      </c>
      <c r="C442">
        <v>720</v>
      </c>
      <c r="D442">
        <v>90</v>
      </c>
      <c r="E442">
        <v>95</v>
      </c>
      <c r="F442">
        <v>94</v>
      </c>
      <c r="G442" s="1">
        <v>41306</v>
      </c>
      <c r="H442" s="1">
        <v>41306</v>
      </c>
      <c r="I442" s="1">
        <v>41395</v>
      </c>
    </row>
    <row r="443" spans="1:9" x14ac:dyDescent="0.25">
      <c r="A443" t="s">
        <v>8</v>
      </c>
      <c r="B443">
        <v>680</v>
      </c>
      <c r="C443">
        <v>720</v>
      </c>
      <c r="D443">
        <v>85</v>
      </c>
      <c r="E443">
        <v>90</v>
      </c>
      <c r="F443">
        <v>62</v>
      </c>
      <c r="G443" s="1">
        <v>41306</v>
      </c>
      <c r="H443" s="1">
        <v>41306</v>
      </c>
      <c r="I443" s="1">
        <v>41395</v>
      </c>
    </row>
    <row r="444" spans="1:9" x14ac:dyDescent="0.25">
      <c r="A444" t="s">
        <v>8</v>
      </c>
      <c r="B444">
        <v>680</v>
      </c>
      <c r="C444">
        <v>720</v>
      </c>
      <c r="D444">
        <v>80</v>
      </c>
      <c r="E444">
        <v>85</v>
      </c>
      <c r="F444">
        <v>38</v>
      </c>
      <c r="G444" s="1">
        <v>41306</v>
      </c>
      <c r="H444" s="1">
        <v>41306</v>
      </c>
      <c r="I444" s="1">
        <v>41395</v>
      </c>
    </row>
    <row r="445" spans="1:9" x14ac:dyDescent="0.25">
      <c r="A445" t="s">
        <v>8</v>
      </c>
      <c r="B445">
        <v>680</v>
      </c>
      <c r="C445">
        <v>720</v>
      </c>
      <c r="D445">
        <v>0</v>
      </c>
      <c r="E445">
        <v>80</v>
      </c>
      <c r="F445">
        <v>0</v>
      </c>
      <c r="G445" s="1">
        <v>41306</v>
      </c>
      <c r="H445" s="1">
        <v>41306</v>
      </c>
      <c r="I445" s="1">
        <v>41395</v>
      </c>
    </row>
    <row r="446" spans="1:9" x14ac:dyDescent="0.25">
      <c r="A446" t="s">
        <v>8</v>
      </c>
      <c r="B446">
        <v>620</v>
      </c>
      <c r="C446">
        <v>680</v>
      </c>
      <c r="D446">
        <v>97</v>
      </c>
      <c r="E446">
        <v>999</v>
      </c>
      <c r="G446" s="1">
        <v>41306</v>
      </c>
      <c r="H446" s="1">
        <v>41306</v>
      </c>
      <c r="I446" s="1">
        <v>41395</v>
      </c>
    </row>
    <row r="447" spans="1:9" x14ac:dyDescent="0.25">
      <c r="A447" t="s">
        <v>8</v>
      </c>
      <c r="B447">
        <v>620</v>
      </c>
      <c r="C447">
        <v>680</v>
      </c>
      <c r="D447">
        <v>95</v>
      </c>
      <c r="E447">
        <v>97</v>
      </c>
      <c r="G447" s="1">
        <v>41306</v>
      </c>
      <c r="H447" s="1">
        <v>41306</v>
      </c>
      <c r="I447" s="1">
        <v>41395</v>
      </c>
    </row>
    <row r="448" spans="1:9" x14ac:dyDescent="0.25">
      <c r="A448" t="s">
        <v>8</v>
      </c>
      <c r="B448">
        <v>620</v>
      </c>
      <c r="C448">
        <v>680</v>
      </c>
      <c r="D448">
        <v>90</v>
      </c>
      <c r="E448">
        <v>95</v>
      </c>
      <c r="F448">
        <v>120</v>
      </c>
      <c r="G448" s="1">
        <v>41306</v>
      </c>
      <c r="H448" s="1">
        <v>41306</v>
      </c>
      <c r="I448" s="1">
        <v>41395</v>
      </c>
    </row>
    <row r="449" spans="1:28" x14ac:dyDescent="0.25">
      <c r="A449" t="s">
        <v>8</v>
      </c>
      <c r="B449">
        <v>620</v>
      </c>
      <c r="C449">
        <v>680</v>
      </c>
      <c r="D449">
        <v>85</v>
      </c>
      <c r="E449">
        <v>90</v>
      </c>
      <c r="F449">
        <v>76</v>
      </c>
      <c r="G449" s="1">
        <v>41306</v>
      </c>
      <c r="H449" s="1">
        <v>41306</v>
      </c>
      <c r="I449" s="1">
        <v>41395</v>
      </c>
    </row>
    <row r="450" spans="1:28" x14ac:dyDescent="0.25">
      <c r="A450" t="s">
        <v>8</v>
      </c>
      <c r="B450">
        <v>620</v>
      </c>
      <c r="C450">
        <v>680</v>
      </c>
      <c r="D450">
        <v>80</v>
      </c>
      <c r="E450">
        <v>85</v>
      </c>
      <c r="F450">
        <v>44</v>
      </c>
      <c r="G450" s="1">
        <v>41306</v>
      </c>
      <c r="H450" s="1">
        <v>41306</v>
      </c>
      <c r="I450" s="1">
        <v>41395</v>
      </c>
    </row>
    <row r="451" spans="1:28" x14ac:dyDescent="0.25">
      <c r="A451" t="s">
        <v>8</v>
      </c>
      <c r="B451">
        <v>620</v>
      </c>
      <c r="C451">
        <v>680</v>
      </c>
      <c r="D451">
        <v>0</v>
      </c>
      <c r="E451">
        <v>80</v>
      </c>
      <c r="F451">
        <v>0</v>
      </c>
      <c r="G451" s="1">
        <v>41306</v>
      </c>
      <c r="H451" s="1">
        <v>41306</v>
      </c>
      <c r="I451" s="1">
        <v>41395</v>
      </c>
    </row>
    <row r="452" spans="1:28" x14ac:dyDescent="0.25">
      <c r="A452" t="s">
        <v>8</v>
      </c>
      <c r="B452">
        <v>300</v>
      </c>
      <c r="C452">
        <v>620</v>
      </c>
      <c r="D452">
        <v>97</v>
      </c>
      <c r="E452">
        <v>999</v>
      </c>
      <c r="G452" s="1">
        <v>41306</v>
      </c>
      <c r="H452" s="1">
        <v>41306</v>
      </c>
      <c r="I452" s="1">
        <v>41395</v>
      </c>
    </row>
    <row r="453" spans="1:28" x14ac:dyDescent="0.25">
      <c r="A453" t="s">
        <v>8</v>
      </c>
      <c r="B453">
        <v>300</v>
      </c>
      <c r="C453">
        <v>620</v>
      </c>
      <c r="D453">
        <v>95</v>
      </c>
      <c r="E453">
        <v>97</v>
      </c>
      <c r="G453" s="1">
        <v>41306</v>
      </c>
      <c r="H453" s="1">
        <v>41306</v>
      </c>
      <c r="I453" s="1">
        <v>41395</v>
      </c>
    </row>
    <row r="454" spans="1:28" x14ac:dyDescent="0.25">
      <c r="A454" t="s">
        <v>8</v>
      </c>
      <c r="B454">
        <v>300</v>
      </c>
      <c r="C454">
        <v>620</v>
      </c>
      <c r="D454">
        <v>90</v>
      </c>
      <c r="E454">
        <v>95</v>
      </c>
      <c r="G454" s="1">
        <v>41306</v>
      </c>
      <c r="H454" s="1">
        <v>41306</v>
      </c>
      <c r="I454" s="1">
        <v>41395</v>
      </c>
    </row>
    <row r="455" spans="1:28" x14ac:dyDescent="0.25">
      <c r="A455" t="s">
        <v>8</v>
      </c>
      <c r="B455">
        <v>300</v>
      </c>
      <c r="C455">
        <v>620</v>
      </c>
      <c r="D455">
        <v>85</v>
      </c>
      <c r="E455">
        <v>90</v>
      </c>
      <c r="G455" s="1">
        <v>41306</v>
      </c>
      <c r="H455" s="1">
        <v>41306</v>
      </c>
      <c r="I455" s="1">
        <v>41395</v>
      </c>
    </row>
    <row r="456" spans="1:28" x14ac:dyDescent="0.25">
      <c r="A456" t="s">
        <v>8</v>
      </c>
      <c r="B456">
        <v>300</v>
      </c>
      <c r="C456">
        <v>620</v>
      </c>
      <c r="D456">
        <v>80</v>
      </c>
      <c r="E456">
        <v>85</v>
      </c>
      <c r="G456" s="1">
        <v>41306</v>
      </c>
      <c r="H456" s="1">
        <v>41306</v>
      </c>
      <c r="I456" s="1">
        <v>41395</v>
      </c>
    </row>
    <row r="457" spans="1:28" x14ac:dyDescent="0.25">
      <c r="A457" t="s">
        <v>8</v>
      </c>
      <c r="B457">
        <v>300</v>
      </c>
      <c r="C457">
        <v>620</v>
      </c>
      <c r="D457">
        <v>0</v>
      </c>
      <c r="E457">
        <v>80</v>
      </c>
      <c r="G457" s="1">
        <v>41306</v>
      </c>
      <c r="H457" s="1">
        <v>41306</v>
      </c>
      <c r="I457" s="1">
        <v>41395</v>
      </c>
    </row>
    <row r="458" spans="1:28" x14ac:dyDescent="0.25">
      <c r="A458" t="s">
        <v>7</v>
      </c>
      <c r="B458">
        <v>760</v>
      </c>
      <c r="C458">
        <v>999</v>
      </c>
      <c r="D458">
        <v>97</v>
      </c>
      <c r="E458">
        <v>999</v>
      </c>
      <c r="G458" s="1">
        <v>40969</v>
      </c>
      <c r="H458" s="1">
        <v>40969</v>
      </c>
      <c r="I458" s="1">
        <v>41306</v>
      </c>
      <c r="M458" t="s">
        <v>11</v>
      </c>
      <c r="N458" t="s">
        <v>12</v>
      </c>
      <c r="O458" t="s">
        <v>13</v>
      </c>
      <c r="P458" t="s">
        <v>14</v>
      </c>
      <c r="Q458" t="s">
        <v>15</v>
      </c>
      <c r="R458" t="s">
        <v>16</v>
      </c>
      <c r="S458" s="1">
        <v>40969</v>
      </c>
      <c r="V458" t="s">
        <v>11</v>
      </c>
      <c r="W458" t="s">
        <v>12</v>
      </c>
      <c r="X458" t="s">
        <v>13</v>
      </c>
      <c r="Y458" t="s">
        <v>14</v>
      </c>
      <c r="Z458" t="s">
        <v>15</v>
      </c>
      <c r="AA458" t="s">
        <v>16</v>
      </c>
      <c r="AB458" s="1">
        <v>41306</v>
      </c>
    </row>
    <row r="459" spans="1:28" x14ac:dyDescent="0.25">
      <c r="A459" t="s">
        <v>7</v>
      </c>
      <c r="B459">
        <v>760</v>
      </c>
      <c r="C459">
        <v>999</v>
      </c>
      <c r="D459">
        <v>95</v>
      </c>
      <c r="E459">
        <v>97</v>
      </c>
      <c r="F459">
        <v>86</v>
      </c>
      <c r="G459" s="1">
        <v>40969</v>
      </c>
      <c r="H459" s="1">
        <v>40969</v>
      </c>
      <c r="I459" s="1">
        <v>41306</v>
      </c>
      <c r="M459" s="2" t="s">
        <v>17</v>
      </c>
      <c r="N459">
        <v>79</v>
      </c>
      <c r="O459">
        <v>85</v>
      </c>
      <c r="P459">
        <v>106</v>
      </c>
      <c r="Q459" s="3" t="s">
        <v>18</v>
      </c>
      <c r="R459" s="3" t="s">
        <v>18</v>
      </c>
      <c r="V459" s="2" t="s">
        <v>17</v>
      </c>
      <c r="W459">
        <v>2</v>
      </c>
      <c r="X459">
        <v>3</v>
      </c>
      <c r="Y459">
        <v>4</v>
      </c>
      <c r="Z459" s="9">
        <v>5</v>
      </c>
      <c r="AA459" s="3"/>
    </row>
    <row r="460" spans="1:28" x14ac:dyDescent="0.25">
      <c r="A460" t="s">
        <v>7</v>
      </c>
      <c r="B460">
        <v>760</v>
      </c>
      <c r="C460">
        <v>999</v>
      </c>
      <c r="D460">
        <v>90</v>
      </c>
      <c r="E460">
        <v>95</v>
      </c>
      <c r="F460">
        <v>64</v>
      </c>
      <c r="G460" s="1">
        <v>40969</v>
      </c>
      <c r="H460" s="1">
        <v>40969</v>
      </c>
      <c r="I460" s="1">
        <v>41306</v>
      </c>
      <c r="M460" t="s">
        <v>19</v>
      </c>
      <c r="N460">
        <v>57</v>
      </c>
      <c r="O460">
        <v>64</v>
      </c>
      <c r="P460">
        <v>90</v>
      </c>
      <c r="Q460">
        <v>115</v>
      </c>
      <c r="R460" s="3" t="s">
        <v>18</v>
      </c>
      <c r="V460" t="s">
        <v>19</v>
      </c>
      <c r="W460">
        <v>2</v>
      </c>
      <c r="X460">
        <v>3</v>
      </c>
      <c r="Y460">
        <v>4</v>
      </c>
      <c r="Z460">
        <v>5</v>
      </c>
      <c r="AA460" s="3"/>
    </row>
    <row r="461" spans="1:28" x14ac:dyDescent="0.25">
      <c r="A461" t="s">
        <v>7</v>
      </c>
      <c r="B461">
        <v>760</v>
      </c>
      <c r="C461">
        <v>999</v>
      </c>
      <c r="D461">
        <v>85</v>
      </c>
      <c r="E461">
        <v>90</v>
      </c>
      <c r="F461">
        <v>49</v>
      </c>
      <c r="G461" s="1">
        <v>40969</v>
      </c>
      <c r="H461" s="1">
        <v>40969</v>
      </c>
      <c r="I461" s="1">
        <v>41306</v>
      </c>
      <c r="M461" t="s">
        <v>20</v>
      </c>
      <c r="N461">
        <v>42</v>
      </c>
      <c r="O461">
        <v>46</v>
      </c>
      <c r="P461">
        <v>58</v>
      </c>
      <c r="Q461">
        <v>71</v>
      </c>
      <c r="R461" s="3" t="s">
        <v>18</v>
      </c>
      <c r="V461" t="s">
        <v>20</v>
      </c>
      <c r="W461">
        <v>2</v>
      </c>
      <c r="X461">
        <v>3</v>
      </c>
      <c r="Y461">
        <v>4</v>
      </c>
      <c r="Z461">
        <v>5</v>
      </c>
      <c r="AA461" s="3"/>
    </row>
    <row r="462" spans="1:28" x14ac:dyDescent="0.25">
      <c r="A462" t="s">
        <v>7</v>
      </c>
      <c r="B462">
        <v>760</v>
      </c>
      <c r="C462">
        <v>999</v>
      </c>
      <c r="D462">
        <v>80</v>
      </c>
      <c r="E462">
        <v>85</v>
      </c>
      <c r="F462">
        <v>33</v>
      </c>
      <c r="G462" s="1">
        <v>40969</v>
      </c>
      <c r="H462" s="1">
        <v>40969</v>
      </c>
      <c r="I462" s="1">
        <v>41306</v>
      </c>
      <c r="M462" t="s">
        <v>21</v>
      </c>
      <c r="N462">
        <v>26</v>
      </c>
      <c r="O462">
        <v>29</v>
      </c>
      <c r="P462">
        <v>34</v>
      </c>
      <c r="Q462">
        <v>39</v>
      </c>
      <c r="R462" s="3" t="s">
        <v>18</v>
      </c>
      <c r="V462" t="s">
        <v>21</v>
      </c>
      <c r="W462">
        <v>2</v>
      </c>
      <c r="X462">
        <v>3</v>
      </c>
      <c r="Y462">
        <v>4</v>
      </c>
      <c r="Z462">
        <v>5</v>
      </c>
      <c r="AA462" s="3"/>
    </row>
    <row r="463" spans="1:28" x14ac:dyDescent="0.25">
      <c r="A463" t="s">
        <v>7</v>
      </c>
      <c r="B463">
        <v>760</v>
      </c>
      <c r="C463">
        <v>999</v>
      </c>
      <c r="D463">
        <v>0</v>
      </c>
      <c r="E463">
        <v>80</v>
      </c>
      <c r="F463">
        <v>0</v>
      </c>
      <c r="G463" s="1">
        <v>40969</v>
      </c>
      <c r="H463" s="1">
        <v>40969</v>
      </c>
      <c r="I463" s="1">
        <v>41306</v>
      </c>
      <c r="M463" t="s">
        <v>22</v>
      </c>
      <c r="N463">
        <v>0</v>
      </c>
      <c r="O463">
        <v>0</v>
      </c>
      <c r="P463">
        <v>0</v>
      </c>
      <c r="Q463">
        <v>0</v>
      </c>
      <c r="R463" s="3" t="s">
        <v>18</v>
      </c>
      <c r="V463" t="s">
        <v>22</v>
      </c>
      <c r="AA463" s="3"/>
    </row>
    <row r="464" spans="1:28" x14ac:dyDescent="0.25">
      <c r="A464" t="s">
        <v>7</v>
      </c>
      <c r="B464">
        <v>720</v>
      </c>
      <c r="C464">
        <v>760</v>
      </c>
      <c r="D464">
        <v>97</v>
      </c>
      <c r="E464">
        <v>999</v>
      </c>
      <c r="G464" s="1">
        <v>40969</v>
      </c>
      <c r="H464" s="1">
        <v>40969</v>
      </c>
      <c r="I464" s="1">
        <v>41306</v>
      </c>
    </row>
    <row r="465" spans="1:19" x14ac:dyDescent="0.25">
      <c r="A465" t="s">
        <v>7</v>
      </c>
      <c r="B465">
        <v>720</v>
      </c>
      <c r="C465">
        <v>760</v>
      </c>
      <c r="D465">
        <v>95</v>
      </c>
      <c r="E465">
        <v>97</v>
      </c>
      <c r="F465">
        <v>98</v>
      </c>
      <c r="G465" s="1">
        <v>40969</v>
      </c>
      <c r="H465" s="1">
        <v>40969</v>
      </c>
      <c r="I465" s="1">
        <v>41306</v>
      </c>
      <c r="M465" t="s">
        <v>23</v>
      </c>
      <c r="N465" t="s">
        <v>12</v>
      </c>
      <c r="O465" t="s">
        <v>13</v>
      </c>
      <c r="P465" t="s">
        <v>14</v>
      </c>
      <c r="Q465" t="s">
        <v>15</v>
      </c>
      <c r="R465" t="s">
        <v>16</v>
      </c>
      <c r="S465" s="1">
        <v>40969</v>
      </c>
    </row>
    <row r="466" spans="1:19" x14ac:dyDescent="0.25">
      <c r="A466" t="s">
        <v>7</v>
      </c>
      <c r="B466">
        <v>720</v>
      </c>
      <c r="C466">
        <v>760</v>
      </c>
      <c r="D466">
        <v>90</v>
      </c>
      <c r="E466">
        <v>95</v>
      </c>
      <c r="F466">
        <v>77</v>
      </c>
      <c r="G466" s="1">
        <v>40969</v>
      </c>
      <c r="H466" s="1">
        <v>40969</v>
      </c>
      <c r="I466" s="1">
        <v>41306</v>
      </c>
      <c r="M466" s="2" t="s">
        <v>17</v>
      </c>
      <c r="N466">
        <f>N459+5</f>
        <v>84</v>
      </c>
      <c r="O466">
        <f>O459+10</f>
        <v>95</v>
      </c>
      <c r="P466">
        <f>P459+15</f>
        <v>121</v>
      </c>
      <c r="Q466" s="3" t="s">
        <v>18</v>
      </c>
      <c r="R466" s="3" t="s">
        <v>18</v>
      </c>
    </row>
    <row r="467" spans="1:19" x14ac:dyDescent="0.25">
      <c r="A467" t="s">
        <v>7</v>
      </c>
      <c r="B467">
        <v>720</v>
      </c>
      <c r="C467">
        <v>760</v>
      </c>
      <c r="D467">
        <v>85</v>
      </c>
      <c r="E467">
        <v>90</v>
      </c>
      <c r="F467">
        <v>59</v>
      </c>
      <c r="G467" s="1">
        <v>40969</v>
      </c>
      <c r="H467" s="1">
        <v>40969</v>
      </c>
      <c r="I467" s="1">
        <v>41306</v>
      </c>
      <c r="M467" t="s">
        <v>19</v>
      </c>
      <c r="N467">
        <f t="shared" ref="N467:N469" si="20">N460+5</f>
        <v>62</v>
      </c>
      <c r="O467">
        <f t="shared" ref="O467:O469" si="21">O460+10</f>
        <v>74</v>
      </c>
      <c r="P467">
        <f t="shared" ref="P467:P469" si="22">P460+15</f>
        <v>105</v>
      </c>
      <c r="Q467">
        <f>Q460+30</f>
        <v>145</v>
      </c>
      <c r="R467" s="3" t="s">
        <v>18</v>
      </c>
    </row>
    <row r="468" spans="1:19" x14ac:dyDescent="0.25">
      <c r="A468" t="s">
        <v>7</v>
      </c>
      <c r="B468">
        <v>720</v>
      </c>
      <c r="C468">
        <v>760</v>
      </c>
      <c r="D468">
        <v>80</v>
      </c>
      <c r="E468">
        <v>85</v>
      </c>
      <c r="F468">
        <v>42</v>
      </c>
      <c r="G468" s="1">
        <v>40969</v>
      </c>
      <c r="H468" s="1">
        <v>40969</v>
      </c>
      <c r="I468" s="1">
        <v>41306</v>
      </c>
      <c r="M468" t="s">
        <v>20</v>
      </c>
      <c r="N468">
        <f t="shared" si="20"/>
        <v>47</v>
      </c>
      <c r="O468">
        <f t="shared" si="21"/>
        <v>56</v>
      </c>
      <c r="P468">
        <f t="shared" si="22"/>
        <v>73</v>
      </c>
      <c r="Q468">
        <f t="shared" ref="Q468:Q469" si="23">Q461+30</f>
        <v>101</v>
      </c>
      <c r="R468" s="3" t="s">
        <v>18</v>
      </c>
    </row>
    <row r="469" spans="1:19" x14ac:dyDescent="0.25">
      <c r="A469" t="s">
        <v>7</v>
      </c>
      <c r="B469">
        <v>720</v>
      </c>
      <c r="C469">
        <v>760</v>
      </c>
      <c r="D469">
        <v>0</v>
      </c>
      <c r="E469">
        <v>80</v>
      </c>
      <c r="F469">
        <v>0</v>
      </c>
      <c r="G469" s="1">
        <v>40969</v>
      </c>
      <c r="H469" s="1">
        <v>40969</v>
      </c>
      <c r="I469" s="1">
        <v>41306</v>
      </c>
      <c r="M469" t="s">
        <v>21</v>
      </c>
      <c r="N469">
        <f t="shared" si="20"/>
        <v>31</v>
      </c>
      <c r="O469">
        <f t="shared" si="21"/>
        <v>39</v>
      </c>
      <c r="P469">
        <f t="shared" si="22"/>
        <v>49</v>
      </c>
      <c r="Q469">
        <f t="shared" si="23"/>
        <v>69</v>
      </c>
      <c r="R469" s="3" t="s">
        <v>18</v>
      </c>
    </row>
    <row r="470" spans="1:19" x14ac:dyDescent="0.25">
      <c r="A470" t="s">
        <v>7</v>
      </c>
      <c r="B470">
        <v>680</v>
      </c>
      <c r="C470">
        <v>720</v>
      </c>
      <c r="D470">
        <v>97</v>
      </c>
      <c r="E470">
        <v>999</v>
      </c>
      <c r="G470" s="1">
        <v>40969</v>
      </c>
      <c r="H470" s="1">
        <v>40969</v>
      </c>
      <c r="I470" s="1">
        <v>41306</v>
      </c>
      <c r="M470" t="s">
        <v>22</v>
      </c>
      <c r="N470">
        <v>0</v>
      </c>
      <c r="O470">
        <v>0</v>
      </c>
      <c r="P470">
        <v>0</v>
      </c>
      <c r="Q470">
        <v>0</v>
      </c>
      <c r="R470" s="3" t="s">
        <v>18</v>
      </c>
    </row>
    <row r="471" spans="1:19" x14ac:dyDescent="0.25">
      <c r="A471" t="s">
        <v>7</v>
      </c>
      <c r="B471">
        <v>680</v>
      </c>
      <c r="C471">
        <v>720</v>
      </c>
      <c r="D471">
        <v>95</v>
      </c>
      <c r="E471">
        <v>97</v>
      </c>
      <c r="F471">
        <v>125</v>
      </c>
      <c r="G471" s="1">
        <v>40969</v>
      </c>
      <c r="H471" s="1">
        <v>40969</v>
      </c>
      <c r="I471" s="1">
        <v>41306</v>
      </c>
    </row>
    <row r="472" spans="1:19" x14ac:dyDescent="0.25">
      <c r="A472" t="s">
        <v>7</v>
      </c>
      <c r="B472">
        <v>680</v>
      </c>
      <c r="C472">
        <v>720</v>
      </c>
      <c r="D472">
        <v>90</v>
      </c>
      <c r="E472">
        <v>95</v>
      </c>
      <c r="F472">
        <v>109</v>
      </c>
      <c r="G472" s="1">
        <v>40969</v>
      </c>
      <c r="H472" s="1">
        <v>40969</v>
      </c>
      <c r="I472" s="1">
        <v>41306</v>
      </c>
      <c r="M472" t="s">
        <v>24</v>
      </c>
      <c r="N472" t="s">
        <v>55</v>
      </c>
    </row>
    <row r="473" spans="1:19" x14ac:dyDescent="0.25">
      <c r="A473" t="s">
        <v>7</v>
      </c>
      <c r="B473">
        <v>680</v>
      </c>
      <c r="C473">
        <v>720</v>
      </c>
      <c r="D473">
        <v>85</v>
      </c>
      <c r="E473">
        <v>90</v>
      </c>
      <c r="F473">
        <v>77</v>
      </c>
      <c r="G473" s="1">
        <v>40969</v>
      </c>
      <c r="H473" s="1">
        <v>40969</v>
      </c>
      <c r="I473" s="1">
        <v>41306</v>
      </c>
      <c r="M473" t="s">
        <v>25</v>
      </c>
      <c r="N473" t="s">
        <v>26</v>
      </c>
    </row>
    <row r="474" spans="1:19" x14ac:dyDescent="0.25">
      <c r="A474" t="s">
        <v>7</v>
      </c>
      <c r="B474">
        <v>680</v>
      </c>
      <c r="C474">
        <v>720</v>
      </c>
      <c r="D474">
        <v>80</v>
      </c>
      <c r="E474">
        <v>85</v>
      </c>
      <c r="F474">
        <v>53</v>
      </c>
      <c r="G474" s="1">
        <v>40969</v>
      </c>
      <c r="H474" s="1">
        <v>40969</v>
      </c>
      <c r="I474" s="1">
        <v>41306</v>
      </c>
    </row>
    <row r="475" spans="1:19" x14ac:dyDescent="0.25">
      <c r="A475" t="s">
        <v>7</v>
      </c>
      <c r="B475">
        <v>680</v>
      </c>
      <c r="C475">
        <v>720</v>
      </c>
      <c r="D475">
        <v>0</v>
      </c>
      <c r="E475">
        <v>80</v>
      </c>
      <c r="F475">
        <v>0</v>
      </c>
      <c r="G475" s="1">
        <v>40969</v>
      </c>
      <c r="H475" s="1">
        <v>40969</v>
      </c>
      <c r="I475" s="1">
        <v>41306</v>
      </c>
    </row>
    <row r="476" spans="1:19" x14ac:dyDescent="0.25">
      <c r="A476" t="s">
        <v>7</v>
      </c>
      <c r="B476">
        <v>620</v>
      </c>
      <c r="C476">
        <v>680</v>
      </c>
      <c r="D476">
        <v>97</v>
      </c>
      <c r="E476">
        <v>999</v>
      </c>
      <c r="G476" s="1">
        <v>40969</v>
      </c>
      <c r="H476" s="1">
        <v>40969</v>
      </c>
      <c r="I476" s="1">
        <v>41306</v>
      </c>
    </row>
    <row r="477" spans="1:19" x14ac:dyDescent="0.25">
      <c r="A477" t="s">
        <v>7</v>
      </c>
      <c r="B477">
        <v>620</v>
      </c>
      <c r="C477">
        <v>680</v>
      </c>
      <c r="D477">
        <v>95</v>
      </c>
      <c r="E477">
        <v>97</v>
      </c>
      <c r="G477" s="1">
        <v>40969</v>
      </c>
      <c r="H477" s="1">
        <v>40969</v>
      </c>
      <c r="I477" s="1">
        <v>41306</v>
      </c>
      <c r="M477" t="s">
        <v>53</v>
      </c>
    </row>
    <row r="478" spans="1:19" x14ac:dyDescent="0.25">
      <c r="A478" t="s">
        <v>7</v>
      </c>
      <c r="B478">
        <v>620</v>
      </c>
      <c r="C478">
        <v>680</v>
      </c>
      <c r="D478">
        <v>90</v>
      </c>
      <c r="E478">
        <v>95</v>
      </c>
      <c r="F478">
        <v>150</v>
      </c>
      <c r="G478" s="1">
        <v>40969</v>
      </c>
      <c r="H478" s="1">
        <v>40969</v>
      </c>
      <c r="I478" s="1">
        <v>41306</v>
      </c>
      <c r="M478" t="s">
        <v>11</v>
      </c>
      <c r="N478" t="s">
        <v>12</v>
      </c>
      <c r="O478" t="s">
        <v>13</v>
      </c>
      <c r="P478" t="s">
        <v>14</v>
      </c>
      <c r="Q478" t="s">
        <v>15</v>
      </c>
      <c r="R478" t="s">
        <v>16</v>
      </c>
      <c r="S478" s="1">
        <v>40969</v>
      </c>
    </row>
    <row r="479" spans="1:19" x14ac:dyDescent="0.25">
      <c r="A479" t="s">
        <v>7</v>
      </c>
      <c r="B479">
        <v>620</v>
      </c>
      <c r="C479">
        <v>680</v>
      </c>
      <c r="D479">
        <v>85</v>
      </c>
      <c r="E479">
        <v>90</v>
      </c>
      <c r="F479">
        <v>106</v>
      </c>
      <c r="G479" s="1">
        <v>40969</v>
      </c>
      <c r="H479" s="1">
        <v>40969</v>
      </c>
      <c r="I479" s="1">
        <v>41306</v>
      </c>
      <c r="M479" s="2" t="s">
        <v>17</v>
      </c>
      <c r="N479">
        <f>N459+W459</f>
        <v>81</v>
      </c>
      <c r="O479">
        <f t="shared" ref="O479:Q483" si="24">O459+X459</f>
        <v>88</v>
      </c>
      <c r="P479">
        <f t="shared" si="24"/>
        <v>110</v>
      </c>
      <c r="Q479" s="3" t="s">
        <v>18</v>
      </c>
      <c r="R479" s="3" t="s">
        <v>18</v>
      </c>
    </row>
    <row r="480" spans="1:19" x14ac:dyDescent="0.25">
      <c r="A480" t="s">
        <v>7</v>
      </c>
      <c r="B480">
        <v>620</v>
      </c>
      <c r="C480">
        <v>680</v>
      </c>
      <c r="D480">
        <v>80</v>
      </c>
      <c r="E480">
        <v>85</v>
      </c>
      <c r="F480">
        <v>74</v>
      </c>
      <c r="G480" s="1">
        <v>40969</v>
      </c>
      <c r="H480" s="1">
        <v>40969</v>
      </c>
      <c r="I480" s="1">
        <v>41306</v>
      </c>
      <c r="M480" t="s">
        <v>19</v>
      </c>
      <c r="N480">
        <f t="shared" ref="N480:N483" si="25">N460+W460</f>
        <v>59</v>
      </c>
      <c r="O480">
        <f t="shared" si="24"/>
        <v>67</v>
      </c>
      <c r="P480">
        <f t="shared" si="24"/>
        <v>94</v>
      </c>
      <c r="Q480">
        <f t="shared" si="24"/>
        <v>120</v>
      </c>
      <c r="R480" s="3" t="s">
        <v>18</v>
      </c>
    </row>
    <row r="481" spans="1:19" x14ac:dyDescent="0.25">
      <c r="A481" t="s">
        <v>7</v>
      </c>
      <c r="B481">
        <v>620</v>
      </c>
      <c r="C481">
        <v>680</v>
      </c>
      <c r="D481">
        <v>0</v>
      </c>
      <c r="E481">
        <v>80</v>
      </c>
      <c r="F481">
        <v>0</v>
      </c>
      <c r="G481" s="1">
        <v>40969</v>
      </c>
      <c r="H481" s="1">
        <v>40969</v>
      </c>
      <c r="I481" s="1">
        <v>41306</v>
      </c>
      <c r="M481" t="s">
        <v>20</v>
      </c>
      <c r="N481">
        <f t="shared" si="25"/>
        <v>44</v>
      </c>
      <c r="O481">
        <f t="shared" si="24"/>
        <v>49</v>
      </c>
      <c r="P481">
        <f t="shared" si="24"/>
        <v>62</v>
      </c>
      <c r="Q481">
        <f t="shared" si="24"/>
        <v>76</v>
      </c>
      <c r="R481" s="3" t="s">
        <v>18</v>
      </c>
    </row>
    <row r="482" spans="1:19" x14ac:dyDescent="0.25">
      <c r="A482" t="s">
        <v>7</v>
      </c>
      <c r="B482">
        <v>300</v>
      </c>
      <c r="C482">
        <v>620</v>
      </c>
      <c r="D482">
        <v>97</v>
      </c>
      <c r="E482">
        <v>999</v>
      </c>
      <c r="G482" s="1">
        <v>40969</v>
      </c>
      <c r="H482" s="1">
        <v>40969</v>
      </c>
      <c r="I482" s="1">
        <v>41306</v>
      </c>
      <c r="M482" t="s">
        <v>21</v>
      </c>
      <c r="N482">
        <f t="shared" si="25"/>
        <v>28</v>
      </c>
      <c r="O482">
        <f t="shared" si="24"/>
        <v>32</v>
      </c>
      <c r="P482">
        <f t="shared" si="24"/>
        <v>38</v>
      </c>
      <c r="Q482">
        <f t="shared" si="24"/>
        <v>44</v>
      </c>
      <c r="R482" s="3" t="s">
        <v>18</v>
      </c>
    </row>
    <row r="483" spans="1:19" x14ac:dyDescent="0.25">
      <c r="A483" t="s">
        <v>7</v>
      </c>
      <c r="B483">
        <v>300</v>
      </c>
      <c r="C483">
        <v>620</v>
      </c>
      <c r="D483">
        <v>95</v>
      </c>
      <c r="E483">
        <v>97</v>
      </c>
      <c r="G483" s="1">
        <v>40969</v>
      </c>
      <c r="H483" s="1">
        <v>40969</v>
      </c>
      <c r="I483" s="1">
        <v>41306</v>
      </c>
      <c r="M483" t="s">
        <v>22</v>
      </c>
      <c r="N483">
        <f t="shared" si="25"/>
        <v>0</v>
      </c>
      <c r="O483">
        <f t="shared" si="24"/>
        <v>0</v>
      </c>
      <c r="P483">
        <f t="shared" si="24"/>
        <v>0</v>
      </c>
      <c r="Q483">
        <f t="shared" si="24"/>
        <v>0</v>
      </c>
      <c r="R483" s="3" t="s">
        <v>18</v>
      </c>
    </row>
    <row r="484" spans="1:19" x14ac:dyDescent="0.25">
      <c r="A484" t="s">
        <v>7</v>
      </c>
      <c r="B484">
        <v>300</v>
      </c>
      <c r="C484">
        <v>620</v>
      </c>
      <c r="D484">
        <v>90</v>
      </c>
      <c r="E484">
        <v>95</v>
      </c>
      <c r="G484" s="1">
        <v>40969</v>
      </c>
      <c r="H484" s="1">
        <v>40969</v>
      </c>
      <c r="I484" s="1">
        <v>41306</v>
      </c>
    </row>
    <row r="485" spans="1:19" x14ac:dyDescent="0.25">
      <c r="A485" t="s">
        <v>7</v>
      </c>
      <c r="B485">
        <v>300</v>
      </c>
      <c r="C485">
        <v>620</v>
      </c>
      <c r="D485">
        <v>85</v>
      </c>
      <c r="E485">
        <v>90</v>
      </c>
      <c r="G485" s="1">
        <v>40969</v>
      </c>
      <c r="H485" s="1">
        <v>40969</v>
      </c>
      <c r="I485" s="1">
        <v>41306</v>
      </c>
      <c r="M485" t="s">
        <v>23</v>
      </c>
      <c r="N485" t="s">
        <v>12</v>
      </c>
      <c r="O485" t="s">
        <v>13</v>
      </c>
      <c r="P485" t="s">
        <v>14</v>
      </c>
      <c r="Q485" t="s">
        <v>15</v>
      </c>
      <c r="R485" t="s">
        <v>16</v>
      </c>
      <c r="S485" s="1">
        <v>40969</v>
      </c>
    </row>
    <row r="486" spans="1:19" x14ac:dyDescent="0.25">
      <c r="A486" t="s">
        <v>7</v>
      </c>
      <c r="B486">
        <v>300</v>
      </c>
      <c r="C486">
        <v>620</v>
      </c>
      <c r="D486">
        <v>80</v>
      </c>
      <c r="E486">
        <v>85</v>
      </c>
      <c r="G486" s="1">
        <v>40969</v>
      </c>
      <c r="H486" s="1">
        <v>40969</v>
      </c>
      <c r="I486" s="1">
        <v>41306</v>
      </c>
      <c r="M486" s="2" t="s">
        <v>17</v>
      </c>
      <c r="N486">
        <f>N479+5</f>
        <v>86</v>
      </c>
      <c r="O486">
        <f>O479+10</f>
        <v>98</v>
      </c>
      <c r="P486">
        <f>P479+15</f>
        <v>125</v>
      </c>
      <c r="Q486" s="3" t="s">
        <v>18</v>
      </c>
      <c r="R486" s="3" t="s">
        <v>18</v>
      </c>
    </row>
    <row r="487" spans="1:19" x14ac:dyDescent="0.25">
      <c r="A487" t="s">
        <v>7</v>
      </c>
      <c r="B487">
        <v>300</v>
      </c>
      <c r="C487">
        <v>620</v>
      </c>
      <c r="D487">
        <v>0</v>
      </c>
      <c r="E487">
        <v>80</v>
      </c>
      <c r="G487" s="1">
        <v>40969</v>
      </c>
      <c r="H487" s="1">
        <v>40969</v>
      </c>
      <c r="I487" s="1">
        <v>41306</v>
      </c>
      <c r="M487" t="s">
        <v>19</v>
      </c>
      <c r="N487">
        <f t="shared" ref="N487:N489" si="26">N480+5</f>
        <v>64</v>
      </c>
      <c r="O487">
        <f t="shared" ref="O487:O489" si="27">O480+10</f>
        <v>77</v>
      </c>
      <c r="P487">
        <f t="shared" ref="P487:P489" si="28">P480+15</f>
        <v>109</v>
      </c>
      <c r="Q487">
        <f>Q480+30</f>
        <v>150</v>
      </c>
      <c r="R487" s="3" t="s">
        <v>18</v>
      </c>
    </row>
    <row r="488" spans="1:19" x14ac:dyDescent="0.25">
      <c r="A488" t="s">
        <v>8</v>
      </c>
      <c r="B488">
        <v>760</v>
      </c>
      <c r="C488">
        <v>999</v>
      </c>
      <c r="D488">
        <v>97</v>
      </c>
      <c r="E488">
        <v>999</v>
      </c>
      <c r="G488" s="1">
        <v>40969</v>
      </c>
      <c r="H488" s="1">
        <v>40969</v>
      </c>
      <c r="I488" s="1">
        <v>41306</v>
      </c>
      <c r="M488" t="s">
        <v>20</v>
      </c>
      <c r="N488">
        <f t="shared" si="26"/>
        <v>49</v>
      </c>
      <c r="O488">
        <f t="shared" si="27"/>
        <v>59</v>
      </c>
      <c r="P488">
        <f t="shared" si="28"/>
        <v>77</v>
      </c>
      <c r="Q488">
        <f t="shared" ref="Q488:Q489" si="29">Q481+30</f>
        <v>106</v>
      </c>
      <c r="R488" s="3" t="s">
        <v>18</v>
      </c>
    </row>
    <row r="489" spans="1:19" x14ac:dyDescent="0.25">
      <c r="A489" t="s">
        <v>8</v>
      </c>
      <c r="B489">
        <v>760</v>
      </c>
      <c r="C489">
        <v>999</v>
      </c>
      <c r="D489">
        <v>95</v>
      </c>
      <c r="E489">
        <v>97</v>
      </c>
      <c r="F489">
        <v>81</v>
      </c>
      <c r="G489" s="1">
        <v>40969</v>
      </c>
      <c r="H489" s="1">
        <v>40969</v>
      </c>
      <c r="I489" s="1">
        <v>41306</v>
      </c>
      <c r="M489" t="s">
        <v>21</v>
      </c>
      <c r="N489">
        <f t="shared" si="26"/>
        <v>33</v>
      </c>
      <c r="O489">
        <f t="shared" si="27"/>
        <v>42</v>
      </c>
      <c r="P489">
        <f t="shared" si="28"/>
        <v>53</v>
      </c>
      <c r="Q489">
        <f t="shared" si="29"/>
        <v>74</v>
      </c>
      <c r="R489" s="3" t="s">
        <v>18</v>
      </c>
    </row>
    <row r="490" spans="1:19" x14ac:dyDescent="0.25">
      <c r="A490" t="s">
        <v>8</v>
      </c>
      <c r="B490">
        <v>760</v>
      </c>
      <c r="C490">
        <v>999</v>
      </c>
      <c r="D490">
        <v>90</v>
      </c>
      <c r="E490">
        <v>95</v>
      </c>
      <c r="F490">
        <v>59</v>
      </c>
      <c r="G490" s="1">
        <v>40969</v>
      </c>
      <c r="H490" s="1">
        <v>40969</v>
      </c>
      <c r="I490" s="1">
        <v>41306</v>
      </c>
      <c r="M490" t="s">
        <v>22</v>
      </c>
      <c r="N490">
        <v>0</v>
      </c>
      <c r="O490">
        <v>0</v>
      </c>
      <c r="P490">
        <v>0</v>
      </c>
      <c r="Q490">
        <v>0</v>
      </c>
      <c r="R490" s="3" t="s">
        <v>18</v>
      </c>
    </row>
    <row r="491" spans="1:19" x14ac:dyDescent="0.25">
      <c r="A491" t="s">
        <v>8</v>
      </c>
      <c r="B491">
        <v>760</v>
      </c>
      <c r="C491">
        <v>999</v>
      </c>
      <c r="D491">
        <v>85</v>
      </c>
      <c r="E491">
        <v>90</v>
      </c>
      <c r="F491">
        <v>44</v>
      </c>
      <c r="G491" s="1">
        <v>40969</v>
      </c>
      <c r="H491" s="1">
        <v>40969</v>
      </c>
      <c r="I491" s="1">
        <v>41306</v>
      </c>
    </row>
    <row r="492" spans="1:19" x14ac:dyDescent="0.25">
      <c r="A492" t="s">
        <v>8</v>
      </c>
      <c r="B492">
        <v>760</v>
      </c>
      <c r="C492">
        <v>999</v>
      </c>
      <c r="D492">
        <v>80</v>
      </c>
      <c r="E492">
        <v>85</v>
      </c>
      <c r="F492">
        <v>28</v>
      </c>
      <c r="G492" s="1">
        <v>40969</v>
      </c>
      <c r="H492" s="1">
        <v>40969</v>
      </c>
      <c r="I492" s="1">
        <v>41306</v>
      </c>
    </row>
    <row r="493" spans="1:19" x14ac:dyDescent="0.25">
      <c r="A493" t="s">
        <v>8</v>
      </c>
      <c r="B493">
        <v>760</v>
      </c>
      <c r="C493">
        <v>999</v>
      </c>
      <c r="D493">
        <v>0</v>
      </c>
      <c r="E493">
        <v>80</v>
      </c>
      <c r="F493">
        <v>0</v>
      </c>
      <c r="G493" s="1">
        <v>40969</v>
      </c>
      <c r="H493" s="1">
        <v>40969</v>
      </c>
      <c r="I493" s="1">
        <v>41306</v>
      </c>
    </row>
    <row r="494" spans="1:19" x14ac:dyDescent="0.25">
      <c r="A494" t="s">
        <v>8</v>
      </c>
      <c r="B494">
        <v>720</v>
      </c>
      <c r="C494">
        <v>760</v>
      </c>
      <c r="D494">
        <v>97</v>
      </c>
      <c r="E494">
        <v>999</v>
      </c>
      <c r="G494" s="1">
        <v>40969</v>
      </c>
      <c r="H494" s="1">
        <v>40969</v>
      </c>
      <c r="I494" s="1">
        <v>41306</v>
      </c>
    </row>
    <row r="495" spans="1:19" x14ac:dyDescent="0.25">
      <c r="A495" t="s">
        <v>8</v>
      </c>
      <c r="B495">
        <v>720</v>
      </c>
      <c r="C495">
        <v>760</v>
      </c>
      <c r="D495">
        <v>95</v>
      </c>
      <c r="E495">
        <v>97</v>
      </c>
      <c r="F495">
        <v>88</v>
      </c>
      <c r="G495" s="1">
        <v>40969</v>
      </c>
      <c r="H495" s="1">
        <v>40969</v>
      </c>
      <c r="I495" s="1">
        <v>41306</v>
      </c>
    </row>
    <row r="496" spans="1:19" x14ac:dyDescent="0.25">
      <c r="A496" t="s">
        <v>8</v>
      </c>
      <c r="B496">
        <v>720</v>
      </c>
      <c r="C496">
        <v>760</v>
      </c>
      <c r="D496">
        <v>90</v>
      </c>
      <c r="E496">
        <v>95</v>
      </c>
      <c r="F496">
        <v>67</v>
      </c>
      <c r="G496" s="1">
        <v>40969</v>
      </c>
      <c r="H496" s="1">
        <v>40969</v>
      </c>
      <c r="I496" s="1">
        <v>41306</v>
      </c>
    </row>
    <row r="497" spans="1:9" x14ac:dyDescent="0.25">
      <c r="A497" t="s">
        <v>8</v>
      </c>
      <c r="B497">
        <v>720</v>
      </c>
      <c r="C497">
        <v>760</v>
      </c>
      <c r="D497">
        <v>85</v>
      </c>
      <c r="E497">
        <v>90</v>
      </c>
      <c r="F497">
        <v>49</v>
      </c>
      <c r="G497" s="1">
        <v>40969</v>
      </c>
      <c r="H497" s="1">
        <v>40969</v>
      </c>
      <c r="I497" s="1">
        <v>41306</v>
      </c>
    </row>
    <row r="498" spans="1:9" x14ac:dyDescent="0.25">
      <c r="A498" t="s">
        <v>8</v>
      </c>
      <c r="B498">
        <v>720</v>
      </c>
      <c r="C498">
        <v>760</v>
      </c>
      <c r="D498">
        <v>80</v>
      </c>
      <c r="E498">
        <v>85</v>
      </c>
      <c r="F498">
        <v>32</v>
      </c>
      <c r="G498" s="1">
        <v>40969</v>
      </c>
      <c r="H498" s="1">
        <v>40969</v>
      </c>
      <c r="I498" s="1">
        <v>41306</v>
      </c>
    </row>
    <row r="499" spans="1:9" x14ac:dyDescent="0.25">
      <c r="A499" t="s">
        <v>8</v>
      </c>
      <c r="B499">
        <v>720</v>
      </c>
      <c r="C499">
        <v>760</v>
      </c>
      <c r="D499">
        <v>0</v>
      </c>
      <c r="E499">
        <v>80</v>
      </c>
      <c r="F499">
        <v>0</v>
      </c>
      <c r="G499" s="1">
        <v>40969</v>
      </c>
      <c r="H499" s="1">
        <v>40969</v>
      </c>
      <c r="I499" s="1">
        <v>41306</v>
      </c>
    </row>
    <row r="500" spans="1:9" x14ac:dyDescent="0.25">
      <c r="A500" t="s">
        <v>8</v>
      </c>
      <c r="B500">
        <v>680</v>
      </c>
      <c r="C500">
        <v>720</v>
      </c>
      <c r="D500">
        <v>97</v>
      </c>
      <c r="E500">
        <v>999</v>
      </c>
      <c r="G500" s="1">
        <v>40969</v>
      </c>
      <c r="H500" s="1">
        <v>40969</v>
      </c>
      <c r="I500" s="1">
        <v>41306</v>
      </c>
    </row>
    <row r="501" spans="1:9" x14ac:dyDescent="0.25">
      <c r="A501" t="s">
        <v>8</v>
      </c>
      <c r="B501">
        <v>680</v>
      </c>
      <c r="C501">
        <v>720</v>
      </c>
      <c r="D501">
        <v>95</v>
      </c>
      <c r="E501">
        <v>97</v>
      </c>
      <c r="F501">
        <v>110</v>
      </c>
      <c r="G501" s="1">
        <v>40969</v>
      </c>
      <c r="H501" s="1">
        <v>40969</v>
      </c>
      <c r="I501" s="1">
        <v>41306</v>
      </c>
    </row>
    <row r="502" spans="1:9" x14ac:dyDescent="0.25">
      <c r="A502" t="s">
        <v>8</v>
      </c>
      <c r="B502">
        <v>680</v>
      </c>
      <c r="C502">
        <v>720</v>
      </c>
      <c r="D502">
        <v>90</v>
      </c>
      <c r="E502">
        <v>95</v>
      </c>
      <c r="F502">
        <v>94</v>
      </c>
      <c r="G502" s="1">
        <v>40969</v>
      </c>
      <c r="H502" s="1">
        <v>40969</v>
      </c>
      <c r="I502" s="1">
        <v>41306</v>
      </c>
    </row>
    <row r="503" spans="1:9" x14ac:dyDescent="0.25">
      <c r="A503" t="s">
        <v>8</v>
      </c>
      <c r="B503">
        <v>680</v>
      </c>
      <c r="C503">
        <v>720</v>
      </c>
      <c r="D503">
        <v>85</v>
      </c>
      <c r="E503">
        <v>90</v>
      </c>
      <c r="F503">
        <v>62</v>
      </c>
      <c r="G503" s="1">
        <v>40969</v>
      </c>
      <c r="H503" s="1">
        <v>40969</v>
      </c>
      <c r="I503" s="1">
        <v>41306</v>
      </c>
    </row>
    <row r="504" spans="1:9" x14ac:dyDescent="0.25">
      <c r="A504" t="s">
        <v>8</v>
      </c>
      <c r="B504">
        <v>680</v>
      </c>
      <c r="C504">
        <v>720</v>
      </c>
      <c r="D504">
        <v>80</v>
      </c>
      <c r="E504">
        <v>85</v>
      </c>
      <c r="F504">
        <v>38</v>
      </c>
      <c r="G504" s="1">
        <v>40969</v>
      </c>
      <c r="H504" s="1">
        <v>40969</v>
      </c>
      <c r="I504" s="1">
        <v>41306</v>
      </c>
    </row>
    <row r="505" spans="1:9" x14ac:dyDescent="0.25">
      <c r="A505" t="s">
        <v>8</v>
      </c>
      <c r="B505">
        <v>680</v>
      </c>
      <c r="C505">
        <v>720</v>
      </c>
      <c r="D505">
        <v>0</v>
      </c>
      <c r="E505">
        <v>80</v>
      </c>
      <c r="F505">
        <v>0</v>
      </c>
      <c r="G505" s="1">
        <v>40969</v>
      </c>
      <c r="H505" s="1">
        <v>40969</v>
      </c>
      <c r="I505" s="1">
        <v>41306</v>
      </c>
    </row>
    <row r="506" spans="1:9" x14ac:dyDescent="0.25">
      <c r="A506" t="s">
        <v>8</v>
      </c>
      <c r="B506">
        <v>620</v>
      </c>
      <c r="C506">
        <v>680</v>
      </c>
      <c r="D506">
        <v>97</v>
      </c>
      <c r="E506">
        <v>999</v>
      </c>
      <c r="G506" s="1">
        <v>40969</v>
      </c>
      <c r="H506" s="1">
        <v>40969</v>
      </c>
      <c r="I506" s="1">
        <v>41306</v>
      </c>
    </row>
    <row r="507" spans="1:9" x14ac:dyDescent="0.25">
      <c r="A507" t="s">
        <v>8</v>
      </c>
      <c r="B507">
        <v>620</v>
      </c>
      <c r="C507">
        <v>680</v>
      </c>
      <c r="D507">
        <v>95</v>
      </c>
      <c r="E507">
        <v>97</v>
      </c>
      <c r="G507" s="1">
        <v>40969</v>
      </c>
      <c r="H507" s="1">
        <v>40969</v>
      </c>
      <c r="I507" s="1">
        <v>41306</v>
      </c>
    </row>
    <row r="508" spans="1:9" x14ac:dyDescent="0.25">
      <c r="A508" t="s">
        <v>8</v>
      </c>
      <c r="B508">
        <v>620</v>
      </c>
      <c r="C508">
        <v>680</v>
      </c>
      <c r="D508">
        <v>90</v>
      </c>
      <c r="E508">
        <v>95</v>
      </c>
      <c r="F508">
        <v>120</v>
      </c>
      <c r="G508" s="1">
        <v>40969</v>
      </c>
      <c r="H508" s="1">
        <v>40969</v>
      </c>
      <c r="I508" s="1">
        <v>41306</v>
      </c>
    </row>
    <row r="509" spans="1:9" x14ac:dyDescent="0.25">
      <c r="A509" t="s">
        <v>8</v>
      </c>
      <c r="B509">
        <v>620</v>
      </c>
      <c r="C509">
        <v>680</v>
      </c>
      <c r="D509">
        <v>85</v>
      </c>
      <c r="E509">
        <v>90</v>
      </c>
      <c r="F509">
        <v>76</v>
      </c>
      <c r="G509" s="1">
        <v>40969</v>
      </c>
      <c r="H509" s="1">
        <v>40969</v>
      </c>
      <c r="I509" s="1">
        <v>41306</v>
      </c>
    </row>
    <row r="510" spans="1:9" x14ac:dyDescent="0.25">
      <c r="A510" t="s">
        <v>8</v>
      </c>
      <c r="B510">
        <v>620</v>
      </c>
      <c r="C510">
        <v>680</v>
      </c>
      <c r="D510">
        <v>80</v>
      </c>
      <c r="E510">
        <v>85</v>
      </c>
      <c r="F510">
        <v>44</v>
      </c>
      <c r="G510" s="1">
        <v>40969</v>
      </c>
      <c r="H510" s="1">
        <v>40969</v>
      </c>
      <c r="I510" s="1">
        <v>41306</v>
      </c>
    </row>
    <row r="511" spans="1:9" x14ac:dyDescent="0.25">
      <c r="A511" t="s">
        <v>8</v>
      </c>
      <c r="B511">
        <v>620</v>
      </c>
      <c r="C511">
        <v>680</v>
      </c>
      <c r="D511">
        <v>0</v>
      </c>
      <c r="E511">
        <v>80</v>
      </c>
      <c r="F511">
        <v>0</v>
      </c>
      <c r="G511" s="1">
        <v>40969</v>
      </c>
      <c r="H511" s="1">
        <v>40969</v>
      </c>
      <c r="I511" s="1">
        <v>41306</v>
      </c>
    </row>
    <row r="512" spans="1:9" x14ac:dyDescent="0.25">
      <c r="A512" t="s">
        <v>8</v>
      </c>
      <c r="B512">
        <v>300</v>
      </c>
      <c r="C512">
        <v>620</v>
      </c>
      <c r="D512">
        <v>97</v>
      </c>
      <c r="E512">
        <v>999</v>
      </c>
      <c r="G512" s="1">
        <v>40969</v>
      </c>
      <c r="H512" s="1">
        <v>40969</v>
      </c>
      <c r="I512" s="1">
        <v>41306</v>
      </c>
    </row>
    <row r="513" spans="1:19" x14ac:dyDescent="0.25">
      <c r="A513" t="s">
        <v>8</v>
      </c>
      <c r="B513">
        <v>300</v>
      </c>
      <c r="C513">
        <v>620</v>
      </c>
      <c r="D513">
        <v>95</v>
      </c>
      <c r="E513">
        <v>97</v>
      </c>
      <c r="G513" s="1">
        <v>40969</v>
      </c>
      <c r="H513" s="1">
        <v>40969</v>
      </c>
      <c r="I513" s="1">
        <v>41306</v>
      </c>
    </row>
    <row r="514" spans="1:19" x14ac:dyDescent="0.25">
      <c r="A514" t="s">
        <v>8</v>
      </c>
      <c r="B514">
        <v>300</v>
      </c>
      <c r="C514">
        <v>620</v>
      </c>
      <c r="D514">
        <v>90</v>
      </c>
      <c r="E514">
        <v>95</v>
      </c>
      <c r="G514" s="1">
        <v>40969</v>
      </c>
      <c r="H514" s="1">
        <v>40969</v>
      </c>
      <c r="I514" s="1">
        <v>41306</v>
      </c>
    </row>
    <row r="515" spans="1:19" x14ac:dyDescent="0.25">
      <c r="A515" t="s">
        <v>8</v>
      </c>
      <c r="B515">
        <v>300</v>
      </c>
      <c r="C515">
        <v>620</v>
      </c>
      <c r="D515">
        <v>85</v>
      </c>
      <c r="E515">
        <v>90</v>
      </c>
      <c r="G515" s="1">
        <v>40969</v>
      </c>
      <c r="H515" s="1">
        <v>40969</v>
      </c>
      <c r="I515" s="1">
        <v>41306</v>
      </c>
    </row>
    <row r="516" spans="1:19" x14ac:dyDescent="0.25">
      <c r="A516" t="s">
        <v>8</v>
      </c>
      <c r="B516">
        <v>300</v>
      </c>
      <c r="C516">
        <v>620</v>
      </c>
      <c r="D516">
        <v>80</v>
      </c>
      <c r="E516">
        <v>85</v>
      </c>
      <c r="G516" s="1">
        <v>40969</v>
      </c>
      <c r="H516" s="1">
        <v>40969</v>
      </c>
      <c r="I516" s="1">
        <v>41306</v>
      </c>
    </row>
    <row r="517" spans="1:19" x14ac:dyDescent="0.25">
      <c r="A517" t="s">
        <v>8</v>
      </c>
      <c r="B517">
        <v>300</v>
      </c>
      <c r="C517">
        <v>620</v>
      </c>
      <c r="D517">
        <v>0</v>
      </c>
      <c r="E517">
        <v>80</v>
      </c>
      <c r="G517" s="1">
        <v>40969</v>
      </c>
      <c r="H517" s="1">
        <v>40969</v>
      </c>
      <c r="I517" s="1">
        <v>41306</v>
      </c>
    </row>
    <row r="518" spans="1:19" x14ac:dyDescent="0.25">
      <c r="A518" t="s">
        <v>7</v>
      </c>
      <c r="B518">
        <v>760</v>
      </c>
      <c r="C518">
        <v>999</v>
      </c>
      <c r="D518">
        <v>97</v>
      </c>
      <c r="E518">
        <v>999</v>
      </c>
      <c r="G518" s="1">
        <v>38607</v>
      </c>
      <c r="H518" s="1">
        <v>40756</v>
      </c>
      <c r="I518" s="1">
        <v>40969</v>
      </c>
      <c r="M518" t="s">
        <v>11</v>
      </c>
      <c r="N518" t="s">
        <v>12</v>
      </c>
      <c r="O518" t="s">
        <v>13</v>
      </c>
      <c r="P518" t="s">
        <v>14</v>
      </c>
      <c r="Q518" t="s">
        <v>15</v>
      </c>
      <c r="R518" t="s">
        <v>16</v>
      </c>
      <c r="S518" s="1">
        <v>40756</v>
      </c>
    </row>
    <row r="519" spans="1:19" x14ac:dyDescent="0.25">
      <c r="A519" t="s">
        <v>7</v>
      </c>
      <c r="B519">
        <v>760</v>
      </c>
      <c r="C519">
        <v>999</v>
      </c>
      <c r="D519">
        <v>95</v>
      </c>
      <c r="E519">
        <v>97</v>
      </c>
      <c r="F519">
        <v>98</v>
      </c>
      <c r="G519" s="1">
        <v>40756</v>
      </c>
      <c r="H519" s="1">
        <v>40756</v>
      </c>
      <c r="I519" s="1">
        <v>40969</v>
      </c>
      <c r="M519" s="2" t="s">
        <v>17</v>
      </c>
      <c r="N519">
        <v>88</v>
      </c>
      <c r="O519">
        <v>88</v>
      </c>
      <c r="P519">
        <v>110</v>
      </c>
      <c r="Q519" s="3" t="s">
        <v>18</v>
      </c>
      <c r="R519" s="3" t="s">
        <v>18</v>
      </c>
    </row>
    <row r="520" spans="1:19" x14ac:dyDescent="0.25">
      <c r="A520" t="s">
        <v>7</v>
      </c>
      <c r="B520">
        <v>760</v>
      </c>
      <c r="C520">
        <v>999</v>
      </c>
      <c r="D520">
        <v>90</v>
      </c>
      <c r="E520">
        <v>95</v>
      </c>
      <c r="F520">
        <v>77</v>
      </c>
      <c r="G520" s="1">
        <v>40756</v>
      </c>
      <c r="H520" s="1">
        <v>40756</v>
      </c>
      <c r="I520" s="1">
        <v>40969</v>
      </c>
      <c r="M520" t="s">
        <v>19</v>
      </c>
      <c r="N520">
        <v>67</v>
      </c>
      <c r="O520">
        <v>67</v>
      </c>
      <c r="P520">
        <v>94</v>
      </c>
      <c r="Q520">
        <v>120</v>
      </c>
      <c r="R520" s="3" t="s">
        <v>18</v>
      </c>
    </row>
    <row r="521" spans="1:19" x14ac:dyDescent="0.25">
      <c r="A521" t="s">
        <v>7</v>
      </c>
      <c r="B521">
        <v>760</v>
      </c>
      <c r="C521">
        <v>999</v>
      </c>
      <c r="D521">
        <v>85</v>
      </c>
      <c r="E521">
        <v>90</v>
      </c>
      <c r="F521">
        <v>59</v>
      </c>
      <c r="G521" s="1">
        <v>40756</v>
      </c>
      <c r="H521" s="1">
        <v>40756</v>
      </c>
      <c r="I521" s="1">
        <v>40969</v>
      </c>
      <c r="M521" t="s">
        <v>20</v>
      </c>
      <c r="N521">
        <v>49</v>
      </c>
      <c r="O521">
        <v>49</v>
      </c>
      <c r="P521">
        <v>62</v>
      </c>
      <c r="Q521">
        <v>76</v>
      </c>
      <c r="R521" s="3" t="s">
        <v>18</v>
      </c>
    </row>
    <row r="522" spans="1:19" x14ac:dyDescent="0.25">
      <c r="A522" t="s">
        <v>7</v>
      </c>
      <c r="B522">
        <v>760</v>
      </c>
      <c r="C522">
        <v>999</v>
      </c>
      <c r="D522">
        <v>80</v>
      </c>
      <c r="E522">
        <v>85</v>
      </c>
      <c r="F522">
        <v>42</v>
      </c>
      <c r="G522" s="1">
        <v>40756</v>
      </c>
      <c r="H522" s="1">
        <v>40756</v>
      </c>
      <c r="I522" s="1">
        <v>40969</v>
      </c>
      <c r="M522" t="s">
        <v>21</v>
      </c>
      <c r="N522">
        <v>32</v>
      </c>
      <c r="O522">
        <v>32</v>
      </c>
      <c r="P522">
        <v>38</v>
      </c>
      <c r="Q522">
        <v>44</v>
      </c>
      <c r="R522" s="3" t="s">
        <v>18</v>
      </c>
    </row>
    <row r="523" spans="1:19" x14ac:dyDescent="0.25">
      <c r="A523" t="s">
        <v>7</v>
      </c>
      <c r="B523">
        <v>760</v>
      </c>
      <c r="C523">
        <v>999</v>
      </c>
      <c r="D523">
        <v>0</v>
      </c>
      <c r="E523">
        <v>80</v>
      </c>
      <c r="F523">
        <v>0</v>
      </c>
      <c r="G523" s="1">
        <v>40756</v>
      </c>
      <c r="H523" s="1">
        <v>40756</v>
      </c>
      <c r="I523" s="1">
        <v>40969</v>
      </c>
      <c r="M523" t="s">
        <v>22</v>
      </c>
      <c r="N523">
        <v>0</v>
      </c>
      <c r="O523">
        <v>0</v>
      </c>
      <c r="P523">
        <v>0</v>
      </c>
      <c r="Q523">
        <v>0</v>
      </c>
      <c r="R523" s="3" t="s">
        <v>18</v>
      </c>
    </row>
    <row r="524" spans="1:19" x14ac:dyDescent="0.25">
      <c r="A524" t="s">
        <v>7</v>
      </c>
      <c r="B524">
        <v>720</v>
      </c>
      <c r="C524">
        <v>760</v>
      </c>
      <c r="D524">
        <v>97</v>
      </c>
      <c r="E524">
        <v>999</v>
      </c>
      <c r="G524" s="1">
        <v>40756</v>
      </c>
      <c r="H524" s="1">
        <v>40756</v>
      </c>
      <c r="I524" s="1">
        <v>40969</v>
      </c>
    </row>
    <row r="525" spans="1:19" x14ac:dyDescent="0.25">
      <c r="A525" t="s">
        <v>7</v>
      </c>
      <c r="B525">
        <v>720</v>
      </c>
      <c r="C525">
        <v>760</v>
      </c>
      <c r="D525">
        <v>95</v>
      </c>
      <c r="E525">
        <v>97</v>
      </c>
      <c r="F525">
        <v>98</v>
      </c>
      <c r="G525" s="1">
        <v>40756</v>
      </c>
      <c r="H525" s="1">
        <v>40756</v>
      </c>
      <c r="I525" s="1">
        <v>40969</v>
      </c>
      <c r="M525" t="s">
        <v>23</v>
      </c>
      <c r="N525" t="s">
        <v>12</v>
      </c>
      <c r="O525" t="s">
        <v>13</v>
      </c>
      <c r="P525" t="s">
        <v>14</v>
      </c>
      <c r="Q525" t="s">
        <v>15</v>
      </c>
      <c r="R525" t="s">
        <v>16</v>
      </c>
      <c r="S525" s="1">
        <v>40756</v>
      </c>
    </row>
    <row r="526" spans="1:19" x14ac:dyDescent="0.25">
      <c r="A526" t="s">
        <v>7</v>
      </c>
      <c r="B526">
        <v>720</v>
      </c>
      <c r="C526">
        <v>760</v>
      </c>
      <c r="D526">
        <v>90</v>
      </c>
      <c r="E526">
        <v>95</v>
      </c>
      <c r="F526">
        <v>77</v>
      </c>
      <c r="G526" s="1">
        <v>40756</v>
      </c>
      <c r="H526" s="1">
        <v>40756</v>
      </c>
      <c r="I526" s="1">
        <v>40969</v>
      </c>
      <c r="M526" s="2" t="s">
        <v>17</v>
      </c>
      <c r="N526">
        <f>N519+10</f>
        <v>98</v>
      </c>
      <c r="O526">
        <f>O519+10</f>
        <v>98</v>
      </c>
      <c r="P526">
        <f>P519+15</f>
        <v>125</v>
      </c>
      <c r="Q526" s="3" t="s">
        <v>18</v>
      </c>
      <c r="R526" s="3" t="s">
        <v>18</v>
      </c>
    </row>
    <row r="527" spans="1:19" x14ac:dyDescent="0.25">
      <c r="A527" t="s">
        <v>7</v>
      </c>
      <c r="B527">
        <v>720</v>
      </c>
      <c r="C527">
        <v>760</v>
      </c>
      <c r="D527">
        <v>85</v>
      </c>
      <c r="E527">
        <v>90</v>
      </c>
      <c r="F527">
        <v>59</v>
      </c>
      <c r="G527" s="1">
        <v>40756</v>
      </c>
      <c r="H527" s="1">
        <v>40756</v>
      </c>
      <c r="I527" s="1">
        <v>40969</v>
      </c>
      <c r="M527" t="s">
        <v>19</v>
      </c>
      <c r="N527">
        <f t="shared" ref="N527:O529" si="30">N520+10</f>
        <v>77</v>
      </c>
      <c r="O527">
        <f t="shared" si="30"/>
        <v>77</v>
      </c>
      <c r="P527">
        <f t="shared" ref="P527:P529" si="31">P520+15</f>
        <v>109</v>
      </c>
      <c r="Q527" s="3" t="s">
        <v>18</v>
      </c>
      <c r="R527" s="3" t="s">
        <v>18</v>
      </c>
    </row>
    <row r="528" spans="1:19" x14ac:dyDescent="0.25">
      <c r="A528" t="s">
        <v>7</v>
      </c>
      <c r="B528">
        <v>720</v>
      </c>
      <c r="C528">
        <v>760</v>
      </c>
      <c r="D528">
        <v>80</v>
      </c>
      <c r="E528">
        <v>85</v>
      </c>
      <c r="F528">
        <v>42</v>
      </c>
      <c r="G528" s="1">
        <v>40756</v>
      </c>
      <c r="H528" s="1">
        <v>40756</v>
      </c>
      <c r="I528" s="1">
        <v>40969</v>
      </c>
      <c r="M528" t="s">
        <v>20</v>
      </c>
      <c r="N528">
        <f t="shared" si="30"/>
        <v>59</v>
      </c>
      <c r="O528">
        <f t="shared" si="30"/>
        <v>59</v>
      </c>
      <c r="P528">
        <f t="shared" si="31"/>
        <v>77</v>
      </c>
      <c r="Q528" s="3" t="s">
        <v>18</v>
      </c>
      <c r="R528" s="3" t="s">
        <v>18</v>
      </c>
    </row>
    <row r="529" spans="1:18" x14ac:dyDescent="0.25">
      <c r="A529" t="s">
        <v>7</v>
      </c>
      <c r="B529">
        <v>720</v>
      </c>
      <c r="C529">
        <v>760</v>
      </c>
      <c r="D529">
        <v>0</v>
      </c>
      <c r="E529">
        <v>80</v>
      </c>
      <c r="F529">
        <v>0</v>
      </c>
      <c r="G529" s="1">
        <v>40756</v>
      </c>
      <c r="H529" s="1">
        <v>40756</v>
      </c>
      <c r="I529" s="1">
        <v>40969</v>
      </c>
      <c r="M529" t="s">
        <v>21</v>
      </c>
      <c r="N529">
        <f t="shared" si="30"/>
        <v>42</v>
      </c>
      <c r="O529">
        <f t="shared" si="30"/>
        <v>42</v>
      </c>
      <c r="P529">
        <f t="shared" si="31"/>
        <v>53</v>
      </c>
      <c r="Q529" s="3" t="s">
        <v>18</v>
      </c>
      <c r="R529" s="3" t="s">
        <v>18</v>
      </c>
    </row>
    <row r="530" spans="1:18" x14ac:dyDescent="0.25">
      <c r="A530" t="s">
        <v>7</v>
      </c>
      <c r="B530">
        <v>680</v>
      </c>
      <c r="C530">
        <v>720</v>
      </c>
      <c r="D530">
        <v>97</v>
      </c>
      <c r="E530">
        <v>999</v>
      </c>
      <c r="G530" s="1">
        <v>40756</v>
      </c>
      <c r="H530" s="1">
        <v>40756</v>
      </c>
      <c r="I530" s="1">
        <v>40969</v>
      </c>
      <c r="M530" t="s">
        <v>22</v>
      </c>
      <c r="N530">
        <v>0</v>
      </c>
      <c r="O530">
        <v>0</v>
      </c>
      <c r="P530">
        <v>0</v>
      </c>
      <c r="Q530">
        <v>0</v>
      </c>
      <c r="R530" s="3" t="s">
        <v>18</v>
      </c>
    </row>
    <row r="531" spans="1:18" x14ac:dyDescent="0.25">
      <c r="A531" t="s">
        <v>7</v>
      </c>
      <c r="B531">
        <v>680</v>
      </c>
      <c r="C531">
        <v>720</v>
      </c>
      <c r="D531">
        <v>95</v>
      </c>
      <c r="E531">
        <v>97</v>
      </c>
      <c r="F531">
        <v>125</v>
      </c>
      <c r="G531" s="1">
        <v>40756</v>
      </c>
      <c r="H531" s="1">
        <v>40756</v>
      </c>
      <c r="I531" s="1">
        <v>40969</v>
      </c>
    </row>
    <row r="532" spans="1:18" x14ac:dyDescent="0.25">
      <c r="A532" t="s">
        <v>7</v>
      </c>
      <c r="B532">
        <v>680</v>
      </c>
      <c r="C532">
        <v>720</v>
      </c>
      <c r="D532">
        <v>90</v>
      </c>
      <c r="E532">
        <v>95</v>
      </c>
      <c r="F532">
        <v>109</v>
      </c>
      <c r="G532" s="1">
        <v>40756</v>
      </c>
      <c r="H532" s="1">
        <v>40756</v>
      </c>
      <c r="I532" s="1">
        <v>40969</v>
      </c>
      <c r="M532" t="s">
        <v>24</v>
      </c>
      <c r="N532" t="s">
        <v>56</v>
      </c>
    </row>
    <row r="533" spans="1:18" x14ac:dyDescent="0.25">
      <c r="A533" t="s">
        <v>7</v>
      </c>
      <c r="B533">
        <v>680</v>
      </c>
      <c r="C533">
        <v>720</v>
      </c>
      <c r="D533">
        <v>85</v>
      </c>
      <c r="E533">
        <v>90</v>
      </c>
      <c r="F533">
        <v>77</v>
      </c>
      <c r="G533" s="1">
        <v>40756</v>
      </c>
      <c r="H533" s="1">
        <v>40756</v>
      </c>
      <c r="I533" s="1">
        <v>40969</v>
      </c>
      <c r="M533" t="s">
        <v>25</v>
      </c>
      <c r="N533" t="s">
        <v>26</v>
      </c>
    </row>
    <row r="534" spans="1:18" x14ac:dyDescent="0.25">
      <c r="A534" t="s">
        <v>7</v>
      </c>
      <c r="B534">
        <v>680</v>
      </c>
      <c r="C534">
        <v>720</v>
      </c>
      <c r="D534">
        <v>80</v>
      </c>
      <c r="E534">
        <v>85</v>
      </c>
      <c r="F534">
        <v>53</v>
      </c>
      <c r="G534" s="1">
        <v>40756</v>
      </c>
      <c r="H534" s="1">
        <v>40756</v>
      </c>
      <c r="I534" s="1">
        <v>40969</v>
      </c>
    </row>
    <row r="535" spans="1:18" x14ac:dyDescent="0.25">
      <c r="A535" t="s">
        <v>7</v>
      </c>
      <c r="B535">
        <v>680</v>
      </c>
      <c r="C535">
        <v>720</v>
      </c>
      <c r="D535">
        <v>0</v>
      </c>
      <c r="E535">
        <v>80</v>
      </c>
      <c r="F535">
        <v>0</v>
      </c>
      <c r="G535" s="1">
        <v>40756</v>
      </c>
      <c r="H535" s="1">
        <v>40756</v>
      </c>
      <c r="I535" s="1">
        <v>40969</v>
      </c>
    </row>
    <row r="536" spans="1:18" x14ac:dyDescent="0.25">
      <c r="A536" t="s">
        <v>7</v>
      </c>
      <c r="B536">
        <v>620</v>
      </c>
      <c r="C536">
        <v>680</v>
      </c>
      <c r="D536">
        <v>97</v>
      </c>
      <c r="E536">
        <v>999</v>
      </c>
      <c r="G536" s="1">
        <v>40756</v>
      </c>
      <c r="H536" s="1">
        <v>40756</v>
      </c>
      <c r="I536" s="1">
        <v>40969</v>
      </c>
    </row>
    <row r="537" spans="1:18" x14ac:dyDescent="0.25">
      <c r="A537" t="s">
        <v>7</v>
      </c>
      <c r="B537">
        <v>620</v>
      </c>
      <c r="C537">
        <v>680</v>
      </c>
      <c r="D537">
        <v>95</v>
      </c>
      <c r="E537">
        <v>97</v>
      </c>
      <c r="G537" s="1">
        <v>40756</v>
      </c>
      <c r="H537" s="1">
        <v>40756</v>
      </c>
      <c r="I537" s="1">
        <v>40969</v>
      </c>
    </row>
    <row r="538" spans="1:18" x14ac:dyDescent="0.25">
      <c r="A538" t="s">
        <v>7</v>
      </c>
      <c r="B538">
        <v>620</v>
      </c>
      <c r="C538">
        <v>680</v>
      </c>
      <c r="D538">
        <v>90</v>
      </c>
      <c r="E538">
        <v>95</v>
      </c>
      <c r="G538" s="1">
        <v>40756</v>
      </c>
      <c r="H538" s="1">
        <v>40756</v>
      </c>
      <c r="I538" s="1">
        <v>40969</v>
      </c>
    </row>
    <row r="539" spans="1:18" x14ac:dyDescent="0.25">
      <c r="A539" t="s">
        <v>7</v>
      </c>
      <c r="B539">
        <v>620</v>
      </c>
      <c r="C539">
        <v>680</v>
      </c>
      <c r="D539">
        <v>85</v>
      </c>
      <c r="E539">
        <v>90</v>
      </c>
      <c r="G539" s="1">
        <v>40756</v>
      </c>
      <c r="H539" s="1">
        <v>40756</v>
      </c>
      <c r="I539" s="1">
        <v>40969</v>
      </c>
    </row>
    <row r="540" spans="1:18" x14ac:dyDescent="0.25">
      <c r="A540" t="s">
        <v>7</v>
      </c>
      <c r="B540">
        <v>620</v>
      </c>
      <c r="C540">
        <v>680</v>
      </c>
      <c r="D540">
        <v>80</v>
      </c>
      <c r="E540">
        <v>85</v>
      </c>
      <c r="G540" s="1">
        <v>40756</v>
      </c>
      <c r="H540" s="1">
        <v>40756</v>
      </c>
      <c r="I540" s="1">
        <v>40969</v>
      </c>
    </row>
    <row r="541" spans="1:18" x14ac:dyDescent="0.25">
      <c r="A541" t="s">
        <v>7</v>
      </c>
      <c r="B541">
        <v>620</v>
      </c>
      <c r="C541">
        <v>680</v>
      </c>
      <c r="D541">
        <v>0</v>
      </c>
      <c r="E541">
        <v>80</v>
      </c>
      <c r="F541">
        <v>0</v>
      </c>
      <c r="G541" s="1">
        <v>40756</v>
      </c>
      <c r="H541" s="1">
        <v>40756</v>
      </c>
      <c r="I541" s="1">
        <v>40969</v>
      </c>
    </row>
    <row r="542" spans="1:18" x14ac:dyDescent="0.25">
      <c r="A542" t="s">
        <v>7</v>
      </c>
      <c r="B542">
        <v>300</v>
      </c>
      <c r="C542">
        <v>620</v>
      </c>
      <c r="D542">
        <v>97</v>
      </c>
      <c r="E542">
        <v>999</v>
      </c>
      <c r="G542" s="1">
        <v>40756</v>
      </c>
      <c r="H542" s="1">
        <v>40756</v>
      </c>
      <c r="I542" s="1">
        <v>40969</v>
      </c>
    </row>
    <row r="543" spans="1:18" x14ac:dyDescent="0.25">
      <c r="A543" t="s">
        <v>7</v>
      </c>
      <c r="B543">
        <v>300</v>
      </c>
      <c r="C543">
        <v>620</v>
      </c>
      <c r="D543">
        <v>95</v>
      </c>
      <c r="E543">
        <v>97</v>
      </c>
      <c r="G543" s="1">
        <v>40756</v>
      </c>
      <c r="H543" s="1">
        <v>40756</v>
      </c>
      <c r="I543" s="1">
        <v>40969</v>
      </c>
    </row>
    <row r="544" spans="1:18" x14ac:dyDescent="0.25">
      <c r="A544" t="s">
        <v>7</v>
      </c>
      <c r="B544">
        <v>300</v>
      </c>
      <c r="C544">
        <v>620</v>
      </c>
      <c r="D544">
        <v>90</v>
      </c>
      <c r="E544">
        <v>95</v>
      </c>
      <c r="G544" s="1">
        <v>40756</v>
      </c>
      <c r="H544" s="1">
        <v>40756</v>
      </c>
      <c r="I544" s="1">
        <v>40969</v>
      </c>
    </row>
    <row r="545" spans="1:9" x14ac:dyDescent="0.25">
      <c r="A545" t="s">
        <v>7</v>
      </c>
      <c r="B545">
        <v>300</v>
      </c>
      <c r="C545">
        <v>620</v>
      </c>
      <c r="D545">
        <v>85</v>
      </c>
      <c r="E545">
        <v>90</v>
      </c>
      <c r="G545" s="1">
        <v>40756</v>
      </c>
      <c r="H545" s="1">
        <v>40756</v>
      </c>
      <c r="I545" s="1">
        <v>40969</v>
      </c>
    </row>
    <row r="546" spans="1:9" x14ac:dyDescent="0.25">
      <c r="A546" t="s">
        <v>7</v>
      </c>
      <c r="B546">
        <v>300</v>
      </c>
      <c r="C546">
        <v>620</v>
      </c>
      <c r="D546">
        <v>80</v>
      </c>
      <c r="E546">
        <v>85</v>
      </c>
      <c r="G546" s="1">
        <v>40756</v>
      </c>
      <c r="H546" s="1">
        <v>40756</v>
      </c>
      <c r="I546" s="1">
        <v>40969</v>
      </c>
    </row>
    <row r="547" spans="1:9" x14ac:dyDescent="0.25">
      <c r="A547" t="s">
        <v>7</v>
      </c>
      <c r="B547">
        <v>300</v>
      </c>
      <c r="C547">
        <v>620</v>
      </c>
      <c r="D547">
        <v>0</v>
      </c>
      <c r="E547">
        <v>80</v>
      </c>
      <c r="G547" s="1">
        <v>40756</v>
      </c>
      <c r="H547" s="1">
        <v>40756</v>
      </c>
      <c r="I547" s="1">
        <v>40969</v>
      </c>
    </row>
    <row r="548" spans="1:9" x14ac:dyDescent="0.25">
      <c r="A548" t="s">
        <v>8</v>
      </c>
      <c r="B548">
        <v>760</v>
      </c>
      <c r="C548">
        <v>999</v>
      </c>
      <c r="D548">
        <v>97</v>
      </c>
      <c r="E548">
        <v>999</v>
      </c>
      <c r="G548" s="1">
        <v>40756</v>
      </c>
      <c r="H548" s="1">
        <v>40756</v>
      </c>
      <c r="I548" s="1">
        <v>40969</v>
      </c>
    </row>
    <row r="549" spans="1:9" x14ac:dyDescent="0.25">
      <c r="A549" t="s">
        <v>8</v>
      </c>
      <c r="B549">
        <v>760</v>
      </c>
      <c r="C549">
        <v>999</v>
      </c>
      <c r="D549">
        <v>95</v>
      </c>
      <c r="E549">
        <v>97</v>
      </c>
      <c r="F549">
        <v>88</v>
      </c>
      <c r="G549" s="1">
        <v>40756</v>
      </c>
      <c r="H549" s="1">
        <v>40756</v>
      </c>
      <c r="I549" s="1">
        <v>40969</v>
      </c>
    </row>
    <row r="550" spans="1:9" x14ac:dyDescent="0.25">
      <c r="A550" t="s">
        <v>8</v>
      </c>
      <c r="B550">
        <v>760</v>
      </c>
      <c r="C550">
        <v>999</v>
      </c>
      <c r="D550">
        <v>90</v>
      </c>
      <c r="E550">
        <v>95</v>
      </c>
      <c r="F550">
        <v>67</v>
      </c>
      <c r="G550" s="1">
        <v>40756</v>
      </c>
      <c r="H550" s="1">
        <v>40756</v>
      </c>
      <c r="I550" s="1">
        <v>40969</v>
      </c>
    </row>
    <row r="551" spans="1:9" x14ac:dyDescent="0.25">
      <c r="A551" t="s">
        <v>8</v>
      </c>
      <c r="B551">
        <v>760</v>
      </c>
      <c r="C551">
        <v>999</v>
      </c>
      <c r="D551">
        <v>85</v>
      </c>
      <c r="E551">
        <v>90</v>
      </c>
      <c r="F551">
        <v>49</v>
      </c>
      <c r="G551" s="1">
        <v>40756</v>
      </c>
      <c r="H551" s="1">
        <v>40756</v>
      </c>
      <c r="I551" s="1">
        <v>40969</v>
      </c>
    </row>
    <row r="552" spans="1:9" x14ac:dyDescent="0.25">
      <c r="A552" t="s">
        <v>8</v>
      </c>
      <c r="B552">
        <v>760</v>
      </c>
      <c r="C552">
        <v>999</v>
      </c>
      <c r="D552">
        <v>80</v>
      </c>
      <c r="E552">
        <v>85</v>
      </c>
      <c r="F552">
        <v>32</v>
      </c>
      <c r="G552" s="1">
        <v>40756</v>
      </c>
      <c r="H552" s="1">
        <v>40756</v>
      </c>
      <c r="I552" s="1">
        <v>40969</v>
      </c>
    </row>
    <row r="553" spans="1:9" x14ac:dyDescent="0.25">
      <c r="A553" t="s">
        <v>8</v>
      </c>
      <c r="B553">
        <v>760</v>
      </c>
      <c r="C553">
        <v>999</v>
      </c>
      <c r="D553">
        <v>0</v>
      </c>
      <c r="E553">
        <v>80</v>
      </c>
      <c r="F553">
        <v>0</v>
      </c>
      <c r="G553" s="1">
        <v>40756</v>
      </c>
      <c r="H553" s="1">
        <v>40756</v>
      </c>
      <c r="I553" s="1">
        <v>40969</v>
      </c>
    </row>
    <row r="554" spans="1:9" x14ac:dyDescent="0.25">
      <c r="A554" t="s">
        <v>8</v>
      </c>
      <c r="B554">
        <v>720</v>
      </c>
      <c r="C554">
        <v>760</v>
      </c>
      <c r="D554">
        <v>97</v>
      </c>
      <c r="E554">
        <v>999</v>
      </c>
      <c r="G554" s="1">
        <v>40756</v>
      </c>
      <c r="H554" s="1">
        <v>40756</v>
      </c>
      <c r="I554" s="1">
        <v>40969</v>
      </c>
    </row>
    <row r="555" spans="1:9" x14ac:dyDescent="0.25">
      <c r="A555" t="s">
        <v>8</v>
      </c>
      <c r="B555">
        <v>720</v>
      </c>
      <c r="C555">
        <v>760</v>
      </c>
      <c r="D555">
        <v>95</v>
      </c>
      <c r="E555">
        <v>97</v>
      </c>
      <c r="F555">
        <v>88</v>
      </c>
      <c r="G555" s="1">
        <v>40756</v>
      </c>
      <c r="H555" s="1">
        <v>40756</v>
      </c>
      <c r="I555" s="1">
        <v>40969</v>
      </c>
    </row>
    <row r="556" spans="1:9" x14ac:dyDescent="0.25">
      <c r="A556" t="s">
        <v>8</v>
      </c>
      <c r="B556">
        <v>720</v>
      </c>
      <c r="C556">
        <v>760</v>
      </c>
      <c r="D556">
        <v>90</v>
      </c>
      <c r="E556">
        <v>95</v>
      </c>
      <c r="F556">
        <v>67</v>
      </c>
      <c r="G556" s="1">
        <v>40756</v>
      </c>
      <c r="H556" s="1">
        <v>40756</v>
      </c>
      <c r="I556" s="1">
        <v>40969</v>
      </c>
    </row>
    <row r="557" spans="1:9" x14ac:dyDescent="0.25">
      <c r="A557" t="s">
        <v>8</v>
      </c>
      <c r="B557">
        <v>720</v>
      </c>
      <c r="C557">
        <v>760</v>
      </c>
      <c r="D557">
        <v>85</v>
      </c>
      <c r="E557">
        <v>90</v>
      </c>
      <c r="F557">
        <v>49</v>
      </c>
      <c r="G557" s="1">
        <v>40756</v>
      </c>
      <c r="H557" s="1">
        <v>40756</v>
      </c>
      <c r="I557" s="1">
        <v>40969</v>
      </c>
    </row>
    <row r="558" spans="1:9" x14ac:dyDescent="0.25">
      <c r="A558" t="s">
        <v>8</v>
      </c>
      <c r="B558">
        <v>720</v>
      </c>
      <c r="C558">
        <v>760</v>
      </c>
      <c r="D558">
        <v>80</v>
      </c>
      <c r="E558">
        <v>85</v>
      </c>
      <c r="F558">
        <v>32</v>
      </c>
      <c r="G558" s="1">
        <v>40756</v>
      </c>
      <c r="H558" s="1">
        <v>40756</v>
      </c>
      <c r="I558" s="1">
        <v>40969</v>
      </c>
    </row>
    <row r="559" spans="1:9" x14ac:dyDescent="0.25">
      <c r="A559" t="s">
        <v>8</v>
      </c>
      <c r="B559">
        <v>720</v>
      </c>
      <c r="C559">
        <v>760</v>
      </c>
      <c r="D559">
        <v>0</v>
      </c>
      <c r="E559">
        <v>80</v>
      </c>
      <c r="F559">
        <v>0</v>
      </c>
      <c r="G559" s="1">
        <v>40756</v>
      </c>
      <c r="H559" s="1">
        <v>40756</v>
      </c>
      <c r="I559" s="1">
        <v>40969</v>
      </c>
    </row>
    <row r="560" spans="1:9" x14ac:dyDescent="0.25">
      <c r="A560" t="s">
        <v>8</v>
      </c>
      <c r="B560">
        <v>680</v>
      </c>
      <c r="C560">
        <v>720</v>
      </c>
      <c r="D560">
        <v>97</v>
      </c>
      <c r="E560">
        <v>999</v>
      </c>
      <c r="G560" s="1">
        <v>40756</v>
      </c>
      <c r="H560" s="1">
        <v>40756</v>
      </c>
      <c r="I560" s="1">
        <v>40969</v>
      </c>
    </row>
    <row r="561" spans="1:9" x14ac:dyDescent="0.25">
      <c r="A561" t="s">
        <v>8</v>
      </c>
      <c r="B561">
        <v>680</v>
      </c>
      <c r="C561">
        <v>720</v>
      </c>
      <c r="D561">
        <v>95</v>
      </c>
      <c r="E561">
        <v>97</v>
      </c>
      <c r="F561">
        <v>110</v>
      </c>
      <c r="G561" s="1">
        <v>40756</v>
      </c>
      <c r="H561" s="1">
        <v>40756</v>
      </c>
      <c r="I561" s="1">
        <v>40969</v>
      </c>
    </row>
    <row r="562" spans="1:9" x14ac:dyDescent="0.25">
      <c r="A562" t="s">
        <v>8</v>
      </c>
      <c r="B562">
        <v>680</v>
      </c>
      <c r="C562">
        <v>720</v>
      </c>
      <c r="D562">
        <v>90</v>
      </c>
      <c r="E562">
        <v>95</v>
      </c>
      <c r="F562">
        <v>94</v>
      </c>
      <c r="G562" s="1">
        <v>40756</v>
      </c>
      <c r="H562" s="1">
        <v>40756</v>
      </c>
      <c r="I562" s="1">
        <v>40969</v>
      </c>
    </row>
    <row r="563" spans="1:9" x14ac:dyDescent="0.25">
      <c r="A563" t="s">
        <v>8</v>
      </c>
      <c r="B563">
        <v>680</v>
      </c>
      <c r="C563">
        <v>720</v>
      </c>
      <c r="D563">
        <v>85</v>
      </c>
      <c r="E563">
        <v>90</v>
      </c>
      <c r="F563">
        <v>62</v>
      </c>
      <c r="G563" s="1">
        <v>40756</v>
      </c>
      <c r="H563" s="1">
        <v>40756</v>
      </c>
      <c r="I563" s="1">
        <v>40969</v>
      </c>
    </row>
    <row r="564" spans="1:9" x14ac:dyDescent="0.25">
      <c r="A564" t="s">
        <v>8</v>
      </c>
      <c r="B564">
        <v>680</v>
      </c>
      <c r="C564">
        <v>720</v>
      </c>
      <c r="D564">
        <v>80</v>
      </c>
      <c r="E564">
        <v>85</v>
      </c>
      <c r="F564">
        <v>38</v>
      </c>
      <c r="G564" s="1">
        <v>40756</v>
      </c>
      <c r="H564" s="1">
        <v>40756</v>
      </c>
      <c r="I564" s="1">
        <v>40969</v>
      </c>
    </row>
    <row r="565" spans="1:9" x14ac:dyDescent="0.25">
      <c r="A565" t="s">
        <v>8</v>
      </c>
      <c r="B565">
        <v>680</v>
      </c>
      <c r="C565">
        <v>720</v>
      </c>
      <c r="D565">
        <v>0</v>
      </c>
      <c r="E565">
        <v>80</v>
      </c>
      <c r="F565">
        <v>0</v>
      </c>
      <c r="G565" s="1">
        <v>40756</v>
      </c>
      <c r="H565" s="1">
        <v>40756</v>
      </c>
      <c r="I565" s="1">
        <v>40969</v>
      </c>
    </row>
    <row r="566" spans="1:9" x14ac:dyDescent="0.25">
      <c r="A566" t="s">
        <v>8</v>
      </c>
      <c r="B566">
        <v>620</v>
      </c>
      <c r="C566">
        <v>680</v>
      </c>
      <c r="D566">
        <v>97</v>
      </c>
      <c r="E566">
        <v>999</v>
      </c>
      <c r="G566" s="1">
        <v>40756</v>
      </c>
      <c r="H566" s="1">
        <v>40756</v>
      </c>
      <c r="I566" s="1">
        <v>40969</v>
      </c>
    </row>
    <row r="567" spans="1:9" x14ac:dyDescent="0.25">
      <c r="A567" t="s">
        <v>8</v>
      </c>
      <c r="B567">
        <v>620</v>
      </c>
      <c r="C567">
        <v>680</v>
      </c>
      <c r="D567">
        <v>95</v>
      </c>
      <c r="E567">
        <v>97</v>
      </c>
      <c r="G567" s="1">
        <v>40756</v>
      </c>
      <c r="H567" s="1">
        <v>40756</v>
      </c>
      <c r="I567" s="1">
        <v>40969</v>
      </c>
    </row>
    <row r="568" spans="1:9" x14ac:dyDescent="0.25">
      <c r="A568" t="s">
        <v>8</v>
      </c>
      <c r="B568">
        <v>620</v>
      </c>
      <c r="C568">
        <v>680</v>
      </c>
      <c r="D568">
        <v>90</v>
      </c>
      <c r="E568">
        <v>95</v>
      </c>
      <c r="F568">
        <v>120</v>
      </c>
      <c r="G568" s="1">
        <v>40756</v>
      </c>
      <c r="H568" s="1">
        <v>40756</v>
      </c>
      <c r="I568" s="1">
        <v>40969</v>
      </c>
    </row>
    <row r="569" spans="1:9" x14ac:dyDescent="0.25">
      <c r="A569" t="s">
        <v>8</v>
      </c>
      <c r="B569">
        <v>620</v>
      </c>
      <c r="C569">
        <v>680</v>
      </c>
      <c r="D569">
        <v>85</v>
      </c>
      <c r="E569">
        <v>90</v>
      </c>
      <c r="F569">
        <v>76</v>
      </c>
      <c r="G569" s="1">
        <v>40756</v>
      </c>
      <c r="H569" s="1">
        <v>40756</v>
      </c>
      <c r="I569" s="1">
        <v>40969</v>
      </c>
    </row>
    <row r="570" spans="1:9" x14ac:dyDescent="0.25">
      <c r="A570" t="s">
        <v>8</v>
      </c>
      <c r="B570">
        <v>620</v>
      </c>
      <c r="C570">
        <v>680</v>
      </c>
      <c r="D570">
        <v>80</v>
      </c>
      <c r="E570">
        <v>85</v>
      </c>
      <c r="F570">
        <v>44</v>
      </c>
      <c r="G570" s="1">
        <v>40756</v>
      </c>
      <c r="H570" s="1">
        <v>40756</v>
      </c>
      <c r="I570" s="1">
        <v>40969</v>
      </c>
    </row>
    <row r="571" spans="1:9" x14ac:dyDescent="0.25">
      <c r="A571" t="s">
        <v>8</v>
      </c>
      <c r="B571">
        <v>620</v>
      </c>
      <c r="C571">
        <v>680</v>
      </c>
      <c r="D571">
        <v>0</v>
      </c>
      <c r="E571">
        <v>80</v>
      </c>
      <c r="F571">
        <v>0</v>
      </c>
      <c r="G571" s="1">
        <v>40756</v>
      </c>
      <c r="H571" s="1">
        <v>40756</v>
      </c>
      <c r="I571" s="1">
        <v>40969</v>
      </c>
    </row>
    <row r="572" spans="1:9" x14ac:dyDescent="0.25">
      <c r="A572" t="s">
        <v>8</v>
      </c>
      <c r="B572">
        <v>300</v>
      </c>
      <c r="C572">
        <v>620</v>
      </c>
      <c r="D572">
        <v>97</v>
      </c>
      <c r="E572">
        <v>999</v>
      </c>
      <c r="G572" s="1">
        <v>40756</v>
      </c>
      <c r="H572" s="1">
        <v>40756</v>
      </c>
      <c r="I572" s="1">
        <v>40969</v>
      </c>
    </row>
    <row r="573" spans="1:9" x14ac:dyDescent="0.25">
      <c r="A573" t="s">
        <v>8</v>
      </c>
      <c r="B573">
        <v>300</v>
      </c>
      <c r="C573">
        <v>620</v>
      </c>
      <c r="D573">
        <v>95</v>
      </c>
      <c r="E573">
        <v>97</v>
      </c>
      <c r="G573" s="1">
        <v>40756</v>
      </c>
      <c r="H573" s="1">
        <v>40756</v>
      </c>
      <c r="I573" s="1">
        <v>40969</v>
      </c>
    </row>
    <row r="574" spans="1:9" x14ac:dyDescent="0.25">
      <c r="A574" t="s">
        <v>8</v>
      </c>
      <c r="B574">
        <v>300</v>
      </c>
      <c r="C574">
        <v>620</v>
      </c>
      <c r="D574">
        <v>90</v>
      </c>
      <c r="E574">
        <v>95</v>
      </c>
      <c r="G574" s="1">
        <v>40756</v>
      </c>
      <c r="H574" s="1">
        <v>40756</v>
      </c>
      <c r="I574" s="1">
        <v>40969</v>
      </c>
    </row>
    <row r="575" spans="1:9" x14ac:dyDescent="0.25">
      <c r="A575" t="s">
        <v>8</v>
      </c>
      <c r="B575">
        <v>300</v>
      </c>
      <c r="C575">
        <v>620</v>
      </c>
      <c r="D575">
        <v>85</v>
      </c>
      <c r="E575">
        <v>90</v>
      </c>
      <c r="G575" s="1">
        <v>40756</v>
      </c>
      <c r="H575" s="1">
        <v>40756</v>
      </c>
      <c r="I575" s="1">
        <v>40969</v>
      </c>
    </row>
    <row r="576" spans="1:9" x14ac:dyDescent="0.25">
      <c r="A576" t="s">
        <v>8</v>
      </c>
      <c r="B576">
        <v>300</v>
      </c>
      <c r="C576">
        <v>620</v>
      </c>
      <c r="D576">
        <v>80</v>
      </c>
      <c r="E576">
        <v>85</v>
      </c>
      <c r="G576" s="1">
        <v>40756</v>
      </c>
      <c r="H576" s="1">
        <v>40756</v>
      </c>
      <c r="I576" s="1">
        <v>40969</v>
      </c>
    </row>
    <row r="577" spans="1:19" x14ac:dyDescent="0.25">
      <c r="A577" t="s">
        <v>8</v>
      </c>
      <c r="B577">
        <v>300</v>
      </c>
      <c r="C577">
        <v>620</v>
      </c>
      <c r="D577">
        <v>0</v>
      </c>
      <c r="E577">
        <v>80</v>
      </c>
      <c r="G577" s="1">
        <v>40756</v>
      </c>
      <c r="H577" s="1">
        <v>40756</v>
      </c>
      <c r="I577" s="1">
        <v>40969</v>
      </c>
    </row>
    <row r="578" spans="1:19" x14ac:dyDescent="0.25">
      <c r="A578" t="s">
        <v>7</v>
      </c>
      <c r="B578">
        <v>760</v>
      </c>
      <c r="C578">
        <v>999</v>
      </c>
      <c r="D578">
        <v>97</v>
      </c>
      <c r="E578">
        <v>999</v>
      </c>
      <c r="G578" s="1">
        <v>40299</v>
      </c>
      <c r="H578" s="1">
        <v>40299</v>
      </c>
      <c r="I578" s="1">
        <v>40756</v>
      </c>
      <c r="M578" t="s">
        <v>11</v>
      </c>
      <c r="N578" t="s">
        <v>12</v>
      </c>
      <c r="O578" t="s">
        <v>13</v>
      </c>
      <c r="P578" t="s">
        <v>14</v>
      </c>
      <c r="Q578" t="s">
        <v>15</v>
      </c>
      <c r="R578" t="s">
        <v>16</v>
      </c>
      <c r="S578" s="1">
        <v>40299</v>
      </c>
    </row>
    <row r="579" spans="1:19" x14ac:dyDescent="0.25">
      <c r="A579" t="s">
        <v>7</v>
      </c>
      <c r="B579">
        <v>760</v>
      </c>
      <c r="C579">
        <v>999</v>
      </c>
      <c r="D579">
        <v>95</v>
      </c>
      <c r="E579">
        <v>97</v>
      </c>
      <c r="F579">
        <v>98</v>
      </c>
      <c r="G579" s="1">
        <v>40299</v>
      </c>
      <c r="H579" s="1">
        <v>40299</v>
      </c>
      <c r="I579" s="1">
        <v>40756</v>
      </c>
      <c r="M579" s="2" t="s">
        <v>17</v>
      </c>
      <c r="N579">
        <v>88</v>
      </c>
      <c r="O579">
        <v>88</v>
      </c>
      <c r="P579">
        <v>110</v>
      </c>
      <c r="Q579" s="3" t="s">
        <v>18</v>
      </c>
      <c r="R579" s="3" t="s">
        <v>18</v>
      </c>
    </row>
    <row r="580" spans="1:19" x14ac:dyDescent="0.25">
      <c r="A580" t="s">
        <v>7</v>
      </c>
      <c r="B580">
        <v>760</v>
      </c>
      <c r="C580">
        <v>999</v>
      </c>
      <c r="D580">
        <v>90</v>
      </c>
      <c r="E580">
        <v>95</v>
      </c>
      <c r="F580">
        <v>77</v>
      </c>
      <c r="G580" s="1">
        <v>40299</v>
      </c>
      <c r="H580" s="1">
        <v>40299</v>
      </c>
      <c r="I580" s="1">
        <v>40756</v>
      </c>
      <c r="M580" t="s">
        <v>19</v>
      </c>
      <c r="N580">
        <v>67</v>
      </c>
      <c r="O580">
        <v>67</v>
      </c>
      <c r="P580">
        <v>94</v>
      </c>
      <c r="Q580">
        <v>120</v>
      </c>
      <c r="R580" s="3" t="s">
        <v>18</v>
      </c>
    </row>
    <row r="581" spans="1:19" x14ac:dyDescent="0.25">
      <c r="A581" t="s">
        <v>7</v>
      </c>
      <c r="B581">
        <v>760</v>
      </c>
      <c r="C581">
        <v>999</v>
      </c>
      <c r="D581">
        <v>85</v>
      </c>
      <c r="E581">
        <v>90</v>
      </c>
      <c r="F581">
        <v>59</v>
      </c>
      <c r="G581" s="1">
        <v>40299</v>
      </c>
      <c r="H581" s="1">
        <v>40299</v>
      </c>
      <c r="I581" s="1">
        <v>40756</v>
      </c>
      <c r="M581" t="s">
        <v>20</v>
      </c>
      <c r="N581">
        <v>49</v>
      </c>
      <c r="O581">
        <v>49</v>
      </c>
      <c r="P581">
        <v>62</v>
      </c>
      <c r="Q581">
        <v>76</v>
      </c>
      <c r="R581" s="3" t="s">
        <v>18</v>
      </c>
    </row>
    <row r="582" spans="1:19" x14ac:dyDescent="0.25">
      <c r="A582" t="s">
        <v>7</v>
      </c>
      <c r="B582">
        <v>760</v>
      </c>
      <c r="C582">
        <v>999</v>
      </c>
      <c r="D582">
        <v>80</v>
      </c>
      <c r="E582">
        <v>85</v>
      </c>
      <c r="F582">
        <v>42</v>
      </c>
      <c r="G582" s="1">
        <v>40299</v>
      </c>
      <c r="H582" s="1">
        <v>40299</v>
      </c>
      <c r="I582" s="1">
        <v>40756</v>
      </c>
      <c r="M582" t="s">
        <v>21</v>
      </c>
      <c r="N582">
        <v>32</v>
      </c>
      <c r="O582">
        <v>32</v>
      </c>
      <c r="P582">
        <v>38</v>
      </c>
      <c r="Q582">
        <v>44</v>
      </c>
      <c r="R582" s="3" t="s">
        <v>18</v>
      </c>
    </row>
    <row r="583" spans="1:19" x14ac:dyDescent="0.25">
      <c r="A583" t="s">
        <v>7</v>
      </c>
      <c r="B583">
        <v>760</v>
      </c>
      <c r="C583">
        <v>999</v>
      </c>
      <c r="D583">
        <v>0</v>
      </c>
      <c r="E583">
        <v>80</v>
      </c>
      <c r="F583">
        <v>0</v>
      </c>
      <c r="G583" s="1">
        <v>40299</v>
      </c>
      <c r="H583" s="1">
        <v>40299</v>
      </c>
      <c r="I583" s="1">
        <v>40756</v>
      </c>
      <c r="M583" t="s">
        <v>22</v>
      </c>
      <c r="N583">
        <v>0</v>
      </c>
      <c r="O583">
        <v>0</v>
      </c>
      <c r="P583">
        <v>0</v>
      </c>
      <c r="Q583">
        <v>0</v>
      </c>
      <c r="R583" s="3" t="s">
        <v>18</v>
      </c>
    </row>
    <row r="584" spans="1:19" x14ac:dyDescent="0.25">
      <c r="A584" t="s">
        <v>7</v>
      </c>
      <c r="B584">
        <v>720</v>
      </c>
      <c r="C584">
        <v>760</v>
      </c>
      <c r="D584">
        <v>97</v>
      </c>
      <c r="E584">
        <v>999</v>
      </c>
      <c r="G584" s="1">
        <v>40299</v>
      </c>
      <c r="H584" s="1">
        <v>40299</v>
      </c>
      <c r="I584" s="1">
        <v>40756</v>
      </c>
    </row>
    <row r="585" spans="1:19" x14ac:dyDescent="0.25">
      <c r="A585" t="s">
        <v>7</v>
      </c>
      <c r="B585">
        <v>720</v>
      </c>
      <c r="C585">
        <v>760</v>
      </c>
      <c r="D585">
        <v>95</v>
      </c>
      <c r="E585">
        <v>97</v>
      </c>
      <c r="F585">
        <v>98</v>
      </c>
      <c r="G585" s="1">
        <v>40299</v>
      </c>
      <c r="H585" s="1">
        <v>40299</v>
      </c>
      <c r="I585" s="1">
        <v>40756</v>
      </c>
      <c r="M585" t="s">
        <v>23</v>
      </c>
      <c r="N585" t="s">
        <v>12</v>
      </c>
      <c r="O585" t="s">
        <v>13</v>
      </c>
      <c r="P585" t="s">
        <v>14</v>
      </c>
      <c r="Q585" t="s">
        <v>15</v>
      </c>
      <c r="R585" t="s">
        <v>16</v>
      </c>
      <c r="S585" s="1">
        <v>40299</v>
      </c>
    </row>
    <row r="586" spans="1:19" x14ac:dyDescent="0.25">
      <c r="A586" t="s">
        <v>7</v>
      </c>
      <c r="B586">
        <v>720</v>
      </c>
      <c r="C586">
        <v>760</v>
      </c>
      <c r="D586">
        <v>90</v>
      </c>
      <c r="E586">
        <v>95</v>
      </c>
      <c r="F586">
        <v>77</v>
      </c>
      <c r="G586" s="1">
        <v>40299</v>
      </c>
      <c r="H586" s="1">
        <v>40299</v>
      </c>
      <c r="I586" s="1">
        <v>40756</v>
      </c>
      <c r="M586" s="2" t="s">
        <v>17</v>
      </c>
      <c r="N586">
        <f>N579+10</f>
        <v>98</v>
      </c>
      <c r="O586">
        <f>O579+10</f>
        <v>98</v>
      </c>
      <c r="P586">
        <f>P579+15</f>
        <v>125</v>
      </c>
      <c r="Q586" s="3" t="s">
        <v>18</v>
      </c>
      <c r="R586" s="3" t="s">
        <v>18</v>
      </c>
    </row>
    <row r="587" spans="1:19" x14ac:dyDescent="0.25">
      <c r="A587" t="s">
        <v>7</v>
      </c>
      <c r="B587">
        <v>720</v>
      </c>
      <c r="C587">
        <v>760</v>
      </c>
      <c r="D587">
        <v>85</v>
      </c>
      <c r="E587">
        <v>90</v>
      </c>
      <c r="F587">
        <v>59</v>
      </c>
      <c r="G587" s="1">
        <v>40299</v>
      </c>
      <c r="H587" s="1">
        <v>40299</v>
      </c>
      <c r="I587" s="1">
        <v>40756</v>
      </c>
      <c r="M587" t="s">
        <v>19</v>
      </c>
      <c r="N587">
        <f t="shared" ref="N587:O589" si="32">N580+10</f>
        <v>77</v>
      </c>
      <c r="O587">
        <f t="shared" si="32"/>
        <v>77</v>
      </c>
      <c r="P587">
        <f t="shared" ref="P587:P589" si="33">P580+15</f>
        <v>109</v>
      </c>
      <c r="Q587">
        <f>Q580+30</f>
        <v>150</v>
      </c>
      <c r="R587" s="3" t="s">
        <v>18</v>
      </c>
    </row>
    <row r="588" spans="1:19" x14ac:dyDescent="0.25">
      <c r="A588" t="s">
        <v>7</v>
      </c>
      <c r="B588">
        <v>720</v>
      </c>
      <c r="C588">
        <v>760</v>
      </c>
      <c r="D588">
        <v>80</v>
      </c>
      <c r="E588">
        <v>85</v>
      </c>
      <c r="F588">
        <v>42</v>
      </c>
      <c r="G588" s="1">
        <v>40299</v>
      </c>
      <c r="H588" s="1">
        <v>40299</v>
      </c>
      <c r="I588" s="1">
        <v>40756</v>
      </c>
      <c r="M588" t="s">
        <v>20</v>
      </c>
      <c r="N588">
        <f t="shared" si="32"/>
        <v>59</v>
      </c>
      <c r="O588">
        <f t="shared" si="32"/>
        <v>59</v>
      </c>
      <c r="P588">
        <f t="shared" si="33"/>
        <v>77</v>
      </c>
      <c r="Q588">
        <f t="shared" ref="Q588:Q589" si="34">Q581+30</f>
        <v>106</v>
      </c>
      <c r="R588" s="3" t="s">
        <v>18</v>
      </c>
    </row>
    <row r="589" spans="1:19" x14ac:dyDescent="0.25">
      <c r="A589" t="s">
        <v>7</v>
      </c>
      <c r="B589">
        <v>720</v>
      </c>
      <c r="C589">
        <v>760</v>
      </c>
      <c r="D589">
        <v>0</v>
      </c>
      <c r="E589">
        <v>80</v>
      </c>
      <c r="F589">
        <v>0</v>
      </c>
      <c r="G589" s="1">
        <v>40299</v>
      </c>
      <c r="H589" s="1">
        <v>40299</v>
      </c>
      <c r="I589" s="1">
        <v>40756</v>
      </c>
      <c r="M589" t="s">
        <v>21</v>
      </c>
      <c r="N589">
        <f t="shared" si="32"/>
        <v>42</v>
      </c>
      <c r="O589">
        <f t="shared" si="32"/>
        <v>42</v>
      </c>
      <c r="P589">
        <f t="shared" si="33"/>
        <v>53</v>
      </c>
      <c r="Q589">
        <f t="shared" si="34"/>
        <v>74</v>
      </c>
      <c r="R589" s="3" t="s">
        <v>18</v>
      </c>
    </row>
    <row r="590" spans="1:19" x14ac:dyDescent="0.25">
      <c r="A590" t="s">
        <v>7</v>
      </c>
      <c r="B590">
        <v>680</v>
      </c>
      <c r="C590">
        <v>720</v>
      </c>
      <c r="D590">
        <v>97</v>
      </c>
      <c r="E590">
        <v>999</v>
      </c>
      <c r="G590" s="1">
        <v>40299</v>
      </c>
      <c r="H590" s="1">
        <v>40299</v>
      </c>
      <c r="I590" s="1">
        <v>40756</v>
      </c>
      <c r="M590" t="s">
        <v>22</v>
      </c>
      <c r="N590">
        <v>0</v>
      </c>
      <c r="O590">
        <v>0</v>
      </c>
      <c r="P590">
        <v>0</v>
      </c>
      <c r="Q590">
        <v>0</v>
      </c>
      <c r="R590" s="3" t="s">
        <v>18</v>
      </c>
    </row>
    <row r="591" spans="1:19" x14ac:dyDescent="0.25">
      <c r="A591" t="s">
        <v>7</v>
      </c>
      <c r="B591">
        <v>680</v>
      </c>
      <c r="C591">
        <v>720</v>
      </c>
      <c r="D591">
        <v>95</v>
      </c>
      <c r="E591">
        <v>97</v>
      </c>
      <c r="F591">
        <v>125</v>
      </c>
      <c r="G591" s="1">
        <v>40299</v>
      </c>
      <c r="H591" s="1">
        <v>40299</v>
      </c>
      <c r="I591" s="1">
        <v>40756</v>
      </c>
    </row>
    <row r="592" spans="1:19" x14ac:dyDescent="0.25">
      <c r="A592" t="s">
        <v>7</v>
      </c>
      <c r="B592">
        <v>680</v>
      </c>
      <c r="C592">
        <v>720</v>
      </c>
      <c r="D592">
        <v>90</v>
      </c>
      <c r="E592">
        <v>95</v>
      </c>
      <c r="F592">
        <v>109</v>
      </c>
      <c r="G592" s="1">
        <v>40299</v>
      </c>
      <c r="H592" s="1">
        <v>40299</v>
      </c>
      <c r="I592" s="1">
        <v>40756</v>
      </c>
      <c r="M592" t="s">
        <v>24</v>
      </c>
      <c r="N592" t="s">
        <v>57</v>
      </c>
    </row>
    <row r="593" spans="1:14" x14ac:dyDescent="0.25">
      <c r="A593" t="s">
        <v>7</v>
      </c>
      <c r="B593">
        <v>680</v>
      </c>
      <c r="C593">
        <v>720</v>
      </c>
      <c r="D593">
        <v>85</v>
      </c>
      <c r="E593">
        <v>90</v>
      </c>
      <c r="F593">
        <v>77</v>
      </c>
      <c r="G593" s="1">
        <v>40299</v>
      </c>
      <c r="H593" s="1">
        <v>40299</v>
      </c>
      <c r="I593" s="1">
        <v>40756</v>
      </c>
      <c r="M593" t="s">
        <v>25</v>
      </c>
      <c r="N593" t="s">
        <v>26</v>
      </c>
    </row>
    <row r="594" spans="1:14" x14ac:dyDescent="0.25">
      <c r="A594" t="s">
        <v>7</v>
      </c>
      <c r="B594">
        <v>680</v>
      </c>
      <c r="C594">
        <v>720</v>
      </c>
      <c r="D594">
        <v>80</v>
      </c>
      <c r="E594">
        <v>85</v>
      </c>
      <c r="F594">
        <v>53</v>
      </c>
      <c r="G594" s="1">
        <v>40299</v>
      </c>
      <c r="H594" s="1">
        <v>40299</v>
      </c>
      <c r="I594" s="1">
        <v>40756</v>
      </c>
    </row>
    <row r="595" spans="1:14" x14ac:dyDescent="0.25">
      <c r="A595" t="s">
        <v>7</v>
      </c>
      <c r="B595">
        <v>680</v>
      </c>
      <c r="C595">
        <v>720</v>
      </c>
      <c r="D595">
        <v>0</v>
      </c>
      <c r="E595">
        <v>80</v>
      </c>
      <c r="F595">
        <v>0</v>
      </c>
      <c r="G595" s="1">
        <v>40299</v>
      </c>
      <c r="H595" s="1">
        <v>40299</v>
      </c>
      <c r="I595" s="1">
        <v>40756</v>
      </c>
    </row>
    <row r="596" spans="1:14" x14ac:dyDescent="0.25">
      <c r="A596" t="s">
        <v>7</v>
      </c>
      <c r="B596">
        <v>620</v>
      </c>
      <c r="C596">
        <v>680</v>
      </c>
      <c r="D596">
        <v>97</v>
      </c>
      <c r="E596">
        <v>999</v>
      </c>
      <c r="G596" s="1">
        <v>40299</v>
      </c>
      <c r="H596" s="1">
        <v>40299</v>
      </c>
      <c r="I596" s="1">
        <v>40756</v>
      </c>
    </row>
    <row r="597" spans="1:14" x14ac:dyDescent="0.25">
      <c r="A597" t="s">
        <v>7</v>
      </c>
      <c r="B597">
        <v>620</v>
      </c>
      <c r="C597">
        <v>680</v>
      </c>
      <c r="D597">
        <v>95</v>
      </c>
      <c r="E597">
        <v>97</v>
      </c>
      <c r="G597" s="1">
        <v>40299</v>
      </c>
      <c r="H597" s="1">
        <v>40299</v>
      </c>
      <c r="I597" s="1">
        <v>40756</v>
      </c>
    </row>
    <row r="598" spans="1:14" x14ac:dyDescent="0.25">
      <c r="A598" t="s">
        <v>7</v>
      </c>
      <c r="B598">
        <v>620</v>
      </c>
      <c r="C598">
        <v>680</v>
      </c>
      <c r="D598">
        <v>90</v>
      </c>
      <c r="E598">
        <v>95</v>
      </c>
      <c r="F598">
        <f>F591+30</f>
        <v>155</v>
      </c>
      <c r="G598" s="1">
        <v>40299</v>
      </c>
      <c r="H598" s="1">
        <v>40299</v>
      </c>
      <c r="I598" s="1">
        <v>40756</v>
      </c>
    </row>
    <row r="599" spans="1:14" x14ac:dyDescent="0.25">
      <c r="A599" t="s">
        <v>7</v>
      </c>
      <c r="B599">
        <v>620</v>
      </c>
      <c r="C599">
        <v>680</v>
      </c>
      <c r="D599">
        <v>85</v>
      </c>
      <c r="E599">
        <v>90</v>
      </c>
      <c r="F599">
        <f t="shared" ref="F599:F600" si="35">F592+30</f>
        <v>139</v>
      </c>
      <c r="G599" s="1">
        <v>40299</v>
      </c>
      <c r="H599" s="1">
        <v>40299</v>
      </c>
      <c r="I599" s="1">
        <v>40756</v>
      </c>
    </row>
    <row r="600" spans="1:14" x14ac:dyDescent="0.25">
      <c r="A600" t="s">
        <v>7</v>
      </c>
      <c r="B600">
        <v>620</v>
      </c>
      <c r="C600">
        <v>680</v>
      </c>
      <c r="D600">
        <v>80</v>
      </c>
      <c r="E600">
        <v>85</v>
      </c>
      <c r="F600">
        <f t="shared" si="35"/>
        <v>107</v>
      </c>
      <c r="G600" s="1">
        <v>40299</v>
      </c>
      <c r="H600" s="1">
        <v>40299</v>
      </c>
      <c r="I600" s="1">
        <v>40756</v>
      </c>
    </row>
    <row r="601" spans="1:14" x14ac:dyDescent="0.25">
      <c r="A601" t="s">
        <v>7</v>
      </c>
      <c r="B601">
        <v>620</v>
      </c>
      <c r="C601">
        <v>680</v>
      </c>
      <c r="D601">
        <v>0</v>
      </c>
      <c r="E601">
        <v>80</v>
      </c>
      <c r="F601">
        <v>0</v>
      </c>
      <c r="G601" s="1">
        <v>40299</v>
      </c>
      <c r="H601" s="1">
        <v>40299</v>
      </c>
      <c r="I601" s="1">
        <v>40756</v>
      </c>
    </row>
    <row r="602" spans="1:14" x14ac:dyDescent="0.25">
      <c r="A602" t="s">
        <v>7</v>
      </c>
      <c r="B602">
        <v>300</v>
      </c>
      <c r="C602">
        <v>620</v>
      </c>
      <c r="D602">
        <v>97</v>
      </c>
      <c r="E602">
        <v>999</v>
      </c>
      <c r="G602" s="1">
        <v>40299</v>
      </c>
      <c r="H602" s="1">
        <v>40299</v>
      </c>
      <c r="I602" s="1">
        <v>40756</v>
      </c>
    </row>
    <row r="603" spans="1:14" x14ac:dyDescent="0.25">
      <c r="A603" t="s">
        <v>7</v>
      </c>
      <c r="B603">
        <v>300</v>
      </c>
      <c r="C603">
        <v>620</v>
      </c>
      <c r="D603">
        <v>95</v>
      </c>
      <c r="E603">
        <v>97</v>
      </c>
      <c r="G603" s="1">
        <v>40299</v>
      </c>
      <c r="H603" s="1">
        <v>40299</v>
      </c>
      <c r="I603" s="1">
        <v>40756</v>
      </c>
    </row>
    <row r="604" spans="1:14" x14ac:dyDescent="0.25">
      <c r="A604" t="s">
        <v>7</v>
      </c>
      <c r="B604">
        <v>300</v>
      </c>
      <c r="C604">
        <v>620</v>
      </c>
      <c r="D604">
        <v>90</v>
      </c>
      <c r="E604">
        <v>95</v>
      </c>
      <c r="G604" s="1">
        <v>40299</v>
      </c>
      <c r="H604" s="1">
        <v>40299</v>
      </c>
      <c r="I604" s="1">
        <v>40756</v>
      </c>
    </row>
    <row r="605" spans="1:14" x14ac:dyDescent="0.25">
      <c r="A605" t="s">
        <v>7</v>
      </c>
      <c r="B605">
        <v>300</v>
      </c>
      <c r="C605">
        <v>620</v>
      </c>
      <c r="D605">
        <v>85</v>
      </c>
      <c r="E605">
        <v>90</v>
      </c>
      <c r="G605" s="1">
        <v>40299</v>
      </c>
      <c r="H605" s="1">
        <v>40299</v>
      </c>
      <c r="I605" s="1">
        <v>40756</v>
      </c>
    </row>
    <row r="606" spans="1:14" x14ac:dyDescent="0.25">
      <c r="A606" t="s">
        <v>7</v>
      </c>
      <c r="B606">
        <v>300</v>
      </c>
      <c r="C606">
        <v>620</v>
      </c>
      <c r="D606">
        <v>80</v>
      </c>
      <c r="E606">
        <v>85</v>
      </c>
      <c r="G606" s="1">
        <v>40299</v>
      </c>
      <c r="H606" s="1">
        <v>40299</v>
      </c>
      <c r="I606" s="1">
        <v>40756</v>
      </c>
    </row>
    <row r="607" spans="1:14" x14ac:dyDescent="0.25">
      <c r="A607" t="s">
        <v>7</v>
      </c>
      <c r="B607">
        <v>300</v>
      </c>
      <c r="C607">
        <v>620</v>
      </c>
      <c r="D607">
        <v>0</v>
      </c>
      <c r="E607">
        <v>80</v>
      </c>
      <c r="G607" s="1">
        <v>40299</v>
      </c>
      <c r="H607" s="1">
        <v>40299</v>
      </c>
      <c r="I607" s="1">
        <v>40756</v>
      </c>
    </row>
    <row r="608" spans="1:14" x14ac:dyDescent="0.25">
      <c r="A608" t="s">
        <v>8</v>
      </c>
      <c r="B608">
        <v>760</v>
      </c>
      <c r="C608">
        <v>999</v>
      </c>
      <c r="D608">
        <v>97</v>
      </c>
      <c r="E608">
        <v>999</v>
      </c>
      <c r="G608" s="1">
        <v>40299</v>
      </c>
      <c r="H608" s="1">
        <v>40299</v>
      </c>
      <c r="I608" s="1">
        <v>40756</v>
      </c>
    </row>
    <row r="609" spans="1:9" x14ac:dyDescent="0.25">
      <c r="A609" t="s">
        <v>8</v>
      </c>
      <c r="B609">
        <v>760</v>
      </c>
      <c r="C609">
        <v>999</v>
      </c>
      <c r="D609">
        <v>95</v>
      </c>
      <c r="E609">
        <v>97</v>
      </c>
      <c r="F609">
        <v>88</v>
      </c>
      <c r="G609" s="1">
        <v>40299</v>
      </c>
      <c r="H609" s="1">
        <v>40299</v>
      </c>
      <c r="I609" s="1">
        <v>40756</v>
      </c>
    </row>
    <row r="610" spans="1:9" x14ac:dyDescent="0.25">
      <c r="A610" t="s">
        <v>8</v>
      </c>
      <c r="B610">
        <v>760</v>
      </c>
      <c r="C610">
        <v>999</v>
      </c>
      <c r="D610">
        <v>90</v>
      </c>
      <c r="E610">
        <v>95</v>
      </c>
      <c r="F610">
        <v>67</v>
      </c>
      <c r="G610" s="1">
        <v>40299</v>
      </c>
      <c r="H610" s="1">
        <v>40299</v>
      </c>
      <c r="I610" s="1">
        <v>40756</v>
      </c>
    </row>
    <row r="611" spans="1:9" x14ac:dyDescent="0.25">
      <c r="A611" t="s">
        <v>8</v>
      </c>
      <c r="B611">
        <v>760</v>
      </c>
      <c r="C611">
        <v>999</v>
      </c>
      <c r="D611">
        <v>85</v>
      </c>
      <c r="E611">
        <v>90</v>
      </c>
      <c r="F611">
        <v>49</v>
      </c>
      <c r="G611" s="1">
        <v>40299</v>
      </c>
      <c r="H611" s="1">
        <v>40299</v>
      </c>
      <c r="I611" s="1">
        <v>40756</v>
      </c>
    </row>
    <row r="612" spans="1:9" x14ac:dyDescent="0.25">
      <c r="A612" t="s">
        <v>8</v>
      </c>
      <c r="B612">
        <v>760</v>
      </c>
      <c r="C612">
        <v>999</v>
      </c>
      <c r="D612">
        <v>80</v>
      </c>
      <c r="E612">
        <v>85</v>
      </c>
      <c r="F612">
        <v>32</v>
      </c>
      <c r="G612" s="1">
        <v>40299</v>
      </c>
      <c r="H612" s="1">
        <v>40299</v>
      </c>
      <c r="I612" s="1">
        <v>40756</v>
      </c>
    </row>
    <row r="613" spans="1:9" x14ac:dyDescent="0.25">
      <c r="A613" t="s">
        <v>8</v>
      </c>
      <c r="B613">
        <v>760</v>
      </c>
      <c r="C613">
        <v>999</v>
      </c>
      <c r="D613">
        <v>0</v>
      </c>
      <c r="E613">
        <v>80</v>
      </c>
      <c r="F613">
        <v>0</v>
      </c>
      <c r="G613" s="1">
        <v>40299</v>
      </c>
      <c r="H613" s="1">
        <v>40299</v>
      </c>
      <c r="I613" s="1">
        <v>40756</v>
      </c>
    </row>
    <row r="614" spans="1:9" x14ac:dyDescent="0.25">
      <c r="A614" t="s">
        <v>8</v>
      </c>
      <c r="B614">
        <v>720</v>
      </c>
      <c r="C614">
        <v>760</v>
      </c>
      <c r="D614">
        <v>97</v>
      </c>
      <c r="E614">
        <v>999</v>
      </c>
      <c r="G614" s="1">
        <v>40299</v>
      </c>
      <c r="H614" s="1">
        <v>40299</v>
      </c>
      <c r="I614" s="1">
        <v>40756</v>
      </c>
    </row>
    <row r="615" spans="1:9" x14ac:dyDescent="0.25">
      <c r="A615" t="s">
        <v>8</v>
      </c>
      <c r="B615">
        <v>720</v>
      </c>
      <c r="C615">
        <v>760</v>
      </c>
      <c r="D615">
        <v>95</v>
      </c>
      <c r="E615">
        <v>97</v>
      </c>
      <c r="F615">
        <v>88</v>
      </c>
      <c r="G615" s="1">
        <v>40299</v>
      </c>
      <c r="H615" s="1">
        <v>40299</v>
      </c>
      <c r="I615" s="1">
        <v>40756</v>
      </c>
    </row>
    <row r="616" spans="1:9" x14ac:dyDescent="0.25">
      <c r="A616" t="s">
        <v>8</v>
      </c>
      <c r="B616">
        <v>720</v>
      </c>
      <c r="C616">
        <v>760</v>
      </c>
      <c r="D616">
        <v>90</v>
      </c>
      <c r="E616">
        <v>95</v>
      </c>
      <c r="F616">
        <v>67</v>
      </c>
      <c r="G616" s="1">
        <v>40299</v>
      </c>
      <c r="H616" s="1">
        <v>40299</v>
      </c>
      <c r="I616" s="1">
        <v>40756</v>
      </c>
    </row>
    <row r="617" spans="1:9" x14ac:dyDescent="0.25">
      <c r="A617" t="s">
        <v>8</v>
      </c>
      <c r="B617">
        <v>720</v>
      </c>
      <c r="C617">
        <v>760</v>
      </c>
      <c r="D617">
        <v>85</v>
      </c>
      <c r="E617">
        <v>90</v>
      </c>
      <c r="F617">
        <v>49</v>
      </c>
      <c r="G617" s="1">
        <v>40299</v>
      </c>
      <c r="H617" s="1">
        <v>40299</v>
      </c>
      <c r="I617" s="1">
        <v>40756</v>
      </c>
    </row>
    <row r="618" spans="1:9" x14ac:dyDescent="0.25">
      <c r="A618" t="s">
        <v>8</v>
      </c>
      <c r="B618">
        <v>720</v>
      </c>
      <c r="C618">
        <v>760</v>
      </c>
      <c r="D618">
        <v>80</v>
      </c>
      <c r="E618">
        <v>85</v>
      </c>
      <c r="F618">
        <v>32</v>
      </c>
      <c r="G618" s="1">
        <v>40299</v>
      </c>
      <c r="H618" s="1">
        <v>40299</v>
      </c>
      <c r="I618" s="1">
        <v>40756</v>
      </c>
    </row>
    <row r="619" spans="1:9" x14ac:dyDescent="0.25">
      <c r="A619" t="s">
        <v>8</v>
      </c>
      <c r="B619">
        <v>720</v>
      </c>
      <c r="C619">
        <v>760</v>
      </c>
      <c r="D619">
        <v>0</v>
      </c>
      <c r="E619">
        <v>80</v>
      </c>
      <c r="F619">
        <v>0</v>
      </c>
      <c r="G619" s="1">
        <v>40299</v>
      </c>
      <c r="H619" s="1">
        <v>40299</v>
      </c>
      <c r="I619" s="1">
        <v>40756</v>
      </c>
    </row>
    <row r="620" spans="1:9" x14ac:dyDescent="0.25">
      <c r="A620" t="s">
        <v>8</v>
      </c>
      <c r="B620">
        <v>680</v>
      </c>
      <c r="C620">
        <v>720</v>
      </c>
      <c r="D620">
        <v>97</v>
      </c>
      <c r="E620">
        <v>999</v>
      </c>
      <c r="G620" s="1">
        <v>40299</v>
      </c>
      <c r="H620" s="1">
        <v>40299</v>
      </c>
      <c r="I620" s="1">
        <v>40756</v>
      </c>
    </row>
    <row r="621" spans="1:9" x14ac:dyDescent="0.25">
      <c r="A621" t="s">
        <v>8</v>
      </c>
      <c r="B621">
        <v>680</v>
      </c>
      <c r="C621">
        <v>720</v>
      </c>
      <c r="D621">
        <v>95</v>
      </c>
      <c r="E621">
        <v>97</v>
      </c>
      <c r="F621">
        <v>110</v>
      </c>
      <c r="G621" s="1">
        <v>40299</v>
      </c>
      <c r="H621" s="1">
        <v>40299</v>
      </c>
      <c r="I621" s="1">
        <v>40756</v>
      </c>
    </row>
    <row r="622" spans="1:9" x14ac:dyDescent="0.25">
      <c r="A622" t="s">
        <v>8</v>
      </c>
      <c r="B622">
        <v>680</v>
      </c>
      <c r="C622">
        <v>720</v>
      </c>
      <c r="D622">
        <v>90</v>
      </c>
      <c r="E622">
        <v>95</v>
      </c>
      <c r="F622">
        <v>94</v>
      </c>
      <c r="G622" s="1">
        <v>40299</v>
      </c>
      <c r="H622" s="1">
        <v>40299</v>
      </c>
      <c r="I622" s="1">
        <v>40756</v>
      </c>
    </row>
    <row r="623" spans="1:9" x14ac:dyDescent="0.25">
      <c r="A623" t="s">
        <v>8</v>
      </c>
      <c r="B623">
        <v>680</v>
      </c>
      <c r="C623">
        <v>720</v>
      </c>
      <c r="D623">
        <v>85</v>
      </c>
      <c r="E623">
        <v>90</v>
      </c>
      <c r="F623">
        <v>62</v>
      </c>
      <c r="G623" s="1">
        <v>40299</v>
      </c>
      <c r="H623" s="1">
        <v>40299</v>
      </c>
      <c r="I623" s="1">
        <v>40756</v>
      </c>
    </row>
    <row r="624" spans="1:9" x14ac:dyDescent="0.25">
      <c r="A624" t="s">
        <v>8</v>
      </c>
      <c r="B624">
        <v>680</v>
      </c>
      <c r="C624">
        <v>720</v>
      </c>
      <c r="D624">
        <v>80</v>
      </c>
      <c r="E624">
        <v>85</v>
      </c>
      <c r="F624">
        <v>38</v>
      </c>
      <c r="G624" s="1">
        <v>40299</v>
      </c>
      <c r="H624" s="1">
        <v>40299</v>
      </c>
      <c r="I624" s="1">
        <v>40756</v>
      </c>
    </row>
    <row r="625" spans="1:19" x14ac:dyDescent="0.25">
      <c r="A625" t="s">
        <v>8</v>
      </c>
      <c r="B625">
        <v>680</v>
      </c>
      <c r="C625">
        <v>720</v>
      </c>
      <c r="D625">
        <v>0</v>
      </c>
      <c r="E625">
        <v>80</v>
      </c>
      <c r="F625">
        <v>0</v>
      </c>
      <c r="G625" s="1">
        <v>40299</v>
      </c>
      <c r="H625" s="1">
        <v>40299</v>
      </c>
      <c r="I625" s="1">
        <v>40756</v>
      </c>
    </row>
    <row r="626" spans="1:19" x14ac:dyDescent="0.25">
      <c r="A626" t="s">
        <v>8</v>
      </c>
      <c r="B626">
        <v>620</v>
      </c>
      <c r="C626">
        <v>680</v>
      </c>
      <c r="D626">
        <v>97</v>
      </c>
      <c r="E626">
        <v>999</v>
      </c>
      <c r="G626" s="1">
        <v>40299</v>
      </c>
      <c r="H626" s="1">
        <v>40299</v>
      </c>
      <c r="I626" s="1">
        <v>40756</v>
      </c>
    </row>
    <row r="627" spans="1:19" x14ac:dyDescent="0.25">
      <c r="A627" t="s">
        <v>8</v>
      </c>
      <c r="B627">
        <v>620</v>
      </c>
      <c r="C627">
        <v>680</v>
      </c>
      <c r="D627">
        <v>95</v>
      </c>
      <c r="E627">
        <v>97</v>
      </c>
      <c r="G627" s="1">
        <v>40299</v>
      </c>
      <c r="H627" s="1">
        <v>40299</v>
      </c>
      <c r="I627" s="1">
        <v>40756</v>
      </c>
    </row>
    <row r="628" spans="1:19" x14ac:dyDescent="0.25">
      <c r="A628" t="s">
        <v>8</v>
      </c>
      <c r="B628">
        <v>620</v>
      </c>
      <c r="C628">
        <v>680</v>
      </c>
      <c r="D628">
        <v>90</v>
      </c>
      <c r="E628">
        <v>95</v>
      </c>
      <c r="F628">
        <v>120</v>
      </c>
      <c r="G628" s="1">
        <v>40299</v>
      </c>
      <c r="H628" s="1">
        <v>40299</v>
      </c>
      <c r="I628" s="1">
        <v>40756</v>
      </c>
    </row>
    <row r="629" spans="1:19" x14ac:dyDescent="0.25">
      <c r="A629" t="s">
        <v>8</v>
      </c>
      <c r="B629">
        <v>620</v>
      </c>
      <c r="C629">
        <v>680</v>
      </c>
      <c r="D629">
        <v>85</v>
      </c>
      <c r="E629">
        <v>90</v>
      </c>
      <c r="F629">
        <v>76</v>
      </c>
      <c r="G629" s="1">
        <v>40299</v>
      </c>
      <c r="H629" s="1">
        <v>40299</v>
      </c>
      <c r="I629" s="1">
        <v>40756</v>
      </c>
    </row>
    <row r="630" spans="1:19" x14ac:dyDescent="0.25">
      <c r="A630" t="s">
        <v>8</v>
      </c>
      <c r="B630">
        <v>620</v>
      </c>
      <c r="C630">
        <v>680</v>
      </c>
      <c r="D630">
        <v>80</v>
      </c>
      <c r="E630">
        <v>85</v>
      </c>
      <c r="F630">
        <v>44</v>
      </c>
      <c r="G630" s="1">
        <v>40299</v>
      </c>
      <c r="H630" s="1">
        <v>40299</v>
      </c>
      <c r="I630" s="1">
        <v>40756</v>
      </c>
    </row>
    <row r="631" spans="1:19" x14ac:dyDescent="0.25">
      <c r="A631" t="s">
        <v>8</v>
      </c>
      <c r="B631">
        <v>620</v>
      </c>
      <c r="C631">
        <v>680</v>
      </c>
      <c r="D631">
        <v>0</v>
      </c>
      <c r="E631">
        <v>80</v>
      </c>
      <c r="F631">
        <v>0</v>
      </c>
      <c r="G631" s="1">
        <v>40299</v>
      </c>
      <c r="H631" s="1">
        <v>40299</v>
      </c>
      <c r="I631" s="1">
        <v>40756</v>
      </c>
    </row>
    <row r="632" spans="1:19" x14ac:dyDescent="0.25">
      <c r="A632" t="s">
        <v>8</v>
      </c>
      <c r="B632">
        <v>300</v>
      </c>
      <c r="C632">
        <v>620</v>
      </c>
      <c r="D632">
        <v>97</v>
      </c>
      <c r="E632">
        <v>999</v>
      </c>
      <c r="G632" s="1">
        <v>40299</v>
      </c>
      <c r="H632" s="1">
        <v>40299</v>
      </c>
      <c r="I632" s="1">
        <v>40756</v>
      </c>
    </row>
    <row r="633" spans="1:19" x14ac:dyDescent="0.25">
      <c r="A633" t="s">
        <v>8</v>
      </c>
      <c r="B633">
        <v>300</v>
      </c>
      <c r="C633">
        <v>620</v>
      </c>
      <c r="D633">
        <v>95</v>
      </c>
      <c r="E633">
        <v>97</v>
      </c>
      <c r="G633" s="1">
        <v>40299</v>
      </c>
      <c r="H633" s="1">
        <v>40299</v>
      </c>
      <c r="I633" s="1">
        <v>40756</v>
      </c>
    </row>
    <row r="634" spans="1:19" x14ac:dyDescent="0.25">
      <c r="A634" t="s">
        <v>8</v>
      </c>
      <c r="B634">
        <v>300</v>
      </c>
      <c r="C634">
        <v>620</v>
      </c>
      <c r="D634">
        <v>90</v>
      </c>
      <c r="E634">
        <v>95</v>
      </c>
      <c r="G634" s="1">
        <v>40299</v>
      </c>
      <c r="H634" s="1">
        <v>40299</v>
      </c>
      <c r="I634" s="1">
        <v>40756</v>
      </c>
    </row>
    <row r="635" spans="1:19" x14ac:dyDescent="0.25">
      <c r="A635" t="s">
        <v>8</v>
      </c>
      <c r="B635">
        <v>300</v>
      </c>
      <c r="C635">
        <v>620</v>
      </c>
      <c r="D635">
        <v>85</v>
      </c>
      <c r="E635">
        <v>90</v>
      </c>
      <c r="G635" s="1">
        <v>40299</v>
      </c>
      <c r="H635" s="1">
        <v>40299</v>
      </c>
      <c r="I635" s="1">
        <v>40756</v>
      </c>
    </row>
    <row r="636" spans="1:19" x14ac:dyDescent="0.25">
      <c r="A636" t="s">
        <v>8</v>
      </c>
      <c r="B636">
        <v>300</v>
      </c>
      <c r="C636">
        <v>620</v>
      </c>
      <c r="D636">
        <v>80</v>
      </c>
      <c r="E636">
        <v>85</v>
      </c>
      <c r="G636" s="1">
        <v>40299</v>
      </c>
      <c r="H636" s="1">
        <v>40299</v>
      </c>
      <c r="I636" s="1">
        <v>40756</v>
      </c>
    </row>
    <row r="637" spans="1:19" x14ac:dyDescent="0.25">
      <c r="A637" t="s">
        <v>8</v>
      </c>
      <c r="B637">
        <v>300</v>
      </c>
      <c r="C637">
        <v>620</v>
      </c>
      <c r="D637">
        <v>0</v>
      </c>
      <c r="E637">
        <v>80</v>
      </c>
      <c r="G637" s="1">
        <v>40299</v>
      </c>
      <c r="H637" s="1">
        <v>40299</v>
      </c>
      <c r="I637" s="1">
        <v>40756</v>
      </c>
    </row>
    <row r="638" spans="1:19" x14ac:dyDescent="0.25">
      <c r="A638" t="s">
        <v>7</v>
      </c>
      <c r="B638">
        <v>760</v>
      </c>
      <c r="C638">
        <v>999</v>
      </c>
      <c r="D638">
        <v>97</v>
      </c>
      <c r="E638">
        <v>999</v>
      </c>
      <c r="G638" s="1">
        <v>39873</v>
      </c>
      <c r="H638" s="1">
        <v>39873</v>
      </c>
      <c r="I638" s="1">
        <v>40299</v>
      </c>
      <c r="M638" t="s">
        <v>11</v>
      </c>
      <c r="N638" t="s">
        <v>12</v>
      </c>
      <c r="O638" t="s">
        <v>13</v>
      </c>
      <c r="P638" t="s">
        <v>14</v>
      </c>
      <c r="Q638" t="s">
        <v>15</v>
      </c>
      <c r="R638" t="s">
        <v>16</v>
      </c>
      <c r="S638" s="1">
        <v>39873</v>
      </c>
    </row>
    <row r="639" spans="1:19" x14ac:dyDescent="0.25">
      <c r="A639" t="s">
        <v>7</v>
      </c>
      <c r="B639">
        <v>760</v>
      </c>
      <c r="C639">
        <v>999</v>
      </c>
      <c r="D639">
        <v>95</v>
      </c>
      <c r="E639">
        <v>97</v>
      </c>
      <c r="F639">
        <v>98</v>
      </c>
      <c r="G639" s="1">
        <v>39873</v>
      </c>
      <c r="H639" s="1">
        <v>39873</v>
      </c>
      <c r="I639" s="1">
        <v>40299</v>
      </c>
      <c r="M639" s="2" t="s">
        <v>17</v>
      </c>
      <c r="N639">
        <v>98</v>
      </c>
      <c r="O639">
        <v>98</v>
      </c>
      <c r="P639">
        <v>98</v>
      </c>
      <c r="Q639">
        <v>98</v>
      </c>
      <c r="R639" s="3" t="s">
        <v>18</v>
      </c>
    </row>
    <row r="640" spans="1:19" x14ac:dyDescent="0.25">
      <c r="A640" t="s">
        <v>7</v>
      </c>
      <c r="B640">
        <v>760</v>
      </c>
      <c r="C640">
        <v>999</v>
      </c>
      <c r="D640">
        <v>90</v>
      </c>
      <c r="E640">
        <v>95</v>
      </c>
      <c r="F640">
        <v>94</v>
      </c>
      <c r="G640" s="1">
        <v>39873</v>
      </c>
      <c r="H640" s="1">
        <v>39873</v>
      </c>
      <c r="I640" s="1">
        <v>40299</v>
      </c>
      <c r="M640" t="s">
        <v>19</v>
      </c>
      <c r="N640">
        <v>94</v>
      </c>
      <c r="O640">
        <v>94</v>
      </c>
      <c r="P640">
        <v>94</v>
      </c>
      <c r="Q640">
        <v>94</v>
      </c>
      <c r="R640" s="3" t="s">
        <v>18</v>
      </c>
    </row>
    <row r="641" spans="1:19" x14ac:dyDescent="0.25">
      <c r="A641" t="s">
        <v>7</v>
      </c>
      <c r="B641">
        <v>760</v>
      </c>
      <c r="C641">
        <v>999</v>
      </c>
      <c r="D641">
        <v>85</v>
      </c>
      <c r="E641">
        <v>90</v>
      </c>
      <c r="F641">
        <v>62</v>
      </c>
      <c r="G641" s="1">
        <v>39873</v>
      </c>
      <c r="H641" s="1">
        <v>39873</v>
      </c>
      <c r="I641" s="1">
        <v>40299</v>
      </c>
      <c r="M641" t="s">
        <v>20</v>
      </c>
      <c r="N641">
        <v>62</v>
      </c>
      <c r="O641">
        <v>62</v>
      </c>
      <c r="P641">
        <v>62</v>
      </c>
      <c r="Q641">
        <v>62</v>
      </c>
      <c r="R641" s="3" t="s">
        <v>18</v>
      </c>
    </row>
    <row r="642" spans="1:19" x14ac:dyDescent="0.25">
      <c r="A642" t="s">
        <v>7</v>
      </c>
      <c r="B642">
        <v>760</v>
      </c>
      <c r="C642">
        <v>999</v>
      </c>
      <c r="D642">
        <v>80</v>
      </c>
      <c r="E642">
        <v>85</v>
      </c>
      <c r="F642">
        <v>38</v>
      </c>
      <c r="G642" s="1">
        <v>39873</v>
      </c>
      <c r="H642" s="1">
        <v>39873</v>
      </c>
      <c r="I642" s="1">
        <v>40299</v>
      </c>
      <c r="M642" t="s">
        <v>21</v>
      </c>
      <c r="N642">
        <v>38</v>
      </c>
      <c r="O642">
        <v>38</v>
      </c>
      <c r="P642">
        <v>38</v>
      </c>
      <c r="Q642">
        <v>38</v>
      </c>
      <c r="R642" s="3" t="s">
        <v>18</v>
      </c>
    </row>
    <row r="643" spans="1:19" x14ac:dyDescent="0.25">
      <c r="A643" t="s">
        <v>7</v>
      </c>
      <c r="B643">
        <v>760</v>
      </c>
      <c r="C643">
        <v>999</v>
      </c>
      <c r="D643">
        <v>0</v>
      </c>
      <c r="E643">
        <v>80</v>
      </c>
      <c r="F643">
        <v>0</v>
      </c>
      <c r="G643" s="1">
        <v>39873</v>
      </c>
      <c r="H643" s="1">
        <v>39873</v>
      </c>
      <c r="I643" s="1">
        <v>40299</v>
      </c>
      <c r="M643" t="s">
        <v>22</v>
      </c>
      <c r="N643">
        <v>0</v>
      </c>
      <c r="O643">
        <v>0</v>
      </c>
      <c r="P643">
        <v>0</v>
      </c>
      <c r="Q643">
        <v>0</v>
      </c>
      <c r="R643" s="3" t="s">
        <v>18</v>
      </c>
    </row>
    <row r="644" spans="1:19" x14ac:dyDescent="0.25">
      <c r="A644" t="s">
        <v>7</v>
      </c>
      <c r="B644">
        <v>720</v>
      </c>
      <c r="C644">
        <v>760</v>
      </c>
      <c r="D644">
        <v>97</v>
      </c>
      <c r="E644">
        <v>999</v>
      </c>
      <c r="G644" s="1">
        <v>39873</v>
      </c>
      <c r="H644" s="1">
        <v>39873</v>
      </c>
      <c r="I644" s="1">
        <v>40299</v>
      </c>
    </row>
    <row r="645" spans="1:19" x14ac:dyDescent="0.25">
      <c r="A645" t="s">
        <v>7</v>
      </c>
      <c r="B645">
        <v>720</v>
      </c>
      <c r="C645">
        <v>760</v>
      </c>
      <c r="D645">
        <v>95</v>
      </c>
      <c r="E645">
        <v>97</v>
      </c>
      <c r="F645">
        <v>98</v>
      </c>
      <c r="G645" s="1">
        <v>39873</v>
      </c>
      <c r="H645" s="1">
        <v>39873</v>
      </c>
      <c r="I645" s="1">
        <v>40299</v>
      </c>
      <c r="M645" t="s">
        <v>23</v>
      </c>
      <c r="N645" t="s">
        <v>12</v>
      </c>
      <c r="O645" t="s">
        <v>13</v>
      </c>
      <c r="P645" t="s">
        <v>14</v>
      </c>
      <c r="Q645" t="s">
        <v>15</v>
      </c>
      <c r="R645" t="s">
        <v>16</v>
      </c>
      <c r="S645" s="1">
        <v>39873</v>
      </c>
    </row>
    <row r="646" spans="1:19" x14ac:dyDescent="0.25">
      <c r="A646" t="s">
        <v>7</v>
      </c>
      <c r="B646">
        <v>720</v>
      </c>
      <c r="C646">
        <v>760</v>
      </c>
      <c r="D646">
        <v>90</v>
      </c>
      <c r="E646">
        <v>95</v>
      </c>
      <c r="F646">
        <v>94</v>
      </c>
      <c r="G646" s="1">
        <v>39873</v>
      </c>
      <c r="H646" s="1">
        <v>39873</v>
      </c>
      <c r="I646" s="1">
        <v>40299</v>
      </c>
      <c r="M646" s="2" t="s">
        <v>17</v>
      </c>
      <c r="N646">
        <f>N639</f>
        <v>98</v>
      </c>
      <c r="O646">
        <f t="shared" ref="O646:Q646" si="36">O639</f>
        <v>98</v>
      </c>
      <c r="P646">
        <f t="shared" si="36"/>
        <v>98</v>
      </c>
      <c r="Q646">
        <f t="shared" si="36"/>
        <v>98</v>
      </c>
      <c r="R646" s="3" t="s">
        <v>18</v>
      </c>
    </row>
    <row r="647" spans="1:19" x14ac:dyDescent="0.25">
      <c r="A647" t="s">
        <v>7</v>
      </c>
      <c r="B647">
        <v>720</v>
      </c>
      <c r="C647">
        <v>760</v>
      </c>
      <c r="D647">
        <v>85</v>
      </c>
      <c r="E647">
        <v>90</v>
      </c>
      <c r="F647">
        <v>62</v>
      </c>
      <c r="G647" s="1">
        <v>39873</v>
      </c>
      <c r="H647" s="1">
        <v>39873</v>
      </c>
      <c r="I647" s="1">
        <v>40299</v>
      </c>
      <c r="M647" t="s">
        <v>19</v>
      </c>
      <c r="N647">
        <f t="shared" ref="N647:Q650" si="37">N640</f>
        <v>94</v>
      </c>
      <c r="O647">
        <f t="shared" si="37"/>
        <v>94</v>
      </c>
      <c r="P647">
        <f t="shared" si="37"/>
        <v>94</v>
      </c>
      <c r="Q647">
        <f t="shared" si="37"/>
        <v>94</v>
      </c>
      <c r="R647" s="3" t="s">
        <v>18</v>
      </c>
    </row>
    <row r="648" spans="1:19" x14ac:dyDescent="0.25">
      <c r="A648" t="s">
        <v>7</v>
      </c>
      <c r="B648">
        <v>720</v>
      </c>
      <c r="C648">
        <v>760</v>
      </c>
      <c r="D648">
        <v>80</v>
      </c>
      <c r="E648">
        <v>85</v>
      </c>
      <c r="F648">
        <v>38</v>
      </c>
      <c r="G648" s="1">
        <v>39873</v>
      </c>
      <c r="H648" s="1">
        <v>39873</v>
      </c>
      <c r="I648" s="1">
        <v>40299</v>
      </c>
      <c r="M648" t="s">
        <v>20</v>
      </c>
      <c r="N648">
        <f t="shared" si="37"/>
        <v>62</v>
      </c>
      <c r="O648">
        <f t="shared" si="37"/>
        <v>62</v>
      </c>
      <c r="P648">
        <f t="shared" si="37"/>
        <v>62</v>
      </c>
      <c r="Q648">
        <f t="shared" si="37"/>
        <v>62</v>
      </c>
      <c r="R648" s="3" t="s">
        <v>18</v>
      </c>
    </row>
    <row r="649" spans="1:19" x14ac:dyDescent="0.25">
      <c r="A649" t="s">
        <v>7</v>
      </c>
      <c r="B649">
        <v>720</v>
      </c>
      <c r="C649">
        <v>760</v>
      </c>
      <c r="D649">
        <v>0</v>
      </c>
      <c r="E649">
        <v>80</v>
      </c>
      <c r="F649">
        <v>0</v>
      </c>
      <c r="G649" s="1">
        <v>39873</v>
      </c>
      <c r="H649" s="1">
        <v>39873</v>
      </c>
      <c r="I649" s="1">
        <v>40299</v>
      </c>
      <c r="M649" t="s">
        <v>21</v>
      </c>
      <c r="N649">
        <f t="shared" si="37"/>
        <v>38</v>
      </c>
      <c r="O649">
        <f t="shared" si="37"/>
        <v>38</v>
      </c>
      <c r="P649">
        <f t="shared" si="37"/>
        <v>38</v>
      </c>
      <c r="Q649">
        <f t="shared" si="37"/>
        <v>38</v>
      </c>
      <c r="R649" s="3" t="s">
        <v>18</v>
      </c>
    </row>
    <row r="650" spans="1:19" x14ac:dyDescent="0.25">
      <c r="A650" t="s">
        <v>7</v>
      </c>
      <c r="B650">
        <v>680</v>
      </c>
      <c r="C650">
        <v>720</v>
      </c>
      <c r="D650">
        <v>97</v>
      </c>
      <c r="E650">
        <v>999</v>
      </c>
      <c r="G650" s="1">
        <v>39873</v>
      </c>
      <c r="H650" s="1">
        <v>39873</v>
      </c>
      <c r="I650" s="1">
        <v>40299</v>
      </c>
      <c r="M650" t="s">
        <v>22</v>
      </c>
      <c r="N650">
        <f t="shared" si="37"/>
        <v>0</v>
      </c>
      <c r="O650">
        <f t="shared" si="37"/>
        <v>0</v>
      </c>
      <c r="P650">
        <f t="shared" si="37"/>
        <v>0</v>
      </c>
      <c r="Q650">
        <f t="shared" si="37"/>
        <v>0</v>
      </c>
      <c r="R650" s="3" t="s">
        <v>18</v>
      </c>
    </row>
    <row r="651" spans="1:19" x14ac:dyDescent="0.25">
      <c r="A651" t="s">
        <v>7</v>
      </c>
      <c r="B651">
        <v>680</v>
      </c>
      <c r="C651">
        <v>720</v>
      </c>
      <c r="D651">
        <v>95</v>
      </c>
      <c r="E651">
        <v>97</v>
      </c>
      <c r="F651">
        <v>98</v>
      </c>
      <c r="G651" s="1">
        <v>39873</v>
      </c>
      <c r="H651" s="1">
        <v>39873</v>
      </c>
      <c r="I651" s="1">
        <v>40299</v>
      </c>
    </row>
    <row r="652" spans="1:19" x14ac:dyDescent="0.25">
      <c r="A652" t="s">
        <v>7</v>
      </c>
      <c r="B652">
        <v>680</v>
      </c>
      <c r="C652">
        <v>720</v>
      </c>
      <c r="D652">
        <v>90</v>
      </c>
      <c r="E652">
        <v>95</v>
      </c>
      <c r="F652">
        <v>94</v>
      </c>
      <c r="G652" s="1">
        <v>39873</v>
      </c>
      <c r="H652" s="1">
        <v>39873</v>
      </c>
      <c r="I652" s="1">
        <v>40299</v>
      </c>
      <c r="M652" t="s">
        <v>24</v>
      </c>
      <c r="N652" t="s">
        <v>57</v>
      </c>
    </row>
    <row r="653" spans="1:19" x14ac:dyDescent="0.25">
      <c r="A653" t="s">
        <v>7</v>
      </c>
      <c r="B653">
        <v>680</v>
      </c>
      <c r="C653">
        <v>720</v>
      </c>
      <c r="D653">
        <v>85</v>
      </c>
      <c r="E653">
        <v>90</v>
      </c>
      <c r="F653">
        <v>62</v>
      </c>
      <c r="G653" s="1">
        <v>39873</v>
      </c>
      <c r="H653" s="1">
        <v>39873</v>
      </c>
      <c r="I653" s="1">
        <v>40299</v>
      </c>
      <c r="M653" t="s">
        <v>25</v>
      </c>
      <c r="N653" t="s">
        <v>26</v>
      </c>
    </row>
    <row r="654" spans="1:19" x14ac:dyDescent="0.25">
      <c r="A654" t="s">
        <v>7</v>
      </c>
      <c r="B654">
        <v>680</v>
      </c>
      <c r="C654">
        <v>720</v>
      </c>
      <c r="D654">
        <v>80</v>
      </c>
      <c r="E654">
        <v>85</v>
      </c>
      <c r="F654">
        <v>38</v>
      </c>
      <c r="G654" s="1">
        <v>39873</v>
      </c>
      <c r="H654" s="1">
        <v>39873</v>
      </c>
      <c r="I654" s="1">
        <v>40299</v>
      </c>
    </row>
    <row r="655" spans="1:19" x14ac:dyDescent="0.25">
      <c r="A655" t="s">
        <v>7</v>
      </c>
      <c r="B655">
        <v>680</v>
      </c>
      <c r="C655">
        <v>720</v>
      </c>
      <c r="D655">
        <v>0</v>
      </c>
      <c r="E655">
        <v>80</v>
      </c>
      <c r="F655">
        <v>0</v>
      </c>
      <c r="G655" s="1">
        <v>39873</v>
      </c>
      <c r="H655" s="1">
        <v>39873</v>
      </c>
      <c r="I655" s="1">
        <v>40299</v>
      </c>
    </row>
    <row r="656" spans="1:19" x14ac:dyDescent="0.25">
      <c r="A656" t="s">
        <v>7</v>
      </c>
      <c r="B656">
        <v>620</v>
      </c>
      <c r="C656">
        <v>680</v>
      </c>
      <c r="D656">
        <v>97</v>
      </c>
      <c r="E656">
        <v>999</v>
      </c>
      <c r="G656" s="1">
        <v>39873</v>
      </c>
      <c r="H656" s="1">
        <v>39873</v>
      </c>
      <c r="I656" s="1">
        <v>40299</v>
      </c>
    </row>
    <row r="657" spans="1:9" x14ac:dyDescent="0.25">
      <c r="A657" t="s">
        <v>7</v>
      </c>
      <c r="B657">
        <v>620</v>
      </c>
      <c r="C657">
        <v>680</v>
      </c>
      <c r="D657">
        <v>95</v>
      </c>
      <c r="E657">
        <v>97</v>
      </c>
      <c r="F657">
        <v>98</v>
      </c>
      <c r="G657" s="1">
        <v>39873</v>
      </c>
      <c r="H657" s="1">
        <v>39873</v>
      </c>
      <c r="I657" s="1">
        <v>40299</v>
      </c>
    </row>
    <row r="658" spans="1:9" x14ac:dyDescent="0.25">
      <c r="A658" t="s">
        <v>7</v>
      </c>
      <c r="B658">
        <v>620</v>
      </c>
      <c r="C658">
        <v>680</v>
      </c>
      <c r="D658">
        <v>90</v>
      </c>
      <c r="E658">
        <v>95</v>
      </c>
      <c r="F658">
        <v>94</v>
      </c>
      <c r="G658" s="1">
        <v>39873</v>
      </c>
      <c r="H658" s="1">
        <v>39873</v>
      </c>
      <c r="I658" s="1">
        <v>40299</v>
      </c>
    </row>
    <row r="659" spans="1:9" x14ac:dyDescent="0.25">
      <c r="A659" t="s">
        <v>7</v>
      </c>
      <c r="B659">
        <v>620</v>
      </c>
      <c r="C659">
        <v>680</v>
      </c>
      <c r="D659">
        <v>85</v>
      </c>
      <c r="E659">
        <v>90</v>
      </c>
      <c r="F659">
        <v>62</v>
      </c>
      <c r="G659" s="1">
        <v>39873</v>
      </c>
      <c r="H659" s="1">
        <v>39873</v>
      </c>
      <c r="I659" s="1">
        <v>40299</v>
      </c>
    </row>
    <row r="660" spans="1:9" x14ac:dyDescent="0.25">
      <c r="A660" t="s">
        <v>7</v>
      </c>
      <c r="B660">
        <v>620</v>
      </c>
      <c r="C660">
        <v>680</v>
      </c>
      <c r="D660">
        <v>80</v>
      </c>
      <c r="E660">
        <v>85</v>
      </c>
      <c r="F660">
        <v>38</v>
      </c>
      <c r="G660" s="1">
        <v>39873</v>
      </c>
      <c r="H660" s="1">
        <v>39873</v>
      </c>
      <c r="I660" s="1">
        <v>40299</v>
      </c>
    </row>
    <row r="661" spans="1:9" x14ac:dyDescent="0.25">
      <c r="A661" t="s">
        <v>7</v>
      </c>
      <c r="B661">
        <v>620</v>
      </c>
      <c r="C661">
        <v>680</v>
      </c>
      <c r="D661">
        <v>0</v>
      </c>
      <c r="E661">
        <v>80</v>
      </c>
      <c r="F661">
        <v>0</v>
      </c>
      <c r="G661" s="1">
        <v>39873</v>
      </c>
      <c r="H661" s="1">
        <v>39873</v>
      </c>
      <c r="I661" s="1">
        <v>40299</v>
      </c>
    </row>
    <row r="662" spans="1:9" x14ac:dyDescent="0.25">
      <c r="A662" t="s">
        <v>7</v>
      </c>
      <c r="B662">
        <v>300</v>
      </c>
      <c r="C662">
        <v>620</v>
      </c>
      <c r="D662">
        <v>97</v>
      </c>
      <c r="E662">
        <v>999</v>
      </c>
      <c r="G662" s="1">
        <v>39873</v>
      </c>
      <c r="H662" s="1">
        <v>39873</v>
      </c>
      <c r="I662" s="1">
        <v>40299</v>
      </c>
    </row>
    <row r="663" spans="1:9" x14ac:dyDescent="0.25">
      <c r="A663" t="s">
        <v>7</v>
      </c>
      <c r="B663">
        <v>300</v>
      </c>
      <c r="C663">
        <v>620</v>
      </c>
      <c r="D663">
        <v>95</v>
      </c>
      <c r="E663">
        <v>97</v>
      </c>
      <c r="G663" s="1">
        <v>39873</v>
      </c>
      <c r="H663" s="1">
        <v>39873</v>
      </c>
      <c r="I663" s="1">
        <v>40299</v>
      </c>
    </row>
    <row r="664" spans="1:9" x14ac:dyDescent="0.25">
      <c r="A664" t="s">
        <v>7</v>
      </c>
      <c r="B664">
        <v>300</v>
      </c>
      <c r="C664">
        <v>620</v>
      </c>
      <c r="D664">
        <v>90</v>
      </c>
      <c r="E664">
        <v>95</v>
      </c>
      <c r="G664" s="1">
        <v>39873</v>
      </c>
      <c r="H664" s="1">
        <v>39873</v>
      </c>
      <c r="I664" s="1">
        <v>40299</v>
      </c>
    </row>
    <row r="665" spans="1:9" x14ac:dyDescent="0.25">
      <c r="A665" t="s">
        <v>7</v>
      </c>
      <c r="B665">
        <v>300</v>
      </c>
      <c r="C665">
        <v>620</v>
      </c>
      <c r="D665">
        <v>85</v>
      </c>
      <c r="E665">
        <v>90</v>
      </c>
      <c r="G665" s="1">
        <v>39873</v>
      </c>
      <c r="H665" s="1">
        <v>39873</v>
      </c>
      <c r="I665" s="1">
        <v>40299</v>
      </c>
    </row>
    <row r="666" spans="1:9" x14ac:dyDescent="0.25">
      <c r="A666" t="s">
        <v>7</v>
      </c>
      <c r="B666">
        <v>300</v>
      </c>
      <c r="C666">
        <v>620</v>
      </c>
      <c r="D666">
        <v>80</v>
      </c>
      <c r="E666">
        <v>85</v>
      </c>
      <c r="G666" s="1">
        <v>39873</v>
      </c>
      <c r="H666" s="1">
        <v>39873</v>
      </c>
      <c r="I666" s="1">
        <v>40299</v>
      </c>
    </row>
    <row r="667" spans="1:9" x14ac:dyDescent="0.25">
      <c r="A667" t="s">
        <v>7</v>
      </c>
      <c r="B667">
        <v>300</v>
      </c>
      <c r="C667">
        <v>620</v>
      </c>
      <c r="D667">
        <v>0</v>
      </c>
      <c r="E667">
        <v>80</v>
      </c>
      <c r="G667" s="1">
        <v>39873</v>
      </c>
      <c r="H667" s="1">
        <v>39873</v>
      </c>
      <c r="I667" s="1">
        <v>40299</v>
      </c>
    </row>
    <row r="668" spans="1:9" x14ac:dyDescent="0.25">
      <c r="A668" t="s">
        <v>8</v>
      </c>
      <c r="B668">
        <v>760</v>
      </c>
      <c r="C668">
        <v>999</v>
      </c>
      <c r="D668">
        <v>97</v>
      </c>
      <c r="E668">
        <v>999</v>
      </c>
      <c r="G668" s="1">
        <v>39873</v>
      </c>
      <c r="H668" s="1">
        <v>39873</v>
      </c>
      <c r="I668" s="1">
        <v>40299</v>
      </c>
    </row>
    <row r="669" spans="1:9" x14ac:dyDescent="0.25">
      <c r="A669" t="s">
        <v>8</v>
      </c>
      <c r="B669">
        <v>760</v>
      </c>
      <c r="C669">
        <v>999</v>
      </c>
      <c r="D669">
        <v>95</v>
      </c>
      <c r="E669">
        <v>97</v>
      </c>
      <c r="F669">
        <v>98</v>
      </c>
      <c r="G669" s="1">
        <v>39873</v>
      </c>
      <c r="H669" s="1">
        <v>39873</v>
      </c>
      <c r="I669" s="1">
        <v>40299</v>
      </c>
    </row>
    <row r="670" spans="1:9" x14ac:dyDescent="0.25">
      <c r="A670" t="s">
        <v>8</v>
      </c>
      <c r="B670">
        <v>760</v>
      </c>
      <c r="C670">
        <v>999</v>
      </c>
      <c r="D670">
        <v>90</v>
      </c>
      <c r="E670">
        <v>95</v>
      </c>
      <c r="F670">
        <v>94</v>
      </c>
      <c r="G670" s="1">
        <v>39873</v>
      </c>
      <c r="H670" s="1">
        <v>39873</v>
      </c>
      <c r="I670" s="1">
        <v>40299</v>
      </c>
    </row>
    <row r="671" spans="1:9" x14ac:dyDescent="0.25">
      <c r="A671" t="s">
        <v>8</v>
      </c>
      <c r="B671">
        <v>760</v>
      </c>
      <c r="C671">
        <v>999</v>
      </c>
      <c r="D671">
        <v>85</v>
      </c>
      <c r="E671">
        <v>90</v>
      </c>
      <c r="F671">
        <v>62</v>
      </c>
      <c r="G671" s="1">
        <v>39873</v>
      </c>
      <c r="H671" s="1">
        <v>39873</v>
      </c>
      <c r="I671" s="1">
        <v>40299</v>
      </c>
    </row>
    <row r="672" spans="1:9" x14ac:dyDescent="0.25">
      <c r="A672" t="s">
        <v>8</v>
      </c>
      <c r="B672">
        <v>760</v>
      </c>
      <c r="C672">
        <v>999</v>
      </c>
      <c r="D672">
        <v>80</v>
      </c>
      <c r="E672">
        <v>85</v>
      </c>
      <c r="F672">
        <v>38</v>
      </c>
      <c r="G672" s="1">
        <v>39873</v>
      </c>
      <c r="H672" s="1">
        <v>39873</v>
      </c>
      <c r="I672" s="1">
        <v>40299</v>
      </c>
    </row>
    <row r="673" spans="1:9" x14ac:dyDescent="0.25">
      <c r="A673" t="s">
        <v>8</v>
      </c>
      <c r="B673">
        <v>760</v>
      </c>
      <c r="C673">
        <v>999</v>
      </c>
      <c r="D673">
        <v>0</v>
      </c>
      <c r="E673">
        <v>80</v>
      </c>
      <c r="F673">
        <v>0</v>
      </c>
      <c r="G673" s="1">
        <v>39873</v>
      </c>
      <c r="H673" s="1">
        <v>39873</v>
      </c>
      <c r="I673" s="1">
        <v>40299</v>
      </c>
    </row>
    <row r="674" spans="1:9" x14ac:dyDescent="0.25">
      <c r="A674" t="s">
        <v>8</v>
      </c>
      <c r="B674">
        <v>720</v>
      </c>
      <c r="C674">
        <v>760</v>
      </c>
      <c r="D674">
        <v>97</v>
      </c>
      <c r="E674">
        <v>999</v>
      </c>
      <c r="G674" s="1">
        <v>39873</v>
      </c>
      <c r="H674" s="1">
        <v>39873</v>
      </c>
      <c r="I674" s="1">
        <v>40299</v>
      </c>
    </row>
    <row r="675" spans="1:9" x14ac:dyDescent="0.25">
      <c r="A675" t="s">
        <v>8</v>
      </c>
      <c r="B675">
        <v>720</v>
      </c>
      <c r="C675">
        <v>760</v>
      </c>
      <c r="D675">
        <v>95</v>
      </c>
      <c r="E675">
        <v>97</v>
      </c>
      <c r="F675">
        <v>98</v>
      </c>
      <c r="G675" s="1">
        <v>39873</v>
      </c>
      <c r="H675" s="1">
        <v>39873</v>
      </c>
      <c r="I675" s="1">
        <v>40299</v>
      </c>
    </row>
    <row r="676" spans="1:9" x14ac:dyDescent="0.25">
      <c r="A676" t="s">
        <v>8</v>
      </c>
      <c r="B676">
        <v>720</v>
      </c>
      <c r="C676">
        <v>760</v>
      </c>
      <c r="D676">
        <v>90</v>
      </c>
      <c r="E676">
        <v>95</v>
      </c>
      <c r="F676">
        <v>94</v>
      </c>
      <c r="G676" s="1">
        <v>39873</v>
      </c>
      <c r="H676" s="1">
        <v>39873</v>
      </c>
      <c r="I676" s="1">
        <v>40299</v>
      </c>
    </row>
    <row r="677" spans="1:9" x14ac:dyDescent="0.25">
      <c r="A677" t="s">
        <v>8</v>
      </c>
      <c r="B677">
        <v>720</v>
      </c>
      <c r="C677">
        <v>760</v>
      </c>
      <c r="D677">
        <v>85</v>
      </c>
      <c r="E677">
        <v>90</v>
      </c>
      <c r="F677">
        <v>62</v>
      </c>
      <c r="G677" s="1">
        <v>39873</v>
      </c>
      <c r="H677" s="1">
        <v>39873</v>
      </c>
      <c r="I677" s="1">
        <v>40299</v>
      </c>
    </row>
    <row r="678" spans="1:9" x14ac:dyDescent="0.25">
      <c r="A678" t="s">
        <v>8</v>
      </c>
      <c r="B678">
        <v>720</v>
      </c>
      <c r="C678">
        <v>760</v>
      </c>
      <c r="D678">
        <v>80</v>
      </c>
      <c r="E678">
        <v>85</v>
      </c>
      <c r="F678">
        <v>38</v>
      </c>
      <c r="G678" s="1">
        <v>39873</v>
      </c>
      <c r="H678" s="1">
        <v>39873</v>
      </c>
      <c r="I678" s="1">
        <v>40299</v>
      </c>
    </row>
    <row r="679" spans="1:9" x14ac:dyDescent="0.25">
      <c r="A679" t="s">
        <v>8</v>
      </c>
      <c r="B679">
        <v>720</v>
      </c>
      <c r="C679">
        <v>760</v>
      </c>
      <c r="D679">
        <v>0</v>
      </c>
      <c r="E679">
        <v>80</v>
      </c>
      <c r="F679">
        <v>0</v>
      </c>
      <c r="G679" s="1">
        <v>39873</v>
      </c>
      <c r="H679" s="1">
        <v>39873</v>
      </c>
      <c r="I679" s="1">
        <v>40299</v>
      </c>
    </row>
    <row r="680" spans="1:9" x14ac:dyDescent="0.25">
      <c r="A680" t="s">
        <v>8</v>
      </c>
      <c r="B680">
        <v>680</v>
      </c>
      <c r="C680">
        <v>720</v>
      </c>
      <c r="D680">
        <v>97</v>
      </c>
      <c r="E680">
        <v>999</v>
      </c>
      <c r="G680" s="1">
        <v>39873</v>
      </c>
      <c r="H680" s="1">
        <v>39873</v>
      </c>
      <c r="I680" s="1">
        <v>40299</v>
      </c>
    </row>
    <row r="681" spans="1:9" x14ac:dyDescent="0.25">
      <c r="A681" t="s">
        <v>8</v>
      </c>
      <c r="B681">
        <v>680</v>
      </c>
      <c r="C681">
        <v>720</v>
      </c>
      <c r="D681">
        <v>95</v>
      </c>
      <c r="E681">
        <v>97</v>
      </c>
      <c r="F681">
        <v>98</v>
      </c>
      <c r="G681" s="1">
        <v>39873</v>
      </c>
      <c r="H681" s="1">
        <v>39873</v>
      </c>
      <c r="I681" s="1">
        <v>40299</v>
      </c>
    </row>
    <row r="682" spans="1:9" x14ac:dyDescent="0.25">
      <c r="A682" t="s">
        <v>8</v>
      </c>
      <c r="B682">
        <v>680</v>
      </c>
      <c r="C682">
        <v>720</v>
      </c>
      <c r="D682">
        <v>90</v>
      </c>
      <c r="E682">
        <v>95</v>
      </c>
      <c r="F682">
        <v>94</v>
      </c>
      <c r="G682" s="1">
        <v>39873</v>
      </c>
      <c r="H682" s="1">
        <v>39873</v>
      </c>
      <c r="I682" s="1">
        <v>40299</v>
      </c>
    </row>
    <row r="683" spans="1:9" x14ac:dyDescent="0.25">
      <c r="A683" t="s">
        <v>8</v>
      </c>
      <c r="B683">
        <v>680</v>
      </c>
      <c r="C683">
        <v>720</v>
      </c>
      <c r="D683">
        <v>85</v>
      </c>
      <c r="E683">
        <v>90</v>
      </c>
      <c r="F683">
        <v>62</v>
      </c>
      <c r="G683" s="1">
        <v>39873</v>
      </c>
      <c r="H683" s="1">
        <v>39873</v>
      </c>
      <c r="I683" s="1">
        <v>40299</v>
      </c>
    </row>
    <row r="684" spans="1:9" x14ac:dyDescent="0.25">
      <c r="A684" t="s">
        <v>8</v>
      </c>
      <c r="B684">
        <v>680</v>
      </c>
      <c r="C684">
        <v>720</v>
      </c>
      <c r="D684">
        <v>80</v>
      </c>
      <c r="E684">
        <v>85</v>
      </c>
      <c r="F684">
        <v>38</v>
      </c>
      <c r="G684" s="1">
        <v>39873</v>
      </c>
      <c r="H684" s="1">
        <v>39873</v>
      </c>
      <c r="I684" s="1">
        <v>40299</v>
      </c>
    </row>
    <row r="685" spans="1:9" x14ac:dyDescent="0.25">
      <c r="A685" t="s">
        <v>8</v>
      </c>
      <c r="B685">
        <v>680</v>
      </c>
      <c r="C685">
        <v>720</v>
      </c>
      <c r="D685">
        <v>0</v>
      </c>
      <c r="E685">
        <v>80</v>
      </c>
      <c r="F685">
        <v>0</v>
      </c>
      <c r="G685" s="1">
        <v>39873</v>
      </c>
      <c r="H685" s="1">
        <v>39873</v>
      </c>
      <c r="I685" s="1">
        <v>40299</v>
      </c>
    </row>
    <row r="686" spans="1:9" x14ac:dyDescent="0.25">
      <c r="A686" t="s">
        <v>8</v>
      </c>
      <c r="B686">
        <v>620</v>
      </c>
      <c r="C686">
        <v>680</v>
      </c>
      <c r="D686">
        <v>97</v>
      </c>
      <c r="E686">
        <v>999</v>
      </c>
      <c r="G686" s="1">
        <v>39873</v>
      </c>
      <c r="H686" s="1">
        <v>39873</v>
      </c>
      <c r="I686" s="1">
        <v>40299</v>
      </c>
    </row>
    <row r="687" spans="1:9" x14ac:dyDescent="0.25">
      <c r="A687" t="s">
        <v>8</v>
      </c>
      <c r="B687">
        <v>620</v>
      </c>
      <c r="C687">
        <v>680</v>
      </c>
      <c r="D687">
        <v>95</v>
      </c>
      <c r="E687">
        <v>97</v>
      </c>
      <c r="F687">
        <v>98</v>
      </c>
      <c r="G687" s="1">
        <v>39873</v>
      </c>
      <c r="H687" s="1">
        <v>39873</v>
      </c>
      <c r="I687" s="1">
        <v>40299</v>
      </c>
    </row>
    <row r="688" spans="1:9" x14ac:dyDescent="0.25">
      <c r="A688" t="s">
        <v>8</v>
      </c>
      <c r="B688">
        <v>620</v>
      </c>
      <c r="C688">
        <v>680</v>
      </c>
      <c r="D688">
        <v>90</v>
      </c>
      <c r="E688">
        <v>95</v>
      </c>
      <c r="F688">
        <v>94</v>
      </c>
      <c r="G688" s="1">
        <v>39873</v>
      </c>
      <c r="H688" s="1">
        <v>39873</v>
      </c>
      <c r="I688" s="1">
        <v>40299</v>
      </c>
    </row>
    <row r="689" spans="1:19" x14ac:dyDescent="0.25">
      <c r="A689" t="s">
        <v>8</v>
      </c>
      <c r="B689">
        <v>620</v>
      </c>
      <c r="C689">
        <v>680</v>
      </c>
      <c r="D689">
        <v>85</v>
      </c>
      <c r="E689">
        <v>90</v>
      </c>
      <c r="F689">
        <v>62</v>
      </c>
      <c r="G689" s="1">
        <v>39873</v>
      </c>
      <c r="H689" s="1">
        <v>39873</v>
      </c>
      <c r="I689" s="1">
        <v>40299</v>
      </c>
    </row>
    <row r="690" spans="1:19" x14ac:dyDescent="0.25">
      <c r="A690" t="s">
        <v>8</v>
      </c>
      <c r="B690">
        <v>620</v>
      </c>
      <c r="C690">
        <v>680</v>
      </c>
      <c r="D690">
        <v>80</v>
      </c>
      <c r="E690">
        <v>85</v>
      </c>
      <c r="F690">
        <v>38</v>
      </c>
      <c r="G690" s="1">
        <v>39873</v>
      </c>
      <c r="H690" s="1">
        <v>39873</v>
      </c>
      <c r="I690" s="1">
        <v>40299</v>
      </c>
    </row>
    <row r="691" spans="1:19" x14ac:dyDescent="0.25">
      <c r="A691" t="s">
        <v>8</v>
      </c>
      <c r="B691">
        <v>620</v>
      </c>
      <c r="C691">
        <v>680</v>
      </c>
      <c r="D691">
        <v>0</v>
      </c>
      <c r="E691">
        <v>80</v>
      </c>
      <c r="F691">
        <v>0</v>
      </c>
      <c r="G691" s="1">
        <v>39873</v>
      </c>
      <c r="H691" s="1">
        <v>39873</v>
      </c>
      <c r="I691" s="1">
        <v>40299</v>
      </c>
    </row>
    <row r="692" spans="1:19" x14ac:dyDescent="0.25">
      <c r="A692" t="s">
        <v>8</v>
      </c>
      <c r="B692">
        <v>300</v>
      </c>
      <c r="C692">
        <v>620</v>
      </c>
      <c r="D692">
        <v>97</v>
      </c>
      <c r="E692">
        <v>999</v>
      </c>
      <c r="G692" s="1">
        <v>39873</v>
      </c>
      <c r="H692" s="1">
        <v>39873</v>
      </c>
      <c r="I692" s="1">
        <v>40299</v>
      </c>
    </row>
    <row r="693" spans="1:19" x14ac:dyDescent="0.25">
      <c r="A693" t="s">
        <v>8</v>
      </c>
      <c r="B693">
        <v>300</v>
      </c>
      <c r="C693">
        <v>620</v>
      </c>
      <c r="D693">
        <v>95</v>
      </c>
      <c r="E693">
        <v>97</v>
      </c>
      <c r="G693" s="1">
        <v>39873</v>
      </c>
      <c r="H693" s="1">
        <v>39873</v>
      </c>
      <c r="I693" s="1">
        <v>40299</v>
      </c>
    </row>
    <row r="694" spans="1:19" x14ac:dyDescent="0.25">
      <c r="A694" t="s">
        <v>8</v>
      </c>
      <c r="B694">
        <v>300</v>
      </c>
      <c r="C694">
        <v>620</v>
      </c>
      <c r="D694">
        <v>90</v>
      </c>
      <c r="E694">
        <v>95</v>
      </c>
      <c r="G694" s="1">
        <v>39873</v>
      </c>
      <c r="H694" s="1">
        <v>39873</v>
      </c>
      <c r="I694" s="1">
        <v>40299</v>
      </c>
    </row>
    <row r="695" spans="1:19" x14ac:dyDescent="0.25">
      <c r="A695" t="s">
        <v>8</v>
      </c>
      <c r="B695">
        <v>300</v>
      </c>
      <c r="C695">
        <v>620</v>
      </c>
      <c r="D695">
        <v>85</v>
      </c>
      <c r="E695">
        <v>90</v>
      </c>
      <c r="G695" s="1">
        <v>39873</v>
      </c>
      <c r="H695" s="1">
        <v>39873</v>
      </c>
      <c r="I695" s="1">
        <v>40299</v>
      </c>
    </row>
    <row r="696" spans="1:19" x14ac:dyDescent="0.25">
      <c r="A696" t="s">
        <v>8</v>
      </c>
      <c r="B696">
        <v>300</v>
      </c>
      <c r="C696">
        <v>620</v>
      </c>
      <c r="D696">
        <v>80</v>
      </c>
      <c r="E696">
        <v>85</v>
      </c>
      <c r="G696" s="1">
        <v>39873</v>
      </c>
      <c r="H696" s="1">
        <v>39873</v>
      </c>
      <c r="I696" s="1">
        <v>40299</v>
      </c>
    </row>
    <row r="697" spans="1:19" x14ac:dyDescent="0.25">
      <c r="A697" t="s">
        <v>8</v>
      </c>
      <c r="B697">
        <v>300</v>
      </c>
      <c r="C697">
        <v>620</v>
      </c>
      <c r="D697">
        <v>0</v>
      </c>
      <c r="E697">
        <v>80</v>
      </c>
      <c r="G697" s="1">
        <v>39873</v>
      </c>
      <c r="H697" s="1">
        <v>39873</v>
      </c>
      <c r="I697" s="1">
        <v>40299</v>
      </c>
    </row>
    <row r="698" spans="1:19" x14ac:dyDescent="0.25">
      <c r="A698" t="s">
        <v>7</v>
      </c>
      <c r="B698">
        <v>760</v>
      </c>
      <c r="C698">
        <v>999</v>
      </c>
      <c r="D698">
        <v>97</v>
      </c>
      <c r="E698">
        <v>999</v>
      </c>
      <c r="G698" s="1">
        <v>38607</v>
      </c>
      <c r="H698" s="1">
        <v>18264</v>
      </c>
      <c r="I698" s="1">
        <v>39873</v>
      </c>
      <c r="M698" s="4" t="s">
        <v>27</v>
      </c>
      <c r="N698" s="4" t="s">
        <v>12</v>
      </c>
      <c r="O698" s="4" t="s">
        <v>13</v>
      </c>
      <c r="P698" s="4" t="s">
        <v>14</v>
      </c>
      <c r="Q698" s="4" t="s">
        <v>15</v>
      </c>
      <c r="R698" s="4" t="s">
        <v>16</v>
      </c>
      <c r="S698" s="1">
        <v>38607</v>
      </c>
    </row>
    <row r="699" spans="1:19" x14ac:dyDescent="0.25">
      <c r="A699" t="s">
        <v>7</v>
      </c>
      <c r="B699">
        <v>760</v>
      </c>
      <c r="C699">
        <v>999</v>
      </c>
      <c r="D699">
        <v>95</v>
      </c>
      <c r="E699">
        <v>97</v>
      </c>
      <c r="F699" s="4">
        <v>96</v>
      </c>
      <c r="G699" s="1">
        <v>38607</v>
      </c>
      <c r="H699" s="1">
        <v>18264</v>
      </c>
      <c r="I699" s="1">
        <v>39873</v>
      </c>
      <c r="M699" s="8" t="s">
        <v>17</v>
      </c>
      <c r="N699" s="4">
        <v>96</v>
      </c>
      <c r="O699" s="4">
        <v>96</v>
      </c>
      <c r="P699" s="4">
        <v>96</v>
      </c>
      <c r="Q699" s="4">
        <v>96</v>
      </c>
      <c r="R699" s="4" t="s">
        <v>18</v>
      </c>
      <c r="S699" s="4"/>
    </row>
    <row r="700" spans="1:19" x14ac:dyDescent="0.25">
      <c r="A700" t="s">
        <v>7</v>
      </c>
      <c r="B700">
        <v>760</v>
      </c>
      <c r="C700">
        <v>999</v>
      </c>
      <c r="D700">
        <v>90</v>
      </c>
      <c r="E700">
        <v>95</v>
      </c>
      <c r="F700" s="4">
        <v>78</v>
      </c>
      <c r="G700" s="1">
        <v>38607</v>
      </c>
      <c r="H700" s="1">
        <v>18264</v>
      </c>
      <c r="I700" s="1">
        <v>39873</v>
      </c>
      <c r="M700" s="4" t="s">
        <v>19</v>
      </c>
      <c r="N700" s="4">
        <v>78</v>
      </c>
      <c r="O700" s="4">
        <v>78</v>
      </c>
      <c r="P700" s="4">
        <v>78</v>
      </c>
      <c r="Q700" s="4">
        <v>78</v>
      </c>
      <c r="R700" s="4" t="s">
        <v>18</v>
      </c>
      <c r="S700" s="4"/>
    </row>
    <row r="701" spans="1:19" x14ac:dyDescent="0.25">
      <c r="A701" t="s">
        <v>7</v>
      </c>
      <c r="B701">
        <v>760</v>
      </c>
      <c r="C701">
        <v>999</v>
      </c>
      <c r="D701">
        <v>85</v>
      </c>
      <c r="E701">
        <v>90</v>
      </c>
      <c r="F701" s="4">
        <v>52</v>
      </c>
      <c r="G701" s="1">
        <v>38607</v>
      </c>
      <c r="H701" s="1">
        <v>18264</v>
      </c>
      <c r="I701" s="1">
        <v>39873</v>
      </c>
      <c r="M701" s="4" t="s">
        <v>20</v>
      </c>
      <c r="N701" s="4">
        <v>52</v>
      </c>
      <c r="O701" s="4">
        <v>52</v>
      </c>
      <c r="P701" s="4">
        <v>52</v>
      </c>
      <c r="Q701" s="4">
        <v>52</v>
      </c>
      <c r="R701" s="4" t="s">
        <v>18</v>
      </c>
      <c r="S701" s="4"/>
    </row>
    <row r="702" spans="1:19" x14ac:dyDescent="0.25">
      <c r="A702" t="s">
        <v>7</v>
      </c>
      <c r="B702">
        <v>760</v>
      </c>
      <c r="C702">
        <v>999</v>
      </c>
      <c r="D702">
        <v>80</v>
      </c>
      <c r="E702">
        <v>85</v>
      </c>
      <c r="F702" s="4">
        <v>32</v>
      </c>
      <c r="G702" s="1">
        <v>38607</v>
      </c>
      <c r="H702" s="1">
        <v>18264</v>
      </c>
      <c r="I702" s="1">
        <v>39873</v>
      </c>
      <c r="M702" s="4" t="s">
        <v>21</v>
      </c>
      <c r="N702" s="4">
        <v>32</v>
      </c>
      <c r="O702" s="4">
        <v>32</v>
      </c>
      <c r="P702" s="4">
        <v>32</v>
      </c>
      <c r="Q702" s="4">
        <v>32</v>
      </c>
      <c r="R702" s="4" t="s">
        <v>18</v>
      </c>
      <c r="S702" s="4"/>
    </row>
    <row r="703" spans="1:19" x14ac:dyDescent="0.25">
      <c r="A703" t="s">
        <v>7</v>
      </c>
      <c r="B703">
        <v>760</v>
      </c>
      <c r="C703">
        <v>999</v>
      </c>
      <c r="D703">
        <v>0</v>
      </c>
      <c r="E703">
        <v>80</v>
      </c>
      <c r="F703" s="4">
        <v>0</v>
      </c>
      <c r="G703" s="1">
        <v>38607</v>
      </c>
      <c r="H703" s="1">
        <v>18264</v>
      </c>
      <c r="I703" s="1">
        <v>39873</v>
      </c>
      <c r="M703" s="4" t="s">
        <v>22</v>
      </c>
      <c r="N703" s="4">
        <v>0</v>
      </c>
      <c r="O703" s="4">
        <v>0</v>
      </c>
      <c r="P703" s="4">
        <v>0</v>
      </c>
      <c r="Q703" s="4">
        <v>0</v>
      </c>
      <c r="R703" s="4" t="s">
        <v>18</v>
      </c>
      <c r="S703" s="4"/>
    </row>
    <row r="704" spans="1:19" x14ac:dyDescent="0.25">
      <c r="A704" t="s">
        <v>7</v>
      </c>
      <c r="B704">
        <v>720</v>
      </c>
      <c r="C704">
        <v>760</v>
      </c>
      <c r="D704">
        <v>97</v>
      </c>
      <c r="E704">
        <v>999</v>
      </c>
      <c r="G704" s="1">
        <v>38607</v>
      </c>
      <c r="H704" s="1">
        <v>18264</v>
      </c>
      <c r="I704" s="1">
        <v>39873</v>
      </c>
      <c r="M704" s="4"/>
      <c r="N704" s="4"/>
      <c r="O704" s="4"/>
      <c r="P704" s="4"/>
      <c r="Q704" s="4"/>
      <c r="R704" s="4"/>
      <c r="S704" s="4"/>
    </row>
    <row r="705" spans="1:19" x14ac:dyDescent="0.25">
      <c r="A705" t="s">
        <v>7</v>
      </c>
      <c r="B705">
        <v>720</v>
      </c>
      <c r="C705">
        <v>760</v>
      </c>
      <c r="D705">
        <v>95</v>
      </c>
      <c r="E705">
        <v>97</v>
      </c>
      <c r="F705" s="4">
        <v>96</v>
      </c>
      <c r="G705" s="1">
        <v>38607</v>
      </c>
      <c r="H705" s="1">
        <v>18264</v>
      </c>
      <c r="I705" s="1">
        <v>39873</v>
      </c>
      <c r="M705" s="4" t="s">
        <v>28</v>
      </c>
      <c r="N705" s="4" t="s">
        <v>12</v>
      </c>
      <c r="O705" s="4" t="s">
        <v>13</v>
      </c>
      <c r="P705" s="4" t="s">
        <v>14</v>
      </c>
      <c r="Q705" s="4" t="s">
        <v>15</v>
      </c>
      <c r="R705" s="4" t="s">
        <v>16</v>
      </c>
      <c r="S705" s="1">
        <v>38607</v>
      </c>
    </row>
    <row r="706" spans="1:19" x14ac:dyDescent="0.25">
      <c r="A706" t="s">
        <v>7</v>
      </c>
      <c r="B706">
        <v>720</v>
      </c>
      <c r="C706">
        <v>760</v>
      </c>
      <c r="D706">
        <v>90</v>
      </c>
      <c r="E706">
        <v>95</v>
      </c>
      <c r="F706" s="4">
        <v>78</v>
      </c>
      <c r="G706" s="1">
        <v>38607</v>
      </c>
      <c r="H706" s="1">
        <v>18264</v>
      </c>
      <c r="I706" s="1">
        <v>39873</v>
      </c>
      <c r="M706" s="8" t="s">
        <v>17</v>
      </c>
      <c r="N706" s="4">
        <f>N699</f>
        <v>96</v>
      </c>
      <c r="O706" s="4">
        <f t="shared" ref="O706:Q706" si="38">O699</f>
        <v>96</v>
      </c>
      <c r="P706" s="4">
        <f t="shared" si="38"/>
        <v>96</v>
      </c>
      <c r="Q706" s="4">
        <f t="shared" si="38"/>
        <v>96</v>
      </c>
      <c r="R706" s="4" t="s">
        <v>18</v>
      </c>
      <c r="S706" s="4"/>
    </row>
    <row r="707" spans="1:19" x14ac:dyDescent="0.25">
      <c r="A707" t="s">
        <v>7</v>
      </c>
      <c r="B707">
        <v>720</v>
      </c>
      <c r="C707">
        <v>760</v>
      </c>
      <c r="D707">
        <v>85</v>
      </c>
      <c r="E707">
        <v>90</v>
      </c>
      <c r="F707" s="4">
        <v>52</v>
      </c>
      <c r="G707" s="1">
        <v>38607</v>
      </c>
      <c r="H707" s="1">
        <v>18264</v>
      </c>
      <c r="I707" s="1">
        <v>39873</v>
      </c>
      <c r="M707" s="4" t="s">
        <v>19</v>
      </c>
      <c r="N707" s="4">
        <f t="shared" ref="N707:Q710" si="39">N700</f>
        <v>78</v>
      </c>
      <c r="O707" s="4">
        <f t="shared" si="39"/>
        <v>78</v>
      </c>
      <c r="P707" s="4">
        <f t="shared" si="39"/>
        <v>78</v>
      </c>
      <c r="Q707" s="4">
        <f t="shared" si="39"/>
        <v>78</v>
      </c>
      <c r="R707" s="4" t="s">
        <v>18</v>
      </c>
      <c r="S707" s="4"/>
    </row>
    <row r="708" spans="1:19" x14ac:dyDescent="0.25">
      <c r="A708" t="s">
        <v>7</v>
      </c>
      <c r="B708">
        <v>720</v>
      </c>
      <c r="C708">
        <v>760</v>
      </c>
      <c r="D708">
        <v>80</v>
      </c>
      <c r="E708">
        <v>85</v>
      </c>
      <c r="F708" s="4">
        <v>32</v>
      </c>
      <c r="G708" s="1">
        <v>38607</v>
      </c>
      <c r="H708" s="1">
        <v>18264</v>
      </c>
      <c r="I708" s="1">
        <v>39873</v>
      </c>
      <c r="M708" s="4" t="s">
        <v>20</v>
      </c>
      <c r="N708" s="4">
        <f t="shared" si="39"/>
        <v>52</v>
      </c>
      <c r="O708" s="4">
        <f t="shared" si="39"/>
        <v>52</v>
      </c>
      <c r="P708" s="4">
        <f t="shared" si="39"/>
        <v>52</v>
      </c>
      <c r="Q708" s="4">
        <f t="shared" si="39"/>
        <v>52</v>
      </c>
      <c r="R708" s="4" t="s">
        <v>18</v>
      </c>
      <c r="S708" s="4"/>
    </row>
    <row r="709" spans="1:19" x14ac:dyDescent="0.25">
      <c r="A709" t="s">
        <v>7</v>
      </c>
      <c r="B709">
        <v>720</v>
      </c>
      <c r="C709">
        <v>760</v>
      </c>
      <c r="D709">
        <v>0</v>
      </c>
      <c r="E709">
        <v>80</v>
      </c>
      <c r="F709" s="4">
        <v>0</v>
      </c>
      <c r="G709" s="1">
        <v>38607</v>
      </c>
      <c r="H709" s="1">
        <v>18264</v>
      </c>
      <c r="I709" s="1">
        <v>39873</v>
      </c>
      <c r="M709" s="4" t="s">
        <v>21</v>
      </c>
      <c r="N709" s="4">
        <f t="shared" si="39"/>
        <v>32</v>
      </c>
      <c r="O709" s="4">
        <f t="shared" si="39"/>
        <v>32</v>
      </c>
      <c r="P709" s="4">
        <f t="shared" si="39"/>
        <v>32</v>
      </c>
      <c r="Q709" s="4">
        <f t="shared" si="39"/>
        <v>32</v>
      </c>
      <c r="R709" s="4" t="s">
        <v>18</v>
      </c>
      <c r="S709" s="4"/>
    </row>
    <row r="710" spans="1:19" x14ac:dyDescent="0.25">
      <c r="A710" t="s">
        <v>7</v>
      </c>
      <c r="B710">
        <v>680</v>
      </c>
      <c r="C710">
        <v>720</v>
      </c>
      <c r="D710">
        <v>97</v>
      </c>
      <c r="E710">
        <v>999</v>
      </c>
      <c r="G710" s="1">
        <v>38607</v>
      </c>
      <c r="H710" s="1">
        <v>18264</v>
      </c>
      <c r="I710" s="1">
        <v>39873</v>
      </c>
      <c r="M710" s="4" t="s">
        <v>22</v>
      </c>
      <c r="N710" s="4">
        <f t="shared" si="39"/>
        <v>0</v>
      </c>
      <c r="O710" s="4">
        <f t="shared" si="39"/>
        <v>0</v>
      </c>
      <c r="P710" s="4">
        <f t="shared" si="39"/>
        <v>0</v>
      </c>
      <c r="Q710" s="4">
        <f t="shared" si="39"/>
        <v>0</v>
      </c>
      <c r="R710" s="4" t="s">
        <v>18</v>
      </c>
      <c r="S710" s="4"/>
    </row>
    <row r="711" spans="1:19" x14ac:dyDescent="0.25">
      <c r="A711" t="s">
        <v>7</v>
      </c>
      <c r="B711">
        <v>680</v>
      </c>
      <c r="C711">
        <v>720</v>
      </c>
      <c r="D711">
        <v>95</v>
      </c>
      <c r="E711">
        <v>97</v>
      </c>
      <c r="F711" s="4">
        <v>96</v>
      </c>
      <c r="G711" s="1">
        <v>38607</v>
      </c>
      <c r="H711" s="1">
        <v>18264</v>
      </c>
      <c r="I711" s="1">
        <v>39873</v>
      </c>
      <c r="M711" s="4"/>
      <c r="N711" s="4"/>
      <c r="O711" s="4"/>
      <c r="P711" s="4"/>
      <c r="Q711" s="4"/>
      <c r="R711" s="4"/>
      <c r="S711" s="4"/>
    </row>
    <row r="712" spans="1:19" x14ac:dyDescent="0.25">
      <c r="A712" t="s">
        <v>7</v>
      </c>
      <c r="B712">
        <v>680</v>
      </c>
      <c r="C712">
        <v>720</v>
      </c>
      <c r="D712">
        <v>90</v>
      </c>
      <c r="E712">
        <v>95</v>
      </c>
      <c r="F712" s="4">
        <v>78</v>
      </c>
      <c r="G712" s="1">
        <v>38607</v>
      </c>
      <c r="H712" s="1">
        <v>18264</v>
      </c>
      <c r="I712" s="1">
        <v>39873</v>
      </c>
    </row>
    <row r="713" spans="1:19" x14ac:dyDescent="0.25">
      <c r="A713" t="s">
        <v>7</v>
      </c>
      <c r="B713">
        <v>680</v>
      </c>
      <c r="C713">
        <v>720</v>
      </c>
      <c r="D713">
        <v>85</v>
      </c>
      <c r="E713">
        <v>90</v>
      </c>
      <c r="F713" s="4">
        <v>52</v>
      </c>
      <c r="G713" s="1">
        <v>38607</v>
      </c>
      <c r="H713" s="1">
        <v>18264</v>
      </c>
      <c r="I713" s="1">
        <v>39873</v>
      </c>
      <c r="M713" t="s">
        <v>24</v>
      </c>
      <c r="N713" s="6" t="s">
        <v>50</v>
      </c>
    </row>
    <row r="714" spans="1:19" x14ac:dyDescent="0.25">
      <c r="A714" t="s">
        <v>7</v>
      </c>
      <c r="B714">
        <v>680</v>
      </c>
      <c r="C714">
        <v>720</v>
      </c>
      <c r="D714">
        <v>80</v>
      </c>
      <c r="E714">
        <v>85</v>
      </c>
      <c r="F714" s="4">
        <v>32</v>
      </c>
      <c r="G714" s="1">
        <v>38607</v>
      </c>
      <c r="H714" s="1">
        <v>18264</v>
      </c>
      <c r="I714" s="1">
        <v>39873</v>
      </c>
      <c r="M714" t="s">
        <v>25</v>
      </c>
      <c r="N714" t="s">
        <v>26</v>
      </c>
    </row>
    <row r="715" spans="1:19" x14ac:dyDescent="0.25">
      <c r="A715" t="s">
        <v>7</v>
      </c>
      <c r="B715">
        <v>680</v>
      </c>
      <c r="C715">
        <v>720</v>
      </c>
      <c r="D715">
        <v>0</v>
      </c>
      <c r="E715">
        <v>80</v>
      </c>
      <c r="F715" s="4">
        <v>0</v>
      </c>
      <c r="G715" s="1">
        <v>38607</v>
      </c>
      <c r="H715" s="1">
        <v>18264</v>
      </c>
      <c r="I715" s="1">
        <v>39873</v>
      </c>
    </row>
    <row r="716" spans="1:19" x14ac:dyDescent="0.25">
      <c r="A716" t="s">
        <v>7</v>
      </c>
      <c r="B716">
        <v>620</v>
      </c>
      <c r="C716">
        <v>680</v>
      </c>
      <c r="D716">
        <v>97</v>
      </c>
      <c r="E716">
        <v>999</v>
      </c>
      <c r="G716" s="1">
        <v>38607</v>
      </c>
      <c r="H716" s="1">
        <v>18264</v>
      </c>
      <c r="I716" s="1">
        <v>39873</v>
      </c>
    </row>
    <row r="717" spans="1:19" x14ac:dyDescent="0.25">
      <c r="A717" t="s">
        <v>7</v>
      </c>
      <c r="B717">
        <v>620</v>
      </c>
      <c r="C717">
        <v>680</v>
      </c>
      <c r="D717">
        <v>95</v>
      </c>
      <c r="E717">
        <v>97</v>
      </c>
      <c r="F717" s="4">
        <v>96</v>
      </c>
      <c r="G717" s="1">
        <v>38607</v>
      </c>
      <c r="H717" s="1">
        <v>18264</v>
      </c>
      <c r="I717" s="1">
        <v>39873</v>
      </c>
    </row>
    <row r="718" spans="1:19" x14ac:dyDescent="0.25">
      <c r="A718" t="s">
        <v>7</v>
      </c>
      <c r="B718">
        <v>620</v>
      </c>
      <c r="C718">
        <v>680</v>
      </c>
      <c r="D718">
        <v>90</v>
      </c>
      <c r="E718">
        <v>95</v>
      </c>
      <c r="F718" s="4">
        <v>78</v>
      </c>
      <c r="G718" s="1">
        <v>38607</v>
      </c>
      <c r="H718" s="1">
        <v>18264</v>
      </c>
      <c r="I718" s="1">
        <v>39873</v>
      </c>
    </row>
    <row r="719" spans="1:19" x14ac:dyDescent="0.25">
      <c r="A719" t="s">
        <v>7</v>
      </c>
      <c r="B719">
        <v>620</v>
      </c>
      <c r="C719">
        <v>680</v>
      </c>
      <c r="D719">
        <v>85</v>
      </c>
      <c r="E719">
        <v>90</v>
      </c>
      <c r="F719" s="4">
        <v>52</v>
      </c>
      <c r="G719" s="1">
        <v>38607</v>
      </c>
      <c r="H719" s="1">
        <v>18264</v>
      </c>
      <c r="I719" s="1">
        <v>39873</v>
      </c>
    </row>
    <row r="720" spans="1:19" x14ac:dyDescent="0.25">
      <c r="A720" t="s">
        <v>7</v>
      </c>
      <c r="B720">
        <v>620</v>
      </c>
      <c r="C720">
        <v>680</v>
      </c>
      <c r="D720">
        <v>80</v>
      </c>
      <c r="E720">
        <v>85</v>
      </c>
      <c r="F720" s="4">
        <v>32</v>
      </c>
      <c r="G720" s="1">
        <v>38607</v>
      </c>
      <c r="H720" s="1">
        <v>18264</v>
      </c>
      <c r="I720" s="1">
        <v>39873</v>
      </c>
    </row>
    <row r="721" spans="1:9" x14ac:dyDescent="0.25">
      <c r="A721" t="s">
        <v>7</v>
      </c>
      <c r="B721">
        <v>620</v>
      </c>
      <c r="C721">
        <v>680</v>
      </c>
      <c r="D721">
        <v>0</v>
      </c>
      <c r="E721">
        <v>80</v>
      </c>
      <c r="F721" s="4">
        <v>0</v>
      </c>
      <c r="G721" s="1">
        <v>38607</v>
      </c>
      <c r="H721" s="1">
        <v>18264</v>
      </c>
      <c r="I721" s="1">
        <v>39873</v>
      </c>
    </row>
    <row r="722" spans="1:9" x14ac:dyDescent="0.25">
      <c r="A722" t="s">
        <v>7</v>
      </c>
      <c r="B722">
        <v>300</v>
      </c>
      <c r="C722">
        <v>620</v>
      </c>
      <c r="D722">
        <v>97</v>
      </c>
      <c r="E722">
        <v>999</v>
      </c>
      <c r="G722" s="1">
        <v>38607</v>
      </c>
      <c r="H722" s="1">
        <v>18264</v>
      </c>
      <c r="I722" s="1">
        <v>39873</v>
      </c>
    </row>
    <row r="723" spans="1:9" x14ac:dyDescent="0.25">
      <c r="A723" t="s">
        <v>7</v>
      </c>
      <c r="B723">
        <v>300</v>
      </c>
      <c r="C723">
        <v>620</v>
      </c>
      <c r="D723">
        <v>95</v>
      </c>
      <c r="E723">
        <v>97</v>
      </c>
      <c r="G723" s="1">
        <v>38607</v>
      </c>
      <c r="H723" s="1">
        <v>18264</v>
      </c>
      <c r="I723" s="1">
        <v>39873</v>
      </c>
    </row>
    <row r="724" spans="1:9" x14ac:dyDescent="0.25">
      <c r="A724" t="s">
        <v>7</v>
      </c>
      <c r="B724">
        <v>300</v>
      </c>
      <c r="C724">
        <v>620</v>
      </c>
      <c r="D724">
        <v>90</v>
      </c>
      <c r="E724">
        <v>95</v>
      </c>
      <c r="G724" s="1">
        <v>38607</v>
      </c>
      <c r="H724" s="1">
        <v>18264</v>
      </c>
      <c r="I724" s="1">
        <v>39873</v>
      </c>
    </row>
    <row r="725" spans="1:9" x14ac:dyDescent="0.25">
      <c r="A725" t="s">
        <v>7</v>
      </c>
      <c r="B725">
        <v>300</v>
      </c>
      <c r="C725">
        <v>620</v>
      </c>
      <c r="D725">
        <v>85</v>
      </c>
      <c r="E725">
        <v>90</v>
      </c>
      <c r="G725" s="1">
        <v>38607</v>
      </c>
      <c r="H725" s="1">
        <v>18264</v>
      </c>
      <c r="I725" s="1">
        <v>39873</v>
      </c>
    </row>
    <row r="726" spans="1:9" x14ac:dyDescent="0.25">
      <c r="A726" t="s">
        <v>7</v>
      </c>
      <c r="B726">
        <v>300</v>
      </c>
      <c r="C726">
        <v>620</v>
      </c>
      <c r="D726">
        <v>80</v>
      </c>
      <c r="E726">
        <v>85</v>
      </c>
      <c r="G726" s="1">
        <v>38607</v>
      </c>
      <c r="H726" s="1">
        <v>18264</v>
      </c>
      <c r="I726" s="1">
        <v>39873</v>
      </c>
    </row>
    <row r="727" spans="1:9" x14ac:dyDescent="0.25">
      <c r="A727" t="s">
        <v>7</v>
      </c>
      <c r="B727">
        <v>300</v>
      </c>
      <c r="C727">
        <v>620</v>
      </c>
      <c r="D727">
        <v>0</v>
      </c>
      <c r="E727">
        <v>80</v>
      </c>
      <c r="G727" s="1">
        <v>38607</v>
      </c>
      <c r="H727" s="1">
        <v>18264</v>
      </c>
      <c r="I727" s="1">
        <v>39873</v>
      </c>
    </row>
    <row r="728" spans="1:9" x14ac:dyDescent="0.25">
      <c r="A728" t="s">
        <v>8</v>
      </c>
      <c r="B728">
        <v>760</v>
      </c>
      <c r="C728">
        <v>999</v>
      </c>
      <c r="D728">
        <v>97</v>
      </c>
      <c r="E728">
        <v>999</v>
      </c>
      <c r="G728" s="1">
        <v>38607</v>
      </c>
      <c r="H728" s="1">
        <v>18264</v>
      </c>
      <c r="I728" s="1">
        <v>39873</v>
      </c>
    </row>
    <row r="729" spans="1:9" x14ac:dyDescent="0.25">
      <c r="A729" t="s">
        <v>8</v>
      </c>
      <c r="B729">
        <v>760</v>
      </c>
      <c r="C729">
        <v>999</v>
      </c>
      <c r="D729">
        <v>95</v>
      </c>
      <c r="E729">
        <v>97</v>
      </c>
      <c r="F729" s="4">
        <v>96</v>
      </c>
      <c r="G729" s="1">
        <v>38607</v>
      </c>
      <c r="H729" s="1">
        <v>18264</v>
      </c>
      <c r="I729" s="1">
        <v>39873</v>
      </c>
    </row>
    <row r="730" spans="1:9" x14ac:dyDescent="0.25">
      <c r="A730" t="s">
        <v>8</v>
      </c>
      <c r="B730">
        <v>760</v>
      </c>
      <c r="C730">
        <v>999</v>
      </c>
      <c r="D730">
        <v>90</v>
      </c>
      <c r="E730">
        <v>95</v>
      </c>
      <c r="F730" s="4">
        <v>78</v>
      </c>
      <c r="G730" s="1">
        <v>38607</v>
      </c>
      <c r="H730" s="1">
        <v>18264</v>
      </c>
      <c r="I730" s="1">
        <v>39873</v>
      </c>
    </row>
    <row r="731" spans="1:9" x14ac:dyDescent="0.25">
      <c r="A731" t="s">
        <v>8</v>
      </c>
      <c r="B731">
        <v>760</v>
      </c>
      <c r="C731">
        <v>999</v>
      </c>
      <c r="D731">
        <v>85</v>
      </c>
      <c r="E731">
        <v>90</v>
      </c>
      <c r="F731" s="4">
        <v>52</v>
      </c>
      <c r="G731" s="1">
        <v>38607</v>
      </c>
      <c r="H731" s="1">
        <v>18264</v>
      </c>
      <c r="I731" s="1">
        <v>39873</v>
      </c>
    </row>
    <row r="732" spans="1:9" x14ac:dyDescent="0.25">
      <c r="A732" t="s">
        <v>8</v>
      </c>
      <c r="B732">
        <v>760</v>
      </c>
      <c r="C732">
        <v>999</v>
      </c>
      <c r="D732">
        <v>80</v>
      </c>
      <c r="E732">
        <v>85</v>
      </c>
      <c r="F732" s="4">
        <v>32</v>
      </c>
      <c r="G732" s="1">
        <v>38607</v>
      </c>
      <c r="H732" s="1">
        <v>18264</v>
      </c>
      <c r="I732" s="1">
        <v>39873</v>
      </c>
    </row>
    <row r="733" spans="1:9" x14ac:dyDescent="0.25">
      <c r="A733" t="s">
        <v>8</v>
      </c>
      <c r="B733">
        <v>760</v>
      </c>
      <c r="C733">
        <v>999</v>
      </c>
      <c r="D733">
        <v>0</v>
      </c>
      <c r="E733">
        <v>80</v>
      </c>
      <c r="F733" s="4">
        <v>0</v>
      </c>
      <c r="G733" s="1">
        <v>38607</v>
      </c>
      <c r="H733" s="1">
        <v>18264</v>
      </c>
      <c r="I733" s="1">
        <v>39873</v>
      </c>
    </row>
    <row r="734" spans="1:9" x14ac:dyDescent="0.25">
      <c r="A734" t="s">
        <v>8</v>
      </c>
      <c r="B734">
        <v>720</v>
      </c>
      <c r="C734">
        <v>760</v>
      </c>
      <c r="D734">
        <v>97</v>
      </c>
      <c r="E734">
        <v>999</v>
      </c>
      <c r="G734" s="1">
        <v>38607</v>
      </c>
      <c r="H734" s="1">
        <v>18264</v>
      </c>
      <c r="I734" s="1">
        <v>39873</v>
      </c>
    </row>
    <row r="735" spans="1:9" x14ac:dyDescent="0.25">
      <c r="A735" t="s">
        <v>8</v>
      </c>
      <c r="B735">
        <v>720</v>
      </c>
      <c r="C735">
        <v>760</v>
      </c>
      <c r="D735">
        <v>95</v>
      </c>
      <c r="E735">
        <v>97</v>
      </c>
      <c r="F735" s="4">
        <v>96</v>
      </c>
      <c r="G735" s="1">
        <v>38607</v>
      </c>
      <c r="H735" s="1">
        <v>18264</v>
      </c>
      <c r="I735" s="1">
        <v>39873</v>
      </c>
    </row>
    <row r="736" spans="1:9" x14ac:dyDescent="0.25">
      <c r="A736" t="s">
        <v>8</v>
      </c>
      <c r="B736">
        <v>720</v>
      </c>
      <c r="C736">
        <v>760</v>
      </c>
      <c r="D736">
        <v>90</v>
      </c>
      <c r="E736">
        <v>95</v>
      </c>
      <c r="F736" s="4">
        <v>78</v>
      </c>
      <c r="G736" s="1">
        <v>38607</v>
      </c>
      <c r="H736" s="1">
        <v>18264</v>
      </c>
      <c r="I736" s="1">
        <v>39873</v>
      </c>
    </row>
    <row r="737" spans="1:9" x14ac:dyDescent="0.25">
      <c r="A737" t="s">
        <v>8</v>
      </c>
      <c r="B737">
        <v>720</v>
      </c>
      <c r="C737">
        <v>760</v>
      </c>
      <c r="D737">
        <v>85</v>
      </c>
      <c r="E737">
        <v>90</v>
      </c>
      <c r="F737" s="4">
        <v>52</v>
      </c>
      <c r="G737" s="1">
        <v>38607</v>
      </c>
      <c r="H737" s="1">
        <v>18264</v>
      </c>
      <c r="I737" s="1">
        <v>39873</v>
      </c>
    </row>
    <row r="738" spans="1:9" x14ac:dyDescent="0.25">
      <c r="A738" t="s">
        <v>8</v>
      </c>
      <c r="B738">
        <v>720</v>
      </c>
      <c r="C738">
        <v>760</v>
      </c>
      <c r="D738">
        <v>80</v>
      </c>
      <c r="E738">
        <v>85</v>
      </c>
      <c r="F738" s="4">
        <v>32</v>
      </c>
      <c r="G738" s="1">
        <v>38607</v>
      </c>
      <c r="H738" s="1">
        <v>18264</v>
      </c>
      <c r="I738" s="1">
        <v>39873</v>
      </c>
    </row>
    <row r="739" spans="1:9" x14ac:dyDescent="0.25">
      <c r="A739" t="s">
        <v>8</v>
      </c>
      <c r="B739">
        <v>720</v>
      </c>
      <c r="C739">
        <v>760</v>
      </c>
      <c r="D739">
        <v>0</v>
      </c>
      <c r="E739">
        <v>80</v>
      </c>
      <c r="F739" s="4">
        <v>0</v>
      </c>
      <c r="G739" s="1">
        <v>38607</v>
      </c>
      <c r="H739" s="1">
        <v>18264</v>
      </c>
      <c r="I739" s="1">
        <v>39873</v>
      </c>
    </row>
    <row r="740" spans="1:9" x14ac:dyDescent="0.25">
      <c r="A740" t="s">
        <v>8</v>
      </c>
      <c r="B740">
        <v>680</v>
      </c>
      <c r="C740">
        <v>720</v>
      </c>
      <c r="D740">
        <v>97</v>
      </c>
      <c r="E740">
        <v>999</v>
      </c>
      <c r="G740" s="1">
        <v>38607</v>
      </c>
      <c r="H740" s="1">
        <v>18264</v>
      </c>
      <c r="I740" s="1">
        <v>39873</v>
      </c>
    </row>
    <row r="741" spans="1:9" x14ac:dyDescent="0.25">
      <c r="A741" t="s">
        <v>8</v>
      </c>
      <c r="B741">
        <v>680</v>
      </c>
      <c r="C741">
        <v>720</v>
      </c>
      <c r="D741">
        <v>95</v>
      </c>
      <c r="E741">
        <v>97</v>
      </c>
      <c r="F741" s="4">
        <v>96</v>
      </c>
      <c r="G741" s="1">
        <v>38607</v>
      </c>
      <c r="H741" s="1">
        <v>18264</v>
      </c>
      <c r="I741" s="1">
        <v>39873</v>
      </c>
    </row>
    <row r="742" spans="1:9" x14ac:dyDescent="0.25">
      <c r="A742" t="s">
        <v>8</v>
      </c>
      <c r="B742">
        <v>680</v>
      </c>
      <c r="C742">
        <v>720</v>
      </c>
      <c r="D742">
        <v>90</v>
      </c>
      <c r="E742">
        <v>95</v>
      </c>
      <c r="F742" s="4">
        <v>78</v>
      </c>
      <c r="G742" s="1">
        <v>38607</v>
      </c>
      <c r="H742" s="1">
        <v>18264</v>
      </c>
      <c r="I742" s="1">
        <v>39873</v>
      </c>
    </row>
    <row r="743" spans="1:9" x14ac:dyDescent="0.25">
      <c r="A743" t="s">
        <v>8</v>
      </c>
      <c r="B743">
        <v>680</v>
      </c>
      <c r="C743">
        <v>720</v>
      </c>
      <c r="D743">
        <v>85</v>
      </c>
      <c r="E743">
        <v>90</v>
      </c>
      <c r="F743" s="4">
        <v>52</v>
      </c>
      <c r="G743" s="1">
        <v>38607</v>
      </c>
      <c r="H743" s="1">
        <v>18264</v>
      </c>
      <c r="I743" s="1">
        <v>39873</v>
      </c>
    </row>
    <row r="744" spans="1:9" x14ac:dyDescent="0.25">
      <c r="A744" t="s">
        <v>8</v>
      </c>
      <c r="B744">
        <v>680</v>
      </c>
      <c r="C744">
        <v>720</v>
      </c>
      <c r="D744">
        <v>80</v>
      </c>
      <c r="E744">
        <v>85</v>
      </c>
      <c r="F744" s="4">
        <v>32</v>
      </c>
      <c r="G744" s="1">
        <v>38607</v>
      </c>
      <c r="H744" s="1">
        <v>18264</v>
      </c>
      <c r="I744" s="1">
        <v>39873</v>
      </c>
    </row>
    <row r="745" spans="1:9" x14ac:dyDescent="0.25">
      <c r="A745" t="s">
        <v>8</v>
      </c>
      <c r="B745">
        <v>680</v>
      </c>
      <c r="C745">
        <v>720</v>
      </c>
      <c r="D745">
        <v>0</v>
      </c>
      <c r="E745">
        <v>80</v>
      </c>
      <c r="F745" s="4">
        <v>0</v>
      </c>
      <c r="G745" s="1">
        <v>38607</v>
      </c>
      <c r="H745" s="1">
        <v>18264</v>
      </c>
      <c r="I745" s="1">
        <v>39873</v>
      </c>
    </row>
    <row r="746" spans="1:9" x14ac:dyDescent="0.25">
      <c r="A746" t="s">
        <v>8</v>
      </c>
      <c r="B746">
        <v>620</v>
      </c>
      <c r="C746">
        <v>680</v>
      </c>
      <c r="D746">
        <v>97</v>
      </c>
      <c r="E746">
        <v>999</v>
      </c>
      <c r="G746" s="1">
        <v>38607</v>
      </c>
      <c r="H746" s="1">
        <v>18264</v>
      </c>
      <c r="I746" s="1">
        <v>39873</v>
      </c>
    </row>
    <row r="747" spans="1:9" x14ac:dyDescent="0.25">
      <c r="A747" t="s">
        <v>8</v>
      </c>
      <c r="B747">
        <v>620</v>
      </c>
      <c r="C747">
        <v>680</v>
      </c>
      <c r="D747">
        <v>95</v>
      </c>
      <c r="E747">
        <v>97</v>
      </c>
      <c r="F747" s="4">
        <v>96</v>
      </c>
      <c r="G747" s="1">
        <v>38607</v>
      </c>
      <c r="H747" s="1">
        <v>18264</v>
      </c>
      <c r="I747" s="1">
        <v>39873</v>
      </c>
    </row>
    <row r="748" spans="1:9" x14ac:dyDescent="0.25">
      <c r="A748" t="s">
        <v>8</v>
      </c>
      <c r="B748">
        <v>620</v>
      </c>
      <c r="C748">
        <v>680</v>
      </c>
      <c r="D748">
        <v>90</v>
      </c>
      <c r="E748">
        <v>95</v>
      </c>
      <c r="F748" s="4">
        <v>78</v>
      </c>
      <c r="G748" s="1">
        <v>38607</v>
      </c>
      <c r="H748" s="1">
        <v>18264</v>
      </c>
      <c r="I748" s="1">
        <v>39873</v>
      </c>
    </row>
    <row r="749" spans="1:9" x14ac:dyDescent="0.25">
      <c r="A749" t="s">
        <v>8</v>
      </c>
      <c r="B749">
        <v>620</v>
      </c>
      <c r="C749">
        <v>680</v>
      </c>
      <c r="D749">
        <v>85</v>
      </c>
      <c r="E749">
        <v>90</v>
      </c>
      <c r="F749" s="4">
        <v>52</v>
      </c>
      <c r="G749" s="1">
        <v>38607</v>
      </c>
      <c r="H749" s="1">
        <v>18264</v>
      </c>
      <c r="I749" s="1">
        <v>39873</v>
      </c>
    </row>
    <row r="750" spans="1:9" x14ac:dyDescent="0.25">
      <c r="A750" t="s">
        <v>8</v>
      </c>
      <c r="B750">
        <v>620</v>
      </c>
      <c r="C750">
        <v>680</v>
      </c>
      <c r="D750">
        <v>80</v>
      </c>
      <c r="E750">
        <v>85</v>
      </c>
      <c r="F750" s="4">
        <v>32</v>
      </c>
      <c r="G750" s="1">
        <v>38607</v>
      </c>
      <c r="H750" s="1">
        <v>18264</v>
      </c>
      <c r="I750" s="1">
        <v>39873</v>
      </c>
    </row>
    <row r="751" spans="1:9" x14ac:dyDescent="0.25">
      <c r="A751" t="s">
        <v>8</v>
      </c>
      <c r="B751">
        <v>620</v>
      </c>
      <c r="C751">
        <v>680</v>
      </c>
      <c r="D751">
        <v>0</v>
      </c>
      <c r="E751">
        <v>80</v>
      </c>
      <c r="F751" s="4">
        <v>0</v>
      </c>
      <c r="G751" s="1">
        <v>38607</v>
      </c>
      <c r="H751" s="1">
        <v>18264</v>
      </c>
      <c r="I751" s="1">
        <v>39873</v>
      </c>
    </row>
    <row r="752" spans="1:9" x14ac:dyDescent="0.25">
      <c r="A752" t="s">
        <v>8</v>
      </c>
      <c r="B752">
        <v>300</v>
      </c>
      <c r="C752">
        <v>620</v>
      </c>
      <c r="D752">
        <v>97</v>
      </c>
      <c r="E752">
        <v>999</v>
      </c>
      <c r="G752" s="1">
        <v>38607</v>
      </c>
      <c r="H752" s="1">
        <v>18264</v>
      </c>
      <c r="I752" s="1">
        <v>39873</v>
      </c>
    </row>
    <row r="753" spans="1:9" x14ac:dyDescent="0.25">
      <c r="A753" t="s">
        <v>8</v>
      </c>
      <c r="B753">
        <v>300</v>
      </c>
      <c r="C753">
        <v>620</v>
      </c>
      <c r="D753">
        <v>95</v>
      </c>
      <c r="E753">
        <v>97</v>
      </c>
      <c r="G753" s="1">
        <v>38607</v>
      </c>
      <c r="H753" s="1">
        <v>18264</v>
      </c>
      <c r="I753" s="1">
        <v>39873</v>
      </c>
    </row>
    <row r="754" spans="1:9" x14ac:dyDescent="0.25">
      <c r="A754" t="s">
        <v>8</v>
      </c>
      <c r="B754">
        <v>300</v>
      </c>
      <c r="C754">
        <v>620</v>
      </c>
      <c r="D754">
        <v>90</v>
      </c>
      <c r="E754">
        <v>95</v>
      </c>
      <c r="G754" s="1">
        <v>38607</v>
      </c>
      <c r="H754" s="1">
        <v>18264</v>
      </c>
      <c r="I754" s="1">
        <v>39873</v>
      </c>
    </row>
    <row r="755" spans="1:9" x14ac:dyDescent="0.25">
      <c r="A755" t="s">
        <v>8</v>
      </c>
      <c r="B755">
        <v>300</v>
      </c>
      <c r="C755">
        <v>620</v>
      </c>
      <c r="D755">
        <v>85</v>
      </c>
      <c r="E755">
        <v>90</v>
      </c>
      <c r="G755" s="1">
        <v>38607</v>
      </c>
      <c r="H755" s="1">
        <v>18264</v>
      </c>
      <c r="I755" s="1">
        <v>39873</v>
      </c>
    </row>
    <row r="756" spans="1:9" x14ac:dyDescent="0.25">
      <c r="A756" t="s">
        <v>8</v>
      </c>
      <c r="B756">
        <v>300</v>
      </c>
      <c r="C756">
        <v>620</v>
      </c>
      <c r="D756">
        <v>80</v>
      </c>
      <c r="E756">
        <v>85</v>
      </c>
      <c r="G756" s="1">
        <v>38607</v>
      </c>
      <c r="H756" s="1">
        <v>18264</v>
      </c>
      <c r="I756" s="1">
        <v>39873</v>
      </c>
    </row>
    <row r="757" spans="1:9" x14ac:dyDescent="0.25">
      <c r="A757" t="s">
        <v>8</v>
      </c>
      <c r="B757">
        <v>300</v>
      </c>
      <c r="C757">
        <v>620</v>
      </c>
      <c r="D757">
        <v>0</v>
      </c>
      <c r="E757">
        <v>80</v>
      </c>
      <c r="G757" s="1">
        <v>38607</v>
      </c>
      <c r="H757" s="1">
        <v>18264</v>
      </c>
      <c r="I757" s="1">
        <v>39873</v>
      </c>
    </row>
  </sheetData>
  <hyperlinks>
    <hyperlink ref="N713" r:id="rId1"/>
    <hyperlink ref="O125" r:id="rId2"/>
    <hyperlink ref="O17" r:id="rId3"/>
  </hyperlinks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5"/>
  <sheetViews>
    <sheetView tabSelected="1" workbookViewId="0">
      <selection activeCell="A2" sqref="A2:I505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0</v>
      </c>
      <c r="C22">
        <v>80</v>
      </c>
      <c r="D22">
        <v>760</v>
      </c>
      <c r="E22">
        <v>999</v>
      </c>
      <c r="F22">
        <v>0</v>
      </c>
      <c r="G22" s="1">
        <v>38596</v>
      </c>
      <c r="H22" s="1">
        <v>18264</v>
      </c>
      <c r="I22" s="1">
        <v>39873</v>
      </c>
      <c r="J22" s="5"/>
      <c r="N22" s="9"/>
      <c r="O22" s="9"/>
      <c r="P22" s="9"/>
      <c r="Q22" s="9"/>
      <c r="R22" s="3"/>
    </row>
    <row r="23" spans="1:18" x14ac:dyDescent="0.25">
      <c r="A23" t="s">
        <v>46</v>
      </c>
      <c r="B23">
        <v>0</v>
      </c>
      <c r="C23">
        <v>80</v>
      </c>
      <c r="D23">
        <v>720</v>
      </c>
      <c r="E23">
        <v>760</v>
      </c>
      <c r="F23">
        <v>0</v>
      </c>
      <c r="G23" s="1">
        <v>38596</v>
      </c>
      <c r="H23" s="1">
        <v>18264</v>
      </c>
      <c r="I23" s="1">
        <v>39873</v>
      </c>
      <c r="J23" s="5"/>
      <c r="N23" s="9"/>
      <c r="O23" s="9"/>
      <c r="P23" s="9"/>
      <c r="Q23" s="9"/>
      <c r="R23" s="3"/>
    </row>
    <row r="24" spans="1:18" x14ac:dyDescent="0.25">
      <c r="A24" t="s">
        <v>46</v>
      </c>
      <c r="B24">
        <v>0</v>
      </c>
      <c r="C24">
        <v>80</v>
      </c>
      <c r="D24">
        <v>680</v>
      </c>
      <c r="E24">
        <v>720</v>
      </c>
      <c r="F24">
        <v>0</v>
      </c>
      <c r="G24" s="1">
        <v>38596</v>
      </c>
      <c r="H24" s="1">
        <v>18264</v>
      </c>
      <c r="I24" s="1">
        <v>39873</v>
      </c>
      <c r="J24" s="5"/>
      <c r="N24" s="9"/>
      <c r="O24" s="9"/>
      <c r="P24" s="9"/>
      <c r="Q24" s="9"/>
      <c r="R24" s="3"/>
    </row>
    <row r="25" spans="1:18" x14ac:dyDescent="0.25">
      <c r="A25" t="s">
        <v>46</v>
      </c>
      <c r="B25">
        <v>0</v>
      </c>
      <c r="C25">
        <v>80</v>
      </c>
      <c r="D25">
        <v>620</v>
      </c>
      <c r="E25">
        <v>680</v>
      </c>
      <c r="F25">
        <v>0</v>
      </c>
      <c r="G25" s="1">
        <v>38596</v>
      </c>
      <c r="H25" s="1">
        <v>18264</v>
      </c>
      <c r="I25" s="1">
        <v>39873</v>
      </c>
      <c r="J25" s="5"/>
      <c r="N25" s="9"/>
      <c r="O25" s="9"/>
      <c r="P25" s="9"/>
      <c r="Q25" s="9"/>
      <c r="R25" s="3"/>
    </row>
    <row r="26" spans="1:18" x14ac:dyDescent="0.25">
      <c r="A26" t="s">
        <v>46</v>
      </c>
      <c r="B26">
        <v>0</v>
      </c>
      <c r="C26">
        <v>80</v>
      </c>
      <c r="D26">
        <v>300</v>
      </c>
      <c r="E26">
        <v>620</v>
      </c>
      <c r="G26" s="1">
        <v>38596</v>
      </c>
      <c r="H26" s="1">
        <v>18264</v>
      </c>
      <c r="I26" s="1">
        <v>39873</v>
      </c>
      <c r="J26" s="5"/>
      <c r="N26" s="9"/>
      <c r="O26" s="9"/>
      <c r="P26" s="9"/>
      <c r="Q26" s="9"/>
      <c r="R26" s="3"/>
    </row>
    <row r="27" spans="1:18" x14ac:dyDescent="0.25">
      <c r="A27" t="s">
        <v>45</v>
      </c>
      <c r="B27">
        <v>0</v>
      </c>
      <c r="C27">
        <v>80</v>
      </c>
      <c r="D27">
        <v>760</v>
      </c>
      <c r="E27">
        <v>999</v>
      </c>
      <c r="F27">
        <v>0</v>
      </c>
      <c r="G27" s="1">
        <v>38596</v>
      </c>
      <c r="H27" s="1">
        <v>18264</v>
      </c>
      <c r="I27" s="1">
        <v>39873</v>
      </c>
      <c r="J27" s="5"/>
      <c r="N27" s="9"/>
      <c r="O27" s="9"/>
      <c r="P27" s="9"/>
      <c r="Q27" s="9"/>
      <c r="R27" s="3"/>
    </row>
    <row r="28" spans="1:18" x14ac:dyDescent="0.25">
      <c r="A28" t="s">
        <v>45</v>
      </c>
      <c r="B28">
        <v>0</v>
      </c>
      <c r="C28">
        <v>80</v>
      </c>
      <c r="D28">
        <v>720</v>
      </c>
      <c r="E28">
        <v>760</v>
      </c>
      <c r="F28">
        <v>0</v>
      </c>
      <c r="G28" s="1">
        <v>38596</v>
      </c>
      <c r="H28" s="1">
        <v>18264</v>
      </c>
      <c r="I28" s="1">
        <v>39873</v>
      </c>
      <c r="J28" s="5"/>
      <c r="N28" s="9"/>
      <c r="O28" s="9"/>
      <c r="P28" s="9"/>
      <c r="Q28" s="9"/>
      <c r="R28" s="3"/>
    </row>
    <row r="29" spans="1:18" x14ac:dyDescent="0.25">
      <c r="A29" t="s">
        <v>45</v>
      </c>
      <c r="B29">
        <v>0</v>
      </c>
      <c r="C29">
        <v>80</v>
      </c>
      <c r="D29">
        <v>680</v>
      </c>
      <c r="E29">
        <v>720</v>
      </c>
      <c r="F29">
        <v>0</v>
      </c>
      <c r="G29" s="1">
        <v>38596</v>
      </c>
      <c r="H29" s="1">
        <v>18264</v>
      </c>
      <c r="I29" s="1">
        <v>39873</v>
      </c>
      <c r="J29" s="5"/>
      <c r="N29" s="9"/>
      <c r="O29" s="9"/>
      <c r="P29" s="9"/>
      <c r="Q29" s="9"/>
      <c r="R29" s="3"/>
    </row>
    <row r="30" spans="1:18" x14ac:dyDescent="0.25">
      <c r="A30" t="s">
        <v>45</v>
      </c>
      <c r="B30">
        <v>0</v>
      </c>
      <c r="C30">
        <v>80</v>
      </c>
      <c r="D30">
        <v>620</v>
      </c>
      <c r="E30">
        <v>680</v>
      </c>
      <c r="F30">
        <v>0</v>
      </c>
      <c r="G30" s="1">
        <v>38596</v>
      </c>
      <c r="H30" s="1">
        <v>18264</v>
      </c>
      <c r="I30" s="1">
        <v>39873</v>
      </c>
      <c r="J30" s="5"/>
      <c r="N30" s="9"/>
      <c r="O30" s="9"/>
      <c r="P30" s="9"/>
      <c r="Q30" s="9"/>
      <c r="R30" s="3"/>
    </row>
    <row r="31" spans="1:18" x14ac:dyDescent="0.25">
      <c r="A31" t="s">
        <v>45</v>
      </c>
      <c r="B31">
        <v>0</v>
      </c>
      <c r="C31">
        <v>80</v>
      </c>
      <c r="D31">
        <v>300</v>
      </c>
      <c r="E31">
        <v>620</v>
      </c>
      <c r="G31" s="1">
        <v>38596</v>
      </c>
      <c r="H31" s="1">
        <v>18264</v>
      </c>
      <c r="I31" s="1">
        <v>39873</v>
      </c>
      <c r="J31" s="5"/>
      <c r="N31" s="9"/>
      <c r="O31" s="9"/>
      <c r="P31" s="9"/>
      <c r="Q31" s="9"/>
      <c r="R31" s="3"/>
    </row>
    <row r="32" spans="1:18" x14ac:dyDescent="0.25">
      <c r="A32" t="s">
        <v>44</v>
      </c>
      <c r="B32">
        <v>0</v>
      </c>
      <c r="C32">
        <v>80</v>
      </c>
      <c r="D32">
        <v>760</v>
      </c>
      <c r="E32">
        <v>999</v>
      </c>
      <c r="F32">
        <v>0</v>
      </c>
      <c r="G32" s="1">
        <v>38596</v>
      </c>
      <c r="H32" s="1">
        <v>18264</v>
      </c>
      <c r="I32" s="1">
        <v>39873</v>
      </c>
      <c r="J32" s="5"/>
      <c r="N32" s="9"/>
      <c r="O32" s="9"/>
      <c r="P32" s="9"/>
      <c r="Q32" s="9"/>
      <c r="R32" s="3"/>
    </row>
    <row r="33" spans="1:18" x14ac:dyDescent="0.25">
      <c r="A33" t="s">
        <v>44</v>
      </c>
      <c r="B33">
        <v>0</v>
      </c>
      <c r="C33">
        <v>80</v>
      </c>
      <c r="D33">
        <v>720</v>
      </c>
      <c r="E33">
        <v>760</v>
      </c>
      <c r="F33">
        <v>0</v>
      </c>
      <c r="G33" s="1">
        <v>38596</v>
      </c>
      <c r="H33" s="1">
        <v>18264</v>
      </c>
      <c r="I33" s="1">
        <v>39873</v>
      </c>
      <c r="J33" s="5"/>
      <c r="N33" s="9"/>
      <c r="O33" s="9"/>
      <c r="P33" s="9"/>
      <c r="Q33" s="9"/>
      <c r="R33" s="3"/>
    </row>
    <row r="34" spans="1:18" x14ac:dyDescent="0.25">
      <c r="A34" t="s">
        <v>44</v>
      </c>
      <c r="B34">
        <v>0</v>
      </c>
      <c r="C34">
        <v>80</v>
      </c>
      <c r="D34">
        <v>680</v>
      </c>
      <c r="E34">
        <v>720</v>
      </c>
      <c r="F34">
        <v>0</v>
      </c>
      <c r="G34" s="1">
        <v>38596</v>
      </c>
      <c r="H34" s="1">
        <v>18264</v>
      </c>
      <c r="I34" s="1">
        <v>39873</v>
      </c>
      <c r="J34" s="5"/>
      <c r="N34" s="9"/>
      <c r="O34" s="9"/>
      <c r="P34" s="9"/>
      <c r="Q34" s="9"/>
      <c r="R34" s="3"/>
    </row>
    <row r="35" spans="1:18" x14ac:dyDescent="0.25">
      <c r="A35" t="s">
        <v>44</v>
      </c>
      <c r="B35">
        <v>0</v>
      </c>
      <c r="C35">
        <v>80</v>
      </c>
      <c r="D35">
        <v>620</v>
      </c>
      <c r="E35">
        <v>680</v>
      </c>
      <c r="F35">
        <v>0</v>
      </c>
      <c r="G35" s="1">
        <v>38596</v>
      </c>
      <c r="H35" s="1">
        <v>18264</v>
      </c>
      <c r="I35" s="1">
        <v>39873</v>
      </c>
      <c r="J35" s="5"/>
      <c r="N35" s="9"/>
      <c r="O35" s="9"/>
      <c r="P35" s="9"/>
      <c r="Q35" s="9"/>
      <c r="R35" s="3"/>
    </row>
    <row r="36" spans="1:18" x14ac:dyDescent="0.25">
      <c r="A36" t="s">
        <v>44</v>
      </c>
      <c r="B36">
        <v>0</v>
      </c>
      <c r="C36">
        <v>80</v>
      </c>
      <c r="D36">
        <v>300</v>
      </c>
      <c r="E36">
        <v>620</v>
      </c>
      <c r="G36" s="1">
        <v>38596</v>
      </c>
      <c r="H36" s="1">
        <v>18264</v>
      </c>
      <c r="I36" s="1">
        <v>39873</v>
      </c>
      <c r="J36" s="5"/>
      <c r="N36" s="9"/>
      <c r="O36" s="9"/>
      <c r="P36" s="9"/>
      <c r="Q36" s="9"/>
      <c r="R36" s="3"/>
    </row>
    <row r="37" spans="1:18" x14ac:dyDescent="0.25">
      <c r="A37" t="s">
        <v>43</v>
      </c>
      <c r="B37">
        <v>0</v>
      </c>
      <c r="C37">
        <v>80</v>
      </c>
      <c r="D37">
        <v>760</v>
      </c>
      <c r="E37">
        <v>999</v>
      </c>
      <c r="F37">
        <v>0</v>
      </c>
      <c r="G37" s="1">
        <v>38596</v>
      </c>
      <c r="H37" s="1">
        <v>18264</v>
      </c>
      <c r="I37" s="1">
        <v>39873</v>
      </c>
      <c r="J37" s="5"/>
      <c r="N37" s="9"/>
      <c r="O37" s="9"/>
      <c r="P37" s="9"/>
      <c r="Q37" s="9"/>
      <c r="R37" s="3"/>
    </row>
    <row r="38" spans="1:18" x14ac:dyDescent="0.25">
      <c r="A38" t="s">
        <v>43</v>
      </c>
      <c r="B38">
        <v>0</v>
      </c>
      <c r="C38">
        <v>80</v>
      </c>
      <c r="D38">
        <v>720</v>
      </c>
      <c r="E38">
        <v>760</v>
      </c>
      <c r="F38">
        <v>0</v>
      </c>
      <c r="G38" s="1">
        <v>38596</v>
      </c>
      <c r="H38" s="1">
        <v>18264</v>
      </c>
      <c r="I38" s="1">
        <v>39873</v>
      </c>
      <c r="J38" s="5"/>
      <c r="N38" s="9"/>
      <c r="O38" s="9"/>
      <c r="P38" s="9"/>
      <c r="Q38" s="9"/>
      <c r="R38" s="3"/>
    </row>
    <row r="39" spans="1:18" x14ac:dyDescent="0.25">
      <c r="A39" t="s">
        <v>43</v>
      </c>
      <c r="B39">
        <v>0</v>
      </c>
      <c r="C39">
        <v>80</v>
      </c>
      <c r="D39">
        <v>680</v>
      </c>
      <c r="E39">
        <v>720</v>
      </c>
      <c r="F39">
        <v>0</v>
      </c>
      <c r="G39" s="1">
        <v>38596</v>
      </c>
      <c r="H39" s="1">
        <v>18264</v>
      </c>
      <c r="I39" s="1">
        <v>39873</v>
      </c>
      <c r="J39" s="5"/>
      <c r="N39" s="9"/>
      <c r="O39" s="9"/>
      <c r="P39" s="9"/>
      <c r="Q39" s="9"/>
      <c r="R39" s="3"/>
    </row>
    <row r="40" spans="1:18" x14ac:dyDescent="0.25">
      <c r="A40" t="s">
        <v>43</v>
      </c>
      <c r="B40">
        <v>0</v>
      </c>
      <c r="C40">
        <v>80</v>
      </c>
      <c r="D40">
        <v>620</v>
      </c>
      <c r="E40">
        <v>680</v>
      </c>
      <c r="F40">
        <v>0</v>
      </c>
      <c r="G40" s="1">
        <v>38596</v>
      </c>
      <c r="H40" s="1">
        <v>18264</v>
      </c>
      <c r="I40" s="1">
        <v>39873</v>
      </c>
      <c r="J40" s="5"/>
      <c r="N40" s="9"/>
      <c r="O40" s="9"/>
      <c r="P40" s="9"/>
      <c r="Q40" s="9"/>
      <c r="R40" s="3"/>
    </row>
    <row r="41" spans="1:18" x14ac:dyDescent="0.25">
      <c r="A41" t="s">
        <v>43</v>
      </c>
      <c r="B41">
        <v>0</v>
      </c>
      <c r="C41">
        <v>80</v>
      </c>
      <c r="D41">
        <v>300</v>
      </c>
      <c r="E41">
        <v>620</v>
      </c>
      <c r="G41" s="1">
        <v>38596</v>
      </c>
      <c r="H41" s="1">
        <v>18264</v>
      </c>
      <c r="I41" s="1">
        <v>39873</v>
      </c>
      <c r="J41" s="5"/>
      <c r="N41" s="9"/>
      <c r="O41" s="9"/>
      <c r="P41" s="9"/>
      <c r="Q41" s="9"/>
      <c r="R41" s="3"/>
    </row>
    <row r="42" spans="1:18" x14ac:dyDescent="0.25">
      <c r="A42" t="s">
        <v>46</v>
      </c>
      <c r="B42">
        <v>80</v>
      </c>
      <c r="C42">
        <v>999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L42" s="1">
        <v>39873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 t="s">
        <v>46</v>
      </c>
      <c r="B43">
        <v>80</v>
      </c>
      <c r="C43">
        <v>999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L43" t="s">
        <v>46</v>
      </c>
      <c r="M43" t="s">
        <v>38</v>
      </c>
      <c r="N43" s="9">
        <v>0</v>
      </c>
      <c r="O43" s="9">
        <v>0</v>
      </c>
      <c r="P43" s="9">
        <v>0</v>
      </c>
      <c r="Q43" s="9">
        <v>0</v>
      </c>
      <c r="R43" s="3" t="s">
        <v>18</v>
      </c>
    </row>
    <row r="44" spans="1:18" x14ac:dyDescent="0.25">
      <c r="A44" t="s">
        <v>46</v>
      </c>
      <c r="B44">
        <v>80</v>
      </c>
      <c r="C44">
        <v>999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L44" t="s">
        <v>45</v>
      </c>
      <c r="M44" t="s">
        <v>38</v>
      </c>
      <c r="N44" s="9">
        <v>14</v>
      </c>
      <c r="O44" s="9">
        <v>14</v>
      </c>
      <c r="P44" s="9">
        <v>14</v>
      </c>
      <c r="Q44" s="9">
        <v>14</v>
      </c>
      <c r="R44" s="3" t="s">
        <v>18</v>
      </c>
    </row>
    <row r="45" spans="1:18" x14ac:dyDescent="0.25">
      <c r="A45" t="s">
        <v>46</v>
      </c>
      <c r="B45">
        <v>80</v>
      </c>
      <c r="C45">
        <v>999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L45" t="s">
        <v>44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s="3" t="s">
        <v>18</v>
      </c>
    </row>
    <row r="46" spans="1:18" x14ac:dyDescent="0.25">
      <c r="A46" t="s">
        <v>46</v>
      </c>
      <c r="B46">
        <v>80</v>
      </c>
      <c r="C46">
        <v>999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L46" t="s">
        <v>43</v>
      </c>
      <c r="M46" t="s">
        <v>38</v>
      </c>
      <c r="N46" s="9">
        <v>0</v>
      </c>
      <c r="O46" s="9">
        <v>0</v>
      </c>
      <c r="P46" s="9">
        <v>0</v>
      </c>
      <c r="Q46" s="9">
        <v>0</v>
      </c>
      <c r="R46" s="3" t="s">
        <v>18</v>
      </c>
    </row>
    <row r="47" spans="1:18" x14ac:dyDescent="0.25">
      <c r="A47" t="s">
        <v>45</v>
      </c>
      <c r="B47">
        <v>80</v>
      </c>
      <c r="C47">
        <v>999</v>
      </c>
      <c r="D47">
        <v>760</v>
      </c>
      <c r="E47">
        <v>999</v>
      </c>
      <c r="F47" s="9">
        <v>14</v>
      </c>
      <c r="G47" s="1">
        <v>39873</v>
      </c>
      <c r="H47" s="1">
        <v>39873</v>
      </c>
      <c r="I47" s="1">
        <v>40299</v>
      </c>
      <c r="J47" s="5"/>
      <c r="L47" t="s">
        <v>46</v>
      </c>
      <c r="M47" t="s">
        <v>39</v>
      </c>
      <c r="N47" s="9">
        <v>0</v>
      </c>
      <c r="O47" s="9">
        <v>0</v>
      </c>
      <c r="P47" s="9">
        <v>0</v>
      </c>
      <c r="Q47" s="9">
        <v>0</v>
      </c>
      <c r="R47" s="3" t="s">
        <v>18</v>
      </c>
    </row>
    <row r="48" spans="1:18" x14ac:dyDescent="0.25">
      <c r="A48" t="s">
        <v>45</v>
      </c>
      <c r="B48">
        <v>80</v>
      </c>
      <c r="C48">
        <v>999</v>
      </c>
      <c r="D48">
        <v>720</v>
      </c>
      <c r="E48">
        <v>760</v>
      </c>
      <c r="F48" s="9">
        <v>14</v>
      </c>
      <c r="G48" s="1">
        <v>39873</v>
      </c>
      <c r="H48" s="1">
        <v>39873</v>
      </c>
      <c r="I48" s="1">
        <v>40299</v>
      </c>
      <c r="J48" s="5"/>
      <c r="L48" t="s">
        <v>45</v>
      </c>
      <c r="M48" t="s">
        <v>39</v>
      </c>
      <c r="N48" s="9">
        <v>0</v>
      </c>
      <c r="O48" s="9">
        <v>0</v>
      </c>
      <c r="P48" s="9">
        <v>0</v>
      </c>
      <c r="Q48" s="9">
        <v>0</v>
      </c>
      <c r="R48" s="3" t="s">
        <v>18</v>
      </c>
    </row>
    <row r="49" spans="1:19" x14ac:dyDescent="0.25">
      <c r="A49" t="s">
        <v>45</v>
      </c>
      <c r="B49">
        <v>80</v>
      </c>
      <c r="C49">
        <v>999</v>
      </c>
      <c r="D49">
        <v>680</v>
      </c>
      <c r="E49">
        <v>720</v>
      </c>
      <c r="F49" s="9">
        <v>14</v>
      </c>
      <c r="G49" s="1">
        <v>39873</v>
      </c>
      <c r="H49" s="1">
        <v>39873</v>
      </c>
      <c r="I49" s="1">
        <v>40299</v>
      </c>
      <c r="J49" s="5"/>
      <c r="L49" t="s">
        <v>44</v>
      </c>
      <c r="M49" t="s">
        <v>39</v>
      </c>
      <c r="N49" s="9">
        <v>0</v>
      </c>
      <c r="O49" s="9">
        <v>0</v>
      </c>
      <c r="P49" s="9">
        <v>0</v>
      </c>
      <c r="Q49" s="9">
        <v>0</v>
      </c>
      <c r="R49" s="3" t="s">
        <v>18</v>
      </c>
    </row>
    <row r="50" spans="1:19" x14ac:dyDescent="0.25">
      <c r="A50" t="s">
        <v>45</v>
      </c>
      <c r="B50">
        <v>80</v>
      </c>
      <c r="C50">
        <v>999</v>
      </c>
      <c r="D50">
        <v>620</v>
      </c>
      <c r="E50">
        <v>680</v>
      </c>
      <c r="F50" s="9">
        <v>14</v>
      </c>
      <c r="G50" s="1">
        <v>39873</v>
      </c>
      <c r="H50" s="1">
        <v>39873</v>
      </c>
      <c r="I50" s="1">
        <v>40299</v>
      </c>
      <c r="J50" s="5"/>
      <c r="L50" t="s">
        <v>43</v>
      </c>
      <c r="M50" t="s">
        <v>39</v>
      </c>
      <c r="N50" s="9">
        <v>0</v>
      </c>
      <c r="O50" s="9">
        <v>0</v>
      </c>
      <c r="P50" s="9">
        <v>0</v>
      </c>
      <c r="Q50" s="9">
        <v>0</v>
      </c>
      <c r="R50" s="3" t="s">
        <v>18</v>
      </c>
    </row>
    <row r="51" spans="1:19" x14ac:dyDescent="0.25">
      <c r="A51" t="s">
        <v>45</v>
      </c>
      <c r="B51">
        <v>80</v>
      </c>
      <c r="C51">
        <v>999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9" x14ac:dyDescent="0.25">
      <c r="A52" t="s">
        <v>44</v>
      </c>
      <c r="B52">
        <v>80</v>
      </c>
      <c r="C52">
        <v>999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9" x14ac:dyDescent="0.25">
      <c r="A53" t="s">
        <v>44</v>
      </c>
      <c r="B53">
        <v>80</v>
      </c>
      <c r="C53">
        <v>999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9" x14ac:dyDescent="0.25">
      <c r="A54" t="s">
        <v>44</v>
      </c>
      <c r="B54">
        <v>80</v>
      </c>
      <c r="C54">
        <v>999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  <c r="S54" t="s">
        <v>41</v>
      </c>
    </row>
    <row r="55" spans="1:19" x14ac:dyDescent="0.25">
      <c r="A55" t="s">
        <v>44</v>
      </c>
      <c r="B55">
        <v>80</v>
      </c>
      <c r="C55">
        <v>999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9" x14ac:dyDescent="0.25">
      <c r="A56" t="s">
        <v>44</v>
      </c>
      <c r="B56">
        <v>80</v>
      </c>
      <c r="C56">
        <v>999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9" x14ac:dyDescent="0.25">
      <c r="A57" t="s">
        <v>43</v>
      </c>
      <c r="B57">
        <v>80</v>
      </c>
      <c r="C57">
        <v>999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9" x14ac:dyDescent="0.25">
      <c r="A58" t="s">
        <v>43</v>
      </c>
      <c r="B58">
        <v>80</v>
      </c>
      <c r="C58">
        <v>999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9" x14ac:dyDescent="0.25">
      <c r="A59" t="s">
        <v>43</v>
      </c>
      <c r="B59">
        <v>80</v>
      </c>
      <c r="C59">
        <v>999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9" x14ac:dyDescent="0.25">
      <c r="A60" t="s">
        <v>43</v>
      </c>
      <c r="B60">
        <v>80</v>
      </c>
      <c r="C60">
        <v>999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9" x14ac:dyDescent="0.25">
      <c r="A61" t="s">
        <v>43</v>
      </c>
      <c r="B61">
        <v>80</v>
      </c>
      <c r="C61">
        <v>999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9" x14ac:dyDescent="0.25">
      <c r="A62" t="s">
        <v>46</v>
      </c>
      <c r="B62">
        <v>0</v>
      </c>
      <c r="C62">
        <v>80</v>
      </c>
      <c r="D62">
        <v>760</v>
      </c>
      <c r="E62">
        <v>999</v>
      </c>
      <c r="F62">
        <v>0</v>
      </c>
      <c r="G62" s="1">
        <v>39873</v>
      </c>
      <c r="H62" s="1">
        <v>39873</v>
      </c>
      <c r="I62" s="1">
        <v>40299</v>
      </c>
      <c r="J62" s="5"/>
    </row>
    <row r="63" spans="1:19" x14ac:dyDescent="0.25">
      <c r="A63" t="s">
        <v>46</v>
      </c>
      <c r="B63">
        <v>0</v>
      </c>
      <c r="C63">
        <v>80</v>
      </c>
      <c r="D63">
        <v>720</v>
      </c>
      <c r="E63">
        <v>760</v>
      </c>
      <c r="F63">
        <v>0</v>
      </c>
      <c r="G63" s="1">
        <v>39873</v>
      </c>
      <c r="H63" s="1">
        <v>39873</v>
      </c>
      <c r="I63" s="1">
        <v>40299</v>
      </c>
      <c r="J63" s="5"/>
    </row>
    <row r="64" spans="1:19" x14ac:dyDescent="0.25">
      <c r="A64" t="s">
        <v>46</v>
      </c>
      <c r="B64">
        <v>0</v>
      </c>
      <c r="C64">
        <v>80</v>
      </c>
      <c r="D64">
        <v>680</v>
      </c>
      <c r="E64">
        <v>720</v>
      </c>
      <c r="F64">
        <v>0</v>
      </c>
      <c r="G64" s="1">
        <v>39873</v>
      </c>
      <c r="H64" s="1">
        <v>39873</v>
      </c>
      <c r="I64" s="1">
        <v>40299</v>
      </c>
      <c r="J64" s="5"/>
      <c r="N64" s="9"/>
      <c r="O64" s="9"/>
      <c r="P64" s="9"/>
      <c r="Q64" s="9"/>
    </row>
    <row r="65" spans="1:17" x14ac:dyDescent="0.25">
      <c r="A65" t="s">
        <v>46</v>
      </c>
      <c r="B65">
        <v>0</v>
      </c>
      <c r="C65">
        <v>80</v>
      </c>
      <c r="D65">
        <v>620</v>
      </c>
      <c r="E65">
        <v>680</v>
      </c>
      <c r="F65">
        <v>0</v>
      </c>
      <c r="G65" s="1">
        <v>39873</v>
      </c>
      <c r="H65" s="1">
        <v>39873</v>
      </c>
      <c r="I65" s="1">
        <v>40299</v>
      </c>
      <c r="J65" s="5"/>
      <c r="N65" s="9"/>
      <c r="O65" s="9"/>
      <c r="P65" s="9"/>
      <c r="Q65" s="9"/>
    </row>
    <row r="66" spans="1:17" x14ac:dyDescent="0.25">
      <c r="A66" t="s">
        <v>46</v>
      </c>
      <c r="B66">
        <v>0</v>
      </c>
      <c r="C66">
        <v>80</v>
      </c>
      <c r="D66">
        <v>300</v>
      </c>
      <c r="E66">
        <v>620</v>
      </c>
      <c r="G66" s="1">
        <v>39873</v>
      </c>
      <c r="H66" s="1">
        <v>39873</v>
      </c>
      <c r="I66" s="1">
        <v>40299</v>
      </c>
      <c r="J66" s="5"/>
      <c r="N66" s="9"/>
      <c r="O66" s="9"/>
      <c r="P66" s="9"/>
      <c r="Q66" s="9"/>
    </row>
    <row r="67" spans="1:17" x14ac:dyDescent="0.25">
      <c r="A67" t="s">
        <v>45</v>
      </c>
      <c r="B67">
        <v>0</v>
      </c>
      <c r="C67">
        <v>80</v>
      </c>
      <c r="D67">
        <v>760</v>
      </c>
      <c r="E67">
        <v>999</v>
      </c>
      <c r="F67">
        <v>0</v>
      </c>
      <c r="G67" s="1">
        <v>39873</v>
      </c>
      <c r="H67" s="1">
        <v>39873</v>
      </c>
      <c r="I67" s="1">
        <v>40299</v>
      </c>
      <c r="J67" s="5"/>
      <c r="N67" s="9"/>
      <c r="O67" s="9"/>
      <c r="P67" s="9"/>
      <c r="Q67" s="9"/>
    </row>
    <row r="68" spans="1:17" x14ac:dyDescent="0.25">
      <c r="A68" t="s">
        <v>45</v>
      </c>
      <c r="B68">
        <v>0</v>
      </c>
      <c r="C68">
        <v>80</v>
      </c>
      <c r="D68">
        <v>720</v>
      </c>
      <c r="E68">
        <v>760</v>
      </c>
      <c r="F68">
        <v>0</v>
      </c>
      <c r="G68" s="1">
        <v>39873</v>
      </c>
      <c r="H68" s="1">
        <v>39873</v>
      </c>
      <c r="I68" s="1">
        <v>40299</v>
      </c>
      <c r="J68" s="5"/>
      <c r="N68" s="9"/>
      <c r="O68" s="9"/>
      <c r="P68" s="9"/>
      <c r="Q68" s="9"/>
    </row>
    <row r="69" spans="1:17" x14ac:dyDescent="0.25">
      <c r="A69" t="s">
        <v>45</v>
      </c>
      <c r="B69">
        <v>0</v>
      </c>
      <c r="C69">
        <v>80</v>
      </c>
      <c r="D69">
        <v>680</v>
      </c>
      <c r="E69">
        <v>720</v>
      </c>
      <c r="F69">
        <v>0</v>
      </c>
      <c r="G69" s="1">
        <v>39873</v>
      </c>
      <c r="H69" s="1">
        <v>39873</v>
      </c>
      <c r="I69" s="1">
        <v>40299</v>
      </c>
      <c r="J69" s="5"/>
    </row>
    <row r="70" spans="1:17" x14ac:dyDescent="0.25">
      <c r="A70" t="s">
        <v>45</v>
      </c>
      <c r="B70">
        <v>0</v>
      </c>
      <c r="C70">
        <v>80</v>
      </c>
      <c r="D70">
        <v>620</v>
      </c>
      <c r="E70">
        <v>680</v>
      </c>
      <c r="F70">
        <v>0</v>
      </c>
      <c r="G70" s="1">
        <v>39873</v>
      </c>
      <c r="H70" s="1">
        <v>39873</v>
      </c>
      <c r="I70" s="1">
        <v>40299</v>
      </c>
      <c r="J70" s="5"/>
    </row>
    <row r="71" spans="1:17" x14ac:dyDescent="0.25">
      <c r="A71" t="s">
        <v>45</v>
      </c>
      <c r="B71">
        <v>0</v>
      </c>
      <c r="C71">
        <v>80</v>
      </c>
      <c r="D71">
        <v>300</v>
      </c>
      <c r="E71">
        <v>620</v>
      </c>
      <c r="G71" s="1">
        <v>39873</v>
      </c>
      <c r="H71" s="1">
        <v>39873</v>
      </c>
      <c r="I71" s="1">
        <v>40299</v>
      </c>
      <c r="J71" s="5"/>
    </row>
    <row r="72" spans="1:17" x14ac:dyDescent="0.25">
      <c r="A72" t="s">
        <v>44</v>
      </c>
      <c r="B72">
        <v>0</v>
      </c>
      <c r="C72">
        <v>80</v>
      </c>
      <c r="D72">
        <v>760</v>
      </c>
      <c r="E72">
        <v>999</v>
      </c>
      <c r="F72">
        <v>0</v>
      </c>
      <c r="G72" s="1">
        <v>39873</v>
      </c>
      <c r="H72" s="1">
        <v>39873</v>
      </c>
      <c r="I72" s="1">
        <v>40299</v>
      </c>
      <c r="J72" s="5"/>
    </row>
    <row r="73" spans="1:17" x14ac:dyDescent="0.25">
      <c r="A73" t="s">
        <v>44</v>
      </c>
      <c r="B73">
        <v>0</v>
      </c>
      <c r="C73">
        <v>80</v>
      </c>
      <c r="D73">
        <v>720</v>
      </c>
      <c r="E73">
        <v>760</v>
      </c>
      <c r="F73">
        <v>0</v>
      </c>
      <c r="G73" s="1">
        <v>39873</v>
      </c>
      <c r="H73" s="1">
        <v>39873</v>
      </c>
      <c r="I73" s="1">
        <v>40299</v>
      </c>
      <c r="J73" s="5"/>
    </row>
    <row r="74" spans="1:17" x14ac:dyDescent="0.25">
      <c r="A74" t="s">
        <v>44</v>
      </c>
      <c r="B74">
        <v>0</v>
      </c>
      <c r="C74">
        <v>80</v>
      </c>
      <c r="D74">
        <v>680</v>
      </c>
      <c r="E74">
        <v>720</v>
      </c>
      <c r="F74">
        <v>0</v>
      </c>
      <c r="G74" s="1">
        <v>39873</v>
      </c>
      <c r="H74" s="1">
        <v>39873</v>
      </c>
      <c r="I74" s="1">
        <v>40299</v>
      </c>
      <c r="J74" s="5"/>
    </row>
    <row r="75" spans="1:17" x14ac:dyDescent="0.25">
      <c r="A75" t="s">
        <v>44</v>
      </c>
      <c r="B75">
        <v>0</v>
      </c>
      <c r="C75">
        <v>80</v>
      </c>
      <c r="D75">
        <v>620</v>
      </c>
      <c r="E75">
        <v>680</v>
      </c>
      <c r="F75">
        <v>0</v>
      </c>
      <c r="G75" s="1">
        <v>39873</v>
      </c>
      <c r="H75" s="1">
        <v>39873</v>
      </c>
      <c r="I75" s="1">
        <v>40299</v>
      </c>
      <c r="J75" s="5"/>
    </row>
    <row r="76" spans="1:17" x14ac:dyDescent="0.25">
      <c r="A76" t="s">
        <v>44</v>
      </c>
      <c r="B76">
        <v>0</v>
      </c>
      <c r="C76">
        <v>80</v>
      </c>
      <c r="D76">
        <v>300</v>
      </c>
      <c r="E76">
        <v>620</v>
      </c>
      <c r="G76" s="1">
        <v>39873</v>
      </c>
      <c r="H76" s="1">
        <v>39873</v>
      </c>
      <c r="I76" s="1">
        <v>40299</v>
      </c>
      <c r="J76" s="5"/>
    </row>
    <row r="77" spans="1:17" x14ac:dyDescent="0.25">
      <c r="A77" t="s">
        <v>43</v>
      </c>
      <c r="B77">
        <v>0</v>
      </c>
      <c r="C77">
        <v>80</v>
      </c>
      <c r="D77">
        <v>760</v>
      </c>
      <c r="E77">
        <v>999</v>
      </c>
      <c r="F77">
        <v>0</v>
      </c>
      <c r="G77" s="1">
        <v>39873</v>
      </c>
      <c r="H77" s="1">
        <v>39873</v>
      </c>
      <c r="I77" s="1">
        <v>40299</v>
      </c>
      <c r="J77" s="5"/>
    </row>
    <row r="78" spans="1:17" x14ac:dyDescent="0.25">
      <c r="A78" t="s">
        <v>43</v>
      </c>
      <c r="B78">
        <v>0</v>
      </c>
      <c r="C78">
        <v>80</v>
      </c>
      <c r="D78">
        <v>720</v>
      </c>
      <c r="E78">
        <v>760</v>
      </c>
      <c r="F78">
        <v>0</v>
      </c>
      <c r="G78" s="1">
        <v>39873</v>
      </c>
      <c r="H78" s="1">
        <v>39873</v>
      </c>
      <c r="I78" s="1">
        <v>40299</v>
      </c>
      <c r="J78" s="5"/>
    </row>
    <row r="79" spans="1:17" x14ac:dyDescent="0.25">
      <c r="A79" t="s">
        <v>43</v>
      </c>
      <c r="B79">
        <v>0</v>
      </c>
      <c r="C79">
        <v>80</v>
      </c>
      <c r="D79">
        <v>680</v>
      </c>
      <c r="E79">
        <v>720</v>
      </c>
      <c r="F79">
        <v>0</v>
      </c>
      <c r="G79" s="1">
        <v>39873</v>
      </c>
      <c r="H79" s="1">
        <v>39873</v>
      </c>
      <c r="I79" s="1">
        <v>40299</v>
      </c>
      <c r="J79" s="5"/>
    </row>
    <row r="80" spans="1:17" x14ac:dyDescent="0.25">
      <c r="A80" t="s">
        <v>43</v>
      </c>
      <c r="B80">
        <v>0</v>
      </c>
      <c r="C80">
        <v>80</v>
      </c>
      <c r="D80">
        <v>620</v>
      </c>
      <c r="E80">
        <v>680</v>
      </c>
      <c r="F80">
        <v>0</v>
      </c>
      <c r="G80" s="1">
        <v>39873</v>
      </c>
      <c r="H80" s="1">
        <v>39873</v>
      </c>
      <c r="I80" s="1">
        <v>40299</v>
      </c>
      <c r="J80" s="5"/>
    </row>
    <row r="81" spans="1:19" x14ac:dyDescent="0.25">
      <c r="A81" t="s">
        <v>43</v>
      </c>
      <c r="B81">
        <v>0</v>
      </c>
      <c r="C81">
        <v>80</v>
      </c>
      <c r="D81">
        <v>300</v>
      </c>
      <c r="E81">
        <v>620</v>
      </c>
      <c r="G81" s="1">
        <v>39873</v>
      </c>
      <c r="H81" s="1">
        <v>39873</v>
      </c>
      <c r="I81" s="1">
        <v>40299</v>
      </c>
      <c r="J81" s="5"/>
    </row>
    <row r="82" spans="1:19" x14ac:dyDescent="0.25">
      <c r="A82" t="s">
        <v>46</v>
      </c>
      <c r="B82">
        <v>80</v>
      </c>
      <c r="C82">
        <v>999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L82" s="1">
        <v>40299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 t="s">
        <v>46</v>
      </c>
      <c r="B83">
        <v>80</v>
      </c>
      <c r="C83">
        <v>999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L83" t="s">
        <v>46</v>
      </c>
      <c r="M83" t="s">
        <v>38</v>
      </c>
      <c r="N83" s="9">
        <v>0</v>
      </c>
      <c r="O83" s="9">
        <v>0</v>
      </c>
      <c r="P83" s="9">
        <v>0</v>
      </c>
      <c r="Q83" s="9">
        <v>0</v>
      </c>
      <c r="R83" s="3" t="s">
        <v>18</v>
      </c>
    </row>
    <row r="84" spans="1:19" x14ac:dyDescent="0.25">
      <c r="A84" t="s">
        <v>46</v>
      </c>
      <c r="B84">
        <v>80</v>
      </c>
      <c r="C84">
        <v>999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L84" t="s">
        <v>45</v>
      </c>
      <c r="M84" t="s">
        <v>38</v>
      </c>
      <c r="N84" s="9">
        <v>14</v>
      </c>
      <c r="O84" s="9">
        <v>14</v>
      </c>
      <c r="P84" s="9">
        <v>20</v>
      </c>
      <c r="Q84" s="9">
        <v>35</v>
      </c>
      <c r="R84" s="3" t="s">
        <v>18</v>
      </c>
    </row>
    <row r="85" spans="1:19" x14ac:dyDescent="0.25">
      <c r="A85" t="s">
        <v>46</v>
      </c>
      <c r="B85">
        <v>80</v>
      </c>
      <c r="C85">
        <v>999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L85" t="s">
        <v>44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s="3" t="s">
        <v>18</v>
      </c>
    </row>
    <row r="86" spans="1:19" x14ac:dyDescent="0.25">
      <c r="A86" t="s">
        <v>46</v>
      </c>
      <c r="B86">
        <v>80</v>
      </c>
      <c r="C86">
        <v>999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L86" t="s">
        <v>43</v>
      </c>
      <c r="M86" t="s">
        <v>38</v>
      </c>
      <c r="N86" s="9">
        <v>0</v>
      </c>
      <c r="O86" s="9">
        <v>0</v>
      </c>
      <c r="P86" s="9">
        <v>0</v>
      </c>
      <c r="Q86" s="9">
        <v>0</v>
      </c>
      <c r="R86" s="3" t="s">
        <v>18</v>
      </c>
    </row>
    <row r="87" spans="1:19" x14ac:dyDescent="0.25">
      <c r="A87" t="s">
        <v>45</v>
      </c>
      <c r="B87">
        <v>80</v>
      </c>
      <c r="C87">
        <v>999</v>
      </c>
      <c r="D87">
        <v>760</v>
      </c>
      <c r="E87">
        <v>999</v>
      </c>
      <c r="F87" s="9">
        <v>14</v>
      </c>
      <c r="G87" s="1">
        <v>40299</v>
      </c>
      <c r="H87" s="1">
        <v>40299</v>
      </c>
      <c r="I87" s="1">
        <v>40756</v>
      </c>
      <c r="J87" s="5"/>
      <c r="L87" t="s">
        <v>46</v>
      </c>
      <c r="M87" t="s">
        <v>39</v>
      </c>
      <c r="N87" s="9">
        <v>0</v>
      </c>
      <c r="O87" s="9">
        <v>0</v>
      </c>
      <c r="P87" s="9">
        <v>0</v>
      </c>
      <c r="Q87" s="9">
        <v>0</v>
      </c>
      <c r="R87" s="3" t="s">
        <v>18</v>
      </c>
    </row>
    <row r="88" spans="1:19" x14ac:dyDescent="0.25">
      <c r="A88" t="s">
        <v>45</v>
      </c>
      <c r="B88">
        <v>80</v>
      </c>
      <c r="C88">
        <v>999</v>
      </c>
      <c r="D88">
        <v>720</v>
      </c>
      <c r="E88">
        <v>760</v>
      </c>
      <c r="F88" s="9">
        <v>14</v>
      </c>
      <c r="G88" s="1">
        <v>40299</v>
      </c>
      <c r="H88" s="1">
        <v>40299</v>
      </c>
      <c r="I88" s="1">
        <v>40756</v>
      </c>
      <c r="J88" s="5"/>
      <c r="L88" t="s">
        <v>45</v>
      </c>
      <c r="M88" t="s">
        <v>39</v>
      </c>
      <c r="N88" s="9">
        <v>0</v>
      </c>
      <c r="O88" s="9">
        <v>0</v>
      </c>
      <c r="P88" s="9">
        <v>0</v>
      </c>
      <c r="Q88" s="9">
        <v>0</v>
      </c>
      <c r="R88" s="3" t="s">
        <v>18</v>
      </c>
    </row>
    <row r="89" spans="1:19" x14ac:dyDescent="0.25">
      <c r="A89" t="s">
        <v>45</v>
      </c>
      <c r="B89">
        <v>80</v>
      </c>
      <c r="C89">
        <v>999</v>
      </c>
      <c r="D89">
        <v>680</v>
      </c>
      <c r="E89">
        <v>720</v>
      </c>
      <c r="F89" s="9">
        <v>20</v>
      </c>
      <c r="G89" s="1">
        <v>40299</v>
      </c>
      <c r="H89" s="1">
        <v>40299</v>
      </c>
      <c r="I89" s="1">
        <v>40756</v>
      </c>
      <c r="J89" s="5"/>
      <c r="L89" t="s">
        <v>44</v>
      </c>
      <c r="M89" t="s">
        <v>39</v>
      </c>
      <c r="N89" s="9">
        <v>0</v>
      </c>
      <c r="O89" s="9">
        <v>0</v>
      </c>
      <c r="P89" s="9">
        <v>0</v>
      </c>
      <c r="Q89" s="9">
        <v>0</v>
      </c>
      <c r="R89" s="3" t="s">
        <v>18</v>
      </c>
    </row>
    <row r="90" spans="1:19" x14ac:dyDescent="0.25">
      <c r="A90" t="s">
        <v>45</v>
      </c>
      <c r="B90">
        <v>80</v>
      </c>
      <c r="C90">
        <v>999</v>
      </c>
      <c r="D90">
        <v>620</v>
      </c>
      <c r="E90">
        <v>680</v>
      </c>
      <c r="F90" s="9">
        <v>35</v>
      </c>
      <c r="G90" s="1">
        <v>40299</v>
      </c>
      <c r="H90" s="1">
        <v>40299</v>
      </c>
      <c r="I90" s="1">
        <v>40756</v>
      </c>
      <c r="J90" s="5"/>
      <c r="L90" t="s">
        <v>43</v>
      </c>
      <c r="M90" t="s">
        <v>39</v>
      </c>
      <c r="N90" s="9">
        <v>0</v>
      </c>
      <c r="O90" s="9">
        <v>0</v>
      </c>
      <c r="P90" s="9">
        <v>0</v>
      </c>
      <c r="Q90" s="9">
        <v>0</v>
      </c>
      <c r="R90" s="3" t="s">
        <v>18</v>
      </c>
    </row>
    <row r="91" spans="1:19" x14ac:dyDescent="0.25">
      <c r="A91" t="s">
        <v>45</v>
      </c>
      <c r="B91">
        <v>80</v>
      </c>
      <c r="C91">
        <v>999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9" x14ac:dyDescent="0.25">
      <c r="A92" t="s">
        <v>44</v>
      </c>
      <c r="B92">
        <v>80</v>
      </c>
      <c r="C92">
        <v>999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9" x14ac:dyDescent="0.25">
      <c r="A93" t="s">
        <v>44</v>
      </c>
      <c r="B93">
        <v>80</v>
      </c>
      <c r="C93">
        <v>999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9" x14ac:dyDescent="0.25">
      <c r="A94" t="s">
        <v>44</v>
      </c>
      <c r="B94">
        <v>80</v>
      </c>
      <c r="C94">
        <v>999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  <c r="S94" t="s">
        <v>41</v>
      </c>
    </row>
    <row r="95" spans="1:19" x14ac:dyDescent="0.25">
      <c r="A95" t="s">
        <v>44</v>
      </c>
      <c r="B95">
        <v>80</v>
      </c>
      <c r="C95">
        <v>999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  <c r="N95" s="3"/>
      <c r="O95" s="3"/>
      <c r="P95" s="3"/>
      <c r="Q95" s="3"/>
      <c r="R95" s="3"/>
    </row>
    <row r="96" spans="1:19" x14ac:dyDescent="0.25">
      <c r="A96" t="s">
        <v>44</v>
      </c>
      <c r="B96">
        <v>80</v>
      </c>
      <c r="C96">
        <v>999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  <c r="N96" s="9"/>
      <c r="O96" s="9"/>
      <c r="P96" s="9"/>
      <c r="Q96" s="9"/>
      <c r="R96" s="3"/>
    </row>
    <row r="97" spans="1:18" x14ac:dyDescent="0.25">
      <c r="A97" t="s">
        <v>43</v>
      </c>
      <c r="B97">
        <v>80</v>
      </c>
      <c r="C97">
        <v>999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  <c r="N97" s="9"/>
      <c r="O97" s="9"/>
      <c r="P97" s="9"/>
      <c r="Q97" s="9"/>
      <c r="R97" s="3"/>
    </row>
    <row r="98" spans="1:18" x14ac:dyDescent="0.25">
      <c r="A98" t="s">
        <v>43</v>
      </c>
      <c r="B98">
        <v>80</v>
      </c>
      <c r="C98">
        <v>999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  <c r="N98" s="9"/>
      <c r="O98" s="9"/>
      <c r="P98" s="9"/>
      <c r="Q98" s="9"/>
      <c r="R98" s="3"/>
    </row>
    <row r="99" spans="1:18" x14ac:dyDescent="0.25">
      <c r="A99" t="s">
        <v>43</v>
      </c>
      <c r="B99">
        <v>80</v>
      </c>
      <c r="C99">
        <v>999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  <c r="N99" s="9"/>
      <c r="O99" s="9"/>
      <c r="P99" s="9"/>
      <c r="Q99" s="9"/>
      <c r="R99" s="3"/>
    </row>
    <row r="100" spans="1:18" x14ac:dyDescent="0.25">
      <c r="A100" t="s">
        <v>43</v>
      </c>
      <c r="B100">
        <v>80</v>
      </c>
      <c r="C100">
        <v>999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  <c r="N100" s="9"/>
      <c r="O100" s="9"/>
      <c r="P100" s="9"/>
      <c r="Q100" s="9"/>
      <c r="R100" s="3"/>
    </row>
    <row r="101" spans="1:18" x14ac:dyDescent="0.25">
      <c r="A101" t="s">
        <v>43</v>
      </c>
      <c r="B101">
        <v>80</v>
      </c>
      <c r="C101">
        <v>999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  <c r="N101" s="9"/>
      <c r="O101" s="9"/>
      <c r="P101" s="9"/>
      <c r="Q101" s="9"/>
      <c r="R101" s="3"/>
    </row>
    <row r="102" spans="1:18" x14ac:dyDescent="0.25">
      <c r="A102" t="s">
        <v>46</v>
      </c>
      <c r="B102">
        <v>0</v>
      </c>
      <c r="C102">
        <v>80</v>
      </c>
      <c r="D102">
        <v>760</v>
      </c>
      <c r="E102">
        <v>999</v>
      </c>
      <c r="F102">
        <v>0</v>
      </c>
      <c r="G102" s="1">
        <v>40299</v>
      </c>
      <c r="H102" s="1">
        <v>40299</v>
      </c>
      <c r="I102" s="1">
        <v>40756</v>
      </c>
      <c r="J102" s="5"/>
      <c r="N102" s="9"/>
      <c r="O102" s="9"/>
      <c r="P102" s="9"/>
      <c r="Q102" s="9"/>
      <c r="R102" s="3"/>
    </row>
    <row r="103" spans="1:18" x14ac:dyDescent="0.25">
      <c r="A103" t="s">
        <v>46</v>
      </c>
      <c r="B103">
        <v>0</v>
      </c>
      <c r="C103">
        <v>80</v>
      </c>
      <c r="D103">
        <v>720</v>
      </c>
      <c r="E103">
        <v>760</v>
      </c>
      <c r="F103">
        <v>0</v>
      </c>
      <c r="G103" s="1">
        <v>40299</v>
      </c>
      <c r="H103" s="1">
        <v>40299</v>
      </c>
      <c r="I103" s="1">
        <v>40756</v>
      </c>
      <c r="J103" s="5"/>
      <c r="N103" s="9"/>
      <c r="O103" s="9"/>
      <c r="P103" s="9"/>
      <c r="Q103" s="9"/>
    </row>
    <row r="104" spans="1:18" x14ac:dyDescent="0.25">
      <c r="A104" t="s">
        <v>46</v>
      </c>
      <c r="B104">
        <v>0</v>
      </c>
      <c r="C104">
        <v>80</v>
      </c>
      <c r="D104">
        <v>680</v>
      </c>
      <c r="E104">
        <v>720</v>
      </c>
      <c r="F104">
        <v>0</v>
      </c>
      <c r="G104" s="1">
        <v>40299</v>
      </c>
      <c r="H104" s="1">
        <v>40299</v>
      </c>
      <c r="I104" s="1">
        <v>40756</v>
      </c>
      <c r="J104" s="5"/>
      <c r="N104" s="9"/>
      <c r="O104" s="9"/>
      <c r="P104" s="9"/>
      <c r="Q104" s="9"/>
    </row>
    <row r="105" spans="1:18" x14ac:dyDescent="0.25">
      <c r="A105" t="s">
        <v>46</v>
      </c>
      <c r="B105">
        <v>0</v>
      </c>
      <c r="C105">
        <v>80</v>
      </c>
      <c r="D105">
        <v>620</v>
      </c>
      <c r="E105">
        <v>680</v>
      </c>
      <c r="F105">
        <v>0</v>
      </c>
      <c r="G105" s="1">
        <v>40299</v>
      </c>
      <c r="H105" s="1">
        <v>40299</v>
      </c>
      <c r="I105" s="1">
        <v>40756</v>
      </c>
      <c r="J105" s="5"/>
      <c r="N105" s="9"/>
      <c r="O105" s="9"/>
      <c r="P105" s="9"/>
      <c r="Q105" s="9"/>
    </row>
    <row r="106" spans="1:18" x14ac:dyDescent="0.25">
      <c r="A106" t="s">
        <v>46</v>
      </c>
      <c r="B106">
        <v>0</v>
      </c>
      <c r="C106">
        <v>80</v>
      </c>
      <c r="D106">
        <v>300</v>
      </c>
      <c r="E106">
        <v>620</v>
      </c>
      <c r="G106" s="1">
        <v>40299</v>
      </c>
      <c r="H106" s="1">
        <v>40299</v>
      </c>
      <c r="I106" s="1">
        <v>40756</v>
      </c>
      <c r="J106" s="5"/>
      <c r="N106" s="9"/>
      <c r="O106" s="9"/>
      <c r="P106" s="9"/>
      <c r="Q106" s="9"/>
    </row>
    <row r="107" spans="1:18" x14ac:dyDescent="0.25">
      <c r="A107" t="s">
        <v>45</v>
      </c>
      <c r="B107">
        <v>0</v>
      </c>
      <c r="C107">
        <v>80</v>
      </c>
      <c r="D107">
        <v>760</v>
      </c>
      <c r="E107">
        <v>999</v>
      </c>
      <c r="F107">
        <v>0</v>
      </c>
      <c r="G107" s="1">
        <v>40299</v>
      </c>
      <c r="H107" s="1">
        <v>40299</v>
      </c>
      <c r="I107" s="1">
        <v>40756</v>
      </c>
      <c r="J107" s="5"/>
      <c r="N107" s="9"/>
      <c r="O107" s="9"/>
      <c r="P107" s="9"/>
      <c r="Q107" s="9"/>
    </row>
    <row r="108" spans="1:18" x14ac:dyDescent="0.25">
      <c r="A108" t="s">
        <v>45</v>
      </c>
      <c r="B108">
        <v>0</v>
      </c>
      <c r="C108">
        <v>80</v>
      </c>
      <c r="D108">
        <v>720</v>
      </c>
      <c r="E108">
        <v>760</v>
      </c>
      <c r="F108">
        <v>0</v>
      </c>
      <c r="G108" s="1">
        <v>40299</v>
      </c>
      <c r="H108" s="1">
        <v>40299</v>
      </c>
      <c r="I108" s="1">
        <v>40756</v>
      </c>
      <c r="J108" s="5"/>
      <c r="N108" s="9"/>
      <c r="O108" s="9"/>
      <c r="P108" s="9"/>
      <c r="Q108" s="9"/>
    </row>
    <row r="109" spans="1:18" x14ac:dyDescent="0.25">
      <c r="A109" t="s">
        <v>45</v>
      </c>
      <c r="B109">
        <v>0</v>
      </c>
      <c r="C109">
        <v>80</v>
      </c>
      <c r="D109">
        <v>680</v>
      </c>
      <c r="E109">
        <v>720</v>
      </c>
      <c r="F109">
        <v>0</v>
      </c>
      <c r="G109" s="1">
        <v>40299</v>
      </c>
      <c r="H109" s="1">
        <v>40299</v>
      </c>
      <c r="I109" s="1">
        <v>40756</v>
      </c>
      <c r="J109" s="5"/>
    </row>
    <row r="110" spans="1:18" x14ac:dyDescent="0.25">
      <c r="A110" t="s">
        <v>45</v>
      </c>
      <c r="B110">
        <v>0</v>
      </c>
      <c r="C110">
        <v>80</v>
      </c>
      <c r="D110">
        <v>620</v>
      </c>
      <c r="E110">
        <v>680</v>
      </c>
      <c r="F110">
        <v>0</v>
      </c>
      <c r="G110" s="1">
        <v>40299</v>
      </c>
      <c r="H110" s="1">
        <v>40299</v>
      </c>
      <c r="I110" s="1">
        <v>40756</v>
      </c>
      <c r="J110" s="5"/>
    </row>
    <row r="111" spans="1:18" x14ac:dyDescent="0.25">
      <c r="A111" t="s">
        <v>45</v>
      </c>
      <c r="B111">
        <v>0</v>
      </c>
      <c r="C111">
        <v>80</v>
      </c>
      <c r="D111">
        <v>300</v>
      </c>
      <c r="E111">
        <v>620</v>
      </c>
      <c r="G111" s="1">
        <v>40299</v>
      </c>
      <c r="H111" s="1">
        <v>40299</v>
      </c>
      <c r="I111" s="1">
        <v>40756</v>
      </c>
      <c r="J111" s="5"/>
    </row>
    <row r="112" spans="1:18" x14ac:dyDescent="0.25">
      <c r="A112" t="s">
        <v>44</v>
      </c>
      <c r="B112">
        <v>0</v>
      </c>
      <c r="C112">
        <v>80</v>
      </c>
      <c r="D112">
        <v>760</v>
      </c>
      <c r="E112">
        <v>999</v>
      </c>
      <c r="F112">
        <v>0</v>
      </c>
      <c r="G112" s="1">
        <v>40299</v>
      </c>
      <c r="H112" s="1">
        <v>40299</v>
      </c>
      <c r="I112" s="1">
        <v>40756</v>
      </c>
      <c r="J112" s="5"/>
    </row>
    <row r="113" spans="1:18" x14ac:dyDescent="0.25">
      <c r="A113" t="s">
        <v>44</v>
      </c>
      <c r="B113">
        <v>0</v>
      </c>
      <c r="C113">
        <v>80</v>
      </c>
      <c r="D113">
        <v>720</v>
      </c>
      <c r="E113">
        <v>760</v>
      </c>
      <c r="F113">
        <v>0</v>
      </c>
      <c r="G113" s="1">
        <v>40299</v>
      </c>
      <c r="H113" s="1">
        <v>40299</v>
      </c>
      <c r="I113" s="1">
        <v>40756</v>
      </c>
      <c r="J113" s="5"/>
    </row>
    <row r="114" spans="1:18" x14ac:dyDescent="0.25">
      <c r="A114" t="s">
        <v>44</v>
      </c>
      <c r="B114">
        <v>0</v>
      </c>
      <c r="C114">
        <v>80</v>
      </c>
      <c r="D114">
        <v>680</v>
      </c>
      <c r="E114">
        <v>720</v>
      </c>
      <c r="F114">
        <v>0</v>
      </c>
      <c r="G114" s="1">
        <v>40299</v>
      </c>
      <c r="H114" s="1">
        <v>40299</v>
      </c>
      <c r="I114" s="1">
        <v>40756</v>
      </c>
      <c r="J114" s="5"/>
    </row>
    <row r="115" spans="1:18" x14ac:dyDescent="0.25">
      <c r="A115" t="s">
        <v>44</v>
      </c>
      <c r="B115">
        <v>0</v>
      </c>
      <c r="C115">
        <v>80</v>
      </c>
      <c r="D115">
        <v>620</v>
      </c>
      <c r="E115">
        <v>680</v>
      </c>
      <c r="F115">
        <v>0</v>
      </c>
      <c r="G115" s="1">
        <v>40299</v>
      </c>
      <c r="H115" s="1">
        <v>40299</v>
      </c>
      <c r="I115" s="1">
        <v>40756</v>
      </c>
      <c r="J115" s="5"/>
    </row>
    <row r="116" spans="1:18" x14ac:dyDescent="0.25">
      <c r="A116" t="s">
        <v>44</v>
      </c>
      <c r="B116">
        <v>0</v>
      </c>
      <c r="C116">
        <v>80</v>
      </c>
      <c r="D116">
        <v>300</v>
      </c>
      <c r="E116">
        <v>620</v>
      </c>
      <c r="G116" s="1">
        <v>40299</v>
      </c>
      <c r="H116" s="1">
        <v>40299</v>
      </c>
      <c r="I116" s="1">
        <v>40756</v>
      </c>
      <c r="J116" s="5"/>
    </row>
    <row r="117" spans="1:18" x14ac:dyDescent="0.25">
      <c r="A117" t="s">
        <v>43</v>
      </c>
      <c r="B117">
        <v>0</v>
      </c>
      <c r="C117">
        <v>80</v>
      </c>
      <c r="D117">
        <v>760</v>
      </c>
      <c r="E117">
        <v>999</v>
      </c>
      <c r="F117">
        <v>0</v>
      </c>
      <c r="G117" s="1">
        <v>40299</v>
      </c>
      <c r="H117" s="1">
        <v>40299</v>
      </c>
      <c r="I117" s="1">
        <v>40756</v>
      </c>
      <c r="J117" s="5"/>
    </row>
    <row r="118" spans="1:18" x14ac:dyDescent="0.25">
      <c r="A118" t="s">
        <v>43</v>
      </c>
      <c r="B118">
        <v>0</v>
      </c>
      <c r="C118">
        <v>80</v>
      </c>
      <c r="D118">
        <v>720</v>
      </c>
      <c r="E118">
        <v>760</v>
      </c>
      <c r="F118">
        <v>0</v>
      </c>
      <c r="G118" s="1">
        <v>40299</v>
      </c>
      <c r="H118" s="1">
        <v>40299</v>
      </c>
      <c r="I118" s="1">
        <v>40756</v>
      </c>
      <c r="J118" s="5"/>
    </row>
    <row r="119" spans="1:18" x14ac:dyDescent="0.25">
      <c r="A119" t="s">
        <v>43</v>
      </c>
      <c r="B119">
        <v>0</v>
      </c>
      <c r="C119">
        <v>80</v>
      </c>
      <c r="D119">
        <v>680</v>
      </c>
      <c r="E119">
        <v>720</v>
      </c>
      <c r="F119">
        <v>0</v>
      </c>
      <c r="G119" s="1">
        <v>40299</v>
      </c>
      <c r="H119" s="1">
        <v>40299</v>
      </c>
      <c r="I119" s="1">
        <v>40756</v>
      </c>
      <c r="J119" s="5"/>
    </row>
    <row r="120" spans="1:18" x14ac:dyDescent="0.25">
      <c r="A120" t="s">
        <v>43</v>
      </c>
      <c r="B120">
        <v>0</v>
      </c>
      <c r="C120">
        <v>80</v>
      </c>
      <c r="D120">
        <v>620</v>
      </c>
      <c r="E120">
        <v>680</v>
      </c>
      <c r="F120">
        <v>0</v>
      </c>
      <c r="G120" s="1">
        <v>40299</v>
      </c>
      <c r="H120" s="1">
        <v>40299</v>
      </c>
      <c r="I120" s="1">
        <v>40756</v>
      </c>
      <c r="J120" s="5"/>
    </row>
    <row r="121" spans="1:18" x14ac:dyDescent="0.25">
      <c r="A121" t="s">
        <v>43</v>
      </c>
      <c r="B121">
        <v>0</v>
      </c>
      <c r="C121">
        <v>80</v>
      </c>
      <c r="D121">
        <v>300</v>
      </c>
      <c r="E121">
        <v>620</v>
      </c>
      <c r="G121" s="1">
        <v>40299</v>
      </c>
      <c r="H121" s="1">
        <v>40299</v>
      </c>
      <c r="I121" s="1">
        <v>40756</v>
      </c>
      <c r="J121" s="5"/>
    </row>
    <row r="122" spans="1:18" x14ac:dyDescent="0.25">
      <c r="A122" t="s">
        <v>46</v>
      </c>
      <c r="B122">
        <v>80</v>
      </c>
      <c r="C122">
        <v>999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L122" s="1">
        <v>40756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 t="s">
        <v>46</v>
      </c>
      <c r="B123">
        <v>80</v>
      </c>
      <c r="C123">
        <v>999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L123" t="s">
        <v>46</v>
      </c>
      <c r="M123" t="s">
        <v>38</v>
      </c>
      <c r="N123" s="9">
        <v>0</v>
      </c>
      <c r="O123" s="9">
        <v>0</v>
      </c>
      <c r="P123" s="9">
        <v>0</v>
      </c>
      <c r="Q123" s="9">
        <v>0</v>
      </c>
      <c r="R123" s="3" t="s">
        <v>18</v>
      </c>
    </row>
    <row r="124" spans="1:18" x14ac:dyDescent="0.25">
      <c r="A124" t="s">
        <v>46</v>
      </c>
      <c r="B124">
        <v>80</v>
      </c>
      <c r="C124">
        <v>999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L124" t="s">
        <v>45</v>
      </c>
      <c r="M124" t="s">
        <v>38</v>
      </c>
      <c r="N124" s="9">
        <v>14</v>
      </c>
      <c r="O124" s="9">
        <v>14</v>
      </c>
      <c r="P124" s="9">
        <v>20</v>
      </c>
      <c r="Q124" s="9">
        <v>35</v>
      </c>
      <c r="R124" s="3" t="s">
        <v>18</v>
      </c>
    </row>
    <row r="125" spans="1:18" x14ac:dyDescent="0.25">
      <c r="A125" t="s">
        <v>46</v>
      </c>
      <c r="B125">
        <v>80</v>
      </c>
      <c r="C125">
        <v>999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L125" t="s">
        <v>44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s="3" t="s">
        <v>18</v>
      </c>
    </row>
    <row r="126" spans="1:18" x14ac:dyDescent="0.25">
      <c r="A126" t="s">
        <v>46</v>
      </c>
      <c r="B126">
        <v>80</v>
      </c>
      <c r="C126">
        <v>999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L126" t="s">
        <v>43</v>
      </c>
      <c r="M126" t="s">
        <v>38</v>
      </c>
      <c r="N126" s="9">
        <v>0</v>
      </c>
      <c r="O126" s="9">
        <v>0</v>
      </c>
      <c r="P126" s="9">
        <v>0</v>
      </c>
      <c r="Q126" s="9">
        <v>0</v>
      </c>
      <c r="R126" s="3" t="s">
        <v>18</v>
      </c>
    </row>
    <row r="127" spans="1:18" x14ac:dyDescent="0.25">
      <c r="A127" t="s">
        <v>45</v>
      </c>
      <c r="B127">
        <v>80</v>
      </c>
      <c r="C127">
        <v>999</v>
      </c>
      <c r="D127">
        <v>760</v>
      </c>
      <c r="E127">
        <v>999</v>
      </c>
      <c r="F127" s="9">
        <v>14</v>
      </c>
      <c r="G127" s="1">
        <v>40756</v>
      </c>
      <c r="H127" s="1">
        <v>40756</v>
      </c>
      <c r="I127" s="1">
        <v>40969</v>
      </c>
      <c r="J127" s="5"/>
      <c r="L127" t="s">
        <v>46</v>
      </c>
      <c r="M127" t="s">
        <v>39</v>
      </c>
      <c r="N127" s="9">
        <v>0</v>
      </c>
      <c r="O127" s="9">
        <v>0</v>
      </c>
      <c r="P127" s="9">
        <v>0</v>
      </c>
      <c r="Q127" s="9">
        <v>0</v>
      </c>
      <c r="R127" s="3" t="s">
        <v>18</v>
      </c>
    </row>
    <row r="128" spans="1:18" x14ac:dyDescent="0.25">
      <c r="A128" t="s">
        <v>45</v>
      </c>
      <c r="B128">
        <v>80</v>
      </c>
      <c r="C128">
        <v>999</v>
      </c>
      <c r="D128">
        <v>720</v>
      </c>
      <c r="E128">
        <v>760</v>
      </c>
      <c r="F128" s="9">
        <v>14</v>
      </c>
      <c r="G128" s="1">
        <v>40756</v>
      </c>
      <c r="H128" s="1">
        <v>40756</v>
      </c>
      <c r="I128" s="1">
        <v>40969</v>
      </c>
      <c r="J128" s="5"/>
      <c r="L128" t="s">
        <v>45</v>
      </c>
      <c r="M128" t="s">
        <v>39</v>
      </c>
      <c r="N128" s="9">
        <v>0</v>
      </c>
      <c r="O128" s="9">
        <v>0</v>
      </c>
      <c r="P128" s="9">
        <v>0</v>
      </c>
      <c r="Q128" s="9">
        <v>0</v>
      </c>
      <c r="R128" s="3" t="s">
        <v>18</v>
      </c>
    </row>
    <row r="129" spans="1:19" x14ac:dyDescent="0.25">
      <c r="A129" t="s">
        <v>45</v>
      </c>
      <c r="B129">
        <v>80</v>
      </c>
      <c r="C129">
        <v>999</v>
      </c>
      <c r="D129">
        <v>680</v>
      </c>
      <c r="E129">
        <v>720</v>
      </c>
      <c r="F129" s="9">
        <v>20</v>
      </c>
      <c r="G129" s="1">
        <v>40756</v>
      </c>
      <c r="H129" s="1">
        <v>40756</v>
      </c>
      <c r="I129" s="1">
        <v>40969</v>
      </c>
      <c r="J129" s="5"/>
      <c r="L129" t="s">
        <v>44</v>
      </c>
      <c r="M129" t="s">
        <v>39</v>
      </c>
      <c r="N129" s="9">
        <v>0</v>
      </c>
      <c r="O129" s="9">
        <v>0</v>
      </c>
      <c r="P129" s="9">
        <v>0</v>
      </c>
      <c r="Q129" s="9">
        <v>0</v>
      </c>
      <c r="R129" s="3" t="s">
        <v>18</v>
      </c>
    </row>
    <row r="130" spans="1:19" x14ac:dyDescent="0.25">
      <c r="A130" t="s">
        <v>45</v>
      </c>
      <c r="B130">
        <v>80</v>
      </c>
      <c r="C130">
        <v>999</v>
      </c>
      <c r="D130">
        <v>620</v>
      </c>
      <c r="E130">
        <v>680</v>
      </c>
      <c r="F130" s="9">
        <v>35</v>
      </c>
      <c r="G130" s="1">
        <v>40756</v>
      </c>
      <c r="H130" s="1">
        <v>40756</v>
      </c>
      <c r="I130" s="1">
        <v>40969</v>
      </c>
      <c r="J130" s="5"/>
      <c r="L130" t="s">
        <v>43</v>
      </c>
      <c r="M130" t="s">
        <v>39</v>
      </c>
      <c r="N130" s="9">
        <v>0</v>
      </c>
      <c r="O130" s="9">
        <v>0</v>
      </c>
      <c r="P130" s="9">
        <v>0</v>
      </c>
      <c r="Q130" s="9">
        <v>0</v>
      </c>
      <c r="R130" s="3" t="s">
        <v>18</v>
      </c>
    </row>
    <row r="131" spans="1:19" x14ac:dyDescent="0.25">
      <c r="A131" t="s">
        <v>45</v>
      </c>
      <c r="B131">
        <v>80</v>
      </c>
      <c r="C131">
        <v>999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9" x14ac:dyDescent="0.25">
      <c r="A132" t="s">
        <v>44</v>
      </c>
      <c r="B132">
        <v>80</v>
      </c>
      <c r="C132">
        <v>999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9" x14ac:dyDescent="0.25">
      <c r="A133" t="s">
        <v>44</v>
      </c>
      <c r="B133">
        <v>80</v>
      </c>
      <c r="C133">
        <v>999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9" x14ac:dyDescent="0.25">
      <c r="A134" t="s">
        <v>44</v>
      </c>
      <c r="B134">
        <v>80</v>
      </c>
      <c r="C134">
        <v>999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  <c r="S134" t="s">
        <v>41</v>
      </c>
    </row>
    <row r="135" spans="1:19" x14ac:dyDescent="0.25">
      <c r="A135" t="s">
        <v>44</v>
      </c>
      <c r="B135">
        <v>80</v>
      </c>
      <c r="C135">
        <v>999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  <c r="N135" s="3"/>
      <c r="O135" s="3"/>
      <c r="P135" s="3"/>
      <c r="Q135" s="3"/>
      <c r="R135" s="3"/>
    </row>
    <row r="136" spans="1:19" x14ac:dyDescent="0.25">
      <c r="A136" t="s">
        <v>44</v>
      </c>
      <c r="B136">
        <v>80</v>
      </c>
      <c r="C136">
        <v>999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  <c r="N136" s="9"/>
      <c r="O136" s="9"/>
      <c r="P136" s="9"/>
      <c r="Q136" s="9"/>
      <c r="R136" s="3"/>
    </row>
    <row r="137" spans="1:19" x14ac:dyDescent="0.25">
      <c r="A137" t="s">
        <v>43</v>
      </c>
      <c r="B137">
        <v>80</v>
      </c>
      <c r="C137">
        <v>999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  <c r="N137" s="9"/>
      <c r="O137" s="9"/>
      <c r="P137" s="9"/>
      <c r="Q137" s="9"/>
      <c r="R137" s="3"/>
    </row>
    <row r="138" spans="1:19" x14ac:dyDescent="0.25">
      <c r="A138" t="s">
        <v>43</v>
      </c>
      <c r="B138">
        <v>80</v>
      </c>
      <c r="C138">
        <v>999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  <c r="N138" s="9"/>
      <c r="O138" s="9"/>
      <c r="P138" s="9"/>
      <c r="Q138" s="9"/>
      <c r="R138" s="3"/>
    </row>
    <row r="139" spans="1:19" x14ac:dyDescent="0.25">
      <c r="A139" t="s">
        <v>43</v>
      </c>
      <c r="B139">
        <v>80</v>
      </c>
      <c r="C139">
        <v>999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  <c r="N139" s="9"/>
      <c r="O139" s="9"/>
      <c r="P139" s="9"/>
      <c r="Q139" s="9"/>
      <c r="R139" s="3"/>
    </row>
    <row r="140" spans="1:19" x14ac:dyDescent="0.25">
      <c r="A140" t="s">
        <v>43</v>
      </c>
      <c r="B140">
        <v>80</v>
      </c>
      <c r="C140">
        <v>999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  <c r="N140" s="9"/>
      <c r="O140" s="9"/>
      <c r="P140" s="9"/>
      <c r="Q140" s="9"/>
      <c r="R140" s="3"/>
    </row>
    <row r="141" spans="1:19" x14ac:dyDescent="0.25">
      <c r="A141" t="s">
        <v>43</v>
      </c>
      <c r="B141">
        <v>80</v>
      </c>
      <c r="C141">
        <v>999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  <c r="N141" s="9"/>
      <c r="O141" s="9"/>
      <c r="P141" s="9"/>
      <c r="Q141" s="9"/>
      <c r="R141" s="3"/>
    </row>
    <row r="142" spans="1:19" x14ac:dyDescent="0.25">
      <c r="A142" t="s">
        <v>46</v>
      </c>
      <c r="B142">
        <v>0</v>
      </c>
      <c r="C142">
        <v>80</v>
      </c>
      <c r="D142">
        <v>760</v>
      </c>
      <c r="E142">
        <v>999</v>
      </c>
      <c r="F142">
        <v>0</v>
      </c>
      <c r="G142" s="1">
        <v>40756</v>
      </c>
      <c r="H142" s="1">
        <v>40756</v>
      </c>
      <c r="I142" s="1">
        <v>40969</v>
      </c>
      <c r="J142" s="5"/>
      <c r="N142" s="9"/>
      <c r="O142" s="9"/>
      <c r="P142" s="9"/>
      <c r="Q142" s="9"/>
      <c r="R142" s="3"/>
    </row>
    <row r="143" spans="1:19" x14ac:dyDescent="0.25">
      <c r="A143" t="s">
        <v>46</v>
      </c>
      <c r="B143">
        <v>0</v>
      </c>
      <c r="C143">
        <v>80</v>
      </c>
      <c r="D143">
        <v>720</v>
      </c>
      <c r="E143">
        <v>760</v>
      </c>
      <c r="F143">
        <v>0</v>
      </c>
      <c r="G143" s="1">
        <v>40756</v>
      </c>
      <c r="H143" s="1">
        <v>40756</v>
      </c>
      <c r="I143" s="1">
        <v>40969</v>
      </c>
      <c r="J143" s="5"/>
      <c r="N143" s="9"/>
      <c r="O143" s="9"/>
      <c r="P143" s="9"/>
      <c r="Q143" s="9"/>
    </row>
    <row r="144" spans="1:19" x14ac:dyDescent="0.25">
      <c r="A144" t="s">
        <v>46</v>
      </c>
      <c r="B144">
        <v>0</v>
      </c>
      <c r="C144">
        <v>80</v>
      </c>
      <c r="D144">
        <v>680</v>
      </c>
      <c r="E144">
        <v>720</v>
      </c>
      <c r="F144">
        <v>0</v>
      </c>
      <c r="G144" s="1">
        <v>40756</v>
      </c>
      <c r="H144" s="1">
        <v>40756</v>
      </c>
      <c r="I144" s="1">
        <v>40969</v>
      </c>
      <c r="J144" s="5"/>
      <c r="N144" s="9"/>
      <c r="O144" s="9"/>
      <c r="P144" s="9"/>
      <c r="Q144" s="9"/>
    </row>
    <row r="145" spans="1:17" x14ac:dyDescent="0.25">
      <c r="A145" t="s">
        <v>46</v>
      </c>
      <c r="B145">
        <v>0</v>
      </c>
      <c r="C145">
        <v>80</v>
      </c>
      <c r="D145">
        <v>620</v>
      </c>
      <c r="E145">
        <v>680</v>
      </c>
      <c r="F145">
        <v>0</v>
      </c>
      <c r="G145" s="1">
        <v>40756</v>
      </c>
      <c r="H145" s="1">
        <v>40756</v>
      </c>
      <c r="I145" s="1">
        <v>40969</v>
      </c>
      <c r="J145" s="5"/>
      <c r="N145" s="9"/>
      <c r="O145" s="9"/>
      <c r="P145" s="9"/>
      <c r="Q145" s="9"/>
    </row>
    <row r="146" spans="1:17" x14ac:dyDescent="0.25">
      <c r="A146" t="s">
        <v>46</v>
      </c>
      <c r="B146">
        <v>0</v>
      </c>
      <c r="C146">
        <v>80</v>
      </c>
      <c r="D146">
        <v>300</v>
      </c>
      <c r="E146">
        <v>620</v>
      </c>
      <c r="G146" s="1">
        <v>40756</v>
      </c>
      <c r="H146" s="1">
        <v>40756</v>
      </c>
      <c r="I146" s="1">
        <v>40969</v>
      </c>
      <c r="J146" s="5"/>
      <c r="N146" s="9"/>
      <c r="O146" s="9"/>
      <c r="P146" s="9"/>
      <c r="Q146" s="9"/>
    </row>
    <row r="147" spans="1:17" x14ac:dyDescent="0.25">
      <c r="A147" t="s">
        <v>45</v>
      </c>
      <c r="B147">
        <v>0</v>
      </c>
      <c r="C147">
        <v>80</v>
      </c>
      <c r="D147">
        <v>760</v>
      </c>
      <c r="E147">
        <v>999</v>
      </c>
      <c r="F147">
        <v>0</v>
      </c>
      <c r="G147" s="1">
        <v>40756</v>
      </c>
      <c r="H147" s="1">
        <v>40756</v>
      </c>
      <c r="I147" s="1">
        <v>40969</v>
      </c>
      <c r="J147" s="5"/>
      <c r="N147" s="9"/>
      <c r="O147" s="9"/>
      <c r="P147" s="9"/>
      <c r="Q147" s="9"/>
    </row>
    <row r="148" spans="1:17" x14ac:dyDescent="0.25">
      <c r="A148" t="s">
        <v>45</v>
      </c>
      <c r="B148">
        <v>0</v>
      </c>
      <c r="C148">
        <v>80</v>
      </c>
      <c r="D148">
        <v>720</v>
      </c>
      <c r="E148">
        <v>760</v>
      </c>
      <c r="F148">
        <v>0</v>
      </c>
      <c r="G148" s="1">
        <v>40756</v>
      </c>
      <c r="H148" s="1">
        <v>40756</v>
      </c>
      <c r="I148" s="1">
        <v>40969</v>
      </c>
      <c r="J148" s="5"/>
      <c r="N148" s="9"/>
      <c r="O148" s="9"/>
      <c r="P148" s="9"/>
      <c r="Q148" s="9"/>
    </row>
    <row r="149" spans="1:17" x14ac:dyDescent="0.25">
      <c r="A149" t="s">
        <v>45</v>
      </c>
      <c r="B149">
        <v>0</v>
      </c>
      <c r="C149">
        <v>80</v>
      </c>
      <c r="D149">
        <v>680</v>
      </c>
      <c r="E149">
        <v>720</v>
      </c>
      <c r="F149">
        <v>0</v>
      </c>
      <c r="G149" s="1">
        <v>40756</v>
      </c>
      <c r="H149" s="1">
        <v>40756</v>
      </c>
      <c r="I149" s="1">
        <v>40969</v>
      </c>
      <c r="J149" s="5"/>
    </row>
    <row r="150" spans="1:17" x14ac:dyDescent="0.25">
      <c r="A150" t="s">
        <v>45</v>
      </c>
      <c r="B150">
        <v>0</v>
      </c>
      <c r="C150">
        <v>80</v>
      </c>
      <c r="D150">
        <v>620</v>
      </c>
      <c r="E150">
        <v>680</v>
      </c>
      <c r="F150">
        <v>0</v>
      </c>
      <c r="G150" s="1">
        <v>40756</v>
      </c>
      <c r="H150" s="1">
        <v>40756</v>
      </c>
      <c r="I150" s="1">
        <v>40969</v>
      </c>
      <c r="J150" s="5"/>
    </row>
    <row r="151" spans="1:17" x14ac:dyDescent="0.25">
      <c r="A151" t="s">
        <v>45</v>
      </c>
      <c r="B151">
        <v>0</v>
      </c>
      <c r="C151">
        <v>80</v>
      </c>
      <c r="D151">
        <v>300</v>
      </c>
      <c r="E151">
        <v>620</v>
      </c>
      <c r="G151" s="1">
        <v>40756</v>
      </c>
      <c r="H151" s="1">
        <v>40756</v>
      </c>
      <c r="I151" s="1">
        <v>40969</v>
      </c>
      <c r="J151" s="5"/>
    </row>
    <row r="152" spans="1:17" x14ac:dyDescent="0.25">
      <c r="A152" t="s">
        <v>44</v>
      </c>
      <c r="B152">
        <v>0</v>
      </c>
      <c r="C152">
        <v>80</v>
      </c>
      <c r="D152">
        <v>760</v>
      </c>
      <c r="E152">
        <v>999</v>
      </c>
      <c r="F152">
        <v>0</v>
      </c>
      <c r="G152" s="1">
        <v>40756</v>
      </c>
      <c r="H152" s="1">
        <v>40756</v>
      </c>
      <c r="I152" s="1">
        <v>40969</v>
      </c>
      <c r="J152" s="5"/>
    </row>
    <row r="153" spans="1:17" x14ac:dyDescent="0.25">
      <c r="A153" t="s">
        <v>44</v>
      </c>
      <c r="B153">
        <v>0</v>
      </c>
      <c r="C153">
        <v>80</v>
      </c>
      <c r="D153">
        <v>720</v>
      </c>
      <c r="E153">
        <v>760</v>
      </c>
      <c r="F153">
        <v>0</v>
      </c>
      <c r="G153" s="1">
        <v>40756</v>
      </c>
      <c r="H153" s="1">
        <v>40756</v>
      </c>
      <c r="I153" s="1">
        <v>40969</v>
      </c>
      <c r="J153" s="5"/>
    </row>
    <row r="154" spans="1:17" x14ac:dyDescent="0.25">
      <c r="A154" t="s">
        <v>44</v>
      </c>
      <c r="B154">
        <v>0</v>
      </c>
      <c r="C154">
        <v>80</v>
      </c>
      <c r="D154">
        <v>680</v>
      </c>
      <c r="E154">
        <v>720</v>
      </c>
      <c r="F154">
        <v>0</v>
      </c>
      <c r="G154" s="1">
        <v>40756</v>
      </c>
      <c r="H154" s="1">
        <v>40756</v>
      </c>
      <c r="I154" s="1">
        <v>40969</v>
      </c>
      <c r="J154" s="5"/>
    </row>
    <row r="155" spans="1:17" x14ac:dyDescent="0.25">
      <c r="A155" t="s">
        <v>44</v>
      </c>
      <c r="B155">
        <v>0</v>
      </c>
      <c r="C155">
        <v>80</v>
      </c>
      <c r="D155">
        <v>620</v>
      </c>
      <c r="E155">
        <v>680</v>
      </c>
      <c r="F155">
        <v>0</v>
      </c>
      <c r="G155" s="1">
        <v>40756</v>
      </c>
      <c r="H155" s="1">
        <v>40756</v>
      </c>
      <c r="I155" s="1">
        <v>40969</v>
      </c>
      <c r="J155" s="5"/>
    </row>
    <row r="156" spans="1:17" x14ac:dyDescent="0.25">
      <c r="A156" t="s">
        <v>44</v>
      </c>
      <c r="B156">
        <v>0</v>
      </c>
      <c r="C156">
        <v>80</v>
      </c>
      <c r="D156">
        <v>300</v>
      </c>
      <c r="E156">
        <v>620</v>
      </c>
      <c r="G156" s="1">
        <v>40756</v>
      </c>
      <c r="H156" s="1">
        <v>40756</v>
      </c>
      <c r="I156" s="1">
        <v>40969</v>
      </c>
      <c r="J156" s="5"/>
    </row>
    <row r="157" spans="1:17" x14ac:dyDescent="0.25">
      <c r="A157" t="s">
        <v>43</v>
      </c>
      <c r="B157">
        <v>0</v>
      </c>
      <c r="C157">
        <v>80</v>
      </c>
      <c r="D157">
        <v>760</v>
      </c>
      <c r="E157">
        <v>999</v>
      </c>
      <c r="F157">
        <v>0</v>
      </c>
      <c r="G157" s="1">
        <v>40756</v>
      </c>
      <c r="H157" s="1">
        <v>40756</v>
      </c>
      <c r="I157" s="1">
        <v>40969</v>
      </c>
      <c r="J157" s="5"/>
    </row>
    <row r="158" spans="1:17" x14ac:dyDescent="0.25">
      <c r="A158" t="s">
        <v>43</v>
      </c>
      <c r="B158">
        <v>0</v>
      </c>
      <c r="C158">
        <v>80</v>
      </c>
      <c r="D158">
        <v>720</v>
      </c>
      <c r="E158">
        <v>760</v>
      </c>
      <c r="F158">
        <v>0</v>
      </c>
      <c r="G158" s="1">
        <v>40756</v>
      </c>
      <c r="H158" s="1">
        <v>40756</v>
      </c>
      <c r="I158" s="1">
        <v>40969</v>
      </c>
      <c r="J158" s="5"/>
    </row>
    <row r="159" spans="1:17" x14ac:dyDescent="0.25">
      <c r="A159" t="s">
        <v>43</v>
      </c>
      <c r="B159">
        <v>0</v>
      </c>
      <c r="C159">
        <v>80</v>
      </c>
      <c r="D159">
        <v>680</v>
      </c>
      <c r="E159">
        <v>720</v>
      </c>
      <c r="F159">
        <v>0</v>
      </c>
      <c r="G159" s="1">
        <v>40756</v>
      </c>
      <c r="H159" s="1">
        <v>40756</v>
      </c>
      <c r="I159" s="1">
        <v>40969</v>
      </c>
      <c r="J159" s="5"/>
    </row>
    <row r="160" spans="1:17" x14ac:dyDescent="0.25">
      <c r="A160" t="s">
        <v>43</v>
      </c>
      <c r="B160">
        <v>0</v>
      </c>
      <c r="C160">
        <v>80</v>
      </c>
      <c r="D160">
        <v>620</v>
      </c>
      <c r="E160">
        <v>680</v>
      </c>
      <c r="F160">
        <v>0</v>
      </c>
      <c r="G160" s="1">
        <v>40756</v>
      </c>
      <c r="H160" s="1">
        <v>40756</v>
      </c>
      <c r="I160" s="1">
        <v>40969</v>
      </c>
      <c r="J160" s="5"/>
    </row>
    <row r="161" spans="1:18" x14ac:dyDescent="0.25">
      <c r="A161" t="s">
        <v>43</v>
      </c>
      <c r="B161">
        <v>0</v>
      </c>
      <c r="C161">
        <v>80</v>
      </c>
      <c r="D161">
        <v>300</v>
      </c>
      <c r="E161">
        <v>620</v>
      </c>
      <c r="G161" s="1">
        <v>40756</v>
      </c>
      <c r="H161" s="1">
        <v>40756</v>
      </c>
      <c r="I161" s="1">
        <v>40969</v>
      </c>
      <c r="J161" s="5"/>
    </row>
    <row r="162" spans="1:18" x14ac:dyDescent="0.25">
      <c r="A162" t="s">
        <v>46</v>
      </c>
      <c r="B162">
        <v>80</v>
      </c>
      <c r="C162">
        <v>999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L162" s="1">
        <v>40969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8" x14ac:dyDescent="0.25">
      <c r="A163" t="s">
        <v>46</v>
      </c>
      <c r="B163">
        <v>80</v>
      </c>
      <c r="C163">
        <v>999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L163" t="s">
        <v>46</v>
      </c>
      <c r="M163" t="s">
        <v>38</v>
      </c>
      <c r="N163" s="9">
        <v>0</v>
      </c>
      <c r="O163" s="9">
        <v>0</v>
      </c>
      <c r="P163" s="9">
        <v>0</v>
      </c>
      <c r="Q163" s="9">
        <v>0</v>
      </c>
      <c r="R163" s="3" t="s">
        <v>18</v>
      </c>
    </row>
    <row r="164" spans="1:18" x14ac:dyDescent="0.25">
      <c r="A164" t="s">
        <v>46</v>
      </c>
      <c r="B164">
        <v>80</v>
      </c>
      <c r="C164">
        <v>999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L164" t="s">
        <v>45</v>
      </c>
      <c r="M164" t="s">
        <v>38</v>
      </c>
      <c r="N164" s="9">
        <v>11.999999999999998</v>
      </c>
      <c r="O164" s="9">
        <v>14</v>
      </c>
      <c r="P164" s="9">
        <v>20</v>
      </c>
      <c r="Q164" s="9">
        <v>35</v>
      </c>
      <c r="R164" s="3" t="s">
        <v>18</v>
      </c>
    </row>
    <row r="165" spans="1:18" x14ac:dyDescent="0.25">
      <c r="A165" t="s">
        <v>46</v>
      </c>
      <c r="B165">
        <v>80</v>
      </c>
      <c r="C165">
        <v>999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L165" t="s">
        <v>44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s="3" t="s">
        <v>18</v>
      </c>
    </row>
    <row r="166" spans="1:18" x14ac:dyDescent="0.25">
      <c r="A166" t="s">
        <v>46</v>
      </c>
      <c r="B166">
        <v>80</v>
      </c>
      <c r="C166">
        <v>999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L166" t="s">
        <v>43</v>
      </c>
      <c r="M166" t="s">
        <v>38</v>
      </c>
      <c r="N166" s="9">
        <v>0</v>
      </c>
      <c r="O166" s="9">
        <v>0</v>
      </c>
      <c r="P166" s="9">
        <v>0</v>
      </c>
      <c r="Q166" s="9">
        <v>0</v>
      </c>
      <c r="R166" s="3" t="s">
        <v>18</v>
      </c>
    </row>
    <row r="167" spans="1:18" x14ac:dyDescent="0.25">
      <c r="A167" t="s">
        <v>45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1">
        <v>40969</v>
      </c>
      <c r="H167" s="1">
        <v>40969</v>
      </c>
      <c r="I167" s="1">
        <v>41306</v>
      </c>
      <c r="J167" s="5"/>
      <c r="L167" t="s">
        <v>46</v>
      </c>
      <c r="M167" t="s">
        <v>39</v>
      </c>
      <c r="N167" s="9">
        <v>0</v>
      </c>
      <c r="O167" s="9">
        <v>0</v>
      </c>
      <c r="P167" s="9">
        <v>0</v>
      </c>
      <c r="Q167" s="9">
        <v>0</v>
      </c>
      <c r="R167" s="3" t="s">
        <v>18</v>
      </c>
    </row>
    <row r="168" spans="1:18" x14ac:dyDescent="0.25">
      <c r="A168" t="s">
        <v>45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1">
        <v>40969</v>
      </c>
      <c r="H168" s="1">
        <v>40969</v>
      </c>
      <c r="I168" s="1">
        <v>41306</v>
      </c>
      <c r="J168" s="5"/>
      <c r="L168" t="s">
        <v>45</v>
      </c>
      <c r="M168" t="s">
        <v>39</v>
      </c>
      <c r="N168" s="9">
        <v>0</v>
      </c>
      <c r="O168" s="9">
        <v>0</v>
      </c>
      <c r="P168" s="9">
        <v>0</v>
      </c>
      <c r="Q168" s="9">
        <v>0</v>
      </c>
      <c r="R168" s="3" t="s">
        <v>18</v>
      </c>
    </row>
    <row r="169" spans="1:18" x14ac:dyDescent="0.25">
      <c r="A169" t="s">
        <v>45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1">
        <v>40969</v>
      </c>
      <c r="H169" s="1">
        <v>40969</v>
      </c>
      <c r="I169" s="1">
        <v>41306</v>
      </c>
      <c r="J169" s="5"/>
      <c r="L169" t="s">
        <v>44</v>
      </c>
      <c r="M169" t="s">
        <v>39</v>
      </c>
      <c r="N169" s="9">
        <v>0</v>
      </c>
      <c r="O169" s="9">
        <v>0</v>
      </c>
      <c r="P169" s="9">
        <v>0</v>
      </c>
      <c r="Q169" s="9">
        <v>0</v>
      </c>
      <c r="R169" s="3" t="s">
        <v>18</v>
      </c>
    </row>
    <row r="170" spans="1:18" x14ac:dyDescent="0.25">
      <c r="A170" t="s">
        <v>45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1">
        <v>40969</v>
      </c>
      <c r="H170" s="1">
        <v>40969</v>
      </c>
      <c r="I170" s="1">
        <v>41306</v>
      </c>
      <c r="J170" s="5"/>
      <c r="L170" t="s">
        <v>43</v>
      </c>
      <c r="M170" t="s">
        <v>39</v>
      </c>
      <c r="N170" s="9">
        <v>0</v>
      </c>
      <c r="O170" s="9">
        <v>0</v>
      </c>
      <c r="P170" s="9">
        <v>0</v>
      </c>
      <c r="Q170" s="9">
        <v>0</v>
      </c>
      <c r="R170" s="3" t="s">
        <v>18</v>
      </c>
    </row>
    <row r="171" spans="1:18" x14ac:dyDescent="0.25">
      <c r="A171" t="s">
        <v>45</v>
      </c>
      <c r="B171">
        <v>80</v>
      </c>
      <c r="C171">
        <v>999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80</v>
      </c>
      <c r="C172">
        <v>999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80</v>
      </c>
      <c r="C173">
        <v>999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80</v>
      </c>
      <c r="C174">
        <v>999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80</v>
      </c>
      <c r="C175">
        <v>999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  <c r="N175" s="3"/>
      <c r="O175" s="3"/>
      <c r="P175" s="3"/>
      <c r="Q175" s="3"/>
      <c r="R175" s="3"/>
    </row>
    <row r="176" spans="1:18" x14ac:dyDescent="0.25">
      <c r="A176" t="s">
        <v>44</v>
      </c>
      <c r="B176">
        <v>80</v>
      </c>
      <c r="C176">
        <v>999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  <c r="N176" s="9"/>
      <c r="O176" s="9"/>
      <c r="P176" s="9"/>
      <c r="Q176" s="9"/>
      <c r="R176" s="3"/>
    </row>
    <row r="177" spans="1:18" x14ac:dyDescent="0.25">
      <c r="A177" t="s">
        <v>43</v>
      </c>
      <c r="B177">
        <v>80</v>
      </c>
      <c r="C177">
        <v>999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  <c r="N177" s="9"/>
      <c r="O177" s="9"/>
      <c r="P177" s="9"/>
      <c r="Q177" s="9"/>
      <c r="R177" s="3"/>
    </row>
    <row r="178" spans="1:18" x14ac:dyDescent="0.25">
      <c r="A178" t="s">
        <v>43</v>
      </c>
      <c r="B178">
        <v>80</v>
      </c>
      <c r="C178">
        <v>999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  <c r="N178" s="9"/>
      <c r="O178" s="9"/>
      <c r="P178" s="9"/>
      <c r="Q178" s="9"/>
      <c r="R178" s="3"/>
    </row>
    <row r="179" spans="1:18" x14ac:dyDescent="0.25">
      <c r="A179" t="s">
        <v>43</v>
      </c>
      <c r="B179">
        <v>80</v>
      </c>
      <c r="C179">
        <v>999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  <c r="N179" s="9"/>
      <c r="O179" s="9"/>
      <c r="P179" s="9"/>
      <c r="Q179" s="9"/>
      <c r="R179" s="3"/>
    </row>
    <row r="180" spans="1:18" x14ac:dyDescent="0.25">
      <c r="A180" t="s">
        <v>43</v>
      </c>
      <c r="B180">
        <v>80</v>
      </c>
      <c r="C180">
        <v>999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  <c r="N180" s="9"/>
      <c r="O180" s="9"/>
      <c r="P180" s="9"/>
      <c r="Q180" s="9"/>
      <c r="R180" s="3"/>
    </row>
    <row r="181" spans="1:18" x14ac:dyDescent="0.25">
      <c r="A181" t="s">
        <v>43</v>
      </c>
      <c r="B181">
        <v>80</v>
      </c>
      <c r="C181">
        <v>999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  <c r="N181" s="9"/>
      <c r="O181" s="9"/>
      <c r="P181" s="9"/>
      <c r="Q181" s="9"/>
      <c r="R181" s="3"/>
    </row>
    <row r="182" spans="1:18" x14ac:dyDescent="0.25">
      <c r="A182" t="s">
        <v>46</v>
      </c>
      <c r="B182">
        <v>0</v>
      </c>
      <c r="C182">
        <v>80</v>
      </c>
      <c r="D182">
        <v>760</v>
      </c>
      <c r="E182">
        <v>999</v>
      </c>
      <c r="F182">
        <v>0</v>
      </c>
      <c r="G182" s="1">
        <v>40969</v>
      </c>
      <c r="H182" s="1">
        <v>40969</v>
      </c>
      <c r="I182" s="1">
        <v>41306</v>
      </c>
      <c r="J182" s="5"/>
      <c r="N182" s="9"/>
      <c r="O182" s="9"/>
      <c r="P182" s="9"/>
      <c r="Q182" s="9"/>
      <c r="R182" s="3"/>
    </row>
    <row r="183" spans="1:18" x14ac:dyDescent="0.25">
      <c r="A183" t="s">
        <v>46</v>
      </c>
      <c r="B183">
        <v>0</v>
      </c>
      <c r="C183">
        <v>80</v>
      </c>
      <c r="D183">
        <v>720</v>
      </c>
      <c r="E183">
        <v>760</v>
      </c>
      <c r="F183">
        <v>0</v>
      </c>
      <c r="G183" s="1">
        <v>40969</v>
      </c>
      <c r="H183" s="1">
        <v>40969</v>
      </c>
      <c r="I183" s="1">
        <v>41306</v>
      </c>
      <c r="J183" s="5"/>
      <c r="N183" s="9"/>
      <c r="O183" s="9"/>
      <c r="P183" s="9"/>
      <c r="Q183" s="9"/>
    </row>
    <row r="184" spans="1:18" x14ac:dyDescent="0.25">
      <c r="A184" t="s">
        <v>46</v>
      </c>
      <c r="B184">
        <v>0</v>
      </c>
      <c r="C184">
        <v>80</v>
      </c>
      <c r="D184">
        <v>680</v>
      </c>
      <c r="E184">
        <v>720</v>
      </c>
      <c r="F184">
        <v>0</v>
      </c>
      <c r="G184" s="1">
        <v>40969</v>
      </c>
      <c r="H184" s="1">
        <v>40969</v>
      </c>
      <c r="I184" s="1">
        <v>41306</v>
      </c>
      <c r="J184" s="5"/>
      <c r="N184" s="9"/>
      <c r="O184" s="9"/>
      <c r="P184" s="9"/>
      <c r="Q184" s="9"/>
    </row>
    <row r="185" spans="1:18" x14ac:dyDescent="0.25">
      <c r="A185" t="s">
        <v>46</v>
      </c>
      <c r="B185">
        <v>0</v>
      </c>
      <c r="C185">
        <v>80</v>
      </c>
      <c r="D185">
        <v>620</v>
      </c>
      <c r="E185">
        <v>680</v>
      </c>
      <c r="F185">
        <v>0</v>
      </c>
      <c r="G185" s="1">
        <v>40969</v>
      </c>
      <c r="H185" s="1">
        <v>40969</v>
      </c>
      <c r="I185" s="1">
        <v>41306</v>
      </c>
      <c r="J185" s="5"/>
      <c r="N185" s="9"/>
      <c r="O185" s="9"/>
      <c r="P185" s="9"/>
      <c r="Q185" s="9"/>
    </row>
    <row r="186" spans="1:18" x14ac:dyDescent="0.25">
      <c r="A186" t="s">
        <v>46</v>
      </c>
      <c r="B186">
        <v>0</v>
      </c>
      <c r="C186">
        <v>80</v>
      </c>
      <c r="D186">
        <v>300</v>
      </c>
      <c r="E186">
        <v>620</v>
      </c>
      <c r="G186" s="1">
        <v>40969</v>
      </c>
      <c r="H186" s="1">
        <v>40969</v>
      </c>
      <c r="I186" s="1">
        <v>41306</v>
      </c>
      <c r="J186" s="5"/>
      <c r="N186" s="9"/>
      <c r="O186" s="9"/>
      <c r="P186" s="9"/>
      <c r="Q186" s="9"/>
    </row>
    <row r="187" spans="1:18" x14ac:dyDescent="0.25">
      <c r="A187" t="s">
        <v>45</v>
      </c>
      <c r="B187">
        <v>0</v>
      </c>
      <c r="C187">
        <v>80</v>
      </c>
      <c r="D187">
        <v>760</v>
      </c>
      <c r="E187">
        <v>999</v>
      </c>
      <c r="F187">
        <v>0</v>
      </c>
      <c r="G187" s="1">
        <v>40969</v>
      </c>
      <c r="H187" s="1">
        <v>40969</v>
      </c>
      <c r="I187" s="1">
        <v>41306</v>
      </c>
      <c r="J187" s="5"/>
      <c r="N187" s="9"/>
      <c r="O187" s="9"/>
      <c r="P187" s="9"/>
      <c r="Q187" s="9"/>
    </row>
    <row r="188" spans="1:18" x14ac:dyDescent="0.25">
      <c r="A188" t="s">
        <v>45</v>
      </c>
      <c r="B188">
        <v>0</v>
      </c>
      <c r="C188">
        <v>80</v>
      </c>
      <c r="D188">
        <v>720</v>
      </c>
      <c r="E188">
        <v>760</v>
      </c>
      <c r="F188">
        <v>0</v>
      </c>
      <c r="G188" s="1">
        <v>40969</v>
      </c>
      <c r="H188" s="1">
        <v>40969</v>
      </c>
      <c r="I188" s="1">
        <v>41306</v>
      </c>
      <c r="J188" s="5"/>
      <c r="N188" s="9"/>
      <c r="O188" s="9"/>
      <c r="P188" s="9"/>
      <c r="Q188" s="9"/>
    </row>
    <row r="189" spans="1:18" x14ac:dyDescent="0.25">
      <c r="A189" t="s">
        <v>45</v>
      </c>
      <c r="B189">
        <v>0</v>
      </c>
      <c r="C189">
        <v>80</v>
      </c>
      <c r="D189">
        <v>680</v>
      </c>
      <c r="E189">
        <v>720</v>
      </c>
      <c r="F189">
        <v>0</v>
      </c>
      <c r="G189" s="1">
        <v>40969</v>
      </c>
      <c r="H189" s="1">
        <v>40969</v>
      </c>
      <c r="I189" s="1">
        <v>41306</v>
      </c>
      <c r="J189" s="5"/>
    </row>
    <row r="190" spans="1:18" x14ac:dyDescent="0.25">
      <c r="A190" t="s">
        <v>45</v>
      </c>
      <c r="B190">
        <v>0</v>
      </c>
      <c r="C190">
        <v>80</v>
      </c>
      <c r="D190">
        <v>620</v>
      </c>
      <c r="E190">
        <v>680</v>
      </c>
      <c r="F190">
        <v>0</v>
      </c>
      <c r="G190" s="1">
        <v>40969</v>
      </c>
      <c r="H190" s="1">
        <v>40969</v>
      </c>
      <c r="I190" s="1">
        <v>41306</v>
      </c>
      <c r="J190" s="5"/>
    </row>
    <row r="191" spans="1:18" x14ac:dyDescent="0.25">
      <c r="A191" t="s">
        <v>45</v>
      </c>
      <c r="B191">
        <v>0</v>
      </c>
      <c r="C191">
        <v>80</v>
      </c>
      <c r="D191">
        <v>300</v>
      </c>
      <c r="E191">
        <v>620</v>
      </c>
      <c r="G191" s="1">
        <v>40969</v>
      </c>
      <c r="H191" s="1">
        <v>40969</v>
      </c>
      <c r="I191" s="1">
        <v>41306</v>
      </c>
      <c r="J191" s="5"/>
    </row>
    <row r="192" spans="1:18" x14ac:dyDescent="0.25">
      <c r="A192" t="s">
        <v>44</v>
      </c>
      <c r="B192">
        <v>0</v>
      </c>
      <c r="C192">
        <v>80</v>
      </c>
      <c r="D192">
        <v>760</v>
      </c>
      <c r="E192">
        <v>999</v>
      </c>
      <c r="F192">
        <v>0</v>
      </c>
      <c r="G192" s="1">
        <v>40969</v>
      </c>
      <c r="H192" s="1">
        <v>40969</v>
      </c>
      <c r="I192" s="1">
        <v>41306</v>
      </c>
      <c r="J192" s="5"/>
    </row>
    <row r="193" spans="1:18" x14ac:dyDescent="0.25">
      <c r="A193" t="s">
        <v>44</v>
      </c>
      <c r="B193">
        <v>0</v>
      </c>
      <c r="C193">
        <v>80</v>
      </c>
      <c r="D193">
        <v>720</v>
      </c>
      <c r="E193">
        <v>760</v>
      </c>
      <c r="F193">
        <v>0</v>
      </c>
      <c r="G193" s="1">
        <v>40969</v>
      </c>
      <c r="H193" s="1">
        <v>40969</v>
      </c>
      <c r="I193" s="1">
        <v>41306</v>
      </c>
      <c r="J193" s="5"/>
    </row>
    <row r="194" spans="1:18" x14ac:dyDescent="0.25">
      <c r="A194" t="s">
        <v>44</v>
      </c>
      <c r="B194">
        <v>0</v>
      </c>
      <c r="C194">
        <v>80</v>
      </c>
      <c r="D194">
        <v>680</v>
      </c>
      <c r="E194">
        <v>720</v>
      </c>
      <c r="F194">
        <v>0</v>
      </c>
      <c r="G194" s="1">
        <v>40969</v>
      </c>
      <c r="H194" s="1">
        <v>40969</v>
      </c>
      <c r="I194" s="1">
        <v>41306</v>
      </c>
      <c r="J194" s="5"/>
    </row>
    <row r="195" spans="1:18" x14ac:dyDescent="0.25">
      <c r="A195" t="s">
        <v>44</v>
      </c>
      <c r="B195">
        <v>0</v>
      </c>
      <c r="C195">
        <v>80</v>
      </c>
      <c r="D195">
        <v>620</v>
      </c>
      <c r="E195">
        <v>680</v>
      </c>
      <c r="F195">
        <v>0</v>
      </c>
      <c r="G195" s="1">
        <v>40969</v>
      </c>
      <c r="H195" s="1">
        <v>40969</v>
      </c>
      <c r="I195" s="1">
        <v>41306</v>
      </c>
      <c r="J195" s="5"/>
    </row>
    <row r="196" spans="1:18" x14ac:dyDescent="0.25">
      <c r="A196" t="s">
        <v>44</v>
      </c>
      <c r="B196">
        <v>0</v>
      </c>
      <c r="C196">
        <v>80</v>
      </c>
      <c r="D196">
        <v>300</v>
      </c>
      <c r="E196">
        <v>620</v>
      </c>
      <c r="G196" s="1">
        <v>40969</v>
      </c>
      <c r="H196" s="1">
        <v>40969</v>
      </c>
      <c r="I196" s="1">
        <v>41306</v>
      </c>
      <c r="J196" s="5"/>
    </row>
    <row r="197" spans="1:18" x14ac:dyDescent="0.25">
      <c r="A197" t="s">
        <v>43</v>
      </c>
      <c r="B197">
        <v>0</v>
      </c>
      <c r="C197">
        <v>80</v>
      </c>
      <c r="D197">
        <v>760</v>
      </c>
      <c r="E197">
        <v>999</v>
      </c>
      <c r="F197">
        <v>0</v>
      </c>
      <c r="G197" s="1">
        <v>40969</v>
      </c>
      <c r="H197" s="1">
        <v>40969</v>
      </c>
      <c r="I197" s="1">
        <v>41306</v>
      </c>
      <c r="J197" s="5"/>
    </row>
    <row r="198" spans="1:18" x14ac:dyDescent="0.25">
      <c r="A198" t="s">
        <v>43</v>
      </c>
      <c r="B198">
        <v>0</v>
      </c>
      <c r="C198">
        <v>80</v>
      </c>
      <c r="D198">
        <v>720</v>
      </c>
      <c r="E198">
        <v>760</v>
      </c>
      <c r="F198">
        <v>0</v>
      </c>
      <c r="G198" s="1">
        <v>40969</v>
      </c>
      <c r="H198" s="1">
        <v>40969</v>
      </c>
      <c r="I198" s="1">
        <v>41306</v>
      </c>
      <c r="J198" s="5"/>
    </row>
    <row r="199" spans="1:18" x14ac:dyDescent="0.25">
      <c r="A199" t="s">
        <v>43</v>
      </c>
      <c r="B199">
        <v>0</v>
      </c>
      <c r="C199">
        <v>80</v>
      </c>
      <c r="D199">
        <v>680</v>
      </c>
      <c r="E199">
        <v>720</v>
      </c>
      <c r="F199">
        <v>0</v>
      </c>
      <c r="G199" s="1">
        <v>40969</v>
      </c>
      <c r="H199" s="1">
        <v>40969</v>
      </c>
      <c r="I199" s="1">
        <v>41306</v>
      </c>
      <c r="J199" s="5"/>
    </row>
    <row r="200" spans="1:18" x14ac:dyDescent="0.25">
      <c r="A200" t="s">
        <v>43</v>
      </c>
      <c r="B200">
        <v>0</v>
      </c>
      <c r="C200">
        <v>80</v>
      </c>
      <c r="D200">
        <v>620</v>
      </c>
      <c r="E200">
        <v>680</v>
      </c>
      <c r="F200">
        <v>0</v>
      </c>
      <c r="G200" s="1">
        <v>40969</v>
      </c>
      <c r="H200" s="1">
        <v>40969</v>
      </c>
      <c r="I200" s="1">
        <v>41306</v>
      </c>
      <c r="J200" s="5"/>
    </row>
    <row r="201" spans="1:18" x14ac:dyDescent="0.25">
      <c r="A201" t="s">
        <v>43</v>
      </c>
      <c r="B201">
        <v>0</v>
      </c>
      <c r="C201">
        <v>80</v>
      </c>
      <c r="D201">
        <v>300</v>
      </c>
      <c r="E201">
        <v>620</v>
      </c>
      <c r="G201" s="1">
        <v>40969</v>
      </c>
      <c r="H201" s="1">
        <v>40969</v>
      </c>
      <c r="I201" s="1">
        <v>41306</v>
      </c>
      <c r="J201" s="5"/>
    </row>
    <row r="202" spans="1:18" x14ac:dyDescent="0.25">
      <c r="A202" t="s">
        <v>46</v>
      </c>
      <c r="B202">
        <v>80</v>
      </c>
      <c r="C202">
        <v>999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L202" s="1">
        <v>41306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</row>
    <row r="203" spans="1:18" x14ac:dyDescent="0.25">
      <c r="A203" t="s">
        <v>46</v>
      </c>
      <c r="B203">
        <v>80</v>
      </c>
      <c r="C203">
        <v>999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L203" t="s">
        <v>46</v>
      </c>
      <c r="M203" t="s">
        <v>38</v>
      </c>
      <c r="N203" s="9">
        <v>0</v>
      </c>
      <c r="O203" s="9">
        <v>0</v>
      </c>
      <c r="P203" s="9">
        <v>0</v>
      </c>
      <c r="Q203" s="9">
        <v>0</v>
      </c>
      <c r="R203" s="3" t="s">
        <v>18</v>
      </c>
    </row>
    <row r="204" spans="1:18" x14ac:dyDescent="0.25">
      <c r="A204" t="s">
        <v>46</v>
      </c>
      <c r="B204">
        <v>80</v>
      </c>
      <c r="C204">
        <v>999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L204" t="s">
        <v>45</v>
      </c>
      <c r="M204" t="s">
        <v>38</v>
      </c>
      <c r="N204" s="9">
        <v>11.999999999999998</v>
      </c>
      <c r="O204" s="9">
        <v>14</v>
      </c>
      <c r="P204" s="9">
        <v>20</v>
      </c>
      <c r="Q204" s="9">
        <v>35</v>
      </c>
      <c r="R204" s="3" t="s">
        <v>18</v>
      </c>
    </row>
    <row r="205" spans="1:18" x14ac:dyDescent="0.25">
      <c r="A205" t="s">
        <v>46</v>
      </c>
      <c r="B205">
        <v>80</v>
      </c>
      <c r="C205">
        <v>999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L205" t="s">
        <v>44</v>
      </c>
      <c r="M205" t="s">
        <v>38</v>
      </c>
      <c r="N205" s="9">
        <v>0</v>
      </c>
      <c r="O205" s="9">
        <v>0</v>
      </c>
      <c r="P205" s="9">
        <v>0</v>
      </c>
      <c r="Q205" s="9">
        <v>0</v>
      </c>
      <c r="R205" s="3" t="s">
        <v>18</v>
      </c>
    </row>
    <row r="206" spans="1:18" x14ac:dyDescent="0.25">
      <c r="A206" t="s">
        <v>46</v>
      </c>
      <c r="B206">
        <v>80</v>
      </c>
      <c r="C206">
        <v>999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L206" t="s">
        <v>43</v>
      </c>
      <c r="M206" t="s">
        <v>38</v>
      </c>
      <c r="N206" s="9">
        <v>0</v>
      </c>
      <c r="O206" s="9">
        <v>0</v>
      </c>
      <c r="P206" s="9">
        <v>0</v>
      </c>
      <c r="Q206" s="9">
        <v>0</v>
      </c>
      <c r="R206" s="3" t="s">
        <v>18</v>
      </c>
    </row>
    <row r="207" spans="1:18" x14ac:dyDescent="0.25">
      <c r="A207" t="s">
        <v>45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1">
        <v>41306</v>
      </c>
      <c r="H207" s="1">
        <v>41306</v>
      </c>
      <c r="I207" s="1">
        <v>41395</v>
      </c>
      <c r="J207" s="5"/>
      <c r="L207" t="s">
        <v>46</v>
      </c>
      <c r="M207" t="s">
        <v>39</v>
      </c>
      <c r="N207" s="9">
        <v>0</v>
      </c>
      <c r="O207" s="9">
        <v>0</v>
      </c>
      <c r="P207" s="9">
        <v>0</v>
      </c>
      <c r="Q207" s="9">
        <v>0</v>
      </c>
      <c r="R207" s="3" t="s">
        <v>18</v>
      </c>
    </row>
    <row r="208" spans="1:18" x14ac:dyDescent="0.25">
      <c r="A208" t="s">
        <v>45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1">
        <v>41306</v>
      </c>
      <c r="H208" s="1">
        <v>41306</v>
      </c>
      <c r="I208" s="1">
        <v>41395</v>
      </c>
      <c r="J208" s="5"/>
      <c r="L208" t="s">
        <v>45</v>
      </c>
      <c r="M208" t="s">
        <v>39</v>
      </c>
      <c r="N208" s="9">
        <v>0</v>
      </c>
      <c r="O208" s="9">
        <v>0</v>
      </c>
      <c r="P208" s="9">
        <v>0</v>
      </c>
      <c r="Q208" s="9">
        <v>0</v>
      </c>
      <c r="R208" s="3" t="s">
        <v>18</v>
      </c>
    </row>
    <row r="209" spans="1:18" x14ac:dyDescent="0.25">
      <c r="A209" t="s">
        <v>45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1">
        <v>41306</v>
      </c>
      <c r="H209" s="1">
        <v>41306</v>
      </c>
      <c r="I209" s="1">
        <v>41395</v>
      </c>
      <c r="J209" s="5"/>
      <c r="L209" t="s">
        <v>44</v>
      </c>
      <c r="M209" t="s">
        <v>39</v>
      </c>
      <c r="N209" s="9">
        <v>0</v>
      </c>
      <c r="O209" s="9">
        <v>0</v>
      </c>
      <c r="P209" s="9">
        <v>0</v>
      </c>
      <c r="Q209" s="9">
        <v>0</v>
      </c>
      <c r="R209" s="3" t="s">
        <v>18</v>
      </c>
    </row>
    <row r="210" spans="1:18" x14ac:dyDescent="0.25">
      <c r="A210" t="s">
        <v>45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1">
        <v>41306</v>
      </c>
      <c r="H210" s="1">
        <v>41306</v>
      </c>
      <c r="I210" s="1">
        <v>41395</v>
      </c>
      <c r="J210" s="5"/>
      <c r="L210" t="s">
        <v>43</v>
      </c>
      <c r="M210" t="s">
        <v>39</v>
      </c>
      <c r="N210" s="9">
        <v>0</v>
      </c>
      <c r="O210" s="9">
        <v>0</v>
      </c>
      <c r="P210" s="9">
        <v>0</v>
      </c>
      <c r="Q210" s="9">
        <v>0</v>
      </c>
      <c r="R210" s="3" t="s">
        <v>18</v>
      </c>
    </row>
    <row r="211" spans="1:18" x14ac:dyDescent="0.25">
      <c r="A211" t="s">
        <v>45</v>
      </c>
      <c r="B211">
        <v>80</v>
      </c>
      <c r="C211">
        <v>999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80</v>
      </c>
      <c r="C212">
        <v>999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80</v>
      </c>
      <c r="C213">
        <v>999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80</v>
      </c>
      <c r="C214">
        <v>999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80</v>
      </c>
      <c r="C215">
        <v>999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  <c r="N215" s="3"/>
      <c r="O215" s="3"/>
      <c r="P215" s="3"/>
      <c r="Q215" s="3"/>
      <c r="R215" s="3"/>
    </row>
    <row r="216" spans="1:18" x14ac:dyDescent="0.25">
      <c r="A216" t="s">
        <v>44</v>
      </c>
      <c r="B216">
        <v>80</v>
      </c>
      <c r="C216">
        <v>999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  <c r="N216" s="9"/>
      <c r="O216" s="9"/>
      <c r="P216" s="9"/>
      <c r="Q216" s="9"/>
      <c r="R216" s="3"/>
    </row>
    <row r="217" spans="1:18" x14ac:dyDescent="0.25">
      <c r="A217" t="s">
        <v>43</v>
      </c>
      <c r="B217">
        <v>80</v>
      </c>
      <c r="C217">
        <v>999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  <c r="N217" s="9"/>
      <c r="O217" s="9"/>
      <c r="P217" s="9"/>
      <c r="Q217" s="9"/>
      <c r="R217" s="3"/>
    </row>
    <row r="218" spans="1:18" x14ac:dyDescent="0.25">
      <c r="A218" t="s">
        <v>43</v>
      </c>
      <c r="B218">
        <v>80</v>
      </c>
      <c r="C218">
        <v>999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  <c r="N218" s="9"/>
      <c r="O218" s="9"/>
      <c r="P218" s="9"/>
      <c r="Q218" s="9"/>
      <c r="R218" s="3"/>
    </row>
    <row r="219" spans="1:18" x14ac:dyDescent="0.25">
      <c r="A219" t="s">
        <v>43</v>
      </c>
      <c r="B219">
        <v>80</v>
      </c>
      <c r="C219">
        <v>999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  <c r="N219" s="9"/>
      <c r="O219" s="9"/>
      <c r="P219" s="9"/>
      <c r="Q219" s="9"/>
      <c r="R219" s="3"/>
    </row>
    <row r="220" spans="1:18" x14ac:dyDescent="0.25">
      <c r="A220" t="s">
        <v>43</v>
      </c>
      <c r="B220">
        <v>80</v>
      </c>
      <c r="C220">
        <v>999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  <c r="N220" s="9"/>
      <c r="O220" s="9"/>
      <c r="P220" s="9"/>
      <c r="Q220" s="9"/>
      <c r="R220" s="3"/>
    </row>
    <row r="221" spans="1:18" x14ac:dyDescent="0.25">
      <c r="A221" t="s">
        <v>43</v>
      </c>
      <c r="B221">
        <v>80</v>
      </c>
      <c r="C221">
        <v>999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  <c r="N221" s="9"/>
      <c r="O221" s="9"/>
      <c r="P221" s="9"/>
      <c r="Q221" s="9"/>
      <c r="R221" s="3"/>
    </row>
    <row r="222" spans="1:18" x14ac:dyDescent="0.25">
      <c r="A222" t="s">
        <v>46</v>
      </c>
      <c r="B222">
        <v>0</v>
      </c>
      <c r="C222">
        <v>80</v>
      </c>
      <c r="D222">
        <v>760</v>
      </c>
      <c r="E222">
        <v>999</v>
      </c>
      <c r="F222">
        <v>0</v>
      </c>
      <c r="G222" s="1">
        <v>41306</v>
      </c>
      <c r="H222" s="1">
        <v>41306</v>
      </c>
      <c r="I222" s="1">
        <v>41395</v>
      </c>
      <c r="J222" s="5"/>
      <c r="N222" s="9"/>
      <c r="O222" s="9"/>
      <c r="P222" s="9"/>
      <c r="Q222" s="9"/>
      <c r="R222" s="3"/>
    </row>
    <row r="223" spans="1:18" x14ac:dyDescent="0.25">
      <c r="A223" t="s">
        <v>46</v>
      </c>
      <c r="B223">
        <v>0</v>
      </c>
      <c r="C223">
        <v>80</v>
      </c>
      <c r="D223">
        <v>720</v>
      </c>
      <c r="E223">
        <v>760</v>
      </c>
      <c r="F223">
        <v>0</v>
      </c>
      <c r="G223" s="1">
        <v>41306</v>
      </c>
      <c r="H223" s="1">
        <v>41306</v>
      </c>
      <c r="I223" s="1">
        <v>41395</v>
      </c>
      <c r="J223" s="5"/>
      <c r="N223" s="9"/>
      <c r="O223" s="9"/>
      <c r="P223" s="9"/>
      <c r="Q223" s="9"/>
    </row>
    <row r="224" spans="1:18" x14ac:dyDescent="0.25">
      <c r="A224" t="s">
        <v>46</v>
      </c>
      <c r="B224">
        <v>0</v>
      </c>
      <c r="C224">
        <v>80</v>
      </c>
      <c r="D224">
        <v>680</v>
      </c>
      <c r="E224">
        <v>720</v>
      </c>
      <c r="F224">
        <v>0</v>
      </c>
      <c r="G224" s="1">
        <v>41306</v>
      </c>
      <c r="H224" s="1">
        <v>41306</v>
      </c>
      <c r="I224" s="1">
        <v>41395</v>
      </c>
      <c r="J224" s="5"/>
      <c r="N224" s="9"/>
      <c r="O224" s="9"/>
      <c r="P224" s="9"/>
      <c r="Q224" s="9"/>
    </row>
    <row r="225" spans="1:17" x14ac:dyDescent="0.25">
      <c r="A225" t="s">
        <v>46</v>
      </c>
      <c r="B225">
        <v>0</v>
      </c>
      <c r="C225">
        <v>80</v>
      </c>
      <c r="D225">
        <v>620</v>
      </c>
      <c r="E225">
        <v>680</v>
      </c>
      <c r="F225">
        <v>0</v>
      </c>
      <c r="G225" s="1">
        <v>41306</v>
      </c>
      <c r="H225" s="1">
        <v>41306</v>
      </c>
      <c r="I225" s="1">
        <v>41395</v>
      </c>
      <c r="J225" s="5"/>
      <c r="N225" s="9"/>
      <c r="O225" s="9"/>
      <c r="P225" s="9"/>
      <c r="Q225" s="9"/>
    </row>
    <row r="226" spans="1:17" x14ac:dyDescent="0.25">
      <c r="A226" t="s">
        <v>46</v>
      </c>
      <c r="B226">
        <v>0</v>
      </c>
      <c r="C226">
        <v>80</v>
      </c>
      <c r="D226">
        <v>300</v>
      </c>
      <c r="E226">
        <v>620</v>
      </c>
      <c r="G226" s="1">
        <v>41306</v>
      </c>
      <c r="H226" s="1">
        <v>41306</v>
      </c>
      <c r="I226" s="1">
        <v>41395</v>
      </c>
      <c r="J226" s="5"/>
      <c r="N226" s="9"/>
      <c r="O226" s="9"/>
      <c r="P226" s="9"/>
      <c r="Q226" s="9"/>
    </row>
    <row r="227" spans="1:17" x14ac:dyDescent="0.25">
      <c r="A227" t="s">
        <v>45</v>
      </c>
      <c r="B227">
        <v>0</v>
      </c>
      <c r="C227">
        <v>80</v>
      </c>
      <c r="D227">
        <v>760</v>
      </c>
      <c r="E227">
        <v>999</v>
      </c>
      <c r="F227">
        <v>0</v>
      </c>
      <c r="G227" s="1">
        <v>41306</v>
      </c>
      <c r="H227" s="1">
        <v>41306</v>
      </c>
      <c r="I227" s="1">
        <v>41395</v>
      </c>
      <c r="J227" s="5"/>
      <c r="N227" s="9"/>
      <c r="O227" s="9"/>
      <c r="P227" s="9"/>
      <c r="Q227" s="9"/>
    </row>
    <row r="228" spans="1:17" x14ac:dyDescent="0.25">
      <c r="A228" t="s">
        <v>45</v>
      </c>
      <c r="B228">
        <v>0</v>
      </c>
      <c r="C228">
        <v>80</v>
      </c>
      <c r="D228">
        <v>720</v>
      </c>
      <c r="E228">
        <v>760</v>
      </c>
      <c r="F228">
        <v>0</v>
      </c>
      <c r="G228" s="1">
        <v>41306</v>
      </c>
      <c r="H228" s="1">
        <v>41306</v>
      </c>
      <c r="I228" s="1">
        <v>41395</v>
      </c>
      <c r="J228" s="5"/>
      <c r="N228" s="9"/>
      <c r="O228" s="9"/>
      <c r="P228" s="9"/>
      <c r="Q228" s="9"/>
    </row>
    <row r="229" spans="1:17" x14ac:dyDescent="0.25">
      <c r="A229" t="s">
        <v>45</v>
      </c>
      <c r="B229">
        <v>0</v>
      </c>
      <c r="C229">
        <v>80</v>
      </c>
      <c r="D229">
        <v>680</v>
      </c>
      <c r="E229">
        <v>720</v>
      </c>
      <c r="F229">
        <v>0</v>
      </c>
      <c r="G229" s="1">
        <v>41306</v>
      </c>
      <c r="H229" s="1">
        <v>41306</v>
      </c>
      <c r="I229" s="1">
        <v>41395</v>
      </c>
      <c r="J229" s="5"/>
    </row>
    <row r="230" spans="1:17" x14ac:dyDescent="0.25">
      <c r="A230" t="s">
        <v>45</v>
      </c>
      <c r="B230">
        <v>0</v>
      </c>
      <c r="C230">
        <v>80</v>
      </c>
      <c r="D230">
        <v>620</v>
      </c>
      <c r="E230">
        <v>680</v>
      </c>
      <c r="F230">
        <v>0</v>
      </c>
      <c r="G230" s="1">
        <v>41306</v>
      </c>
      <c r="H230" s="1">
        <v>41306</v>
      </c>
      <c r="I230" s="1">
        <v>41395</v>
      </c>
      <c r="J230" s="5"/>
    </row>
    <row r="231" spans="1:17" x14ac:dyDescent="0.25">
      <c r="A231" t="s">
        <v>45</v>
      </c>
      <c r="B231">
        <v>0</v>
      </c>
      <c r="C231">
        <v>80</v>
      </c>
      <c r="D231">
        <v>300</v>
      </c>
      <c r="E231">
        <v>620</v>
      </c>
      <c r="G231" s="1">
        <v>41306</v>
      </c>
      <c r="H231" s="1">
        <v>41306</v>
      </c>
      <c r="I231" s="1">
        <v>41395</v>
      </c>
      <c r="J231" s="5"/>
    </row>
    <row r="232" spans="1:17" x14ac:dyDescent="0.25">
      <c r="A232" t="s">
        <v>44</v>
      </c>
      <c r="B232">
        <v>0</v>
      </c>
      <c r="C232">
        <v>80</v>
      </c>
      <c r="D232">
        <v>760</v>
      </c>
      <c r="E232">
        <v>999</v>
      </c>
      <c r="F232">
        <v>0</v>
      </c>
      <c r="G232" s="1">
        <v>41306</v>
      </c>
      <c r="H232" s="1">
        <v>41306</v>
      </c>
      <c r="I232" s="1">
        <v>41395</v>
      </c>
      <c r="J232" s="5"/>
    </row>
    <row r="233" spans="1:17" x14ac:dyDescent="0.25">
      <c r="A233" t="s">
        <v>44</v>
      </c>
      <c r="B233">
        <v>0</v>
      </c>
      <c r="C233">
        <v>80</v>
      </c>
      <c r="D233">
        <v>720</v>
      </c>
      <c r="E233">
        <v>760</v>
      </c>
      <c r="F233">
        <v>0</v>
      </c>
      <c r="G233" s="1">
        <v>41306</v>
      </c>
      <c r="H233" s="1">
        <v>41306</v>
      </c>
      <c r="I233" s="1">
        <v>41395</v>
      </c>
      <c r="J233" s="5"/>
    </row>
    <row r="234" spans="1:17" x14ac:dyDescent="0.25">
      <c r="A234" t="s">
        <v>44</v>
      </c>
      <c r="B234">
        <v>0</v>
      </c>
      <c r="C234">
        <v>80</v>
      </c>
      <c r="D234">
        <v>680</v>
      </c>
      <c r="E234">
        <v>720</v>
      </c>
      <c r="F234">
        <v>0</v>
      </c>
      <c r="G234" s="1">
        <v>41306</v>
      </c>
      <c r="H234" s="1">
        <v>41306</v>
      </c>
      <c r="I234" s="1">
        <v>41395</v>
      </c>
      <c r="J234" s="5"/>
    </row>
    <row r="235" spans="1:17" x14ac:dyDescent="0.25">
      <c r="A235" t="s">
        <v>44</v>
      </c>
      <c r="B235">
        <v>0</v>
      </c>
      <c r="C235">
        <v>80</v>
      </c>
      <c r="D235">
        <v>620</v>
      </c>
      <c r="E235">
        <v>680</v>
      </c>
      <c r="F235">
        <v>0</v>
      </c>
      <c r="G235" s="1">
        <v>41306</v>
      </c>
      <c r="H235" s="1">
        <v>41306</v>
      </c>
      <c r="I235" s="1">
        <v>41395</v>
      </c>
      <c r="J235" s="5"/>
    </row>
    <row r="236" spans="1:17" x14ac:dyDescent="0.25">
      <c r="A236" t="s">
        <v>44</v>
      </c>
      <c r="B236">
        <v>0</v>
      </c>
      <c r="C236">
        <v>80</v>
      </c>
      <c r="D236">
        <v>300</v>
      </c>
      <c r="E236">
        <v>620</v>
      </c>
      <c r="G236" s="1">
        <v>41306</v>
      </c>
      <c r="H236" s="1">
        <v>41306</v>
      </c>
      <c r="I236" s="1">
        <v>41395</v>
      </c>
      <c r="J236" s="5"/>
    </row>
    <row r="237" spans="1:17" x14ac:dyDescent="0.25">
      <c r="A237" t="s">
        <v>43</v>
      </c>
      <c r="B237">
        <v>0</v>
      </c>
      <c r="C237">
        <v>80</v>
      </c>
      <c r="D237">
        <v>760</v>
      </c>
      <c r="E237">
        <v>999</v>
      </c>
      <c r="F237">
        <v>0</v>
      </c>
      <c r="G237" s="1">
        <v>41306</v>
      </c>
      <c r="H237" s="1">
        <v>41306</v>
      </c>
      <c r="I237" s="1">
        <v>41395</v>
      </c>
      <c r="J237" s="5"/>
    </row>
    <row r="238" spans="1:17" x14ac:dyDescent="0.25">
      <c r="A238" t="s">
        <v>43</v>
      </c>
      <c r="B238">
        <v>0</v>
      </c>
      <c r="C238">
        <v>80</v>
      </c>
      <c r="D238">
        <v>720</v>
      </c>
      <c r="E238">
        <v>760</v>
      </c>
      <c r="F238">
        <v>0</v>
      </c>
      <c r="G238" s="1">
        <v>41306</v>
      </c>
      <c r="H238" s="1">
        <v>41306</v>
      </c>
      <c r="I238" s="1">
        <v>41395</v>
      </c>
      <c r="J238" s="5"/>
    </row>
    <row r="239" spans="1:17" x14ac:dyDescent="0.25">
      <c r="A239" t="s">
        <v>43</v>
      </c>
      <c r="B239">
        <v>0</v>
      </c>
      <c r="C239">
        <v>80</v>
      </c>
      <c r="D239">
        <v>680</v>
      </c>
      <c r="E239">
        <v>720</v>
      </c>
      <c r="F239">
        <v>0</v>
      </c>
      <c r="G239" s="1">
        <v>41306</v>
      </c>
      <c r="H239" s="1">
        <v>41306</v>
      </c>
      <c r="I239" s="1">
        <v>41395</v>
      </c>
      <c r="J239" s="5"/>
    </row>
    <row r="240" spans="1:17" x14ac:dyDescent="0.25">
      <c r="A240" t="s">
        <v>43</v>
      </c>
      <c r="B240">
        <v>0</v>
      </c>
      <c r="C240">
        <v>80</v>
      </c>
      <c r="D240">
        <v>620</v>
      </c>
      <c r="E240">
        <v>680</v>
      </c>
      <c r="F240">
        <v>0</v>
      </c>
      <c r="G240" s="1">
        <v>41306</v>
      </c>
      <c r="H240" s="1">
        <v>41306</v>
      </c>
      <c r="I240" s="1">
        <v>41395</v>
      </c>
      <c r="J240" s="5"/>
    </row>
    <row r="241" spans="1:18" x14ac:dyDescent="0.25">
      <c r="A241" t="s">
        <v>43</v>
      </c>
      <c r="B241">
        <v>0</v>
      </c>
      <c r="C241">
        <v>80</v>
      </c>
      <c r="D241">
        <v>300</v>
      </c>
      <c r="E241">
        <v>620</v>
      </c>
      <c r="G241" s="1">
        <v>41306</v>
      </c>
      <c r="H241" s="1">
        <v>41306</v>
      </c>
      <c r="I241" s="1">
        <v>41395</v>
      </c>
      <c r="J241" s="5"/>
    </row>
    <row r="242" spans="1:18" x14ac:dyDescent="0.25">
      <c r="A242" t="s">
        <v>46</v>
      </c>
      <c r="B242">
        <v>80</v>
      </c>
      <c r="C242">
        <v>999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L242" s="1">
        <v>41395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</row>
    <row r="243" spans="1:18" x14ac:dyDescent="0.25">
      <c r="A243" t="s">
        <v>46</v>
      </c>
      <c r="B243">
        <v>80</v>
      </c>
      <c r="C243">
        <v>999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L243" t="s">
        <v>46</v>
      </c>
      <c r="M243" t="s">
        <v>38</v>
      </c>
      <c r="N243" s="9">
        <v>0</v>
      </c>
      <c r="O243" s="9">
        <v>0</v>
      </c>
      <c r="P243" s="9">
        <v>0</v>
      </c>
      <c r="Q243" s="9">
        <v>0</v>
      </c>
      <c r="R243" s="3" t="s">
        <v>18</v>
      </c>
    </row>
    <row r="244" spans="1:18" x14ac:dyDescent="0.25">
      <c r="A244" t="s">
        <v>46</v>
      </c>
      <c r="B244">
        <v>80</v>
      </c>
      <c r="C244">
        <v>999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L244" t="s">
        <v>45</v>
      </c>
      <c r="M244" t="s">
        <v>38</v>
      </c>
      <c r="N244" s="9">
        <v>11.999999999999998</v>
      </c>
      <c r="O244" s="9">
        <v>14</v>
      </c>
      <c r="P244" s="9">
        <v>20</v>
      </c>
      <c r="Q244" s="9">
        <v>35</v>
      </c>
      <c r="R244" s="3" t="s">
        <v>18</v>
      </c>
    </row>
    <row r="245" spans="1:18" x14ac:dyDescent="0.25">
      <c r="A245" t="s">
        <v>46</v>
      </c>
      <c r="B245">
        <v>80</v>
      </c>
      <c r="C245">
        <v>999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L245" t="s">
        <v>44</v>
      </c>
      <c r="M245" t="s">
        <v>38</v>
      </c>
      <c r="N245" s="9">
        <v>0</v>
      </c>
      <c r="O245" s="9">
        <v>0</v>
      </c>
      <c r="P245" s="9">
        <v>0</v>
      </c>
      <c r="Q245" s="9">
        <v>0</v>
      </c>
      <c r="R245" s="3" t="s">
        <v>18</v>
      </c>
    </row>
    <row r="246" spans="1:18" x14ac:dyDescent="0.25">
      <c r="A246" t="s">
        <v>46</v>
      </c>
      <c r="B246">
        <v>80</v>
      </c>
      <c r="C246">
        <v>999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L246" t="s">
        <v>43</v>
      </c>
      <c r="M246" t="s">
        <v>38</v>
      </c>
      <c r="N246" s="9">
        <v>0</v>
      </c>
      <c r="O246" s="9">
        <v>0</v>
      </c>
      <c r="P246" s="9">
        <v>0</v>
      </c>
      <c r="Q246" s="9">
        <v>0</v>
      </c>
      <c r="R246" s="3" t="s">
        <v>18</v>
      </c>
    </row>
    <row r="247" spans="1:18" x14ac:dyDescent="0.25">
      <c r="A247" t="s">
        <v>45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1">
        <v>41395</v>
      </c>
      <c r="H247" s="1">
        <v>41395</v>
      </c>
      <c r="I247" s="1">
        <v>41487</v>
      </c>
      <c r="J247" s="5"/>
      <c r="L247" t="s">
        <v>46</v>
      </c>
      <c r="M247" t="s">
        <v>39</v>
      </c>
      <c r="N247" s="9">
        <v>0</v>
      </c>
      <c r="O247" s="9">
        <v>0</v>
      </c>
      <c r="P247" s="9">
        <v>0</v>
      </c>
      <c r="Q247" s="9">
        <v>0</v>
      </c>
      <c r="R247" s="3" t="s">
        <v>18</v>
      </c>
    </row>
    <row r="248" spans="1:18" x14ac:dyDescent="0.25">
      <c r="A248" t="s">
        <v>45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1">
        <v>41395</v>
      </c>
      <c r="H248" s="1">
        <v>41395</v>
      </c>
      <c r="I248" s="1">
        <v>41487</v>
      </c>
      <c r="J248" s="5"/>
      <c r="L248" t="s">
        <v>45</v>
      </c>
      <c r="M248" t="s">
        <v>39</v>
      </c>
      <c r="N248" s="9">
        <v>0</v>
      </c>
      <c r="O248" s="9">
        <v>0</v>
      </c>
      <c r="P248" s="9">
        <v>0</v>
      </c>
      <c r="Q248" s="9">
        <v>0</v>
      </c>
      <c r="R248" s="3" t="s">
        <v>18</v>
      </c>
    </row>
    <row r="249" spans="1:18" x14ac:dyDescent="0.25">
      <c r="A249" t="s">
        <v>45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1">
        <v>41395</v>
      </c>
      <c r="H249" s="1">
        <v>41395</v>
      </c>
      <c r="I249" s="1">
        <v>41487</v>
      </c>
      <c r="J249" s="5"/>
      <c r="L249" t="s">
        <v>44</v>
      </c>
      <c r="M249" t="s">
        <v>39</v>
      </c>
      <c r="N249" s="9">
        <v>0</v>
      </c>
      <c r="O249" s="9">
        <v>0</v>
      </c>
      <c r="P249" s="9">
        <v>0</v>
      </c>
      <c r="Q249" s="9">
        <v>0</v>
      </c>
      <c r="R249" s="3" t="s">
        <v>18</v>
      </c>
    </row>
    <row r="250" spans="1:18" x14ac:dyDescent="0.25">
      <c r="A250" t="s">
        <v>45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1">
        <v>41395</v>
      </c>
      <c r="H250" s="1">
        <v>41395</v>
      </c>
      <c r="I250" s="1">
        <v>41487</v>
      </c>
      <c r="J250" s="5"/>
      <c r="L250" t="s">
        <v>43</v>
      </c>
      <c r="M250" t="s">
        <v>39</v>
      </c>
      <c r="N250" s="9">
        <v>0</v>
      </c>
      <c r="O250" s="9">
        <v>0</v>
      </c>
      <c r="P250" s="9">
        <v>0</v>
      </c>
      <c r="Q250" s="9">
        <v>0</v>
      </c>
      <c r="R250" s="3" t="s">
        <v>18</v>
      </c>
    </row>
    <row r="251" spans="1:18" x14ac:dyDescent="0.25">
      <c r="A251" t="s">
        <v>45</v>
      </c>
      <c r="B251">
        <v>80</v>
      </c>
      <c r="C251">
        <v>999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80</v>
      </c>
      <c r="C252">
        <v>999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80</v>
      </c>
      <c r="C253">
        <v>999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80</v>
      </c>
      <c r="C254">
        <v>999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80</v>
      </c>
      <c r="C255">
        <v>999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  <c r="N255" s="3"/>
      <c r="O255" s="3"/>
      <c r="P255" s="3"/>
      <c r="Q255" s="3"/>
      <c r="R255" s="3"/>
    </row>
    <row r="256" spans="1:18" x14ac:dyDescent="0.25">
      <c r="A256" t="s">
        <v>44</v>
      </c>
      <c r="B256">
        <v>80</v>
      </c>
      <c r="C256">
        <v>999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  <c r="N256" s="9"/>
      <c r="O256" s="9"/>
      <c r="P256" s="9"/>
      <c r="Q256" s="9"/>
      <c r="R256" s="3"/>
    </row>
    <row r="257" spans="1:18" x14ac:dyDescent="0.25">
      <c r="A257" t="s">
        <v>43</v>
      </c>
      <c r="B257">
        <v>80</v>
      </c>
      <c r="C257">
        <v>999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  <c r="N257" s="9"/>
      <c r="O257" s="9"/>
      <c r="P257" s="9"/>
      <c r="Q257" s="9"/>
      <c r="R257" s="3"/>
    </row>
    <row r="258" spans="1:18" x14ac:dyDescent="0.25">
      <c r="A258" t="s">
        <v>43</v>
      </c>
      <c r="B258">
        <v>80</v>
      </c>
      <c r="C258">
        <v>999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  <c r="N258" s="9"/>
      <c r="O258" s="9"/>
      <c r="P258" s="9"/>
      <c r="Q258" s="9"/>
      <c r="R258" s="3"/>
    </row>
    <row r="259" spans="1:18" x14ac:dyDescent="0.25">
      <c r="A259" t="s">
        <v>43</v>
      </c>
      <c r="B259">
        <v>80</v>
      </c>
      <c r="C259">
        <v>999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  <c r="N259" s="9"/>
      <c r="O259" s="9"/>
      <c r="P259" s="9"/>
      <c r="Q259" s="9"/>
      <c r="R259" s="3"/>
    </row>
    <row r="260" spans="1:18" x14ac:dyDescent="0.25">
      <c r="A260" t="s">
        <v>43</v>
      </c>
      <c r="B260">
        <v>80</v>
      </c>
      <c r="C260">
        <v>999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  <c r="N260" s="9"/>
      <c r="O260" s="9"/>
      <c r="P260" s="9"/>
      <c r="Q260" s="9"/>
      <c r="R260" s="3"/>
    </row>
    <row r="261" spans="1:18" x14ac:dyDescent="0.25">
      <c r="A261" t="s">
        <v>43</v>
      </c>
      <c r="B261">
        <v>80</v>
      </c>
      <c r="C261">
        <v>999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  <c r="N261" s="9"/>
      <c r="O261" s="9"/>
      <c r="P261" s="9"/>
      <c r="Q261" s="9"/>
      <c r="R261" s="3"/>
    </row>
    <row r="262" spans="1:18" x14ac:dyDescent="0.25">
      <c r="A262" t="s">
        <v>46</v>
      </c>
      <c r="B262">
        <v>0</v>
      </c>
      <c r="C262">
        <v>80</v>
      </c>
      <c r="D262">
        <v>760</v>
      </c>
      <c r="E262">
        <v>999</v>
      </c>
      <c r="F262">
        <v>0</v>
      </c>
      <c r="G262" s="1">
        <v>41395</v>
      </c>
      <c r="H262" s="1">
        <v>41395</v>
      </c>
      <c r="I262" s="1">
        <v>41487</v>
      </c>
      <c r="J262" s="5"/>
      <c r="N262" s="9"/>
      <c r="O262" s="9"/>
      <c r="P262" s="9"/>
      <c r="Q262" s="9"/>
      <c r="R262" s="3"/>
    </row>
    <row r="263" spans="1:18" x14ac:dyDescent="0.25">
      <c r="A263" t="s">
        <v>46</v>
      </c>
      <c r="B263">
        <v>0</v>
      </c>
      <c r="C263">
        <v>80</v>
      </c>
      <c r="D263">
        <v>720</v>
      </c>
      <c r="E263">
        <v>760</v>
      </c>
      <c r="F263">
        <v>0</v>
      </c>
      <c r="G263" s="1">
        <v>41395</v>
      </c>
      <c r="H263" s="1">
        <v>41395</v>
      </c>
      <c r="I263" s="1">
        <v>41487</v>
      </c>
      <c r="J263" s="5"/>
      <c r="N263" s="9"/>
      <c r="O263" s="9"/>
      <c r="P263" s="9"/>
      <c r="Q263" s="9"/>
    </row>
    <row r="264" spans="1:18" x14ac:dyDescent="0.25">
      <c r="A264" t="s">
        <v>46</v>
      </c>
      <c r="B264">
        <v>0</v>
      </c>
      <c r="C264">
        <v>80</v>
      </c>
      <c r="D264">
        <v>680</v>
      </c>
      <c r="E264">
        <v>720</v>
      </c>
      <c r="F264">
        <v>0</v>
      </c>
      <c r="G264" s="1">
        <v>41395</v>
      </c>
      <c r="H264" s="1">
        <v>41395</v>
      </c>
      <c r="I264" s="1">
        <v>41487</v>
      </c>
      <c r="J264" s="5"/>
      <c r="N264" s="9"/>
      <c r="O264" s="9"/>
      <c r="P264" s="9"/>
      <c r="Q264" s="9"/>
    </row>
    <row r="265" spans="1:18" x14ac:dyDescent="0.25">
      <c r="A265" t="s">
        <v>46</v>
      </c>
      <c r="B265">
        <v>0</v>
      </c>
      <c r="C265">
        <v>80</v>
      </c>
      <c r="D265">
        <v>620</v>
      </c>
      <c r="E265">
        <v>680</v>
      </c>
      <c r="F265">
        <v>0</v>
      </c>
      <c r="G265" s="1">
        <v>41395</v>
      </c>
      <c r="H265" s="1">
        <v>41395</v>
      </c>
      <c r="I265" s="1">
        <v>41487</v>
      </c>
      <c r="J265" s="5"/>
      <c r="N265" s="9"/>
      <c r="O265" s="9"/>
      <c r="P265" s="9"/>
      <c r="Q265" s="9"/>
    </row>
    <row r="266" spans="1:18" x14ac:dyDescent="0.25">
      <c r="A266" t="s">
        <v>46</v>
      </c>
      <c r="B266">
        <v>0</v>
      </c>
      <c r="C266">
        <v>80</v>
      </c>
      <c r="D266">
        <v>300</v>
      </c>
      <c r="E266">
        <v>620</v>
      </c>
      <c r="G266" s="1">
        <v>41395</v>
      </c>
      <c r="H266" s="1">
        <v>41395</v>
      </c>
      <c r="I266" s="1">
        <v>41487</v>
      </c>
      <c r="J266" s="5"/>
      <c r="N266" s="9"/>
      <c r="O266" s="9"/>
      <c r="P266" s="9"/>
      <c r="Q266" s="9"/>
    </row>
    <row r="267" spans="1:18" x14ac:dyDescent="0.25">
      <c r="A267" t="s">
        <v>45</v>
      </c>
      <c r="B267">
        <v>0</v>
      </c>
      <c r="C267">
        <v>80</v>
      </c>
      <c r="D267">
        <v>760</v>
      </c>
      <c r="E267">
        <v>999</v>
      </c>
      <c r="F267">
        <v>0</v>
      </c>
      <c r="G267" s="1">
        <v>41395</v>
      </c>
      <c r="H267" s="1">
        <v>41395</v>
      </c>
      <c r="I267" s="1">
        <v>41487</v>
      </c>
      <c r="J267" s="5"/>
      <c r="N267" s="9"/>
      <c r="O267" s="9"/>
      <c r="P267" s="9"/>
      <c r="Q267" s="9"/>
    </row>
    <row r="268" spans="1:18" x14ac:dyDescent="0.25">
      <c r="A268" t="s">
        <v>45</v>
      </c>
      <c r="B268">
        <v>0</v>
      </c>
      <c r="C268">
        <v>80</v>
      </c>
      <c r="D268">
        <v>720</v>
      </c>
      <c r="E268">
        <v>760</v>
      </c>
      <c r="F268">
        <v>0</v>
      </c>
      <c r="G268" s="1">
        <v>41395</v>
      </c>
      <c r="H268" s="1">
        <v>41395</v>
      </c>
      <c r="I268" s="1">
        <v>41487</v>
      </c>
      <c r="J268" s="5"/>
      <c r="N268" s="9"/>
      <c r="O268" s="9"/>
      <c r="P268" s="9"/>
      <c r="Q268" s="9"/>
    </row>
    <row r="269" spans="1:18" x14ac:dyDescent="0.25">
      <c r="A269" t="s">
        <v>45</v>
      </c>
      <c r="B269">
        <v>0</v>
      </c>
      <c r="C269">
        <v>80</v>
      </c>
      <c r="D269">
        <v>680</v>
      </c>
      <c r="E269">
        <v>720</v>
      </c>
      <c r="F269">
        <v>0</v>
      </c>
      <c r="G269" s="1">
        <v>41395</v>
      </c>
      <c r="H269" s="1">
        <v>41395</v>
      </c>
      <c r="I269" s="1">
        <v>41487</v>
      </c>
      <c r="J269" s="5"/>
    </row>
    <row r="270" spans="1:18" x14ac:dyDescent="0.25">
      <c r="A270" t="s">
        <v>45</v>
      </c>
      <c r="B270">
        <v>0</v>
      </c>
      <c r="C270">
        <v>80</v>
      </c>
      <c r="D270">
        <v>620</v>
      </c>
      <c r="E270">
        <v>680</v>
      </c>
      <c r="F270">
        <v>0</v>
      </c>
      <c r="G270" s="1">
        <v>41395</v>
      </c>
      <c r="H270" s="1">
        <v>41395</v>
      </c>
      <c r="I270" s="1">
        <v>41487</v>
      </c>
      <c r="J270" s="5"/>
    </row>
    <row r="271" spans="1:18" x14ac:dyDescent="0.25">
      <c r="A271" t="s">
        <v>45</v>
      </c>
      <c r="B271">
        <v>0</v>
      </c>
      <c r="C271">
        <v>80</v>
      </c>
      <c r="D271">
        <v>300</v>
      </c>
      <c r="E271">
        <v>620</v>
      </c>
      <c r="G271" s="1">
        <v>41395</v>
      </c>
      <c r="H271" s="1">
        <v>41395</v>
      </c>
      <c r="I271" s="1">
        <v>41487</v>
      </c>
      <c r="J271" s="5"/>
    </row>
    <row r="272" spans="1:18" x14ac:dyDescent="0.25">
      <c r="A272" t="s">
        <v>44</v>
      </c>
      <c r="B272">
        <v>0</v>
      </c>
      <c r="C272">
        <v>80</v>
      </c>
      <c r="D272">
        <v>760</v>
      </c>
      <c r="E272">
        <v>999</v>
      </c>
      <c r="F272">
        <v>0</v>
      </c>
      <c r="G272" s="1">
        <v>41395</v>
      </c>
      <c r="H272" s="1">
        <v>41395</v>
      </c>
      <c r="I272" s="1">
        <v>41487</v>
      </c>
      <c r="J272" s="5"/>
    </row>
    <row r="273" spans="1:18" x14ac:dyDescent="0.25">
      <c r="A273" t="s">
        <v>44</v>
      </c>
      <c r="B273">
        <v>0</v>
      </c>
      <c r="C273">
        <v>80</v>
      </c>
      <c r="D273">
        <v>720</v>
      </c>
      <c r="E273">
        <v>760</v>
      </c>
      <c r="F273">
        <v>0</v>
      </c>
      <c r="G273" s="1">
        <v>41395</v>
      </c>
      <c r="H273" s="1">
        <v>41395</v>
      </c>
      <c r="I273" s="1">
        <v>41487</v>
      </c>
      <c r="J273" s="5"/>
    </row>
    <row r="274" spans="1:18" x14ac:dyDescent="0.25">
      <c r="A274" t="s">
        <v>44</v>
      </c>
      <c r="B274">
        <v>0</v>
      </c>
      <c r="C274">
        <v>80</v>
      </c>
      <c r="D274">
        <v>680</v>
      </c>
      <c r="E274">
        <v>720</v>
      </c>
      <c r="F274">
        <v>0</v>
      </c>
      <c r="G274" s="1">
        <v>41395</v>
      </c>
      <c r="H274" s="1">
        <v>41395</v>
      </c>
      <c r="I274" s="1">
        <v>41487</v>
      </c>
      <c r="J274" s="5"/>
    </row>
    <row r="275" spans="1:18" x14ac:dyDescent="0.25">
      <c r="A275" t="s">
        <v>44</v>
      </c>
      <c r="B275">
        <v>0</v>
      </c>
      <c r="C275">
        <v>80</v>
      </c>
      <c r="D275">
        <v>620</v>
      </c>
      <c r="E275">
        <v>680</v>
      </c>
      <c r="F275">
        <v>0</v>
      </c>
      <c r="G275" s="1">
        <v>41395</v>
      </c>
      <c r="H275" s="1">
        <v>41395</v>
      </c>
      <c r="I275" s="1">
        <v>41487</v>
      </c>
      <c r="J275" s="5"/>
    </row>
    <row r="276" spans="1:18" x14ac:dyDescent="0.25">
      <c r="A276" t="s">
        <v>44</v>
      </c>
      <c r="B276">
        <v>0</v>
      </c>
      <c r="C276">
        <v>80</v>
      </c>
      <c r="D276">
        <v>300</v>
      </c>
      <c r="E276">
        <v>620</v>
      </c>
      <c r="G276" s="1">
        <v>41395</v>
      </c>
      <c r="H276" s="1">
        <v>41395</v>
      </c>
      <c r="I276" s="1">
        <v>41487</v>
      </c>
      <c r="J276" s="5"/>
    </row>
    <row r="277" spans="1:18" x14ac:dyDescent="0.25">
      <c r="A277" t="s">
        <v>43</v>
      </c>
      <c r="B277">
        <v>0</v>
      </c>
      <c r="C277">
        <v>80</v>
      </c>
      <c r="D277">
        <v>760</v>
      </c>
      <c r="E277">
        <v>999</v>
      </c>
      <c r="F277">
        <v>0</v>
      </c>
      <c r="G277" s="1">
        <v>41395</v>
      </c>
      <c r="H277" s="1">
        <v>41395</v>
      </c>
      <c r="I277" s="1">
        <v>41487</v>
      </c>
      <c r="J277" s="5"/>
    </row>
    <row r="278" spans="1:18" x14ac:dyDescent="0.25">
      <c r="A278" t="s">
        <v>43</v>
      </c>
      <c r="B278">
        <v>0</v>
      </c>
      <c r="C278">
        <v>80</v>
      </c>
      <c r="D278">
        <v>720</v>
      </c>
      <c r="E278">
        <v>760</v>
      </c>
      <c r="F278">
        <v>0</v>
      </c>
      <c r="G278" s="1">
        <v>41395</v>
      </c>
      <c r="H278" s="1">
        <v>41395</v>
      </c>
      <c r="I278" s="1">
        <v>41487</v>
      </c>
      <c r="J278" s="5"/>
    </row>
    <row r="279" spans="1:18" x14ac:dyDescent="0.25">
      <c r="A279" t="s">
        <v>43</v>
      </c>
      <c r="B279">
        <v>0</v>
      </c>
      <c r="C279">
        <v>80</v>
      </c>
      <c r="D279">
        <v>680</v>
      </c>
      <c r="E279">
        <v>720</v>
      </c>
      <c r="F279">
        <v>0</v>
      </c>
      <c r="G279" s="1">
        <v>41395</v>
      </c>
      <c r="H279" s="1">
        <v>41395</v>
      </c>
      <c r="I279" s="1">
        <v>41487</v>
      </c>
      <c r="J279" s="5"/>
    </row>
    <row r="280" spans="1:18" x14ac:dyDescent="0.25">
      <c r="A280" t="s">
        <v>43</v>
      </c>
      <c r="B280">
        <v>0</v>
      </c>
      <c r="C280">
        <v>80</v>
      </c>
      <c r="D280">
        <v>620</v>
      </c>
      <c r="E280">
        <v>680</v>
      </c>
      <c r="F280">
        <v>0</v>
      </c>
      <c r="G280" s="1">
        <v>41395</v>
      </c>
      <c r="H280" s="1">
        <v>41395</v>
      </c>
      <c r="I280" s="1">
        <v>41487</v>
      </c>
      <c r="J280" s="5"/>
    </row>
    <row r="281" spans="1:18" x14ac:dyDescent="0.25">
      <c r="A281" t="s">
        <v>43</v>
      </c>
      <c r="B281">
        <v>0</v>
      </c>
      <c r="C281">
        <v>80</v>
      </c>
      <c r="D281">
        <v>300</v>
      </c>
      <c r="E281">
        <v>620</v>
      </c>
      <c r="G281" s="1">
        <v>41395</v>
      </c>
      <c r="H281" s="1">
        <v>41395</v>
      </c>
      <c r="I281" s="1">
        <v>41487</v>
      </c>
      <c r="J281" s="5"/>
    </row>
    <row r="282" spans="1:18" x14ac:dyDescent="0.25">
      <c r="A282" t="s">
        <v>46</v>
      </c>
      <c r="B282">
        <v>80</v>
      </c>
      <c r="C282">
        <v>999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L282" s="1">
        <v>41487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</row>
    <row r="283" spans="1:18" x14ac:dyDescent="0.25">
      <c r="A283" t="s">
        <v>46</v>
      </c>
      <c r="B283">
        <v>80</v>
      </c>
      <c r="C283">
        <v>999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L283" t="s">
        <v>46</v>
      </c>
      <c r="M283" t="s">
        <v>38</v>
      </c>
      <c r="N283" s="9">
        <v>0</v>
      </c>
      <c r="O283" s="9">
        <v>0</v>
      </c>
      <c r="P283" s="9">
        <v>0</v>
      </c>
      <c r="Q283" s="9">
        <v>0</v>
      </c>
      <c r="R283" s="3" t="s">
        <v>18</v>
      </c>
    </row>
    <row r="284" spans="1:18" x14ac:dyDescent="0.25">
      <c r="A284" t="s">
        <v>46</v>
      </c>
      <c r="B284">
        <v>80</v>
      </c>
      <c r="C284">
        <v>999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L284" t="s">
        <v>45</v>
      </c>
      <c r="M284" t="s">
        <v>38</v>
      </c>
      <c r="N284" s="9">
        <v>11.999999999999998</v>
      </c>
      <c r="O284" s="9">
        <v>14</v>
      </c>
      <c r="P284" s="9">
        <v>20</v>
      </c>
      <c r="Q284" s="9">
        <v>35</v>
      </c>
      <c r="R284" s="3" t="s">
        <v>18</v>
      </c>
    </row>
    <row r="285" spans="1:18" x14ac:dyDescent="0.25">
      <c r="A285" t="s">
        <v>46</v>
      </c>
      <c r="B285">
        <v>80</v>
      </c>
      <c r="C285">
        <v>999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L285" t="s">
        <v>44</v>
      </c>
      <c r="M285" t="s">
        <v>38</v>
      </c>
      <c r="N285" s="9">
        <v>0</v>
      </c>
      <c r="O285" s="9">
        <v>0</v>
      </c>
      <c r="P285" s="9">
        <v>0</v>
      </c>
      <c r="Q285" s="9">
        <v>0</v>
      </c>
      <c r="R285" s="3" t="s">
        <v>18</v>
      </c>
    </row>
    <row r="286" spans="1:18" x14ac:dyDescent="0.25">
      <c r="A286" t="s">
        <v>46</v>
      </c>
      <c r="B286">
        <v>80</v>
      </c>
      <c r="C286">
        <v>999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L286" t="s">
        <v>43</v>
      </c>
      <c r="M286" t="s">
        <v>38</v>
      </c>
      <c r="N286" s="9">
        <v>0</v>
      </c>
      <c r="O286" s="9">
        <v>0</v>
      </c>
      <c r="P286" s="9">
        <v>0</v>
      </c>
      <c r="Q286" s="9">
        <v>0</v>
      </c>
      <c r="R286" s="3" t="s">
        <v>18</v>
      </c>
    </row>
    <row r="287" spans="1:18" x14ac:dyDescent="0.25">
      <c r="A287" t="s">
        <v>45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1">
        <v>41487</v>
      </c>
      <c r="H287" s="1">
        <v>41487</v>
      </c>
      <c r="I287" s="1">
        <v>41760</v>
      </c>
      <c r="J287" s="5"/>
      <c r="L287" t="s">
        <v>46</v>
      </c>
      <c r="M287" t="s">
        <v>39</v>
      </c>
      <c r="N287" s="9">
        <v>0</v>
      </c>
      <c r="O287" s="9">
        <v>0</v>
      </c>
      <c r="P287" s="9">
        <v>0</v>
      </c>
      <c r="Q287" s="9">
        <v>0</v>
      </c>
      <c r="R287" s="3" t="s">
        <v>18</v>
      </c>
    </row>
    <row r="288" spans="1:18" x14ac:dyDescent="0.25">
      <c r="A288" t="s">
        <v>45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1">
        <v>41487</v>
      </c>
      <c r="H288" s="1">
        <v>41487</v>
      </c>
      <c r="I288" s="1">
        <v>41760</v>
      </c>
      <c r="J288" s="5"/>
      <c r="L288" t="s">
        <v>45</v>
      </c>
      <c r="M288" t="s">
        <v>39</v>
      </c>
      <c r="N288" s="9">
        <v>0</v>
      </c>
      <c r="O288" s="9">
        <v>0</v>
      </c>
      <c r="P288" s="9">
        <v>0</v>
      </c>
      <c r="Q288" s="9">
        <v>0</v>
      </c>
      <c r="R288" s="3" t="s">
        <v>18</v>
      </c>
    </row>
    <row r="289" spans="1:18" x14ac:dyDescent="0.25">
      <c r="A289" t="s">
        <v>45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1">
        <v>41487</v>
      </c>
      <c r="H289" s="1">
        <v>41487</v>
      </c>
      <c r="I289" s="1">
        <v>41760</v>
      </c>
      <c r="J289" s="5"/>
      <c r="L289" t="s">
        <v>44</v>
      </c>
      <c r="M289" t="s">
        <v>39</v>
      </c>
      <c r="N289" s="9">
        <v>0</v>
      </c>
      <c r="O289" s="9">
        <v>0</v>
      </c>
      <c r="P289" s="9">
        <v>0</v>
      </c>
      <c r="Q289" s="9">
        <v>0</v>
      </c>
      <c r="R289" s="3" t="s">
        <v>18</v>
      </c>
    </row>
    <row r="290" spans="1:18" x14ac:dyDescent="0.25">
      <c r="A290" t="s">
        <v>45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1">
        <v>41487</v>
      </c>
      <c r="H290" s="1">
        <v>41487</v>
      </c>
      <c r="I290" s="1">
        <v>41760</v>
      </c>
      <c r="J290" s="5"/>
      <c r="L290" t="s">
        <v>43</v>
      </c>
      <c r="M290" t="s">
        <v>39</v>
      </c>
      <c r="N290" s="9">
        <v>0</v>
      </c>
      <c r="O290" s="9">
        <v>0</v>
      </c>
      <c r="P290" s="9">
        <v>0</v>
      </c>
      <c r="Q290" s="9">
        <v>0</v>
      </c>
      <c r="R290" s="3" t="s">
        <v>18</v>
      </c>
    </row>
    <row r="291" spans="1:18" x14ac:dyDescent="0.25">
      <c r="A291" t="s">
        <v>45</v>
      </c>
      <c r="B291">
        <v>80</v>
      </c>
      <c r="C291">
        <v>999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80</v>
      </c>
      <c r="C292">
        <v>999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80</v>
      </c>
      <c r="C293">
        <v>999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80</v>
      </c>
      <c r="C294">
        <v>999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80</v>
      </c>
      <c r="C295">
        <v>999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  <c r="N295" s="3"/>
      <c r="O295" s="3"/>
      <c r="P295" s="3"/>
      <c r="Q295" s="3"/>
      <c r="R295" s="3"/>
    </row>
    <row r="296" spans="1:18" x14ac:dyDescent="0.25">
      <c r="A296" t="s">
        <v>44</v>
      </c>
      <c r="B296">
        <v>80</v>
      </c>
      <c r="C296">
        <v>999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  <c r="N296" s="9"/>
      <c r="O296" s="9"/>
      <c r="P296" s="9"/>
      <c r="Q296" s="9"/>
      <c r="R296" s="3"/>
    </row>
    <row r="297" spans="1:18" x14ac:dyDescent="0.25">
      <c r="A297" t="s">
        <v>43</v>
      </c>
      <c r="B297">
        <v>80</v>
      </c>
      <c r="C297">
        <v>999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  <c r="N297" s="9"/>
      <c r="O297" s="9"/>
      <c r="P297" s="9"/>
      <c r="Q297" s="9"/>
      <c r="R297" s="3"/>
    </row>
    <row r="298" spans="1:18" x14ac:dyDescent="0.25">
      <c r="A298" t="s">
        <v>43</v>
      </c>
      <c r="B298">
        <v>80</v>
      </c>
      <c r="C298">
        <v>999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  <c r="N298" s="9"/>
      <c r="O298" s="9"/>
      <c r="P298" s="9"/>
      <c r="Q298" s="9"/>
      <c r="R298" s="3"/>
    </row>
    <row r="299" spans="1:18" x14ac:dyDescent="0.25">
      <c r="A299" t="s">
        <v>43</v>
      </c>
      <c r="B299">
        <v>80</v>
      </c>
      <c r="C299">
        <v>999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  <c r="N299" s="9"/>
      <c r="O299" s="9"/>
      <c r="P299" s="9"/>
      <c r="Q299" s="9"/>
      <c r="R299" s="3"/>
    </row>
    <row r="300" spans="1:18" x14ac:dyDescent="0.25">
      <c r="A300" t="s">
        <v>43</v>
      </c>
      <c r="B300">
        <v>80</v>
      </c>
      <c r="C300">
        <v>999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  <c r="N300" s="9"/>
      <c r="O300" s="9"/>
      <c r="P300" s="9"/>
      <c r="Q300" s="9"/>
      <c r="R300" s="3"/>
    </row>
    <row r="301" spans="1:18" x14ac:dyDescent="0.25">
      <c r="A301" t="s">
        <v>43</v>
      </c>
      <c r="B301">
        <v>80</v>
      </c>
      <c r="C301">
        <v>999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  <c r="N301" s="9"/>
      <c r="O301" s="9"/>
      <c r="P301" s="9"/>
      <c r="Q301" s="9"/>
      <c r="R301" s="3"/>
    </row>
    <row r="302" spans="1:18" x14ac:dyDescent="0.25">
      <c r="A302" t="s">
        <v>46</v>
      </c>
      <c r="B302">
        <v>0</v>
      </c>
      <c r="C302">
        <v>80</v>
      </c>
      <c r="D302">
        <v>760</v>
      </c>
      <c r="E302">
        <v>999</v>
      </c>
      <c r="F302">
        <v>0</v>
      </c>
      <c r="G302" s="1">
        <v>41487</v>
      </c>
      <c r="H302" s="1">
        <v>41487</v>
      </c>
      <c r="I302" s="1">
        <v>41760</v>
      </c>
      <c r="J302" s="5"/>
      <c r="N302" s="9"/>
      <c r="O302" s="9"/>
      <c r="P302" s="9"/>
      <c r="Q302" s="9"/>
      <c r="R302" s="3"/>
    </row>
    <row r="303" spans="1:18" x14ac:dyDescent="0.25">
      <c r="A303" t="s">
        <v>46</v>
      </c>
      <c r="B303">
        <v>0</v>
      </c>
      <c r="C303">
        <v>80</v>
      </c>
      <c r="D303">
        <v>720</v>
      </c>
      <c r="E303">
        <v>760</v>
      </c>
      <c r="F303">
        <v>0</v>
      </c>
      <c r="G303" s="1">
        <v>41487</v>
      </c>
      <c r="H303" s="1">
        <v>41487</v>
      </c>
      <c r="I303" s="1">
        <v>41760</v>
      </c>
      <c r="J303" s="5"/>
      <c r="N303" s="9"/>
      <c r="O303" s="9"/>
      <c r="P303" s="9"/>
      <c r="Q303" s="9"/>
    </row>
    <row r="304" spans="1:18" x14ac:dyDescent="0.25">
      <c r="A304" t="s">
        <v>46</v>
      </c>
      <c r="B304">
        <v>0</v>
      </c>
      <c r="C304">
        <v>80</v>
      </c>
      <c r="D304">
        <v>680</v>
      </c>
      <c r="E304">
        <v>720</v>
      </c>
      <c r="F304">
        <v>0</v>
      </c>
      <c r="G304" s="1">
        <v>41487</v>
      </c>
      <c r="H304" s="1">
        <v>41487</v>
      </c>
      <c r="I304" s="1">
        <v>41760</v>
      </c>
      <c r="J304" s="5"/>
      <c r="N304" s="9"/>
      <c r="O304" s="9"/>
      <c r="P304" s="9"/>
      <c r="Q304" s="9"/>
    </row>
    <row r="305" spans="1:17" x14ac:dyDescent="0.25">
      <c r="A305" t="s">
        <v>46</v>
      </c>
      <c r="B305">
        <v>0</v>
      </c>
      <c r="C305">
        <v>80</v>
      </c>
      <c r="D305">
        <v>620</v>
      </c>
      <c r="E305">
        <v>680</v>
      </c>
      <c r="F305">
        <v>0</v>
      </c>
      <c r="G305" s="1">
        <v>41487</v>
      </c>
      <c r="H305" s="1">
        <v>41487</v>
      </c>
      <c r="I305" s="1">
        <v>41760</v>
      </c>
      <c r="J305" s="5"/>
      <c r="N305" s="9"/>
      <c r="O305" s="9"/>
      <c r="P305" s="9"/>
      <c r="Q305" s="9"/>
    </row>
    <row r="306" spans="1:17" x14ac:dyDescent="0.25">
      <c r="A306" t="s">
        <v>46</v>
      </c>
      <c r="B306">
        <v>0</v>
      </c>
      <c r="C306">
        <v>80</v>
      </c>
      <c r="D306">
        <v>300</v>
      </c>
      <c r="E306">
        <v>620</v>
      </c>
      <c r="G306" s="1">
        <v>41487</v>
      </c>
      <c r="H306" s="1">
        <v>41487</v>
      </c>
      <c r="I306" s="1">
        <v>41760</v>
      </c>
      <c r="J306" s="5"/>
      <c r="N306" s="9"/>
      <c r="O306" s="9"/>
      <c r="P306" s="9"/>
      <c r="Q306" s="9"/>
    </row>
    <row r="307" spans="1:17" x14ac:dyDescent="0.25">
      <c r="A307" t="s">
        <v>45</v>
      </c>
      <c r="B307">
        <v>0</v>
      </c>
      <c r="C307">
        <v>80</v>
      </c>
      <c r="D307">
        <v>760</v>
      </c>
      <c r="E307">
        <v>999</v>
      </c>
      <c r="F307">
        <v>0</v>
      </c>
      <c r="G307" s="1">
        <v>41487</v>
      </c>
      <c r="H307" s="1">
        <v>41487</v>
      </c>
      <c r="I307" s="1">
        <v>41760</v>
      </c>
      <c r="J307" s="5"/>
      <c r="N307" s="9"/>
      <c r="O307" s="9"/>
      <c r="P307" s="9"/>
      <c r="Q307" s="9"/>
    </row>
    <row r="308" spans="1:17" x14ac:dyDescent="0.25">
      <c r="A308" t="s">
        <v>45</v>
      </c>
      <c r="B308">
        <v>0</v>
      </c>
      <c r="C308">
        <v>80</v>
      </c>
      <c r="D308">
        <v>720</v>
      </c>
      <c r="E308">
        <v>760</v>
      </c>
      <c r="F308">
        <v>0</v>
      </c>
      <c r="G308" s="1">
        <v>41487</v>
      </c>
      <c r="H308" s="1">
        <v>41487</v>
      </c>
      <c r="I308" s="1">
        <v>41760</v>
      </c>
      <c r="J308" s="5"/>
      <c r="N308" s="9"/>
      <c r="O308" s="9"/>
      <c r="P308" s="9"/>
      <c r="Q308" s="9"/>
    </row>
    <row r="309" spans="1:17" x14ac:dyDescent="0.25">
      <c r="A309" t="s">
        <v>45</v>
      </c>
      <c r="B309">
        <v>0</v>
      </c>
      <c r="C309">
        <v>80</v>
      </c>
      <c r="D309">
        <v>680</v>
      </c>
      <c r="E309">
        <v>720</v>
      </c>
      <c r="F309">
        <v>0</v>
      </c>
      <c r="G309" s="1">
        <v>41487</v>
      </c>
      <c r="H309" s="1">
        <v>41487</v>
      </c>
      <c r="I309" s="1">
        <v>41760</v>
      </c>
      <c r="J309" s="5"/>
    </row>
    <row r="310" spans="1:17" x14ac:dyDescent="0.25">
      <c r="A310" t="s">
        <v>45</v>
      </c>
      <c r="B310">
        <v>0</v>
      </c>
      <c r="C310">
        <v>80</v>
      </c>
      <c r="D310">
        <v>620</v>
      </c>
      <c r="E310">
        <v>680</v>
      </c>
      <c r="F310">
        <v>0</v>
      </c>
      <c r="G310" s="1">
        <v>41487</v>
      </c>
      <c r="H310" s="1">
        <v>41487</v>
      </c>
      <c r="I310" s="1">
        <v>41760</v>
      </c>
      <c r="J310" s="5"/>
    </row>
    <row r="311" spans="1:17" x14ac:dyDescent="0.25">
      <c r="A311" t="s">
        <v>45</v>
      </c>
      <c r="B311">
        <v>0</v>
      </c>
      <c r="C311">
        <v>80</v>
      </c>
      <c r="D311">
        <v>300</v>
      </c>
      <c r="E311">
        <v>620</v>
      </c>
      <c r="G311" s="1">
        <v>41487</v>
      </c>
      <c r="H311" s="1">
        <v>41487</v>
      </c>
      <c r="I311" s="1">
        <v>41760</v>
      </c>
      <c r="J311" s="5"/>
    </row>
    <row r="312" spans="1:17" x14ac:dyDescent="0.25">
      <c r="A312" t="s">
        <v>44</v>
      </c>
      <c r="B312">
        <v>0</v>
      </c>
      <c r="C312">
        <v>80</v>
      </c>
      <c r="D312">
        <v>760</v>
      </c>
      <c r="E312">
        <v>999</v>
      </c>
      <c r="F312">
        <v>0</v>
      </c>
      <c r="G312" s="1">
        <v>41487</v>
      </c>
      <c r="H312" s="1">
        <v>41487</v>
      </c>
      <c r="I312" s="1">
        <v>41760</v>
      </c>
      <c r="J312" s="5"/>
    </row>
    <row r="313" spans="1:17" x14ac:dyDescent="0.25">
      <c r="A313" t="s">
        <v>44</v>
      </c>
      <c r="B313">
        <v>0</v>
      </c>
      <c r="C313">
        <v>80</v>
      </c>
      <c r="D313">
        <v>720</v>
      </c>
      <c r="E313">
        <v>760</v>
      </c>
      <c r="F313">
        <v>0</v>
      </c>
      <c r="G313" s="1">
        <v>41487</v>
      </c>
      <c r="H313" s="1">
        <v>41487</v>
      </c>
      <c r="I313" s="1">
        <v>41760</v>
      </c>
      <c r="J313" s="5"/>
    </row>
    <row r="314" spans="1:17" x14ac:dyDescent="0.25">
      <c r="A314" t="s">
        <v>44</v>
      </c>
      <c r="B314">
        <v>0</v>
      </c>
      <c r="C314">
        <v>80</v>
      </c>
      <c r="D314">
        <v>680</v>
      </c>
      <c r="E314">
        <v>720</v>
      </c>
      <c r="F314">
        <v>0</v>
      </c>
      <c r="G314" s="1">
        <v>41487</v>
      </c>
      <c r="H314" s="1">
        <v>41487</v>
      </c>
      <c r="I314" s="1">
        <v>41760</v>
      </c>
      <c r="J314" s="5"/>
    </row>
    <row r="315" spans="1:17" x14ac:dyDescent="0.25">
      <c r="A315" t="s">
        <v>44</v>
      </c>
      <c r="B315">
        <v>0</v>
      </c>
      <c r="C315">
        <v>80</v>
      </c>
      <c r="D315">
        <v>620</v>
      </c>
      <c r="E315">
        <v>680</v>
      </c>
      <c r="F315">
        <v>0</v>
      </c>
      <c r="G315" s="1">
        <v>41487</v>
      </c>
      <c r="H315" s="1">
        <v>41487</v>
      </c>
      <c r="I315" s="1">
        <v>41760</v>
      </c>
      <c r="J315" s="5"/>
    </row>
    <row r="316" spans="1:17" x14ac:dyDescent="0.25">
      <c r="A316" t="s">
        <v>44</v>
      </c>
      <c r="B316">
        <v>0</v>
      </c>
      <c r="C316">
        <v>80</v>
      </c>
      <c r="D316">
        <v>300</v>
      </c>
      <c r="E316">
        <v>620</v>
      </c>
      <c r="G316" s="1">
        <v>41487</v>
      </c>
      <c r="H316" s="1">
        <v>41487</v>
      </c>
      <c r="I316" s="1">
        <v>41760</v>
      </c>
      <c r="J316" s="5"/>
    </row>
    <row r="317" spans="1:17" x14ac:dyDescent="0.25">
      <c r="A317" t="s">
        <v>43</v>
      </c>
      <c r="B317">
        <v>0</v>
      </c>
      <c r="C317">
        <v>80</v>
      </c>
      <c r="D317">
        <v>760</v>
      </c>
      <c r="E317">
        <v>999</v>
      </c>
      <c r="F317">
        <v>0</v>
      </c>
      <c r="G317" s="1">
        <v>41487</v>
      </c>
      <c r="H317" s="1">
        <v>41487</v>
      </c>
      <c r="I317" s="1">
        <v>41760</v>
      </c>
      <c r="J317" s="5"/>
    </row>
    <row r="318" spans="1:17" x14ac:dyDescent="0.25">
      <c r="A318" t="s">
        <v>43</v>
      </c>
      <c r="B318">
        <v>0</v>
      </c>
      <c r="C318">
        <v>80</v>
      </c>
      <c r="D318">
        <v>720</v>
      </c>
      <c r="E318">
        <v>760</v>
      </c>
      <c r="F318">
        <v>0</v>
      </c>
      <c r="G318" s="1">
        <v>41487</v>
      </c>
      <c r="H318" s="1">
        <v>41487</v>
      </c>
      <c r="I318" s="1">
        <v>41760</v>
      </c>
      <c r="J318" s="5"/>
    </row>
    <row r="319" spans="1:17" x14ac:dyDescent="0.25">
      <c r="A319" t="s">
        <v>43</v>
      </c>
      <c r="B319">
        <v>0</v>
      </c>
      <c r="C319">
        <v>80</v>
      </c>
      <c r="D319">
        <v>680</v>
      </c>
      <c r="E319">
        <v>720</v>
      </c>
      <c r="F319">
        <v>0</v>
      </c>
      <c r="G319" s="1">
        <v>41487</v>
      </c>
      <c r="H319" s="1">
        <v>41487</v>
      </c>
      <c r="I319" s="1">
        <v>41760</v>
      </c>
      <c r="J319" s="5"/>
    </row>
    <row r="320" spans="1:17" x14ac:dyDescent="0.25">
      <c r="A320" t="s">
        <v>43</v>
      </c>
      <c r="B320">
        <v>0</v>
      </c>
      <c r="C320">
        <v>80</v>
      </c>
      <c r="D320">
        <v>620</v>
      </c>
      <c r="E320">
        <v>680</v>
      </c>
      <c r="F320">
        <v>0</v>
      </c>
      <c r="G320" s="1">
        <v>41487</v>
      </c>
      <c r="H320" s="1">
        <v>41487</v>
      </c>
      <c r="I320" s="1">
        <v>41760</v>
      </c>
      <c r="J320" s="5"/>
    </row>
    <row r="321" spans="1:18" x14ac:dyDescent="0.25">
      <c r="A321" t="s">
        <v>43</v>
      </c>
      <c r="B321">
        <v>0</v>
      </c>
      <c r="C321">
        <v>80</v>
      </c>
      <c r="D321">
        <v>300</v>
      </c>
      <c r="E321">
        <v>620</v>
      </c>
      <c r="G321" s="1">
        <v>41487</v>
      </c>
      <c r="H321" s="1">
        <v>41487</v>
      </c>
      <c r="I321" s="1">
        <v>41760</v>
      </c>
      <c r="J321" s="5"/>
    </row>
    <row r="322" spans="1:18" x14ac:dyDescent="0.25">
      <c r="A322" t="s">
        <v>46</v>
      </c>
      <c r="B322">
        <v>80</v>
      </c>
      <c r="C322">
        <v>999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L322" s="1">
        <v>41760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</row>
    <row r="323" spans="1:18" x14ac:dyDescent="0.25">
      <c r="A323" t="s">
        <v>46</v>
      </c>
      <c r="B323">
        <v>80</v>
      </c>
      <c r="C323">
        <v>999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  <c r="L323" t="s">
        <v>46</v>
      </c>
      <c r="M323" t="s">
        <v>38</v>
      </c>
      <c r="N323" s="9">
        <v>0</v>
      </c>
      <c r="O323" s="9">
        <v>0</v>
      </c>
      <c r="P323" s="9">
        <v>0</v>
      </c>
      <c r="Q323" s="9">
        <v>0</v>
      </c>
      <c r="R323" s="3" t="s">
        <v>18</v>
      </c>
    </row>
    <row r="324" spans="1:18" x14ac:dyDescent="0.25">
      <c r="A324" t="s">
        <v>46</v>
      </c>
      <c r="B324">
        <v>80</v>
      </c>
      <c r="C324">
        <v>999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  <c r="L324" t="s">
        <v>45</v>
      </c>
      <c r="M324" t="s">
        <v>38</v>
      </c>
      <c r="N324" s="9">
        <v>11.999999999999998</v>
      </c>
      <c r="O324" s="9">
        <v>14</v>
      </c>
      <c r="P324" s="9">
        <v>20</v>
      </c>
      <c r="Q324" s="9">
        <v>35</v>
      </c>
      <c r="R324" s="3" t="s">
        <v>18</v>
      </c>
    </row>
    <row r="325" spans="1:18" x14ac:dyDescent="0.25">
      <c r="A325" t="s">
        <v>46</v>
      </c>
      <c r="B325">
        <v>80</v>
      </c>
      <c r="C325">
        <v>999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  <c r="L325" t="s">
        <v>44</v>
      </c>
      <c r="M325" t="s">
        <v>38</v>
      </c>
      <c r="N325" s="9">
        <v>34</v>
      </c>
      <c r="O325" s="9">
        <v>38</v>
      </c>
      <c r="P325" s="9">
        <v>50</v>
      </c>
      <c r="Q325" s="9">
        <v>75</v>
      </c>
      <c r="R325" s="3" t="s">
        <v>18</v>
      </c>
    </row>
    <row r="326" spans="1:18" x14ac:dyDescent="0.25">
      <c r="A326" t="s">
        <v>46</v>
      </c>
      <c r="B326">
        <v>80</v>
      </c>
      <c r="C326">
        <v>999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  <c r="L326" t="s">
        <v>43</v>
      </c>
      <c r="M326" t="s">
        <v>38</v>
      </c>
      <c r="N326" s="9">
        <v>0</v>
      </c>
      <c r="O326" s="9">
        <v>0</v>
      </c>
      <c r="P326" s="9">
        <v>0</v>
      </c>
      <c r="Q326" s="9">
        <v>0</v>
      </c>
      <c r="R326" s="3" t="s">
        <v>18</v>
      </c>
    </row>
    <row r="327" spans="1:18" x14ac:dyDescent="0.25">
      <c r="A327" t="s">
        <v>45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1">
        <v>41760</v>
      </c>
      <c r="H327" s="1">
        <v>41760</v>
      </c>
      <c r="I327" s="1">
        <v>42461</v>
      </c>
      <c r="J327" s="5"/>
      <c r="L327" t="s">
        <v>46</v>
      </c>
      <c r="M327" t="s">
        <v>39</v>
      </c>
      <c r="N327" s="9">
        <v>0</v>
      </c>
      <c r="O327" s="9">
        <v>0</v>
      </c>
      <c r="P327" s="9">
        <v>0</v>
      </c>
      <c r="Q327" s="9">
        <v>0</v>
      </c>
      <c r="R327" s="3" t="s">
        <v>18</v>
      </c>
    </row>
    <row r="328" spans="1:18" x14ac:dyDescent="0.25">
      <c r="A328" t="s">
        <v>45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1">
        <v>41760</v>
      </c>
      <c r="H328" s="1">
        <v>41760</v>
      </c>
      <c r="I328" s="1">
        <v>42461</v>
      </c>
      <c r="J328" s="5"/>
      <c r="L328" t="s">
        <v>45</v>
      </c>
      <c r="M328" t="s">
        <v>39</v>
      </c>
      <c r="N328" s="9">
        <v>0</v>
      </c>
      <c r="O328" s="9">
        <v>0</v>
      </c>
      <c r="P328" s="9">
        <v>0</v>
      </c>
      <c r="Q328" s="9">
        <v>0</v>
      </c>
      <c r="R328" s="3" t="s">
        <v>18</v>
      </c>
    </row>
    <row r="329" spans="1:18" x14ac:dyDescent="0.25">
      <c r="A329" t="s">
        <v>45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1">
        <v>41760</v>
      </c>
      <c r="H329" s="1">
        <v>41760</v>
      </c>
      <c r="I329" s="1">
        <v>42461</v>
      </c>
      <c r="J329" s="5"/>
      <c r="L329" t="s">
        <v>44</v>
      </c>
      <c r="M329" t="s">
        <v>39</v>
      </c>
      <c r="N329" s="9">
        <v>0</v>
      </c>
      <c r="O329" s="9">
        <v>0</v>
      </c>
      <c r="P329" s="9">
        <v>0</v>
      </c>
      <c r="Q329" s="9">
        <v>0</v>
      </c>
      <c r="R329" s="3" t="s">
        <v>18</v>
      </c>
    </row>
    <row r="330" spans="1:18" x14ac:dyDescent="0.25">
      <c r="A330" t="s">
        <v>45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1">
        <v>41760</v>
      </c>
      <c r="H330" s="1">
        <v>41760</v>
      </c>
      <c r="I330" s="1">
        <v>42461</v>
      </c>
      <c r="J330" s="5"/>
      <c r="L330" t="s">
        <v>43</v>
      </c>
      <c r="M330" t="s">
        <v>39</v>
      </c>
      <c r="N330" s="9">
        <v>0</v>
      </c>
      <c r="O330" s="9">
        <v>0</v>
      </c>
      <c r="P330" s="9">
        <v>0</v>
      </c>
      <c r="Q330" s="9">
        <v>0</v>
      </c>
      <c r="R330" s="3" t="s">
        <v>18</v>
      </c>
    </row>
    <row r="331" spans="1:18" x14ac:dyDescent="0.25">
      <c r="A331" t="s">
        <v>45</v>
      </c>
      <c r="B331">
        <v>80</v>
      </c>
      <c r="C331">
        <v>999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8" x14ac:dyDescent="0.25">
      <c r="A332" t="s">
        <v>44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1">
        <v>41760</v>
      </c>
      <c r="H332" s="1">
        <v>41760</v>
      </c>
      <c r="I332" s="1">
        <v>42461</v>
      </c>
      <c r="J332" s="5"/>
    </row>
    <row r="333" spans="1:18" x14ac:dyDescent="0.25">
      <c r="A333" t="s">
        <v>44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1">
        <v>41760</v>
      </c>
      <c r="H333" s="1">
        <v>41760</v>
      </c>
      <c r="I333" s="1">
        <v>42461</v>
      </c>
      <c r="J333" s="5"/>
    </row>
    <row r="334" spans="1:18" x14ac:dyDescent="0.25">
      <c r="A334" t="s">
        <v>44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1">
        <v>41760</v>
      </c>
      <c r="H334" s="1">
        <v>41760</v>
      </c>
      <c r="I334" s="1">
        <v>42461</v>
      </c>
      <c r="J334" s="5"/>
    </row>
    <row r="335" spans="1:18" x14ac:dyDescent="0.25">
      <c r="A335" t="s">
        <v>44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1">
        <v>41760</v>
      </c>
      <c r="H335" s="1">
        <v>41760</v>
      </c>
      <c r="I335" s="1">
        <v>42461</v>
      </c>
      <c r="J335" s="5"/>
      <c r="N335" s="9"/>
      <c r="O335" s="9"/>
      <c r="P335" s="9"/>
      <c r="Q335" s="9"/>
    </row>
    <row r="336" spans="1:18" x14ac:dyDescent="0.25">
      <c r="A336" t="s">
        <v>44</v>
      </c>
      <c r="B336">
        <v>80</v>
      </c>
      <c r="C336">
        <v>999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  <c r="N336" s="9"/>
      <c r="O336" s="9"/>
      <c r="P336" s="9"/>
      <c r="Q336" s="9"/>
    </row>
    <row r="337" spans="1:17" x14ac:dyDescent="0.25">
      <c r="A337" t="s">
        <v>43</v>
      </c>
      <c r="B337">
        <v>80</v>
      </c>
      <c r="C337">
        <v>999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  <c r="N337" s="9"/>
      <c r="O337" s="9"/>
      <c r="P337" s="9"/>
      <c r="Q337" s="9"/>
    </row>
    <row r="338" spans="1:17" x14ac:dyDescent="0.25">
      <c r="A338" t="s">
        <v>43</v>
      </c>
      <c r="B338">
        <v>80</v>
      </c>
      <c r="C338">
        <v>999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  <c r="N338" s="9"/>
      <c r="O338" s="9"/>
      <c r="P338" s="9"/>
      <c r="Q338" s="9"/>
    </row>
    <row r="339" spans="1:17" x14ac:dyDescent="0.25">
      <c r="A339" t="s">
        <v>43</v>
      </c>
      <c r="B339">
        <v>80</v>
      </c>
      <c r="C339">
        <v>999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  <c r="N339" s="9"/>
      <c r="O339" s="9"/>
      <c r="P339" s="9"/>
      <c r="Q339" s="9"/>
    </row>
    <row r="340" spans="1:17" x14ac:dyDescent="0.25">
      <c r="A340" t="s">
        <v>43</v>
      </c>
      <c r="B340">
        <v>80</v>
      </c>
      <c r="C340">
        <v>999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  <c r="N340" s="9"/>
      <c r="O340" s="9"/>
      <c r="P340" s="9"/>
      <c r="Q340" s="9"/>
    </row>
    <row r="341" spans="1:17" x14ac:dyDescent="0.25">
      <c r="A341" t="s">
        <v>43</v>
      </c>
      <c r="B341">
        <v>80</v>
      </c>
      <c r="C341">
        <v>999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  <c r="N341" s="9"/>
      <c r="O341" s="9"/>
      <c r="P341" s="9"/>
      <c r="Q341" s="9"/>
    </row>
    <row r="342" spans="1:17" x14ac:dyDescent="0.25">
      <c r="A342" t="s">
        <v>46</v>
      </c>
      <c r="B342">
        <v>0</v>
      </c>
      <c r="C342">
        <v>80</v>
      </c>
      <c r="D342">
        <v>760</v>
      </c>
      <c r="E342">
        <v>999</v>
      </c>
      <c r="F342">
        <v>0</v>
      </c>
      <c r="G342" s="1">
        <v>41760</v>
      </c>
      <c r="H342" s="1">
        <v>41760</v>
      </c>
      <c r="I342" s="1">
        <v>42461</v>
      </c>
      <c r="J342" s="5"/>
      <c r="N342" s="9"/>
      <c r="O342" s="9"/>
      <c r="P342" s="9"/>
      <c r="Q342" s="9"/>
    </row>
    <row r="343" spans="1:17" x14ac:dyDescent="0.25">
      <c r="A343" t="s">
        <v>46</v>
      </c>
      <c r="B343">
        <v>0</v>
      </c>
      <c r="C343">
        <v>80</v>
      </c>
      <c r="D343">
        <v>720</v>
      </c>
      <c r="E343">
        <v>760</v>
      </c>
      <c r="F343">
        <v>0</v>
      </c>
      <c r="G343" s="1">
        <v>41760</v>
      </c>
      <c r="H343" s="1">
        <v>41760</v>
      </c>
      <c r="I343" s="1">
        <v>42461</v>
      </c>
      <c r="J343" s="5"/>
    </row>
    <row r="344" spans="1:17" x14ac:dyDescent="0.25">
      <c r="A344" t="s">
        <v>46</v>
      </c>
      <c r="B344">
        <v>0</v>
      </c>
      <c r="C344">
        <v>80</v>
      </c>
      <c r="D344">
        <v>680</v>
      </c>
      <c r="E344">
        <v>720</v>
      </c>
      <c r="F344">
        <v>0</v>
      </c>
      <c r="G344" s="1">
        <v>41760</v>
      </c>
      <c r="H344" s="1">
        <v>41760</v>
      </c>
      <c r="I344" s="1">
        <v>42461</v>
      </c>
      <c r="J344" s="5"/>
    </row>
    <row r="345" spans="1:17" x14ac:dyDescent="0.25">
      <c r="A345" t="s">
        <v>46</v>
      </c>
      <c r="B345">
        <v>0</v>
      </c>
      <c r="C345">
        <v>80</v>
      </c>
      <c r="D345">
        <v>620</v>
      </c>
      <c r="E345">
        <v>680</v>
      </c>
      <c r="F345">
        <v>0</v>
      </c>
      <c r="G345" s="1">
        <v>41760</v>
      </c>
      <c r="H345" s="1">
        <v>41760</v>
      </c>
      <c r="I345" s="1">
        <v>42461</v>
      </c>
      <c r="J345" s="5"/>
    </row>
    <row r="346" spans="1:17" x14ac:dyDescent="0.25">
      <c r="A346" t="s">
        <v>46</v>
      </c>
      <c r="B346">
        <v>0</v>
      </c>
      <c r="C346">
        <v>80</v>
      </c>
      <c r="D346">
        <v>300</v>
      </c>
      <c r="E346">
        <v>620</v>
      </c>
      <c r="G346" s="1">
        <v>41760</v>
      </c>
      <c r="H346" s="1">
        <v>41760</v>
      </c>
      <c r="I346" s="1">
        <v>42461</v>
      </c>
      <c r="J346" s="5"/>
    </row>
    <row r="347" spans="1:17" x14ac:dyDescent="0.25">
      <c r="A347" t="s">
        <v>45</v>
      </c>
      <c r="B347">
        <v>0</v>
      </c>
      <c r="C347">
        <v>80</v>
      </c>
      <c r="D347">
        <v>760</v>
      </c>
      <c r="E347">
        <v>999</v>
      </c>
      <c r="F347">
        <v>0</v>
      </c>
      <c r="G347" s="1">
        <v>41760</v>
      </c>
      <c r="H347" s="1">
        <v>41760</v>
      </c>
      <c r="I347" s="1">
        <v>42461</v>
      </c>
      <c r="J347" s="5"/>
    </row>
    <row r="348" spans="1:17" x14ac:dyDescent="0.25">
      <c r="A348" t="s">
        <v>45</v>
      </c>
      <c r="B348">
        <v>0</v>
      </c>
      <c r="C348">
        <v>80</v>
      </c>
      <c r="D348">
        <v>720</v>
      </c>
      <c r="E348">
        <v>760</v>
      </c>
      <c r="F348">
        <v>0</v>
      </c>
      <c r="G348" s="1">
        <v>41760</v>
      </c>
      <c r="H348" s="1">
        <v>41760</v>
      </c>
      <c r="I348" s="1">
        <v>42461</v>
      </c>
      <c r="J348" s="5"/>
    </row>
    <row r="349" spans="1:17" x14ac:dyDescent="0.25">
      <c r="A349" t="s">
        <v>45</v>
      </c>
      <c r="B349">
        <v>0</v>
      </c>
      <c r="C349">
        <v>80</v>
      </c>
      <c r="D349">
        <v>680</v>
      </c>
      <c r="E349">
        <v>720</v>
      </c>
      <c r="F349">
        <v>0</v>
      </c>
      <c r="G349" s="1">
        <v>41760</v>
      </c>
      <c r="H349" s="1">
        <v>41760</v>
      </c>
      <c r="I349" s="1">
        <v>42461</v>
      </c>
      <c r="J349" s="5"/>
    </row>
    <row r="350" spans="1:17" x14ac:dyDescent="0.25">
      <c r="A350" t="s">
        <v>45</v>
      </c>
      <c r="B350">
        <v>0</v>
      </c>
      <c r="C350">
        <v>80</v>
      </c>
      <c r="D350">
        <v>620</v>
      </c>
      <c r="E350">
        <v>680</v>
      </c>
      <c r="F350">
        <v>0</v>
      </c>
      <c r="G350" s="1">
        <v>41760</v>
      </c>
      <c r="H350" s="1">
        <v>41760</v>
      </c>
      <c r="I350" s="1">
        <v>42461</v>
      </c>
      <c r="J350" s="5"/>
    </row>
    <row r="351" spans="1:17" x14ac:dyDescent="0.25">
      <c r="A351" t="s">
        <v>45</v>
      </c>
      <c r="B351">
        <v>0</v>
      </c>
      <c r="C351">
        <v>80</v>
      </c>
      <c r="D351">
        <v>300</v>
      </c>
      <c r="E351">
        <v>620</v>
      </c>
      <c r="G351" s="1">
        <v>41760</v>
      </c>
      <c r="H351" s="1">
        <v>41760</v>
      </c>
      <c r="I351" s="1">
        <v>42461</v>
      </c>
      <c r="J351" s="5"/>
    </row>
    <row r="352" spans="1:17" x14ac:dyDescent="0.25">
      <c r="A352" t="s">
        <v>44</v>
      </c>
      <c r="B352">
        <v>0</v>
      </c>
      <c r="C352">
        <v>80</v>
      </c>
      <c r="D352">
        <v>760</v>
      </c>
      <c r="E352">
        <v>999</v>
      </c>
      <c r="F352">
        <v>0</v>
      </c>
      <c r="G352" s="1">
        <v>41760</v>
      </c>
      <c r="H352" s="1">
        <v>41760</v>
      </c>
      <c r="I352" s="1">
        <v>42461</v>
      </c>
      <c r="J352" s="5"/>
    </row>
    <row r="353" spans="1:22" x14ac:dyDescent="0.25">
      <c r="A353" t="s">
        <v>44</v>
      </c>
      <c r="B353">
        <v>0</v>
      </c>
      <c r="C353">
        <v>80</v>
      </c>
      <c r="D353">
        <v>720</v>
      </c>
      <c r="E353">
        <v>760</v>
      </c>
      <c r="F353">
        <v>0</v>
      </c>
      <c r="G353" s="1">
        <v>41760</v>
      </c>
      <c r="H353" s="1">
        <v>41760</v>
      </c>
      <c r="I353" s="1">
        <v>42461</v>
      </c>
      <c r="J353" s="5"/>
    </row>
    <row r="354" spans="1:22" x14ac:dyDescent="0.25">
      <c r="A354" t="s">
        <v>44</v>
      </c>
      <c r="B354">
        <v>0</v>
      </c>
      <c r="C354">
        <v>80</v>
      </c>
      <c r="D354">
        <v>680</v>
      </c>
      <c r="E354">
        <v>720</v>
      </c>
      <c r="F354">
        <v>0</v>
      </c>
      <c r="G354" s="1">
        <v>41760</v>
      </c>
      <c r="H354" s="1">
        <v>41760</v>
      </c>
      <c r="I354" s="1">
        <v>42461</v>
      </c>
      <c r="J354" s="5"/>
    </row>
    <row r="355" spans="1:22" x14ac:dyDescent="0.25">
      <c r="A355" t="s">
        <v>44</v>
      </c>
      <c r="B355">
        <v>0</v>
      </c>
      <c r="C355">
        <v>80</v>
      </c>
      <c r="D355">
        <v>620</v>
      </c>
      <c r="E355">
        <v>680</v>
      </c>
      <c r="F355">
        <v>0</v>
      </c>
      <c r="G355" s="1">
        <v>41760</v>
      </c>
      <c r="H355" s="1">
        <v>41760</v>
      </c>
      <c r="I355" s="1">
        <v>42461</v>
      </c>
      <c r="J355" s="5"/>
    </row>
    <row r="356" spans="1:22" x14ac:dyDescent="0.25">
      <c r="A356" t="s">
        <v>44</v>
      </c>
      <c r="B356">
        <v>0</v>
      </c>
      <c r="C356">
        <v>80</v>
      </c>
      <c r="D356">
        <v>300</v>
      </c>
      <c r="E356">
        <v>620</v>
      </c>
      <c r="G356" s="1">
        <v>41760</v>
      </c>
      <c r="H356" s="1">
        <v>41760</v>
      </c>
      <c r="I356" s="1">
        <v>42461</v>
      </c>
      <c r="J356" s="5"/>
    </row>
    <row r="357" spans="1:22" x14ac:dyDescent="0.25">
      <c r="A357" t="s">
        <v>43</v>
      </c>
      <c r="B357">
        <v>0</v>
      </c>
      <c r="C357">
        <v>80</v>
      </c>
      <c r="D357">
        <v>760</v>
      </c>
      <c r="E357">
        <v>999</v>
      </c>
      <c r="F357">
        <v>0</v>
      </c>
      <c r="G357" s="1">
        <v>41760</v>
      </c>
      <c r="H357" s="1">
        <v>41760</v>
      </c>
      <c r="I357" s="1">
        <v>42461</v>
      </c>
      <c r="J357" s="5"/>
    </row>
    <row r="358" spans="1:22" x14ac:dyDescent="0.25">
      <c r="A358" t="s">
        <v>43</v>
      </c>
      <c r="B358">
        <v>0</v>
      </c>
      <c r="C358">
        <v>80</v>
      </c>
      <c r="D358">
        <v>720</v>
      </c>
      <c r="E358">
        <v>760</v>
      </c>
      <c r="F358">
        <v>0</v>
      </c>
      <c r="G358" s="1">
        <v>41760</v>
      </c>
      <c r="H358" s="1">
        <v>41760</v>
      </c>
      <c r="I358" s="1">
        <v>42461</v>
      </c>
      <c r="J358" s="5"/>
    </row>
    <row r="359" spans="1:22" x14ac:dyDescent="0.25">
      <c r="A359" t="s">
        <v>43</v>
      </c>
      <c r="B359">
        <v>0</v>
      </c>
      <c r="C359">
        <v>80</v>
      </c>
      <c r="D359">
        <v>680</v>
      </c>
      <c r="E359">
        <v>720</v>
      </c>
      <c r="F359">
        <v>0</v>
      </c>
      <c r="G359" s="1">
        <v>41760</v>
      </c>
      <c r="H359" s="1">
        <v>41760</v>
      </c>
      <c r="I359" s="1">
        <v>42461</v>
      </c>
      <c r="J359" s="5"/>
    </row>
    <row r="360" spans="1:22" x14ac:dyDescent="0.25">
      <c r="A360" t="s">
        <v>43</v>
      </c>
      <c r="B360">
        <v>0</v>
      </c>
      <c r="C360">
        <v>80</v>
      </c>
      <c r="D360">
        <v>620</v>
      </c>
      <c r="E360">
        <v>680</v>
      </c>
      <c r="F360">
        <v>0</v>
      </c>
      <c r="G360" s="1">
        <v>41760</v>
      </c>
      <c r="H360" s="1">
        <v>41760</v>
      </c>
      <c r="I360" s="1">
        <v>42461</v>
      </c>
      <c r="J360" s="5"/>
    </row>
    <row r="361" spans="1:22" x14ac:dyDescent="0.25">
      <c r="A361" t="s">
        <v>43</v>
      </c>
      <c r="B361">
        <v>0</v>
      </c>
      <c r="C361">
        <v>80</v>
      </c>
      <c r="D361">
        <v>300</v>
      </c>
      <c r="E361">
        <v>620</v>
      </c>
      <c r="G361" s="1">
        <v>41760</v>
      </c>
      <c r="H361" s="1">
        <v>41760</v>
      </c>
      <c r="I361" s="1">
        <v>42461</v>
      </c>
      <c r="J361" s="5"/>
    </row>
    <row r="362" spans="1:22" x14ac:dyDescent="0.25">
      <c r="A362" t="s">
        <v>46</v>
      </c>
      <c r="B362">
        <v>80</v>
      </c>
      <c r="C362">
        <v>999</v>
      </c>
      <c r="D362">
        <v>760</v>
      </c>
      <c r="E362">
        <v>999</v>
      </c>
      <c r="F362" s="9">
        <v>0</v>
      </c>
      <c r="G362" s="1">
        <v>42464</v>
      </c>
      <c r="H362" s="1">
        <v>42461</v>
      </c>
      <c r="I362" s="1">
        <v>43252</v>
      </c>
      <c r="L362" s="1">
        <v>42464</v>
      </c>
      <c r="N362" t="s">
        <v>12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s="4" t="s">
        <v>16</v>
      </c>
    </row>
    <row r="363" spans="1:22" x14ac:dyDescent="0.25">
      <c r="A363" t="s">
        <v>46</v>
      </c>
      <c r="B363">
        <v>80</v>
      </c>
      <c r="C363">
        <v>999</v>
      </c>
      <c r="D363">
        <v>740</v>
      </c>
      <c r="E363">
        <v>760</v>
      </c>
      <c r="F363" s="9">
        <v>0</v>
      </c>
      <c r="G363" s="1">
        <v>42464</v>
      </c>
      <c r="H363" s="1">
        <v>42461</v>
      </c>
      <c r="I363" s="1">
        <v>43252</v>
      </c>
      <c r="L363" t="s">
        <v>46</v>
      </c>
      <c r="M363" t="s">
        <v>38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3" t="s">
        <v>18</v>
      </c>
    </row>
    <row r="364" spans="1:22" x14ac:dyDescent="0.25">
      <c r="A364" t="s">
        <v>46</v>
      </c>
      <c r="B364">
        <v>80</v>
      </c>
      <c r="C364">
        <v>999</v>
      </c>
      <c r="D364">
        <v>720</v>
      </c>
      <c r="E364">
        <v>740</v>
      </c>
      <c r="F364" s="9">
        <v>0</v>
      </c>
      <c r="G364" s="1">
        <v>42464</v>
      </c>
      <c r="H364" s="1">
        <v>42461</v>
      </c>
      <c r="I364" s="1">
        <v>43252</v>
      </c>
      <c r="L364" t="s">
        <v>45</v>
      </c>
      <c r="M364" t="s">
        <v>38</v>
      </c>
      <c r="N364" s="9">
        <v>12</v>
      </c>
      <c r="O364" s="9">
        <v>13</v>
      </c>
      <c r="P364" s="9">
        <v>14</v>
      </c>
      <c r="Q364" s="9">
        <v>17</v>
      </c>
      <c r="R364" s="9">
        <v>20</v>
      </c>
      <c r="S364" s="9">
        <v>35</v>
      </c>
      <c r="T364" s="9">
        <v>40</v>
      </c>
      <c r="U364" s="9">
        <v>45</v>
      </c>
      <c r="V364" s="3" t="s">
        <v>18</v>
      </c>
    </row>
    <row r="365" spans="1:22" x14ac:dyDescent="0.25">
      <c r="A365" t="s">
        <v>46</v>
      </c>
      <c r="B365">
        <v>80</v>
      </c>
      <c r="C365">
        <v>999</v>
      </c>
      <c r="D365">
        <v>700</v>
      </c>
      <c r="E365">
        <v>720</v>
      </c>
      <c r="F365" s="9">
        <v>0</v>
      </c>
      <c r="G365" s="1">
        <v>42464</v>
      </c>
      <c r="H365" s="1">
        <v>42461</v>
      </c>
      <c r="I365" s="1">
        <v>43252</v>
      </c>
      <c r="L365" t="s">
        <v>44</v>
      </c>
      <c r="M365" t="s">
        <v>38</v>
      </c>
      <c r="N365" s="9">
        <v>34</v>
      </c>
      <c r="O365" s="9">
        <v>38</v>
      </c>
      <c r="P365" s="9">
        <v>38</v>
      </c>
      <c r="Q365" s="9">
        <v>47</v>
      </c>
      <c r="R365" s="9">
        <v>50</v>
      </c>
      <c r="S365" s="9">
        <v>56.999999999999993</v>
      </c>
      <c r="T365" s="9">
        <v>65</v>
      </c>
      <c r="U365" s="9">
        <v>75</v>
      </c>
      <c r="V365" s="3" t="s">
        <v>18</v>
      </c>
    </row>
    <row r="366" spans="1:22" x14ac:dyDescent="0.25">
      <c r="A366" t="s">
        <v>46</v>
      </c>
      <c r="B366">
        <v>80</v>
      </c>
      <c r="C366">
        <v>999</v>
      </c>
      <c r="D366">
        <v>680</v>
      </c>
      <c r="E366">
        <v>700</v>
      </c>
      <c r="F366" s="9">
        <v>0</v>
      </c>
      <c r="G366" s="1">
        <v>42464</v>
      </c>
      <c r="H366" s="1">
        <v>42461</v>
      </c>
      <c r="I366" s="1">
        <v>43252</v>
      </c>
      <c r="L366" t="s">
        <v>43</v>
      </c>
      <c r="M366" t="s">
        <v>38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3" t="s">
        <v>18</v>
      </c>
    </row>
    <row r="367" spans="1:22" x14ac:dyDescent="0.25">
      <c r="A367" t="s">
        <v>46</v>
      </c>
      <c r="B367">
        <v>80</v>
      </c>
      <c r="C367">
        <v>999</v>
      </c>
      <c r="D367">
        <v>660</v>
      </c>
      <c r="E367">
        <v>680</v>
      </c>
      <c r="F367" s="9">
        <v>0</v>
      </c>
      <c r="G367" s="1">
        <v>42464</v>
      </c>
      <c r="H367" s="1">
        <v>42461</v>
      </c>
      <c r="I367" s="1">
        <v>43252</v>
      </c>
      <c r="L367" t="s">
        <v>46</v>
      </c>
      <c r="M367" t="s">
        <v>39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3" t="s">
        <v>18</v>
      </c>
    </row>
    <row r="368" spans="1:22" x14ac:dyDescent="0.25">
      <c r="A368" t="s">
        <v>46</v>
      </c>
      <c r="B368">
        <v>80</v>
      </c>
      <c r="C368">
        <v>999</v>
      </c>
      <c r="D368">
        <v>640</v>
      </c>
      <c r="E368">
        <v>660</v>
      </c>
      <c r="F368" s="9">
        <v>0</v>
      </c>
      <c r="G368" s="1">
        <v>42464</v>
      </c>
      <c r="H368" s="1">
        <v>42461</v>
      </c>
      <c r="I368" s="1">
        <v>43252</v>
      </c>
      <c r="L368" t="s">
        <v>45</v>
      </c>
      <c r="M368" t="s">
        <v>39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3" t="s">
        <v>18</v>
      </c>
    </row>
    <row r="369" spans="1:22" x14ac:dyDescent="0.25">
      <c r="A369" t="s">
        <v>46</v>
      </c>
      <c r="B369">
        <v>80</v>
      </c>
      <c r="C369">
        <v>999</v>
      </c>
      <c r="D369">
        <v>620</v>
      </c>
      <c r="E369">
        <v>640</v>
      </c>
      <c r="F369" s="9">
        <v>0</v>
      </c>
      <c r="G369" s="1">
        <v>42464</v>
      </c>
      <c r="H369" s="1">
        <v>42461</v>
      </c>
      <c r="I369" s="1">
        <v>43252</v>
      </c>
      <c r="L369" t="s">
        <v>44</v>
      </c>
      <c r="M369" t="s">
        <v>39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3" t="s">
        <v>18</v>
      </c>
    </row>
    <row r="370" spans="1:22" x14ac:dyDescent="0.25">
      <c r="A370" t="s">
        <v>46</v>
      </c>
      <c r="B370">
        <v>80</v>
      </c>
      <c r="C370">
        <v>999</v>
      </c>
      <c r="D370">
        <v>300</v>
      </c>
      <c r="E370">
        <v>620</v>
      </c>
      <c r="F370" s="9"/>
      <c r="G370" s="1">
        <v>42464</v>
      </c>
      <c r="H370" s="1">
        <v>42461</v>
      </c>
      <c r="I370" s="1">
        <v>43252</v>
      </c>
      <c r="L370" t="s">
        <v>43</v>
      </c>
      <c r="M370" t="s">
        <v>39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3" t="s">
        <v>18</v>
      </c>
    </row>
    <row r="371" spans="1:22" x14ac:dyDescent="0.25">
      <c r="A371" t="s">
        <v>45</v>
      </c>
      <c r="B371">
        <v>80</v>
      </c>
      <c r="C371">
        <v>999</v>
      </c>
      <c r="D371">
        <v>760</v>
      </c>
      <c r="E371">
        <v>999</v>
      </c>
      <c r="F371" s="9">
        <v>12</v>
      </c>
      <c r="G371" s="1">
        <v>42464</v>
      </c>
      <c r="H371" s="1">
        <v>42461</v>
      </c>
      <c r="I371" s="1">
        <v>43252</v>
      </c>
    </row>
    <row r="372" spans="1:22" x14ac:dyDescent="0.25">
      <c r="A372" t="s">
        <v>45</v>
      </c>
      <c r="B372">
        <v>80</v>
      </c>
      <c r="C372">
        <v>999</v>
      </c>
      <c r="D372">
        <v>740</v>
      </c>
      <c r="E372">
        <v>760</v>
      </c>
      <c r="F372" s="9">
        <v>13</v>
      </c>
      <c r="G372" s="1">
        <v>42464</v>
      </c>
      <c r="H372" s="1">
        <v>42461</v>
      </c>
      <c r="I372" s="1">
        <v>43252</v>
      </c>
    </row>
    <row r="373" spans="1:22" x14ac:dyDescent="0.25">
      <c r="A373" t="s">
        <v>45</v>
      </c>
      <c r="B373">
        <v>80</v>
      </c>
      <c r="C373">
        <v>999</v>
      </c>
      <c r="D373">
        <v>720</v>
      </c>
      <c r="E373">
        <v>740</v>
      </c>
      <c r="F373" s="9">
        <v>14</v>
      </c>
      <c r="G373" s="1">
        <v>42464</v>
      </c>
      <c r="H373" s="1">
        <v>42461</v>
      </c>
      <c r="I373" s="1">
        <v>43252</v>
      </c>
    </row>
    <row r="374" spans="1:22" x14ac:dyDescent="0.25">
      <c r="A374" t="s">
        <v>45</v>
      </c>
      <c r="B374">
        <v>80</v>
      </c>
      <c r="C374">
        <v>999</v>
      </c>
      <c r="D374">
        <v>700</v>
      </c>
      <c r="E374">
        <v>720</v>
      </c>
      <c r="F374" s="9">
        <v>17</v>
      </c>
      <c r="G374" s="1">
        <v>42464</v>
      </c>
      <c r="H374" s="1">
        <v>42461</v>
      </c>
      <c r="I374" s="1">
        <v>43252</v>
      </c>
    </row>
    <row r="375" spans="1:22" x14ac:dyDescent="0.25">
      <c r="A375" t="s">
        <v>45</v>
      </c>
      <c r="B375">
        <v>80</v>
      </c>
      <c r="C375">
        <v>999</v>
      </c>
      <c r="D375">
        <v>680</v>
      </c>
      <c r="E375">
        <v>700</v>
      </c>
      <c r="F375" s="9">
        <v>20</v>
      </c>
      <c r="G375" s="1">
        <v>42464</v>
      </c>
      <c r="H375" s="1">
        <v>42461</v>
      </c>
      <c r="I375" s="1">
        <v>43252</v>
      </c>
    </row>
    <row r="376" spans="1:22" x14ac:dyDescent="0.25">
      <c r="A376" t="s">
        <v>45</v>
      </c>
      <c r="B376">
        <v>80</v>
      </c>
      <c r="C376">
        <v>999</v>
      </c>
      <c r="D376">
        <v>660</v>
      </c>
      <c r="E376">
        <v>680</v>
      </c>
      <c r="F376" s="9">
        <v>35</v>
      </c>
      <c r="G376" s="1">
        <v>42464</v>
      </c>
      <c r="H376" s="1">
        <v>42461</v>
      </c>
      <c r="I376" s="1">
        <v>43252</v>
      </c>
    </row>
    <row r="377" spans="1:22" x14ac:dyDescent="0.25">
      <c r="A377" t="s">
        <v>45</v>
      </c>
      <c r="B377">
        <v>80</v>
      </c>
      <c r="C377">
        <v>999</v>
      </c>
      <c r="D377">
        <v>640</v>
      </c>
      <c r="E377">
        <v>660</v>
      </c>
      <c r="F377" s="9">
        <v>40</v>
      </c>
      <c r="G377" s="1">
        <v>42464</v>
      </c>
      <c r="H377" s="1">
        <v>42461</v>
      </c>
      <c r="I377" s="1">
        <v>43252</v>
      </c>
    </row>
    <row r="378" spans="1:22" x14ac:dyDescent="0.25">
      <c r="A378" t="s">
        <v>45</v>
      </c>
      <c r="B378">
        <v>80</v>
      </c>
      <c r="C378">
        <v>999</v>
      </c>
      <c r="D378">
        <v>620</v>
      </c>
      <c r="E378">
        <v>640</v>
      </c>
      <c r="F378" s="9">
        <v>45</v>
      </c>
      <c r="G378" s="1">
        <v>42464</v>
      </c>
      <c r="H378" s="1">
        <v>42461</v>
      </c>
      <c r="I378" s="1">
        <v>43252</v>
      </c>
    </row>
    <row r="379" spans="1:22" x14ac:dyDescent="0.25">
      <c r="A379" t="s">
        <v>45</v>
      </c>
      <c r="B379">
        <v>80</v>
      </c>
      <c r="C379">
        <v>999</v>
      </c>
      <c r="D379">
        <v>300</v>
      </c>
      <c r="E379">
        <v>620</v>
      </c>
      <c r="F379" s="9"/>
      <c r="G379" s="1">
        <v>42464</v>
      </c>
      <c r="H379" s="1">
        <v>42461</v>
      </c>
      <c r="I379" s="1">
        <v>43252</v>
      </c>
    </row>
    <row r="380" spans="1:22" x14ac:dyDescent="0.25">
      <c r="A380" t="s">
        <v>44</v>
      </c>
      <c r="B380">
        <v>80</v>
      </c>
      <c r="C380">
        <v>999</v>
      </c>
      <c r="D380">
        <v>760</v>
      </c>
      <c r="E380">
        <v>999</v>
      </c>
      <c r="F380" s="9">
        <v>34</v>
      </c>
      <c r="G380" s="1">
        <v>42464</v>
      </c>
      <c r="H380" s="1">
        <v>42461</v>
      </c>
      <c r="I380" s="1">
        <v>43252</v>
      </c>
    </row>
    <row r="381" spans="1:22" x14ac:dyDescent="0.25">
      <c r="A381" t="s">
        <v>44</v>
      </c>
      <c r="B381">
        <v>80</v>
      </c>
      <c r="C381">
        <v>999</v>
      </c>
      <c r="D381">
        <v>740</v>
      </c>
      <c r="E381">
        <v>760</v>
      </c>
      <c r="F381" s="9">
        <v>38</v>
      </c>
      <c r="G381" s="1">
        <v>42464</v>
      </c>
      <c r="H381" s="1">
        <v>42461</v>
      </c>
      <c r="I381" s="1">
        <v>43252</v>
      </c>
    </row>
    <row r="382" spans="1:22" x14ac:dyDescent="0.25">
      <c r="A382" t="s">
        <v>44</v>
      </c>
      <c r="B382">
        <v>80</v>
      </c>
      <c r="C382">
        <v>999</v>
      </c>
      <c r="D382">
        <v>720</v>
      </c>
      <c r="E382">
        <v>740</v>
      </c>
      <c r="F382" s="9">
        <v>38</v>
      </c>
      <c r="G382" s="1">
        <v>42464</v>
      </c>
      <c r="H382" s="1">
        <v>42461</v>
      </c>
      <c r="I382" s="1">
        <v>43252</v>
      </c>
    </row>
    <row r="383" spans="1:22" x14ac:dyDescent="0.25">
      <c r="A383" t="s">
        <v>44</v>
      </c>
      <c r="B383">
        <v>80</v>
      </c>
      <c r="C383">
        <v>999</v>
      </c>
      <c r="D383">
        <v>700</v>
      </c>
      <c r="E383">
        <v>720</v>
      </c>
      <c r="F383" s="9">
        <v>47</v>
      </c>
      <c r="G383" s="1">
        <v>42464</v>
      </c>
      <c r="H383" s="1">
        <v>42461</v>
      </c>
      <c r="I383" s="1">
        <v>43252</v>
      </c>
    </row>
    <row r="384" spans="1:22" x14ac:dyDescent="0.25">
      <c r="A384" t="s">
        <v>44</v>
      </c>
      <c r="B384">
        <v>80</v>
      </c>
      <c r="C384">
        <v>999</v>
      </c>
      <c r="D384">
        <v>680</v>
      </c>
      <c r="E384">
        <v>700</v>
      </c>
      <c r="F384" s="9">
        <v>50</v>
      </c>
      <c r="G384" s="1">
        <v>42464</v>
      </c>
      <c r="H384" s="1">
        <v>42461</v>
      </c>
      <c r="I384" s="1">
        <v>43252</v>
      </c>
    </row>
    <row r="385" spans="1:9" x14ac:dyDescent="0.25">
      <c r="A385" t="s">
        <v>44</v>
      </c>
      <c r="B385">
        <v>80</v>
      </c>
      <c r="C385">
        <v>999</v>
      </c>
      <c r="D385">
        <v>660</v>
      </c>
      <c r="E385">
        <v>680</v>
      </c>
      <c r="F385" s="9">
        <v>56.999999999999993</v>
      </c>
      <c r="G385" s="1">
        <v>42464</v>
      </c>
      <c r="H385" s="1">
        <v>42461</v>
      </c>
      <c r="I385" s="1">
        <v>43252</v>
      </c>
    </row>
    <row r="386" spans="1:9" x14ac:dyDescent="0.25">
      <c r="A386" t="s">
        <v>44</v>
      </c>
      <c r="B386">
        <v>80</v>
      </c>
      <c r="C386">
        <v>999</v>
      </c>
      <c r="D386">
        <v>640</v>
      </c>
      <c r="E386">
        <v>660</v>
      </c>
      <c r="F386" s="9">
        <v>65</v>
      </c>
      <c r="G386" s="1">
        <v>42464</v>
      </c>
      <c r="H386" s="1">
        <v>42461</v>
      </c>
      <c r="I386" s="1">
        <v>43252</v>
      </c>
    </row>
    <row r="387" spans="1:9" x14ac:dyDescent="0.25">
      <c r="A387" t="s">
        <v>44</v>
      </c>
      <c r="B387">
        <v>80</v>
      </c>
      <c r="C387">
        <v>999</v>
      </c>
      <c r="D387">
        <v>620</v>
      </c>
      <c r="E387">
        <v>640</v>
      </c>
      <c r="F387" s="9">
        <v>75</v>
      </c>
      <c r="G387" s="1">
        <v>42464</v>
      </c>
      <c r="H387" s="1">
        <v>42461</v>
      </c>
      <c r="I387" s="1">
        <v>43252</v>
      </c>
    </row>
    <row r="388" spans="1:9" x14ac:dyDescent="0.25">
      <c r="A388" t="s">
        <v>44</v>
      </c>
      <c r="B388">
        <v>80</v>
      </c>
      <c r="C388">
        <v>999</v>
      </c>
      <c r="D388">
        <v>300</v>
      </c>
      <c r="E388">
        <v>620</v>
      </c>
      <c r="F388" s="9"/>
      <c r="G388" s="1">
        <v>42464</v>
      </c>
      <c r="H388" s="1">
        <v>42461</v>
      </c>
      <c r="I388" s="1">
        <v>43252</v>
      </c>
    </row>
    <row r="389" spans="1:9" x14ac:dyDescent="0.25">
      <c r="A389" t="s">
        <v>43</v>
      </c>
      <c r="B389">
        <v>80</v>
      </c>
      <c r="C389">
        <v>999</v>
      </c>
      <c r="D389">
        <v>760</v>
      </c>
      <c r="E389">
        <v>999</v>
      </c>
      <c r="F389" s="9">
        <v>0</v>
      </c>
      <c r="G389" s="1">
        <v>42464</v>
      </c>
      <c r="H389" s="1">
        <v>42461</v>
      </c>
      <c r="I389" s="1">
        <v>43252</v>
      </c>
    </row>
    <row r="390" spans="1:9" x14ac:dyDescent="0.25">
      <c r="A390" t="s">
        <v>43</v>
      </c>
      <c r="B390">
        <v>80</v>
      </c>
      <c r="C390">
        <v>999</v>
      </c>
      <c r="D390">
        <v>740</v>
      </c>
      <c r="E390">
        <v>760</v>
      </c>
      <c r="F390" s="9">
        <v>0</v>
      </c>
      <c r="G390" s="1">
        <v>42464</v>
      </c>
      <c r="H390" s="1">
        <v>42461</v>
      </c>
      <c r="I390" s="1">
        <v>43252</v>
      </c>
    </row>
    <row r="391" spans="1:9" x14ac:dyDescent="0.25">
      <c r="A391" t="s">
        <v>43</v>
      </c>
      <c r="B391">
        <v>80</v>
      </c>
      <c r="C391">
        <v>999</v>
      </c>
      <c r="D391">
        <v>720</v>
      </c>
      <c r="E391">
        <v>740</v>
      </c>
      <c r="F391" s="9">
        <v>0</v>
      </c>
      <c r="G391" s="1">
        <v>42464</v>
      </c>
      <c r="H391" s="1">
        <v>42461</v>
      </c>
      <c r="I391" s="1">
        <v>43252</v>
      </c>
    </row>
    <row r="392" spans="1:9" x14ac:dyDescent="0.25">
      <c r="A392" t="s">
        <v>43</v>
      </c>
      <c r="B392">
        <v>80</v>
      </c>
      <c r="C392">
        <v>999</v>
      </c>
      <c r="D392">
        <v>700</v>
      </c>
      <c r="E392">
        <v>720</v>
      </c>
      <c r="F392" s="9">
        <v>0</v>
      </c>
      <c r="G392" s="1">
        <v>42464</v>
      </c>
      <c r="H392" s="1">
        <v>42461</v>
      </c>
      <c r="I392" s="1">
        <v>43252</v>
      </c>
    </row>
    <row r="393" spans="1:9" x14ac:dyDescent="0.25">
      <c r="A393" t="s">
        <v>43</v>
      </c>
      <c r="B393">
        <v>80</v>
      </c>
      <c r="C393">
        <v>999</v>
      </c>
      <c r="D393">
        <v>680</v>
      </c>
      <c r="E393">
        <v>700</v>
      </c>
      <c r="F393" s="9">
        <v>0</v>
      </c>
      <c r="G393" s="1">
        <v>42464</v>
      </c>
      <c r="H393" s="1">
        <v>42461</v>
      </c>
      <c r="I393" s="1">
        <v>43252</v>
      </c>
    </row>
    <row r="394" spans="1:9" x14ac:dyDescent="0.25">
      <c r="A394" t="s">
        <v>43</v>
      </c>
      <c r="B394">
        <v>80</v>
      </c>
      <c r="C394">
        <v>999</v>
      </c>
      <c r="D394">
        <v>660</v>
      </c>
      <c r="E394">
        <v>680</v>
      </c>
      <c r="F394" s="9">
        <v>0</v>
      </c>
      <c r="G394" s="1">
        <v>42464</v>
      </c>
      <c r="H394" s="1">
        <v>42461</v>
      </c>
      <c r="I394" s="1">
        <v>43252</v>
      </c>
    </row>
    <row r="395" spans="1:9" x14ac:dyDescent="0.25">
      <c r="A395" t="s">
        <v>43</v>
      </c>
      <c r="B395">
        <v>80</v>
      </c>
      <c r="C395">
        <v>999</v>
      </c>
      <c r="D395">
        <v>640</v>
      </c>
      <c r="E395">
        <v>660</v>
      </c>
      <c r="F395" s="9">
        <v>0</v>
      </c>
      <c r="G395" s="1">
        <v>42464</v>
      </c>
      <c r="H395" s="1">
        <v>42461</v>
      </c>
      <c r="I395" s="1">
        <v>43252</v>
      </c>
    </row>
    <row r="396" spans="1:9" x14ac:dyDescent="0.25">
      <c r="A396" t="s">
        <v>43</v>
      </c>
      <c r="B396">
        <v>80</v>
      </c>
      <c r="C396">
        <v>999</v>
      </c>
      <c r="D396">
        <v>620</v>
      </c>
      <c r="E396">
        <v>640</v>
      </c>
      <c r="F396" s="9">
        <v>0</v>
      </c>
      <c r="G396" s="1">
        <v>42464</v>
      </c>
      <c r="H396" s="1">
        <v>42461</v>
      </c>
      <c r="I396" s="1">
        <v>43252</v>
      </c>
    </row>
    <row r="397" spans="1:9" x14ac:dyDescent="0.25">
      <c r="A397" t="s">
        <v>43</v>
      </c>
      <c r="B397">
        <v>80</v>
      </c>
      <c r="C397">
        <v>999</v>
      </c>
      <c r="D397">
        <v>300</v>
      </c>
      <c r="E397">
        <v>620</v>
      </c>
      <c r="F397" s="9"/>
      <c r="G397" s="1">
        <v>42464</v>
      </c>
      <c r="H397" s="1">
        <v>42461</v>
      </c>
      <c r="I397" s="1">
        <v>43252</v>
      </c>
    </row>
    <row r="398" spans="1:9" x14ac:dyDescent="0.25">
      <c r="A398" t="s">
        <v>46</v>
      </c>
      <c r="B398">
        <v>0</v>
      </c>
      <c r="C398">
        <v>80</v>
      </c>
      <c r="D398">
        <v>760</v>
      </c>
      <c r="E398">
        <v>999</v>
      </c>
      <c r="F398" s="9">
        <v>0</v>
      </c>
      <c r="G398" s="1">
        <v>42464</v>
      </c>
      <c r="H398" s="1">
        <v>42461</v>
      </c>
      <c r="I398" s="1">
        <v>43252</v>
      </c>
    </row>
    <row r="399" spans="1:9" x14ac:dyDescent="0.25">
      <c r="A399" t="s">
        <v>46</v>
      </c>
      <c r="B399">
        <v>0</v>
      </c>
      <c r="C399">
        <v>80</v>
      </c>
      <c r="D399">
        <v>740</v>
      </c>
      <c r="E399">
        <v>760</v>
      </c>
      <c r="F399" s="9">
        <v>0</v>
      </c>
      <c r="G399" s="1">
        <v>42464</v>
      </c>
      <c r="H399" s="1">
        <v>42461</v>
      </c>
      <c r="I399" s="1">
        <v>43252</v>
      </c>
    </row>
    <row r="400" spans="1:9" x14ac:dyDescent="0.25">
      <c r="A400" t="s">
        <v>46</v>
      </c>
      <c r="B400">
        <v>0</v>
      </c>
      <c r="C400">
        <v>80</v>
      </c>
      <c r="D400">
        <v>720</v>
      </c>
      <c r="E400">
        <v>740</v>
      </c>
      <c r="F400" s="9">
        <v>0</v>
      </c>
      <c r="G400" s="1">
        <v>42464</v>
      </c>
      <c r="H400" s="1">
        <v>42461</v>
      </c>
      <c r="I400" s="1">
        <v>43252</v>
      </c>
    </row>
    <row r="401" spans="1:9" x14ac:dyDescent="0.25">
      <c r="A401" t="s">
        <v>46</v>
      </c>
      <c r="B401">
        <v>0</v>
      </c>
      <c r="C401">
        <v>80</v>
      </c>
      <c r="D401">
        <v>700</v>
      </c>
      <c r="E401">
        <v>720</v>
      </c>
      <c r="F401" s="9">
        <v>0</v>
      </c>
      <c r="G401" s="1">
        <v>42464</v>
      </c>
      <c r="H401" s="1">
        <v>42461</v>
      </c>
      <c r="I401" s="1">
        <v>43252</v>
      </c>
    </row>
    <row r="402" spans="1:9" x14ac:dyDescent="0.25">
      <c r="A402" t="s">
        <v>46</v>
      </c>
      <c r="B402">
        <v>0</v>
      </c>
      <c r="C402">
        <v>80</v>
      </c>
      <c r="D402">
        <v>680</v>
      </c>
      <c r="E402">
        <v>700</v>
      </c>
      <c r="F402" s="9">
        <v>0</v>
      </c>
      <c r="G402" s="1">
        <v>42464</v>
      </c>
      <c r="H402" s="1">
        <v>42461</v>
      </c>
      <c r="I402" s="1">
        <v>43252</v>
      </c>
    </row>
    <row r="403" spans="1:9" x14ac:dyDescent="0.25">
      <c r="A403" t="s">
        <v>46</v>
      </c>
      <c r="B403">
        <v>0</v>
      </c>
      <c r="C403">
        <v>80</v>
      </c>
      <c r="D403">
        <v>660</v>
      </c>
      <c r="E403">
        <v>680</v>
      </c>
      <c r="F403" s="9">
        <v>0</v>
      </c>
      <c r="G403" s="1">
        <v>42464</v>
      </c>
      <c r="H403" s="1">
        <v>42461</v>
      </c>
      <c r="I403" s="1">
        <v>43252</v>
      </c>
    </row>
    <row r="404" spans="1:9" x14ac:dyDescent="0.25">
      <c r="A404" t="s">
        <v>46</v>
      </c>
      <c r="B404">
        <v>0</v>
      </c>
      <c r="C404">
        <v>80</v>
      </c>
      <c r="D404">
        <v>640</v>
      </c>
      <c r="E404">
        <v>660</v>
      </c>
      <c r="F404" s="9">
        <v>0</v>
      </c>
      <c r="G404" s="1">
        <v>42464</v>
      </c>
      <c r="H404" s="1">
        <v>42461</v>
      </c>
      <c r="I404" s="1">
        <v>43252</v>
      </c>
    </row>
    <row r="405" spans="1:9" x14ac:dyDescent="0.25">
      <c r="A405" t="s">
        <v>46</v>
      </c>
      <c r="B405">
        <v>0</v>
      </c>
      <c r="C405">
        <v>80</v>
      </c>
      <c r="D405">
        <v>620</v>
      </c>
      <c r="E405">
        <v>640</v>
      </c>
      <c r="F405" s="9">
        <v>0</v>
      </c>
      <c r="G405" s="1">
        <v>42464</v>
      </c>
      <c r="H405" s="1">
        <v>42461</v>
      </c>
      <c r="I405" s="1">
        <v>43252</v>
      </c>
    </row>
    <row r="406" spans="1:9" x14ac:dyDescent="0.25">
      <c r="A406" t="s">
        <v>46</v>
      </c>
      <c r="B406">
        <v>0</v>
      </c>
      <c r="C406">
        <v>80</v>
      </c>
      <c r="D406">
        <v>300</v>
      </c>
      <c r="E406">
        <v>620</v>
      </c>
      <c r="F406" s="9"/>
      <c r="G406" s="1">
        <v>42464</v>
      </c>
      <c r="H406" s="1">
        <v>42461</v>
      </c>
      <c r="I406" s="1">
        <v>43252</v>
      </c>
    </row>
    <row r="407" spans="1:9" x14ac:dyDescent="0.25">
      <c r="A407" t="s">
        <v>45</v>
      </c>
      <c r="B407">
        <v>0</v>
      </c>
      <c r="C407">
        <v>80</v>
      </c>
      <c r="D407">
        <v>760</v>
      </c>
      <c r="E407">
        <v>999</v>
      </c>
      <c r="F407" s="9">
        <v>0</v>
      </c>
      <c r="G407" s="1">
        <v>42464</v>
      </c>
      <c r="H407" s="1">
        <v>42461</v>
      </c>
      <c r="I407" s="1">
        <v>43252</v>
      </c>
    </row>
    <row r="408" spans="1:9" x14ac:dyDescent="0.25">
      <c r="A408" t="s">
        <v>45</v>
      </c>
      <c r="B408">
        <v>0</v>
      </c>
      <c r="C408">
        <v>80</v>
      </c>
      <c r="D408">
        <v>740</v>
      </c>
      <c r="E408">
        <v>760</v>
      </c>
      <c r="F408" s="9">
        <v>0</v>
      </c>
      <c r="G408" s="1">
        <v>42464</v>
      </c>
      <c r="H408" s="1">
        <v>42461</v>
      </c>
      <c r="I408" s="1">
        <v>43252</v>
      </c>
    </row>
    <row r="409" spans="1:9" x14ac:dyDescent="0.25">
      <c r="A409" t="s">
        <v>45</v>
      </c>
      <c r="B409">
        <v>0</v>
      </c>
      <c r="C409">
        <v>80</v>
      </c>
      <c r="D409">
        <v>720</v>
      </c>
      <c r="E409">
        <v>740</v>
      </c>
      <c r="F409" s="9">
        <v>0</v>
      </c>
      <c r="G409" s="1">
        <v>42464</v>
      </c>
      <c r="H409" s="1">
        <v>42461</v>
      </c>
      <c r="I409" s="1">
        <v>43252</v>
      </c>
    </row>
    <row r="410" spans="1:9" x14ac:dyDescent="0.25">
      <c r="A410" t="s">
        <v>45</v>
      </c>
      <c r="B410">
        <v>0</v>
      </c>
      <c r="C410">
        <v>80</v>
      </c>
      <c r="D410">
        <v>700</v>
      </c>
      <c r="E410">
        <v>720</v>
      </c>
      <c r="F410" s="9">
        <v>0</v>
      </c>
      <c r="G410" s="1">
        <v>42464</v>
      </c>
      <c r="H410" s="1">
        <v>42461</v>
      </c>
      <c r="I410" s="1">
        <v>43252</v>
      </c>
    </row>
    <row r="411" spans="1:9" x14ac:dyDescent="0.25">
      <c r="A411" t="s">
        <v>45</v>
      </c>
      <c r="B411">
        <v>0</v>
      </c>
      <c r="C411">
        <v>80</v>
      </c>
      <c r="D411">
        <v>680</v>
      </c>
      <c r="E411">
        <v>700</v>
      </c>
      <c r="F411" s="9">
        <v>0</v>
      </c>
      <c r="G411" s="1">
        <v>42464</v>
      </c>
      <c r="H411" s="1">
        <v>42461</v>
      </c>
      <c r="I411" s="1">
        <v>43252</v>
      </c>
    </row>
    <row r="412" spans="1:9" x14ac:dyDescent="0.25">
      <c r="A412" t="s">
        <v>45</v>
      </c>
      <c r="B412">
        <v>0</v>
      </c>
      <c r="C412">
        <v>80</v>
      </c>
      <c r="D412">
        <v>660</v>
      </c>
      <c r="E412">
        <v>680</v>
      </c>
      <c r="F412" s="9">
        <v>0</v>
      </c>
      <c r="G412" s="1">
        <v>42464</v>
      </c>
      <c r="H412" s="1">
        <v>42461</v>
      </c>
      <c r="I412" s="1">
        <v>43252</v>
      </c>
    </row>
    <row r="413" spans="1:9" x14ac:dyDescent="0.25">
      <c r="A413" t="s">
        <v>45</v>
      </c>
      <c r="B413">
        <v>0</v>
      </c>
      <c r="C413">
        <v>80</v>
      </c>
      <c r="D413">
        <v>640</v>
      </c>
      <c r="E413">
        <v>660</v>
      </c>
      <c r="F413" s="9">
        <v>0</v>
      </c>
      <c r="G413" s="1">
        <v>42464</v>
      </c>
      <c r="H413" s="1">
        <v>42461</v>
      </c>
      <c r="I413" s="1">
        <v>43252</v>
      </c>
    </row>
    <row r="414" spans="1:9" x14ac:dyDescent="0.25">
      <c r="A414" t="s">
        <v>45</v>
      </c>
      <c r="B414">
        <v>0</v>
      </c>
      <c r="C414">
        <v>80</v>
      </c>
      <c r="D414">
        <v>620</v>
      </c>
      <c r="E414">
        <v>640</v>
      </c>
      <c r="F414" s="9">
        <v>0</v>
      </c>
      <c r="G414" s="1">
        <v>42464</v>
      </c>
      <c r="H414" s="1">
        <v>42461</v>
      </c>
      <c r="I414" s="1">
        <v>43252</v>
      </c>
    </row>
    <row r="415" spans="1:9" x14ac:dyDescent="0.25">
      <c r="A415" t="s">
        <v>45</v>
      </c>
      <c r="B415">
        <v>0</v>
      </c>
      <c r="C415">
        <v>80</v>
      </c>
      <c r="D415">
        <v>300</v>
      </c>
      <c r="E415">
        <v>620</v>
      </c>
      <c r="F415" s="9"/>
      <c r="G415" s="1">
        <v>42464</v>
      </c>
      <c r="H415" s="1">
        <v>42461</v>
      </c>
      <c r="I415" s="1">
        <v>43252</v>
      </c>
    </row>
    <row r="416" spans="1:9" x14ac:dyDescent="0.25">
      <c r="A416" t="s">
        <v>44</v>
      </c>
      <c r="B416">
        <v>0</v>
      </c>
      <c r="C416">
        <v>80</v>
      </c>
      <c r="D416">
        <v>760</v>
      </c>
      <c r="E416">
        <v>999</v>
      </c>
      <c r="F416" s="9">
        <v>0</v>
      </c>
      <c r="G416" s="1">
        <v>42464</v>
      </c>
      <c r="H416" s="1">
        <v>42461</v>
      </c>
      <c r="I416" s="1">
        <v>43252</v>
      </c>
    </row>
    <row r="417" spans="1:9" x14ac:dyDescent="0.25">
      <c r="A417" t="s">
        <v>44</v>
      </c>
      <c r="B417">
        <v>0</v>
      </c>
      <c r="C417">
        <v>80</v>
      </c>
      <c r="D417">
        <v>740</v>
      </c>
      <c r="E417">
        <v>760</v>
      </c>
      <c r="F417" s="9">
        <v>0</v>
      </c>
      <c r="G417" s="1">
        <v>42464</v>
      </c>
      <c r="H417" s="1">
        <v>42461</v>
      </c>
      <c r="I417" s="1">
        <v>43252</v>
      </c>
    </row>
    <row r="418" spans="1:9" x14ac:dyDescent="0.25">
      <c r="A418" t="s">
        <v>44</v>
      </c>
      <c r="B418">
        <v>0</v>
      </c>
      <c r="C418">
        <v>80</v>
      </c>
      <c r="D418">
        <v>720</v>
      </c>
      <c r="E418">
        <v>740</v>
      </c>
      <c r="F418" s="9">
        <v>0</v>
      </c>
      <c r="G418" s="1">
        <v>42464</v>
      </c>
      <c r="H418" s="1">
        <v>42461</v>
      </c>
      <c r="I418" s="1">
        <v>43252</v>
      </c>
    </row>
    <row r="419" spans="1:9" x14ac:dyDescent="0.25">
      <c r="A419" t="s">
        <v>44</v>
      </c>
      <c r="B419">
        <v>0</v>
      </c>
      <c r="C419">
        <v>80</v>
      </c>
      <c r="D419">
        <v>700</v>
      </c>
      <c r="E419">
        <v>720</v>
      </c>
      <c r="F419" s="9">
        <v>0</v>
      </c>
      <c r="G419" s="1">
        <v>42464</v>
      </c>
      <c r="H419" s="1">
        <v>42461</v>
      </c>
      <c r="I419" s="1">
        <v>43252</v>
      </c>
    </row>
    <row r="420" spans="1:9" x14ac:dyDescent="0.25">
      <c r="A420" t="s">
        <v>44</v>
      </c>
      <c r="B420">
        <v>0</v>
      </c>
      <c r="C420">
        <v>80</v>
      </c>
      <c r="D420">
        <v>680</v>
      </c>
      <c r="E420">
        <v>700</v>
      </c>
      <c r="F420" s="9">
        <v>0</v>
      </c>
      <c r="G420" s="1">
        <v>42464</v>
      </c>
      <c r="H420" s="1">
        <v>42461</v>
      </c>
      <c r="I420" s="1">
        <v>43252</v>
      </c>
    </row>
    <row r="421" spans="1:9" x14ac:dyDescent="0.25">
      <c r="A421" t="s">
        <v>44</v>
      </c>
      <c r="B421">
        <v>0</v>
      </c>
      <c r="C421">
        <v>80</v>
      </c>
      <c r="D421">
        <v>660</v>
      </c>
      <c r="E421">
        <v>680</v>
      </c>
      <c r="F421" s="9">
        <v>0</v>
      </c>
      <c r="G421" s="1">
        <v>42464</v>
      </c>
      <c r="H421" s="1">
        <v>42461</v>
      </c>
      <c r="I421" s="1">
        <v>43252</v>
      </c>
    </row>
    <row r="422" spans="1:9" x14ac:dyDescent="0.25">
      <c r="A422" t="s">
        <v>44</v>
      </c>
      <c r="B422">
        <v>0</v>
      </c>
      <c r="C422">
        <v>80</v>
      </c>
      <c r="D422">
        <v>640</v>
      </c>
      <c r="E422">
        <v>660</v>
      </c>
      <c r="F422" s="9">
        <v>0</v>
      </c>
      <c r="G422" s="1">
        <v>42464</v>
      </c>
      <c r="H422" s="1">
        <v>42461</v>
      </c>
      <c r="I422" s="1">
        <v>43252</v>
      </c>
    </row>
    <row r="423" spans="1:9" x14ac:dyDescent="0.25">
      <c r="A423" t="s">
        <v>44</v>
      </c>
      <c r="B423">
        <v>0</v>
      </c>
      <c r="C423">
        <v>80</v>
      </c>
      <c r="D423">
        <v>620</v>
      </c>
      <c r="E423">
        <v>640</v>
      </c>
      <c r="F423" s="9">
        <v>0</v>
      </c>
      <c r="G423" s="1">
        <v>42464</v>
      </c>
      <c r="H423" s="1">
        <v>42461</v>
      </c>
      <c r="I423" s="1">
        <v>43252</v>
      </c>
    </row>
    <row r="424" spans="1:9" x14ac:dyDescent="0.25">
      <c r="A424" t="s">
        <v>44</v>
      </c>
      <c r="B424">
        <v>0</v>
      </c>
      <c r="C424">
        <v>80</v>
      </c>
      <c r="D424">
        <v>300</v>
      </c>
      <c r="E424">
        <v>620</v>
      </c>
      <c r="F424" s="9"/>
      <c r="G424" s="1">
        <v>42464</v>
      </c>
      <c r="H424" s="1">
        <v>42461</v>
      </c>
      <c r="I424" s="1">
        <v>43252</v>
      </c>
    </row>
    <row r="425" spans="1:9" x14ac:dyDescent="0.25">
      <c r="A425" t="s">
        <v>43</v>
      </c>
      <c r="B425">
        <v>0</v>
      </c>
      <c r="C425">
        <v>80</v>
      </c>
      <c r="D425">
        <v>760</v>
      </c>
      <c r="E425">
        <v>999</v>
      </c>
      <c r="F425" s="9">
        <v>0</v>
      </c>
      <c r="G425" s="1">
        <v>42464</v>
      </c>
      <c r="H425" s="1">
        <v>42461</v>
      </c>
      <c r="I425" s="1">
        <v>43252</v>
      </c>
    </row>
    <row r="426" spans="1:9" x14ac:dyDescent="0.25">
      <c r="A426" t="s">
        <v>43</v>
      </c>
      <c r="B426">
        <v>0</v>
      </c>
      <c r="C426">
        <v>80</v>
      </c>
      <c r="D426">
        <v>740</v>
      </c>
      <c r="E426">
        <v>760</v>
      </c>
      <c r="F426" s="9">
        <v>0</v>
      </c>
      <c r="G426" s="1">
        <v>42464</v>
      </c>
      <c r="H426" s="1">
        <v>42461</v>
      </c>
      <c r="I426" s="1">
        <v>43252</v>
      </c>
    </row>
    <row r="427" spans="1:9" x14ac:dyDescent="0.25">
      <c r="A427" t="s">
        <v>43</v>
      </c>
      <c r="B427">
        <v>0</v>
      </c>
      <c r="C427">
        <v>80</v>
      </c>
      <c r="D427">
        <v>720</v>
      </c>
      <c r="E427">
        <v>740</v>
      </c>
      <c r="F427" s="9">
        <v>0</v>
      </c>
      <c r="G427" s="1">
        <v>42464</v>
      </c>
      <c r="H427" s="1">
        <v>42461</v>
      </c>
      <c r="I427" s="1">
        <v>43252</v>
      </c>
    </row>
    <row r="428" spans="1:9" x14ac:dyDescent="0.25">
      <c r="A428" t="s">
        <v>43</v>
      </c>
      <c r="B428">
        <v>0</v>
      </c>
      <c r="C428">
        <v>80</v>
      </c>
      <c r="D428">
        <v>700</v>
      </c>
      <c r="E428">
        <v>720</v>
      </c>
      <c r="F428" s="9">
        <v>0</v>
      </c>
      <c r="G428" s="1">
        <v>42464</v>
      </c>
      <c r="H428" s="1">
        <v>42461</v>
      </c>
      <c r="I428" s="1">
        <v>43252</v>
      </c>
    </row>
    <row r="429" spans="1:9" x14ac:dyDescent="0.25">
      <c r="A429" t="s">
        <v>43</v>
      </c>
      <c r="B429">
        <v>0</v>
      </c>
      <c r="C429">
        <v>80</v>
      </c>
      <c r="D429">
        <v>680</v>
      </c>
      <c r="E429">
        <v>700</v>
      </c>
      <c r="F429" s="9">
        <v>0</v>
      </c>
      <c r="G429" s="1">
        <v>42464</v>
      </c>
      <c r="H429" s="1">
        <v>42461</v>
      </c>
      <c r="I429" s="1">
        <v>43252</v>
      </c>
    </row>
    <row r="430" spans="1:9" x14ac:dyDescent="0.25">
      <c r="A430" t="s">
        <v>43</v>
      </c>
      <c r="B430">
        <v>0</v>
      </c>
      <c r="C430">
        <v>80</v>
      </c>
      <c r="D430">
        <v>660</v>
      </c>
      <c r="E430">
        <v>680</v>
      </c>
      <c r="F430" s="9">
        <v>0</v>
      </c>
      <c r="G430" s="1">
        <v>42464</v>
      </c>
      <c r="H430" s="1">
        <v>42461</v>
      </c>
      <c r="I430" s="1">
        <v>43252</v>
      </c>
    </row>
    <row r="431" spans="1:9" x14ac:dyDescent="0.25">
      <c r="A431" t="s">
        <v>43</v>
      </c>
      <c r="B431">
        <v>0</v>
      </c>
      <c r="C431">
        <v>80</v>
      </c>
      <c r="D431">
        <v>640</v>
      </c>
      <c r="E431">
        <v>660</v>
      </c>
      <c r="F431" s="9">
        <v>0</v>
      </c>
      <c r="G431" s="1">
        <v>42464</v>
      </c>
      <c r="H431" s="1">
        <v>42461</v>
      </c>
      <c r="I431" s="1">
        <v>43252</v>
      </c>
    </row>
    <row r="432" spans="1:9" x14ac:dyDescent="0.25">
      <c r="A432" t="s">
        <v>43</v>
      </c>
      <c r="B432">
        <v>0</v>
      </c>
      <c r="C432">
        <v>80</v>
      </c>
      <c r="D432">
        <v>620</v>
      </c>
      <c r="E432">
        <v>640</v>
      </c>
      <c r="F432" s="9">
        <v>0</v>
      </c>
      <c r="G432" s="1">
        <v>42464</v>
      </c>
      <c r="H432" s="1">
        <v>42461</v>
      </c>
      <c r="I432" s="1">
        <v>43252</v>
      </c>
    </row>
    <row r="433" spans="1:22" x14ac:dyDescent="0.25">
      <c r="A433" t="s">
        <v>43</v>
      </c>
      <c r="B433">
        <v>0</v>
      </c>
      <c r="C433">
        <v>80</v>
      </c>
      <c r="D433">
        <v>300</v>
      </c>
      <c r="E433">
        <v>620</v>
      </c>
      <c r="F433" s="9"/>
      <c r="G433" s="1">
        <v>42464</v>
      </c>
      <c r="H433" s="1">
        <v>42461</v>
      </c>
      <c r="I433" s="1">
        <v>43252</v>
      </c>
    </row>
    <row r="434" spans="1:22" x14ac:dyDescent="0.25">
      <c r="A434" t="s">
        <v>46</v>
      </c>
      <c r="B434">
        <v>80</v>
      </c>
      <c r="C434">
        <v>999</v>
      </c>
      <c r="D434">
        <v>760</v>
      </c>
      <c r="E434">
        <v>999</v>
      </c>
      <c r="F434" s="9">
        <v>0</v>
      </c>
      <c r="G434" s="1">
        <v>43255</v>
      </c>
      <c r="H434" s="1">
        <v>43252</v>
      </c>
      <c r="I434" s="1">
        <v>73051</v>
      </c>
      <c r="K434" t="s">
        <v>70</v>
      </c>
      <c r="L434" s="1">
        <v>43255</v>
      </c>
      <c r="N434" t="s">
        <v>12</v>
      </c>
      <c r="O434" t="s">
        <v>59</v>
      </c>
      <c r="P434" t="s">
        <v>60</v>
      </c>
      <c r="Q434" t="s">
        <v>61</v>
      </c>
      <c r="R434" t="s">
        <v>62</v>
      </c>
      <c r="S434" t="s">
        <v>63</v>
      </c>
      <c r="T434" t="s">
        <v>64</v>
      </c>
      <c r="U434" t="s">
        <v>65</v>
      </c>
      <c r="V434" s="4" t="s">
        <v>16</v>
      </c>
    </row>
    <row r="435" spans="1:22" x14ac:dyDescent="0.25">
      <c r="A435" t="s">
        <v>46</v>
      </c>
      <c r="B435">
        <v>80</v>
      </c>
      <c r="C435">
        <v>999</v>
      </c>
      <c r="D435">
        <v>740</v>
      </c>
      <c r="E435">
        <v>760</v>
      </c>
      <c r="F435" s="9">
        <v>0</v>
      </c>
      <c r="G435" s="1">
        <v>43255</v>
      </c>
      <c r="H435" s="1">
        <v>43252</v>
      </c>
      <c r="I435" s="1">
        <v>73051</v>
      </c>
      <c r="L435" t="s">
        <v>46</v>
      </c>
      <c r="M435" t="s">
        <v>38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3" t="s">
        <v>18</v>
      </c>
    </row>
    <row r="436" spans="1:22" x14ac:dyDescent="0.25">
      <c r="A436" t="s">
        <v>46</v>
      </c>
      <c r="B436">
        <v>80</v>
      </c>
      <c r="C436">
        <v>999</v>
      </c>
      <c r="D436">
        <v>720</v>
      </c>
      <c r="E436">
        <v>740</v>
      </c>
      <c r="F436" s="9">
        <v>0</v>
      </c>
      <c r="G436" s="1">
        <v>43255</v>
      </c>
      <c r="H436" s="1">
        <v>43252</v>
      </c>
      <c r="I436" s="1">
        <v>73051</v>
      </c>
      <c r="L436" t="s">
        <v>45</v>
      </c>
      <c r="M436" t="s">
        <v>38</v>
      </c>
      <c r="N436" s="9">
        <v>12</v>
      </c>
      <c r="O436" s="9">
        <v>13</v>
      </c>
      <c r="P436" s="9">
        <v>14</v>
      </c>
      <c r="Q436" s="9">
        <v>17</v>
      </c>
      <c r="R436" s="9">
        <v>20</v>
      </c>
      <c r="S436" s="9">
        <v>35</v>
      </c>
      <c r="T436" s="9">
        <v>40</v>
      </c>
      <c r="U436" s="9">
        <v>45</v>
      </c>
      <c r="V436" s="3" t="s">
        <v>18</v>
      </c>
    </row>
    <row r="437" spans="1:22" x14ac:dyDescent="0.25">
      <c r="A437" t="s">
        <v>46</v>
      </c>
      <c r="B437">
        <v>80</v>
      </c>
      <c r="C437">
        <v>999</v>
      </c>
      <c r="D437">
        <v>700</v>
      </c>
      <c r="E437">
        <v>720</v>
      </c>
      <c r="F437" s="9">
        <v>0</v>
      </c>
      <c r="G437" s="1">
        <v>43255</v>
      </c>
      <c r="H437" s="1">
        <v>43252</v>
      </c>
      <c r="I437" s="1">
        <v>73051</v>
      </c>
      <c r="L437" t="s">
        <v>44</v>
      </c>
      <c r="M437" t="s">
        <v>38</v>
      </c>
      <c r="N437" s="9">
        <v>34</v>
      </c>
      <c r="O437" s="9">
        <v>38</v>
      </c>
      <c r="P437" s="9">
        <v>38</v>
      </c>
      <c r="Q437" s="9">
        <v>47</v>
      </c>
      <c r="R437" s="9">
        <v>50</v>
      </c>
      <c r="S437" s="9">
        <v>56.999999999999993</v>
      </c>
      <c r="T437" s="9">
        <v>65</v>
      </c>
      <c r="U437" s="9">
        <v>75</v>
      </c>
      <c r="V437" s="3" t="s">
        <v>18</v>
      </c>
    </row>
    <row r="438" spans="1:22" x14ac:dyDescent="0.25">
      <c r="A438" t="s">
        <v>46</v>
      </c>
      <c r="B438">
        <v>80</v>
      </c>
      <c r="C438">
        <v>999</v>
      </c>
      <c r="D438">
        <v>680</v>
      </c>
      <c r="E438">
        <v>700</v>
      </c>
      <c r="F438" s="9">
        <v>0</v>
      </c>
      <c r="G438" s="1">
        <v>43255</v>
      </c>
      <c r="H438" s="1">
        <v>43252</v>
      </c>
      <c r="I438" s="1">
        <v>73051</v>
      </c>
      <c r="L438" t="s">
        <v>43</v>
      </c>
      <c r="M438" t="s">
        <v>38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3" t="s">
        <v>18</v>
      </c>
    </row>
    <row r="439" spans="1:22" x14ac:dyDescent="0.25">
      <c r="A439" t="s">
        <v>46</v>
      </c>
      <c r="B439">
        <v>80</v>
      </c>
      <c r="C439">
        <v>999</v>
      </c>
      <c r="D439">
        <v>660</v>
      </c>
      <c r="E439">
        <v>680</v>
      </c>
      <c r="F439" s="9">
        <v>0</v>
      </c>
      <c r="G439" s="1">
        <v>43255</v>
      </c>
      <c r="H439" s="1">
        <v>43252</v>
      </c>
      <c r="I439" s="1">
        <v>73051</v>
      </c>
      <c r="L439" t="s">
        <v>46</v>
      </c>
      <c r="M439" t="s">
        <v>39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3" t="s">
        <v>18</v>
      </c>
    </row>
    <row r="440" spans="1:22" x14ac:dyDescent="0.25">
      <c r="A440" t="s">
        <v>46</v>
      </c>
      <c r="B440">
        <v>80</v>
      </c>
      <c r="C440">
        <v>999</v>
      </c>
      <c r="D440">
        <v>640</v>
      </c>
      <c r="E440">
        <v>660</v>
      </c>
      <c r="F440" s="9">
        <v>0</v>
      </c>
      <c r="G440" s="1">
        <v>43255</v>
      </c>
      <c r="H440" s="1">
        <v>43252</v>
      </c>
      <c r="I440" s="1">
        <v>73051</v>
      </c>
      <c r="L440" t="s">
        <v>45</v>
      </c>
      <c r="M440" t="s">
        <v>39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3" t="s">
        <v>18</v>
      </c>
    </row>
    <row r="441" spans="1:22" x14ac:dyDescent="0.25">
      <c r="A441" t="s">
        <v>46</v>
      </c>
      <c r="B441">
        <v>80</v>
      </c>
      <c r="C441">
        <v>999</v>
      </c>
      <c r="D441">
        <v>620</v>
      </c>
      <c r="E441">
        <v>640</v>
      </c>
      <c r="F441" s="9">
        <v>0</v>
      </c>
      <c r="G441" s="1">
        <v>43255</v>
      </c>
      <c r="H441" s="1">
        <v>43252</v>
      </c>
      <c r="I441" s="1">
        <v>73051</v>
      </c>
      <c r="L441" t="s">
        <v>44</v>
      </c>
      <c r="M441" t="s">
        <v>39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3" t="s">
        <v>18</v>
      </c>
    </row>
    <row r="442" spans="1:22" x14ac:dyDescent="0.25">
      <c r="A442" t="s">
        <v>46</v>
      </c>
      <c r="B442">
        <v>80</v>
      </c>
      <c r="C442">
        <v>999</v>
      </c>
      <c r="D442">
        <v>300</v>
      </c>
      <c r="E442">
        <v>620</v>
      </c>
      <c r="F442" s="9"/>
      <c r="G442" s="1">
        <v>43255</v>
      </c>
      <c r="H442" s="1">
        <v>43252</v>
      </c>
      <c r="I442" s="1">
        <v>73051</v>
      </c>
      <c r="L442" t="s">
        <v>43</v>
      </c>
      <c r="M442" t="s">
        <v>39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3" t="s">
        <v>18</v>
      </c>
    </row>
    <row r="443" spans="1:22" x14ac:dyDescent="0.25">
      <c r="A443" t="s">
        <v>45</v>
      </c>
      <c r="B443">
        <v>80</v>
      </c>
      <c r="C443">
        <v>999</v>
      </c>
      <c r="D443">
        <v>760</v>
      </c>
      <c r="E443">
        <v>999</v>
      </c>
      <c r="F443" s="9">
        <v>12</v>
      </c>
      <c r="G443" s="1">
        <v>43255</v>
      </c>
      <c r="H443" s="1">
        <v>43252</v>
      </c>
      <c r="I443" s="1">
        <v>73051</v>
      </c>
    </row>
    <row r="444" spans="1:22" x14ac:dyDescent="0.25">
      <c r="A444" t="s">
        <v>45</v>
      </c>
      <c r="B444">
        <v>80</v>
      </c>
      <c r="C444">
        <v>999</v>
      </c>
      <c r="D444">
        <v>740</v>
      </c>
      <c r="E444">
        <v>760</v>
      </c>
      <c r="F444" s="9">
        <v>13</v>
      </c>
      <c r="G444" s="1">
        <v>43255</v>
      </c>
      <c r="H444" s="1">
        <v>43252</v>
      </c>
      <c r="I444" s="1">
        <v>73051</v>
      </c>
    </row>
    <row r="445" spans="1:22" x14ac:dyDescent="0.25">
      <c r="A445" t="s">
        <v>45</v>
      </c>
      <c r="B445">
        <v>80</v>
      </c>
      <c r="C445">
        <v>999</v>
      </c>
      <c r="D445">
        <v>720</v>
      </c>
      <c r="E445">
        <v>740</v>
      </c>
      <c r="F445" s="9">
        <v>14</v>
      </c>
      <c r="G445" s="1">
        <v>43255</v>
      </c>
      <c r="H445" s="1">
        <v>43252</v>
      </c>
      <c r="I445" s="1">
        <v>73051</v>
      </c>
    </row>
    <row r="446" spans="1:22" x14ac:dyDescent="0.25">
      <c r="A446" t="s">
        <v>45</v>
      </c>
      <c r="B446">
        <v>80</v>
      </c>
      <c r="C446">
        <v>999</v>
      </c>
      <c r="D446">
        <v>700</v>
      </c>
      <c r="E446">
        <v>720</v>
      </c>
      <c r="F446" s="9">
        <v>17</v>
      </c>
      <c r="G446" s="1">
        <v>43255</v>
      </c>
      <c r="H446" s="1">
        <v>43252</v>
      </c>
      <c r="I446" s="1">
        <v>73051</v>
      </c>
    </row>
    <row r="447" spans="1:22" x14ac:dyDescent="0.25">
      <c r="A447" t="s">
        <v>45</v>
      </c>
      <c r="B447">
        <v>80</v>
      </c>
      <c r="C447">
        <v>999</v>
      </c>
      <c r="D447">
        <v>680</v>
      </c>
      <c r="E447">
        <v>700</v>
      </c>
      <c r="F447" s="9">
        <v>20</v>
      </c>
      <c r="G447" s="1">
        <v>43255</v>
      </c>
      <c r="H447" s="1">
        <v>43252</v>
      </c>
      <c r="I447" s="1">
        <v>73051</v>
      </c>
    </row>
    <row r="448" spans="1:22" x14ac:dyDescent="0.25">
      <c r="A448" t="s">
        <v>45</v>
      </c>
      <c r="B448">
        <v>80</v>
      </c>
      <c r="C448">
        <v>999</v>
      </c>
      <c r="D448">
        <v>660</v>
      </c>
      <c r="E448">
        <v>680</v>
      </c>
      <c r="F448" s="9">
        <v>35</v>
      </c>
      <c r="G448" s="1">
        <v>43255</v>
      </c>
      <c r="H448" s="1">
        <v>43252</v>
      </c>
      <c r="I448" s="1">
        <v>73051</v>
      </c>
    </row>
    <row r="449" spans="1:9" x14ac:dyDescent="0.25">
      <c r="A449" t="s">
        <v>45</v>
      </c>
      <c r="B449">
        <v>80</v>
      </c>
      <c r="C449">
        <v>999</v>
      </c>
      <c r="D449">
        <v>640</v>
      </c>
      <c r="E449">
        <v>660</v>
      </c>
      <c r="F449" s="9">
        <v>40</v>
      </c>
      <c r="G449" s="1">
        <v>43255</v>
      </c>
      <c r="H449" s="1">
        <v>43252</v>
      </c>
      <c r="I449" s="1">
        <v>73051</v>
      </c>
    </row>
    <row r="450" spans="1:9" x14ac:dyDescent="0.25">
      <c r="A450" t="s">
        <v>45</v>
      </c>
      <c r="B450">
        <v>80</v>
      </c>
      <c r="C450">
        <v>999</v>
      </c>
      <c r="D450">
        <v>620</v>
      </c>
      <c r="E450">
        <v>640</v>
      </c>
      <c r="F450" s="9">
        <v>45</v>
      </c>
      <c r="G450" s="1">
        <v>43255</v>
      </c>
      <c r="H450" s="1">
        <v>43252</v>
      </c>
      <c r="I450" s="1">
        <v>73051</v>
      </c>
    </row>
    <row r="451" spans="1:9" x14ac:dyDescent="0.25">
      <c r="A451" t="s">
        <v>45</v>
      </c>
      <c r="B451">
        <v>80</v>
      </c>
      <c r="C451">
        <v>999</v>
      </c>
      <c r="D451">
        <v>300</v>
      </c>
      <c r="E451">
        <v>620</v>
      </c>
      <c r="F451" s="9"/>
      <c r="G451" s="1">
        <v>43255</v>
      </c>
      <c r="H451" s="1">
        <v>43252</v>
      </c>
      <c r="I451" s="1">
        <v>73051</v>
      </c>
    </row>
    <row r="452" spans="1:9" x14ac:dyDescent="0.25">
      <c r="A452" t="s">
        <v>44</v>
      </c>
      <c r="B452">
        <v>80</v>
      </c>
      <c r="C452">
        <v>999</v>
      </c>
      <c r="D452">
        <v>760</v>
      </c>
      <c r="E452">
        <v>999</v>
      </c>
      <c r="F452" s="9">
        <v>34</v>
      </c>
      <c r="G452" s="1">
        <v>43255</v>
      </c>
      <c r="H452" s="1">
        <v>43252</v>
      </c>
      <c r="I452" s="1">
        <v>73051</v>
      </c>
    </row>
    <row r="453" spans="1:9" x14ac:dyDescent="0.25">
      <c r="A453" t="s">
        <v>44</v>
      </c>
      <c r="B453">
        <v>80</v>
      </c>
      <c r="C453">
        <v>999</v>
      </c>
      <c r="D453">
        <v>740</v>
      </c>
      <c r="E453">
        <v>760</v>
      </c>
      <c r="F453" s="9">
        <v>38</v>
      </c>
      <c r="G453" s="1">
        <v>43255</v>
      </c>
      <c r="H453" s="1">
        <v>43252</v>
      </c>
      <c r="I453" s="1">
        <v>73051</v>
      </c>
    </row>
    <row r="454" spans="1:9" x14ac:dyDescent="0.25">
      <c r="A454" t="s">
        <v>44</v>
      </c>
      <c r="B454">
        <v>80</v>
      </c>
      <c r="C454">
        <v>999</v>
      </c>
      <c r="D454">
        <v>720</v>
      </c>
      <c r="E454">
        <v>740</v>
      </c>
      <c r="F454" s="9">
        <v>38</v>
      </c>
      <c r="G454" s="1">
        <v>43255</v>
      </c>
      <c r="H454" s="1">
        <v>43252</v>
      </c>
      <c r="I454" s="1">
        <v>73051</v>
      </c>
    </row>
    <row r="455" spans="1:9" x14ac:dyDescent="0.25">
      <c r="A455" t="s">
        <v>44</v>
      </c>
      <c r="B455">
        <v>80</v>
      </c>
      <c r="C455">
        <v>999</v>
      </c>
      <c r="D455">
        <v>700</v>
      </c>
      <c r="E455">
        <v>720</v>
      </c>
      <c r="F455" s="9">
        <v>47</v>
      </c>
      <c r="G455" s="1">
        <v>43255</v>
      </c>
      <c r="H455" s="1">
        <v>43252</v>
      </c>
      <c r="I455" s="1">
        <v>73051</v>
      </c>
    </row>
    <row r="456" spans="1:9" x14ac:dyDescent="0.25">
      <c r="A456" t="s">
        <v>44</v>
      </c>
      <c r="B456">
        <v>80</v>
      </c>
      <c r="C456">
        <v>999</v>
      </c>
      <c r="D456">
        <v>680</v>
      </c>
      <c r="E456">
        <v>700</v>
      </c>
      <c r="F456" s="9">
        <v>50</v>
      </c>
      <c r="G456" s="1">
        <v>43255</v>
      </c>
      <c r="H456" s="1">
        <v>43252</v>
      </c>
      <c r="I456" s="1">
        <v>73051</v>
      </c>
    </row>
    <row r="457" spans="1:9" x14ac:dyDescent="0.25">
      <c r="A457" t="s">
        <v>44</v>
      </c>
      <c r="B457">
        <v>80</v>
      </c>
      <c r="C457">
        <v>999</v>
      </c>
      <c r="D457">
        <v>660</v>
      </c>
      <c r="E457">
        <v>680</v>
      </c>
      <c r="F457" s="9">
        <v>56.999999999999993</v>
      </c>
      <c r="G457" s="1">
        <v>43255</v>
      </c>
      <c r="H457" s="1">
        <v>43252</v>
      </c>
      <c r="I457" s="1">
        <v>73051</v>
      </c>
    </row>
    <row r="458" spans="1:9" x14ac:dyDescent="0.25">
      <c r="A458" t="s">
        <v>44</v>
      </c>
      <c r="B458">
        <v>80</v>
      </c>
      <c r="C458">
        <v>999</v>
      </c>
      <c r="D458">
        <v>640</v>
      </c>
      <c r="E458">
        <v>660</v>
      </c>
      <c r="F458" s="9">
        <v>65</v>
      </c>
      <c r="G458" s="1">
        <v>43255</v>
      </c>
      <c r="H458" s="1">
        <v>43252</v>
      </c>
      <c r="I458" s="1">
        <v>73051</v>
      </c>
    </row>
    <row r="459" spans="1:9" x14ac:dyDescent="0.25">
      <c r="A459" t="s">
        <v>44</v>
      </c>
      <c r="B459">
        <v>80</v>
      </c>
      <c r="C459">
        <v>999</v>
      </c>
      <c r="D459">
        <v>620</v>
      </c>
      <c r="E459">
        <v>640</v>
      </c>
      <c r="F459" s="9">
        <v>75</v>
      </c>
      <c r="G459" s="1">
        <v>43255</v>
      </c>
      <c r="H459" s="1">
        <v>43252</v>
      </c>
      <c r="I459" s="1">
        <v>73051</v>
      </c>
    </row>
    <row r="460" spans="1:9" x14ac:dyDescent="0.25">
      <c r="A460" t="s">
        <v>44</v>
      </c>
      <c r="B460">
        <v>80</v>
      </c>
      <c r="C460">
        <v>999</v>
      </c>
      <c r="D460">
        <v>300</v>
      </c>
      <c r="E460">
        <v>620</v>
      </c>
      <c r="F460" s="9"/>
      <c r="G460" s="1">
        <v>43255</v>
      </c>
      <c r="H460" s="1">
        <v>43252</v>
      </c>
      <c r="I460" s="1">
        <v>73051</v>
      </c>
    </row>
    <row r="461" spans="1:9" x14ac:dyDescent="0.25">
      <c r="A461" t="s">
        <v>43</v>
      </c>
      <c r="B461">
        <v>80</v>
      </c>
      <c r="C461">
        <v>999</v>
      </c>
      <c r="D461">
        <v>760</v>
      </c>
      <c r="E461">
        <v>999</v>
      </c>
      <c r="F461" s="9">
        <v>0</v>
      </c>
      <c r="G461" s="1">
        <v>43255</v>
      </c>
      <c r="H461" s="1">
        <v>43252</v>
      </c>
      <c r="I461" s="1">
        <v>73051</v>
      </c>
    </row>
    <row r="462" spans="1:9" x14ac:dyDescent="0.25">
      <c r="A462" t="s">
        <v>43</v>
      </c>
      <c r="B462">
        <v>80</v>
      </c>
      <c r="C462">
        <v>999</v>
      </c>
      <c r="D462">
        <v>740</v>
      </c>
      <c r="E462">
        <v>760</v>
      </c>
      <c r="F462" s="9">
        <v>0</v>
      </c>
      <c r="G462" s="1">
        <v>43255</v>
      </c>
      <c r="H462" s="1">
        <v>43252</v>
      </c>
      <c r="I462" s="1">
        <v>73051</v>
      </c>
    </row>
    <row r="463" spans="1:9" x14ac:dyDescent="0.25">
      <c r="A463" t="s">
        <v>43</v>
      </c>
      <c r="B463">
        <v>80</v>
      </c>
      <c r="C463">
        <v>999</v>
      </c>
      <c r="D463">
        <v>720</v>
      </c>
      <c r="E463">
        <v>740</v>
      </c>
      <c r="F463" s="9">
        <v>0</v>
      </c>
      <c r="G463" s="1">
        <v>43255</v>
      </c>
      <c r="H463" s="1">
        <v>43252</v>
      </c>
      <c r="I463" s="1">
        <v>73051</v>
      </c>
    </row>
    <row r="464" spans="1:9" x14ac:dyDescent="0.25">
      <c r="A464" t="s">
        <v>43</v>
      </c>
      <c r="B464">
        <v>80</v>
      </c>
      <c r="C464">
        <v>999</v>
      </c>
      <c r="D464">
        <v>700</v>
      </c>
      <c r="E464">
        <v>720</v>
      </c>
      <c r="F464" s="9">
        <v>0</v>
      </c>
      <c r="G464" s="1">
        <v>43255</v>
      </c>
      <c r="H464" s="1">
        <v>43252</v>
      </c>
      <c r="I464" s="1">
        <v>73051</v>
      </c>
    </row>
    <row r="465" spans="1:9" x14ac:dyDescent="0.25">
      <c r="A465" t="s">
        <v>43</v>
      </c>
      <c r="B465">
        <v>80</v>
      </c>
      <c r="C465">
        <v>999</v>
      </c>
      <c r="D465">
        <v>680</v>
      </c>
      <c r="E465">
        <v>700</v>
      </c>
      <c r="F465" s="9">
        <v>0</v>
      </c>
      <c r="G465" s="1">
        <v>43255</v>
      </c>
      <c r="H465" s="1">
        <v>43252</v>
      </c>
      <c r="I465" s="1">
        <v>73051</v>
      </c>
    </row>
    <row r="466" spans="1:9" x14ac:dyDescent="0.25">
      <c r="A466" t="s">
        <v>43</v>
      </c>
      <c r="B466">
        <v>80</v>
      </c>
      <c r="C466">
        <v>999</v>
      </c>
      <c r="D466">
        <v>660</v>
      </c>
      <c r="E466">
        <v>680</v>
      </c>
      <c r="F466" s="9">
        <v>0</v>
      </c>
      <c r="G466" s="1">
        <v>43255</v>
      </c>
      <c r="H466" s="1">
        <v>43252</v>
      </c>
      <c r="I466" s="1">
        <v>73051</v>
      </c>
    </row>
    <row r="467" spans="1:9" x14ac:dyDescent="0.25">
      <c r="A467" t="s">
        <v>43</v>
      </c>
      <c r="B467">
        <v>80</v>
      </c>
      <c r="C467">
        <v>999</v>
      </c>
      <c r="D467">
        <v>640</v>
      </c>
      <c r="E467">
        <v>660</v>
      </c>
      <c r="F467" s="9">
        <v>0</v>
      </c>
      <c r="G467" s="1">
        <v>43255</v>
      </c>
      <c r="H467" s="1">
        <v>43252</v>
      </c>
      <c r="I467" s="1">
        <v>73051</v>
      </c>
    </row>
    <row r="468" spans="1:9" x14ac:dyDescent="0.25">
      <c r="A468" t="s">
        <v>43</v>
      </c>
      <c r="B468">
        <v>80</v>
      </c>
      <c r="C468">
        <v>999</v>
      </c>
      <c r="D468">
        <v>620</v>
      </c>
      <c r="E468">
        <v>640</v>
      </c>
      <c r="F468" s="9">
        <v>0</v>
      </c>
      <c r="G468" s="1">
        <v>43255</v>
      </c>
      <c r="H468" s="1">
        <v>43252</v>
      </c>
      <c r="I468" s="1">
        <v>73051</v>
      </c>
    </row>
    <row r="469" spans="1:9" x14ac:dyDescent="0.25">
      <c r="A469" t="s">
        <v>43</v>
      </c>
      <c r="B469">
        <v>80</v>
      </c>
      <c r="C469">
        <v>999</v>
      </c>
      <c r="D469">
        <v>300</v>
      </c>
      <c r="E469">
        <v>620</v>
      </c>
      <c r="F469" s="9"/>
      <c r="G469" s="1">
        <v>43255</v>
      </c>
      <c r="H469" s="1">
        <v>43252</v>
      </c>
      <c r="I469" s="1">
        <v>73051</v>
      </c>
    </row>
    <row r="470" spans="1:9" x14ac:dyDescent="0.25">
      <c r="A470" t="s">
        <v>46</v>
      </c>
      <c r="B470">
        <v>0</v>
      </c>
      <c r="C470">
        <v>80</v>
      </c>
      <c r="D470">
        <v>760</v>
      </c>
      <c r="E470">
        <v>999</v>
      </c>
      <c r="F470" s="9">
        <v>0</v>
      </c>
      <c r="G470" s="1">
        <v>43255</v>
      </c>
      <c r="H470" s="1">
        <v>43252</v>
      </c>
      <c r="I470" s="1">
        <v>73051</v>
      </c>
    </row>
    <row r="471" spans="1:9" x14ac:dyDescent="0.25">
      <c r="A471" t="s">
        <v>46</v>
      </c>
      <c r="B471">
        <v>0</v>
      </c>
      <c r="C471">
        <v>80</v>
      </c>
      <c r="D471">
        <v>740</v>
      </c>
      <c r="E471">
        <v>760</v>
      </c>
      <c r="F471" s="9">
        <v>0</v>
      </c>
      <c r="G471" s="1">
        <v>43255</v>
      </c>
      <c r="H471" s="1">
        <v>43252</v>
      </c>
      <c r="I471" s="1">
        <v>73051</v>
      </c>
    </row>
    <row r="472" spans="1:9" x14ac:dyDescent="0.25">
      <c r="A472" t="s">
        <v>46</v>
      </c>
      <c r="B472">
        <v>0</v>
      </c>
      <c r="C472">
        <v>80</v>
      </c>
      <c r="D472">
        <v>720</v>
      </c>
      <c r="E472">
        <v>740</v>
      </c>
      <c r="F472" s="9">
        <v>0</v>
      </c>
      <c r="G472" s="1">
        <v>43255</v>
      </c>
      <c r="H472" s="1">
        <v>43252</v>
      </c>
      <c r="I472" s="1">
        <v>73051</v>
      </c>
    </row>
    <row r="473" spans="1:9" x14ac:dyDescent="0.25">
      <c r="A473" t="s">
        <v>46</v>
      </c>
      <c r="B473">
        <v>0</v>
      </c>
      <c r="C473">
        <v>80</v>
      </c>
      <c r="D473">
        <v>700</v>
      </c>
      <c r="E473">
        <v>720</v>
      </c>
      <c r="F473" s="9">
        <v>0</v>
      </c>
      <c r="G473" s="1">
        <v>43255</v>
      </c>
      <c r="H473" s="1">
        <v>43252</v>
      </c>
      <c r="I473" s="1">
        <v>73051</v>
      </c>
    </row>
    <row r="474" spans="1:9" x14ac:dyDescent="0.25">
      <c r="A474" t="s">
        <v>46</v>
      </c>
      <c r="B474">
        <v>0</v>
      </c>
      <c r="C474">
        <v>80</v>
      </c>
      <c r="D474">
        <v>680</v>
      </c>
      <c r="E474">
        <v>700</v>
      </c>
      <c r="F474" s="9">
        <v>0</v>
      </c>
      <c r="G474" s="1">
        <v>43255</v>
      </c>
      <c r="H474" s="1">
        <v>43252</v>
      </c>
      <c r="I474" s="1">
        <v>73051</v>
      </c>
    </row>
    <row r="475" spans="1:9" x14ac:dyDescent="0.25">
      <c r="A475" t="s">
        <v>46</v>
      </c>
      <c r="B475">
        <v>0</v>
      </c>
      <c r="C475">
        <v>80</v>
      </c>
      <c r="D475">
        <v>660</v>
      </c>
      <c r="E475">
        <v>680</v>
      </c>
      <c r="F475" s="9">
        <v>0</v>
      </c>
      <c r="G475" s="1">
        <v>43255</v>
      </c>
      <c r="H475" s="1">
        <v>43252</v>
      </c>
      <c r="I475" s="1">
        <v>73051</v>
      </c>
    </row>
    <row r="476" spans="1:9" x14ac:dyDescent="0.25">
      <c r="A476" t="s">
        <v>46</v>
      </c>
      <c r="B476">
        <v>0</v>
      </c>
      <c r="C476">
        <v>80</v>
      </c>
      <c r="D476">
        <v>640</v>
      </c>
      <c r="E476">
        <v>660</v>
      </c>
      <c r="F476" s="9">
        <v>0</v>
      </c>
      <c r="G476" s="1">
        <v>43255</v>
      </c>
      <c r="H476" s="1">
        <v>43252</v>
      </c>
      <c r="I476" s="1">
        <v>73051</v>
      </c>
    </row>
    <row r="477" spans="1:9" x14ac:dyDescent="0.25">
      <c r="A477" t="s">
        <v>46</v>
      </c>
      <c r="B477">
        <v>0</v>
      </c>
      <c r="C477">
        <v>80</v>
      </c>
      <c r="D477">
        <v>620</v>
      </c>
      <c r="E477">
        <v>640</v>
      </c>
      <c r="F477" s="9">
        <v>0</v>
      </c>
      <c r="G477" s="1">
        <v>43255</v>
      </c>
      <c r="H477" s="1">
        <v>43252</v>
      </c>
      <c r="I477" s="1">
        <v>73051</v>
      </c>
    </row>
    <row r="478" spans="1:9" x14ac:dyDescent="0.25">
      <c r="A478" t="s">
        <v>46</v>
      </c>
      <c r="B478">
        <v>0</v>
      </c>
      <c r="C478">
        <v>80</v>
      </c>
      <c r="D478">
        <v>300</v>
      </c>
      <c r="E478">
        <v>620</v>
      </c>
      <c r="F478" s="9"/>
      <c r="G478" s="1">
        <v>43255</v>
      </c>
      <c r="H478" s="1">
        <v>43252</v>
      </c>
      <c r="I478" s="1">
        <v>73051</v>
      </c>
    </row>
    <row r="479" spans="1:9" x14ac:dyDescent="0.25">
      <c r="A479" t="s">
        <v>45</v>
      </c>
      <c r="B479">
        <v>0</v>
      </c>
      <c r="C479">
        <v>80</v>
      </c>
      <c r="D479">
        <v>760</v>
      </c>
      <c r="E479">
        <v>999</v>
      </c>
      <c r="F479" s="9">
        <v>0</v>
      </c>
      <c r="G479" s="1">
        <v>43255</v>
      </c>
      <c r="H479" s="1">
        <v>43252</v>
      </c>
      <c r="I479" s="1">
        <v>73051</v>
      </c>
    </row>
    <row r="480" spans="1:9" x14ac:dyDescent="0.25">
      <c r="A480" t="s">
        <v>45</v>
      </c>
      <c r="B480">
        <v>0</v>
      </c>
      <c r="C480">
        <v>80</v>
      </c>
      <c r="D480">
        <v>740</v>
      </c>
      <c r="E480">
        <v>760</v>
      </c>
      <c r="F480" s="9">
        <v>0</v>
      </c>
      <c r="G480" s="1">
        <v>43255</v>
      </c>
      <c r="H480" s="1">
        <v>43252</v>
      </c>
      <c r="I480" s="1">
        <v>73051</v>
      </c>
    </row>
    <row r="481" spans="1:9" x14ac:dyDescent="0.25">
      <c r="A481" t="s">
        <v>45</v>
      </c>
      <c r="B481">
        <v>0</v>
      </c>
      <c r="C481">
        <v>80</v>
      </c>
      <c r="D481">
        <v>720</v>
      </c>
      <c r="E481">
        <v>740</v>
      </c>
      <c r="F481" s="9">
        <v>0</v>
      </c>
      <c r="G481" s="1">
        <v>43255</v>
      </c>
      <c r="H481" s="1">
        <v>43252</v>
      </c>
      <c r="I481" s="1">
        <v>73051</v>
      </c>
    </row>
    <row r="482" spans="1:9" x14ac:dyDescent="0.25">
      <c r="A482" t="s">
        <v>45</v>
      </c>
      <c r="B482">
        <v>0</v>
      </c>
      <c r="C482">
        <v>80</v>
      </c>
      <c r="D482">
        <v>700</v>
      </c>
      <c r="E482">
        <v>720</v>
      </c>
      <c r="F482" s="9">
        <v>0</v>
      </c>
      <c r="G482" s="1">
        <v>43255</v>
      </c>
      <c r="H482" s="1">
        <v>43252</v>
      </c>
      <c r="I482" s="1">
        <v>73051</v>
      </c>
    </row>
    <row r="483" spans="1:9" x14ac:dyDescent="0.25">
      <c r="A483" t="s">
        <v>45</v>
      </c>
      <c r="B483">
        <v>0</v>
      </c>
      <c r="C483">
        <v>80</v>
      </c>
      <c r="D483">
        <v>680</v>
      </c>
      <c r="E483">
        <v>700</v>
      </c>
      <c r="F483" s="9">
        <v>0</v>
      </c>
      <c r="G483" s="1">
        <v>43255</v>
      </c>
      <c r="H483" s="1">
        <v>43252</v>
      </c>
      <c r="I483" s="1">
        <v>73051</v>
      </c>
    </row>
    <row r="484" spans="1:9" x14ac:dyDescent="0.25">
      <c r="A484" t="s">
        <v>45</v>
      </c>
      <c r="B484">
        <v>0</v>
      </c>
      <c r="C484">
        <v>80</v>
      </c>
      <c r="D484">
        <v>660</v>
      </c>
      <c r="E484">
        <v>680</v>
      </c>
      <c r="F484" s="9">
        <v>0</v>
      </c>
      <c r="G484" s="1">
        <v>43255</v>
      </c>
      <c r="H484" s="1">
        <v>43252</v>
      </c>
      <c r="I484" s="1">
        <v>73051</v>
      </c>
    </row>
    <row r="485" spans="1:9" x14ac:dyDescent="0.25">
      <c r="A485" t="s">
        <v>45</v>
      </c>
      <c r="B485">
        <v>0</v>
      </c>
      <c r="C485">
        <v>80</v>
      </c>
      <c r="D485">
        <v>640</v>
      </c>
      <c r="E485">
        <v>660</v>
      </c>
      <c r="F485" s="9">
        <v>0</v>
      </c>
      <c r="G485" s="1">
        <v>43255</v>
      </c>
      <c r="H485" s="1">
        <v>43252</v>
      </c>
      <c r="I485" s="1">
        <v>73051</v>
      </c>
    </row>
    <row r="486" spans="1:9" x14ac:dyDescent="0.25">
      <c r="A486" t="s">
        <v>45</v>
      </c>
      <c r="B486">
        <v>0</v>
      </c>
      <c r="C486">
        <v>80</v>
      </c>
      <c r="D486">
        <v>620</v>
      </c>
      <c r="E486">
        <v>640</v>
      </c>
      <c r="F486" s="9">
        <v>0</v>
      </c>
      <c r="G486" s="1">
        <v>43255</v>
      </c>
      <c r="H486" s="1">
        <v>43252</v>
      </c>
      <c r="I486" s="1">
        <v>73051</v>
      </c>
    </row>
    <row r="487" spans="1:9" x14ac:dyDescent="0.25">
      <c r="A487" t="s">
        <v>45</v>
      </c>
      <c r="B487">
        <v>0</v>
      </c>
      <c r="C487">
        <v>80</v>
      </c>
      <c r="D487">
        <v>300</v>
      </c>
      <c r="E487">
        <v>620</v>
      </c>
      <c r="F487" s="9"/>
      <c r="G487" s="1">
        <v>43255</v>
      </c>
      <c r="H487" s="1">
        <v>43252</v>
      </c>
      <c r="I487" s="1">
        <v>73051</v>
      </c>
    </row>
    <row r="488" spans="1:9" x14ac:dyDescent="0.25">
      <c r="A488" t="s">
        <v>44</v>
      </c>
      <c r="B488">
        <v>0</v>
      </c>
      <c r="C488">
        <v>80</v>
      </c>
      <c r="D488">
        <v>760</v>
      </c>
      <c r="E488">
        <v>999</v>
      </c>
      <c r="F488" s="9">
        <v>0</v>
      </c>
      <c r="G488" s="1">
        <v>43255</v>
      </c>
      <c r="H488" s="1">
        <v>43252</v>
      </c>
      <c r="I488" s="1">
        <v>73051</v>
      </c>
    </row>
    <row r="489" spans="1:9" x14ac:dyDescent="0.25">
      <c r="A489" t="s">
        <v>44</v>
      </c>
      <c r="B489">
        <v>0</v>
      </c>
      <c r="C489">
        <v>80</v>
      </c>
      <c r="D489">
        <v>740</v>
      </c>
      <c r="E489">
        <v>760</v>
      </c>
      <c r="F489" s="9">
        <v>0</v>
      </c>
      <c r="G489" s="1">
        <v>43255</v>
      </c>
      <c r="H489" s="1">
        <v>43252</v>
      </c>
      <c r="I489" s="1">
        <v>73051</v>
      </c>
    </row>
    <row r="490" spans="1:9" x14ac:dyDescent="0.25">
      <c r="A490" t="s">
        <v>44</v>
      </c>
      <c r="B490">
        <v>0</v>
      </c>
      <c r="C490">
        <v>80</v>
      </c>
      <c r="D490">
        <v>720</v>
      </c>
      <c r="E490">
        <v>740</v>
      </c>
      <c r="F490" s="9">
        <v>0</v>
      </c>
      <c r="G490" s="1">
        <v>43255</v>
      </c>
      <c r="H490" s="1">
        <v>43252</v>
      </c>
      <c r="I490" s="1">
        <v>73051</v>
      </c>
    </row>
    <row r="491" spans="1:9" x14ac:dyDescent="0.25">
      <c r="A491" t="s">
        <v>44</v>
      </c>
      <c r="B491">
        <v>0</v>
      </c>
      <c r="C491">
        <v>80</v>
      </c>
      <c r="D491">
        <v>700</v>
      </c>
      <c r="E491">
        <v>720</v>
      </c>
      <c r="F491" s="9">
        <v>0</v>
      </c>
      <c r="G491" s="1">
        <v>43255</v>
      </c>
      <c r="H491" s="1">
        <v>43252</v>
      </c>
      <c r="I491" s="1">
        <v>73051</v>
      </c>
    </row>
    <row r="492" spans="1:9" x14ac:dyDescent="0.25">
      <c r="A492" t="s">
        <v>44</v>
      </c>
      <c r="B492">
        <v>0</v>
      </c>
      <c r="C492">
        <v>80</v>
      </c>
      <c r="D492">
        <v>680</v>
      </c>
      <c r="E492">
        <v>700</v>
      </c>
      <c r="F492" s="9">
        <v>0</v>
      </c>
      <c r="G492" s="1">
        <v>43255</v>
      </c>
      <c r="H492" s="1">
        <v>43252</v>
      </c>
      <c r="I492" s="1">
        <v>73051</v>
      </c>
    </row>
    <row r="493" spans="1:9" x14ac:dyDescent="0.25">
      <c r="A493" t="s">
        <v>44</v>
      </c>
      <c r="B493">
        <v>0</v>
      </c>
      <c r="C493">
        <v>80</v>
      </c>
      <c r="D493">
        <v>660</v>
      </c>
      <c r="E493">
        <v>680</v>
      </c>
      <c r="F493" s="9">
        <v>0</v>
      </c>
      <c r="G493" s="1">
        <v>43255</v>
      </c>
      <c r="H493" s="1">
        <v>43252</v>
      </c>
      <c r="I493" s="1">
        <v>73051</v>
      </c>
    </row>
    <row r="494" spans="1:9" x14ac:dyDescent="0.25">
      <c r="A494" t="s">
        <v>44</v>
      </c>
      <c r="B494">
        <v>0</v>
      </c>
      <c r="C494">
        <v>80</v>
      </c>
      <c r="D494">
        <v>640</v>
      </c>
      <c r="E494">
        <v>660</v>
      </c>
      <c r="F494" s="9">
        <v>0</v>
      </c>
      <c r="G494" s="1">
        <v>43255</v>
      </c>
      <c r="H494" s="1">
        <v>43252</v>
      </c>
      <c r="I494" s="1">
        <v>73051</v>
      </c>
    </row>
    <row r="495" spans="1:9" x14ac:dyDescent="0.25">
      <c r="A495" t="s">
        <v>44</v>
      </c>
      <c r="B495">
        <v>0</v>
      </c>
      <c r="C495">
        <v>80</v>
      </c>
      <c r="D495">
        <v>620</v>
      </c>
      <c r="E495">
        <v>640</v>
      </c>
      <c r="F495" s="9">
        <v>0</v>
      </c>
      <c r="G495" s="1">
        <v>43255</v>
      </c>
      <c r="H495" s="1">
        <v>43252</v>
      </c>
      <c r="I495" s="1">
        <v>73051</v>
      </c>
    </row>
    <row r="496" spans="1:9" x14ac:dyDescent="0.25">
      <c r="A496" t="s">
        <v>44</v>
      </c>
      <c r="B496">
        <v>0</v>
      </c>
      <c r="C496">
        <v>80</v>
      </c>
      <c r="D496">
        <v>300</v>
      </c>
      <c r="E496">
        <v>620</v>
      </c>
      <c r="F496" s="9"/>
      <c r="G496" s="1">
        <v>43255</v>
      </c>
      <c r="H496" s="1">
        <v>43252</v>
      </c>
      <c r="I496" s="1">
        <v>73051</v>
      </c>
    </row>
    <row r="497" spans="1:9" x14ac:dyDescent="0.25">
      <c r="A497" t="s">
        <v>43</v>
      </c>
      <c r="B497">
        <v>0</v>
      </c>
      <c r="C497">
        <v>80</v>
      </c>
      <c r="D497">
        <v>760</v>
      </c>
      <c r="E497">
        <v>999</v>
      </c>
      <c r="F497" s="9">
        <v>0</v>
      </c>
      <c r="G497" s="1">
        <v>43255</v>
      </c>
      <c r="H497" s="1">
        <v>43252</v>
      </c>
      <c r="I497" s="1">
        <v>73051</v>
      </c>
    </row>
    <row r="498" spans="1:9" x14ac:dyDescent="0.25">
      <c r="A498" t="s">
        <v>43</v>
      </c>
      <c r="B498">
        <v>0</v>
      </c>
      <c r="C498">
        <v>80</v>
      </c>
      <c r="D498">
        <v>740</v>
      </c>
      <c r="E498">
        <v>760</v>
      </c>
      <c r="F498" s="9">
        <v>0</v>
      </c>
      <c r="G498" s="1">
        <v>43255</v>
      </c>
      <c r="H498" s="1">
        <v>43252</v>
      </c>
      <c r="I498" s="1">
        <v>73051</v>
      </c>
    </row>
    <row r="499" spans="1:9" x14ac:dyDescent="0.25">
      <c r="A499" t="s">
        <v>43</v>
      </c>
      <c r="B499">
        <v>0</v>
      </c>
      <c r="C499">
        <v>80</v>
      </c>
      <c r="D499">
        <v>720</v>
      </c>
      <c r="E499">
        <v>740</v>
      </c>
      <c r="F499" s="9">
        <v>0</v>
      </c>
      <c r="G499" s="1">
        <v>43255</v>
      </c>
      <c r="H499" s="1">
        <v>43252</v>
      </c>
      <c r="I499" s="1">
        <v>73051</v>
      </c>
    </row>
    <row r="500" spans="1:9" x14ac:dyDescent="0.25">
      <c r="A500" t="s">
        <v>43</v>
      </c>
      <c r="B500">
        <v>0</v>
      </c>
      <c r="C500">
        <v>80</v>
      </c>
      <c r="D500">
        <v>700</v>
      </c>
      <c r="E500">
        <v>720</v>
      </c>
      <c r="F500" s="9">
        <v>0</v>
      </c>
      <c r="G500" s="1">
        <v>43255</v>
      </c>
      <c r="H500" s="1">
        <v>43252</v>
      </c>
      <c r="I500" s="1">
        <v>73051</v>
      </c>
    </row>
    <row r="501" spans="1:9" x14ac:dyDescent="0.25">
      <c r="A501" t="s">
        <v>43</v>
      </c>
      <c r="B501">
        <v>0</v>
      </c>
      <c r="C501">
        <v>80</v>
      </c>
      <c r="D501">
        <v>680</v>
      </c>
      <c r="E501">
        <v>700</v>
      </c>
      <c r="F501" s="9">
        <v>0</v>
      </c>
      <c r="G501" s="1">
        <v>43255</v>
      </c>
      <c r="H501" s="1">
        <v>43252</v>
      </c>
      <c r="I501" s="1">
        <v>73051</v>
      </c>
    </row>
    <row r="502" spans="1:9" x14ac:dyDescent="0.25">
      <c r="A502" t="s">
        <v>43</v>
      </c>
      <c r="B502">
        <v>0</v>
      </c>
      <c r="C502">
        <v>80</v>
      </c>
      <c r="D502">
        <v>660</v>
      </c>
      <c r="E502">
        <v>680</v>
      </c>
      <c r="F502" s="9">
        <v>0</v>
      </c>
      <c r="G502" s="1">
        <v>43255</v>
      </c>
      <c r="H502" s="1">
        <v>43252</v>
      </c>
      <c r="I502" s="1">
        <v>73051</v>
      </c>
    </row>
    <row r="503" spans="1:9" x14ac:dyDescent="0.25">
      <c r="A503" t="s">
        <v>43</v>
      </c>
      <c r="B503">
        <v>0</v>
      </c>
      <c r="C503">
        <v>80</v>
      </c>
      <c r="D503">
        <v>640</v>
      </c>
      <c r="E503">
        <v>660</v>
      </c>
      <c r="F503" s="9">
        <v>0</v>
      </c>
      <c r="G503" s="1">
        <v>43255</v>
      </c>
      <c r="H503" s="1">
        <v>43252</v>
      </c>
      <c r="I503" s="1">
        <v>73051</v>
      </c>
    </row>
    <row r="504" spans="1:9" x14ac:dyDescent="0.25">
      <c r="A504" t="s">
        <v>43</v>
      </c>
      <c r="B504">
        <v>0</v>
      </c>
      <c r="C504">
        <v>80</v>
      </c>
      <c r="D504">
        <v>620</v>
      </c>
      <c r="E504">
        <v>640</v>
      </c>
      <c r="F504" s="9">
        <v>0</v>
      </c>
      <c r="G504" s="1">
        <v>43255</v>
      </c>
      <c r="H504" s="1">
        <v>43252</v>
      </c>
      <c r="I504" s="1">
        <v>73051</v>
      </c>
    </row>
    <row r="505" spans="1:9" x14ac:dyDescent="0.25">
      <c r="A505" t="s">
        <v>43</v>
      </c>
      <c r="B505">
        <v>0</v>
      </c>
      <c r="C505">
        <v>80</v>
      </c>
      <c r="D505">
        <v>300</v>
      </c>
      <c r="E505">
        <v>620</v>
      </c>
      <c r="F505" s="9"/>
      <c r="G505" s="1">
        <v>43255</v>
      </c>
      <c r="H505" s="1">
        <v>43252</v>
      </c>
      <c r="I505" s="1">
        <v>73051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4"/>
  <sheetViews>
    <sheetView topLeftCell="A28" workbookViewId="0">
      <selection activeCell="I1" sqref="I1:I1048576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43252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43252</v>
      </c>
      <c r="L183" t="s">
        <v>67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43252</v>
      </c>
      <c r="L184" t="s">
        <v>67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43252</v>
      </c>
      <c r="L185" t="s">
        <v>68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43252</v>
      </c>
      <c r="L186" t="s">
        <v>68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43252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43252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43252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43252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43252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43252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43252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43252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43252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43252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43252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43252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43252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43252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43252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43252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43252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43252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43252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43252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43252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43252</v>
      </c>
    </row>
    <row r="209" spans="1:22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43252</v>
      </c>
    </row>
    <row r="210" spans="1:22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43252</v>
      </c>
    </row>
    <row r="211" spans="1:22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43252</v>
      </c>
    </row>
    <row r="212" spans="1:22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43252</v>
      </c>
    </row>
    <row r="213" spans="1:22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43252</v>
      </c>
    </row>
    <row r="214" spans="1:22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43252</v>
      </c>
    </row>
    <row r="215" spans="1:22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43252</v>
      </c>
    </row>
    <row r="216" spans="1:22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43252</v>
      </c>
    </row>
    <row r="217" spans="1:22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43252</v>
      </c>
    </row>
    <row r="218" spans="1:22" x14ac:dyDescent="0.25">
      <c r="A218">
        <v>650000</v>
      </c>
      <c r="B218">
        <v>99999999</v>
      </c>
      <c r="C218">
        <v>80</v>
      </c>
      <c r="D218">
        <v>999</v>
      </c>
      <c r="E218">
        <v>760</v>
      </c>
      <c r="F218">
        <v>999</v>
      </c>
      <c r="G218" s="9">
        <v>0</v>
      </c>
      <c r="H218" s="1">
        <v>43255</v>
      </c>
      <c r="I218" s="1">
        <v>43252</v>
      </c>
      <c r="J218" s="1">
        <v>73051</v>
      </c>
      <c r="L218" s="1">
        <v>43255</v>
      </c>
      <c r="N218" t="s">
        <v>12</v>
      </c>
      <c r="O218" t="s">
        <v>59</v>
      </c>
      <c r="P218" t="s">
        <v>60</v>
      </c>
      <c r="Q218" t="s">
        <v>61</v>
      </c>
      <c r="R218" t="s">
        <v>62</v>
      </c>
      <c r="S218" t="s">
        <v>63</v>
      </c>
      <c r="T218" t="s">
        <v>64</v>
      </c>
      <c r="U218" t="s">
        <v>65</v>
      </c>
      <c r="V218" s="4" t="s">
        <v>16</v>
      </c>
    </row>
    <row r="219" spans="1:22" x14ac:dyDescent="0.25">
      <c r="A219">
        <v>650000</v>
      </c>
      <c r="B219">
        <v>99999999</v>
      </c>
      <c r="C219">
        <v>80</v>
      </c>
      <c r="D219">
        <v>999</v>
      </c>
      <c r="E219">
        <v>740</v>
      </c>
      <c r="F219">
        <v>760</v>
      </c>
      <c r="G219" s="9">
        <v>0</v>
      </c>
      <c r="H219" s="1">
        <v>43255</v>
      </c>
      <c r="I219" s="1">
        <v>43252</v>
      </c>
      <c r="J219" s="1">
        <v>73051</v>
      </c>
      <c r="L219" t="s">
        <v>67</v>
      </c>
      <c r="M219" t="s">
        <v>38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3" t="s">
        <v>18</v>
      </c>
    </row>
    <row r="220" spans="1:22" x14ac:dyDescent="0.25">
      <c r="A220">
        <v>650000</v>
      </c>
      <c r="B220">
        <v>99999999</v>
      </c>
      <c r="C220">
        <v>80</v>
      </c>
      <c r="D220">
        <v>999</v>
      </c>
      <c r="E220">
        <v>720</v>
      </c>
      <c r="F220">
        <v>740</v>
      </c>
      <c r="G220" s="9">
        <v>0</v>
      </c>
      <c r="H220" s="1">
        <v>43255</v>
      </c>
      <c r="I220" s="1">
        <v>43252</v>
      </c>
      <c r="J220" s="1">
        <v>73051</v>
      </c>
      <c r="L220" t="s">
        <v>67</v>
      </c>
      <c r="M220" t="s">
        <v>39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3" t="s">
        <v>18</v>
      </c>
    </row>
    <row r="221" spans="1:22" x14ac:dyDescent="0.25">
      <c r="A221">
        <v>650000</v>
      </c>
      <c r="B221">
        <v>99999999</v>
      </c>
      <c r="C221">
        <v>80</v>
      </c>
      <c r="D221">
        <v>999</v>
      </c>
      <c r="E221">
        <v>700</v>
      </c>
      <c r="F221">
        <v>720</v>
      </c>
      <c r="G221" s="9">
        <v>0</v>
      </c>
      <c r="H221" s="1">
        <v>43255</v>
      </c>
      <c r="I221" s="1">
        <v>43252</v>
      </c>
      <c r="J221" s="1">
        <v>73051</v>
      </c>
      <c r="L221" t="s">
        <v>68</v>
      </c>
      <c r="M221" t="s">
        <v>38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3" t="s">
        <v>18</v>
      </c>
    </row>
    <row r="222" spans="1:22" x14ac:dyDescent="0.25">
      <c r="A222">
        <v>650000</v>
      </c>
      <c r="B222">
        <v>99999999</v>
      </c>
      <c r="C222">
        <v>80</v>
      </c>
      <c r="D222">
        <v>999</v>
      </c>
      <c r="E222">
        <v>680</v>
      </c>
      <c r="F222">
        <v>700</v>
      </c>
      <c r="G222" s="9">
        <v>0</v>
      </c>
      <c r="H222" s="1">
        <v>43255</v>
      </c>
      <c r="I222" s="1">
        <v>43252</v>
      </c>
      <c r="J222" s="1">
        <v>73051</v>
      </c>
      <c r="L222" t="s">
        <v>68</v>
      </c>
      <c r="M222" t="s">
        <v>39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3" t="s">
        <v>18</v>
      </c>
    </row>
    <row r="223" spans="1:22" x14ac:dyDescent="0.25">
      <c r="A223">
        <v>650000</v>
      </c>
      <c r="B223">
        <v>99999999</v>
      </c>
      <c r="C223">
        <v>80</v>
      </c>
      <c r="D223">
        <v>999</v>
      </c>
      <c r="E223">
        <v>660</v>
      </c>
      <c r="F223">
        <v>680</v>
      </c>
      <c r="G223" s="9">
        <v>0</v>
      </c>
      <c r="H223" s="1">
        <v>43255</v>
      </c>
      <c r="I223" s="1">
        <v>43252</v>
      </c>
      <c r="J223" s="1">
        <v>73051</v>
      </c>
      <c r="N223" s="9"/>
      <c r="O223" s="9"/>
      <c r="P223" s="9"/>
      <c r="Q223" s="9"/>
      <c r="R223" s="9"/>
      <c r="S223" s="9"/>
      <c r="T223" s="9"/>
      <c r="U223" s="9"/>
      <c r="V223" s="3"/>
    </row>
    <row r="224" spans="1:22" x14ac:dyDescent="0.25">
      <c r="A224">
        <v>650000</v>
      </c>
      <c r="B224">
        <v>99999999</v>
      </c>
      <c r="C224">
        <v>80</v>
      </c>
      <c r="D224">
        <v>999</v>
      </c>
      <c r="E224">
        <v>640</v>
      </c>
      <c r="F224">
        <v>660</v>
      </c>
      <c r="G224" s="9">
        <v>0</v>
      </c>
      <c r="H224" s="1">
        <v>43255</v>
      </c>
      <c r="I224" s="1">
        <v>43252</v>
      </c>
      <c r="J224" s="1">
        <v>73051</v>
      </c>
      <c r="N224" s="9"/>
      <c r="O224" s="9"/>
      <c r="P224" s="9"/>
      <c r="Q224" s="9"/>
      <c r="R224" s="9"/>
      <c r="S224" s="9"/>
      <c r="T224" s="9"/>
      <c r="U224" s="9"/>
      <c r="V224" s="3"/>
    </row>
    <row r="225" spans="1:22" x14ac:dyDescent="0.25">
      <c r="A225">
        <v>650000</v>
      </c>
      <c r="B225">
        <v>99999999</v>
      </c>
      <c r="C225">
        <v>80</v>
      </c>
      <c r="D225">
        <v>999</v>
      </c>
      <c r="E225">
        <v>620</v>
      </c>
      <c r="F225">
        <v>640</v>
      </c>
      <c r="G225" s="9">
        <v>0</v>
      </c>
      <c r="H225" s="1">
        <v>43255</v>
      </c>
      <c r="I225" s="1">
        <v>43252</v>
      </c>
      <c r="J225" s="1">
        <v>73051</v>
      </c>
      <c r="N225" s="9"/>
      <c r="O225" s="9"/>
      <c r="P225" s="9"/>
      <c r="Q225" s="9"/>
      <c r="R225" s="9"/>
      <c r="S225" s="9"/>
      <c r="T225" s="9"/>
      <c r="U225" s="9"/>
      <c r="V225" s="3"/>
    </row>
    <row r="226" spans="1:22" x14ac:dyDescent="0.25">
      <c r="A226">
        <v>650000</v>
      </c>
      <c r="B226">
        <v>99999999</v>
      </c>
      <c r="C226">
        <v>80</v>
      </c>
      <c r="D226">
        <v>999</v>
      </c>
      <c r="E226">
        <v>300</v>
      </c>
      <c r="F226">
        <v>620</v>
      </c>
      <c r="G226" s="9"/>
      <c r="H226" s="1">
        <v>43255</v>
      </c>
      <c r="I226" s="1">
        <v>43252</v>
      </c>
      <c r="J226" s="1">
        <v>73051</v>
      </c>
      <c r="N226" s="9"/>
      <c r="O226" s="9"/>
      <c r="P226" s="9"/>
      <c r="Q226" s="9"/>
      <c r="R226" s="9"/>
      <c r="S226" s="9"/>
      <c r="T226" s="9"/>
      <c r="U226" s="9"/>
      <c r="V226" s="3"/>
    </row>
    <row r="227" spans="1:22" x14ac:dyDescent="0.25">
      <c r="A227">
        <v>650000</v>
      </c>
      <c r="B227">
        <v>99999999</v>
      </c>
      <c r="C227">
        <v>0</v>
      </c>
      <c r="D227">
        <v>80</v>
      </c>
      <c r="E227">
        <v>760</v>
      </c>
      <c r="F227">
        <v>999</v>
      </c>
      <c r="G227" s="9">
        <v>0</v>
      </c>
      <c r="H227" s="1">
        <v>43255</v>
      </c>
      <c r="I227" s="1">
        <v>43252</v>
      </c>
      <c r="J227" s="1">
        <v>73051</v>
      </c>
    </row>
    <row r="228" spans="1:22" x14ac:dyDescent="0.25">
      <c r="A228">
        <v>650000</v>
      </c>
      <c r="B228">
        <v>99999999</v>
      </c>
      <c r="C228">
        <v>0</v>
      </c>
      <c r="D228">
        <v>80</v>
      </c>
      <c r="E228">
        <v>740</v>
      </c>
      <c r="F228">
        <v>760</v>
      </c>
      <c r="G228" s="9">
        <v>0</v>
      </c>
      <c r="H228" s="1">
        <v>43255</v>
      </c>
      <c r="I228" s="1">
        <v>43252</v>
      </c>
      <c r="J228" s="1">
        <v>73051</v>
      </c>
    </row>
    <row r="229" spans="1:22" x14ac:dyDescent="0.25">
      <c r="A229">
        <v>650000</v>
      </c>
      <c r="B229">
        <v>99999999</v>
      </c>
      <c r="C229">
        <v>0</v>
      </c>
      <c r="D229">
        <v>80</v>
      </c>
      <c r="E229">
        <v>720</v>
      </c>
      <c r="F229">
        <v>740</v>
      </c>
      <c r="G229" s="9">
        <v>0</v>
      </c>
      <c r="H229" s="1">
        <v>43255</v>
      </c>
      <c r="I229" s="1">
        <v>43252</v>
      </c>
      <c r="J229" s="1">
        <v>73051</v>
      </c>
    </row>
    <row r="230" spans="1:22" x14ac:dyDescent="0.25">
      <c r="A230">
        <v>650000</v>
      </c>
      <c r="B230">
        <v>99999999</v>
      </c>
      <c r="C230">
        <v>0</v>
      </c>
      <c r="D230">
        <v>80</v>
      </c>
      <c r="E230">
        <v>700</v>
      </c>
      <c r="F230">
        <v>720</v>
      </c>
      <c r="G230" s="9">
        <v>0</v>
      </c>
      <c r="H230" s="1">
        <v>43255</v>
      </c>
      <c r="I230" s="1">
        <v>43252</v>
      </c>
      <c r="J230" s="1">
        <v>73051</v>
      </c>
    </row>
    <row r="231" spans="1:22" x14ac:dyDescent="0.25">
      <c r="A231">
        <v>650000</v>
      </c>
      <c r="B231">
        <v>99999999</v>
      </c>
      <c r="C231">
        <v>0</v>
      </c>
      <c r="D231">
        <v>80</v>
      </c>
      <c r="E231">
        <v>680</v>
      </c>
      <c r="F231">
        <v>700</v>
      </c>
      <c r="G231" s="9">
        <v>0</v>
      </c>
      <c r="H231" s="1">
        <v>43255</v>
      </c>
      <c r="I231" s="1">
        <v>43252</v>
      </c>
      <c r="J231" s="1">
        <v>73051</v>
      </c>
    </row>
    <row r="232" spans="1:22" x14ac:dyDescent="0.25">
      <c r="A232">
        <v>650000</v>
      </c>
      <c r="B232">
        <v>99999999</v>
      </c>
      <c r="C232">
        <v>0</v>
      </c>
      <c r="D232">
        <v>80</v>
      </c>
      <c r="E232">
        <v>660</v>
      </c>
      <c r="F232">
        <v>680</v>
      </c>
      <c r="G232" s="9">
        <v>0</v>
      </c>
      <c r="H232" s="1">
        <v>43255</v>
      </c>
      <c r="I232" s="1">
        <v>43252</v>
      </c>
      <c r="J232" s="1">
        <v>73051</v>
      </c>
    </row>
    <row r="233" spans="1:22" x14ac:dyDescent="0.25">
      <c r="A233">
        <v>650000</v>
      </c>
      <c r="B233">
        <v>99999999</v>
      </c>
      <c r="C233">
        <v>0</v>
      </c>
      <c r="D233">
        <v>80</v>
      </c>
      <c r="E233">
        <v>640</v>
      </c>
      <c r="F233">
        <v>660</v>
      </c>
      <c r="G233" s="9">
        <v>0</v>
      </c>
      <c r="H233" s="1">
        <v>43255</v>
      </c>
      <c r="I233" s="1">
        <v>43252</v>
      </c>
      <c r="J233" s="1">
        <v>73051</v>
      </c>
    </row>
    <row r="234" spans="1:22" x14ac:dyDescent="0.25">
      <c r="A234">
        <v>650000</v>
      </c>
      <c r="B234">
        <v>99999999</v>
      </c>
      <c r="C234">
        <v>0</v>
      </c>
      <c r="D234">
        <v>80</v>
      </c>
      <c r="E234">
        <v>620</v>
      </c>
      <c r="F234">
        <v>640</v>
      </c>
      <c r="G234" s="9">
        <v>0</v>
      </c>
      <c r="H234" s="1">
        <v>43255</v>
      </c>
      <c r="I234" s="1">
        <v>43252</v>
      </c>
      <c r="J234" s="1">
        <v>73051</v>
      </c>
    </row>
    <row r="235" spans="1:22" x14ac:dyDescent="0.25">
      <c r="A235">
        <v>650000</v>
      </c>
      <c r="B235">
        <v>99999999</v>
      </c>
      <c r="C235">
        <v>0</v>
      </c>
      <c r="D235">
        <v>80</v>
      </c>
      <c r="E235">
        <v>300</v>
      </c>
      <c r="F235">
        <v>620</v>
      </c>
      <c r="G235" s="9"/>
      <c r="H235" s="1">
        <v>43255</v>
      </c>
      <c r="I235" s="1">
        <v>43252</v>
      </c>
      <c r="J235" s="1">
        <v>73051</v>
      </c>
    </row>
    <row r="236" spans="1:22" x14ac:dyDescent="0.25">
      <c r="A236">
        <v>0</v>
      </c>
      <c r="B236">
        <v>650000</v>
      </c>
      <c r="C236">
        <v>80</v>
      </c>
      <c r="D236">
        <v>999</v>
      </c>
      <c r="E236">
        <v>760</v>
      </c>
      <c r="F236">
        <v>999</v>
      </c>
      <c r="G236" s="9">
        <v>0</v>
      </c>
      <c r="H236" s="1">
        <v>43255</v>
      </c>
      <c r="I236" s="1">
        <v>43252</v>
      </c>
      <c r="J236" s="1">
        <v>73051</v>
      </c>
    </row>
    <row r="237" spans="1:22" x14ac:dyDescent="0.25">
      <c r="A237">
        <v>0</v>
      </c>
      <c r="B237">
        <v>650000</v>
      </c>
      <c r="C237">
        <v>80</v>
      </c>
      <c r="D237">
        <v>999</v>
      </c>
      <c r="E237">
        <v>740</v>
      </c>
      <c r="F237">
        <v>760</v>
      </c>
      <c r="G237" s="9">
        <v>0</v>
      </c>
      <c r="H237" s="1">
        <v>43255</v>
      </c>
      <c r="I237" s="1">
        <v>43252</v>
      </c>
      <c r="J237" s="1">
        <v>73051</v>
      </c>
    </row>
    <row r="238" spans="1:22" x14ac:dyDescent="0.25">
      <c r="A238">
        <v>0</v>
      </c>
      <c r="B238">
        <v>650000</v>
      </c>
      <c r="C238">
        <v>80</v>
      </c>
      <c r="D238">
        <v>999</v>
      </c>
      <c r="E238">
        <v>720</v>
      </c>
      <c r="F238">
        <v>740</v>
      </c>
      <c r="G238" s="9">
        <v>0</v>
      </c>
      <c r="H238" s="1">
        <v>43255</v>
      </c>
      <c r="I238" s="1">
        <v>43252</v>
      </c>
      <c r="J238" s="1">
        <v>73051</v>
      </c>
    </row>
    <row r="239" spans="1:22" x14ac:dyDescent="0.25">
      <c r="A239">
        <v>0</v>
      </c>
      <c r="B239">
        <v>650000</v>
      </c>
      <c r="C239">
        <v>80</v>
      </c>
      <c r="D239">
        <v>999</v>
      </c>
      <c r="E239">
        <v>700</v>
      </c>
      <c r="F239">
        <v>720</v>
      </c>
      <c r="G239" s="9">
        <v>0</v>
      </c>
      <c r="H239" s="1">
        <v>43255</v>
      </c>
      <c r="I239" s="1">
        <v>43252</v>
      </c>
      <c r="J239" s="1">
        <v>73051</v>
      </c>
    </row>
    <row r="240" spans="1:22" x14ac:dyDescent="0.25">
      <c r="A240">
        <v>0</v>
      </c>
      <c r="B240">
        <v>650000</v>
      </c>
      <c r="C240">
        <v>80</v>
      </c>
      <c r="D240">
        <v>999</v>
      </c>
      <c r="E240">
        <v>680</v>
      </c>
      <c r="F240">
        <v>700</v>
      </c>
      <c r="G240" s="9">
        <v>0</v>
      </c>
      <c r="H240" s="1">
        <v>43255</v>
      </c>
      <c r="I240" s="1">
        <v>43252</v>
      </c>
      <c r="J240" s="1">
        <v>73051</v>
      </c>
    </row>
    <row r="241" spans="1:10" x14ac:dyDescent="0.25">
      <c r="A241">
        <v>0</v>
      </c>
      <c r="B241">
        <v>650000</v>
      </c>
      <c r="C241">
        <v>80</v>
      </c>
      <c r="D241">
        <v>999</v>
      </c>
      <c r="E241">
        <v>660</v>
      </c>
      <c r="F241">
        <v>680</v>
      </c>
      <c r="G241" s="9">
        <v>0</v>
      </c>
      <c r="H241" s="1">
        <v>43255</v>
      </c>
      <c r="I241" s="1">
        <v>43252</v>
      </c>
      <c r="J241" s="1">
        <v>73051</v>
      </c>
    </row>
    <row r="242" spans="1:10" x14ac:dyDescent="0.25">
      <c r="A242">
        <v>0</v>
      </c>
      <c r="B242">
        <v>650000</v>
      </c>
      <c r="C242">
        <v>80</v>
      </c>
      <c r="D242">
        <v>999</v>
      </c>
      <c r="E242">
        <v>640</v>
      </c>
      <c r="F242">
        <v>660</v>
      </c>
      <c r="G242" s="9">
        <v>0</v>
      </c>
      <c r="H242" s="1">
        <v>43255</v>
      </c>
      <c r="I242" s="1">
        <v>43252</v>
      </c>
      <c r="J242" s="1">
        <v>73051</v>
      </c>
    </row>
    <row r="243" spans="1:10" x14ac:dyDescent="0.25">
      <c r="A243">
        <v>0</v>
      </c>
      <c r="B243">
        <v>650000</v>
      </c>
      <c r="C243">
        <v>80</v>
      </c>
      <c r="D243">
        <v>999</v>
      </c>
      <c r="E243">
        <v>620</v>
      </c>
      <c r="F243">
        <v>640</v>
      </c>
      <c r="G243" s="9">
        <v>0</v>
      </c>
      <c r="H243" s="1">
        <v>43255</v>
      </c>
      <c r="I243" s="1">
        <v>43252</v>
      </c>
      <c r="J243" s="1">
        <v>73051</v>
      </c>
    </row>
    <row r="244" spans="1:10" x14ac:dyDescent="0.25">
      <c r="A244">
        <v>0</v>
      </c>
      <c r="B244">
        <v>650000</v>
      </c>
      <c r="C244">
        <v>80</v>
      </c>
      <c r="D244">
        <v>999</v>
      </c>
      <c r="E244">
        <v>300</v>
      </c>
      <c r="F244">
        <v>620</v>
      </c>
      <c r="G244" s="9"/>
      <c r="H244" s="1">
        <v>43255</v>
      </c>
      <c r="I244" s="1">
        <v>43252</v>
      </c>
      <c r="J244" s="1">
        <v>73051</v>
      </c>
    </row>
    <row r="245" spans="1:10" x14ac:dyDescent="0.25">
      <c r="A245">
        <v>0</v>
      </c>
      <c r="B245">
        <v>650000</v>
      </c>
      <c r="C245">
        <v>0</v>
      </c>
      <c r="D245">
        <v>80</v>
      </c>
      <c r="E245">
        <v>760</v>
      </c>
      <c r="F245">
        <v>999</v>
      </c>
      <c r="G245" s="9">
        <v>0</v>
      </c>
      <c r="H245" s="1">
        <v>43255</v>
      </c>
      <c r="I245" s="1">
        <v>43252</v>
      </c>
      <c r="J245" s="1">
        <v>73051</v>
      </c>
    </row>
    <row r="246" spans="1:10" x14ac:dyDescent="0.25">
      <c r="A246">
        <v>0</v>
      </c>
      <c r="B246">
        <v>650000</v>
      </c>
      <c r="C246">
        <v>0</v>
      </c>
      <c r="D246">
        <v>80</v>
      </c>
      <c r="E246">
        <v>740</v>
      </c>
      <c r="F246">
        <v>760</v>
      </c>
      <c r="G246" s="9">
        <v>0</v>
      </c>
      <c r="H246" s="1">
        <v>43255</v>
      </c>
      <c r="I246" s="1">
        <v>43252</v>
      </c>
      <c r="J246" s="1">
        <v>73051</v>
      </c>
    </row>
    <row r="247" spans="1:10" x14ac:dyDescent="0.25">
      <c r="A247">
        <v>0</v>
      </c>
      <c r="B247">
        <v>650000</v>
      </c>
      <c r="C247">
        <v>0</v>
      </c>
      <c r="D247">
        <v>80</v>
      </c>
      <c r="E247">
        <v>720</v>
      </c>
      <c r="F247">
        <v>740</v>
      </c>
      <c r="G247" s="9">
        <v>0</v>
      </c>
      <c r="H247" s="1">
        <v>43255</v>
      </c>
      <c r="I247" s="1">
        <v>43252</v>
      </c>
      <c r="J247" s="1">
        <v>73051</v>
      </c>
    </row>
    <row r="248" spans="1:10" x14ac:dyDescent="0.25">
      <c r="A248">
        <v>0</v>
      </c>
      <c r="B248">
        <v>650000</v>
      </c>
      <c r="C248">
        <v>0</v>
      </c>
      <c r="D248">
        <v>80</v>
      </c>
      <c r="E248">
        <v>700</v>
      </c>
      <c r="F248">
        <v>720</v>
      </c>
      <c r="G248" s="9">
        <v>0</v>
      </c>
      <c r="H248" s="1">
        <v>43255</v>
      </c>
      <c r="I248" s="1">
        <v>43252</v>
      </c>
      <c r="J248" s="1">
        <v>73051</v>
      </c>
    </row>
    <row r="249" spans="1:10" x14ac:dyDescent="0.25">
      <c r="A249">
        <v>0</v>
      </c>
      <c r="B249">
        <v>650000</v>
      </c>
      <c r="C249">
        <v>0</v>
      </c>
      <c r="D249">
        <v>80</v>
      </c>
      <c r="E249">
        <v>680</v>
      </c>
      <c r="F249">
        <v>700</v>
      </c>
      <c r="G249" s="9">
        <v>0</v>
      </c>
      <c r="H249" s="1">
        <v>43255</v>
      </c>
      <c r="I249" s="1">
        <v>43252</v>
      </c>
      <c r="J249" s="1">
        <v>73051</v>
      </c>
    </row>
    <row r="250" spans="1:10" x14ac:dyDescent="0.25">
      <c r="A250">
        <v>0</v>
      </c>
      <c r="B250">
        <v>650000</v>
      </c>
      <c r="C250">
        <v>0</v>
      </c>
      <c r="D250">
        <v>80</v>
      </c>
      <c r="E250">
        <v>660</v>
      </c>
      <c r="F250">
        <v>680</v>
      </c>
      <c r="G250" s="9">
        <v>0</v>
      </c>
      <c r="H250" s="1">
        <v>43255</v>
      </c>
      <c r="I250" s="1">
        <v>43252</v>
      </c>
      <c r="J250" s="1">
        <v>73051</v>
      </c>
    </row>
    <row r="251" spans="1:10" x14ac:dyDescent="0.25">
      <c r="A251">
        <v>0</v>
      </c>
      <c r="B251">
        <v>650000</v>
      </c>
      <c r="C251">
        <v>0</v>
      </c>
      <c r="D251">
        <v>80</v>
      </c>
      <c r="E251">
        <v>640</v>
      </c>
      <c r="F251">
        <v>660</v>
      </c>
      <c r="G251" s="9">
        <v>0</v>
      </c>
      <c r="H251" s="1">
        <v>43255</v>
      </c>
      <c r="I251" s="1">
        <v>43252</v>
      </c>
      <c r="J251" s="1">
        <v>73051</v>
      </c>
    </row>
    <row r="252" spans="1:10" x14ac:dyDescent="0.25">
      <c r="A252">
        <v>0</v>
      </c>
      <c r="B252">
        <v>650000</v>
      </c>
      <c r="C252">
        <v>0</v>
      </c>
      <c r="D252">
        <v>80</v>
      </c>
      <c r="E252">
        <v>620</v>
      </c>
      <c r="F252">
        <v>640</v>
      </c>
      <c r="G252" s="9">
        <v>0</v>
      </c>
      <c r="H252" s="1">
        <v>43255</v>
      </c>
      <c r="I252" s="1">
        <v>43252</v>
      </c>
      <c r="J252" s="1">
        <v>73051</v>
      </c>
    </row>
    <row r="253" spans="1:10" x14ac:dyDescent="0.25">
      <c r="A253">
        <v>0</v>
      </c>
      <c r="B253">
        <v>650000</v>
      </c>
      <c r="C253">
        <v>0</v>
      </c>
      <c r="D253">
        <v>80</v>
      </c>
      <c r="E253">
        <v>300</v>
      </c>
      <c r="F253">
        <v>620</v>
      </c>
      <c r="G253" s="9"/>
      <c r="H253" s="1">
        <v>43255</v>
      </c>
      <c r="I253" s="1">
        <v>43252</v>
      </c>
      <c r="J253" s="1">
        <v>73051</v>
      </c>
    </row>
    <row r="254" spans="1:10" x14ac:dyDescent="0.25">
      <c r="G254" s="9"/>
      <c r="H254" s="1"/>
      <c r="I254" s="1"/>
      <c r="J254" s="1"/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2018</vt:lpstr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2018-07-24T17:42:54Z</dcterms:modified>
</cp:coreProperties>
</file>