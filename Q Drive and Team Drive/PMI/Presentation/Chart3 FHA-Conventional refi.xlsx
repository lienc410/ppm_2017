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/>
  </bookViews>
  <sheets>
    <sheet name="Plot Result" sheetId="3" r:id="rId1"/>
    <sheet name="FHA-FHA" sheetId="1" r:id="rId2"/>
    <sheet name="FHA Refi" sheetId="2" r:id="rId3"/>
  </sheets>
  <definedNames>
    <definedName name="Query_from_Agency_8" localSheetId="2" hidden="1">'FHA Refi'!$A$1:$F$30</definedName>
    <definedName name="Query_from_Agency_8" localSheetId="1" hidden="1">'FHA-FHA'!$O$1:$P$40</definedName>
  </definedNames>
  <calcPr calcId="145621"/>
</workbook>
</file>

<file path=xl/calcChain.xml><?xml version="1.0" encoding="utf-8"?>
<calcChain xmlns="http://schemas.openxmlformats.org/spreadsheetml/2006/main">
  <c r="C13" i="3" l="1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12" i="3"/>
  <c r="B37" i="3" l="1"/>
  <c r="B38" i="3"/>
  <c r="B39" i="3"/>
  <c r="B40" i="3"/>
  <c r="E3" i="1" l="1"/>
  <c r="F3" i="1" s="1"/>
  <c r="B3" i="3" s="1"/>
  <c r="E4" i="1"/>
  <c r="F4" i="1" s="1"/>
  <c r="B4" i="3" s="1"/>
  <c r="E5" i="1"/>
  <c r="F5" i="1" s="1"/>
  <c r="B5" i="3" s="1"/>
  <c r="E6" i="1"/>
  <c r="F6" i="1" s="1"/>
  <c r="B6" i="3" s="1"/>
  <c r="E7" i="1"/>
  <c r="F7" i="1" s="1"/>
  <c r="B7" i="3" s="1"/>
  <c r="E8" i="1"/>
  <c r="F8" i="1" s="1"/>
  <c r="B8" i="3" s="1"/>
  <c r="E9" i="1"/>
  <c r="F9" i="1" s="1"/>
  <c r="B9" i="3" s="1"/>
  <c r="E10" i="1"/>
  <c r="F10" i="1" s="1"/>
  <c r="B10" i="3" s="1"/>
  <c r="E11" i="1"/>
  <c r="F11" i="1" s="1"/>
  <c r="B11" i="3" s="1"/>
  <c r="E12" i="1"/>
  <c r="F12" i="1" s="1"/>
  <c r="B12" i="3" s="1"/>
  <c r="D12" i="3" s="1"/>
  <c r="E13" i="1"/>
  <c r="F13" i="1" s="1"/>
  <c r="B13" i="3" s="1"/>
  <c r="D13" i="3" s="1"/>
  <c r="E14" i="1"/>
  <c r="F14" i="1" s="1"/>
  <c r="B14" i="3" s="1"/>
  <c r="D14" i="3" s="1"/>
  <c r="E15" i="1"/>
  <c r="F15" i="1" s="1"/>
  <c r="B15" i="3" s="1"/>
  <c r="D15" i="3" s="1"/>
  <c r="E16" i="1"/>
  <c r="F16" i="1" s="1"/>
  <c r="B16" i="3" s="1"/>
  <c r="D16" i="3" s="1"/>
  <c r="E17" i="1"/>
  <c r="F17" i="1" s="1"/>
  <c r="B17" i="3" s="1"/>
  <c r="D17" i="3" s="1"/>
  <c r="E18" i="1"/>
  <c r="F18" i="1" s="1"/>
  <c r="B18" i="3" s="1"/>
  <c r="D18" i="3" s="1"/>
  <c r="E19" i="1"/>
  <c r="F19" i="1" s="1"/>
  <c r="B19" i="3" s="1"/>
  <c r="D19" i="3" s="1"/>
  <c r="E20" i="1"/>
  <c r="F20" i="1" s="1"/>
  <c r="B20" i="3" s="1"/>
  <c r="D20" i="3" s="1"/>
  <c r="E21" i="1"/>
  <c r="F21" i="1" s="1"/>
  <c r="B21" i="3" s="1"/>
  <c r="D21" i="3" s="1"/>
  <c r="E22" i="1"/>
  <c r="F22" i="1" s="1"/>
  <c r="B22" i="3" s="1"/>
  <c r="D22" i="3" s="1"/>
  <c r="E23" i="1"/>
  <c r="F23" i="1" s="1"/>
  <c r="B23" i="3" s="1"/>
  <c r="D23" i="3" s="1"/>
  <c r="E24" i="1"/>
  <c r="F24" i="1" s="1"/>
  <c r="B24" i="3" s="1"/>
  <c r="D24" i="3" s="1"/>
  <c r="E25" i="1"/>
  <c r="F25" i="1" s="1"/>
  <c r="B25" i="3" s="1"/>
  <c r="D25" i="3" s="1"/>
  <c r="E26" i="1"/>
  <c r="F26" i="1" s="1"/>
  <c r="B26" i="3" s="1"/>
  <c r="D26" i="3" s="1"/>
  <c r="E27" i="1"/>
  <c r="F27" i="1" s="1"/>
  <c r="B27" i="3" s="1"/>
  <c r="D27" i="3" s="1"/>
  <c r="E28" i="1"/>
  <c r="F28" i="1" s="1"/>
  <c r="B28" i="3" s="1"/>
  <c r="D28" i="3" s="1"/>
  <c r="E29" i="1"/>
  <c r="F29" i="1" s="1"/>
  <c r="B29" i="3" s="1"/>
  <c r="D29" i="3" s="1"/>
  <c r="E30" i="1"/>
  <c r="F30" i="1" s="1"/>
  <c r="B30" i="3" s="1"/>
  <c r="D30" i="3" s="1"/>
  <c r="E31" i="1"/>
  <c r="F31" i="1" s="1"/>
  <c r="B31" i="3" s="1"/>
  <c r="D31" i="3" s="1"/>
  <c r="E32" i="1"/>
  <c r="F32" i="1" s="1"/>
  <c r="B32" i="3" s="1"/>
  <c r="D32" i="3" s="1"/>
  <c r="E33" i="1"/>
  <c r="F33" i="1" s="1"/>
  <c r="B33" i="3" s="1"/>
  <c r="D33" i="3" s="1"/>
  <c r="E34" i="1"/>
  <c r="F34" i="1" s="1"/>
  <c r="B34" i="3" s="1"/>
  <c r="D34" i="3" s="1"/>
  <c r="E35" i="1"/>
  <c r="F35" i="1" s="1"/>
  <c r="B35" i="3" s="1"/>
  <c r="D35" i="3" s="1"/>
  <c r="E36" i="1"/>
  <c r="F36" i="1" s="1"/>
  <c r="B36" i="3" s="1"/>
  <c r="D36" i="3" s="1"/>
  <c r="E37" i="1"/>
  <c r="E38" i="1"/>
  <c r="E39" i="1"/>
  <c r="E40" i="1"/>
  <c r="E2" i="1"/>
  <c r="F2" i="1" s="1"/>
  <c r="B2" i="3" s="1"/>
</calcChain>
</file>

<file path=xl/connections.xml><?xml version="1.0" encoding="utf-8"?>
<connections xmlns="http://schemas.openxmlformats.org/spreadsheetml/2006/main">
  <connection id="1" name="GNMQuery" type="1" refreshedVersion="4" savePassword="1" saveData="1">
    <dbPr connection="DSN=Agency" command="select calcOrigMonth_LL as Asof, avg(OriginalLoanAmount) As FHA_x000d__x000a_from gnm.cello_loan_x000d__x000a_where marketTicker in ('GNSF', 'G2SF')_x000d__x000a_and loanType in ('FHA')_x000d__x000a_--and UFMIPPoints &gt; 0_x000d__x000a_and loanPurposeType like ('RE-FI-%')_x000d__x000a_And calcOrigMonth_LL &gt;= 201301_x000d__x000a_group by calcOrigMonth_LL_x000d__x000a_order by calcOrigMonth_LL"/>
  </connection>
  <connection id="2" name="GNMQuery2" type="1" refreshedVersion="4" savePassword="1" saveData="1">
    <dbPr connection="DSN=Agency" command="select _x000d__x000a_groupByColumn = asOf,_x000d__x000a_PREPAY_CPR1 = (1.0 - power(sum(1*currentRpb)/sum(1*calcScham), 12)),_x000d__x000a_REFI_CPR1 = PREPAY_CPR1 - 0.06,_x000d__x000a_SMM = 1.0 - power(1.0 - REFI_CPR1, 0.083333333),_x000d__x000a_RefiBalance = sum(schamBalance) * SMM, _x000d__x000a_Balance = sum(schamBalance)_x000d__x000a_from_x000d__x000a_GNM.Cello_LoanView_x000d__x000a_where schamBalance &gt; 0_x000d__x000a_and groupByColumn is NOT NULL_x000d__x000a_and  marketTicker in ('G2SF', 'GNSF')_x000d__x000a_and loanType LIKE 'FHA'_x000d__x000a_and agency in ( 'GNM')_x000d__x000a_and asOf &gt;= '2013-01-01'_x000d__x000a_group by groupByColumn_x000d__x000a_order by groupByColumn"/>
  </connection>
</connections>
</file>

<file path=xl/sharedStrings.xml><?xml version="1.0" encoding="utf-8"?>
<sst xmlns="http://schemas.openxmlformats.org/spreadsheetml/2006/main" count="18" uniqueCount="18">
  <si>
    <t>Asof</t>
  </si>
  <si>
    <t>FHA</t>
  </si>
  <si>
    <t>FHA Avg Loan Size</t>
  </si>
  <si>
    <t>Avg Loan Size</t>
  </si>
  <si>
    <t>groupByColumn</t>
  </si>
  <si>
    <t>PREPAY_CPR1</t>
  </si>
  <si>
    <t>Balance</t>
  </si>
  <si>
    <t>Ratio</t>
  </si>
  <si>
    <t>FHA Non-Streamline Refinance</t>
  </si>
  <si>
    <t>FHA Streamline Standard MIP</t>
  </si>
  <si>
    <t>FHA Streamline Low MIP</t>
  </si>
  <si>
    <t>GNM</t>
  </si>
  <si>
    <t>FHA-FHA</t>
  </si>
  <si>
    <t>FHA Refi</t>
  </si>
  <si>
    <t>REFI_CPR1</t>
  </si>
  <si>
    <t>SMM</t>
  </si>
  <si>
    <t>RefiBalance</t>
  </si>
  <si>
    <t>FHA-to-FHA Refinance Applications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</si>
</sst>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 applyAlignment="1">
      <alignment wrapText="1"/>
    </xf>
    <xf numFmtId="164" fontId="0" fillId="0" borderId="0" xfId="1" applyNumberFormat="1" applyFont="1"/>
    <xf numFmtId="14" fontId="2" fillId="0" borderId="0" xfId="0" applyNumberFormat="1" applyFont="1"/>
    <xf numFmtId="9" fontId="0" fillId="0" borderId="0" xfId="2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12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Ratio = 1 - FHA-FHA refi app. / FHA Refi Vol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'Plot Result'!$D$1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'Plot Result'!$A$12:$A$36</c:f>
              <c:numCache>
                <c:formatCode>General</c:formatCode>
                <c:ptCount val="25"/>
                <c:pt idx="0">
                  <c:v>201311</c:v>
                </c:pt>
                <c:pt idx="1">
                  <c:v>201312</c:v>
                </c:pt>
                <c:pt idx="2">
                  <c:v>201401</c:v>
                </c:pt>
                <c:pt idx="3">
                  <c:v>201402</c:v>
                </c:pt>
                <c:pt idx="4">
                  <c:v>201403</c:v>
                </c:pt>
                <c:pt idx="5">
                  <c:v>201404</c:v>
                </c:pt>
                <c:pt idx="6">
                  <c:v>201405</c:v>
                </c:pt>
                <c:pt idx="7">
                  <c:v>201406</c:v>
                </c:pt>
                <c:pt idx="8">
                  <c:v>201407</c:v>
                </c:pt>
                <c:pt idx="9">
                  <c:v>201408</c:v>
                </c:pt>
                <c:pt idx="10">
                  <c:v>201409</c:v>
                </c:pt>
                <c:pt idx="11">
                  <c:v>201410</c:v>
                </c:pt>
                <c:pt idx="12">
                  <c:v>201411</c:v>
                </c:pt>
                <c:pt idx="13">
                  <c:v>201412</c:v>
                </c:pt>
                <c:pt idx="14">
                  <c:v>201501</c:v>
                </c:pt>
                <c:pt idx="15">
                  <c:v>201502</c:v>
                </c:pt>
                <c:pt idx="16">
                  <c:v>201503</c:v>
                </c:pt>
                <c:pt idx="17">
                  <c:v>201504</c:v>
                </c:pt>
                <c:pt idx="18">
                  <c:v>201505</c:v>
                </c:pt>
                <c:pt idx="19">
                  <c:v>201506</c:v>
                </c:pt>
                <c:pt idx="20">
                  <c:v>201507</c:v>
                </c:pt>
                <c:pt idx="21">
                  <c:v>201508</c:v>
                </c:pt>
                <c:pt idx="22">
                  <c:v>201509</c:v>
                </c:pt>
                <c:pt idx="23">
                  <c:v>201510</c:v>
                </c:pt>
                <c:pt idx="24">
                  <c:v>201511</c:v>
                </c:pt>
              </c:numCache>
            </c:numRef>
          </c:cat>
          <c:val>
            <c:numRef>
              <c:f>'Plot Result'!$D$12:$D$36</c:f>
              <c:numCache>
                <c:formatCode>0%</c:formatCode>
                <c:ptCount val="25"/>
                <c:pt idx="0">
                  <c:v>0.50635615862753969</c:v>
                </c:pt>
                <c:pt idx="1">
                  <c:v>0.44088967123452494</c:v>
                </c:pt>
                <c:pt idx="2">
                  <c:v>0.36871526563561119</c:v>
                </c:pt>
                <c:pt idx="3">
                  <c:v>0.4546394748867052</c:v>
                </c:pt>
                <c:pt idx="4">
                  <c:v>0.58152997593243749</c:v>
                </c:pt>
                <c:pt idx="5">
                  <c:v>0.62711474478609597</c:v>
                </c:pt>
                <c:pt idx="6">
                  <c:v>0.68611144408917224</c:v>
                </c:pt>
                <c:pt idx="7">
                  <c:v>0.64700482984976471</c:v>
                </c:pt>
                <c:pt idx="8">
                  <c:v>0.61662627646683243</c:v>
                </c:pt>
                <c:pt idx="9">
                  <c:v>0.65991208303855298</c:v>
                </c:pt>
                <c:pt idx="10">
                  <c:v>0.67038879548353003</c:v>
                </c:pt>
                <c:pt idx="11">
                  <c:v>0.58551663312445634</c:v>
                </c:pt>
                <c:pt idx="12">
                  <c:v>0.69294923611720771</c:v>
                </c:pt>
                <c:pt idx="13">
                  <c:v>0.56185792193284456</c:v>
                </c:pt>
                <c:pt idx="14">
                  <c:v>0.39086426093293702</c:v>
                </c:pt>
                <c:pt idx="15">
                  <c:v>0.25074211606575336</c:v>
                </c:pt>
                <c:pt idx="16">
                  <c:v>0.15452917116190601</c:v>
                </c:pt>
                <c:pt idx="17">
                  <c:v>0.13972463246998179</c:v>
                </c:pt>
                <c:pt idx="18">
                  <c:v>0.38713914117674053</c:v>
                </c:pt>
                <c:pt idx="19">
                  <c:v>0.41904118918303346</c:v>
                </c:pt>
                <c:pt idx="20">
                  <c:v>0.43289274753561358</c:v>
                </c:pt>
                <c:pt idx="21">
                  <c:v>0.4072334634221656</c:v>
                </c:pt>
                <c:pt idx="22">
                  <c:v>0.32915864795244254</c:v>
                </c:pt>
                <c:pt idx="23">
                  <c:v>0.1571841678473187</c:v>
                </c:pt>
                <c:pt idx="24">
                  <c:v>0.39993765559108552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10368"/>
        <c:axId val="48011904"/>
      </c:lineChart>
      <c:catAx>
        <c:axId val="4801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48011904"/>
        <c:crosses val="autoZero"/>
        <c:auto val="1"/>
        <c:lblAlgn val="ctr"/>
        <c:lblOffset val="100"/>
        <c:noMultiLvlLbl val="0"/>
      </c:catAx>
      <c:valAx>
        <c:axId val="480119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8010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157162</xdr:colOff>
      <xdr:row>2</xdr:row>
      <xdr:rowOff>80962</xdr:rowOff>
    </xdr:from>
    <xdr:to>
      <xdr:col>12</xdr:col>
      <xdr:colOff>461962</xdr:colOff>
      <xdr:row>16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Query from Agency_8" backgroundRefresh="0" adjustColumnWidth="0" connectionId="1" autoFormatId="16" applyNumberFormats="0" applyBorderFormats="0" applyFontFormats="0" applyPatternFormats="0" applyAlignmentFormats="0" applyWidthHeightFormats="0">
  <queryTableRefresh nextId="78">
    <queryTableFields count="2">
      <queryTableField id="73" name="Asof" tableColumnId="4"/>
      <queryTableField id="75" name="FHA" tableColumnId="6"/>
    </queryTableFields>
  </queryTableRefresh>
</queryTable>
</file>

<file path=xl/queryTables/queryTable2.xml><?xml version="1.0" encoding="utf-8"?>
<queryTable xmlns="http://schemas.openxmlformats.org/spreadsheetml/2006/main" name="Query from Agency_8" backgroundRefresh="0" adjustColumnWidth="0" connectionId="2" autoFormatId="16" applyNumberFormats="0" applyBorderFormats="0" applyFontFormats="0" applyPatternFormats="0" applyAlignmentFormats="0" applyWidthHeightFormats="0">
  <queryTableRefresh nextId="86">
    <queryTableFields count="6">
      <queryTableField id="78" name="groupByColumn" tableColumnId="1"/>
      <queryTableField id="79" name="PREPAY_CPR1" tableColumnId="2"/>
      <queryTableField id="80" name="Balance" tableColumnId="3"/>
      <queryTableField id="83" name="REFI_CPR1" tableColumnId="5"/>
      <queryTableField id="84" name="SMM" tableColumnId="6"/>
      <queryTableField id="85" name="RefiBal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CurrentMtgRatesDataTable934" displayName="CurrentMtgRatesDataTable934" ref="O1:P40" tableType="queryTable" totalsRowShown="0" headerRowDxfId="11" dataDxfId="10">
  <tableColumns count="2">
    <tableColumn id="4" uniqueName="4" name="Asof" queryTableFieldId="73" dataDxfId="9"/>
    <tableColumn id="6" uniqueName="6" name="FHA" queryTableFieldId="75" dataDxfId="0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344" displayName="CurrentMtgRatesDataTable9344" ref="A1:F30" tableType="queryTable" totalsRowShown="0" headerRowDxfId="8" dataDxfId="7">
  <tableColumns count="6">
    <tableColumn id="1" uniqueName="1" name="groupByColumn" queryTableFieldId="78" dataDxfId="5"/>
    <tableColumn id="2" uniqueName="2" name="PREPAY_CPR1" queryTableFieldId="79" dataDxfId="6"/>
    <tableColumn id="3" uniqueName="3" name="Balance" queryTableFieldId="80" dataDxfId="4" dataCellStyle="Comma"/>
    <tableColumn id="5" uniqueName="5" name="REFI_CPR1" queryTableFieldId="83" dataDxfId="3" dataCellStyle="Percent"/>
    <tableColumn id="6" uniqueName="6" name="SMM" queryTableFieldId="84" dataDxfId="1" dataCellStyle="Percent"/>
    <tableColumn id="7" uniqueName="7" name="RefiBalance" queryTableFieldId="85" dataDxfId="2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C12" sqref="C12:C40"/>
    </sheetView>
  </sheetViews>
  <sheetFormatPr defaultRowHeight="15" x14ac:dyDescent="0.25"/>
  <cols>
    <col min="2" max="2" width="19" style="6" bestFit="1" customWidth="1"/>
    <col min="3" max="3" width="20" style="6" bestFit="1" customWidth="1"/>
    <col min="4" max="4" width="14.7109375" bestFit="1" customWidth="1"/>
  </cols>
  <sheetData>
    <row r="1" spans="1:4" x14ac:dyDescent="0.25">
      <c r="B1" s="6" t="s">
        <v>12</v>
      </c>
      <c r="C1" s="6" t="s">
        <v>13</v>
      </c>
      <c r="D1" t="s">
        <v>7</v>
      </c>
    </row>
    <row r="2" spans="1:4" x14ac:dyDescent="0.25">
      <c r="A2">
        <v>201301</v>
      </c>
      <c r="B2" s="6">
        <f>VLOOKUP(A2,'FHA-FHA'!A:H,6,0)</f>
        <v>11947263146.700182</v>
      </c>
      <c r="D2" s="8"/>
    </row>
    <row r="3" spans="1:4" x14ac:dyDescent="0.25">
      <c r="A3">
        <v>201302</v>
      </c>
      <c r="B3" s="6">
        <f>VLOOKUP(A3,'FHA-FHA'!A:H,6,0)</f>
        <v>10197202685.135088</v>
      </c>
      <c r="D3" s="8"/>
    </row>
    <row r="4" spans="1:4" x14ac:dyDescent="0.25">
      <c r="A4">
        <v>201303</v>
      </c>
      <c r="B4" s="6">
        <f>VLOOKUP(A4,'FHA-FHA'!A:H,6,0)</f>
        <v>14644097325.508381</v>
      </c>
      <c r="D4" s="8"/>
    </row>
    <row r="5" spans="1:4" x14ac:dyDescent="0.25">
      <c r="A5">
        <v>201304</v>
      </c>
      <c r="B5" s="6">
        <f>VLOOKUP(A5,'FHA-FHA'!A:H,6,0)</f>
        <v>7638672634.193862</v>
      </c>
      <c r="D5" s="8"/>
    </row>
    <row r="6" spans="1:4" x14ac:dyDescent="0.25">
      <c r="A6">
        <v>201305</v>
      </c>
      <c r="B6" s="6">
        <f>VLOOKUP(A6,'FHA-FHA'!A:H,6,0)</f>
        <v>11086565381.952431</v>
      </c>
      <c r="D6" s="8"/>
    </row>
    <row r="7" spans="1:4" x14ac:dyDescent="0.25">
      <c r="A7">
        <v>201306</v>
      </c>
      <c r="B7" s="6">
        <f>VLOOKUP(A7,'FHA-FHA'!A:H,6,0)</f>
        <v>4538135862.532052</v>
      </c>
      <c r="D7" s="8"/>
    </row>
    <row r="8" spans="1:4" x14ac:dyDescent="0.25">
      <c r="A8">
        <v>201307</v>
      </c>
      <c r="B8" s="6">
        <f>VLOOKUP(A8,'FHA-FHA'!A:H,6,0)</f>
        <v>4638705436.1967468</v>
      </c>
      <c r="D8" s="8"/>
    </row>
    <row r="9" spans="1:4" x14ac:dyDescent="0.25">
      <c r="A9">
        <v>201308</v>
      </c>
      <c r="B9" s="6">
        <f>VLOOKUP(A9,'FHA-FHA'!A:H,6,0)</f>
        <v>3455886148.6938152</v>
      </c>
      <c r="D9" s="8"/>
    </row>
    <row r="10" spans="1:4" x14ac:dyDescent="0.25">
      <c r="A10">
        <v>201309</v>
      </c>
      <c r="B10" s="6">
        <f>VLOOKUP(A10,'FHA-FHA'!A:H,6,0)</f>
        <v>2258579656.9600368</v>
      </c>
      <c r="D10" s="8"/>
    </row>
    <row r="11" spans="1:4" x14ac:dyDescent="0.25">
      <c r="A11">
        <v>201310</v>
      </c>
      <c r="B11" s="6">
        <f>VLOOKUP(A11,'FHA-FHA'!A:H,6,0)</f>
        <v>2828621702.4528928</v>
      </c>
      <c r="D11" s="8"/>
    </row>
    <row r="12" spans="1:4" x14ac:dyDescent="0.25">
      <c r="A12">
        <v>201311</v>
      </c>
      <c r="B12" s="6">
        <f>VLOOKUP(A12,'FHA-FHA'!A:H,6,0)</f>
        <v>2424279037.6626916</v>
      </c>
      <c r="C12" s="6">
        <f>'FHA Refi'!F4</f>
        <v>4910988114.269906</v>
      </c>
      <c r="D12" s="8">
        <f>1-B12/C12</f>
        <v>0.50635615862753969</v>
      </c>
    </row>
    <row r="13" spans="1:4" x14ac:dyDescent="0.25">
      <c r="A13">
        <v>201312</v>
      </c>
      <c r="B13" s="6">
        <f>VLOOKUP(A13,'FHA-FHA'!A:H,6,0)</f>
        <v>2095657440.0618718</v>
      </c>
      <c r="C13" s="6">
        <f>'FHA Refi'!F5</f>
        <v>3748200189.1990056</v>
      </c>
      <c r="D13" s="8">
        <f t="shared" ref="D13:D36" si="0">1-B13/C13</f>
        <v>0.44088967123452494</v>
      </c>
    </row>
    <row r="14" spans="1:4" x14ac:dyDescent="0.25">
      <c r="A14">
        <v>201401</v>
      </c>
      <c r="B14" s="6">
        <f>VLOOKUP(A14,'FHA-FHA'!A:H,6,0)</f>
        <v>2436697893.3478737</v>
      </c>
      <c r="C14" s="6">
        <f>'FHA Refi'!F6</f>
        <v>3859903084.4635758</v>
      </c>
      <c r="D14" s="8">
        <f t="shared" si="0"/>
        <v>0.36871526563561119</v>
      </c>
    </row>
    <row r="15" spans="1:4" x14ac:dyDescent="0.25">
      <c r="A15">
        <v>201402</v>
      </c>
      <c r="B15" s="6">
        <f>VLOOKUP(A15,'FHA-FHA'!A:H,6,0)</f>
        <v>2431269876.0187273</v>
      </c>
      <c r="C15" s="6">
        <f>'FHA Refi'!F7</f>
        <v>4458096550.9259186</v>
      </c>
      <c r="D15" s="8">
        <f t="shared" si="0"/>
        <v>0.4546394748867052</v>
      </c>
    </row>
    <row r="16" spans="1:4" x14ac:dyDescent="0.25">
      <c r="A16">
        <v>201403</v>
      </c>
      <c r="B16" s="6">
        <f>VLOOKUP(A16,'FHA-FHA'!A:H,6,0)</f>
        <v>2633275382.7814569</v>
      </c>
      <c r="C16" s="6">
        <f>'FHA Refi'!F8</f>
        <v>6292626069.5707836</v>
      </c>
      <c r="D16" s="8">
        <f t="shared" si="0"/>
        <v>0.58152997593243749</v>
      </c>
    </row>
    <row r="17" spans="1:4" x14ac:dyDescent="0.25">
      <c r="A17">
        <v>201404</v>
      </c>
      <c r="B17" s="6">
        <f>VLOOKUP(A17,'FHA-FHA'!A:H,6,0)</f>
        <v>2504655438.8533087</v>
      </c>
      <c r="C17" s="6">
        <f>'FHA Refi'!F9</f>
        <v>6716960254.7478685</v>
      </c>
      <c r="D17" s="8">
        <f t="shared" si="0"/>
        <v>0.62711474478609597</v>
      </c>
    </row>
    <row r="18" spans="1:4" x14ac:dyDescent="0.25">
      <c r="A18">
        <v>201405</v>
      </c>
      <c r="B18" s="6">
        <f>VLOOKUP(A18,'FHA-FHA'!A:H,6,0)</f>
        <v>2290694491.6226764</v>
      </c>
      <c r="C18" s="6">
        <f>'FHA Refi'!F10</f>
        <v>7297795502.5331888</v>
      </c>
      <c r="D18" s="8">
        <f t="shared" si="0"/>
        <v>0.68611144408917224</v>
      </c>
    </row>
    <row r="19" spans="1:4" x14ac:dyDescent="0.25">
      <c r="A19">
        <v>201406</v>
      </c>
      <c r="B19" s="6">
        <f>VLOOKUP(A19,'FHA-FHA'!A:H,6,0)</f>
        <v>2537863350.5827889</v>
      </c>
      <c r="C19" s="6">
        <f>'FHA Refi'!F11</f>
        <v>7189512959.9157696</v>
      </c>
      <c r="D19" s="8">
        <f t="shared" si="0"/>
        <v>0.64700482984976471</v>
      </c>
    </row>
    <row r="20" spans="1:4" x14ac:dyDescent="0.25">
      <c r="A20">
        <v>201407</v>
      </c>
      <c r="B20" s="6">
        <f>VLOOKUP(A20,'FHA-FHA'!A:H,6,0)</f>
        <v>2505366065.5602345</v>
      </c>
      <c r="C20" s="6">
        <f>'FHA Refi'!F12</f>
        <v>6535048992.0665703</v>
      </c>
      <c r="D20" s="8">
        <f t="shared" si="0"/>
        <v>0.61662627646683243</v>
      </c>
    </row>
    <row r="21" spans="1:4" x14ac:dyDescent="0.25">
      <c r="A21">
        <v>201408</v>
      </c>
      <c r="B21" s="6">
        <f>VLOOKUP(A21,'FHA-FHA'!A:H,6,0)</f>
        <v>2345438262.1100993</v>
      </c>
      <c r="C21" s="6">
        <f>'FHA Refi'!F13</f>
        <v>6896564520.9205799</v>
      </c>
      <c r="D21" s="8">
        <f t="shared" si="0"/>
        <v>0.65991208303855298</v>
      </c>
    </row>
    <row r="22" spans="1:4" x14ac:dyDescent="0.25">
      <c r="A22">
        <v>201409</v>
      </c>
      <c r="B22" s="6">
        <f>VLOOKUP(A22,'FHA-FHA'!A:H,6,0)</f>
        <v>2289865233.5802469</v>
      </c>
      <c r="C22" s="6">
        <f>'FHA Refi'!F14</f>
        <v>6947170491.1834307</v>
      </c>
      <c r="D22" s="8">
        <f t="shared" si="0"/>
        <v>0.67038879548353003</v>
      </c>
    </row>
    <row r="23" spans="1:4" x14ac:dyDescent="0.25">
      <c r="A23">
        <v>201410</v>
      </c>
      <c r="B23" s="6">
        <f>VLOOKUP(A23,'FHA-FHA'!A:H,6,0)</f>
        <v>2680344717.5488343</v>
      </c>
      <c r="C23" s="6">
        <f>'FHA Refi'!F15</f>
        <v>6466712374.3801699</v>
      </c>
      <c r="D23" s="8">
        <f t="shared" si="0"/>
        <v>0.58551663312445634</v>
      </c>
    </row>
    <row r="24" spans="1:4" x14ac:dyDescent="0.25">
      <c r="A24">
        <v>201411</v>
      </c>
      <c r="B24" s="6">
        <f>VLOOKUP(A24,'FHA-FHA'!A:H,6,0)</f>
        <v>2334270269.201405</v>
      </c>
      <c r="C24" s="6">
        <f>'FHA Refi'!F16</f>
        <v>7602229154.8261547</v>
      </c>
      <c r="D24" s="8">
        <f t="shared" si="0"/>
        <v>0.69294923611720771</v>
      </c>
    </row>
    <row r="25" spans="1:4" x14ac:dyDescent="0.25">
      <c r="A25">
        <v>201412</v>
      </c>
      <c r="B25" s="6">
        <f>VLOOKUP(A25,'FHA-FHA'!A:H,6,0)</f>
        <v>2367225995.7415442</v>
      </c>
      <c r="C25" s="6">
        <f>'FHA Refi'!F17</f>
        <v>5402872981.7151051</v>
      </c>
      <c r="D25" s="8">
        <f t="shared" si="0"/>
        <v>0.56185792193284456</v>
      </c>
    </row>
    <row r="26" spans="1:4" x14ac:dyDescent="0.25">
      <c r="A26">
        <v>201501</v>
      </c>
      <c r="B26" s="6">
        <f>VLOOKUP(A26,'FHA-FHA'!A:H,6,0)</f>
        <v>7167502500.4180918</v>
      </c>
      <c r="C26" s="6">
        <f>'FHA Refi'!F18</f>
        <v>11766675374.187794</v>
      </c>
      <c r="D26" s="8">
        <f t="shared" si="0"/>
        <v>0.39086426093293702</v>
      </c>
    </row>
    <row r="27" spans="1:4" x14ac:dyDescent="0.25">
      <c r="A27">
        <v>201502</v>
      </c>
      <c r="B27" s="6">
        <f>VLOOKUP(A27,'FHA-FHA'!A:H,6,0)</f>
        <v>12500942458.041624</v>
      </c>
      <c r="C27" s="6">
        <f>'FHA Refi'!F19</f>
        <v>16684432324.423405</v>
      </c>
      <c r="D27" s="8">
        <f t="shared" si="0"/>
        <v>0.25074211606575336</v>
      </c>
    </row>
    <row r="28" spans="1:4" x14ac:dyDescent="0.25">
      <c r="A28">
        <v>201503</v>
      </c>
      <c r="B28" s="6">
        <f>VLOOKUP(A28,'FHA-FHA'!A:H,6,0)</f>
        <v>12644203082.469429</v>
      </c>
      <c r="C28" s="6">
        <f>'FHA Refi'!F20</f>
        <v>14955220985.975342</v>
      </c>
      <c r="D28" s="8">
        <f t="shared" si="0"/>
        <v>0.15452917116190601</v>
      </c>
    </row>
    <row r="29" spans="1:4" x14ac:dyDescent="0.25">
      <c r="A29">
        <v>201504</v>
      </c>
      <c r="B29" s="6">
        <f>VLOOKUP(A29,'FHA-FHA'!A:H,6,0)</f>
        <v>11137771433.993998</v>
      </c>
      <c r="C29" s="6">
        <f>'FHA Refi'!F21</f>
        <v>12946751533.723717</v>
      </c>
      <c r="D29" s="8">
        <f t="shared" si="0"/>
        <v>0.13972463246998179</v>
      </c>
    </row>
    <row r="30" spans="1:4" x14ac:dyDescent="0.25">
      <c r="A30">
        <v>201505</v>
      </c>
      <c r="B30" s="6">
        <f>VLOOKUP(A30,'FHA-FHA'!A:H,6,0)</f>
        <v>8420677676.302352</v>
      </c>
      <c r="C30" s="6">
        <f>'FHA Refi'!F22</f>
        <v>13739950194.356853</v>
      </c>
      <c r="D30" s="8">
        <f t="shared" si="0"/>
        <v>0.38713914117674053</v>
      </c>
    </row>
    <row r="31" spans="1:4" x14ac:dyDescent="0.25">
      <c r="A31">
        <v>201506</v>
      </c>
      <c r="B31" s="6">
        <f>VLOOKUP(A31,'FHA-FHA'!A:H,6,0)</f>
        <v>6681050467.8368645</v>
      </c>
      <c r="C31" s="6">
        <f>'FHA Refi'!F23</f>
        <v>11500041557.923384</v>
      </c>
      <c r="D31" s="8">
        <f t="shared" si="0"/>
        <v>0.41904118918303346</v>
      </c>
    </row>
    <row r="32" spans="1:4" x14ac:dyDescent="0.25">
      <c r="A32">
        <v>201507</v>
      </c>
      <c r="B32" s="6">
        <f>VLOOKUP(A32,'FHA-FHA'!A:H,6,0)</f>
        <v>5873260490.0035076</v>
      </c>
      <c r="C32" s="6">
        <f>'FHA Refi'!F24</f>
        <v>10356525092.001606</v>
      </c>
      <c r="D32" s="8">
        <f t="shared" si="0"/>
        <v>0.43289274753561358</v>
      </c>
    </row>
    <row r="33" spans="1:4" x14ac:dyDescent="0.25">
      <c r="A33">
        <v>201508</v>
      </c>
      <c r="B33" s="6">
        <f>VLOOKUP(A33,'FHA-FHA'!A:H,6,0)</f>
        <v>6081394076.4448071</v>
      </c>
      <c r="C33" s="6">
        <f>'FHA Refi'!F25</f>
        <v>10259341074.740776</v>
      </c>
      <c r="D33" s="8">
        <f t="shared" si="0"/>
        <v>0.4072334634221656</v>
      </c>
    </row>
    <row r="34" spans="1:4" x14ac:dyDescent="0.25">
      <c r="A34">
        <v>201509</v>
      </c>
      <c r="B34" s="6">
        <f>VLOOKUP(A34,'FHA-FHA'!A:H,6,0)</f>
        <v>6163485801.2541866</v>
      </c>
      <c r="C34" s="6">
        <f>'FHA Refi'!F26</f>
        <v>9187695097.2712898</v>
      </c>
      <c r="D34" s="8">
        <f t="shared" si="0"/>
        <v>0.32915864795244254</v>
      </c>
    </row>
    <row r="35" spans="1:4" x14ac:dyDescent="0.25">
      <c r="A35">
        <v>201510</v>
      </c>
      <c r="B35" s="6">
        <f>VLOOKUP(A35,'FHA-FHA'!A:H,6,0)</f>
        <v>6140418345.9009981</v>
      </c>
      <c r="C35" s="6">
        <f>'FHA Refi'!F27</f>
        <v>7285599192.1953163</v>
      </c>
      <c r="D35" s="8">
        <f t="shared" si="0"/>
        <v>0.1571841678473187</v>
      </c>
    </row>
    <row r="36" spans="1:4" x14ac:dyDescent="0.25">
      <c r="A36">
        <v>201511</v>
      </c>
      <c r="B36" s="6">
        <f>VLOOKUP(A36,'FHA-FHA'!A:H,6,0)</f>
        <v>5111616235.7335148</v>
      </c>
      <c r="C36" s="6">
        <f>'FHA Refi'!F28</f>
        <v>8518475260.714221</v>
      </c>
      <c r="D36" s="8">
        <f t="shared" si="0"/>
        <v>0.39993765559108552</v>
      </c>
    </row>
    <row r="37" spans="1:4" x14ac:dyDescent="0.25">
      <c r="A37">
        <v>201512</v>
      </c>
      <c r="B37" s="6">
        <f>VLOOKUP(A37,'FHA-FHA'!A:H,6,0)</f>
        <v>0</v>
      </c>
      <c r="C37" s="6">
        <f>'FHA Refi'!F29</f>
        <v>6687800241.8058872</v>
      </c>
      <c r="D37" s="8"/>
    </row>
    <row r="38" spans="1:4" x14ac:dyDescent="0.25">
      <c r="A38">
        <v>201601</v>
      </c>
      <c r="B38" s="6">
        <f>VLOOKUP(A38,'FHA-FHA'!A:H,6,0)</f>
        <v>0</v>
      </c>
      <c r="C38" s="6">
        <f>'FHA Refi'!F30</f>
        <v>7031765923.4534149</v>
      </c>
      <c r="D38" s="8"/>
    </row>
    <row r="39" spans="1:4" x14ac:dyDescent="0.25">
      <c r="A39">
        <v>201602</v>
      </c>
      <c r="B39" s="6">
        <f>VLOOKUP(A39,'FHA-FHA'!A:H,6,0)</f>
        <v>0</v>
      </c>
      <c r="C39" s="6">
        <f>'FHA Refi'!F31</f>
        <v>0</v>
      </c>
      <c r="D39" s="8"/>
    </row>
    <row r="40" spans="1:4" x14ac:dyDescent="0.25">
      <c r="A40">
        <v>201603</v>
      </c>
      <c r="B40" s="6">
        <f>VLOOKUP(A40,'FHA-FHA'!A:H,6,0)</f>
        <v>0</v>
      </c>
      <c r="C40" s="6">
        <f>'FHA Refi'!F32</f>
        <v>0</v>
      </c>
      <c r="D4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selection activeCell="R22" sqref="R22"/>
    </sheetView>
  </sheetViews>
  <sheetFormatPr defaultRowHeight="15" x14ac:dyDescent="0.25"/>
  <cols>
    <col min="4" max="4" width="13.7109375" customWidth="1"/>
    <col min="5" max="5" width="11.5703125" style="6" bestFit="1" customWidth="1"/>
    <col min="6" max="6" width="16.85546875" style="6" bestFit="1" customWidth="1"/>
  </cols>
  <sheetData>
    <row r="1" spans="1:16" ht="75" x14ac:dyDescent="0.25">
      <c r="B1" s="1" t="s">
        <v>8</v>
      </c>
      <c r="C1" s="1" t="s">
        <v>9</v>
      </c>
      <c r="D1" s="1" t="s">
        <v>10</v>
      </c>
      <c r="E1" s="5" t="s">
        <v>2</v>
      </c>
      <c r="F1" s="5" t="s">
        <v>17</v>
      </c>
      <c r="N1" s="1" t="s">
        <v>3</v>
      </c>
      <c r="O1" s="3" t="s">
        <v>0</v>
      </c>
      <c r="P1" s="4" t="s">
        <v>1</v>
      </c>
    </row>
    <row r="2" spans="1:16" x14ac:dyDescent="0.25">
      <c r="A2">
        <v>201301</v>
      </c>
      <c r="B2">
        <v>5044</v>
      </c>
      <c r="C2">
        <v>28274</v>
      </c>
      <c r="D2">
        <v>30639</v>
      </c>
      <c r="E2" s="6">
        <f>VLOOKUP(A2,O:P,2,0)</f>
        <v>186801.49392091847</v>
      </c>
      <c r="F2" s="6">
        <f>SUM(B2:D2)*E2</f>
        <v>11947263146.700182</v>
      </c>
      <c r="O2">
        <v>201301</v>
      </c>
      <c r="P2" s="4">
        <v>186801.49392091847</v>
      </c>
    </row>
    <row r="3" spans="1:16" x14ac:dyDescent="0.25">
      <c r="A3">
        <v>201302</v>
      </c>
      <c r="B3">
        <v>4646</v>
      </c>
      <c r="C3">
        <v>22521</v>
      </c>
      <c r="D3">
        <v>28867</v>
      </c>
      <c r="E3" s="6">
        <f t="shared" ref="E3:E40" si="0">VLOOKUP(A3,O:P,2,0)</f>
        <v>181982.41576783895</v>
      </c>
      <c r="F3" s="6">
        <f t="shared" ref="F3:F36" si="1">SUM(B3:D3)*E3</f>
        <v>10197202685.135088</v>
      </c>
      <c r="O3">
        <v>201302</v>
      </c>
      <c r="P3" s="4">
        <v>181982.41576783895</v>
      </c>
    </row>
    <row r="4" spans="1:16" x14ac:dyDescent="0.25">
      <c r="A4">
        <v>201303</v>
      </c>
      <c r="B4">
        <v>7274</v>
      </c>
      <c r="C4">
        <v>38948</v>
      </c>
      <c r="D4">
        <v>35793</v>
      </c>
      <c r="E4" s="6">
        <f t="shared" si="0"/>
        <v>178553.8904530681</v>
      </c>
      <c r="F4" s="6">
        <f t="shared" si="1"/>
        <v>14644097325.508381</v>
      </c>
      <c r="O4">
        <v>201303</v>
      </c>
      <c r="P4" s="4">
        <v>178553.8904530681</v>
      </c>
    </row>
    <row r="5" spans="1:16" x14ac:dyDescent="0.25">
      <c r="A5">
        <v>201304</v>
      </c>
      <c r="B5">
        <v>3468</v>
      </c>
      <c r="C5">
        <v>14106</v>
      </c>
      <c r="D5">
        <v>25027</v>
      </c>
      <c r="E5" s="6">
        <f t="shared" si="0"/>
        <v>179307.35509011202</v>
      </c>
      <c r="F5" s="6">
        <f t="shared" si="1"/>
        <v>7638672634.193862</v>
      </c>
      <c r="O5">
        <v>201304</v>
      </c>
      <c r="P5" s="4">
        <v>179307.35509011202</v>
      </c>
    </row>
    <row r="6" spans="1:16" x14ac:dyDescent="0.25">
      <c r="A6">
        <v>201305</v>
      </c>
      <c r="B6">
        <v>5219</v>
      </c>
      <c r="C6">
        <v>22913</v>
      </c>
      <c r="D6">
        <v>34164</v>
      </c>
      <c r="E6" s="6">
        <f t="shared" si="0"/>
        <v>177965.92689662948</v>
      </c>
      <c r="F6" s="6">
        <f t="shared" si="1"/>
        <v>11086565381.952431</v>
      </c>
      <c r="O6">
        <v>201305</v>
      </c>
      <c r="P6" s="4">
        <v>177965.92689662948</v>
      </c>
    </row>
    <row r="7" spans="1:16" x14ac:dyDescent="0.25">
      <c r="A7">
        <v>201306</v>
      </c>
      <c r="B7">
        <v>2279</v>
      </c>
      <c r="C7">
        <v>4798</v>
      </c>
      <c r="D7">
        <v>19107</v>
      </c>
      <c r="E7" s="6">
        <f t="shared" si="0"/>
        <v>173317.13498823906</v>
      </c>
      <c r="F7" s="6">
        <f t="shared" si="1"/>
        <v>4538135862.532052</v>
      </c>
      <c r="O7">
        <v>201306</v>
      </c>
      <c r="P7" s="4">
        <v>173317.13498823906</v>
      </c>
    </row>
    <row r="8" spans="1:16" x14ac:dyDescent="0.25">
      <c r="A8">
        <v>201307</v>
      </c>
      <c r="B8">
        <v>2229</v>
      </c>
      <c r="C8">
        <v>3478</v>
      </c>
      <c r="D8">
        <v>22410</v>
      </c>
      <c r="E8" s="6">
        <f t="shared" si="0"/>
        <v>164978.67611042241</v>
      </c>
      <c r="F8" s="6">
        <f t="shared" si="1"/>
        <v>4638705436.1967468</v>
      </c>
      <c r="O8">
        <v>201307</v>
      </c>
      <c r="P8" s="4">
        <v>164978.67611042241</v>
      </c>
    </row>
    <row r="9" spans="1:16" x14ac:dyDescent="0.25">
      <c r="A9">
        <v>201308</v>
      </c>
      <c r="B9">
        <v>2286</v>
      </c>
      <c r="C9">
        <v>3227</v>
      </c>
      <c r="D9">
        <v>16691</v>
      </c>
      <c r="E9" s="6">
        <f t="shared" si="0"/>
        <v>155642.50354412786</v>
      </c>
      <c r="F9" s="6">
        <f t="shared" si="1"/>
        <v>3455886148.6938152</v>
      </c>
      <c r="O9">
        <v>201308</v>
      </c>
      <c r="P9" s="4">
        <v>155642.50354412786</v>
      </c>
    </row>
    <row r="10" spans="1:16" x14ac:dyDescent="0.25">
      <c r="A10">
        <v>201309</v>
      </c>
      <c r="B10">
        <v>2083</v>
      </c>
      <c r="C10">
        <v>1767</v>
      </c>
      <c r="D10">
        <v>11311</v>
      </c>
      <c r="E10" s="6">
        <f t="shared" si="0"/>
        <v>148973.0002611989</v>
      </c>
      <c r="F10" s="6">
        <f t="shared" si="1"/>
        <v>2258579656.9600368</v>
      </c>
      <c r="O10">
        <v>201309</v>
      </c>
      <c r="P10" s="4">
        <v>148973.0002611989</v>
      </c>
    </row>
    <row r="11" spans="1:16" x14ac:dyDescent="0.25">
      <c r="A11">
        <v>201310</v>
      </c>
      <c r="B11">
        <v>2664</v>
      </c>
      <c r="C11">
        <v>2260</v>
      </c>
      <c r="D11">
        <v>14129</v>
      </c>
      <c r="E11" s="6">
        <f t="shared" si="0"/>
        <v>148460.69923124404</v>
      </c>
      <c r="F11" s="6">
        <f t="shared" si="1"/>
        <v>2828621702.4528928</v>
      </c>
      <c r="O11">
        <v>201310</v>
      </c>
      <c r="P11" s="4">
        <v>148460.69923124404</v>
      </c>
    </row>
    <row r="12" spans="1:16" x14ac:dyDescent="0.25">
      <c r="A12">
        <v>201311</v>
      </c>
      <c r="B12">
        <v>2340</v>
      </c>
      <c r="C12">
        <v>2696</v>
      </c>
      <c r="D12">
        <v>10833</v>
      </c>
      <c r="E12" s="6">
        <f t="shared" si="0"/>
        <v>152768.2297348725</v>
      </c>
      <c r="F12" s="6">
        <f t="shared" si="1"/>
        <v>2424279037.6626916</v>
      </c>
      <c r="O12">
        <v>201311</v>
      </c>
      <c r="P12" s="4">
        <v>152768.2297348725</v>
      </c>
    </row>
    <row r="13" spans="1:16" x14ac:dyDescent="0.25">
      <c r="A13">
        <v>201312</v>
      </c>
      <c r="B13">
        <v>2168</v>
      </c>
      <c r="C13">
        <v>2156</v>
      </c>
      <c r="D13">
        <v>9250</v>
      </c>
      <c r="E13" s="6">
        <f t="shared" si="0"/>
        <v>154387.61161498982</v>
      </c>
      <c r="F13" s="6">
        <f t="shared" si="1"/>
        <v>2095657440.0618718</v>
      </c>
      <c r="O13">
        <v>201312</v>
      </c>
      <c r="P13" s="4">
        <v>154387.61161498982</v>
      </c>
    </row>
    <row r="14" spans="1:16" x14ac:dyDescent="0.25">
      <c r="A14">
        <v>201401</v>
      </c>
      <c r="B14">
        <v>2376</v>
      </c>
      <c r="C14">
        <v>1941</v>
      </c>
      <c r="D14">
        <v>11344</v>
      </c>
      <c r="E14" s="6">
        <f t="shared" si="0"/>
        <v>155590.18538713196</v>
      </c>
      <c r="F14" s="6">
        <f t="shared" si="1"/>
        <v>2436697893.3478737</v>
      </c>
      <c r="O14">
        <v>201401</v>
      </c>
      <c r="P14" s="4">
        <v>155590.18538713196</v>
      </c>
    </row>
    <row r="15" spans="1:16" x14ac:dyDescent="0.25">
      <c r="A15">
        <v>201402</v>
      </c>
      <c r="B15">
        <v>2329</v>
      </c>
      <c r="C15">
        <v>2595</v>
      </c>
      <c r="D15">
        <v>10951</v>
      </c>
      <c r="E15" s="6">
        <f t="shared" si="0"/>
        <v>153150.85833188833</v>
      </c>
      <c r="F15" s="6">
        <f t="shared" si="1"/>
        <v>2431269876.0187273</v>
      </c>
      <c r="O15">
        <v>201402</v>
      </c>
      <c r="P15" s="4">
        <v>153150.85833188833</v>
      </c>
    </row>
    <row r="16" spans="1:16" x14ac:dyDescent="0.25">
      <c r="A16">
        <v>201403</v>
      </c>
      <c r="B16">
        <v>2833</v>
      </c>
      <c r="C16">
        <v>3726</v>
      </c>
      <c r="D16">
        <v>10886</v>
      </c>
      <c r="E16" s="6">
        <f t="shared" si="0"/>
        <v>150947.28476821192</v>
      </c>
      <c r="F16" s="6">
        <f t="shared" si="1"/>
        <v>2633275382.7814569</v>
      </c>
      <c r="O16">
        <v>201403</v>
      </c>
      <c r="P16" s="4">
        <v>150947.28476821192</v>
      </c>
    </row>
    <row r="17" spans="1:16" x14ac:dyDescent="0.25">
      <c r="A17">
        <v>201404</v>
      </c>
      <c r="B17">
        <v>3018</v>
      </c>
      <c r="C17">
        <v>2503</v>
      </c>
      <c r="D17">
        <v>11247</v>
      </c>
      <c r="E17" s="6">
        <f t="shared" si="0"/>
        <v>149371.14974077462</v>
      </c>
      <c r="F17" s="6">
        <f t="shared" si="1"/>
        <v>2504655438.8533087</v>
      </c>
      <c r="O17">
        <v>201404</v>
      </c>
      <c r="P17" s="4">
        <v>149371.14974077462</v>
      </c>
    </row>
    <row r="18" spans="1:16" x14ac:dyDescent="0.25">
      <c r="A18">
        <v>201405</v>
      </c>
      <c r="B18">
        <v>3207</v>
      </c>
      <c r="C18">
        <v>2922</v>
      </c>
      <c r="D18">
        <v>9096</v>
      </c>
      <c r="E18" s="6">
        <f t="shared" si="0"/>
        <v>150456.12424451075</v>
      </c>
      <c r="F18" s="6">
        <f t="shared" si="1"/>
        <v>2290694491.6226764</v>
      </c>
      <c r="O18">
        <v>201405</v>
      </c>
      <c r="P18" s="4">
        <v>150456.12424451075</v>
      </c>
    </row>
    <row r="19" spans="1:16" x14ac:dyDescent="0.25">
      <c r="A19">
        <v>201406</v>
      </c>
      <c r="B19">
        <v>3349</v>
      </c>
      <c r="C19">
        <v>3464</v>
      </c>
      <c r="D19">
        <v>9963</v>
      </c>
      <c r="E19" s="6">
        <f t="shared" si="0"/>
        <v>151279.40811771512</v>
      </c>
      <c r="F19" s="6">
        <f t="shared" si="1"/>
        <v>2537863350.5827889</v>
      </c>
      <c r="O19">
        <v>201406</v>
      </c>
      <c r="P19" s="4">
        <v>151279.40811771512</v>
      </c>
    </row>
    <row r="20" spans="1:16" x14ac:dyDescent="0.25">
      <c r="A20">
        <v>201407</v>
      </c>
      <c r="B20">
        <v>3178</v>
      </c>
      <c r="C20">
        <v>3424</v>
      </c>
      <c r="D20">
        <v>9378</v>
      </c>
      <c r="E20" s="6">
        <f t="shared" si="0"/>
        <v>156781.35579225497</v>
      </c>
      <c r="F20" s="6">
        <f t="shared" si="1"/>
        <v>2505366065.5602345</v>
      </c>
      <c r="O20">
        <v>201407</v>
      </c>
      <c r="P20" s="4">
        <v>156781.35579225497</v>
      </c>
    </row>
    <row r="21" spans="1:16" x14ac:dyDescent="0.25">
      <c r="A21">
        <v>201408</v>
      </c>
      <c r="B21">
        <v>3318</v>
      </c>
      <c r="C21">
        <v>3806</v>
      </c>
      <c r="D21">
        <v>7770</v>
      </c>
      <c r="E21" s="6">
        <f t="shared" si="0"/>
        <v>157475.37680341743</v>
      </c>
      <c r="F21" s="6">
        <f t="shared" si="1"/>
        <v>2345438262.1100993</v>
      </c>
      <c r="O21">
        <v>201408</v>
      </c>
      <c r="P21" s="4">
        <v>157475.37680341743</v>
      </c>
    </row>
    <row r="22" spans="1:16" x14ac:dyDescent="0.25">
      <c r="A22">
        <v>201409</v>
      </c>
      <c r="B22">
        <v>3405</v>
      </c>
      <c r="C22">
        <v>3012</v>
      </c>
      <c r="D22">
        <v>8065</v>
      </c>
      <c r="E22" s="6">
        <f t="shared" si="0"/>
        <v>158118.02469135803</v>
      </c>
      <c r="F22" s="6">
        <f t="shared" si="1"/>
        <v>2289865233.5802469</v>
      </c>
      <c r="O22">
        <v>201409</v>
      </c>
      <c r="P22" s="4">
        <v>158118.02469135803</v>
      </c>
    </row>
    <row r="23" spans="1:16" x14ac:dyDescent="0.25">
      <c r="A23">
        <v>201410</v>
      </c>
      <c r="B23">
        <v>4130</v>
      </c>
      <c r="C23">
        <v>5273</v>
      </c>
      <c r="D23">
        <v>7683</v>
      </c>
      <c r="E23" s="6">
        <f t="shared" si="0"/>
        <v>156873.73976055451</v>
      </c>
      <c r="F23" s="6">
        <f t="shared" si="1"/>
        <v>2680344717.5488343</v>
      </c>
      <c r="O23">
        <v>201410</v>
      </c>
      <c r="P23" s="4">
        <v>156873.73976055451</v>
      </c>
    </row>
    <row r="24" spans="1:16" x14ac:dyDescent="0.25">
      <c r="A24">
        <v>201411</v>
      </c>
      <c r="B24">
        <v>3128</v>
      </c>
      <c r="C24">
        <v>5621</v>
      </c>
      <c r="D24">
        <v>5620</v>
      </c>
      <c r="E24" s="6">
        <f t="shared" si="0"/>
        <v>162451.82470606201</v>
      </c>
      <c r="F24" s="6">
        <f t="shared" si="1"/>
        <v>2334270269.201405</v>
      </c>
      <c r="O24">
        <v>201411</v>
      </c>
      <c r="P24" s="4">
        <v>162451.82470606201</v>
      </c>
    </row>
    <row r="25" spans="1:16" x14ac:dyDescent="0.25">
      <c r="A25">
        <v>201412</v>
      </c>
      <c r="B25">
        <v>3084</v>
      </c>
      <c r="C25">
        <v>5796</v>
      </c>
      <c r="D25">
        <v>5253</v>
      </c>
      <c r="E25" s="6">
        <f t="shared" si="0"/>
        <v>167496.35574482023</v>
      </c>
      <c r="F25" s="6">
        <f t="shared" si="1"/>
        <v>2367225995.7415442</v>
      </c>
      <c r="O25">
        <v>201412</v>
      </c>
      <c r="P25" s="4">
        <v>167496.35574482023</v>
      </c>
    </row>
    <row r="26" spans="1:16" x14ac:dyDescent="0.25">
      <c r="A26">
        <v>201501</v>
      </c>
      <c r="B26" s="2">
        <v>7931</v>
      </c>
      <c r="C26" s="2">
        <v>28596</v>
      </c>
      <c r="D26" s="2">
        <v>5336</v>
      </c>
      <c r="E26" s="6">
        <f t="shared" si="0"/>
        <v>171213.30292664387</v>
      </c>
      <c r="F26" s="6">
        <f t="shared" si="1"/>
        <v>7167502500.4180918</v>
      </c>
      <c r="O26">
        <v>201501</v>
      </c>
      <c r="P26" s="4">
        <v>171213.30292664387</v>
      </c>
    </row>
    <row r="27" spans="1:16" x14ac:dyDescent="0.25">
      <c r="A27">
        <v>201502</v>
      </c>
      <c r="B27" s="2">
        <v>11451</v>
      </c>
      <c r="C27" s="2">
        <v>58796</v>
      </c>
      <c r="D27" s="2">
        <v>6248</v>
      </c>
      <c r="E27" s="6">
        <f t="shared" si="0"/>
        <v>163421.69367986958</v>
      </c>
      <c r="F27" s="6">
        <f t="shared" si="1"/>
        <v>12500942458.041624</v>
      </c>
      <c r="O27">
        <v>201502</v>
      </c>
      <c r="P27" s="4">
        <v>163421.69367986958</v>
      </c>
    </row>
    <row r="28" spans="1:16" x14ac:dyDescent="0.25">
      <c r="A28">
        <v>201503</v>
      </c>
      <c r="B28" s="2">
        <v>8990</v>
      </c>
      <c r="C28" s="2">
        <v>43644</v>
      </c>
      <c r="D28" s="2">
        <v>6089</v>
      </c>
      <c r="E28" s="6">
        <f t="shared" si="0"/>
        <v>215319.43331351309</v>
      </c>
      <c r="F28" s="6">
        <f t="shared" si="1"/>
        <v>12644203082.469429</v>
      </c>
      <c r="O28">
        <v>201503</v>
      </c>
      <c r="P28" s="4">
        <v>215319.43331351309</v>
      </c>
    </row>
    <row r="29" spans="1:16" x14ac:dyDescent="0.25">
      <c r="A29">
        <v>201504</v>
      </c>
      <c r="B29" s="2">
        <v>8310</v>
      </c>
      <c r="C29" s="2">
        <v>37770</v>
      </c>
      <c r="D29" s="2">
        <v>5501</v>
      </c>
      <c r="E29" s="6">
        <f t="shared" si="0"/>
        <v>215927.7919000019</v>
      </c>
      <c r="F29" s="6">
        <f t="shared" si="1"/>
        <v>11137771433.993998</v>
      </c>
      <c r="O29">
        <v>201504</v>
      </c>
      <c r="P29" s="4">
        <v>215927.7919000019</v>
      </c>
    </row>
    <row r="30" spans="1:16" x14ac:dyDescent="0.25">
      <c r="A30">
        <v>201505</v>
      </c>
      <c r="B30" s="2">
        <v>6387</v>
      </c>
      <c r="C30" s="2">
        <v>28891</v>
      </c>
      <c r="D30" s="2">
        <v>4664</v>
      </c>
      <c r="E30" s="6">
        <f t="shared" si="0"/>
        <v>210822.63472791426</v>
      </c>
      <c r="F30" s="6">
        <f t="shared" si="1"/>
        <v>8420677676.302352</v>
      </c>
      <c r="O30">
        <v>201505</v>
      </c>
      <c r="P30" s="4">
        <v>210822.63472791426</v>
      </c>
    </row>
    <row r="31" spans="1:16" x14ac:dyDescent="0.25">
      <c r="A31">
        <v>201506</v>
      </c>
      <c r="B31" s="2">
        <v>5390</v>
      </c>
      <c r="C31" s="2">
        <v>22360</v>
      </c>
      <c r="D31" s="2">
        <v>4729</v>
      </c>
      <c r="E31" s="6">
        <f t="shared" si="0"/>
        <v>205703.69986258395</v>
      </c>
      <c r="F31" s="6">
        <f t="shared" si="1"/>
        <v>6681050467.8368645</v>
      </c>
      <c r="O31">
        <v>201506</v>
      </c>
      <c r="P31" s="4">
        <v>205703.69986258395</v>
      </c>
    </row>
    <row r="32" spans="1:16" x14ac:dyDescent="0.25">
      <c r="A32">
        <v>201507</v>
      </c>
      <c r="B32" s="2">
        <v>5633</v>
      </c>
      <c r="C32" s="2">
        <v>18336</v>
      </c>
      <c r="D32" s="2">
        <v>5190</v>
      </c>
      <c r="E32" s="6">
        <f t="shared" si="0"/>
        <v>201421.87626473841</v>
      </c>
      <c r="F32" s="6">
        <f t="shared" si="1"/>
        <v>5873260490.0035076</v>
      </c>
      <c r="O32">
        <v>201507</v>
      </c>
      <c r="P32" s="4">
        <v>201421.87626473841</v>
      </c>
    </row>
    <row r="33" spans="1:16" x14ac:dyDescent="0.25">
      <c r="A33">
        <v>201508</v>
      </c>
      <c r="B33" s="2">
        <v>5722</v>
      </c>
      <c r="C33" s="2">
        <v>19737</v>
      </c>
      <c r="D33" s="2">
        <v>5225</v>
      </c>
      <c r="E33" s="6">
        <f t="shared" si="0"/>
        <v>198194.30571127645</v>
      </c>
      <c r="F33" s="6">
        <f t="shared" si="1"/>
        <v>6081394076.4448071</v>
      </c>
      <c r="O33">
        <v>201508</v>
      </c>
      <c r="P33" s="4">
        <v>198194.30571127645</v>
      </c>
    </row>
    <row r="34" spans="1:16" x14ac:dyDescent="0.25">
      <c r="A34">
        <v>201509</v>
      </c>
      <c r="B34" s="2">
        <v>5806</v>
      </c>
      <c r="C34" s="2">
        <v>20220</v>
      </c>
      <c r="D34" s="2">
        <v>5508</v>
      </c>
      <c r="E34" s="6">
        <f t="shared" si="0"/>
        <v>195455.24834319105</v>
      </c>
      <c r="F34" s="6">
        <f t="shared" si="1"/>
        <v>6163485801.2541866</v>
      </c>
      <c r="O34">
        <v>201509</v>
      </c>
      <c r="P34" s="4">
        <v>195455.24834319105</v>
      </c>
    </row>
    <row r="35" spans="1:16" x14ac:dyDescent="0.25">
      <c r="A35">
        <v>201510</v>
      </c>
      <c r="B35" s="2">
        <v>5711</v>
      </c>
      <c r="C35" s="2">
        <v>20432</v>
      </c>
      <c r="D35" s="2">
        <v>5353</v>
      </c>
      <c r="E35" s="6">
        <f t="shared" si="0"/>
        <v>194958.67239970149</v>
      </c>
      <c r="F35" s="6">
        <f t="shared" si="1"/>
        <v>6140418345.9009981</v>
      </c>
      <c r="O35">
        <v>201510</v>
      </c>
      <c r="P35" s="4">
        <v>194958.67239970149</v>
      </c>
    </row>
    <row r="36" spans="1:16" x14ac:dyDescent="0.25">
      <c r="A36">
        <v>201511</v>
      </c>
      <c r="B36" s="2">
        <v>5148</v>
      </c>
      <c r="C36" s="2">
        <v>17148</v>
      </c>
      <c r="D36" s="2">
        <v>4447</v>
      </c>
      <c r="E36" s="6">
        <f t="shared" si="0"/>
        <v>191138.47495544684</v>
      </c>
      <c r="F36" s="6">
        <f t="shared" si="1"/>
        <v>5111616235.7335148</v>
      </c>
      <c r="O36">
        <v>201511</v>
      </c>
      <c r="P36" s="4">
        <v>191138.47495544684</v>
      </c>
    </row>
    <row r="37" spans="1:16" x14ac:dyDescent="0.25">
      <c r="A37">
        <v>201512</v>
      </c>
      <c r="E37" s="6">
        <f t="shared" si="0"/>
        <v>189041.06819426309</v>
      </c>
      <c r="O37">
        <v>201512</v>
      </c>
      <c r="P37" s="4">
        <v>189041.06819426309</v>
      </c>
    </row>
    <row r="38" spans="1:16" x14ac:dyDescent="0.25">
      <c r="A38">
        <v>201601</v>
      </c>
      <c r="E38" s="6">
        <f t="shared" si="0"/>
        <v>190382.58103002585</v>
      </c>
      <c r="O38">
        <v>201601</v>
      </c>
      <c r="P38" s="4">
        <v>190382.58103002585</v>
      </c>
    </row>
    <row r="39" spans="1:16" x14ac:dyDescent="0.25">
      <c r="A39">
        <v>201602</v>
      </c>
      <c r="E39" s="6">
        <f t="shared" si="0"/>
        <v>186258.3658985761</v>
      </c>
      <c r="O39">
        <v>201602</v>
      </c>
      <c r="P39" s="4">
        <v>186258.3658985761</v>
      </c>
    </row>
    <row r="40" spans="1:16" x14ac:dyDescent="0.25">
      <c r="A40">
        <v>201603</v>
      </c>
      <c r="E40" s="6">
        <f t="shared" si="0"/>
        <v>185913.00837622365</v>
      </c>
      <c r="O40">
        <v>201603</v>
      </c>
      <c r="P40" s="4">
        <v>185913.00837622365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E57" sqref="E57"/>
    </sheetView>
  </sheetViews>
  <sheetFormatPr defaultRowHeight="15" x14ac:dyDescent="0.25"/>
  <cols>
    <col min="3" max="3" width="18" style="6" bestFit="1" customWidth="1"/>
    <col min="4" max="6" width="18" style="6" customWidth="1"/>
    <col min="13" max="13" width="14.140625" bestFit="1" customWidth="1"/>
  </cols>
  <sheetData>
    <row r="1" spans="1:13" x14ac:dyDescent="0.25">
      <c r="A1" s="3" t="s">
        <v>4</v>
      </c>
      <c r="B1" s="3" t="s">
        <v>5</v>
      </c>
      <c r="C1" s="4" t="s">
        <v>6</v>
      </c>
      <c r="D1" s="4" t="s">
        <v>14</v>
      </c>
      <c r="E1" s="4" t="s">
        <v>15</v>
      </c>
      <c r="F1" s="4" t="s">
        <v>16</v>
      </c>
      <c r="G1" t="s">
        <v>11</v>
      </c>
      <c r="J1" s="3"/>
      <c r="K1" s="3"/>
      <c r="L1" s="3"/>
      <c r="M1" s="4"/>
    </row>
    <row r="2" spans="1:13" x14ac:dyDescent="0.25">
      <c r="A2" s="7">
        <v>41579</v>
      </c>
      <c r="B2">
        <v>1</v>
      </c>
      <c r="C2" s="6">
        <v>5270697.16</v>
      </c>
      <c r="D2" s="9">
        <v>0.94</v>
      </c>
      <c r="E2" s="9">
        <v>0.2089949224843437</v>
      </c>
      <c r="F2" s="6">
        <v>1101548.9443926506</v>
      </c>
      <c r="J2" s="7"/>
      <c r="M2" s="4"/>
    </row>
    <row r="3" spans="1:13" x14ac:dyDescent="0.25">
      <c r="A3" s="7">
        <v>41609</v>
      </c>
      <c r="B3">
        <v>0.13630123689242413</v>
      </c>
      <c r="C3" s="6">
        <v>757680605432.62</v>
      </c>
      <c r="D3" s="9">
        <v>7.6301236892424129E-2</v>
      </c>
      <c r="E3" s="9">
        <v>6.5922811214851329E-3</v>
      </c>
      <c r="F3" s="6">
        <v>4994843551.3088865</v>
      </c>
      <c r="J3" s="7"/>
      <c r="M3" s="4"/>
    </row>
    <row r="4" spans="1:13" x14ac:dyDescent="0.25">
      <c r="A4" s="7">
        <v>41640</v>
      </c>
      <c r="B4">
        <v>0.13398359979272267</v>
      </c>
      <c r="C4" s="6">
        <v>769167738593.75</v>
      </c>
      <c r="D4" s="9">
        <v>7.3983599792722676E-2</v>
      </c>
      <c r="E4" s="9">
        <v>6.3848077185979513E-3</v>
      </c>
      <c r="F4" s="6">
        <v>4910988114.269906</v>
      </c>
      <c r="J4" s="7"/>
      <c r="M4" s="4"/>
    </row>
    <row r="5" spans="1:13" x14ac:dyDescent="0.25">
      <c r="A5" s="7">
        <v>41671</v>
      </c>
      <c r="B5">
        <v>0.11620439199029164</v>
      </c>
      <c r="C5" s="6">
        <v>779434505142.46997</v>
      </c>
      <c r="D5" s="9">
        <v>5.6204391990291647E-2</v>
      </c>
      <c r="E5" s="9">
        <v>4.8088712579049675E-3</v>
      </c>
      <c r="F5" s="6">
        <v>3748200189.1990056</v>
      </c>
      <c r="J5" s="7"/>
      <c r="M5" s="4"/>
    </row>
    <row r="6" spans="1:13" x14ac:dyDescent="0.25">
      <c r="A6" s="7">
        <v>41699</v>
      </c>
      <c r="B6">
        <v>0.11714764682994538</v>
      </c>
      <c r="C6" s="6">
        <v>789056699435.71997</v>
      </c>
      <c r="D6" s="9">
        <v>5.7147646829945387E-2</v>
      </c>
      <c r="E6" s="9">
        <v>4.8917943250769147E-3</v>
      </c>
      <c r="F6" s="6">
        <v>3859903084.4635758</v>
      </c>
      <c r="J6" s="7"/>
      <c r="M6" s="4"/>
    </row>
    <row r="7" spans="1:13" x14ac:dyDescent="0.25">
      <c r="A7" s="7">
        <v>41730</v>
      </c>
      <c r="B7">
        <v>0.12511097667511695</v>
      </c>
      <c r="C7" s="6">
        <v>796812839250.78003</v>
      </c>
      <c r="D7" s="9">
        <v>6.5110976675116949E-2</v>
      </c>
      <c r="E7" s="9">
        <v>5.594910537733977E-3</v>
      </c>
      <c r="F7" s="6">
        <v>4458096550.9259186</v>
      </c>
      <c r="J7" s="7"/>
      <c r="M7" s="4"/>
    </row>
    <row r="8" spans="1:13" x14ac:dyDescent="0.25">
      <c r="A8" s="7">
        <v>41760</v>
      </c>
      <c r="B8">
        <v>0.15022870500105145</v>
      </c>
      <c r="C8" s="6">
        <v>801689869147.39001</v>
      </c>
      <c r="D8" s="9">
        <v>9.0228705001051457E-2</v>
      </c>
      <c r="E8" s="9">
        <v>7.8492024306894281E-3</v>
      </c>
      <c r="F8" s="6">
        <v>6292626069.5707836</v>
      </c>
      <c r="J8" s="7"/>
      <c r="M8" s="4"/>
    </row>
    <row r="9" spans="1:13" x14ac:dyDescent="0.25">
      <c r="A9" s="7">
        <v>41791</v>
      </c>
      <c r="B9">
        <v>0.15582654760176984</v>
      </c>
      <c r="C9" s="6">
        <v>803524707999.06995</v>
      </c>
      <c r="D9" s="9">
        <v>9.582654760176984E-2</v>
      </c>
      <c r="E9" s="9">
        <v>8.3593698960102714E-3</v>
      </c>
      <c r="F9" s="6">
        <v>6716960254.7478685</v>
      </c>
      <c r="J9" s="7"/>
      <c r="M9" s="4"/>
    </row>
    <row r="10" spans="1:13" x14ac:dyDescent="0.25">
      <c r="A10" s="7">
        <v>41821</v>
      </c>
      <c r="B10">
        <v>0.16365061920679425</v>
      </c>
      <c r="C10" s="6">
        <v>803960953755.32996</v>
      </c>
      <c r="D10" s="9">
        <v>0.10365061920679425</v>
      </c>
      <c r="E10" s="9">
        <v>9.0773009167235408E-3</v>
      </c>
      <c r="F10" s="6">
        <v>7297795502.5331888</v>
      </c>
      <c r="J10" s="7"/>
      <c r="M10" s="4"/>
    </row>
    <row r="11" spans="1:13" x14ac:dyDescent="0.25">
      <c r="A11" s="7">
        <v>41852</v>
      </c>
      <c r="B11">
        <v>0.1675051105036055</v>
      </c>
      <c r="C11" s="6">
        <v>762157973639.60999</v>
      </c>
      <c r="D11" s="9">
        <v>0.10750511050360551</v>
      </c>
      <c r="E11" s="9">
        <v>9.4331007593910776E-3</v>
      </c>
      <c r="F11" s="6">
        <v>7189512959.9157696</v>
      </c>
      <c r="J11" s="7"/>
      <c r="M11" s="4"/>
    </row>
    <row r="12" spans="1:13" x14ac:dyDescent="0.25">
      <c r="A12" s="7">
        <v>41883</v>
      </c>
      <c r="B12">
        <v>0.16096795459297419</v>
      </c>
      <c r="C12" s="6">
        <v>740054519640.01001</v>
      </c>
      <c r="D12" s="9">
        <v>0.1009679545929742</v>
      </c>
      <c r="E12" s="9">
        <v>8.830496698061463E-3</v>
      </c>
      <c r="F12" s="6">
        <v>6535048992.0665703</v>
      </c>
      <c r="J12" s="7"/>
      <c r="M12" s="4"/>
    </row>
    <row r="13" spans="1:13" x14ac:dyDescent="0.25">
      <c r="A13" s="7">
        <v>41913</v>
      </c>
      <c r="B13">
        <v>0.1609172747862686</v>
      </c>
      <c r="C13" s="6">
        <v>781405961863.87</v>
      </c>
      <c r="D13" s="9">
        <v>0.10091727478626861</v>
      </c>
      <c r="E13" s="9">
        <v>8.8258406737393713E-3</v>
      </c>
      <c r="F13" s="6">
        <v>6896564520.9205799</v>
      </c>
      <c r="J13" s="7"/>
      <c r="M13" s="4"/>
    </row>
    <row r="14" spans="1:13" x14ac:dyDescent="0.25">
      <c r="A14" s="7">
        <v>41944</v>
      </c>
      <c r="B14">
        <v>0.16331467815598044</v>
      </c>
      <c r="C14" s="6">
        <v>767952246989.93005</v>
      </c>
      <c r="D14" s="9">
        <v>0.10331467815598044</v>
      </c>
      <c r="E14" s="9">
        <v>9.0463573984106427E-3</v>
      </c>
      <c r="F14" s="6">
        <v>6947170491.1834307</v>
      </c>
      <c r="J14" s="7"/>
      <c r="M14" s="4"/>
    </row>
    <row r="15" spans="1:13" x14ac:dyDescent="0.25">
      <c r="A15" s="7">
        <v>41974</v>
      </c>
      <c r="B15">
        <v>0.15674768902039804</v>
      </c>
      <c r="C15" s="6">
        <v>765871769848.27002</v>
      </c>
      <c r="D15" s="9">
        <v>9.6747689020398042E-2</v>
      </c>
      <c r="E15" s="9">
        <v>8.4435967337734841E-3</v>
      </c>
      <c r="F15" s="6">
        <v>6466712374.3801699</v>
      </c>
      <c r="J15" s="7"/>
      <c r="M15" s="4"/>
    </row>
    <row r="16" spans="1:13" x14ac:dyDescent="0.25">
      <c r="A16" s="7">
        <v>42005</v>
      </c>
      <c r="B16">
        <v>0.16969552334014826</v>
      </c>
      <c r="C16" s="6">
        <v>788946792083.02002</v>
      </c>
      <c r="D16" s="9">
        <v>0.10969552334014826</v>
      </c>
      <c r="E16" s="9">
        <v>9.6359212447703069E-3</v>
      </c>
      <c r="F16" s="6">
        <v>7602229154.8261547</v>
      </c>
      <c r="J16" s="7"/>
      <c r="M16" s="4"/>
    </row>
    <row r="17" spans="1:13" x14ac:dyDescent="0.25">
      <c r="A17" s="7">
        <v>42036</v>
      </c>
      <c r="B17">
        <v>0.13921325289062314</v>
      </c>
      <c r="C17" s="6">
        <v>788321625342.80005</v>
      </c>
      <c r="D17" s="9">
        <v>7.9213252890623143E-2</v>
      </c>
      <c r="E17" s="9">
        <v>6.8536404533691142E-3</v>
      </c>
      <c r="F17" s="6">
        <v>5402872981.7151051</v>
      </c>
      <c r="J17" s="7"/>
      <c r="M17" s="4"/>
    </row>
    <row r="18" spans="1:13" x14ac:dyDescent="0.25">
      <c r="A18" s="7">
        <v>42064</v>
      </c>
      <c r="B18">
        <v>0.22480034522851877</v>
      </c>
      <c r="C18" s="6">
        <v>789975108363.59998</v>
      </c>
      <c r="D18" s="9">
        <v>0.16480034522851877</v>
      </c>
      <c r="E18" s="9">
        <v>1.489499510758252E-2</v>
      </c>
      <c r="F18" s="6">
        <v>11766675374.187794</v>
      </c>
      <c r="J18" s="7"/>
      <c r="M18" s="4"/>
    </row>
    <row r="19" spans="1:13" x14ac:dyDescent="0.25">
      <c r="A19" s="7">
        <v>42095</v>
      </c>
      <c r="B19">
        <v>0.28696323891652442</v>
      </c>
      <c r="C19" s="6">
        <v>786114415716.53003</v>
      </c>
      <c r="D19" s="9">
        <v>0.22696323891652442</v>
      </c>
      <c r="E19" s="9">
        <v>2.1223923631035091E-2</v>
      </c>
      <c r="F19" s="6">
        <v>16684432324.423405</v>
      </c>
      <c r="J19" s="7"/>
      <c r="M19" s="4"/>
    </row>
    <row r="20" spans="1:13" x14ac:dyDescent="0.25">
      <c r="A20" s="7">
        <v>42125</v>
      </c>
      <c r="B20">
        <v>0.26843292809080788</v>
      </c>
      <c r="C20" s="6">
        <v>775287217667.51001</v>
      </c>
      <c r="D20" s="9">
        <v>0.20843292809080788</v>
      </c>
      <c r="E20" s="9">
        <v>1.9289910429542312E-2</v>
      </c>
      <c r="F20" s="6">
        <v>14955220985.975342</v>
      </c>
      <c r="J20" s="7"/>
      <c r="M20" s="4"/>
    </row>
    <row r="21" spans="1:13" x14ac:dyDescent="0.25">
      <c r="A21" s="7">
        <v>42156</v>
      </c>
      <c r="B21">
        <v>0.24459239693513823</v>
      </c>
      <c r="C21" s="6">
        <v>767814690104.06995</v>
      </c>
      <c r="D21" s="9">
        <v>0.18459239693513824</v>
      </c>
      <c r="E21" s="9">
        <v>1.6861817962832815E-2</v>
      </c>
      <c r="F21" s="6">
        <v>12946751533.723717</v>
      </c>
      <c r="J21" s="7"/>
      <c r="M21" s="4"/>
    </row>
    <row r="22" spans="1:13" x14ac:dyDescent="0.25">
      <c r="A22" s="7">
        <v>42186</v>
      </c>
      <c r="B22">
        <v>0.25654774420196902</v>
      </c>
      <c r="C22" s="6">
        <v>760323841512.78003</v>
      </c>
      <c r="D22" s="9">
        <v>0.19654774420196902</v>
      </c>
      <c r="E22" s="9">
        <v>1.8071181573129591E-2</v>
      </c>
      <c r="F22" s="6">
        <v>13739950194.356853</v>
      </c>
      <c r="J22" s="7"/>
      <c r="M22" s="4"/>
    </row>
    <row r="23" spans="1:13" x14ac:dyDescent="0.25">
      <c r="A23" s="7">
        <v>42217</v>
      </c>
      <c r="B23">
        <v>0.22894256779691091</v>
      </c>
      <c r="C23" s="6">
        <v>751486203270.01001</v>
      </c>
      <c r="D23" s="9">
        <v>0.16894256779691091</v>
      </c>
      <c r="E23" s="9">
        <v>1.5303064125305577E-2</v>
      </c>
      <c r="F23" s="6">
        <v>11500041557.923384</v>
      </c>
      <c r="J23" s="7"/>
      <c r="M23" s="4"/>
    </row>
    <row r="24" spans="1:13" x14ac:dyDescent="0.25">
      <c r="A24" s="7">
        <v>42248</v>
      </c>
      <c r="B24">
        <v>0.21457026638256271</v>
      </c>
      <c r="C24" s="6">
        <v>745337670385.65002</v>
      </c>
      <c r="D24" s="9">
        <v>0.15457026638256272</v>
      </c>
      <c r="E24" s="9">
        <v>1.389507803442025E-2</v>
      </c>
      <c r="F24" s="6">
        <v>10356525092.001606</v>
      </c>
      <c r="J24" s="7"/>
      <c r="M24" s="4"/>
    </row>
    <row r="25" spans="1:13" x14ac:dyDescent="0.25">
      <c r="A25" s="7">
        <v>42278</v>
      </c>
      <c r="B25">
        <v>0.21453705530843659</v>
      </c>
      <c r="C25" s="6">
        <v>738515106477.07996</v>
      </c>
      <c r="D25" s="9">
        <v>0.15453705530843659</v>
      </c>
      <c r="E25" s="9">
        <v>1.3891849990287475E-2</v>
      </c>
      <c r="F25" s="6">
        <v>10259341074.740776</v>
      </c>
      <c r="J25" s="7"/>
      <c r="M25" s="4"/>
    </row>
    <row r="26" spans="1:13" x14ac:dyDescent="0.25">
      <c r="A26" s="7">
        <v>42309</v>
      </c>
      <c r="B26">
        <v>0.19965319804406312</v>
      </c>
      <c r="C26" s="6">
        <v>737568157079.07996</v>
      </c>
      <c r="D26" s="9">
        <v>0.13965319804406312</v>
      </c>
      <c r="E26" s="9">
        <v>1.2456740450477732E-2</v>
      </c>
      <c r="F26" s="6">
        <v>9187695097.2712898</v>
      </c>
      <c r="J26" s="7"/>
      <c r="M26" s="4"/>
    </row>
    <row r="27" spans="1:13" x14ac:dyDescent="0.25">
      <c r="A27" s="7">
        <v>42339</v>
      </c>
      <c r="B27">
        <v>0.17126524886945282</v>
      </c>
      <c r="C27" s="6">
        <v>744830673670.33997</v>
      </c>
      <c r="D27" s="9">
        <v>0.11126524886945283</v>
      </c>
      <c r="E27" s="9">
        <v>9.7815509615006846E-3</v>
      </c>
      <c r="F27" s="6">
        <v>7285599192.1953163</v>
      </c>
      <c r="J27" s="7"/>
      <c r="M27" s="4"/>
    </row>
    <row r="28" spans="1:13" x14ac:dyDescent="0.25">
      <c r="A28" s="7">
        <v>42370</v>
      </c>
      <c r="B28">
        <v>0.18742871704562047</v>
      </c>
      <c r="C28" s="6">
        <v>754182987386.13</v>
      </c>
      <c r="D28" s="9">
        <v>0.12742871704562048</v>
      </c>
      <c r="E28" s="9">
        <v>1.1294971383851826E-2</v>
      </c>
      <c r="F28" s="6">
        <v>8518475260.714221</v>
      </c>
      <c r="J28" s="7"/>
      <c r="M28" s="4"/>
    </row>
    <row r="29" spans="1:13" x14ac:dyDescent="0.25">
      <c r="A29" s="7">
        <v>42401</v>
      </c>
      <c r="B29">
        <v>0.16032274068034247</v>
      </c>
      <c r="C29" s="6">
        <v>762469365750.87</v>
      </c>
      <c r="D29" s="9">
        <v>0.10032274068034247</v>
      </c>
      <c r="E29" s="9">
        <v>8.7712379568454235E-3</v>
      </c>
      <c r="F29" s="6">
        <v>6687800241.8058872</v>
      </c>
      <c r="M29" s="6"/>
    </row>
    <row r="30" spans="1:13" x14ac:dyDescent="0.25">
      <c r="A30" s="7">
        <v>42430</v>
      </c>
      <c r="B30">
        <v>0.1635375805379653</v>
      </c>
      <c r="C30" s="6">
        <v>775543507678.69995</v>
      </c>
      <c r="D30" s="9">
        <v>0.1035375805379653</v>
      </c>
      <c r="E30" s="9">
        <v>9.0668877423787375E-3</v>
      </c>
      <c r="F30" s="6">
        <v>7031765923.4534149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 Result</vt:lpstr>
      <vt:lpstr>FHA-FHA</vt:lpstr>
      <vt:lpstr>FHA Refi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2016-03-17T22:15:15Z</dcterms:created>
  <dcterms:modified xsi:type="dcterms:W3CDTF">2016-03-18T19:32:18Z</dcterms:modified>
</cp:coreProperties>
</file>