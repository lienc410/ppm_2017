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34275" windowHeight="18420"/>
  </bookViews>
  <sheets>
    <sheet name="Plot Result" sheetId="3" r:id="rId1"/>
    <sheet name="Conv-FHA" sheetId="1" r:id="rId2"/>
    <sheet name="Conv Refi" sheetId="2" r:id="rId3"/>
  </sheets>
  <definedNames>
    <definedName name="Query_from_Agency_8" localSheetId="2" hidden="1">'Conv Refi'!$A$1:$F$40</definedName>
    <definedName name="Query_from_Agency_8" localSheetId="1" hidden="1">'Conv-FHA'!$M$1:$N$40</definedName>
    <definedName name="Query_from_Agency_9" localSheetId="2" hidden="1">'Conv Refi'!$J$1:$O$28</definedName>
  </definedNames>
  <calcPr calcId="145621"/>
</workbook>
</file>

<file path=xl/calcChain.xml><?xml version="1.0" encoding="utf-8"?>
<calcChain xmlns="http://schemas.openxmlformats.org/spreadsheetml/2006/main">
  <c r="C19" i="3" l="1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18" i="3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2" i="3"/>
  <c r="D2" i="3" l="1"/>
  <c r="D3" i="3"/>
  <c r="D4" i="3"/>
  <c r="D5" i="3"/>
  <c r="D6" i="3"/>
  <c r="D7" i="3"/>
  <c r="D8" i="3"/>
  <c r="D9" i="3"/>
  <c r="D10" i="3"/>
  <c r="D11" i="3"/>
  <c r="D12" i="3"/>
  <c r="D13" i="3"/>
  <c r="D15" i="3"/>
  <c r="D2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2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2" i="1"/>
  <c r="D30" i="3" l="1"/>
  <c r="D22" i="3"/>
  <c r="D32" i="3"/>
  <c r="D24" i="3"/>
  <c r="D16" i="3"/>
  <c r="D31" i="3"/>
  <c r="D23" i="3"/>
  <c r="D33" i="3"/>
  <c r="D17" i="3"/>
  <c r="D36" i="3"/>
  <c r="D28" i="3"/>
  <c r="D20" i="3"/>
  <c r="D35" i="3"/>
  <c r="D27" i="3"/>
  <c r="D19" i="3"/>
  <c r="D34" i="3"/>
  <c r="D26" i="3"/>
  <c r="D18" i="3"/>
  <c r="D29" i="3"/>
  <c r="D21" i="3"/>
  <c r="D14" i="3"/>
</calcChain>
</file>

<file path=xl/connections.xml><?xml version="1.0" encoding="utf-8"?>
<connections xmlns="http://schemas.openxmlformats.org/spreadsheetml/2006/main">
  <connection id="1" name="GNMQuery" type="1" refreshedVersion="4" savePassword="1" saveData="1">
    <dbPr connection="DSN=Agency" command="select calcOrigMonth_LL as Asof, avg(OriginalLoanAmount) As FHA_x000d__x000a_from gnm.cello_loan_x000d__x000a_where marketTicker in ('GNSF', 'G2SF')_x000d__x000a_and loanType in ('FHA')_x000d__x000a_and UFMIPPoints &gt; 0_x000d__x000a_and loanPurposeType like ('RE-FI-%')_x000d__x000a_And calcOrigMonth_LL &gt;= 201301_x000d__x000a_group by calcOrigMonth_LL_x000d__x000a_order by calcOrigMonth_LL"/>
  </connection>
  <connection id="2" name="GNMQuery2" type="1" refreshedVersion="4" savePassword="1" saveData="1">
    <dbPr connection="DSN=Agency" command="select _x000d__x000a_groupByColumn = asOf,_x000d__x000a_PREPAY_CPR1 = (1.0 - power(sum(1*currentRpb)/sum(1*calcScham), 12)),_x000d__x000a_REFI_CPR1 = PREPAY_CPR1 - 0.06,_x000d__x000a_SMM = 1.0 - power(1.0 - REFI_CPR1, 0.083333333),_x000d__x000a_RefiBalance = sum(schamBalance) * SMM, _x000d__x000a_Balance = sum(schamBalance)_x000d__x000a_from_x000d__x000a_FHL.Cello_LoanView_x000d__x000a_where schamBalance &gt; 0_x000d__x000a_and groupByColumn is NOT NULL_x000d__x000a_and  marketTicker in ('FGLMC', 'FGU6', 'FGU9', 'FGT6')_x000d__x000a_and agency in ( 'FHL')_x000d__x000a_and asOf &gt;= '2013-01-01'_x000d__x000a_group by groupByColumn_x000d__x000a_order by groupByColumn"/>
  </connection>
  <connection id="3" name="GNMQuery21" type="1" refreshedVersion="4" savePassword="1" saveData="1">
    <dbPr connection="DSN=Agency" command="select _x000d__x000a_groupByColumn = asOf,_x000d__x000a_PREPAY_CPR1 = (1.0 - power(sum(1*currentRpb)/sum(1*calcScham), 12)),_x000d__x000a_REFI_CPR1 = PREPAY_CPR1 - 0.06,_x000d__x000a_SMM = 1.0 - power(1.0 - REFI_CPR1, 0.083333333),_x000d__x000a_RefiBalance = sum(schamBalance) * SMM, _x000d__x000a_Balance = sum(schamBalance)_x000d__x000a_from_x000d__x000a_FNM.Cello_LoanView_x000d__x000a_where schamBalance &gt; 0_x000d__x000a_and groupByColumn is NOT NULL_x000d__x000a_and  marketTicker in ('FNCL', 'FNCK', 'FNCQ30', 'FNCR')_x000d__x000a_and agency in ( 'FNM')_x000d__x000a_and asOf &gt;= '2013-01-01'_x000d__x000a_group by groupByColumn_x000d__x000a_order by groupByColumn"/>
  </connection>
</connections>
</file>

<file path=xl/sharedStrings.xml><?xml version="1.0" encoding="utf-8"?>
<sst xmlns="http://schemas.openxmlformats.org/spreadsheetml/2006/main" count="23" uniqueCount="17">
  <si>
    <t>Conventionla-to-FHA Refinance Applications</t>
  </si>
  <si>
    <t>Asof</t>
  </si>
  <si>
    <t>FHA</t>
  </si>
  <si>
    <t>FHA Avg Loan Size</t>
  </si>
  <si>
    <t>Conventionla-to-FHA Refinance Applications Volumes</t>
  </si>
  <si>
    <t>Avg Loan Size</t>
  </si>
  <si>
    <t>groupByColumn</t>
  </si>
  <si>
    <t>PREPAY_CPR1</t>
  </si>
  <si>
    <t>Balance</t>
  </si>
  <si>
    <t>Conv-FHA</t>
  </si>
  <si>
    <t>Conv Refi</t>
  </si>
  <si>
    <t>Ratio</t>
  </si>
  <si>
    <t>FHL</t>
  </si>
  <si>
    <t>FNM</t>
  </si>
  <si>
    <t>REFI_CPR1</t>
  </si>
  <si>
    <t>SMM</t>
  </si>
  <si>
    <t>RefiBalance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</si>
</sst>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 applyAlignment="1">
      <alignment wrapText="1"/>
    </xf>
    <xf numFmtId="164" fontId="0" fillId="0" borderId="0" xfId="1" applyNumberFormat="1" applyFont="1"/>
    <xf numFmtId="14" fontId="2" fillId="0" borderId="0" xfId="0" applyNumberFormat="1" applyFont="1"/>
    <xf numFmtId="9" fontId="0" fillId="0" borderId="0" xfId="2" applyFont="1"/>
    <xf numFmtId="10" fontId="2" fillId="0" borderId="0" xfId="2" applyNumberFormat="1" applyFon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Ratio = Conv-FHA refi app. / Conv Refi Vol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'Plot Result'!$D$1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numRef>
              <c:f>'Plot Result'!$A$19:$A$36</c:f>
              <c:numCache>
                <c:formatCode>General</c:formatCode>
                <c:ptCount val="18"/>
                <c:pt idx="0">
                  <c:v>201406</c:v>
                </c:pt>
                <c:pt idx="1">
                  <c:v>201407</c:v>
                </c:pt>
                <c:pt idx="2">
                  <c:v>201408</c:v>
                </c:pt>
                <c:pt idx="3">
                  <c:v>201409</c:v>
                </c:pt>
                <c:pt idx="4">
                  <c:v>201410</c:v>
                </c:pt>
                <c:pt idx="5">
                  <c:v>201411</c:v>
                </c:pt>
                <c:pt idx="6">
                  <c:v>201412</c:v>
                </c:pt>
                <c:pt idx="7">
                  <c:v>201501</c:v>
                </c:pt>
                <c:pt idx="8">
                  <c:v>201502</c:v>
                </c:pt>
                <c:pt idx="9">
                  <c:v>201503</c:v>
                </c:pt>
                <c:pt idx="10">
                  <c:v>201504</c:v>
                </c:pt>
                <c:pt idx="11">
                  <c:v>201505</c:v>
                </c:pt>
                <c:pt idx="12">
                  <c:v>201506</c:v>
                </c:pt>
                <c:pt idx="13">
                  <c:v>201507</c:v>
                </c:pt>
                <c:pt idx="14">
                  <c:v>201508</c:v>
                </c:pt>
                <c:pt idx="15">
                  <c:v>201509</c:v>
                </c:pt>
                <c:pt idx="16">
                  <c:v>201510</c:v>
                </c:pt>
                <c:pt idx="17">
                  <c:v>201511</c:v>
                </c:pt>
              </c:numCache>
            </c:numRef>
          </c:cat>
          <c:val>
            <c:numRef>
              <c:f>'Plot Result'!$D$19:$D$36</c:f>
              <c:numCache>
                <c:formatCode>0%</c:formatCode>
                <c:ptCount val="18"/>
                <c:pt idx="0">
                  <c:v>0.2585867331857794</c:v>
                </c:pt>
                <c:pt idx="1">
                  <c:v>0.31609995333967</c:v>
                </c:pt>
                <c:pt idx="2">
                  <c:v>0.32919073114086805</c:v>
                </c:pt>
                <c:pt idx="3">
                  <c:v>0.298394792516045</c:v>
                </c:pt>
                <c:pt idx="4">
                  <c:v>0.27479039146801637</c:v>
                </c:pt>
                <c:pt idx="5">
                  <c:v>0.1693382598462323</c:v>
                </c:pt>
                <c:pt idx="6">
                  <c:v>0.21774096943387636</c:v>
                </c:pt>
                <c:pt idx="7">
                  <c:v>0.16806439426634678</c:v>
                </c:pt>
                <c:pt idx="8">
                  <c:v>0.14213916613009497</c:v>
                </c:pt>
                <c:pt idx="9">
                  <c:v>0.25831839113173211</c:v>
                </c:pt>
                <c:pt idx="10">
                  <c:v>0.27946879153755932</c:v>
                </c:pt>
                <c:pt idx="11">
                  <c:v>0.2461967735953641</c:v>
                </c:pt>
                <c:pt idx="12">
                  <c:v>0.37172912783848994</c:v>
                </c:pt>
                <c:pt idx="13">
                  <c:v>0.47726003402484707</c:v>
                </c:pt>
                <c:pt idx="14">
                  <c:v>0.4720287737598271</c:v>
                </c:pt>
                <c:pt idx="15">
                  <c:v>0.45395761920684774</c:v>
                </c:pt>
                <c:pt idx="16">
                  <c:v>0.5650895306316519</c:v>
                </c:pt>
                <c:pt idx="17">
                  <c:v>0.4013165564915277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14752"/>
        <c:axId val="53116288"/>
      </c:lineChart>
      <c:catAx>
        <c:axId val="5311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116288"/>
        <c:crosses val="autoZero"/>
        <c:auto val="1"/>
        <c:lblAlgn val="ctr"/>
        <c:lblOffset val="100"/>
        <c:noMultiLvlLbl val="0"/>
      </c:catAx>
      <c:valAx>
        <c:axId val="5311628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crossAx val="5311475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242887</xdr:colOff>
      <xdr:row>1</xdr:row>
      <xdr:rowOff>128587</xdr:rowOff>
    </xdr:from>
    <xdr:to>
      <xdr:col>12</xdr:col>
      <xdr:colOff>547687</xdr:colOff>
      <xdr:row>16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Query from Agency_8" backgroundRefresh="0" adjustColumnWidth="0" connectionId="1" autoFormatId="16" applyNumberFormats="0" applyBorderFormats="0" applyFontFormats="0" applyPatternFormats="0" applyAlignmentFormats="0" applyWidthHeightFormats="0">
  <queryTableRefresh nextId="78">
    <queryTableFields count="2">
      <queryTableField id="73" name="Asof" tableColumnId="4"/>
      <queryTableField id="75" name="FHA" tableColumnId="6"/>
    </queryTableFields>
  </queryTableRefresh>
</queryTable>
</file>

<file path=xl/queryTables/queryTable2.xml><?xml version="1.0" encoding="utf-8"?>
<queryTable xmlns="http://schemas.openxmlformats.org/spreadsheetml/2006/main" name="Query from Agency_8" backgroundRefresh="0" adjustColumnWidth="0" connectionId="2" autoFormatId="16" applyNumberFormats="0" applyBorderFormats="0" applyFontFormats="0" applyPatternFormats="0" applyAlignmentFormats="0" applyWidthHeightFormats="0">
  <queryTableRefresh nextId="86">
    <queryTableFields count="6">
      <queryTableField id="78" name="groupByColumn" tableColumnId="1"/>
      <queryTableField id="79" name="PREPAY_CPR1" tableColumnId="2"/>
      <queryTableField id="80" name="Balance" tableColumnId="3"/>
      <queryTableField id="83" name="REFI_CPR1" tableColumnId="5"/>
      <queryTableField id="84" name="SMM" tableColumnId="6"/>
      <queryTableField id="85" name="RefiBalance" tableColumnId="7"/>
    </queryTableFields>
  </queryTableRefresh>
</queryTable>
</file>

<file path=xl/queryTables/queryTable3.xml><?xml version="1.0" encoding="utf-8"?>
<queryTable xmlns="http://schemas.openxmlformats.org/spreadsheetml/2006/main" name="Query from Agency_9" backgroundRefresh="0" adjustColumnWidth="0" connectionId="3" autoFormatId="16" applyNumberFormats="0" applyBorderFormats="0" applyFontFormats="0" applyPatternFormats="0" applyAlignmentFormats="0" applyWidthHeightFormats="0">
  <queryTableRefresh nextId="86">
    <queryTableFields count="6">
      <queryTableField id="78" name="groupByColumn" tableColumnId="1"/>
      <queryTableField id="79" name="PREPAY_CPR1" tableColumnId="2"/>
      <queryTableField id="80" name="Balance" tableColumnId="3"/>
      <queryTableField id="83" name="REFI_CPR1" tableColumnId="5"/>
      <queryTableField id="84" name="SMM" tableColumnId="6"/>
      <queryTableField id="85" name="RefiBala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CurrentMtgRatesDataTable934" displayName="CurrentMtgRatesDataTable934" ref="M1:N40" tableType="queryTable" totalsRowShown="0" headerRowDxfId="19" dataDxfId="18">
  <tableColumns count="2">
    <tableColumn id="4" uniqueName="4" name="Asof" queryTableFieldId="73" dataDxfId="17"/>
    <tableColumn id="6" uniqueName="6" name="FHA" queryTableFieldId="75" dataDxfId="16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344" displayName="CurrentMtgRatesDataTable9344" ref="A1:F40" tableType="queryTable" totalsRowShown="0" headerRowDxfId="15" dataDxfId="14">
  <tableColumns count="6">
    <tableColumn id="1" uniqueName="1" name="groupByColumn" queryTableFieldId="78" dataDxfId="13"/>
    <tableColumn id="2" uniqueName="2" name="PREPAY_CPR1" queryTableFieldId="79" dataDxfId="12"/>
    <tableColumn id="3" uniqueName="3" name="Balance" queryTableFieldId="80" dataDxfId="11" dataCellStyle="Comma"/>
    <tableColumn id="5" uniqueName="5" name="REFI_CPR1" queryTableFieldId="83" dataDxfId="10" dataCellStyle="Percent"/>
    <tableColumn id="6" uniqueName="6" name="SMM" queryTableFieldId="84" dataDxfId="9" dataCellStyle="Percent"/>
    <tableColumn id="7" uniqueName="7" name="RefiBalance" queryTableFieldId="85" dataDxfId="8" dataCellStyle="Comm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CurrentMtgRatesDataTable93445" displayName="CurrentMtgRatesDataTable93445" ref="J1:O28" tableType="queryTable" totalsRowShown="0" headerRowDxfId="7" dataDxfId="6">
  <tableColumns count="6">
    <tableColumn id="1" uniqueName="1" name="groupByColumn" queryTableFieldId="78" dataDxfId="5"/>
    <tableColumn id="2" uniqueName="2" name="PREPAY_CPR1" queryTableFieldId="79" dataDxfId="4"/>
    <tableColumn id="3" uniqueName="3" name="Balance" queryTableFieldId="80" dataDxfId="3" dataCellStyle="Comma"/>
    <tableColumn id="5" uniqueName="5" name="REFI_CPR1" queryTableFieldId="83" dataDxfId="2" dataCellStyle="Percent"/>
    <tableColumn id="6" uniqueName="6" name="SMM" queryTableFieldId="84" dataDxfId="1" dataCellStyle="Percent"/>
    <tableColumn id="7" uniqueName="7" name="RefiBalance" queryTableFieldId="85" dataDxfId="0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L26" sqref="L26"/>
    </sheetView>
  </sheetViews>
  <sheetFormatPr defaultRowHeight="15" x14ac:dyDescent="0.25"/>
  <cols>
    <col min="2" max="2" width="19" style="6" bestFit="1" customWidth="1"/>
    <col min="3" max="3" width="20" style="6" bestFit="1" customWidth="1"/>
    <col min="4" max="4" width="14.7109375" bestFit="1" customWidth="1"/>
  </cols>
  <sheetData>
    <row r="1" spans="1:4" x14ac:dyDescent="0.25">
      <c r="B1" s="6" t="s">
        <v>9</v>
      </c>
      <c r="C1" s="6" t="s">
        <v>10</v>
      </c>
      <c r="D1" t="s">
        <v>11</v>
      </c>
    </row>
    <row r="2" spans="1:4" x14ac:dyDescent="0.25">
      <c r="A2">
        <v>201301</v>
      </c>
      <c r="B2" s="6">
        <f>VLOOKUP(A2,'Conv-FHA'!A:D,4,0)</f>
        <v>2994807580.0678692</v>
      </c>
      <c r="C2" s="6">
        <f>'Conv Refi'!F4</f>
        <v>16407926049.573374</v>
      </c>
      <c r="D2" s="8">
        <f t="shared" ref="D2:D36" si="0">B2/C2</f>
        <v>0.18252200619503267</v>
      </c>
    </row>
    <row r="3" spans="1:4" x14ac:dyDescent="0.25">
      <c r="A3">
        <v>201302</v>
      </c>
      <c r="B3" s="6">
        <f>VLOOKUP(A3,'Conv-FHA'!A:D,4,0)</f>
        <v>2800796753.8144765</v>
      </c>
      <c r="C3" s="6">
        <f>'Conv Refi'!F5</f>
        <v>16268801349.061646</v>
      </c>
      <c r="D3" s="8">
        <f t="shared" si="0"/>
        <v>0.17215753599302638</v>
      </c>
    </row>
    <row r="4" spans="1:4" x14ac:dyDescent="0.25">
      <c r="A4">
        <v>201303</v>
      </c>
      <c r="B4" s="6">
        <f>VLOOKUP(A4,'Conv-FHA'!A:D,4,0)</f>
        <v>4586096423.8379822</v>
      </c>
      <c r="C4" s="6">
        <f>'Conv Refi'!F6</f>
        <v>15855887447.676811</v>
      </c>
      <c r="D4" s="8">
        <f t="shared" si="0"/>
        <v>0.28923618680895291</v>
      </c>
    </row>
    <row r="5" spans="1:4" x14ac:dyDescent="0.25">
      <c r="A5">
        <v>201304</v>
      </c>
      <c r="B5" s="6">
        <f>VLOOKUP(A5,'Conv-FHA'!A:D,4,0)</f>
        <v>2271099630.6601095</v>
      </c>
      <c r="C5" s="6">
        <f>'Conv Refi'!F7</f>
        <v>16167001561.829386</v>
      </c>
      <c r="D5" s="8">
        <f t="shared" si="0"/>
        <v>0.14047747951124229</v>
      </c>
    </row>
    <row r="6" spans="1:4" x14ac:dyDescent="0.25">
      <c r="A6">
        <v>201305</v>
      </c>
      <c r="B6" s="6">
        <f>VLOOKUP(A6,'Conv-FHA'!A:D,4,0)</f>
        <v>3368086814.2293558</v>
      </c>
      <c r="C6" s="6">
        <f>'Conv Refi'!F8</f>
        <v>14315030083.384848</v>
      </c>
      <c r="D6" s="8">
        <f t="shared" si="0"/>
        <v>0.23528325086362362</v>
      </c>
    </row>
    <row r="7" spans="1:4" x14ac:dyDescent="0.25">
      <c r="A7">
        <v>201306</v>
      </c>
      <c r="B7" s="6">
        <f>VLOOKUP(A7,'Conv-FHA'!A:D,4,0)</f>
        <v>1717995345.6394691</v>
      </c>
      <c r="C7" s="6">
        <f>'Conv Refi'!F9</f>
        <v>12484068932.653818</v>
      </c>
      <c r="D7" s="8">
        <f t="shared" si="0"/>
        <v>0.13761501597814904</v>
      </c>
    </row>
    <row r="8" spans="1:4" x14ac:dyDescent="0.25">
      <c r="A8">
        <v>201307</v>
      </c>
      <c r="B8" s="6">
        <f>VLOOKUP(A8,'Conv-FHA'!A:D,4,0)</f>
        <v>1825047192.6189961</v>
      </c>
      <c r="C8" s="6">
        <f>'Conv Refi'!F10</f>
        <v>8452140714.4139967</v>
      </c>
      <c r="D8" s="8">
        <f t="shared" si="0"/>
        <v>0.21592721350540486</v>
      </c>
    </row>
    <row r="9" spans="1:4" x14ac:dyDescent="0.25">
      <c r="A9">
        <v>201308</v>
      </c>
      <c r="B9" s="6">
        <f>VLOOKUP(A9,'Conv-FHA'!A:D,4,0)</f>
        <v>1693185619.3105996</v>
      </c>
      <c r="C9" s="6">
        <f>'Conv Refi'!F11</f>
        <v>4940067608.0088358</v>
      </c>
      <c r="D9" s="8">
        <f t="shared" si="0"/>
        <v>0.3427454346101676</v>
      </c>
    </row>
    <row r="10" spans="1:4" x14ac:dyDescent="0.25">
      <c r="A10">
        <v>201309</v>
      </c>
      <c r="B10" s="6">
        <f>VLOOKUP(A10,'Conv-FHA'!A:D,4,0)</f>
        <v>1443804408.2771482</v>
      </c>
      <c r="C10" s="6">
        <f>'Conv Refi'!F12</f>
        <v>4175854610.9404941</v>
      </c>
      <c r="D10" s="8">
        <f t="shared" si="0"/>
        <v>0.34575064095729419</v>
      </c>
    </row>
    <row r="11" spans="1:4" x14ac:dyDescent="0.25">
      <c r="A11">
        <v>201310</v>
      </c>
      <c r="B11" s="6">
        <f>VLOOKUP(A11,'Conv-FHA'!A:D,4,0)</f>
        <v>1791936105.9805019</v>
      </c>
      <c r="C11" s="6">
        <f>'Conv Refi'!F13</f>
        <v>3284577532.3649383</v>
      </c>
      <c r="D11" s="8">
        <f t="shared" si="0"/>
        <v>0.54556060507735515</v>
      </c>
    </row>
    <row r="12" spans="1:4" x14ac:dyDescent="0.25">
      <c r="A12">
        <v>201311</v>
      </c>
      <c r="B12" s="6">
        <f>VLOOKUP(A12,'Conv-FHA'!A:D,4,0)</f>
        <v>1472463645.7074943</v>
      </c>
      <c r="C12" s="6">
        <f>'Conv Refi'!F14</f>
        <v>3577004982.9733071</v>
      </c>
      <c r="D12" s="8">
        <f t="shared" si="0"/>
        <v>0.4116470770145646</v>
      </c>
    </row>
    <row r="13" spans="1:4" x14ac:dyDescent="0.25">
      <c r="A13">
        <v>201312</v>
      </c>
      <c r="B13" s="6">
        <f>VLOOKUP(A13,'Conv-FHA'!A:D,4,0)</f>
        <v>1315527844.0366974</v>
      </c>
      <c r="C13" s="6">
        <f>'Conv Refi'!F15</f>
        <v>1830290763.1495428</v>
      </c>
      <c r="D13" s="8">
        <f t="shared" si="0"/>
        <v>0.71875347377755028</v>
      </c>
    </row>
    <row r="14" spans="1:4" x14ac:dyDescent="0.25">
      <c r="A14">
        <v>201401</v>
      </c>
      <c r="B14" s="6">
        <f>VLOOKUP(A14,'Conv-FHA'!A:D,4,0)</f>
        <v>1495002132.4031243</v>
      </c>
      <c r="C14" s="6">
        <f>'Conv Refi'!F16</f>
        <v>1292624171.1962588</v>
      </c>
      <c r="D14" s="8">
        <f t="shared" si="0"/>
        <v>1.1565636522327869</v>
      </c>
    </row>
    <row r="15" spans="1:4" x14ac:dyDescent="0.25">
      <c r="A15">
        <v>201402</v>
      </c>
      <c r="B15" s="6">
        <f>VLOOKUP(A15,'Conv-FHA'!A:D,4,0)</f>
        <v>1416396722.2629073</v>
      </c>
      <c r="C15" s="6">
        <f>'Conv Refi'!F17</f>
        <v>2522668719.444912</v>
      </c>
      <c r="D15" s="8">
        <f t="shared" si="0"/>
        <v>0.56146758840953603</v>
      </c>
    </row>
    <row r="16" spans="1:4" x14ac:dyDescent="0.25">
      <c r="A16">
        <v>201403</v>
      </c>
      <c r="B16" s="6">
        <f>VLOOKUP(A16,'Conv-FHA'!A:D,4,0)</f>
        <v>1647079834.4118767</v>
      </c>
      <c r="C16" s="6">
        <f>'Conv Refi'!F18</f>
        <v>2861570511.5272489</v>
      </c>
      <c r="D16" s="8">
        <f t="shared" si="0"/>
        <v>0.57558596853614263</v>
      </c>
    </row>
    <row r="17" spans="1:4" x14ac:dyDescent="0.25">
      <c r="A17">
        <v>201404</v>
      </c>
      <c r="B17" s="6">
        <f>VLOOKUP(A17,'Conv-FHA'!A:D,4,0)</f>
        <v>1717454513.0111525</v>
      </c>
      <c r="C17" s="6">
        <f>'Conv Refi'!F19</f>
        <v>3413265437.5371456</v>
      </c>
      <c r="D17" s="8">
        <f t="shared" si="0"/>
        <v>0.50317051059773077</v>
      </c>
    </row>
    <row r="18" spans="1:4" x14ac:dyDescent="0.25">
      <c r="A18">
        <v>201405</v>
      </c>
      <c r="B18" s="6">
        <f>VLOOKUP(A18,'Conv-FHA'!A:D,4,0)</f>
        <v>1633182655.2374704</v>
      </c>
      <c r="C18" s="6">
        <f>'Conv Refi'!F20+'Conv Refi'!O8</f>
        <v>5257422349.145565</v>
      </c>
      <c r="D18" s="8">
        <f t="shared" si="0"/>
        <v>0.310643229091704</v>
      </c>
    </row>
    <row r="19" spans="1:4" x14ac:dyDescent="0.25">
      <c r="A19">
        <v>201406</v>
      </c>
      <c r="B19" s="6">
        <f>VLOOKUP(A19,'Conv-FHA'!A:D,4,0)</f>
        <v>1547382121.2660029</v>
      </c>
      <c r="C19" s="6">
        <f>'Conv Refi'!F21+'Conv Refi'!O9</f>
        <v>5983996557.7595949</v>
      </c>
      <c r="D19" s="8">
        <f t="shared" si="0"/>
        <v>0.2585867331857794</v>
      </c>
    </row>
    <row r="20" spans="1:4" x14ac:dyDescent="0.25">
      <c r="A20">
        <v>201407</v>
      </c>
      <c r="B20" s="6">
        <f>VLOOKUP(A20,'Conv-FHA'!A:D,4,0)</f>
        <v>1623875662.3670907</v>
      </c>
      <c r="C20" s="6">
        <f>'Conv Refi'!F22+'Conv Refi'!O10</f>
        <v>5137222088.1732635</v>
      </c>
      <c r="D20" s="8">
        <f t="shared" si="0"/>
        <v>0.31609995333967</v>
      </c>
    </row>
    <row r="21" spans="1:4" x14ac:dyDescent="0.25">
      <c r="A21">
        <v>201408</v>
      </c>
      <c r="B21" s="6">
        <f>VLOOKUP(A21,'Conv-FHA'!A:D,4,0)</f>
        <v>1637891720.4551117</v>
      </c>
      <c r="C21" s="6">
        <f>'Conv Refi'!F23+'Conv Refi'!O11</f>
        <v>4975509835.2213974</v>
      </c>
      <c r="D21" s="8">
        <f t="shared" si="0"/>
        <v>0.32919073114086805</v>
      </c>
    </row>
    <row r="22" spans="1:4" x14ac:dyDescent="0.25">
      <c r="A22">
        <v>201409</v>
      </c>
      <c r="B22" s="6">
        <f>VLOOKUP(A22,'Conv-FHA'!A:D,4,0)</f>
        <v>1657061207.8562474</v>
      </c>
      <c r="C22" s="6">
        <f>'Conv Refi'!F24+'Conv Refi'!O12</f>
        <v>5553251093.5731077</v>
      </c>
      <c r="D22" s="8">
        <f t="shared" si="0"/>
        <v>0.298394792516045</v>
      </c>
    </row>
    <row r="23" spans="1:4" x14ac:dyDescent="0.25">
      <c r="A23">
        <v>201410</v>
      </c>
      <c r="B23" s="6">
        <f>VLOOKUP(A23,'Conv-FHA'!A:D,4,0)</f>
        <v>1847140067.5374324</v>
      </c>
      <c r="C23" s="6">
        <f>'Conv Refi'!F25+'Conv Refi'!O13</f>
        <v>6721996564.9796982</v>
      </c>
      <c r="D23" s="8">
        <f t="shared" si="0"/>
        <v>0.27479039146801637</v>
      </c>
    </row>
    <row r="24" spans="1:4" x14ac:dyDescent="0.25">
      <c r="A24">
        <v>201411</v>
      </c>
      <c r="B24" s="6">
        <f>VLOOKUP(A24,'Conv-FHA'!A:D,4,0)</f>
        <v>1531310613.0746131</v>
      </c>
      <c r="C24" s="6">
        <f>'Conv Refi'!F26+'Conv Refi'!O14</f>
        <v>9042909821.2366219</v>
      </c>
      <c r="D24" s="8">
        <f t="shared" si="0"/>
        <v>0.1693382598462323</v>
      </c>
    </row>
    <row r="25" spans="1:4" x14ac:dyDescent="0.25">
      <c r="A25">
        <v>201412</v>
      </c>
      <c r="B25" s="6">
        <f>VLOOKUP(A25,'Conv-FHA'!A:D,4,0)</f>
        <v>1594437860.9342704</v>
      </c>
      <c r="C25" s="6">
        <f>'Conv Refi'!F27+'Conv Refi'!O15</f>
        <v>7322635997.6250114</v>
      </c>
      <c r="D25" s="8">
        <f t="shared" si="0"/>
        <v>0.21774096943387636</v>
      </c>
    </row>
    <row r="26" spans="1:4" x14ac:dyDescent="0.25">
      <c r="A26">
        <v>201501</v>
      </c>
      <c r="B26" s="6">
        <f>VLOOKUP(A26,'Conv-FHA'!A:D,4,0)</f>
        <v>2605369698.1132078</v>
      </c>
      <c r="C26" s="6">
        <f>'Conv Refi'!F28+'Conv Refi'!O16</f>
        <v>15502210979.823862</v>
      </c>
      <c r="D26" s="8">
        <f t="shared" si="0"/>
        <v>0.16806439426634678</v>
      </c>
    </row>
    <row r="27" spans="1:4" x14ac:dyDescent="0.25">
      <c r="A27">
        <v>201502</v>
      </c>
      <c r="B27" s="6">
        <f>VLOOKUP(A27,'Conv-FHA'!A:D,4,0)</f>
        <v>2920637847.5597897</v>
      </c>
      <c r="C27" s="6">
        <f>'Conv Refi'!F29+'Conv Refi'!O17</f>
        <v>20547734499.065746</v>
      </c>
      <c r="D27" s="8">
        <f t="shared" si="0"/>
        <v>0.14213916613009497</v>
      </c>
    </row>
    <row r="28" spans="1:4" x14ac:dyDescent="0.25">
      <c r="A28">
        <v>201503</v>
      </c>
      <c r="B28" s="6">
        <f>VLOOKUP(A28,'Conv-FHA'!A:D,4,0)</f>
        <v>3726084922.8038116</v>
      </c>
      <c r="C28" s="6">
        <f>'Conv Refi'!F30+'Conv Refi'!O18</f>
        <v>14424388857.793934</v>
      </c>
      <c r="D28" s="8">
        <f t="shared" si="0"/>
        <v>0.25831839113173211</v>
      </c>
    </row>
    <row r="29" spans="1:4" x14ac:dyDescent="0.25">
      <c r="A29">
        <v>201504</v>
      </c>
      <c r="B29" s="6">
        <f>VLOOKUP(A29,'Conv-FHA'!A:D,4,0)</f>
        <v>3817097943.3929505</v>
      </c>
      <c r="C29" s="6">
        <f>'Conv Refi'!F31+'Conv Refi'!O19</f>
        <v>13658405013.283747</v>
      </c>
      <c r="D29" s="8">
        <f t="shared" si="0"/>
        <v>0.27946879153755932</v>
      </c>
    </row>
    <row r="30" spans="1:4" x14ac:dyDescent="0.25">
      <c r="A30">
        <v>201505</v>
      </c>
      <c r="B30" s="6">
        <f>VLOOKUP(A30,'Conv-FHA'!A:D,4,0)</f>
        <v>3365606590.3220787</v>
      </c>
      <c r="C30" s="6">
        <f>'Conv Refi'!F32+'Conv Refi'!O20</f>
        <v>13670392756.054596</v>
      </c>
      <c r="D30" s="8">
        <f t="shared" si="0"/>
        <v>0.2461967735953641</v>
      </c>
    </row>
    <row r="31" spans="1:4" x14ac:dyDescent="0.25">
      <c r="A31">
        <v>201506</v>
      </c>
      <c r="B31" s="6">
        <f>VLOOKUP(A31,'Conv-FHA'!A:D,4,0)</f>
        <v>3886762063.8823252</v>
      </c>
      <c r="C31" s="6">
        <f>'Conv Refi'!F33+'Conv Refi'!O21</f>
        <v>10455898590.683102</v>
      </c>
      <c r="D31" s="8">
        <f t="shared" si="0"/>
        <v>0.37172912783848994</v>
      </c>
    </row>
    <row r="32" spans="1:4" x14ac:dyDescent="0.25">
      <c r="A32">
        <v>201507</v>
      </c>
      <c r="B32" s="6">
        <f>VLOOKUP(A32,'Conv-FHA'!A:D,4,0)</f>
        <v>3890484076.984808</v>
      </c>
      <c r="C32" s="6">
        <f>'Conv Refi'!F34+'Conv Refi'!O22</f>
        <v>8151707244.7391682</v>
      </c>
      <c r="D32" s="8">
        <f t="shared" si="0"/>
        <v>0.47726003402484707</v>
      </c>
    </row>
    <row r="33" spans="1:4" x14ac:dyDescent="0.25">
      <c r="A33">
        <v>201508</v>
      </c>
      <c r="B33" s="6">
        <f>VLOOKUP(A33,'Conv-FHA'!A:D,4,0)</f>
        <v>3834285111.4433742</v>
      </c>
      <c r="C33" s="6">
        <f>'Conv Refi'!F35+'Conv Refi'!O23</f>
        <v>8122990217.1054859</v>
      </c>
      <c r="D33" s="8">
        <f t="shared" si="0"/>
        <v>0.4720287737598271</v>
      </c>
    </row>
    <row r="34" spans="1:4" x14ac:dyDescent="0.25">
      <c r="A34">
        <v>201509</v>
      </c>
      <c r="B34" s="6">
        <f>VLOOKUP(A34,'Conv-FHA'!A:D,4,0)</f>
        <v>3819574385.9726191</v>
      </c>
      <c r="C34" s="6">
        <f>'Conv Refi'!F36+'Conv Refi'!O24</f>
        <v>8413944880.2426939</v>
      </c>
      <c r="D34" s="8">
        <f t="shared" si="0"/>
        <v>0.45395761920684774</v>
      </c>
    </row>
    <row r="35" spans="1:4" x14ac:dyDescent="0.25">
      <c r="A35">
        <v>201510</v>
      </c>
      <c r="B35" s="6">
        <f>VLOOKUP(A35,'Conv-FHA'!A:D,4,0)</f>
        <v>3575968673.4099841</v>
      </c>
      <c r="C35" s="6">
        <f>'Conv Refi'!F37+'Conv Refi'!O25</f>
        <v>6328145328.4275131</v>
      </c>
      <c r="D35" s="8">
        <f t="shared" si="0"/>
        <v>0.5650895306316519</v>
      </c>
    </row>
    <row r="36" spans="1:4" x14ac:dyDescent="0.25">
      <c r="A36">
        <v>201511</v>
      </c>
      <c r="B36" s="6">
        <f>VLOOKUP(A36,'Conv-FHA'!A:D,4,0)</f>
        <v>3311118463.9319973</v>
      </c>
      <c r="C36" s="6">
        <f>'Conv Refi'!F38+'Conv Refi'!O26</f>
        <v>8250640075.4535007</v>
      </c>
      <c r="D36" s="8">
        <f t="shared" si="0"/>
        <v>0.4013165564915277</v>
      </c>
    </row>
    <row r="37" spans="1:4" x14ac:dyDescent="0.25">
      <c r="A37">
        <v>201512</v>
      </c>
      <c r="B37" s="6">
        <f>VLOOKUP(A37,'Conv-FHA'!A:D,4,0)</f>
        <v>0</v>
      </c>
      <c r="C37" s="6">
        <f>'Conv Refi'!F39+'Conv Refi'!O27</f>
        <v>3829459531.3585596</v>
      </c>
      <c r="D37" s="8"/>
    </row>
    <row r="38" spans="1:4" x14ac:dyDescent="0.25">
      <c r="A38">
        <v>201601</v>
      </c>
      <c r="B38" s="6">
        <f>VLOOKUP(A38,'Conv-FHA'!A:D,4,0)</f>
        <v>0</v>
      </c>
      <c r="C38" s="6">
        <f>'Conv Refi'!F40+'Conv Refi'!O28</f>
        <v>5734521588.417861</v>
      </c>
      <c r="D38" s="8"/>
    </row>
    <row r="39" spans="1:4" x14ac:dyDescent="0.25">
      <c r="A39">
        <v>201602</v>
      </c>
      <c r="B39" s="6">
        <f>VLOOKUP(A39,'Conv-FHA'!A:D,4,0)</f>
        <v>0</v>
      </c>
      <c r="C39" s="6">
        <f>'Conv Refi'!F41+'Conv Refi'!O29</f>
        <v>0</v>
      </c>
      <c r="D39" s="8"/>
    </row>
    <row r="40" spans="1:4" x14ac:dyDescent="0.25">
      <c r="A40">
        <v>201603</v>
      </c>
      <c r="B40" s="6">
        <f>VLOOKUP(A40,'Conv-FHA'!A:D,4,0)</f>
        <v>0</v>
      </c>
      <c r="C40" s="6">
        <f>'Conv Refi'!F42+'Conv Refi'!O30</f>
        <v>0</v>
      </c>
      <c r="D40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selection activeCell="B59" sqref="B59"/>
    </sheetView>
  </sheetViews>
  <sheetFormatPr defaultRowHeight="15" x14ac:dyDescent="0.25"/>
  <cols>
    <col min="2" max="2" width="13.7109375" customWidth="1"/>
    <col min="4" max="4" width="16.85546875" style="6" bestFit="1" customWidth="1"/>
  </cols>
  <sheetData>
    <row r="1" spans="1:14" ht="60" x14ac:dyDescent="0.25">
      <c r="B1" s="1" t="s">
        <v>0</v>
      </c>
      <c r="C1" s="1" t="s">
        <v>3</v>
      </c>
      <c r="D1" s="5" t="s">
        <v>4</v>
      </c>
      <c r="L1" s="1" t="s">
        <v>5</v>
      </c>
      <c r="M1" s="3" t="s">
        <v>1</v>
      </c>
      <c r="N1" s="4" t="s">
        <v>2</v>
      </c>
    </row>
    <row r="2" spans="1:14" x14ac:dyDescent="0.25">
      <c r="A2">
        <v>201301</v>
      </c>
      <c r="B2">
        <v>16039</v>
      </c>
      <c r="C2">
        <f>VLOOKUP(A2,M:N,2,0)</f>
        <v>186720.34291837827</v>
      </c>
      <c r="D2" s="6">
        <f>B2*C2</f>
        <v>2994807580.0678692</v>
      </c>
      <c r="M2">
        <v>201301</v>
      </c>
      <c r="N2" s="4">
        <v>186720.34291837827</v>
      </c>
    </row>
    <row r="3" spans="1:14" x14ac:dyDescent="0.25">
      <c r="A3">
        <v>201302</v>
      </c>
      <c r="B3">
        <v>15393</v>
      </c>
      <c r="C3">
        <f t="shared" ref="C3:C40" si="0">VLOOKUP(A3,M:N,2,0)</f>
        <v>181952.62481741549</v>
      </c>
      <c r="D3" s="6">
        <f t="shared" ref="D3:D36" si="1">B3*C3</f>
        <v>2800796753.8144765</v>
      </c>
      <c r="M3">
        <v>201302</v>
      </c>
      <c r="N3" s="4">
        <v>181952.62481741549</v>
      </c>
    </row>
    <row r="4" spans="1:14" x14ac:dyDescent="0.25">
      <c r="A4">
        <v>201303</v>
      </c>
      <c r="B4">
        <v>25683</v>
      </c>
      <c r="C4">
        <f t="shared" si="0"/>
        <v>178565.44888984863</v>
      </c>
      <c r="D4" s="6">
        <f t="shared" si="1"/>
        <v>4586096423.8379822</v>
      </c>
      <c r="M4">
        <v>201303</v>
      </c>
      <c r="N4" s="4">
        <v>178565.44888984863</v>
      </c>
    </row>
    <row r="5" spans="1:14" x14ac:dyDescent="0.25">
      <c r="A5">
        <v>201304</v>
      </c>
      <c r="B5">
        <v>12675</v>
      </c>
      <c r="C5">
        <f t="shared" si="0"/>
        <v>179179.45804024531</v>
      </c>
      <c r="D5" s="6">
        <f t="shared" si="1"/>
        <v>2271099630.6601095</v>
      </c>
      <c r="M5">
        <v>201304</v>
      </c>
      <c r="N5" s="4">
        <v>179179.45804024531</v>
      </c>
    </row>
    <row r="6" spans="1:14" x14ac:dyDescent="0.25">
      <c r="A6">
        <v>201305</v>
      </c>
      <c r="B6">
        <v>18957</v>
      </c>
      <c r="C6">
        <f t="shared" si="0"/>
        <v>177669.82192484866</v>
      </c>
      <c r="D6" s="6">
        <f t="shared" si="1"/>
        <v>3368086814.2293558</v>
      </c>
      <c r="M6">
        <v>201305</v>
      </c>
      <c r="N6" s="4">
        <v>177669.82192484866</v>
      </c>
    </row>
    <row r="7" spans="1:14" x14ac:dyDescent="0.25">
      <c r="A7">
        <v>201306</v>
      </c>
      <c r="B7">
        <v>9929</v>
      </c>
      <c r="C7">
        <f t="shared" si="0"/>
        <v>173028.03360252484</v>
      </c>
      <c r="D7" s="6">
        <f t="shared" si="1"/>
        <v>1717995345.6394691</v>
      </c>
      <c r="M7">
        <v>201306</v>
      </c>
      <c r="N7" s="4">
        <v>173028.03360252484</v>
      </c>
    </row>
    <row r="8" spans="1:14" x14ac:dyDescent="0.25">
      <c r="A8">
        <v>201307</v>
      </c>
      <c r="B8">
        <v>11085</v>
      </c>
      <c r="C8">
        <f t="shared" si="0"/>
        <v>164641.15404772179</v>
      </c>
      <c r="D8" s="6">
        <f t="shared" si="1"/>
        <v>1825047192.6189961</v>
      </c>
      <c r="M8">
        <v>201307</v>
      </c>
      <c r="N8" s="4">
        <v>164641.15404772179</v>
      </c>
    </row>
    <row r="9" spans="1:14" x14ac:dyDescent="0.25">
      <c r="A9">
        <v>201308</v>
      </c>
      <c r="B9">
        <v>10916</v>
      </c>
      <c r="C9">
        <f t="shared" si="0"/>
        <v>155110.44515487354</v>
      </c>
      <c r="D9" s="6">
        <f t="shared" si="1"/>
        <v>1693185619.3105996</v>
      </c>
      <c r="M9">
        <v>201308</v>
      </c>
      <c r="N9" s="4">
        <v>155110.44515487354</v>
      </c>
    </row>
    <row r="10" spans="1:14" x14ac:dyDescent="0.25">
      <c r="A10">
        <v>201309</v>
      </c>
      <c r="B10">
        <v>9743</v>
      </c>
      <c r="C10">
        <f t="shared" si="0"/>
        <v>148188.89544053661</v>
      </c>
      <c r="D10" s="6">
        <f t="shared" si="1"/>
        <v>1443804408.2771482</v>
      </c>
      <c r="M10">
        <v>201309</v>
      </c>
      <c r="N10" s="4">
        <v>148188.89544053661</v>
      </c>
    </row>
    <row r="11" spans="1:14" x14ac:dyDescent="0.25">
      <c r="A11">
        <v>201310</v>
      </c>
      <c r="B11">
        <v>12131</v>
      </c>
      <c r="C11">
        <f t="shared" si="0"/>
        <v>147715.44851871254</v>
      </c>
      <c r="D11" s="6">
        <f t="shared" si="1"/>
        <v>1791936105.9805019</v>
      </c>
      <c r="M11">
        <v>201310</v>
      </c>
      <c r="N11" s="4">
        <v>147715.44851871254</v>
      </c>
    </row>
    <row r="12" spans="1:14" x14ac:dyDescent="0.25">
      <c r="A12">
        <v>201311</v>
      </c>
      <c r="B12">
        <v>9664</v>
      </c>
      <c r="C12">
        <f t="shared" si="0"/>
        <v>152365.85737867284</v>
      </c>
      <c r="D12" s="6">
        <f t="shared" si="1"/>
        <v>1472463645.7074943</v>
      </c>
      <c r="M12">
        <v>201311</v>
      </c>
      <c r="N12" s="4">
        <v>152365.85737867284</v>
      </c>
    </row>
    <row r="13" spans="1:14" x14ac:dyDescent="0.25">
      <c r="A13">
        <v>201312</v>
      </c>
      <c r="B13">
        <v>8534</v>
      </c>
      <c r="C13">
        <f t="shared" si="0"/>
        <v>154151.376146789</v>
      </c>
      <c r="D13" s="6">
        <f t="shared" si="1"/>
        <v>1315527844.0366974</v>
      </c>
      <c r="M13">
        <v>201312</v>
      </c>
      <c r="N13" s="4">
        <v>154151.376146789</v>
      </c>
    </row>
    <row r="14" spans="1:14" x14ac:dyDescent="0.25">
      <c r="A14">
        <v>201401</v>
      </c>
      <c r="B14">
        <v>9609</v>
      </c>
      <c r="C14">
        <f t="shared" si="0"/>
        <v>155583.52923333587</v>
      </c>
      <c r="D14" s="6">
        <f t="shared" si="1"/>
        <v>1495002132.4031243</v>
      </c>
      <c r="M14">
        <v>201401</v>
      </c>
      <c r="N14" s="4">
        <v>155583.52923333587</v>
      </c>
    </row>
    <row r="15" spans="1:14" x14ac:dyDescent="0.25">
      <c r="A15">
        <v>201402</v>
      </c>
      <c r="B15">
        <v>9287</v>
      </c>
      <c r="C15">
        <f t="shared" si="0"/>
        <v>152513.91431709996</v>
      </c>
      <c r="D15" s="6">
        <f t="shared" si="1"/>
        <v>1416396722.2629073</v>
      </c>
      <c r="M15">
        <v>201402</v>
      </c>
      <c r="N15" s="4">
        <v>152513.91431709996</v>
      </c>
    </row>
    <row r="16" spans="1:14" x14ac:dyDescent="0.25">
      <c r="A16">
        <v>201403</v>
      </c>
      <c r="B16">
        <v>10910</v>
      </c>
      <c r="C16">
        <f t="shared" si="0"/>
        <v>150969.73734297679</v>
      </c>
      <c r="D16" s="6">
        <f t="shared" si="1"/>
        <v>1647079834.4118767</v>
      </c>
      <c r="M16">
        <v>201403</v>
      </c>
      <c r="N16" s="4">
        <v>150969.73734297679</v>
      </c>
    </row>
    <row r="17" spans="1:14" x14ac:dyDescent="0.25">
      <c r="A17">
        <v>201404</v>
      </c>
      <c r="B17">
        <v>11511</v>
      </c>
      <c r="C17">
        <f t="shared" si="0"/>
        <v>149201.15654688145</v>
      </c>
      <c r="D17" s="6">
        <f t="shared" si="1"/>
        <v>1717454513.0111525</v>
      </c>
      <c r="M17">
        <v>201404</v>
      </c>
      <c r="N17" s="4">
        <v>149201.15654688145</v>
      </c>
    </row>
    <row r="18" spans="1:14" x14ac:dyDescent="0.25">
      <c r="A18">
        <v>201405</v>
      </c>
      <c r="B18">
        <v>10850</v>
      </c>
      <c r="C18">
        <f t="shared" si="0"/>
        <v>150523.74702649497</v>
      </c>
      <c r="D18" s="6">
        <f t="shared" si="1"/>
        <v>1633182655.2374704</v>
      </c>
      <c r="M18">
        <v>201405</v>
      </c>
      <c r="N18" s="4">
        <v>150523.74702649497</v>
      </c>
    </row>
    <row r="19" spans="1:14" x14ac:dyDescent="0.25">
      <c r="A19">
        <v>201406</v>
      </c>
      <c r="B19">
        <v>10225</v>
      </c>
      <c r="C19">
        <f t="shared" si="0"/>
        <v>151333.21479374112</v>
      </c>
      <c r="D19" s="6">
        <f t="shared" si="1"/>
        <v>1547382121.2660029</v>
      </c>
      <c r="M19">
        <v>201406</v>
      </c>
      <c r="N19" s="4">
        <v>151333.21479374112</v>
      </c>
    </row>
    <row r="20" spans="1:14" x14ac:dyDescent="0.25">
      <c r="A20">
        <v>201407</v>
      </c>
      <c r="B20">
        <v>10370</v>
      </c>
      <c r="C20">
        <f t="shared" si="0"/>
        <v>156593.60292835976</v>
      </c>
      <c r="D20" s="6">
        <f t="shared" si="1"/>
        <v>1623875662.3670907</v>
      </c>
      <c r="M20">
        <v>201407</v>
      </c>
      <c r="N20" s="4">
        <v>156593.60292835976</v>
      </c>
    </row>
    <row r="21" spans="1:14" x14ac:dyDescent="0.25">
      <c r="A21">
        <v>201408</v>
      </c>
      <c r="B21">
        <v>10419</v>
      </c>
      <c r="C21">
        <f t="shared" si="0"/>
        <v>157202.39182792127</v>
      </c>
      <c r="D21" s="6">
        <f t="shared" si="1"/>
        <v>1637891720.4551117</v>
      </c>
      <c r="M21">
        <v>201408</v>
      </c>
      <c r="N21" s="4">
        <v>157202.39182792127</v>
      </c>
    </row>
    <row r="22" spans="1:14" x14ac:dyDescent="0.25">
      <c r="A22">
        <v>201409</v>
      </c>
      <c r="B22">
        <v>10474</v>
      </c>
      <c r="C22">
        <f t="shared" si="0"/>
        <v>158207.10405348934</v>
      </c>
      <c r="D22" s="6">
        <f t="shared" si="1"/>
        <v>1657061207.8562474</v>
      </c>
      <c r="M22">
        <v>201409</v>
      </c>
      <c r="N22" s="4">
        <v>158207.10405348934</v>
      </c>
    </row>
    <row r="23" spans="1:14" x14ac:dyDescent="0.25">
      <c r="A23">
        <v>201410</v>
      </c>
      <c r="B23">
        <v>11776</v>
      </c>
      <c r="C23">
        <f t="shared" si="0"/>
        <v>156856.3236699586</v>
      </c>
      <c r="D23" s="6">
        <f t="shared" si="1"/>
        <v>1847140067.5374324</v>
      </c>
      <c r="M23">
        <v>201410</v>
      </c>
      <c r="N23" s="4">
        <v>156856.3236699586</v>
      </c>
    </row>
    <row r="24" spans="1:14" x14ac:dyDescent="0.25">
      <c r="A24">
        <v>201411</v>
      </c>
      <c r="B24">
        <v>9428</v>
      </c>
      <c r="C24">
        <f t="shared" si="0"/>
        <v>162421.57542157543</v>
      </c>
      <c r="D24" s="6">
        <f t="shared" si="1"/>
        <v>1531310613.0746131</v>
      </c>
      <c r="M24">
        <v>201411</v>
      </c>
      <c r="N24" s="4">
        <v>162421.57542157543</v>
      </c>
    </row>
    <row r="25" spans="1:14" x14ac:dyDescent="0.25">
      <c r="A25">
        <v>201412</v>
      </c>
      <c r="B25">
        <v>9516</v>
      </c>
      <c r="C25">
        <f t="shared" si="0"/>
        <v>167553.36916081025</v>
      </c>
      <c r="D25" s="6">
        <f t="shared" si="1"/>
        <v>1594437860.9342704</v>
      </c>
      <c r="M25">
        <v>201412</v>
      </c>
      <c r="N25" s="4">
        <v>167553.36916081025</v>
      </c>
    </row>
    <row r="26" spans="1:14" x14ac:dyDescent="0.25">
      <c r="A26">
        <v>201501</v>
      </c>
      <c r="B26" s="2">
        <v>15226</v>
      </c>
      <c r="C26">
        <f t="shared" si="0"/>
        <v>171113.20754716982</v>
      </c>
      <c r="D26" s="6">
        <f t="shared" si="1"/>
        <v>2605369698.1132078</v>
      </c>
      <c r="M26">
        <v>201501</v>
      </c>
      <c r="N26" s="4">
        <v>171113.20754716982</v>
      </c>
    </row>
    <row r="27" spans="1:14" x14ac:dyDescent="0.25">
      <c r="A27">
        <v>201502</v>
      </c>
      <c r="B27" s="2">
        <v>17860</v>
      </c>
      <c r="C27">
        <f t="shared" si="0"/>
        <v>163529.5547345907</v>
      </c>
      <c r="D27" s="6">
        <f t="shared" si="1"/>
        <v>2920637847.5597897</v>
      </c>
      <c r="M27">
        <v>201502</v>
      </c>
      <c r="N27" s="4">
        <v>163529.5547345907</v>
      </c>
    </row>
    <row r="28" spans="1:14" x14ac:dyDescent="0.25">
      <c r="A28">
        <v>201503</v>
      </c>
      <c r="B28" s="2">
        <v>17299</v>
      </c>
      <c r="C28">
        <f t="shared" si="0"/>
        <v>215393.08184310142</v>
      </c>
      <c r="D28" s="6">
        <f t="shared" si="1"/>
        <v>3726084922.8038116</v>
      </c>
      <c r="M28">
        <v>201503</v>
      </c>
      <c r="N28" s="4">
        <v>215393.08184310142</v>
      </c>
    </row>
    <row r="29" spans="1:14" x14ac:dyDescent="0.25">
      <c r="A29">
        <v>201504</v>
      </c>
      <c r="B29" s="2">
        <v>17676</v>
      </c>
      <c r="C29">
        <f t="shared" si="0"/>
        <v>215948.06197063535</v>
      </c>
      <c r="D29" s="6">
        <f t="shared" si="1"/>
        <v>3817097943.3929505</v>
      </c>
      <c r="M29">
        <v>201504</v>
      </c>
      <c r="N29" s="4">
        <v>215948.06197063535</v>
      </c>
    </row>
    <row r="30" spans="1:14" x14ac:dyDescent="0.25">
      <c r="A30">
        <v>201505</v>
      </c>
      <c r="B30" s="2">
        <v>15946</v>
      </c>
      <c r="C30">
        <f t="shared" si="0"/>
        <v>211062.74867189757</v>
      </c>
      <c r="D30" s="6">
        <f t="shared" si="1"/>
        <v>3365606590.3220787</v>
      </c>
      <c r="M30">
        <v>201505</v>
      </c>
      <c r="N30" s="4">
        <v>211062.74867189757</v>
      </c>
    </row>
    <row r="31" spans="1:14" x14ac:dyDescent="0.25">
      <c r="A31">
        <v>201506</v>
      </c>
      <c r="B31" s="2">
        <v>18836</v>
      </c>
      <c r="C31">
        <f t="shared" si="0"/>
        <v>206347.52940551736</v>
      </c>
      <c r="D31" s="6">
        <f t="shared" si="1"/>
        <v>3886762063.8823252</v>
      </c>
      <c r="M31">
        <v>201506</v>
      </c>
      <c r="N31" s="4">
        <v>206347.52940551736</v>
      </c>
    </row>
    <row r="32" spans="1:14" x14ac:dyDescent="0.25">
      <c r="A32">
        <v>201507</v>
      </c>
      <c r="B32" s="2">
        <v>19235</v>
      </c>
      <c r="C32">
        <f t="shared" si="0"/>
        <v>202260.67465478595</v>
      </c>
      <c r="D32" s="6">
        <f t="shared" si="1"/>
        <v>3890484076.984808</v>
      </c>
      <c r="M32">
        <v>201507</v>
      </c>
      <c r="N32" s="4">
        <v>202260.67465478595</v>
      </c>
    </row>
    <row r="33" spans="1:14" x14ac:dyDescent="0.25">
      <c r="A33">
        <v>201508</v>
      </c>
      <c r="B33" s="2">
        <v>19280</v>
      </c>
      <c r="C33">
        <f t="shared" si="0"/>
        <v>198873.70909976008</v>
      </c>
      <c r="D33" s="6">
        <f t="shared" si="1"/>
        <v>3834285111.4433742</v>
      </c>
      <c r="M33">
        <v>201508</v>
      </c>
      <c r="N33" s="4">
        <v>198873.70909976008</v>
      </c>
    </row>
    <row r="34" spans="1:14" x14ac:dyDescent="0.25">
      <c r="A34">
        <v>201509</v>
      </c>
      <c r="B34" s="2">
        <v>19474</v>
      </c>
      <c r="C34">
        <f t="shared" si="0"/>
        <v>196137.1257046636</v>
      </c>
      <c r="D34" s="6">
        <f t="shared" si="1"/>
        <v>3819574385.9726191</v>
      </c>
      <c r="M34">
        <v>201509</v>
      </c>
      <c r="N34" s="4">
        <v>196137.1257046636</v>
      </c>
    </row>
    <row r="35" spans="1:14" x14ac:dyDescent="0.25">
      <c r="A35">
        <v>201510</v>
      </c>
      <c r="B35" s="2">
        <v>18302</v>
      </c>
      <c r="C35">
        <f t="shared" si="0"/>
        <v>195386.77048464562</v>
      </c>
      <c r="D35" s="6">
        <f t="shared" si="1"/>
        <v>3575968673.4099841</v>
      </c>
      <c r="M35">
        <v>201510</v>
      </c>
      <c r="N35" s="4">
        <v>195386.77048464562</v>
      </c>
    </row>
    <row r="36" spans="1:14" x14ac:dyDescent="0.25">
      <c r="A36">
        <v>201511</v>
      </c>
      <c r="B36" s="2">
        <v>17283</v>
      </c>
      <c r="C36">
        <f t="shared" si="0"/>
        <v>191582.39101614288</v>
      </c>
      <c r="D36" s="6">
        <f t="shared" si="1"/>
        <v>3311118463.9319973</v>
      </c>
      <c r="M36">
        <v>201511</v>
      </c>
      <c r="N36" s="4">
        <v>191582.39101614288</v>
      </c>
    </row>
    <row r="37" spans="1:14" x14ac:dyDescent="0.25">
      <c r="A37">
        <v>201512</v>
      </c>
      <c r="C37">
        <f t="shared" si="0"/>
        <v>189592.33524664451</v>
      </c>
      <c r="M37">
        <v>201512</v>
      </c>
      <c r="N37" s="4">
        <v>189592.33524664451</v>
      </c>
    </row>
    <row r="38" spans="1:14" x14ac:dyDescent="0.25">
      <c r="A38">
        <v>201601</v>
      </c>
      <c r="C38">
        <f t="shared" si="0"/>
        <v>191398.8283010365</v>
      </c>
      <c r="M38">
        <v>201601</v>
      </c>
      <c r="N38" s="4">
        <v>191398.8283010365</v>
      </c>
    </row>
    <row r="39" spans="1:14" x14ac:dyDescent="0.25">
      <c r="A39">
        <v>201602</v>
      </c>
      <c r="C39">
        <f t="shared" si="0"/>
        <v>186987.56414405251</v>
      </c>
      <c r="M39">
        <v>201602</v>
      </c>
      <c r="N39" s="4">
        <v>186987.56414405251</v>
      </c>
    </row>
    <row r="40" spans="1:14" x14ac:dyDescent="0.25">
      <c r="A40">
        <v>201603</v>
      </c>
      <c r="C40">
        <f t="shared" si="0"/>
        <v>186529.85196919212</v>
      </c>
      <c r="M40">
        <v>201603</v>
      </c>
      <c r="N40" s="4">
        <v>186529.85196919212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workbookViewId="0">
      <selection activeCell="O8" sqref="O8"/>
    </sheetView>
  </sheetViews>
  <sheetFormatPr defaultRowHeight="15" x14ac:dyDescent="0.25"/>
  <cols>
    <col min="3" max="3" width="18" style="6" bestFit="1" customWidth="1"/>
    <col min="4" max="5" width="18" style="10" customWidth="1"/>
    <col min="6" max="6" width="18" style="6" customWidth="1"/>
    <col min="12" max="12" width="20.5703125" style="6" bestFit="1" customWidth="1"/>
    <col min="13" max="14" width="20.5703125" style="10" customWidth="1"/>
    <col min="15" max="15" width="20.5703125" style="6" customWidth="1"/>
  </cols>
  <sheetData>
    <row r="1" spans="1:17" x14ac:dyDescent="0.25">
      <c r="A1" s="3" t="s">
        <v>6</v>
      </c>
      <c r="B1" s="3" t="s">
        <v>7</v>
      </c>
      <c r="C1" s="4" t="s">
        <v>8</v>
      </c>
      <c r="D1" s="9" t="s">
        <v>14</v>
      </c>
      <c r="E1" s="9" t="s">
        <v>15</v>
      </c>
      <c r="F1" s="4" t="s">
        <v>16</v>
      </c>
      <c r="G1" t="s">
        <v>12</v>
      </c>
      <c r="J1" s="3" t="s">
        <v>6</v>
      </c>
      <c r="K1" s="3" t="s">
        <v>7</v>
      </c>
      <c r="L1" s="4" t="s">
        <v>8</v>
      </c>
      <c r="M1" s="9" t="s">
        <v>14</v>
      </c>
      <c r="N1" s="9" t="s">
        <v>15</v>
      </c>
      <c r="O1" s="4" t="s">
        <v>16</v>
      </c>
      <c r="Q1" t="s">
        <v>13</v>
      </c>
    </row>
    <row r="2" spans="1:17" x14ac:dyDescent="0.25">
      <c r="A2" s="7">
        <v>41275</v>
      </c>
      <c r="B2">
        <v>0.2958761506989207</v>
      </c>
      <c r="C2" s="6">
        <v>880327166217.12</v>
      </c>
      <c r="D2" s="10">
        <v>0.23587615069892071</v>
      </c>
      <c r="E2" s="10">
        <v>2.2169349515809511E-2</v>
      </c>
      <c r="F2" s="6">
        <v>19516280636.129467</v>
      </c>
      <c r="J2" s="7">
        <v>41640</v>
      </c>
      <c r="K2">
        <v>3.4050295912173234E-2</v>
      </c>
      <c r="L2" s="6">
        <v>505917254482.58002</v>
      </c>
      <c r="M2" s="10">
        <v>-2.5949704087826764E-2</v>
      </c>
      <c r="N2" s="10">
        <v>-2.1371741820601642E-3</v>
      </c>
      <c r="O2" s="6">
        <v>-1081233294.5389318</v>
      </c>
    </row>
    <row r="3" spans="1:17" x14ac:dyDescent="0.25">
      <c r="A3" s="7">
        <v>41306</v>
      </c>
      <c r="B3">
        <v>0.28472269554242025</v>
      </c>
      <c r="C3" s="6">
        <v>881614744452</v>
      </c>
      <c r="D3" s="10">
        <v>0.22472269554242025</v>
      </c>
      <c r="E3" s="10">
        <v>2.0987832829775344E-2</v>
      </c>
      <c r="F3" s="6">
        <v>18503182876.823685</v>
      </c>
      <c r="J3" s="7">
        <v>41671</v>
      </c>
      <c r="K3">
        <v>2.8911082044645875E-2</v>
      </c>
      <c r="L3" s="6">
        <v>522518439255.14001</v>
      </c>
      <c r="M3" s="10">
        <v>-3.1088917955354123E-2</v>
      </c>
      <c r="N3" s="10">
        <v>-2.554544433621242E-3</v>
      </c>
      <c r="O3" s="6">
        <v>-1334796570.4636769</v>
      </c>
    </row>
    <row r="4" spans="1:17" x14ac:dyDescent="0.25">
      <c r="A4" s="7">
        <v>41334</v>
      </c>
      <c r="B4">
        <v>0.26150840964886646</v>
      </c>
      <c r="C4" s="6">
        <v>883199055030.02002</v>
      </c>
      <c r="D4" s="10">
        <v>0.20150840964886646</v>
      </c>
      <c r="E4" s="10">
        <v>1.8577834697768858E-2</v>
      </c>
      <c r="F4" s="6">
        <v>16407926049.573374</v>
      </c>
      <c r="J4" s="7">
        <v>41699</v>
      </c>
      <c r="K4">
        <v>3.0436751082389191E-2</v>
      </c>
      <c r="L4" s="6">
        <v>539288090193.82001</v>
      </c>
      <c r="M4" s="10">
        <v>-2.9563248917610807E-2</v>
      </c>
      <c r="N4" s="10">
        <v>-2.4308398805201747E-3</v>
      </c>
      <c r="O4" s="6">
        <v>-1310922996.7326987</v>
      </c>
    </row>
    <row r="5" spans="1:17" x14ac:dyDescent="0.25">
      <c r="A5" s="7">
        <v>41365</v>
      </c>
      <c r="B5">
        <v>0.25799792739101102</v>
      </c>
      <c r="C5" s="6">
        <v>892958099977.70996</v>
      </c>
      <c r="D5" s="10">
        <v>0.19799792739101102</v>
      </c>
      <c r="E5" s="10">
        <v>1.821899745292388E-2</v>
      </c>
      <c r="F5" s="6">
        <v>16268801349.061646</v>
      </c>
      <c r="J5" s="7">
        <v>41730</v>
      </c>
      <c r="K5">
        <v>4.5142619954990693E-2</v>
      </c>
      <c r="L5" s="6">
        <v>553171998692.97998</v>
      </c>
      <c r="M5" s="10">
        <v>-1.4857380045009305E-2</v>
      </c>
      <c r="N5" s="10">
        <v>-1.2297630634916512E-3</v>
      </c>
      <c r="O5" s="6">
        <v>-680270491.75047874</v>
      </c>
    </row>
    <row r="6" spans="1:17" x14ac:dyDescent="0.25">
      <c r="A6" s="7">
        <v>41395</v>
      </c>
      <c r="B6">
        <v>0.25211970173748399</v>
      </c>
      <c r="C6" s="6">
        <v>899811479255.65002</v>
      </c>
      <c r="D6" s="10">
        <v>0.19211970173748399</v>
      </c>
      <c r="E6" s="10">
        <v>1.7621343818366553E-2</v>
      </c>
      <c r="F6" s="6">
        <v>15855887447.676811</v>
      </c>
      <c r="J6" s="7">
        <v>41760</v>
      </c>
      <c r="K6">
        <v>4.9171053235969153E-2</v>
      </c>
      <c r="L6" s="6">
        <v>569009283909.16003</v>
      </c>
      <c r="M6" s="10">
        <v>-1.0828946764030845E-2</v>
      </c>
      <c r="N6" s="10">
        <v>-8.9796405836861659E-4</v>
      </c>
      <c r="O6" s="6">
        <v>-510949885.82848972</v>
      </c>
    </row>
    <row r="7" spans="1:17" x14ac:dyDescent="0.25">
      <c r="A7" s="7">
        <v>41426</v>
      </c>
      <c r="B7">
        <v>0.25512148837366588</v>
      </c>
      <c r="C7" s="6">
        <v>901872299127.80005</v>
      </c>
      <c r="D7" s="10">
        <v>0.19512148837366589</v>
      </c>
      <c r="E7" s="10">
        <v>1.7926042941405873E-2</v>
      </c>
      <c r="F7" s="6">
        <v>16167001561.829386</v>
      </c>
      <c r="J7" s="7">
        <v>41791</v>
      </c>
      <c r="K7">
        <v>5.5745707377026776E-2</v>
      </c>
      <c r="L7" s="6">
        <v>584552231221.73999</v>
      </c>
      <c r="M7" s="10">
        <v>-4.2542926229732214E-3</v>
      </c>
      <c r="N7" s="10">
        <v>-3.5383497547147869E-4</v>
      </c>
      <c r="O7" s="6">
        <v>-206835024.39614251</v>
      </c>
    </row>
    <row r="8" spans="1:17" x14ac:dyDescent="0.25">
      <c r="A8" s="7">
        <v>41456</v>
      </c>
      <c r="B8">
        <v>0.23354935466852766</v>
      </c>
      <c r="C8" s="6">
        <v>908366248111.81006</v>
      </c>
      <c r="D8" s="10">
        <v>0.17354935466852767</v>
      </c>
      <c r="E8" s="10">
        <v>1.5759095093131226E-2</v>
      </c>
      <c r="F8" s="6">
        <v>14315030083.384848</v>
      </c>
      <c r="J8" s="7">
        <v>41821</v>
      </c>
      <c r="K8">
        <v>7.4355449682911301E-2</v>
      </c>
      <c r="L8" s="6">
        <v>602959066380.59998</v>
      </c>
      <c r="M8" s="10">
        <v>1.4355449682911303E-2</v>
      </c>
      <c r="N8" s="10">
        <v>1.2042314932816378E-3</v>
      </c>
      <c r="O8" s="6">
        <v>726102296.89521205</v>
      </c>
    </row>
    <row r="9" spans="1:17" x14ac:dyDescent="0.25">
      <c r="A9" s="7">
        <v>41487</v>
      </c>
      <c r="B9">
        <v>0.21235399711433678</v>
      </c>
      <c r="C9" s="6">
        <v>912583741765.22998</v>
      </c>
      <c r="D9" s="10">
        <v>0.15235399711433678</v>
      </c>
      <c r="E9" s="10">
        <v>1.3679916002563908E-2</v>
      </c>
      <c r="F9" s="6">
        <v>12484068932.653818</v>
      </c>
      <c r="J9" s="7">
        <v>41852</v>
      </c>
      <c r="K9">
        <v>8.061538950496494E-2</v>
      </c>
      <c r="L9" s="6">
        <v>623801621587.48999</v>
      </c>
      <c r="M9" s="10">
        <v>2.0615389504964943E-2</v>
      </c>
      <c r="N9" s="10">
        <v>1.7343986019481283E-3</v>
      </c>
      <c r="O9" s="6">
        <v>1081920660.3743181</v>
      </c>
    </row>
    <row r="10" spans="1:17" x14ac:dyDescent="0.25">
      <c r="A10" s="7">
        <v>41518</v>
      </c>
      <c r="B10">
        <v>0.1650805648479573</v>
      </c>
      <c r="C10" s="6">
        <v>917799910801.85999</v>
      </c>
      <c r="D10" s="10">
        <v>0.1050805648479573</v>
      </c>
      <c r="E10" s="10">
        <v>9.2091322029325129E-3</v>
      </c>
      <c r="F10" s="6">
        <v>8452140714.4139967</v>
      </c>
      <c r="J10" s="7">
        <v>41883</v>
      </c>
      <c r="K10">
        <v>7.3655215356372206E-2</v>
      </c>
      <c r="L10" s="6">
        <v>642768678264.39001</v>
      </c>
      <c r="M10" s="10">
        <v>1.3655215356372208E-2</v>
      </c>
      <c r="N10" s="10">
        <v>1.145119290145602E-3</v>
      </c>
      <c r="O10" s="6">
        <v>736046812.58194518</v>
      </c>
    </row>
    <row r="11" spans="1:17" x14ac:dyDescent="0.25">
      <c r="A11" s="7">
        <v>41548</v>
      </c>
      <c r="B11">
        <v>0.12255397767919285</v>
      </c>
      <c r="C11" s="6">
        <v>920187289345.85999</v>
      </c>
      <c r="D11" s="10">
        <v>6.2553977679192851E-2</v>
      </c>
      <c r="E11" s="10">
        <v>5.3685458006278441E-3</v>
      </c>
      <c r="F11" s="6">
        <v>4940067608.0088358</v>
      </c>
      <c r="J11" s="7">
        <v>41913</v>
      </c>
      <c r="K11">
        <v>7.5446897150442727E-2</v>
      </c>
      <c r="L11" s="6">
        <v>666048484387.08997</v>
      </c>
      <c r="M11" s="10">
        <v>1.5446897150442729E-2</v>
      </c>
      <c r="N11" s="10">
        <v>1.2964458364456144E-3</v>
      </c>
      <c r="O11" s="6">
        <v>863495784.45455456</v>
      </c>
    </row>
    <row r="12" spans="1:17" x14ac:dyDescent="0.25">
      <c r="A12" s="7">
        <v>41579</v>
      </c>
      <c r="B12">
        <v>0.11294730989742596</v>
      </c>
      <c r="C12" s="6">
        <v>923224622574.66003</v>
      </c>
      <c r="D12" s="10">
        <v>5.2947309897425965E-2</v>
      </c>
      <c r="E12" s="10">
        <v>4.5231187609522383E-3</v>
      </c>
      <c r="F12" s="6">
        <v>4175854610.9404941</v>
      </c>
      <c r="J12" s="7">
        <v>41944</v>
      </c>
      <c r="K12">
        <v>7.7578718154806325E-2</v>
      </c>
      <c r="L12" s="6">
        <v>687493988566.38</v>
      </c>
      <c r="M12" s="10">
        <v>1.7578718154806328E-2</v>
      </c>
      <c r="N12" s="10">
        <v>1.4768299648453276E-3</v>
      </c>
      <c r="O12" s="6">
        <v>1015311722.9658611</v>
      </c>
    </row>
    <row r="13" spans="1:17" x14ac:dyDescent="0.25">
      <c r="A13" s="7">
        <v>41609</v>
      </c>
      <c r="B13">
        <v>0.10164495683217001</v>
      </c>
      <c r="C13" s="6">
        <v>928247550427.67004</v>
      </c>
      <c r="D13" s="10">
        <v>4.164495683217001E-2</v>
      </c>
      <c r="E13" s="10">
        <v>3.5384715325686988E-3</v>
      </c>
      <c r="F13" s="6">
        <v>3284577532.3649383</v>
      </c>
      <c r="J13" s="7">
        <v>41974</v>
      </c>
      <c r="K13">
        <v>9.6607147975396379E-2</v>
      </c>
      <c r="L13" s="6">
        <v>705856364665.13</v>
      </c>
      <c r="M13" s="10">
        <v>3.6607147975396381E-2</v>
      </c>
      <c r="N13" s="10">
        <v>3.1030093667984149E-3</v>
      </c>
      <c r="O13" s="6">
        <v>2190278911.170176</v>
      </c>
    </row>
    <row r="14" spans="1:17" x14ac:dyDescent="0.25">
      <c r="A14" s="7">
        <v>41640</v>
      </c>
      <c r="B14">
        <v>0.10499665763496779</v>
      </c>
      <c r="C14" s="6">
        <v>934101787977.15002</v>
      </c>
      <c r="D14" s="10">
        <v>4.4996657634967796E-2</v>
      </c>
      <c r="E14" s="10">
        <v>3.8293524635248932E-3</v>
      </c>
      <c r="F14" s="6">
        <v>3577004982.9733071</v>
      </c>
      <c r="J14" s="7">
        <v>42005</v>
      </c>
      <c r="K14">
        <v>0.10949577859066828</v>
      </c>
      <c r="L14" s="6">
        <v>730203039412.20996</v>
      </c>
      <c r="M14" s="10">
        <v>4.9495778590668282E-2</v>
      </c>
      <c r="N14" s="10">
        <v>4.2212881774138511E-3</v>
      </c>
      <c r="O14" s="6">
        <v>3082397457.3824224</v>
      </c>
    </row>
    <row r="15" spans="1:17" x14ac:dyDescent="0.25">
      <c r="A15" s="7">
        <v>41671</v>
      </c>
      <c r="B15">
        <v>8.3166157223329651E-2</v>
      </c>
      <c r="C15" s="6">
        <v>937975932128.92004</v>
      </c>
      <c r="D15" s="10">
        <v>2.3166157223329653E-2</v>
      </c>
      <c r="E15" s="10">
        <v>1.951319538653129E-3</v>
      </c>
      <c r="F15" s="6">
        <v>1830290763.1495428</v>
      </c>
      <c r="J15" s="7">
        <v>42036</v>
      </c>
      <c r="K15">
        <v>0.10108636819475458</v>
      </c>
      <c r="L15" s="6">
        <v>748430313115.81995</v>
      </c>
      <c r="M15" s="10">
        <v>4.1086368194754586E-2</v>
      </c>
      <c r="N15" s="10">
        <v>3.4900845031167194E-3</v>
      </c>
      <c r="O15" s="6">
        <v>2612085037.468317</v>
      </c>
    </row>
    <row r="16" spans="1:17" x14ac:dyDescent="0.25">
      <c r="A16" s="7">
        <v>41699</v>
      </c>
      <c r="B16">
        <v>7.6332262105682114E-2</v>
      </c>
      <c r="C16" s="6">
        <v>942614786913.46997</v>
      </c>
      <c r="D16" s="10">
        <v>1.6332262105682116E-2</v>
      </c>
      <c r="E16" s="10">
        <v>1.3713175192475724E-3</v>
      </c>
      <c r="F16" s="6">
        <v>1292624171.1962588</v>
      </c>
      <c r="J16" s="7">
        <v>42064</v>
      </c>
      <c r="K16">
        <v>0.16013208987590299</v>
      </c>
      <c r="L16" s="6">
        <v>766100749770.45996</v>
      </c>
      <c r="M16" s="10">
        <v>0.100132089875903</v>
      </c>
      <c r="N16" s="10">
        <v>8.753735364851245E-3</v>
      </c>
      <c r="O16" s="6">
        <v>6706243226.3047295</v>
      </c>
    </row>
    <row r="17" spans="1:15" x14ac:dyDescent="0.25">
      <c r="A17" s="7">
        <v>41730</v>
      </c>
      <c r="B17">
        <v>9.1569919309194892E-2</v>
      </c>
      <c r="C17" s="6">
        <v>944933213064.94995</v>
      </c>
      <c r="D17" s="10">
        <v>3.1569919309194894E-2</v>
      </c>
      <c r="E17" s="10">
        <v>2.6696793853424605E-3</v>
      </c>
      <c r="F17" s="6">
        <v>2522668719.444912</v>
      </c>
      <c r="J17" s="7">
        <v>42095</v>
      </c>
      <c r="K17">
        <v>0.17895389503574388</v>
      </c>
      <c r="L17" s="6">
        <v>785942217063.70996</v>
      </c>
      <c r="M17" s="10">
        <v>0.11895389503574388</v>
      </c>
      <c r="N17" s="10">
        <v>1.0498281080206673E-2</v>
      </c>
      <c r="O17" s="6">
        <v>8251042307.5356321</v>
      </c>
    </row>
    <row r="18" spans="1:15" x14ac:dyDescent="0.25">
      <c r="A18" s="7">
        <v>41760</v>
      </c>
      <c r="B18">
        <v>9.5614255084251032E-2</v>
      </c>
      <c r="C18" s="6">
        <v>948346563027.46997</v>
      </c>
      <c r="D18" s="10">
        <v>3.5614255084251034E-2</v>
      </c>
      <c r="E18" s="10">
        <v>3.0174312040442963E-3</v>
      </c>
      <c r="F18" s="6">
        <v>2861570511.5272489</v>
      </c>
      <c r="J18" s="7">
        <v>42125</v>
      </c>
      <c r="K18">
        <v>0.1359017973641965</v>
      </c>
      <c r="L18" s="6">
        <v>806055073598.69995</v>
      </c>
      <c r="M18" s="10">
        <v>7.5901797364196499E-2</v>
      </c>
      <c r="N18" s="10">
        <v>6.5564895391521105E-3</v>
      </c>
      <c r="O18" s="6">
        <v>5284891658.0303612</v>
      </c>
    </row>
    <row r="19" spans="1:15" x14ac:dyDescent="0.25">
      <c r="A19" s="7">
        <v>41791</v>
      </c>
      <c r="B19">
        <v>0.10218601315462728</v>
      </c>
      <c r="C19" s="6">
        <v>951999562523.32996</v>
      </c>
      <c r="D19" s="10">
        <v>4.2186013154627278E-2</v>
      </c>
      <c r="E19" s="10">
        <v>3.5853645021538538E-3</v>
      </c>
      <c r="F19" s="6">
        <v>3413265437.5371456</v>
      </c>
      <c r="J19" s="7">
        <v>42156</v>
      </c>
      <c r="K19">
        <v>0.12873571699424757</v>
      </c>
      <c r="L19" s="6">
        <v>826398703103.43994</v>
      </c>
      <c r="M19" s="10">
        <v>6.8735716994247575E-2</v>
      </c>
      <c r="N19" s="10">
        <v>5.9167741773529237E-3</v>
      </c>
      <c r="O19" s="6">
        <v>4889614506.7203789</v>
      </c>
    </row>
    <row r="20" spans="1:15" x14ac:dyDescent="0.25">
      <c r="A20" s="7">
        <v>41821</v>
      </c>
      <c r="B20">
        <v>0.11535387856162693</v>
      </c>
      <c r="C20" s="6">
        <v>957152689900.56006</v>
      </c>
      <c r="D20" s="10">
        <v>5.5353878561626935E-2</v>
      </c>
      <c r="E20" s="10">
        <v>4.7341663457280969E-3</v>
      </c>
      <c r="F20" s="6">
        <v>4531320052.2503529</v>
      </c>
      <c r="J20" s="7">
        <v>42186</v>
      </c>
      <c r="K20">
        <v>0.12493746449043919</v>
      </c>
      <c r="L20" s="6">
        <v>847896930586.81995</v>
      </c>
      <c r="M20" s="10">
        <v>6.493746449043919E-2</v>
      </c>
      <c r="N20" s="10">
        <v>5.5795319991210901E-3</v>
      </c>
      <c r="O20" s="6">
        <v>4730868056.1657152</v>
      </c>
    </row>
    <row r="21" spans="1:15" x14ac:dyDescent="0.25">
      <c r="A21" s="7">
        <v>41852</v>
      </c>
      <c r="B21">
        <v>0.11948003957999698</v>
      </c>
      <c r="C21" s="6">
        <v>961725822488.81006</v>
      </c>
      <c r="D21" s="10">
        <v>5.9480039579996979E-2</v>
      </c>
      <c r="E21" s="10">
        <v>5.0971657230741707E-3</v>
      </c>
      <c r="F21" s="6">
        <v>4902075897.3852768</v>
      </c>
      <c r="J21" s="7">
        <v>42217</v>
      </c>
      <c r="K21">
        <v>0.10423014347159509</v>
      </c>
      <c r="L21" s="6">
        <v>871605674029.23999</v>
      </c>
      <c r="M21" s="10">
        <v>4.4230143471595096E-2</v>
      </c>
      <c r="N21" s="10">
        <v>3.7627472732413292E-3</v>
      </c>
      <c r="O21" s="6">
        <v>3279631873.2951937</v>
      </c>
    </row>
    <row r="22" spans="1:15" x14ac:dyDescent="0.25">
      <c r="A22" s="7">
        <v>41883</v>
      </c>
      <c r="B22">
        <v>0.11303032546162073</v>
      </c>
      <c r="C22" s="6">
        <v>971478074598.47998</v>
      </c>
      <c r="D22" s="10">
        <v>5.3030325461620731E-2</v>
      </c>
      <c r="E22" s="10">
        <v>4.5303907423853707E-3</v>
      </c>
      <c r="F22" s="6">
        <v>4401175275.5913181</v>
      </c>
      <c r="J22" s="7">
        <v>42248</v>
      </c>
      <c r="K22">
        <v>9.2744937865139709E-2</v>
      </c>
      <c r="L22" s="6">
        <v>891343112290.78003</v>
      </c>
      <c r="M22" s="10">
        <v>3.2744937865139712E-2</v>
      </c>
      <c r="N22" s="10">
        <v>2.7705758300389238E-3</v>
      </c>
      <c r="O22" s="6">
        <v>2469533683.1845055</v>
      </c>
    </row>
    <row r="23" spans="1:15" x14ac:dyDescent="0.25">
      <c r="A23" s="7">
        <v>41913</v>
      </c>
      <c r="B23">
        <v>0.10924326959603881</v>
      </c>
      <c r="C23" s="6">
        <v>979226723775.54004</v>
      </c>
      <c r="D23" s="10">
        <v>4.9243269596038808E-2</v>
      </c>
      <c r="E23" s="10">
        <v>4.1992461509959833E-3</v>
      </c>
      <c r="F23" s="6">
        <v>4112014050.7668433</v>
      </c>
      <c r="J23" s="7">
        <v>42278</v>
      </c>
      <c r="K23">
        <v>9.5194922854446085E-2</v>
      </c>
      <c r="L23" s="6">
        <v>916980142068.93005</v>
      </c>
      <c r="M23" s="10">
        <v>3.5194922854446087E-2</v>
      </c>
      <c r="N23" s="10">
        <v>2.9813129088746004E-3</v>
      </c>
      <c r="O23" s="6">
        <v>2733804734.7317662</v>
      </c>
    </row>
    <row r="24" spans="1:15" x14ac:dyDescent="0.25">
      <c r="A24" s="7">
        <v>41944</v>
      </c>
      <c r="B24">
        <v>0.11378112871133939</v>
      </c>
      <c r="C24" s="6">
        <v>987327178337.47998</v>
      </c>
      <c r="D24" s="10">
        <v>5.3781128711339388E-2</v>
      </c>
      <c r="E24" s="10">
        <v>4.5961860163198365E-3</v>
      </c>
      <c r="F24" s="6">
        <v>4537939370.6072464</v>
      </c>
      <c r="J24" s="7">
        <v>42309</v>
      </c>
      <c r="K24">
        <v>9.6934054131459724E-2</v>
      </c>
      <c r="L24" s="6">
        <v>939343815828.05005</v>
      </c>
      <c r="M24" s="10">
        <v>3.6934054131459726E-2</v>
      </c>
      <c r="N24" s="10">
        <v>3.131203339159061E-3</v>
      </c>
      <c r="O24" s="6">
        <v>2941276492.7392044</v>
      </c>
    </row>
    <row r="25" spans="1:15" x14ac:dyDescent="0.25">
      <c r="A25" s="7">
        <v>41974</v>
      </c>
      <c r="B25">
        <v>0.11337839298467334</v>
      </c>
      <c r="C25" s="6">
        <v>993604445116.56995</v>
      </c>
      <c r="D25" s="10">
        <v>5.337839298467334E-2</v>
      </c>
      <c r="E25" s="10">
        <v>4.5608870573016214E-3</v>
      </c>
      <c r="F25" s="6">
        <v>4531717653.8095226</v>
      </c>
      <c r="J25" s="7">
        <v>42339</v>
      </c>
      <c r="K25">
        <v>8.7984115934227503E-2</v>
      </c>
      <c r="L25" s="6">
        <v>949989697051.15002</v>
      </c>
      <c r="M25" s="10">
        <v>2.7984115934227505E-2</v>
      </c>
      <c r="N25" s="10">
        <v>2.3624660499640404E-3</v>
      </c>
      <c r="O25" s="6">
        <v>2244318407.0989656</v>
      </c>
    </row>
    <row r="26" spans="1:15" x14ac:dyDescent="0.25">
      <c r="A26" s="7">
        <v>42005</v>
      </c>
      <c r="B26">
        <v>0.12935894504710721</v>
      </c>
      <c r="C26" s="6">
        <v>998037944760.88</v>
      </c>
      <c r="D26" s="10">
        <v>6.9358945047107212E-2</v>
      </c>
      <c r="E26" s="10">
        <v>5.9722302094258328E-3</v>
      </c>
      <c r="F26" s="6">
        <v>5960512363.8541985</v>
      </c>
      <c r="J26" s="7">
        <v>42370</v>
      </c>
      <c r="K26">
        <v>9.8050929526836139E-2</v>
      </c>
      <c r="L26" s="6">
        <v>970402249765.81006</v>
      </c>
      <c r="M26" s="10">
        <v>3.8050929526836141E-2</v>
      </c>
      <c r="N26" s="10">
        <v>3.227594320805327E-3</v>
      </c>
      <c r="O26" s="6">
        <v>3132064790.2408409</v>
      </c>
    </row>
    <row r="27" spans="1:15" x14ac:dyDescent="0.25">
      <c r="A27" s="7">
        <v>42036</v>
      </c>
      <c r="B27">
        <v>0.11500968435568171</v>
      </c>
      <c r="C27" s="6">
        <v>1001402951445.12</v>
      </c>
      <c r="D27" s="10">
        <v>5.5009684355681709E-2</v>
      </c>
      <c r="E27" s="10">
        <v>4.7039515445395086E-3</v>
      </c>
      <c r="F27" s="6">
        <v>4710550960.1566944</v>
      </c>
      <c r="J27" s="7">
        <v>42401</v>
      </c>
      <c r="K27">
        <v>7.1563151878628606E-2</v>
      </c>
      <c r="L27" s="6">
        <v>987174683814.19995</v>
      </c>
      <c r="M27" s="10">
        <v>1.1563151878628608E-2</v>
      </c>
      <c r="N27" s="10">
        <v>9.6874087896070549E-4</v>
      </c>
      <c r="O27" s="6">
        <v>956316470.88592458</v>
      </c>
    </row>
    <row r="28" spans="1:15" x14ac:dyDescent="0.25">
      <c r="A28" s="7">
        <v>42064</v>
      </c>
      <c r="B28">
        <v>0.15939691660268618</v>
      </c>
      <c r="C28" s="6">
        <v>1012628284843.15</v>
      </c>
      <c r="D28" s="10">
        <v>9.9396916602686181E-2</v>
      </c>
      <c r="E28" s="10">
        <v>8.6862749986107435E-3</v>
      </c>
      <c r="F28" s="6">
        <v>8795967753.5191326</v>
      </c>
      <c r="J28" s="7">
        <v>42430</v>
      </c>
      <c r="K28">
        <v>8.5370265412033297E-2</v>
      </c>
      <c r="L28" s="6">
        <v>1000681429904.5699</v>
      </c>
      <c r="M28" s="10">
        <v>2.5370265412033299E-2</v>
      </c>
      <c r="N28" s="10">
        <v>2.1391786395518197E-3</v>
      </c>
      <c r="O28" s="6">
        <v>2140636339.8480277</v>
      </c>
    </row>
    <row r="29" spans="1:15" x14ac:dyDescent="0.25">
      <c r="A29" s="7">
        <v>42095</v>
      </c>
      <c r="B29">
        <v>0.19611856037225739</v>
      </c>
      <c r="C29" s="6">
        <v>1014639291004.8199</v>
      </c>
      <c r="D29" s="10">
        <v>0.13611856037225739</v>
      </c>
      <c r="E29" s="10">
        <v>1.2119274603837216E-2</v>
      </c>
      <c r="F29" s="6">
        <v>12296692191.530113</v>
      </c>
    </row>
    <row r="30" spans="1:15" x14ac:dyDescent="0.25">
      <c r="A30" s="7">
        <v>42125</v>
      </c>
      <c r="B30">
        <v>0.16251389625715751</v>
      </c>
      <c r="C30" s="6">
        <v>1018596194016.64</v>
      </c>
      <c r="D30" s="10">
        <v>0.10251389625715751</v>
      </c>
      <c r="E30" s="10">
        <v>8.972640241000418E-3</v>
      </c>
      <c r="F30" s="6">
        <v>9139497199.7635727</v>
      </c>
    </row>
    <row r="31" spans="1:15" x14ac:dyDescent="0.25">
      <c r="A31" s="7">
        <v>42156</v>
      </c>
      <c r="B31">
        <v>0.15788893541056837</v>
      </c>
      <c r="C31" s="6">
        <v>1025822450226.23</v>
      </c>
      <c r="D31" s="10">
        <v>9.7888935410568367E-2</v>
      </c>
      <c r="E31" s="10">
        <v>8.5480586865978037E-3</v>
      </c>
      <c r="F31" s="6">
        <v>8768790506.5633678</v>
      </c>
    </row>
    <row r="32" spans="1:15" x14ac:dyDescent="0.25">
      <c r="A32" s="7">
        <v>42186</v>
      </c>
      <c r="B32">
        <v>0.15878793131858093</v>
      </c>
      <c r="C32" s="6">
        <v>1035814278246.21</v>
      </c>
      <c r="D32" s="10">
        <v>9.8787931318580935E-2</v>
      </c>
      <c r="E32" s="10">
        <v>8.6304320066188378E-3</v>
      </c>
      <c r="F32" s="6">
        <v>8939524699.8888817</v>
      </c>
    </row>
    <row r="33" spans="1:6" x14ac:dyDescent="0.25">
      <c r="A33" s="7">
        <v>42217</v>
      </c>
      <c r="B33">
        <v>0.13940893665296794</v>
      </c>
      <c r="C33" s="6">
        <v>1044393225970.27</v>
      </c>
      <c r="D33" s="10">
        <v>7.9408936652967943E-2</v>
      </c>
      <c r="E33" s="10">
        <v>6.8712306236197174E-3</v>
      </c>
      <c r="F33" s="6">
        <v>7176266717.387907</v>
      </c>
    </row>
    <row r="34" spans="1:6" x14ac:dyDescent="0.25">
      <c r="A34" s="7">
        <v>42248</v>
      </c>
      <c r="B34">
        <v>0.12303715932410009</v>
      </c>
      <c r="C34" s="6">
        <v>1050061434566.27</v>
      </c>
      <c r="D34" s="10">
        <v>6.3037159324100089E-2</v>
      </c>
      <c r="E34" s="10">
        <v>5.4112772591269342E-3</v>
      </c>
      <c r="F34" s="6">
        <v>5682173561.5546627</v>
      </c>
    </row>
    <row r="35" spans="1:6" x14ac:dyDescent="0.25">
      <c r="A35" s="7">
        <v>42278</v>
      </c>
      <c r="B35">
        <v>0.11939290177898787</v>
      </c>
      <c r="C35" s="6">
        <v>1058886274188.35</v>
      </c>
      <c r="D35" s="10">
        <v>5.9392901778987872E-2</v>
      </c>
      <c r="E35" s="10">
        <v>5.0894846913608349E-3</v>
      </c>
      <c r="F35" s="6">
        <v>5389185482.3737192</v>
      </c>
    </row>
    <row r="36" spans="1:6" x14ac:dyDescent="0.25">
      <c r="A36" s="7">
        <v>42309</v>
      </c>
      <c r="B36">
        <v>0.11985947912899353</v>
      </c>
      <c r="C36" s="6">
        <v>1066667998836.16</v>
      </c>
      <c r="D36" s="10">
        <v>5.9859479128993531E-2</v>
      </c>
      <c r="E36" s="10">
        <v>5.1306202056072836E-3</v>
      </c>
      <c r="F36" s="6">
        <v>5472668387.5034895</v>
      </c>
    </row>
    <row r="37" spans="1:6" x14ac:dyDescent="0.25">
      <c r="A37" s="7">
        <v>42339</v>
      </c>
      <c r="B37">
        <v>0.10480729520306409</v>
      </c>
      <c r="C37" s="6">
        <v>1071057164340.66</v>
      </c>
      <c r="D37" s="10">
        <v>4.480729520306409E-2</v>
      </c>
      <c r="E37" s="10">
        <v>3.8128935198734615E-3</v>
      </c>
      <c r="F37" s="6">
        <v>4083826921.328548</v>
      </c>
    </row>
    <row r="38" spans="1:6" x14ac:dyDescent="0.25">
      <c r="A38" s="7">
        <v>42370</v>
      </c>
      <c r="B38">
        <v>0.11558815976952019</v>
      </c>
      <c r="C38" s="6">
        <v>1076520927838</v>
      </c>
      <c r="D38" s="10">
        <v>5.5588159769520196E-2</v>
      </c>
      <c r="E38" s="10">
        <v>4.754738298950123E-3</v>
      </c>
      <c r="F38" s="6">
        <v>5118575285.2126598</v>
      </c>
    </row>
    <row r="39" spans="1:6" x14ac:dyDescent="0.25">
      <c r="A39" s="7">
        <v>42401</v>
      </c>
      <c r="B39">
        <v>9.1442450585834112E-2</v>
      </c>
      <c r="C39" s="6">
        <v>1080640586647.11</v>
      </c>
      <c r="D39" s="10">
        <v>3.1442450585834114E-2</v>
      </c>
      <c r="E39" s="10">
        <v>2.6587406543623349E-3</v>
      </c>
      <c r="F39" s="6">
        <v>2873143060.4726348</v>
      </c>
    </row>
    <row r="40" spans="1:6" x14ac:dyDescent="0.25">
      <c r="A40" s="7">
        <v>42430</v>
      </c>
      <c r="B40">
        <v>9.899459480269257E-2</v>
      </c>
      <c r="C40" s="6">
        <v>1086055810856.74</v>
      </c>
      <c r="D40" s="10">
        <v>3.8994594802692573E-2</v>
      </c>
      <c r="E40" s="10">
        <v>3.3091165413817736E-3</v>
      </c>
      <c r="F40" s="6">
        <v>3593885248.5698333</v>
      </c>
    </row>
  </sheetData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 Result</vt:lpstr>
      <vt:lpstr>Conv-FHA</vt:lpstr>
      <vt:lpstr>Conv Refi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Sharad Chaudhary</cp:lastModifiedBy>
  <dcterms:created xsi:type="dcterms:W3CDTF">2016-03-17T22:15:15Z</dcterms:created>
  <dcterms:modified xsi:type="dcterms:W3CDTF">2016-03-18T20:47:18Z</dcterms:modified>
</cp:coreProperties>
</file>