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8195" windowHeight="8190" activeTab="7"/>
  </bookViews>
  <sheets>
    <sheet name="PMI Volumes" sheetId="2" r:id="rId1"/>
    <sheet name="Key Insurers  - New MI" sheetId="1" r:id="rId2"/>
    <sheet name="FHA Share HiLTV Refi" sheetId="4" r:id="rId3"/>
    <sheet name="Conv-FHA Refis" sheetId="5" r:id="rId4"/>
    <sheet name="FHA-Conventional" sheetId="3" r:id="rId5"/>
    <sheet name="PMI Premium Evolution" sheetId="6" r:id="rId6"/>
    <sheet name="FHA vs PMI" sheetId="7" r:id="rId7"/>
    <sheet name="Add-ons" sheetId="8" r:id="rId8"/>
  </sheets>
  <externalReferences>
    <externalReference r:id="rId9"/>
    <externalReference r:id="rId10"/>
  </externalReferences>
  <definedNames>
    <definedName name="DateToChangeLag">[1]Report!$U$12</definedName>
    <definedName name="Query_from_Agency_8" localSheetId="2" hidden="1">'FHA Share HiLTV Refi'!$B$2:$C$41</definedName>
  </definedNames>
  <calcPr calcId="145621"/>
</workbook>
</file>

<file path=xl/calcChain.xml><?xml version="1.0" encoding="utf-8"?>
<calcChain xmlns="http://schemas.openxmlformats.org/spreadsheetml/2006/main">
  <c r="D5" i="8" l="1"/>
  <c r="E5" i="8"/>
  <c r="F5" i="8"/>
  <c r="G5" i="8"/>
  <c r="H5" i="8"/>
  <c r="I5" i="8"/>
  <c r="J5" i="8"/>
  <c r="K5" i="8"/>
  <c r="D6" i="8"/>
  <c r="E6" i="8"/>
  <c r="F6" i="8"/>
  <c r="G6" i="8"/>
  <c r="H6" i="8"/>
  <c r="I6" i="8"/>
  <c r="J6" i="8"/>
  <c r="K6" i="8"/>
  <c r="D7" i="8"/>
  <c r="E7" i="8"/>
  <c r="F7" i="8"/>
  <c r="G7" i="8"/>
  <c r="H7" i="8"/>
  <c r="I7" i="8"/>
  <c r="J7" i="8"/>
  <c r="K7" i="8"/>
  <c r="L44" i="7"/>
  <c r="K44" i="7"/>
  <c r="J44" i="7"/>
  <c r="I44" i="7"/>
  <c r="H44" i="7"/>
  <c r="G44" i="7"/>
  <c r="F44" i="7"/>
  <c r="E44" i="7"/>
  <c r="L43" i="7"/>
  <c r="L46" i="7" s="1"/>
  <c r="K43" i="7"/>
  <c r="K46" i="7" s="1"/>
  <c r="J43" i="7"/>
  <c r="J46" i="7" s="1"/>
  <c r="I43" i="7"/>
  <c r="I46" i="7" s="1"/>
  <c r="H43" i="7"/>
  <c r="H46" i="7" s="1"/>
  <c r="G43" i="7"/>
  <c r="G46" i="7" s="1"/>
  <c r="F43" i="7"/>
  <c r="F46" i="7" s="1"/>
  <c r="E43" i="7"/>
  <c r="E46" i="7" s="1"/>
  <c r="L41" i="7"/>
  <c r="K41" i="7"/>
  <c r="J41" i="7"/>
  <c r="I41" i="7"/>
  <c r="H41" i="7"/>
  <c r="G41" i="7"/>
  <c r="F41" i="7"/>
  <c r="E41" i="7"/>
  <c r="L40" i="7"/>
  <c r="K40" i="7"/>
  <c r="J40" i="7"/>
  <c r="I40" i="7"/>
  <c r="H40" i="7"/>
  <c r="G40" i="7"/>
  <c r="F40" i="7"/>
  <c r="E40" i="7"/>
  <c r="L33" i="7"/>
  <c r="K33" i="7"/>
  <c r="J33" i="7"/>
  <c r="I33" i="7"/>
  <c r="H33" i="7"/>
  <c r="G33" i="7"/>
  <c r="F33" i="7"/>
  <c r="E33" i="7"/>
  <c r="L32" i="7"/>
  <c r="L35" i="7" s="1"/>
  <c r="K32" i="7"/>
  <c r="K35" i="7" s="1"/>
  <c r="J32" i="7"/>
  <c r="J35" i="7" s="1"/>
  <c r="I32" i="7"/>
  <c r="I35" i="7" s="1"/>
  <c r="H32" i="7"/>
  <c r="H35" i="7" s="1"/>
  <c r="G32" i="7"/>
  <c r="G35" i="7" s="1"/>
  <c r="F32" i="7"/>
  <c r="F35" i="7" s="1"/>
  <c r="E32" i="7"/>
  <c r="E35" i="7" s="1"/>
  <c r="L30" i="7"/>
  <c r="K30" i="7"/>
  <c r="J30" i="7"/>
  <c r="I30" i="7"/>
  <c r="H30" i="7"/>
  <c r="G30" i="7"/>
  <c r="F30" i="7"/>
  <c r="E30" i="7"/>
  <c r="L29" i="7"/>
  <c r="K29" i="7"/>
  <c r="J29" i="7"/>
  <c r="I29" i="7"/>
  <c r="H29" i="7"/>
  <c r="G29" i="7"/>
  <c r="F29" i="7"/>
  <c r="E29" i="7"/>
  <c r="L22" i="7"/>
  <c r="K22" i="7"/>
  <c r="J22" i="7"/>
  <c r="I22" i="7"/>
  <c r="H22" i="7"/>
  <c r="G22" i="7"/>
  <c r="F22" i="7"/>
  <c r="E22" i="7"/>
  <c r="L21" i="7"/>
  <c r="L24" i="7" s="1"/>
  <c r="K21" i="7"/>
  <c r="K24" i="7" s="1"/>
  <c r="J21" i="7"/>
  <c r="J24" i="7" s="1"/>
  <c r="I21" i="7"/>
  <c r="I24" i="7" s="1"/>
  <c r="H21" i="7"/>
  <c r="H24" i="7" s="1"/>
  <c r="G21" i="7"/>
  <c r="G24" i="7" s="1"/>
  <c r="F21" i="7"/>
  <c r="F24" i="7" s="1"/>
  <c r="E21" i="7"/>
  <c r="E24" i="7" s="1"/>
  <c r="L19" i="7"/>
  <c r="K19" i="7"/>
  <c r="J19" i="7"/>
  <c r="I19" i="7"/>
  <c r="H19" i="7"/>
  <c r="G19" i="7"/>
  <c r="F19" i="7"/>
  <c r="E19" i="7"/>
  <c r="L18" i="7"/>
  <c r="K18" i="7"/>
  <c r="J18" i="7"/>
  <c r="I18" i="7"/>
  <c r="H18" i="7"/>
  <c r="G18" i="7"/>
  <c r="F18" i="7"/>
  <c r="E18" i="7"/>
  <c r="L11" i="7"/>
  <c r="K11" i="7"/>
  <c r="J11" i="7"/>
  <c r="I11" i="7"/>
  <c r="H11" i="7"/>
  <c r="G11" i="7"/>
  <c r="F11" i="7"/>
  <c r="E11" i="7"/>
  <c r="L10" i="7"/>
  <c r="L13" i="7" s="1"/>
  <c r="K10" i="7"/>
  <c r="K13" i="7" s="1"/>
  <c r="J10" i="7"/>
  <c r="J13" i="7" s="1"/>
  <c r="I10" i="7"/>
  <c r="I13" i="7" s="1"/>
  <c r="H10" i="7"/>
  <c r="H13" i="7" s="1"/>
  <c r="G10" i="7"/>
  <c r="G13" i="7" s="1"/>
  <c r="F10" i="7"/>
  <c r="F13" i="7" s="1"/>
  <c r="E10" i="7"/>
  <c r="E13" i="7" s="1"/>
  <c r="L8" i="7"/>
  <c r="K8" i="7"/>
  <c r="J8" i="7"/>
  <c r="I8" i="7"/>
  <c r="H8" i="7"/>
  <c r="G8" i="7"/>
  <c r="F8" i="7"/>
  <c r="E8" i="7"/>
  <c r="L7" i="7"/>
  <c r="K7" i="7"/>
  <c r="J7" i="7"/>
  <c r="I7" i="7"/>
  <c r="H7" i="7"/>
  <c r="G7" i="7"/>
  <c r="F7" i="7"/>
  <c r="E7" i="7"/>
  <c r="P6" i="7"/>
  <c r="E21" i="6"/>
  <c r="E20" i="6"/>
  <c r="E19" i="6"/>
  <c r="J18" i="6"/>
  <c r="I18" i="6"/>
  <c r="H18" i="6"/>
  <c r="G18" i="6"/>
  <c r="E18" i="6"/>
  <c r="M14" i="6"/>
  <c r="M21" i="6" s="1"/>
  <c r="L14" i="6"/>
  <c r="L21" i="6" s="1"/>
  <c r="K14" i="6"/>
  <c r="K21" i="6" s="1"/>
  <c r="J14" i="6"/>
  <c r="J21" i="6" s="1"/>
  <c r="I14" i="6"/>
  <c r="I21" i="6" s="1"/>
  <c r="H14" i="6"/>
  <c r="H21" i="6" s="1"/>
  <c r="G14" i="6"/>
  <c r="G21" i="6" s="1"/>
  <c r="F14" i="6"/>
  <c r="F21" i="6" s="1"/>
  <c r="E14" i="6"/>
  <c r="M13" i="6"/>
  <c r="M20" i="6" s="1"/>
  <c r="L13" i="6"/>
  <c r="L20" i="6" s="1"/>
  <c r="K13" i="6"/>
  <c r="K20" i="6" s="1"/>
  <c r="J13" i="6"/>
  <c r="J20" i="6" s="1"/>
  <c r="I13" i="6"/>
  <c r="I20" i="6" s="1"/>
  <c r="H13" i="6"/>
  <c r="H20" i="6" s="1"/>
  <c r="G13" i="6"/>
  <c r="G20" i="6" s="1"/>
  <c r="F13" i="6"/>
  <c r="F20" i="6" s="1"/>
  <c r="E13" i="6"/>
  <c r="M12" i="6"/>
  <c r="M19" i="6" s="1"/>
  <c r="L12" i="6"/>
  <c r="L19" i="6" s="1"/>
  <c r="K12" i="6"/>
  <c r="K19" i="6" s="1"/>
  <c r="J12" i="6"/>
  <c r="J19" i="6" s="1"/>
  <c r="I12" i="6"/>
  <c r="I19" i="6" s="1"/>
  <c r="H12" i="6"/>
  <c r="H19" i="6" s="1"/>
  <c r="G12" i="6"/>
  <c r="G19" i="6" s="1"/>
  <c r="F12" i="6"/>
  <c r="F19" i="6" s="1"/>
  <c r="E12" i="6"/>
  <c r="M11" i="6"/>
  <c r="M18" i="6" s="1"/>
  <c r="L11" i="6"/>
  <c r="L18" i="6" s="1"/>
  <c r="K11" i="6"/>
  <c r="K18" i="6" s="1"/>
  <c r="I11" i="6"/>
  <c r="F11" i="6"/>
  <c r="F18" i="6" s="1"/>
  <c r="E11" i="6"/>
  <c r="E7" i="6"/>
  <c r="E6" i="6"/>
  <c r="E5" i="6"/>
  <c r="E4" i="6"/>
  <c r="D37" i="3" l="1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36" i="5" l="1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D41" i="4" l="1"/>
  <c r="E41" i="4" s="1"/>
  <c r="D40" i="4"/>
  <c r="E40" i="4" s="1"/>
  <c r="I40" i="4" s="1"/>
  <c r="D39" i="4"/>
  <c r="E39" i="4" s="1"/>
  <c r="I39" i="4" s="1"/>
  <c r="D38" i="4"/>
  <c r="E38" i="4" s="1"/>
  <c r="I38" i="4" s="1"/>
  <c r="D37" i="4"/>
  <c r="E37" i="4" s="1"/>
  <c r="I37" i="4" s="1"/>
  <c r="D36" i="4"/>
  <c r="E36" i="4" s="1"/>
  <c r="I36" i="4" s="1"/>
  <c r="D35" i="4"/>
  <c r="E35" i="4" s="1"/>
  <c r="I35" i="4" s="1"/>
  <c r="D34" i="4"/>
  <c r="E34" i="4" s="1"/>
  <c r="I34" i="4" s="1"/>
  <c r="D33" i="4"/>
  <c r="E33" i="4" s="1"/>
  <c r="I33" i="4" s="1"/>
  <c r="D32" i="4"/>
  <c r="E32" i="4" s="1"/>
  <c r="I32" i="4" s="1"/>
  <c r="D31" i="4"/>
  <c r="E31" i="4" s="1"/>
  <c r="I31" i="4" s="1"/>
  <c r="D30" i="4"/>
  <c r="E30" i="4" s="1"/>
  <c r="I30" i="4" s="1"/>
  <c r="D29" i="4"/>
  <c r="E29" i="4" s="1"/>
  <c r="I29" i="4" s="1"/>
  <c r="D28" i="4"/>
  <c r="E28" i="4" s="1"/>
  <c r="I28" i="4" s="1"/>
  <c r="D27" i="4"/>
  <c r="E27" i="4" s="1"/>
  <c r="I27" i="4" s="1"/>
  <c r="D26" i="4"/>
  <c r="E26" i="4" s="1"/>
  <c r="I26" i="4" s="1"/>
  <c r="D25" i="4"/>
  <c r="E25" i="4" s="1"/>
  <c r="I25" i="4" s="1"/>
  <c r="D24" i="4"/>
  <c r="E24" i="4" s="1"/>
  <c r="I24" i="4" s="1"/>
  <c r="D23" i="4"/>
  <c r="E23" i="4" s="1"/>
  <c r="I23" i="4" s="1"/>
  <c r="D22" i="4"/>
  <c r="E22" i="4" s="1"/>
  <c r="I22" i="4" s="1"/>
  <c r="D21" i="4"/>
  <c r="E21" i="4" s="1"/>
  <c r="I21" i="4" s="1"/>
  <c r="D20" i="4"/>
  <c r="E20" i="4" s="1"/>
  <c r="I20" i="4" s="1"/>
  <c r="D19" i="4"/>
  <c r="E19" i="4" s="1"/>
  <c r="I19" i="4" s="1"/>
  <c r="D18" i="4"/>
  <c r="E18" i="4" s="1"/>
  <c r="I18" i="4" s="1"/>
  <c r="D17" i="4"/>
  <c r="E17" i="4" s="1"/>
  <c r="I17" i="4" s="1"/>
  <c r="D16" i="4"/>
  <c r="E16" i="4" s="1"/>
  <c r="I16" i="4" s="1"/>
  <c r="D15" i="4"/>
  <c r="E15" i="4" s="1"/>
  <c r="I15" i="4" s="1"/>
  <c r="D14" i="4"/>
  <c r="E14" i="4" s="1"/>
  <c r="I14" i="4" s="1"/>
  <c r="D13" i="4"/>
  <c r="E13" i="4" s="1"/>
  <c r="I13" i="4" s="1"/>
  <c r="D12" i="4"/>
  <c r="E12" i="4" s="1"/>
  <c r="I12" i="4" s="1"/>
  <c r="D11" i="4"/>
  <c r="E11" i="4" s="1"/>
  <c r="I11" i="4" s="1"/>
  <c r="D10" i="4"/>
  <c r="E10" i="4" s="1"/>
  <c r="I10" i="4" s="1"/>
  <c r="D9" i="4"/>
  <c r="E9" i="4" s="1"/>
  <c r="I9" i="4" s="1"/>
  <c r="D8" i="4"/>
  <c r="E8" i="4" s="1"/>
  <c r="I8" i="4" s="1"/>
  <c r="D7" i="4"/>
  <c r="E7" i="4" s="1"/>
  <c r="I7" i="4" s="1"/>
  <c r="D6" i="4"/>
  <c r="E6" i="4" s="1"/>
  <c r="I6" i="4" s="1"/>
  <c r="D5" i="4"/>
  <c r="E5" i="4" s="1"/>
  <c r="I5" i="4" s="1"/>
  <c r="D4" i="4"/>
  <c r="E4" i="4" s="1"/>
  <c r="I4" i="4" s="1"/>
  <c r="D3" i="4"/>
  <c r="E3" i="4" s="1"/>
  <c r="I3" i="4" s="1"/>
  <c r="E11" i="1" l="1"/>
  <c r="E10" i="1"/>
  <c r="E9" i="1"/>
  <c r="E8" i="1"/>
  <c r="E7" i="1"/>
  <c r="E6" i="1"/>
  <c r="E5" i="1"/>
  <c r="D12" i="1"/>
  <c r="D11" i="1"/>
  <c r="D10" i="1"/>
  <c r="D9" i="1"/>
  <c r="D8" i="1"/>
  <c r="D7" i="1"/>
  <c r="D6" i="1"/>
  <c r="D5" i="1"/>
</calcChain>
</file>

<file path=xl/connections.xml><?xml version="1.0" encoding="utf-8"?>
<connections xmlns="http://schemas.openxmlformats.org/spreadsheetml/2006/main">
  <connection id="1" name="GNMQuery" type="1" refreshedVersion="4" savePassword="1" saveData="1">
    <dbPr connection="DSN=Agency" command="select calcOrigMonth_LL as Asof, sum(OriginalLoanAmount) As FHA_x000d__x000a_from gnm.cello_loan_x000d__x000a_where marketTicker in ('GNSF', 'G2SF')_x000d__x000a_and loanType in ('FHA')_x000d__x000a_and UFMIPPoints &gt; 0_x000d__x000a_and loanPurposeType like ('RE-FI-%')_x000d__x000a_And calcOrigMonth_LL &gt;= 201301_x000d__x000a_group by calcOrigMonth_LL_x000d__x000a_order by calcOrigMonth_LL"/>
  </connection>
</connections>
</file>

<file path=xl/sharedStrings.xml><?xml version="1.0" encoding="utf-8"?>
<sst xmlns="http://schemas.openxmlformats.org/spreadsheetml/2006/main" count="182" uniqueCount="90">
  <si>
    <t>Rank</t>
  </si>
  <si>
    <t>Insurer</t>
  </si>
  <si>
    <t>Volume</t>
  </si>
  <si>
    <t>Mkt Share</t>
  </si>
  <si>
    <t>Traditional Private MI New Insurance: 2015 ($billions)</t>
  </si>
  <si>
    <t>United Guaranty Corp</t>
  </si>
  <si>
    <t>Mortgage Guaranty Insurance Corp.</t>
  </si>
  <si>
    <t>Radian Guaranty Inc.</t>
  </si>
  <si>
    <t>Genworth Financial</t>
  </si>
  <si>
    <t>Essent Guaranty</t>
  </si>
  <si>
    <t>National MI</t>
  </si>
  <si>
    <t>Arch Mortgage Insurance</t>
  </si>
  <si>
    <t>Traditional primary MI does not include bulk, pool, or HARP activity. HARP MI activity is HARP mortgages originated with MI coverage.</t>
  </si>
  <si>
    <t>Source: Inside Mortgage Finance</t>
  </si>
  <si>
    <t>New Primary Private MI ($ Millions)</t>
  </si>
  <si>
    <t>Total</t>
  </si>
  <si>
    <t>PMI</t>
  </si>
  <si>
    <t xml:space="preserve">FHA </t>
  </si>
  <si>
    <t>VA</t>
  </si>
  <si>
    <t>Primary MI Market Share</t>
  </si>
  <si>
    <t>Notes: Starting 1Q11, total private MI is sum of traditional flow, bulk, and HARP originations. FHA endorsements include HECM. Pct of originations is primary MI business divided by total mortgage originations.</t>
  </si>
  <si>
    <t>Source: Inside Mortgage Finance, HUD, VA</t>
  </si>
  <si>
    <t>Plot Data</t>
  </si>
  <si>
    <t>GNM FHA</t>
  </si>
  <si>
    <t>Asof</t>
  </si>
  <si>
    <t>FHA</t>
  </si>
  <si>
    <t>FHL+FNM</t>
  </si>
  <si>
    <t>FHA %</t>
  </si>
  <si>
    <t>FHL+FNMA: All 30-year loans with MI (CLs, CQ, CR, CK, U6, U9 etc.)</t>
  </si>
  <si>
    <t>Loan Purpose = Refi</t>
  </si>
  <si>
    <t>FHA: All 30-year FHA loans</t>
  </si>
  <si>
    <t>Title: FHA Share of High LTV Refinancings</t>
  </si>
  <si>
    <t>Conv-FHA</t>
  </si>
  <si>
    <t>Conv Refi</t>
  </si>
  <si>
    <t>Ratio</t>
  </si>
  <si>
    <t>Conv-FHA Refi endorsements * Refi Loan Size = Conv-FHA Refi Volume</t>
  </si>
  <si>
    <t>Conv. Refi Volumes = Agency MBS volumes * Refi SMM</t>
  </si>
  <si>
    <t>Refi CPR = Agency MBS CPR - 6%</t>
  </si>
  <si>
    <t>FHA-FHA</t>
  </si>
  <si>
    <t>FHA Refi</t>
  </si>
  <si>
    <t>Starting date = January 2013</t>
  </si>
  <si>
    <t>Take FHA-FHA Refi applications for each month (Non-Streamline + Streamline Standard MIP + Streamline Low MIP) and convert them to Refi volumes as above.</t>
  </si>
  <si>
    <t>Calculate FHA Refi volumes for a month by calculating the aggregate CPR for the FHA 30-year universe, subtracting 6% from it, and then multiplying the residual (aggregate - 6%) by the outstanding volume of FHA 30-year loans to get a sense for refi volumes.</t>
  </si>
  <si>
    <t>Plot the ratio 1 - (FHA-FHA refi app. volumes/FHA. Refi Volumes)</t>
  </si>
  <si>
    <t>[There should be be a 1-month offset in the ratio -- applications take about one month to show up as actual refis]</t>
  </si>
  <si>
    <t>Goal: Tracks changes in the rate at which FHA loans refinance into conventionals.</t>
  </si>
  <si>
    <t>May 2014</t>
  </si>
  <si>
    <t>LTV Range</t>
  </si>
  <si>
    <t>Coverage</t>
  </si>
  <si>
    <t>760+</t>
  </si>
  <si>
    <t>740-759</t>
  </si>
  <si>
    <t>720-739</t>
  </si>
  <si>
    <t>700-719</t>
  </si>
  <si>
    <t>680-699</t>
  </si>
  <si>
    <t>660-679</t>
  </si>
  <si>
    <t>640-659</t>
  </si>
  <si>
    <t>620-639</t>
  </si>
  <si>
    <t>April 2016</t>
  </si>
  <si>
    <t>Difference: May 2014 - April 2016</t>
  </si>
  <si>
    <t>LTV=97%, PMI Coverage = 35%</t>
  </si>
  <si>
    <t>Credit Scores</t>
  </si>
  <si>
    <t>Assumptions</t>
  </si>
  <si>
    <t>Loan Amount</t>
  </si>
  <si>
    <t>Upfront MI Premium</t>
  </si>
  <si>
    <t>Loan Purpose</t>
  </si>
  <si>
    <t>Rate-term Refinance</t>
  </si>
  <si>
    <t>Annual Premium</t>
  </si>
  <si>
    <t>Occupancy</t>
  </si>
  <si>
    <t>Owner-occupied</t>
  </si>
  <si>
    <t>Conforming</t>
  </si>
  <si>
    <t>Property Type</t>
  </si>
  <si>
    <t>Single-family</t>
  </si>
  <si>
    <t>GSE LLPA</t>
  </si>
  <si>
    <t>PMI Annual Premium</t>
  </si>
  <si>
    <t>Base Rate</t>
  </si>
  <si>
    <t>FHA Advantage</t>
  </si>
  <si>
    <t>LTV=95%, PMI Coverage = 30%</t>
  </si>
  <si>
    <t>LTV=90%, PMI Coverage = 25%</t>
  </si>
  <si>
    <t>LTV=85%, PMI Coverage = 12%</t>
  </si>
  <si>
    <t>Notes</t>
  </si>
  <si>
    <t>1% UFMIP=8bps</t>
  </si>
  <si>
    <t>Interest rate</t>
  </si>
  <si>
    <t>1% LLPA=25bps</t>
  </si>
  <si>
    <t>Effective Date: April 4, 2016</t>
  </si>
  <si>
    <t>Investment Property</t>
  </si>
  <si>
    <t>Loan Amounts &gt; $650,000</t>
  </si>
  <si>
    <t>Second Homes</t>
  </si>
  <si>
    <t>Cash-out Refinance</t>
  </si>
  <si>
    <t>Rate-and-Term Refinance</t>
  </si>
  <si>
    <t>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</si>
</sst>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6" formatCode="&quot;$&quot;#,##0_);[Red]\(&quot;$&quot;#,##0\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&quot;$&quot;#,##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CCCCCC"/>
      </right>
      <top style="medium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/>
      <diagonal/>
    </border>
    <border>
      <left style="medium">
        <color rgb="FFCCCCCC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3" borderId="0"/>
  </cellStyleXfs>
  <cellXfs count="10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9" fontId="0" fillId="0" borderId="0" xfId="2" applyFont="1" applyAlignment="1">
      <alignment horizontal="center"/>
    </xf>
    <xf numFmtId="0" fontId="3" fillId="0" borderId="0" xfId="0" applyFont="1" applyAlignment="1">
      <alignment horizontal="left"/>
    </xf>
    <xf numFmtId="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center"/>
    </xf>
    <xf numFmtId="165" fontId="0" fillId="0" borderId="0" xfId="1" applyNumberFormat="1" applyFont="1"/>
    <xf numFmtId="9" fontId="0" fillId="0" borderId="0" xfId="2" applyFont="1"/>
    <xf numFmtId="0" fontId="4" fillId="0" borderId="0" xfId="0" applyFont="1"/>
    <xf numFmtId="165" fontId="4" fillId="0" borderId="0" xfId="1" applyNumberFormat="1" applyFont="1"/>
    <xf numFmtId="9" fontId="4" fillId="0" borderId="0" xfId="2" applyFont="1"/>
    <xf numFmtId="9" fontId="5" fillId="2" borderId="3" xfId="2" applyFont="1" applyFill="1" applyBorder="1"/>
    <xf numFmtId="14" fontId="0" fillId="0" borderId="0" xfId="0" applyNumberFormat="1"/>
    <xf numFmtId="165" fontId="0" fillId="0" borderId="0" xfId="1" applyNumberFormat="1" applyFont="1" applyAlignment="1">
      <alignment horizontal="center"/>
    </xf>
    <xf numFmtId="165" fontId="2" fillId="0" borderId="0" xfId="1" applyNumberFormat="1" applyFont="1" applyAlignment="1">
      <alignment horizontal="center"/>
    </xf>
    <xf numFmtId="43" fontId="0" fillId="0" borderId="0" xfId="1" applyFont="1" applyAlignment="1">
      <alignment horizontal="center"/>
    </xf>
    <xf numFmtId="43" fontId="2" fillId="0" borderId="0" xfId="1" applyFont="1" applyAlignment="1">
      <alignment horizontal="center"/>
    </xf>
    <xf numFmtId="9" fontId="2" fillId="0" borderId="0" xfId="2" applyFont="1" applyAlignment="1">
      <alignment horizontal="center"/>
    </xf>
    <xf numFmtId="0" fontId="2" fillId="0" borderId="1" xfId="0" applyFont="1" applyBorder="1" applyAlignment="1">
      <alignment horizontal="center"/>
    </xf>
    <xf numFmtId="17" fontId="7" fillId="0" borderId="4" xfId="0" quotePrefix="1" applyNumberFormat="1" applyFon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17" fontId="0" fillId="0" borderId="0" xfId="0" applyNumberFormat="1"/>
    <xf numFmtId="0" fontId="8" fillId="4" borderId="7" xfId="0" applyFont="1" applyFill="1" applyBorder="1" applyAlignment="1">
      <alignment horizontal="center" wrapText="1"/>
    </xf>
    <xf numFmtId="0" fontId="8" fillId="4" borderId="8" xfId="0" applyFont="1" applyFill="1" applyBorder="1" applyAlignment="1">
      <alignment horizontal="center" wrapText="1"/>
    </xf>
    <xf numFmtId="0" fontId="8" fillId="4" borderId="9" xfId="0" applyFont="1" applyFill="1" applyBorder="1" applyAlignment="1">
      <alignment horizontal="center" wrapText="1"/>
    </xf>
    <xf numFmtId="0" fontId="8" fillId="4" borderId="10" xfId="0" applyFont="1" applyFill="1" applyBorder="1" applyAlignment="1">
      <alignment horizontal="center" wrapText="1"/>
    </xf>
    <xf numFmtId="0" fontId="8" fillId="4" borderId="11" xfId="0" applyFont="1" applyFill="1" applyBorder="1" applyAlignment="1">
      <alignment horizontal="center" wrapText="1"/>
    </xf>
    <xf numFmtId="0" fontId="8" fillId="4" borderId="12" xfId="0" applyFont="1" applyFill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9" fillId="0" borderId="8" xfId="0" applyFont="1" applyBorder="1" applyAlignment="1">
      <alignment horizontal="center" wrapText="1"/>
    </xf>
    <xf numFmtId="9" fontId="8" fillId="0" borderId="9" xfId="2" applyFont="1" applyBorder="1" applyAlignment="1">
      <alignment horizontal="center" wrapText="1"/>
    </xf>
    <xf numFmtId="2" fontId="8" fillId="5" borderId="8" xfId="0" applyNumberFormat="1" applyFont="1" applyFill="1" applyBorder="1" applyAlignment="1">
      <alignment horizontal="center" wrapText="1"/>
    </xf>
    <xf numFmtId="2" fontId="8" fillId="0" borderId="8" xfId="0" applyNumberFormat="1" applyFont="1" applyBorder="1" applyAlignment="1">
      <alignment horizontal="center" wrapText="1"/>
    </xf>
    <xf numFmtId="2" fontId="8" fillId="0" borderId="13" xfId="0" applyNumberFormat="1" applyFont="1" applyBorder="1" applyAlignment="1">
      <alignment horizontal="center" wrapText="1"/>
    </xf>
    <xf numFmtId="0" fontId="9" fillId="0" borderId="14" xfId="0" applyFont="1" applyBorder="1" applyAlignment="1">
      <alignment horizontal="center" wrapText="1"/>
    </xf>
    <xf numFmtId="0" fontId="9" fillId="0" borderId="0" xfId="0" applyFont="1" applyBorder="1" applyAlignment="1">
      <alignment horizontal="center" wrapText="1"/>
    </xf>
    <xf numFmtId="9" fontId="8" fillId="0" borderId="15" xfId="2" applyFont="1" applyBorder="1" applyAlignment="1">
      <alignment horizontal="center" wrapText="1"/>
    </xf>
    <xf numFmtId="2" fontId="8" fillId="5" borderId="0" xfId="0" applyNumberFormat="1" applyFont="1" applyFill="1" applyBorder="1" applyAlignment="1">
      <alignment horizontal="center" wrapText="1"/>
    </xf>
    <xf numFmtId="2" fontId="8" fillId="0" borderId="0" xfId="0" applyNumberFormat="1" applyFont="1" applyBorder="1" applyAlignment="1">
      <alignment horizontal="center" wrapText="1"/>
    </xf>
    <xf numFmtId="2" fontId="8" fillId="0" borderId="16" xfId="0" applyNumberFormat="1" applyFont="1" applyBorder="1" applyAlignment="1">
      <alignment horizontal="center" wrapText="1"/>
    </xf>
    <xf numFmtId="0" fontId="9" fillId="0" borderId="17" xfId="0" applyFont="1" applyBorder="1" applyAlignment="1">
      <alignment horizontal="center" wrapText="1"/>
    </xf>
    <xf numFmtId="0" fontId="9" fillId="0" borderId="18" xfId="0" applyFont="1" applyBorder="1" applyAlignment="1">
      <alignment horizontal="center" wrapText="1"/>
    </xf>
    <xf numFmtId="9" fontId="8" fillId="0" borderId="19" xfId="2" applyFont="1" applyBorder="1" applyAlignment="1">
      <alignment horizontal="center" wrapText="1"/>
    </xf>
    <xf numFmtId="2" fontId="8" fillId="5" borderId="18" xfId="0" applyNumberFormat="1" applyFont="1" applyFill="1" applyBorder="1" applyAlignment="1">
      <alignment horizontal="center" wrapText="1"/>
    </xf>
    <xf numFmtId="2" fontId="8" fillId="0" borderId="18" xfId="0" applyNumberFormat="1" applyFont="1" applyBorder="1" applyAlignment="1">
      <alignment horizontal="center" wrapText="1"/>
    </xf>
    <xf numFmtId="2" fontId="8" fillId="0" borderId="20" xfId="0" applyNumberFormat="1" applyFont="1" applyBorder="1" applyAlignment="1">
      <alignment horizontal="center" wrapText="1"/>
    </xf>
    <xf numFmtId="0" fontId="8" fillId="0" borderId="21" xfId="0" applyFont="1" applyBorder="1" applyAlignment="1">
      <alignment horizontal="center" wrapText="1"/>
    </xf>
    <xf numFmtId="0" fontId="8" fillId="0" borderId="21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2" fontId="8" fillId="6" borderId="8" xfId="0" applyNumberFormat="1" applyFont="1" applyFill="1" applyBorder="1" applyAlignment="1">
      <alignment horizontal="center" wrapText="1"/>
    </xf>
    <xf numFmtId="2" fontId="8" fillId="7" borderId="8" xfId="0" applyNumberFormat="1" applyFont="1" applyFill="1" applyBorder="1" applyAlignment="1">
      <alignment horizontal="center" wrapText="1"/>
    </xf>
    <xf numFmtId="2" fontId="8" fillId="7" borderId="13" xfId="0" applyNumberFormat="1" applyFont="1" applyFill="1" applyBorder="1" applyAlignment="1">
      <alignment horizontal="center" wrapText="1"/>
    </xf>
    <xf numFmtId="2" fontId="8" fillId="6" borderId="0" xfId="0" applyNumberFormat="1" applyFont="1" applyFill="1" applyBorder="1" applyAlignment="1">
      <alignment horizontal="center" wrapText="1"/>
    </xf>
    <xf numFmtId="2" fontId="8" fillId="7" borderId="0" xfId="0" applyNumberFormat="1" applyFont="1" applyFill="1" applyBorder="1" applyAlignment="1">
      <alignment horizontal="center" wrapText="1"/>
    </xf>
    <xf numFmtId="2" fontId="8" fillId="7" borderId="16" xfId="0" applyNumberFormat="1" applyFont="1" applyFill="1" applyBorder="1" applyAlignment="1">
      <alignment horizontal="center" wrapText="1"/>
    </xf>
    <xf numFmtId="2" fontId="8" fillId="6" borderId="18" xfId="0" applyNumberFormat="1" applyFont="1" applyFill="1" applyBorder="1" applyAlignment="1">
      <alignment horizontal="center" wrapText="1"/>
    </xf>
    <xf numFmtId="2" fontId="8" fillId="6" borderId="20" xfId="0" applyNumberFormat="1" applyFont="1" applyFill="1" applyBorder="1" applyAlignment="1">
      <alignment horizontal="center" wrapText="1"/>
    </xf>
    <xf numFmtId="0" fontId="8" fillId="0" borderId="0" xfId="0" applyFont="1" applyBorder="1" applyAlignment="1">
      <alignment horizontal="center" wrapText="1"/>
    </xf>
    <xf numFmtId="0" fontId="8" fillId="0" borderId="0" xfId="0" applyFont="1" applyBorder="1" applyAlignment="1">
      <alignment wrapText="1"/>
    </xf>
    <xf numFmtId="0" fontId="0" fillId="0" borderId="0" xfId="0" applyBorder="1"/>
    <xf numFmtId="17" fontId="7" fillId="0" borderId="18" xfId="0" quotePrefix="1" applyNumberFormat="1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8" fillId="4" borderId="22" xfId="0" applyFont="1" applyFill="1" applyBorder="1" applyAlignment="1">
      <alignment horizontal="center" wrapText="1"/>
    </xf>
    <xf numFmtId="0" fontId="8" fillId="4" borderId="23" xfId="0" applyFont="1" applyFill="1" applyBorder="1" applyAlignment="1">
      <alignment horizontal="center" wrapText="1"/>
    </xf>
    <xf numFmtId="0" fontId="7" fillId="4" borderId="23" xfId="0" applyFont="1" applyFill="1" applyBorder="1" applyAlignment="1">
      <alignment horizontal="center" wrapText="1"/>
    </xf>
    <xf numFmtId="0" fontId="7" fillId="4" borderId="24" xfId="0" applyFont="1" applyFill="1" applyBorder="1" applyAlignment="1">
      <alignment horizontal="center" wrapText="1"/>
    </xf>
    <xf numFmtId="0" fontId="2" fillId="8" borderId="4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0" borderId="14" xfId="0" applyFont="1" applyBorder="1" applyAlignment="1">
      <alignment horizontal="left"/>
    </xf>
    <xf numFmtId="0" fontId="0" fillId="0" borderId="16" xfId="0" applyBorder="1"/>
    <xf numFmtId="0" fontId="0" fillId="0" borderId="14" xfId="0" applyBorder="1"/>
    <xf numFmtId="166" fontId="0" fillId="0" borderId="16" xfId="0" applyNumberFormat="1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0" xfId="0" applyBorder="1" applyAlignment="1">
      <alignment horizontal="left"/>
    </xf>
    <xf numFmtId="10" fontId="0" fillId="0" borderId="0" xfId="2" applyNumberFormat="1" applyFont="1" applyBorder="1" applyAlignment="1">
      <alignment horizontal="center"/>
    </xf>
    <xf numFmtId="10" fontId="0" fillId="0" borderId="16" xfId="2" applyNumberFormat="1" applyFont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10" fontId="0" fillId="0" borderId="18" xfId="2" applyNumberFormat="1" applyFont="1" applyBorder="1" applyAlignment="1">
      <alignment horizontal="center"/>
    </xf>
    <xf numFmtId="10" fontId="0" fillId="0" borderId="20" xfId="2" applyNumberFormat="1" applyFont="1" applyBorder="1" applyAlignment="1">
      <alignment horizontal="center"/>
    </xf>
    <xf numFmtId="0" fontId="2" fillId="0" borderId="14" xfId="0" applyFont="1" applyBorder="1"/>
    <xf numFmtId="0" fontId="0" fillId="0" borderId="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/>
    <xf numFmtId="9" fontId="0" fillId="0" borderId="20" xfId="0" applyNumberFormat="1" applyBorder="1" applyAlignment="1">
      <alignment horizontal="center"/>
    </xf>
    <xf numFmtId="0" fontId="0" fillId="0" borderId="18" xfId="0" applyBorder="1"/>
    <xf numFmtId="10" fontId="0" fillId="0" borderId="16" xfId="0" applyNumberFormat="1" applyBorder="1"/>
    <xf numFmtId="10" fontId="0" fillId="0" borderId="18" xfId="0" applyNumberFormat="1" applyBorder="1" applyAlignment="1">
      <alignment horizontal="center"/>
    </xf>
    <xf numFmtId="10" fontId="0" fillId="0" borderId="20" xfId="0" applyNumberFormat="1" applyBorder="1"/>
    <xf numFmtId="10" fontId="0" fillId="0" borderId="0" xfId="2" applyNumberFormat="1" applyFont="1"/>
    <xf numFmtId="10" fontId="0" fillId="0" borderId="0" xfId="0" applyNumberFormat="1"/>
    <xf numFmtId="0" fontId="2" fillId="0" borderId="7" xfId="0" applyFont="1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  <xf numFmtId="10" fontId="8" fillId="0" borderId="18" xfId="2" applyNumberFormat="1" applyFont="1" applyFill="1" applyBorder="1" applyAlignment="1">
      <alignment horizontal="center" wrapText="1"/>
    </xf>
    <xf numFmtId="10" fontId="8" fillId="0" borderId="20" xfId="2" applyNumberFormat="1" applyFont="1" applyFill="1" applyBorder="1" applyAlignment="1">
      <alignment horizontal="center" wrapText="1"/>
    </xf>
    <xf numFmtId="0" fontId="7" fillId="4" borderId="0" xfId="0" applyFont="1" applyFill="1" applyBorder="1" applyAlignment="1">
      <alignment horizontal="center" wrapText="1"/>
    </xf>
    <xf numFmtId="0" fontId="0" fillId="0" borderId="0" xfId="0" quotePrefix="1"/>
    <xf numFmtId="10" fontId="0" fillId="0" borderId="0" xfId="2" applyNumberFormat="1" applyFont="1" applyAlignment="1">
      <alignment horizontal="center"/>
    </xf>
  </cellXfs>
  <cellStyles count="4">
    <cellStyle name="Comma" xfId="1" builtinId="3"/>
    <cellStyle name="Normal" xfId="0" builtinId="0"/>
    <cellStyle name="Normal 2 7" xfId="3"/>
    <cellStyle name="Percent" xfId="2" builtinId="5"/>
  </cellStyles>
  <dxfs count="1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_(* #,##0_);_(* \(#,##0\);_(* &quot;-&quot;??_);_(@_)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_(* #,##0_);_(* \(#,##0\);_(* &quot;-&quot;??_);_(@_)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'PMI Volumes'!$D$3</c:f>
              <c:strCache>
                <c:ptCount val="1"/>
                <c:pt idx="0">
                  <c:v>PMI</c:v>
                </c:pt>
              </c:strCache>
            </c:strRef>
          </c:tx>
          <c:marker>
            <c:symbol val="none"/>
          </c:marker>
          <c:cat>
            <c:numRef>
              <c:f>'PMI Volumes'!$B$4:$B$15</c:f>
              <c:numCache>
                <c:formatCode>General</c:formatCode>
                <c:ptCount val="12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</c:numCache>
            </c:numRef>
          </c:cat>
          <c:val>
            <c:numRef>
              <c:f>'PMI Volumes'!$D$4:$D$15</c:f>
              <c:numCache>
                <c:formatCode>0.0%</c:formatCode>
                <c:ptCount val="12"/>
                <c:pt idx="0">
                  <c:v>0.66600000000000004</c:v>
                </c:pt>
                <c:pt idx="1">
                  <c:v>0.75800000000000001</c:v>
                </c:pt>
                <c:pt idx="2">
                  <c:v>0.76600000000000001</c:v>
                </c:pt>
                <c:pt idx="3">
                  <c:v>0.76700000000000002</c:v>
                </c:pt>
                <c:pt idx="4">
                  <c:v>0.39100000000000001</c:v>
                </c:pt>
                <c:pt idx="5">
                  <c:v>0.14899999999999999</c:v>
                </c:pt>
                <c:pt idx="6">
                  <c:v>0.155</c:v>
                </c:pt>
                <c:pt idx="7">
                  <c:v>0.218</c:v>
                </c:pt>
                <c:pt idx="8">
                  <c:v>0.31</c:v>
                </c:pt>
                <c:pt idx="9">
                  <c:v>0.35199999999999998</c:v>
                </c:pt>
                <c:pt idx="10">
                  <c:v>0.38900000000000001</c:v>
                </c:pt>
                <c:pt idx="11">
                  <c:v>0.34100000000000003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'PMI Volumes'!$E$3</c:f>
              <c:strCache>
                <c:ptCount val="1"/>
                <c:pt idx="0">
                  <c:v>FHA </c:v>
                </c:pt>
              </c:strCache>
            </c:strRef>
          </c:tx>
          <c:marker>
            <c:symbol val="none"/>
          </c:marker>
          <c:cat>
            <c:numRef>
              <c:f>'PMI Volumes'!$B$4:$B$15</c:f>
              <c:numCache>
                <c:formatCode>General</c:formatCode>
                <c:ptCount val="12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</c:numCache>
            </c:numRef>
          </c:cat>
          <c:val>
            <c:numRef>
              <c:f>'PMI Volumes'!$E$4:$E$15</c:f>
              <c:numCache>
                <c:formatCode>0.0%</c:formatCode>
                <c:ptCount val="12"/>
                <c:pt idx="0">
                  <c:v>0.23599999999999999</c:v>
                </c:pt>
                <c:pt idx="1">
                  <c:v>0.16300000000000001</c:v>
                </c:pt>
                <c:pt idx="2">
                  <c:v>0.155</c:v>
                </c:pt>
                <c:pt idx="3">
                  <c:v>0.17100000000000001</c:v>
                </c:pt>
                <c:pt idx="4">
                  <c:v>0.51400000000000001</c:v>
                </c:pt>
                <c:pt idx="5">
                  <c:v>0.68700000000000006</c:v>
                </c:pt>
                <c:pt idx="6">
                  <c:v>0.65700000000000003</c:v>
                </c:pt>
                <c:pt idx="7">
                  <c:v>0.53400000000000003</c:v>
                </c:pt>
                <c:pt idx="8">
                  <c:v>0.434</c:v>
                </c:pt>
                <c:pt idx="9">
                  <c:v>0.39100000000000001</c:v>
                </c:pt>
                <c:pt idx="10">
                  <c:v>0.32400000000000001</c:v>
                </c:pt>
                <c:pt idx="11">
                  <c:v>0.39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'PMI Volumes'!$F$3</c:f>
              <c:strCache>
                <c:ptCount val="1"/>
                <c:pt idx="0">
                  <c:v>VA</c:v>
                </c:pt>
              </c:strCache>
            </c:strRef>
          </c:tx>
          <c:marker>
            <c:symbol val="none"/>
          </c:marker>
          <c:cat>
            <c:numRef>
              <c:f>'PMI Volumes'!$B$4:$B$15</c:f>
              <c:numCache>
                <c:formatCode>General</c:formatCode>
                <c:ptCount val="12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</c:numCache>
            </c:numRef>
          </c:cat>
          <c:val>
            <c:numRef>
              <c:f>'PMI Volumes'!$F$4:$F$15</c:f>
              <c:numCache>
                <c:formatCode>0.0%</c:formatCode>
                <c:ptCount val="12"/>
                <c:pt idx="0">
                  <c:v>8.8999999999999996E-2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5.3999999999999999E-2</c:v>
                </c:pt>
                <c:pt idx="4">
                  <c:v>8.2000000000000003E-2</c:v>
                </c:pt>
                <c:pt idx="5">
                  <c:v>0.13500000000000001</c:v>
                </c:pt>
                <c:pt idx="6">
                  <c:v>0.152</c:v>
                </c:pt>
                <c:pt idx="7">
                  <c:v>0.20799999999999999</c:v>
                </c:pt>
                <c:pt idx="8">
                  <c:v>0.22700000000000001</c:v>
                </c:pt>
                <c:pt idx="9">
                  <c:v>0.221</c:v>
                </c:pt>
                <c:pt idx="10">
                  <c:v>0.24299999999999999</c:v>
                </c:pt>
                <c:pt idx="11">
                  <c:v>0.24099999999999999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624000"/>
        <c:axId val="176625920"/>
      </c:lineChart>
      <c:catAx>
        <c:axId val="176624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625920"/>
        <c:crosses val="autoZero"/>
        <c:auto val="1"/>
        <c:lblAlgn val="ctr"/>
        <c:lblOffset val="100"/>
        <c:noMultiLvlLbl val="0"/>
      </c:catAx>
      <c:valAx>
        <c:axId val="176625920"/>
        <c:scaling>
          <c:orientation val="minMax"/>
          <c:max val="0.8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Market Share (%)</a:t>
                </a:r>
              </a:p>
            </c:rich>
          </c:tx>
          <c:layout/>
          <c:overlay val="0"/>
        </c:title>
        <c:numFmt formatCode="0%" sourceLinked="0"/>
        <c:majorTickMark val="out"/>
        <c:minorTickMark val="none"/>
        <c:tickLblPos val="nextTo"/>
        <c:crossAx val="176624000"/>
        <c:crosses val="autoZero"/>
        <c:crossBetween val="between"/>
      </c:valAx>
      <c:spPr>
        <a:noFill/>
        <a:ln>
          <a:noFill/>
        </a:ln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'FHA Share HiLTV Refi'!$I$2</c:f>
              <c:strCache>
                <c:ptCount val="1"/>
                <c:pt idx="0">
                  <c:v>FHA %</c:v>
                </c:pt>
              </c:strCache>
            </c:strRef>
          </c:tx>
          <c:marker>
            <c:symbol val="none"/>
          </c:marker>
          <c:cat>
            <c:numRef>
              <c:f>'FHA Share HiLTV Refi'!$H$3:$H$39</c:f>
              <c:numCache>
                <c:formatCode>m/d/yyyy</c:formatCode>
                <c:ptCount val="37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</c:numCache>
            </c:numRef>
          </c:cat>
          <c:val>
            <c:numRef>
              <c:f>'FHA Share HiLTV Refi'!$I$3:$I$39</c:f>
              <c:numCache>
                <c:formatCode>0%</c:formatCode>
                <c:ptCount val="37"/>
                <c:pt idx="0">
                  <c:v>0.56108218576561508</c:v>
                </c:pt>
                <c:pt idx="1">
                  <c:v>0.54435123166484978</c:v>
                </c:pt>
                <c:pt idx="2">
                  <c:v>0.5491015363699645</c:v>
                </c:pt>
                <c:pt idx="3">
                  <c:v>0.54995474708238923</c:v>
                </c:pt>
                <c:pt idx="4">
                  <c:v>0.56511592696605339</c:v>
                </c:pt>
                <c:pt idx="5">
                  <c:v>0.51202013492236487</c:v>
                </c:pt>
                <c:pt idx="6">
                  <c:v>0.46641497236640284</c:v>
                </c:pt>
                <c:pt idx="7">
                  <c:v>0.47058926974059806</c:v>
                </c:pt>
                <c:pt idx="8">
                  <c:v>0.47483153830078578</c:v>
                </c:pt>
                <c:pt idx="9">
                  <c:v>0.49570577850548603</c:v>
                </c:pt>
                <c:pt idx="10">
                  <c:v>0.48352741785971454</c:v>
                </c:pt>
                <c:pt idx="11">
                  <c:v>0.46453197340036273</c:v>
                </c:pt>
                <c:pt idx="12">
                  <c:v>0.47215460987256003</c:v>
                </c:pt>
                <c:pt idx="13">
                  <c:v>0.47954476434219379</c:v>
                </c:pt>
                <c:pt idx="14">
                  <c:v>0.50309362653990597</c:v>
                </c:pt>
                <c:pt idx="15">
                  <c:v>0.50877774029208744</c:v>
                </c:pt>
                <c:pt idx="16">
                  <c:v>0.52972983436886212</c:v>
                </c:pt>
                <c:pt idx="17">
                  <c:v>0.50979569807752034</c:v>
                </c:pt>
                <c:pt idx="18">
                  <c:v>0.47526183917730119</c:v>
                </c:pt>
                <c:pt idx="19">
                  <c:v>0.46476574515914998</c:v>
                </c:pt>
                <c:pt idx="20">
                  <c:v>0.45155518746256951</c:v>
                </c:pt>
                <c:pt idx="21">
                  <c:v>0.44079644574684212</c:v>
                </c:pt>
                <c:pt idx="22">
                  <c:v>0.45232557687141073</c:v>
                </c:pt>
                <c:pt idx="23">
                  <c:v>0.39990979797486242</c:v>
                </c:pt>
                <c:pt idx="24">
                  <c:v>0.40104591895184921</c:v>
                </c:pt>
                <c:pt idx="25">
                  <c:v>0.33910635512972465</c:v>
                </c:pt>
                <c:pt idx="26">
                  <c:v>0.62988967191504341</c:v>
                </c:pt>
                <c:pt idx="27">
                  <c:v>0.6886517692905646</c:v>
                </c:pt>
                <c:pt idx="28">
                  <c:v>0.72468227239715277</c:v>
                </c:pt>
                <c:pt idx="29">
                  <c:v>0.71259760676907191</c:v>
                </c:pt>
                <c:pt idx="30">
                  <c:v>0.73028220791200305</c:v>
                </c:pt>
                <c:pt idx="31">
                  <c:v>0.72261976504373038</c:v>
                </c:pt>
                <c:pt idx="32">
                  <c:v>0.7223728411805671</c:v>
                </c:pt>
                <c:pt idx="33">
                  <c:v>0.70503186677580487</c:v>
                </c:pt>
                <c:pt idx="34">
                  <c:v>0.6683954742889634</c:v>
                </c:pt>
                <c:pt idx="35">
                  <c:v>0.66625761525542504</c:v>
                </c:pt>
                <c:pt idx="36">
                  <c:v>0.68283737105935283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577152"/>
        <c:axId val="220583040"/>
      </c:lineChart>
      <c:dateAx>
        <c:axId val="220577152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crossAx val="220583040"/>
        <c:crosses val="autoZero"/>
        <c:auto val="1"/>
        <c:lblOffset val="100"/>
        <c:baseTimeUnit val="months"/>
      </c:dateAx>
      <c:valAx>
        <c:axId val="220583040"/>
        <c:scaling>
          <c:orientation val="minMax"/>
          <c:min val="0.30000000000000004"/>
        </c:scaling>
        <c:delete val="0"/>
        <c:axPos val="l"/>
        <c:numFmt formatCode="0%" sourceLinked="1"/>
        <c:majorTickMark val="out"/>
        <c:minorTickMark val="none"/>
        <c:tickLblPos val="nextTo"/>
        <c:crossAx val="22057715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'Conv-FHA Refis'!$D$1</c:f>
              <c:strCache>
                <c:ptCount val="1"/>
                <c:pt idx="0">
                  <c:v>Ratio</c:v>
                </c:pt>
              </c:strCache>
            </c:strRef>
          </c:tx>
          <c:marker>
            <c:symbol val="none"/>
          </c:marker>
          <c:cat>
            <c:numRef>
              <c:f>'Conv-FHA Refis'!$A$19:$A$36</c:f>
              <c:numCache>
                <c:formatCode>m/d/yyyy</c:formatCode>
                <c:ptCount val="18"/>
                <c:pt idx="0">
                  <c:v>41791</c:v>
                </c:pt>
                <c:pt idx="1">
                  <c:v>41821</c:v>
                </c:pt>
                <c:pt idx="2">
                  <c:v>41852</c:v>
                </c:pt>
                <c:pt idx="3">
                  <c:v>41883</c:v>
                </c:pt>
                <c:pt idx="4">
                  <c:v>41913</c:v>
                </c:pt>
                <c:pt idx="5">
                  <c:v>41944</c:v>
                </c:pt>
                <c:pt idx="6">
                  <c:v>41974</c:v>
                </c:pt>
                <c:pt idx="7">
                  <c:v>42005</c:v>
                </c:pt>
                <c:pt idx="8">
                  <c:v>42036</c:v>
                </c:pt>
                <c:pt idx="9">
                  <c:v>42064</c:v>
                </c:pt>
                <c:pt idx="10">
                  <c:v>42095</c:v>
                </c:pt>
                <c:pt idx="11">
                  <c:v>42125</c:v>
                </c:pt>
                <c:pt idx="12">
                  <c:v>42156</c:v>
                </c:pt>
                <c:pt idx="13">
                  <c:v>42186</c:v>
                </c:pt>
                <c:pt idx="14">
                  <c:v>42217</c:v>
                </c:pt>
                <c:pt idx="15">
                  <c:v>42248</c:v>
                </c:pt>
                <c:pt idx="16">
                  <c:v>42278</c:v>
                </c:pt>
                <c:pt idx="17">
                  <c:v>42309</c:v>
                </c:pt>
              </c:numCache>
            </c:numRef>
          </c:cat>
          <c:val>
            <c:numRef>
              <c:f>'Conv-FHA Refis'!$D$19:$D$36</c:f>
              <c:numCache>
                <c:formatCode>0%</c:formatCode>
                <c:ptCount val="18"/>
                <c:pt idx="0">
                  <c:v>0.2585867331857794</c:v>
                </c:pt>
                <c:pt idx="1">
                  <c:v>0.31609995333967</c:v>
                </c:pt>
                <c:pt idx="2">
                  <c:v>0.32919073114086805</c:v>
                </c:pt>
                <c:pt idx="3">
                  <c:v>0.298394792516045</c:v>
                </c:pt>
                <c:pt idx="4">
                  <c:v>0.27479039146801637</c:v>
                </c:pt>
                <c:pt idx="5">
                  <c:v>0.1693382598462323</c:v>
                </c:pt>
                <c:pt idx="6">
                  <c:v>0.21774096943387636</c:v>
                </c:pt>
                <c:pt idx="7">
                  <c:v>0.16806439426634678</c:v>
                </c:pt>
                <c:pt idx="8">
                  <c:v>0.14213916613009497</c:v>
                </c:pt>
                <c:pt idx="9">
                  <c:v>0.25831839113173211</c:v>
                </c:pt>
                <c:pt idx="10">
                  <c:v>0.27946879153755932</c:v>
                </c:pt>
                <c:pt idx="11">
                  <c:v>0.2461967735953641</c:v>
                </c:pt>
                <c:pt idx="12">
                  <c:v>0.37172912783848994</c:v>
                </c:pt>
                <c:pt idx="13">
                  <c:v>0.47726003402484707</c:v>
                </c:pt>
                <c:pt idx="14">
                  <c:v>0.4720287737598271</c:v>
                </c:pt>
                <c:pt idx="15">
                  <c:v>0.45395761920684774</c:v>
                </c:pt>
                <c:pt idx="16">
                  <c:v>0.5650895306316519</c:v>
                </c:pt>
                <c:pt idx="17">
                  <c:v>0.4013165564915277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1939456"/>
        <c:axId val="166253696"/>
      </c:lineChart>
      <c:dateAx>
        <c:axId val="2319394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66253696"/>
        <c:crosses val="autoZero"/>
        <c:auto val="1"/>
        <c:lblOffset val="100"/>
        <c:baseTimeUnit val="months"/>
      </c:dateAx>
      <c:valAx>
        <c:axId val="166253696"/>
        <c:scaling>
          <c:orientation val="minMax"/>
          <c:min val="0.1"/>
        </c:scaling>
        <c:delete val="0"/>
        <c:axPos val="l"/>
        <c:numFmt formatCode="0%" sourceLinked="1"/>
        <c:majorTickMark val="out"/>
        <c:minorTickMark val="none"/>
        <c:tickLblPos val="nextTo"/>
        <c:crossAx val="231939456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FHA-Conv</a:t>
            </a:r>
            <a:r>
              <a:rPr lang="en-US" baseline="0"/>
              <a:t> Refis as a fraction of all FHA Refis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'FHA-Conventional'!$D$2</c:f>
              <c:strCache>
                <c:ptCount val="1"/>
                <c:pt idx="0">
                  <c:v>Ratio</c:v>
                </c:pt>
              </c:strCache>
            </c:strRef>
          </c:tx>
          <c:marker>
            <c:symbol val="none"/>
          </c:marker>
          <c:cat>
            <c:numRef>
              <c:f>'FHA-Conventional'!$A$3:$A$37</c:f>
              <c:numCache>
                <c:formatCode>m/d/yyyy</c:formatCode>
                <c:ptCount val="35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</c:numCache>
            </c:numRef>
          </c:cat>
          <c:val>
            <c:numRef>
              <c:f>'FHA-Conventional'!$D$3:$D$37</c:f>
              <c:numCache>
                <c:formatCode>0%</c:formatCode>
                <c:ptCount val="35"/>
                <c:pt idx="10">
                  <c:v>0.50635615862753969</c:v>
                </c:pt>
                <c:pt idx="11">
                  <c:v>0.44088967123452494</c:v>
                </c:pt>
                <c:pt idx="12">
                  <c:v>0.36871526563561119</c:v>
                </c:pt>
                <c:pt idx="13">
                  <c:v>0.4546394748867052</c:v>
                </c:pt>
                <c:pt idx="14">
                  <c:v>0.58152997593243749</c:v>
                </c:pt>
                <c:pt idx="15">
                  <c:v>0.62711474478609597</c:v>
                </c:pt>
                <c:pt idx="16">
                  <c:v>0.68611144408917224</c:v>
                </c:pt>
                <c:pt idx="17">
                  <c:v>0.64700482984976471</c:v>
                </c:pt>
                <c:pt idx="18">
                  <c:v>0.61662627646683243</c:v>
                </c:pt>
                <c:pt idx="19">
                  <c:v>0.65991208303855298</c:v>
                </c:pt>
                <c:pt idx="20">
                  <c:v>0.67038879548353003</c:v>
                </c:pt>
                <c:pt idx="21">
                  <c:v>0.58551663312445634</c:v>
                </c:pt>
                <c:pt idx="22">
                  <c:v>0.69294923611720771</c:v>
                </c:pt>
                <c:pt idx="23">
                  <c:v>0.56185792193284456</c:v>
                </c:pt>
                <c:pt idx="24">
                  <c:v>0.39086426093293702</c:v>
                </c:pt>
                <c:pt idx="25">
                  <c:v>0.25074211606575336</c:v>
                </c:pt>
                <c:pt idx="26">
                  <c:v>0.15452917116190601</c:v>
                </c:pt>
                <c:pt idx="27">
                  <c:v>0.13972463246998179</c:v>
                </c:pt>
                <c:pt idx="28">
                  <c:v>0.38713914117674053</c:v>
                </c:pt>
                <c:pt idx="29">
                  <c:v>0.41904118918303346</c:v>
                </c:pt>
                <c:pt idx="30">
                  <c:v>0.43289274753561358</c:v>
                </c:pt>
                <c:pt idx="31">
                  <c:v>0.4072334634221656</c:v>
                </c:pt>
                <c:pt idx="32">
                  <c:v>0.32915864795244254</c:v>
                </c:pt>
                <c:pt idx="33">
                  <c:v>0.1571841678473187</c:v>
                </c:pt>
                <c:pt idx="34">
                  <c:v>0.39993765559108552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261504"/>
        <c:axId val="166263040"/>
      </c:lineChart>
      <c:dateAx>
        <c:axId val="1662615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66263040"/>
        <c:crosses val="autoZero"/>
        <c:auto val="1"/>
        <c:lblOffset val="100"/>
        <c:baseTimeUnit val="months"/>
      </c:dateAx>
      <c:valAx>
        <c:axId val="166263040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crossAx val="1662615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6</xdr:row>
      <xdr:rowOff>80962</xdr:rowOff>
    </xdr:from>
    <xdr:to>
      <xdr:col>15</xdr:col>
      <xdr:colOff>381000</xdr:colOff>
      <xdr:row>20</xdr:row>
      <xdr:rowOff>157162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</xdr:colOff>
      <xdr:row>3</xdr:row>
      <xdr:rowOff>128587</xdr:rowOff>
    </xdr:from>
    <xdr:to>
      <xdr:col>19</xdr:col>
      <xdr:colOff>309562</xdr:colOff>
      <xdr:row>18</xdr:row>
      <xdr:rowOff>14287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242887</xdr:colOff>
      <xdr:row>1</xdr:row>
      <xdr:rowOff>128587</xdr:rowOff>
    </xdr:from>
    <xdr:to>
      <xdr:col>12</xdr:col>
      <xdr:colOff>547687</xdr:colOff>
      <xdr:row>16</xdr:row>
      <xdr:rowOff>14287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0</xdr:row>
      <xdr:rowOff>109536</xdr:rowOff>
    </xdr:from>
    <xdr:to>
      <xdr:col>14</xdr:col>
      <xdr:colOff>600075</xdr:colOff>
      <xdr:row>20</xdr:row>
      <xdr:rowOff>114299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IT\Production\Daily%20Reports\Primary%20Market\5.Market%20Concentration%20Master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hart1%20Ratio%20of%20FHA%20Insured%20Loans%20over%20Tot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Result Combine"/>
      <sheetName val="Result-lag"/>
      <sheetName val="Pivot - lag"/>
      <sheetName val="Input-lag"/>
      <sheetName val="Pivot equal"/>
      <sheetName val="Input-equal"/>
    </sheetNames>
    <sheetDataSet>
      <sheetData sheetId="0">
        <row r="12">
          <cell r="U12">
            <v>40695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NM"/>
      <sheetName val="FNM FHL"/>
    </sheetNames>
    <sheetDataSet>
      <sheetData sheetId="0"/>
      <sheetData sheetId="1">
        <row r="2">
          <cell r="B2" t="str">
            <v>Asof</v>
          </cell>
          <cell r="C2" t="str">
            <v>Balance</v>
          </cell>
          <cell r="G2" t="str">
            <v>Asof</v>
          </cell>
          <cell r="H2" t="str">
            <v>Balance</v>
          </cell>
        </row>
        <row r="3">
          <cell r="B3">
            <v>201301</v>
          </cell>
          <cell r="C3">
            <v>2713946673</v>
          </cell>
          <cell r="G3">
            <v>201301</v>
          </cell>
          <cell r="H3">
            <v>5464274121.79</v>
          </cell>
        </row>
        <row r="4">
          <cell r="B4">
            <v>201302</v>
          </cell>
          <cell r="C4">
            <v>3019401856</v>
          </cell>
          <cell r="G4">
            <v>201302</v>
          </cell>
          <cell r="H4">
            <v>5634928607.0600004</v>
          </cell>
        </row>
        <row r="5">
          <cell r="B5">
            <v>201303</v>
          </cell>
          <cell r="C5">
            <v>2738157234</v>
          </cell>
          <cell r="G5">
            <v>201303</v>
          </cell>
          <cell r="H5">
            <v>4731040236.6300001</v>
          </cell>
        </row>
        <row r="6">
          <cell r="B6">
            <v>201304</v>
          </cell>
          <cell r="C6">
            <v>2456192124</v>
          </cell>
          <cell r="G6">
            <v>201304</v>
          </cell>
          <cell r="H6">
            <v>5027270378.8699999</v>
          </cell>
        </row>
        <row r="7">
          <cell r="B7">
            <v>201305</v>
          </cell>
          <cell r="C7">
            <v>2412357591</v>
          </cell>
          <cell r="G7">
            <v>201305</v>
          </cell>
          <cell r="H7">
            <v>4770381512.46</v>
          </cell>
        </row>
        <row r="8">
          <cell r="B8">
            <v>201306</v>
          </cell>
          <cell r="C8">
            <v>2466431399</v>
          </cell>
          <cell r="G8">
            <v>201306</v>
          </cell>
          <cell r="H8">
            <v>4639614139.1999998</v>
          </cell>
        </row>
        <row r="9">
          <cell r="B9">
            <v>201307</v>
          </cell>
          <cell r="C9">
            <v>1922475854</v>
          </cell>
          <cell r="G9">
            <v>201307</v>
          </cell>
          <cell r="H9">
            <v>4187276714.5</v>
          </cell>
        </row>
        <row r="10">
          <cell r="B10">
            <v>201308</v>
          </cell>
          <cell r="C10">
            <v>1587127211</v>
          </cell>
          <cell r="G10">
            <v>201308</v>
          </cell>
          <cell r="H10">
            <v>3325355300.0799999</v>
          </cell>
        </row>
        <row r="11">
          <cell r="B11">
            <v>201309</v>
          </cell>
          <cell r="C11">
            <v>1155574664</v>
          </cell>
          <cell r="G11">
            <v>201309</v>
          </cell>
          <cell r="H11">
            <v>2460679859.54</v>
          </cell>
        </row>
        <row r="12">
          <cell r="B12">
            <v>201310</v>
          </cell>
          <cell r="C12">
            <v>775893134</v>
          </cell>
          <cell r="G12">
            <v>201310</v>
          </cell>
          <cell r="H12">
            <v>1805976831.9200001</v>
          </cell>
        </row>
        <row r="13">
          <cell r="B13">
            <v>201311</v>
          </cell>
          <cell r="C13">
            <v>745613800</v>
          </cell>
          <cell r="G13">
            <v>201311</v>
          </cell>
          <cell r="H13">
            <v>1719194248.24</v>
          </cell>
        </row>
        <row r="14">
          <cell r="B14">
            <v>201312</v>
          </cell>
          <cell r="C14">
            <v>815123439</v>
          </cell>
          <cell r="G14">
            <v>201312</v>
          </cell>
          <cell r="H14">
            <v>1625284231.6199999</v>
          </cell>
        </row>
        <row r="15">
          <cell r="B15">
            <v>201401</v>
          </cell>
          <cell r="C15">
            <v>787070489</v>
          </cell>
          <cell r="G15">
            <v>201401</v>
          </cell>
          <cell r="H15">
            <v>1506605792.8199999</v>
          </cell>
        </row>
        <row r="16">
          <cell r="B16">
            <v>201402</v>
          </cell>
          <cell r="C16">
            <v>578952286</v>
          </cell>
          <cell r="G16">
            <v>201402</v>
          </cell>
          <cell r="H16">
            <v>1229243226.3</v>
          </cell>
        </row>
        <row r="17">
          <cell r="B17">
            <v>201403</v>
          </cell>
          <cell r="C17">
            <v>511678931</v>
          </cell>
          <cell r="G17">
            <v>201403</v>
          </cell>
          <cell r="H17">
            <v>1055200989.97</v>
          </cell>
        </row>
        <row r="18">
          <cell r="B18">
            <v>201404</v>
          </cell>
          <cell r="C18">
            <v>643451862</v>
          </cell>
          <cell r="G18">
            <v>201404</v>
          </cell>
          <cell r="H18">
            <v>1100308976.0899999</v>
          </cell>
        </row>
        <row r="19">
          <cell r="B19">
            <v>201405</v>
          </cell>
          <cell r="C19">
            <v>580250399</v>
          </cell>
          <cell r="G19">
            <v>201405</v>
          </cell>
          <cell r="H19">
            <v>1048810600.4</v>
          </cell>
        </row>
        <row r="20">
          <cell r="B20">
            <v>201406</v>
          </cell>
          <cell r="C20">
            <v>578541007</v>
          </cell>
          <cell r="G20">
            <v>201406</v>
          </cell>
          <cell r="H20">
            <v>1058239776.09</v>
          </cell>
        </row>
        <row r="21">
          <cell r="B21">
            <v>201407</v>
          </cell>
          <cell r="C21">
            <v>736877560</v>
          </cell>
          <cell r="G21">
            <v>201407</v>
          </cell>
          <cell r="H21">
            <v>1246925549</v>
          </cell>
        </row>
        <row r="22">
          <cell r="B22">
            <v>201408</v>
          </cell>
          <cell r="C22">
            <v>741180104</v>
          </cell>
          <cell r="G22">
            <v>201408</v>
          </cell>
          <cell r="H22">
            <v>1438694414.4000001</v>
          </cell>
        </row>
        <row r="23">
          <cell r="B23">
            <v>201409</v>
          </cell>
          <cell r="C23">
            <v>773482535</v>
          </cell>
          <cell r="G23">
            <v>201409</v>
          </cell>
          <cell r="H23">
            <v>1525632921.5999999</v>
          </cell>
        </row>
        <row r="24">
          <cell r="B24">
            <v>201410</v>
          </cell>
          <cell r="C24">
            <v>845043044</v>
          </cell>
          <cell r="G24">
            <v>201410</v>
          </cell>
          <cell r="H24">
            <v>1653490463.4400001</v>
          </cell>
        </row>
        <row r="25">
          <cell r="B25">
            <v>201411</v>
          </cell>
          <cell r="C25">
            <v>961850656</v>
          </cell>
          <cell r="G25">
            <v>201411</v>
          </cell>
          <cell r="H25">
            <v>1592166868.79</v>
          </cell>
        </row>
        <row r="26">
          <cell r="B26">
            <v>201412</v>
          </cell>
          <cell r="C26">
            <v>1160870721</v>
          </cell>
          <cell r="G26">
            <v>201412</v>
          </cell>
          <cell r="H26">
            <v>1880109034.4200001</v>
          </cell>
        </row>
        <row r="27">
          <cell r="B27">
            <v>201501</v>
          </cell>
          <cell r="C27">
            <v>1012365410</v>
          </cell>
          <cell r="G27">
            <v>201501</v>
          </cell>
          <cell r="H27">
            <v>2319549761.9699998</v>
          </cell>
        </row>
        <row r="28">
          <cell r="B28">
            <v>201502</v>
          </cell>
          <cell r="C28">
            <v>1389459273</v>
          </cell>
          <cell r="G28">
            <v>201502</v>
          </cell>
          <cell r="H28">
            <v>1888763184.1800001</v>
          </cell>
        </row>
        <row r="29">
          <cell r="B29">
            <v>201503</v>
          </cell>
          <cell r="C29">
            <v>1890040249</v>
          </cell>
          <cell r="G29">
            <v>201503</v>
          </cell>
          <cell r="H29">
            <v>2957862887.98</v>
          </cell>
        </row>
        <row r="30">
          <cell r="B30">
            <v>201504</v>
          </cell>
          <cell r="C30">
            <v>2224236311</v>
          </cell>
          <cell r="G30">
            <v>201504</v>
          </cell>
          <cell r="H30">
            <v>2836172850.0300002</v>
          </cell>
        </row>
        <row r="31">
          <cell r="B31">
            <v>201505</v>
          </cell>
          <cell r="C31">
            <v>1535855721</v>
          </cell>
          <cell r="G31">
            <v>201505</v>
          </cell>
          <cell r="H31">
            <v>2071628734.8299999</v>
          </cell>
        </row>
        <row r="32">
          <cell r="B32">
            <v>201506</v>
          </cell>
          <cell r="C32">
            <v>1287127092</v>
          </cell>
          <cell r="G32">
            <v>201506</v>
          </cell>
          <cell r="H32">
            <v>1847314665.8399999</v>
          </cell>
        </row>
        <row r="33">
          <cell r="B33">
            <v>201507</v>
          </cell>
          <cell r="C33">
            <v>1070824454</v>
          </cell>
          <cell r="G33">
            <v>201507</v>
          </cell>
          <cell r="H33">
            <v>1628669898.3</v>
          </cell>
        </row>
        <row r="34">
          <cell r="B34">
            <v>201508</v>
          </cell>
          <cell r="C34">
            <v>805661802</v>
          </cell>
          <cell r="G34">
            <v>201508</v>
          </cell>
          <cell r="H34">
            <v>1389754223.0999999</v>
          </cell>
        </row>
        <row r="35">
          <cell r="B35">
            <v>201509</v>
          </cell>
          <cell r="C35">
            <v>830795937</v>
          </cell>
          <cell r="G35">
            <v>201509</v>
          </cell>
          <cell r="H35">
            <v>1228454877.21</v>
          </cell>
        </row>
        <row r="36">
          <cell r="B36">
            <v>201510</v>
          </cell>
          <cell r="C36">
            <v>880094471</v>
          </cell>
          <cell r="G36">
            <v>201510</v>
          </cell>
          <cell r="H36">
            <v>1366586707.1700001</v>
          </cell>
        </row>
        <row r="37">
          <cell r="B37">
            <v>201511</v>
          </cell>
          <cell r="C37">
            <v>1036261788</v>
          </cell>
          <cell r="G37">
            <v>201511</v>
          </cell>
          <cell r="H37">
            <v>1401336720.8900001</v>
          </cell>
        </row>
        <row r="38">
          <cell r="B38">
            <v>201512</v>
          </cell>
          <cell r="C38">
            <v>928951499</v>
          </cell>
          <cell r="G38">
            <v>201512</v>
          </cell>
          <cell r="H38">
            <v>1271616190.25</v>
          </cell>
        </row>
        <row r="39">
          <cell r="B39">
            <v>201601</v>
          </cell>
          <cell r="C39">
            <v>900771331</v>
          </cell>
          <cell r="G39">
            <v>201601</v>
          </cell>
          <cell r="H39">
            <v>1269199967.3900001</v>
          </cell>
        </row>
        <row r="40">
          <cell r="B40">
            <v>201602</v>
          </cell>
          <cell r="C40">
            <v>630861235</v>
          </cell>
          <cell r="G40">
            <v>201602</v>
          </cell>
          <cell r="H40">
            <v>1013765615.77</v>
          </cell>
        </row>
        <row r="41">
          <cell r="B41">
            <v>201603</v>
          </cell>
          <cell r="C41">
            <v>263241848</v>
          </cell>
          <cell r="G41">
            <v>201603</v>
          </cell>
          <cell r="H41">
            <v>640381821</v>
          </cell>
        </row>
        <row r="42">
          <cell r="G42">
            <v>201604</v>
          </cell>
          <cell r="H42">
            <v>28184199</v>
          </cell>
        </row>
      </sheetData>
    </sheetDataSet>
  </externalBook>
</externalLink>
</file>

<file path=xl/queryTables/queryTable1.xml><?xml version="1.0" encoding="utf-8"?>
<queryTable xmlns="http://schemas.openxmlformats.org/spreadsheetml/2006/main" name="Query from Agency_8" backgroundRefresh="0" adjustColumnWidth="0" connectionId="1" autoFormatId="16" applyNumberFormats="0" applyBorderFormats="0" applyFontFormats="0" applyPatternFormats="0" applyAlignmentFormats="0" applyWidthHeightFormats="0">
  <queryTableRefresh nextId="78" unboundColumnsRight="2">
    <queryTableFields count="4">
      <queryTableField id="73" name="Asof" tableColumnId="4"/>
      <queryTableField id="75" name="FHA" tableColumnId="6"/>
      <queryTableField id="76" dataBound="0" tableColumnId="7"/>
      <queryTableField id="77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CurrentMtgRatesDataTable934" displayName="CurrentMtgRatesDataTable934" ref="B2:E41" tableType="queryTable" totalsRowShown="0" headerRowDxfId="13" dataDxfId="12">
  <tableColumns count="4">
    <tableColumn id="4" uniqueName="4" name="Asof" queryTableFieldId="73" dataDxfId="11"/>
    <tableColumn id="6" uniqueName="6" name="FHA" queryTableFieldId="75" dataDxfId="10" dataCellStyle="Comma"/>
    <tableColumn id="7" uniqueName="7" name="FHL+FNM" queryTableFieldId="76" dataDxfId="9" dataCellStyle="Comma">
      <calculatedColumnFormula>VLOOKUP(CurrentMtgRatesDataTable934[[#This Row],[Asof]],'[2]FNM FHL'!B:C,2,0)+VLOOKUP(CurrentMtgRatesDataTable934[[#This Row],[Asof]],'[2]FNM FHL'!G:H,2,0)</calculatedColumnFormula>
    </tableColumn>
    <tableColumn id="8" uniqueName="8" name="FHA %" queryTableFieldId="77" dataDxfId="8" dataCellStyle="Percent">
      <calculatedColumnFormula>CurrentMtgRatesDataTable934[[#This Row],[FHA]]/(CurrentMtgRatesDataTable934[[#This Row],[FHA]]+CurrentMtgRatesDataTable934[[#This Row],[FHL+FNM]])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8"/>
  <sheetViews>
    <sheetView topLeftCell="B1" workbookViewId="0">
      <selection activeCell="F21" sqref="F21"/>
    </sheetView>
  </sheetViews>
  <sheetFormatPr defaultRowHeight="15" x14ac:dyDescent="0.25"/>
  <cols>
    <col min="2" max="2" width="9.140625" style="3"/>
    <col min="3" max="3" width="13.7109375" customWidth="1"/>
  </cols>
  <sheetData>
    <row r="1" spans="2:6" x14ac:dyDescent="0.25">
      <c r="B1" s="5" t="s">
        <v>14</v>
      </c>
    </row>
    <row r="2" spans="2:6" x14ac:dyDescent="0.25">
      <c r="D2" s="24" t="s">
        <v>19</v>
      </c>
      <c r="E2" s="24"/>
      <c r="F2" s="24"/>
    </row>
    <row r="3" spans="2:6" x14ac:dyDescent="0.25">
      <c r="C3" s="2" t="s">
        <v>15</v>
      </c>
      <c r="D3" s="11" t="s">
        <v>16</v>
      </c>
      <c r="E3" s="11" t="s">
        <v>17</v>
      </c>
      <c r="F3" s="11" t="s">
        <v>18</v>
      </c>
    </row>
    <row r="4" spans="2:6" x14ac:dyDescent="0.25">
      <c r="B4" s="3">
        <v>2004</v>
      </c>
      <c r="C4" s="9">
        <v>263830</v>
      </c>
      <c r="D4" s="10">
        <v>0.66600000000000004</v>
      </c>
      <c r="E4" s="10">
        <v>0.23599999999999999</v>
      </c>
      <c r="F4" s="10">
        <v>8.8999999999999996E-2</v>
      </c>
    </row>
    <row r="5" spans="2:6" x14ac:dyDescent="0.25">
      <c r="B5" s="3">
        <v>2005</v>
      </c>
      <c r="C5" s="9">
        <v>267540</v>
      </c>
      <c r="D5" s="10">
        <v>0.75800000000000001</v>
      </c>
      <c r="E5" s="10">
        <v>0.16300000000000001</v>
      </c>
      <c r="F5" s="10">
        <v>7.0000000000000007E-2</v>
      </c>
    </row>
    <row r="6" spans="2:6" x14ac:dyDescent="0.25">
      <c r="B6" s="3">
        <v>2006</v>
      </c>
      <c r="C6" s="9">
        <v>266073</v>
      </c>
      <c r="D6" s="10">
        <v>0.76600000000000001</v>
      </c>
      <c r="E6" s="10">
        <v>0.155</v>
      </c>
      <c r="F6" s="10">
        <v>7.0000000000000007E-2</v>
      </c>
    </row>
    <row r="7" spans="2:6" x14ac:dyDescent="0.25">
      <c r="B7" s="3">
        <v>2007</v>
      </c>
      <c r="C7" s="9">
        <v>357143</v>
      </c>
      <c r="D7" s="10">
        <v>0.76700000000000002</v>
      </c>
      <c r="E7" s="10">
        <v>0.17100000000000001</v>
      </c>
      <c r="F7" s="10">
        <v>5.3999999999999999E-2</v>
      </c>
    </row>
    <row r="8" spans="2:6" x14ac:dyDescent="0.25">
      <c r="B8" s="3">
        <v>2008</v>
      </c>
      <c r="C8" s="9">
        <v>193267</v>
      </c>
      <c r="D8" s="10">
        <v>0.39100000000000001</v>
      </c>
      <c r="E8" s="10">
        <v>0.51400000000000001</v>
      </c>
      <c r="F8" s="10">
        <v>8.2000000000000003E-2</v>
      </c>
    </row>
    <row r="9" spans="2:6" x14ac:dyDescent="0.25">
      <c r="B9" s="3">
        <v>2009</v>
      </c>
      <c r="C9" s="9">
        <v>81700</v>
      </c>
      <c r="D9" s="10">
        <v>0.14899999999999999</v>
      </c>
      <c r="E9" s="10">
        <v>0.68700000000000006</v>
      </c>
      <c r="F9" s="10">
        <v>0.13500000000000001</v>
      </c>
    </row>
    <row r="10" spans="2:6" x14ac:dyDescent="0.25">
      <c r="B10" s="3">
        <v>2010</v>
      </c>
      <c r="C10" s="9">
        <v>70179</v>
      </c>
      <c r="D10" s="10">
        <v>0.155</v>
      </c>
      <c r="E10" s="10">
        <v>0.65700000000000003</v>
      </c>
      <c r="F10" s="10">
        <v>0.152</v>
      </c>
    </row>
    <row r="11" spans="2:6" x14ac:dyDescent="0.25">
      <c r="B11" s="3">
        <v>2011</v>
      </c>
      <c r="C11" s="9">
        <v>84529</v>
      </c>
      <c r="D11" s="10">
        <v>0.218</v>
      </c>
      <c r="E11" s="10">
        <v>0.53400000000000003</v>
      </c>
      <c r="F11" s="10">
        <v>0.20799999999999999</v>
      </c>
    </row>
    <row r="12" spans="2:6" x14ac:dyDescent="0.25">
      <c r="B12" s="3">
        <v>2012</v>
      </c>
      <c r="C12" s="9">
        <v>174931</v>
      </c>
      <c r="D12" s="10">
        <v>0.31</v>
      </c>
      <c r="E12" s="10">
        <v>0.434</v>
      </c>
      <c r="F12" s="10">
        <v>0.22700000000000001</v>
      </c>
    </row>
    <row r="13" spans="2:6" x14ac:dyDescent="0.25">
      <c r="B13" s="3">
        <v>2013</v>
      </c>
      <c r="C13" s="9">
        <v>207142</v>
      </c>
      <c r="D13" s="10">
        <v>0.35199999999999998</v>
      </c>
      <c r="E13" s="10">
        <v>0.39100000000000001</v>
      </c>
      <c r="F13" s="10">
        <v>0.221</v>
      </c>
    </row>
    <row r="14" spans="2:6" x14ac:dyDescent="0.25">
      <c r="B14" s="3">
        <v>2014</v>
      </c>
      <c r="C14" s="9">
        <v>178258</v>
      </c>
      <c r="D14" s="10">
        <v>0.38900000000000001</v>
      </c>
      <c r="E14" s="10">
        <v>0.32400000000000001</v>
      </c>
      <c r="F14" s="10">
        <v>0.24299999999999999</v>
      </c>
    </row>
    <row r="15" spans="2:6" x14ac:dyDescent="0.25">
      <c r="B15" s="3">
        <v>2015</v>
      </c>
      <c r="C15" s="9">
        <v>219641</v>
      </c>
      <c r="D15" s="10">
        <v>0.34100000000000003</v>
      </c>
      <c r="E15" s="10">
        <v>0.39</v>
      </c>
      <c r="F15" s="10">
        <v>0.24099999999999999</v>
      </c>
    </row>
    <row r="17" spans="2:2" x14ac:dyDescent="0.25">
      <c r="B17" s="4" t="s">
        <v>20</v>
      </c>
    </row>
    <row r="18" spans="2:2" x14ac:dyDescent="0.25">
      <c r="B18" s="8" t="s">
        <v>21</v>
      </c>
    </row>
  </sheetData>
  <mergeCells count="1">
    <mergeCell ref="D2:F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6"/>
  <sheetViews>
    <sheetView workbookViewId="0">
      <selection activeCell="C19" sqref="C19"/>
    </sheetView>
  </sheetViews>
  <sheetFormatPr defaultRowHeight="15" x14ac:dyDescent="0.25"/>
  <cols>
    <col min="2" max="2" width="9.140625" style="3"/>
    <col min="3" max="3" width="32.140625" style="3" customWidth="1"/>
    <col min="4" max="4" width="9.140625" style="3"/>
    <col min="5" max="5" width="11.5703125" style="3" customWidth="1"/>
  </cols>
  <sheetData>
    <row r="2" spans="1:5" x14ac:dyDescent="0.25">
      <c r="A2" s="4"/>
      <c r="B2" s="5" t="s">
        <v>4</v>
      </c>
    </row>
    <row r="4" spans="1:5" x14ac:dyDescent="0.25">
      <c r="B4" s="2" t="s">
        <v>0</v>
      </c>
      <c r="C4" s="2" t="s">
        <v>1</v>
      </c>
      <c r="D4" s="2" t="s">
        <v>2</v>
      </c>
      <c r="E4" s="2" t="s">
        <v>3</v>
      </c>
    </row>
    <row r="5" spans="1:5" x14ac:dyDescent="0.25">
      <c r="B5" s="3">
        <v>1</v>
      </c>
      <c r="C5" s="4" t="s">
        <v>5</v>
      </c>
      <c r="D5" s="3">
        <f>50.84</f>
        <v>50.84</v>
      </c>
      <c r="E5" s="7">
        <f>D5/$D$12</f>
        <v>0.23601504108444363</v>
      </c>
    </row>
    <row r="6" spans="1:5" x14ac:dyDescent="0.25">
      <c r="B6" s="3">
        <v>2</v>
      </c>
      <c r="C6" s="4" t="s">
        <v>6</v>
      </c>
      <c r="D6" s="3">
        <f>43.03</f>
        <v>43.03</v>
      </c>
      <c r="E6" s="7">
        <f t="shared" ref="E6:E11" si="0">D6/$D$12</f>
        <v>0.19975859987929995</v>
      </c>
    </row>
    <row r="7" spans="1:5" x14ac:dyDescent="0.25">
      <c r="B7" s="3">
        <v>3</v>
      </c>
      <c r="C7" s="4" t="s">
        <v>7</v>
      </c>
      <c r="D7" s="3">
        <f>41.23</f>
        <v>41.23</v>
      </c>
      <c r="E7" s="7">
        <f t="shared" si="0"/>
        <v>0.19140244185506708</v>
      </c>
    </row>
    <row r="8" spans="1:5" x14ac:dyDescent="0.25">
      <c r="B8" s="3">
        <v>4</v>
      </c>
      <c r="C8" s="4" t="s">
        <v>8</v>
      </c>
      <c r="D8" s="3">
        <f>31.68</f>
        <v>31.68</v>
      </c>
      <c r="E8" s="7">
        <f t="shared" si="0"/>
        <v>0.14706838122649832</v>
      </c>
    </row>
    <row r="9" spans="1:5" x14ac:dyDescent="0.25">
      <c r="B9" s="3">
        <v>5</v>
      </c>
      <c r="C9" s="4" t="s">
        <v>9</v>
      </c>
      <c r="D9" s="3">
        <f>25.93</f>
        <v>25.93</v>
      </c>
      <c r="E9" s="7">
        <f t="shared" si="0"/>
        <v>0.12037509864908778</v>
      </c>
    </row>
    <row r="10" spans="1:5" x14ac:dyDescent="0.25">
      <c r="B10" s="3">
        <v>6</v>
      </c>
      <c r="C10" s="4" t="s">
        <v>10</v>
      </c>
      <c r="D10" s="3">
        <f>12.42</f>
        <v>12.42</v>
      </c>
      <c r="E10" s="7">
        <f t="shared" si="0"/>
        <v>5.7657490367206722E-2</v>
      </c>
    </row>
    <row r="11" spans="1:5" x14ac:dyDescent="0.25">
      <c r="B11" s="3">
        <v>7</v>
      </c>
      <c r="C11" s="4" t="s">
        <v>11</v>
      </c>
      <c r="D11" s="6">
        <f>10.28</f>
        <v>10.28</v>
      </c>
      <c r="E11" s="7">
        <f t="shared" si="0"/>
        <v>4.7722946938396543E-2</v>
      </c>
    </row>
    <row r="12" spans="1:5" x14ac:dyDescent="0.25">
      <c r="D12" s="3">
        <f>SUM(D5:D11)</f>
        <v>215.41</v>
      </c>
    </row>
    <row r="14" spans="1:5" x14ac:dyDescent="0.25">
      <c r="B14" s="4" t="s">
        <v>12</v>
      </c>
    </row>
    <row r="16" spans="1:5" x14ac:dyDescent="0.25">
      <c r="B16" s="8" t="s">
        <v>13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workbookViewId="0">
      <selection activeCell="P31" sqref="P31"/>
    </sheetView>
  </sheetViews>
  <sheetFormatPr defaultRowHeight="15" x14ac:dyDescent="0.25"/>
  <cols>
    <col min="3" max="3" width="17" style="12" bestFit="1" customWidth="1"/>
    <col min="4" max="4" width="16" style="12" bestFit="1" customWidth="1"/>
    <col min="5" max="5" width="9.140625" style="13"/>
    <col min="8" max="8" width="10.42578125" customWidth="1"/>
    <col min="9" max="9" width="9.140625" style="13"/>
  </cols>
  <sheetData>
    <row r="1" spans="1:13" x14ac:dyDescent="0.25">
      <c r="H1" t="s">
        <v>22</v>
      </c>
    </row>
    <row r="2" spans="1:13" x14ac:dyDescent="0.25">
      <c r="A2" t="s">
        <v>23</v>
      </c>
      <c r="B2" s="14" t="s">
        <v>24</v>
      </c>
      <c r="C2" s="15" t="s">
        <v>25</v>
      </c>
      <c r="D2" s="15" t="s">
        <v>26</v>
      </c>
      <c r="E2" s="16" t="s">
        <v>27</v>
      </c>
      <c r="I2" s="17" t="s">
        <v>27</v>
      </c>
      <c r="M2" s="1" t="s">
        <v>31</v>
      </c>
    </row>
    <row r="3" spans="1:13" x14ac:dyDescent="0.25">
      <c r="B3">
        <v>201301</v>
      </c>
      <c r="C3" s="15">
        <v>10454472000</v>
      </c>
      <c r="D3" s="15">
        <f>VLOOKUP(CurrentMtgRatesDataTable934[[#This Row],[Asof]],'[2]FNM FHL'!B:C,2,0)+VLOOKUP(CurrentMtgRatesDataTable934[[#This Row],[Asof]],'[2]FNM FHL'!G:H,2,0)</f>
        <v>8178220794.79</v>
      </c>
      <c r="E3" s="16">
        <f>CurrentMtgRatesDataTable934[[#This Row],[FHA]]/(CurrentMtgRatesDataTable934[[#This Row],[FHA]]+CurrentMtgRatesDataTable934[[#This Row],[FHL+FNM]])</f>
        <v>0.56108218576561508</v>
      </c>
      <c r="H3" s="18">
        <v>41275</v>
      </c>
      <c r="I3" s="13">
        <f>CurrentMtgRatesDataTable934[[#This Row],[FHA %]]</f>
        <v>0.56108218576561508</v>
      </c>
    </row>
    <row r="4" spans="1:13" x14ac:dyDescent="0.25">
      <c r="B4">
        <v>201302</v>
      </c>
      <c r="C4" s="15">
        <v>10339094000</v>
      </c>
      <c r="D4" s="15">
        <f>VLOOKUP(CurrentMtgRatesDataTable934[[#This Row],[Asof]],'[2]FNM FHL'!B:C,2,0)+VLOOKUP(CurrentMtgRatesDataTable934[[#This Row],[Asof]],'[2]FNM FHL'!G:H,2,0)</f>
        <v>8654330463.0600014</v>
      </c>
      <c r="E4" s="16">
        <f>CurrentMtgRatesDataTable934[[#This Row],[FHA]]/(CurrentMtgRatesDataTable934[[#This Row],[FHA]]+CurrentMtgRatesDataTable934[[#This Row],[FHL+FNM]])</f>
        <v>0.54435123166484978</v>
      </c>
      <c r="H4" s="18">
        <v>41306</v>
      </c>
      <c r="I4" s="13">
        <f>CurrentMtgRatesDataTable934[[#This Row],[FHA %]]</f>
        <v>0.54435123166484978</v>
      </c>
    </row>
    <row r="5" spans="1:13" x14ac:dyDescent="0.25">
      <c r="B5">
        <v>201303</v>
      </c>
      <c r="C5" s="15">
        <v>9095945401</v>
      </c>
      <c r="D5" s="15">
        <f>VLOOKUP(CurrentMtgRatesDataTable934[[#This Row],[Asof]],'[2]FNM FHL'!B:C,2,0)+VLOOKUP(CurrentMtgRatesDataTable934[[#This Row],[Asof]],'[2]FNM FHL'!G:H,2,0)</f>
        <v>7469197470.6300001</v>
      </c>
      <c r="E5" s="16">
        <f>CurrentMtgRatesDataTable934[[#This Row],[FHA]]/(CurrentMtgRatesDataTable934[[#This Row],[FHA]]+CurrentMtgRatesDataTable934[[#This Row],[FHL+FNM]])</f>
        <v>0.5491015363699645</v>
      </c>
      <c r="H5" s="18">
        <v>41334</v>
      </c>
      <c r="I5" s="13">
        <f>CurrentMtgRatesDataTable934[[#This Row],[FHA %]]</f>
        <v>0.5491015363699645</v>
      </c>
    </row>
    <row r="6" spans="1:13" x14ac:dyDescent="0.25">
      <c r="B6">
        <v>201304</v>
      </c>
      <c r="C6" s="15">
        <v>9144782000</v>
      </c>
      <c r="D6" s="15">
        <f>VLOOKUP(CurrentMtgRatesDataTable934[[#This Row],[Asof]],'[2]FNM FHL'!B:C,2,0)+VLOOKUP(CurrentMtgRatesDataTable934[[#This Row],[Asof]],'[2]FNM FHL'!G:H,2,0)</f>
        <v>7483462502.8699999</v>
      </c>
      <c r="E6" s="16">
        <f>CurrentMtgRatesDataTable934[[#This Row],[FHA]]/(CurrentMtgRatesDataTable934[[#This Row],[FHA]]+CurrentMtgRatesDataTable934[[#This Row],[FHL+FNM]])</f>
        <v>0.54995474708238923</v>
      </c>
      <c r="H6" s="18">
        <v>41365</v>
      </c>
      <c r="I6" s="13">
        <f>CurrentMtgRatesDataTable934[[#This Row],[FHA %]]</f>
        <v>0.54995474708238923</v>
      </c>
    </row>
    <row r="7" spans="1:13" x14ac:dyDescent="0.25">
      <c r="B7">
        <v>201305</v>
      </c>
      <c r="C7" s="15">
        <v>9333706425</v>
      </c>
      <c r="D7" s="15">
        <f>VLOOKUP(CurrentMtgRatesDataTable934[[#This Row],[Asof]],'[2]FNM FHL'!B:C,2,0)+VLOOKUP(CurrentMtgRatesDataTable934[[#This Row],[Asof]],'[2]FNM FHL'!G:H,2,0)</f>
        <v>7182739103.46</v>
      </c>
      <c r="E7" s="16">
        <f>CurrentMtgRatesDataTable934[[#This Row],[FHA]]/(CurrentMtgRatesDataTable934[[#This Row],[FHA]]+CurrentMtgRatesDataTable934[[#This Row],[FHL+FNM]])</f>
        <v>0.56511592696605339</v>
      </c>
      <c r="H7" s="18">
        <v>41395</v>
      </c>
      <c r="I7" s="13">
        <f>CurrentMtgRatesDataTable934[[#This Row],[FHA %]]</f>
        <v>0.56511592696605339</v>
      </c>
    </row>
    <row r="8" spans="1:13" x14ac:dyDescent="0.25">
      <c r="B8">
        <v>201306</v>
      </c>
      <c r="C8" s="15">
        <v>7456124024</v>
      </c>
      <c r="D8" s="15">
        <f>VLOOKUP(CurrentMtgRatesDataTable934[[#This Row],[Asof]],'[2]FNM FHL'!B:C,2,0)+VLOOKUP(CurrentMtgRatesDataTable934[[#This Row],[Asof]],'[2]FNM FHL'!G:H,2,0)</f>
        <v>7106045538.1999998</v>
      </c>
      <c r="E8" s="16">
        <f>CurrentMtgRatesDataTable934[[#This Row],[FHA]]/(CurrentMtgRatesDataTable934[[#This Row],[FHA]]+CurrentMtgRatesDataTable934[[#This Row],[FHL+FNM]])</f>
        <v>0.51202013492236487</v>
      </c>
      <c r="H8" s="18">
        <v>41426</v>
      </c>
      <c r="I8" s="13">
        <f>CurrentMtgRatesDataTable934[[#This Row],[FHA %]]</f>
        <v>0.51202013492236487</v>
      </c>
    </row>
    <row r="9" spans="1:13" x14ac:dyDescent="0.25">
      <c r="B9">
        <v>201307</v>
      </c>
      <c r="C9" s="15">
        <v>5340629755</v>
      </c>
      <c r="D9" s="15">
        <f>VLOOKUP(CurrentMtgRatesDataTable934[[#This Row],[Asof]],'[2]FNM FHL'!B:C,2,0)+VLOOKUP(CurrentMtgRatesDataTable934[[#This Row],[Asof]],'[2]FNM FHL'!G:H,2,0)</f>
        <v>6109752568.5</v>
      </c>
      <c r="E9" s="16">
        <f>CurrentMtgRatesDataTable934[[#This Row],[FHA]]/(CurrentMtgRatesDataTable934[[#This Row],[FHA]]+CurrentMtgRatesDataTable934[[#This Row],[FHL+FNM]])</f>
        <v>0.46641497236640284</v>
      </c>
      <c r="H9" s="18">
        <v>41456</v>
      </c>
      <c r="I9" s="13">
        <f>CurrentMtgRatesDataTable934[[#This Row],[FHA %]]</f>
        <v>0.46641497236640284</v>
      </c>
    </row>
    <row r="10" spans="1:13" x14ac:dyDescent="0.25">
      <c r="B10">
        <v>201308</v>
      </c>
      <c r="C10" s="15">
        <v>4366669252</v>
      </c>
      <c r="D10" s="15">
        <f>VLOOKUP(CurrentMtgRatesDataTable934[[#This Row],[Asof]],'[2]FNM FHL'!B:C,2,0)+VLOOKUP(CurrentMtgRatesDataTable934[[#This Row],[Asof]],'[2]FNM FHL'!G:H,2,0)</f>
        <v>4912482511.0799999</v>
      </c>
      <c r="E10" s="16">
        <f>CurrentMtgRatesDataTable934[[#This Row],[FHA]]/(CurrentMtgRatesDataTable934[[#This Row],[FHA]]+CurrentMtgRatesDataTable934[[#This Row],[FHL+FNM]])</f>
        <v>0.47058926974059806</v>
      </c>
      <c r="H10" s="18">
        <v>41487</v>
      </c>
      <c r="I10" s="13">
        <f>CurrentMtgRatesDataTable934[[#This Row],[FHA %]]</f>
        <v>0.47058926974059806</v>
      </c>
    </row>
    <row r="11" spans="1:13" x14ac:dyDescent="0.25">
      <c r="B11">
        <v>201309</v>
      </c>
      <c r="C11" s="15">
        <v>3269639789</v>
      </c>
      <c r="D11" s="15">
        <f>VLOOKUP(CurrentMtgRatesDataTable934[[#This Row],[Asof]],'[2]FNM FHL'!B:C,2,0)+VLOOKUP(CurrentMtgRatesDataTable934[[#This Row],[Asof]],'[2]FNM FHL'!G:H,2,0)</f>
        <v>3616254523.54</v>
      </c>
      <c r="E11" s="16">
        <f>CurrentMtgRatesDataTable934[[#This Row],[FHA]]/(CurrentMtgRatesDataTable934[[#This Row],[FHA]]+CurrentMtgRatesDataTable934[[#This Row],[FHL+FNM]])</f>
        <v>0.47483153830078578</v>
      </c>
      <c r="H11" s="18">
        <v>41518</v>
      </c>
      <c r="I11" s="13">
        <f>CurrentMtgRatesDataTable934[[#This Row],[FHA %]]</f>
        <v>0.47483153830078578</v>
      </c>
    </row>
    <row r="12" spans="1:13" x14ac:dyDescent="0.25">
      <c r="B12">
        <v>201310</v>
      </c>
      <c r="C12" s="15">
        <v>2537899121</v>
      </c>
      <c r="D12" s="15">
        <f>VLOOKUP(CurrentMtgRatesDataTable934[[#This Row],[Asof]],'[2]FNM FHL'!B:C,2,0)+VLOOKUP(CurrentMtgRatesDataTable934[[#This Row],[Asof]],'[2]FNM FHL'!G:H,2,0)</f>
        <v>2581869965.9200001</v>
      </c>
      <c r="E12" s="16">
        <f>CurrentMtgRatesDataTable934[[#This Row],[FHA]]/(CurrentMtgRatesDataTable934[[#This Row],[FHA]]+CurrentMtgRatesDataTable934[[#This Row],[FHL+FNM]])</f>
        <v>0.49570577850548603</v>
      </c>
      <c r="H12" s="18">
        <v>41548</v>
      </c>
      <c r="I12" s="13">
        <f>CurrentMtgRatesDataTable934[[#This Row],[FHA %]]</f>
        <v>0.49570577850548603</v>
      </c>
    </row>
    <row r="13" spans="1:13" x14ac:dyDescent="0.25">
      <c r="B13">
        <v>201311</v>
      </c>
      <c r="C13" s="15">
        <v>2307580910</v>
      </c>
      <c r="D13" s="15">
        <f>VLOOKUP(CurrentMtgRatesDataTable934[[#This Row],[Asof]],'[2]FNM FHL'!B:C,2,0)+VLOOKUP(CurrentMtgRatesDataTable934[[#This Row],[Asof]],'[2]FNM FHL'!G:H,2,0)</f>
        <v>2464808048.2399998</v>
      </c>
      <c r="E13" s="16">
        <f>CurrentMtgRatesDataTable934[[#This Row],[FHA]]/(CurrentMtgRatesDataTable934[[#This Row],[FHA]]+CurrentMtgRatesDataTable934[[#This Row],[FHL+FNM]])</f>
        <v>0.48352741785971454</v>
      </c>
      <c r="H13" s="18">
        <v>41579</v>
      </c>
      <c r="I13" s="13">
        <f>CurrentMtgRatesDataTable934[[#This Row],[FHA %]]</f>
        <v>0.48352741785971454</v>
      </c>
    </row>
    <row r="14" spans="1:13" x14ac:dyDescent="0.25">
      <c r="B14">
        <v>201312</v>
      </c>
      <c r="C14" s="15">
        <v>2117115000</v>
      </c>
      <c r="D14" s="15">
        <f>VLOOKUP(CurrentMtgRatesDataTable934[[#This Row],[Asof]],'[2]FNM FHL'!B:C,2,0)+VLOOKUP(CurrentMtgRatesDataTable934[[#This Row],[Asof]],'[2]FNM FHL'!G:H,2,0)</f>
        <v>2440407670.6199999</v>
      </c>
      <c r="E14" s="16">
        <f>CurrentMtgRatesDataTable934[[#This Row],[FHA]]/(CurrentMtgRatesDataTable934[[#This Row],[FHA]]+CurrentMtgRatesDataTable934[[#This Row],[FHL+FNM]])</f>
        <v>0.46453197340036273</v>
      </c>
      <c r="H14" s="18">
        <v>41609</v>
      </c>
      <c r="I14" s="13">
        <f>CurrentMtgRatesDataTable934[[#This Row],[FHA %]]</f>
        <v>0.46453197340036273</v>
      </c>
    </row>
    <row r="15" spans="1:13" x14ac:dyDescent="0.25">
      <c r="B15">
        <v>201401</v>
      </c>
      <c r="C15" s="15">
        <v>2051680000</v>
      </c>
      <c r="D15" s="15">
        <f>VLOOKUP(CurrentMtgRatesDataTable934[[#This Row],[Asof]],'[2]FNM FHL'!B:C,2,0)+VLOOKUP(CurrentMtgRatesDataTable934[[#This Row],[Asof]],'[2]FNM FHL'!G:H,2,0)</f>
        <v>2293676281.8199997</v>
      </c>
      <c r="E15" s="16">
        <f>CurrentMtgRatesDataTable934[[#This Row],[FHA]]/(CurrentMtgRatesDataTable934[[#This Row],[FHA]]+CurrentMtgRatesDataTable934[[#This Row],[FHL+FNM]])</f>
        <v>0.47215460987256003</v>
      </c>
      <c r="H15" s="18">
        <v>41640</v>
      </c>
      <c r="I15" s="13">
        <f>CurrentMtgRatesDataTable934[[#This Row],[FHA %]]</f>
        <v>0.47215460987256003</v>
      </c>
    </row>
    <row r="16" spans="1:13" x14ac:dyDescent="0.25">
      <c r="B16">
        <v>201402</v>
      </c>
      <c r="C16" s="15">
        <v>1666062000</v>
      </c>
      <c r="D16" s="15">
        <f>VLOOKUP(CurrentMtgRatesDataTable934[[#This Row],[Asof]],'[2]FNM FHL'!B:C,2,0)+VLOOKUP(CurrentMtgRatesDataTable934[[#This Row],[Asof]],'[2]FNM FHL'!G:H,2,0)</f>
        <v>1808195512.3</v>
      </c>
      <c r="E16" s="16">
        <f>CurrentMtgRatesDataTable934[[#This Row],[FHA]]/(CurrentMtgRatesDataTable934[[#This Row],[FHA]]+CurrentMtgRatesDataTable934[[#This Row],[FHL+FNM]])</f>
        <v>0.47954476434219379</v>
      </c>
      <c r="H16" s="18">
        <v>41671</v>
      </c>
      <c r="I16" s="13">
        <f>CurrentMtgRatesDataTable934[[#This Row],[FHA %]]</f>
        <v>0.47954476434219379</v>
      </c>
    </row>
    <row r="17" spans="2:13" x14ac:dyDescent="0.25">
      <c r="B17">
        <v>201403</v>
      </c>
      <c r="C17" s="15">
        <v>1586390000</v>
      </c>
      <c r="D17" s="15">
        <f>VLOOKUP(CurrentMtgRatesDataTable934[[#This Row],[Asof]],'[2]FNM FHL'!B:C,2,0)+VLOOKUP(CurrentMtgRatesDataTable934[[#This Row],[Asof]],'[2]FNM FHL'!G:H,2,0)</f>
        <v>1566879920.97</v>
      </c>
      <c r="E17" s="16">
        <f>CurrentMtgRatesDataTable934[[#This Row],[FHA]]/(CurrentMtgRatesDataTable934[[#This Row],[FHA]]+CurrentMtgRatesDataTable934[[#This Row],[FHL+FNM]])</f>
        <v>0.50309362653990597</v>
      </c>
      <c r="H17" s="18">
        <v>41699</v>
      </c>
      <c r="I17" s="13">
        <f>CurrentMtgRatesDataTable934[[#This Row],[FHA %]]</f>
        <v>0.50309362653990597</v>
      </c>
    </row>
    <row r="18" spans="2:13" x14ac:dyDescent="0.25">
      <c r="B18">
        <v>201404</v>
      </c>
      <c r="C18" s="15">
        <v>1806080000</v>
      </c>
      <c r="D18" s="15">
        <f>VLOOKUP(CurrentMtgRatesDataTable934[[#This Row],[Asof]],'[2]FNM FHL'!B:C,2,0)+VLOOKUP(CurrentMtgRatesDataTable934[[#This Row],[Asof]],'[2]FNM FHL'!G:H,2,0)</f>
        <v>1743760838.0899999</v>
      </c>
      <c r="E18" s="16">
        <f>CurrentMtgRatesDataTable934[[#This Row],[FHA]]/(CurrentMtgRatesDataTable934[[#This Row],[FHA]]+CurrentMtgRatesDataTable934[[#This Row],[FHL+FNM]])</f>
        <v>0.50877774029208744</v>
      </c>
      <c r="H18" s="18">
        <v>41730</v>
      </c>
      <c r="I18" s="13">
        <f>CurrentMtgRatesDataTable934[[#This Row],[FHA %]]</f>
        <v>0.50877774029208744</v>
      </c>
    </row>
    <row r="19" spans="2:13" x14ac:dyDescent="0.25">
      <c r="B19">
        <v>201405</v>
      </c>
      <c r="C19" s="15">
        <v>1835035000</v>
      </c>
      <c r="D19" s="15">
        <f>VLOOKUP(CurrentMtgRatesDataTable934[[#This Row],[Asof]],'[2]FNM FHL'!B:C,2,0)+VLOOKUP(CurrentMtgRatesDataTable934[[#This Row],[Asof]],'[2]FNM FHL'!G:H,2,0)</f>
        <v>1629060999.4000001</v>
      </c>
      <c r="E19" s="16">
        <f>CurrentMtgRatesDataTable934[[#This Row],[FHA]]/(CurrentMtgRatesDataTable934[[#This Row],[FHA]]+CurrentMtgRatesDataTable934[[#This Row],[FHL+FNM]])</f>
        <v>0.52972983436886212</v>
      </c>
      <c r="H19" s="18">
        <v>41760</v>
      </c>
      <c r="I19" s="13">
        <f>CurrentMtgRatesDataTable934[[#This Row],[FHA %]]</f>
        <v>0.52972983436886212</v>
      </c>
    </row>
    <row r="20" spans="2:13" x14ac:dyDescent="0.25">
      <c r="B20">
        <v>201406</v>
      </c>
      <c r="C20" s="15">
        <v>1702196000</v>
      </c>
      <c r="D20" s="15">
        <f>VLOOKUP(CurrentMtgRatesDataTable934[[#This Row],[Asof]],'[2]FNM FHL'!B:C,2,0)+VLOOKUP(CurrentMtgRatesDataTable934[[#This Row],[Asof]],'[2]FNM FHL'!G:H,2,0)</f>
        <v>1636780783.0900002</v>
      </c>
      <c r="E20" s="16">
        <f>CurrentMtgRatesDataTable934[[#This Row],[FHA]]/(CurrentMtgRatesDataTable934[[#This Row],[FHA]]+CurrentMtgRatesDataTable934[[#This Row],[FHL+FNM]])</f>
        <v>0.50979569807752034</v>
      </c>
      <c r="H20" s="18">
        <v>41791</v>
      </c>
      <c r="I20" s="13">
        <f>CurrentMtgRatesDataTable934[[#This Row],[FHA %]]</f>
        <v>0.50979569807752034</v>
      </c>
    </row>
    <row r="21" spans="2:13" x14ac:dyDescent="0.25">
      <c r="B21">
        <v>201407</v>
      </c>
      <c r="C21" s="15">
        <v>1796755000</v>
      </c>
      <c r="D21" s="15">
        <f>VLOOKUP(CurrentMtgRatesDataTable934[[#This Row],[Asof]],'[2]FNM FHL'!B:C,2,0)+VLOOKUP(CurrentMtgRatesDataTable934[[#This Row],[Asof]],'[2]FNM FHL'!G:H,2,0)</f>
        <v>1983803109</v>
      </c>
      <c r="E21" s="16">
        <f>CurrentMtgRatesDataTable934[[#This Row],[FHA]]/(CurrentMtgRatesDataTable934[[#This Row],[FHA]]+CurrentMtgRatesDataTable934[[#This Row],[FHL+FNM]])</f>
        <v>0.47526183917730119</v>
      </c>
      <c r="H21" s="18">
        <v>41821</v>
      </c>
      <c r="I21" s="13">
        <f>CurrentMtgRatesDataTable934[[#This Row],[FHA %]]</f>
        <v>0.47526183917730119</v>
      </c>
      <c r="M21" t="s">
        <v>28</v>
      </c>
    </row>
    <row r="22" spans="2:13" x14ac:dyDescent="0.25">
      <c r="B22">
        <v>201408</v>
      </c>
      <c r="C22" s="15">
        <v>1892874000</v>
      </c>
      <c r="D22" s="15">
        <f>VLOOKUP(CurrentMtgRatesDataTable934[[#This Row],[Asof]],'[2]FNM FHL'!B:C,2,0)+VLOOKUP(CurrentMtgRatesDataTable934[[#This Row],[Asof]],'[2]FNM FHL'!G:H,2,0)</f>
        <v>2179874518.4000001</v>
      </c>
      <c r="E22" s="16">
        <f>CurrentMtgRatesDataTable934[[#This Row],[FHA]]/(CurrentMtgRatesDataTable934[[#This Row],[FHA]]+CurrentMtgRatesDataTable934[[#This Row],[FHL+FNM]])</f>
        <v>0.46476574515914998</v>
      </c>
      <c r="H22" s="18">
        <v>41852</v>
      </c>
      <c r="I22" s="13">
        <f>CurrentMtgRatesDataTable934[[#This Row],[FHA %]]</f>
        <v>0.46476574515914998</v>
      </c>
      <c r="M22" t="s">
        <v>29</v>
      </c>
    </row>
    <row r="23" spans="2:13" x14ac:dyDescent="0.25">
      <c r="B23">
        <v>201409</v>
      </c>
      <c r="C23" s="15">
        <v>1892948000</v>
      </c>
      <c r="D23" s="15">
        <f>VLOOKUP(CurrentMtgRatesDataTable934[[#This Row],[Asof]],'[2]FNM FHL'!B:C,2,0)+VLOOKUP(CurrentMtgRatesDataTable934[[#This Row],[Asof]],'[2]FNM FHL'!G:H,2,0)</f>
        <v>2299115456.5999999</v>
      </c>
      <c r="E23" s="16">
        <f>CurrentMtgRatesDataTable934[[#This Row],[FHA]]/(CurrentMtgRatesDataTable934[[#This Row],[FHA]]+CurrentMtgRatesDataTable934[[#This Row],[FHL+FNM]])</f>
        <v>0.45155518746256951</v>
      </c>
      <c r="H23" s="18">
        <v>41883</v>
      </c>
      <c r="I23" s="13">
        <f>CurrentMtgRatesDataTable934[[#This Row],[FHA %]]</f>
        <v>0.45155518746256951</v>
      </c>
    </row>
    <row r="24" spans="2:13" x14ac:dyDescent="0.25">
      <c r="B24">
        <v>201410</v>
      </c>
      <c r="C24" s="15">
        <v>1969488000</v>
      </c>
      <c r="D24" s="15">
        <f>VLOOKUP(CurrentMtgRatesDataTable934[[#This Row],[Asof]],'[2]FNM FHL'!B:C,2,0)+VLOOKUP(CurrentMtgRatesDataTable934[[#This Row],[Asof]],'[2]FNM FHL'!G:H,2,0)</f>
        <v>2498533507.4400001</v>
      </c>
      <c r="E24" s="16">
        <f>CurrentMtgRatesDataTable934[[#This Row],[FHA]]/(CurrentMtgRatesDataTable934[[#This Row],[FHA]]+CurrentMtgRatesDataTable934[[#This Row],[FHL+FNM]])</f>
        <v>0.44079644574684212</v>
      </c>
      <c r="H24" s="18">
        <v>41913</v>
      </c>
      <c r="I24" s="13">
        <f>CurrentMtgRatesDataTable934[[#This Row],[FHA %]]</f>
        <v>0.44079644574684212</v>
      </c>
      <c r="M24" t="s">
        <v>30</v>
      </c>
    </row>
    <row r="25" spans="2:13" x14ac:dyDescent="0.25">
      <c r="B25">
        <v>201411</v>
      </c>
      <c r="C25" s="15">
        <v>2109369000</v>
      </c>
      <c r="D25" s="15">
        <f>VLOOKUP(CurrentMtgRatesDataTable934[[#This Row],[Asof]],'[2]FNM FHL'!B:C,2,0)+VLOOKUP(CurrentMtgRatesDataTable934[[#This Row],[Asof]],'[2]FNM FHL'!G:H,2,0)</f>
        <v>2554017524.79</v>
      </c>
      <c r="E25" s="16">
        <f>CurrentMtgRatesDataTable934[[#This Row],[FHA]]/(CurrentMtgRatesDataTable934[[#This Row],[FHA]]+CurrentMtgRatesDataTable934[[#This Row],[FHL+FNM]])</f>
        <v>0.45232557687141073</v>
      </c>
      <c r="H25" s="18">
        <v>41944</v>
      </c>
      <c r="I25" s="13">
        <f>CurrentMtgRatesDataTable934[[#This Row],[FHA %]]</f>
        <v>0.45232557687141073</v>
      </c>
      <c r="M25" t="s">
        <v>29</v>
      </c>
    </row>
    <row r="26" spans="2:13" x14ac:dyDescent="0.25">
      <c r="B26">
        <v>201412</v>
      </c>
      <c r="C26" s="15">
        <v>2026558000</v>
      </c>
      <c r="D26" s="15">
        <f>VLOOKUP(CurrentMtgRatesDataTable934[[#This Row],[Asof]],'[2]FNM FHL'!B:C,2,0)+VLOOKUP(CurrentMtgRatesDataTable934[[#This Row],[Asof]],'[2]FNM FHL'!G:H,2,0)</f>
        <v>3040979755.4200001</v>
      </c>
      <c r="E26" s="16">
        <f>CurrentMtgRatesDataTable934[[#This Row],[FHA]]/(CurrentMtgRatesDataTable934[[#This Row],[FHA]]+CurrentMtgRatesDataTable934[[#This Row],[FHL+FNM]])</f>
        <v>0.39990979797486242</v>
      </c>
      <c r="H26" s="18">
        <v>41974</v>
      </c>
      <c r="I26" s="13">
        <f>CurrentMtgRatesDataTable934[[#This Row],[FHA %]]</f>
        <v>0.39990979797486242</v>
      </c>
    </row>
    <row r="27" spans="2:13" x14ac:dyDescent="0.25">
      <c r="B27">
        <v>201501</v>
      </c>
      <c r="C27" s="15">
        <v>2230974000</v>
      </c>
      <c r="D27" s="15">
        <f>VLOOKUP(CurrentMtgRatesDataTable934[[#This Row],[Asof]],'[2]FNM FHL'!B:C,2,0)+VLOOKUP(CurrentMtgRatesDataTable934[[#This Row],[Asof]],'[2]FNM FHL'!G:H,2,0)</f>
        <v>3331915171.9699998</v>
      </c>
      <c r="E27" s="16">
        <f>CurrentMtgRatesDataTable934[[#This Row],[FHA]]/(CurrentMtgRatesDataTable934[[#This Row],[FHA]]+CurrentMtgRatesDataTable934[[#This Row],[FHL+FNM]])</f>
        <v>0.40104591895184921</v>
      </c>
      <c r="H27" s="18">
        <v>42005</v>
      </c>
      <c r="I27" s="13">
        <f>CurrentMtgRatesDataTable934[[#This Row],[FHA %]]</f>
        <v>0.40104591895184921</v>
      </c>
    </row>
    <row r="28" spans="2:13" x14ac:dyDescent="0.25">
      <c r="B28">
        <v>201502</v>
      </c>
      <c r="C28" s="15">
        <v>1682065000</v>
      </c>
      <c r="D28" s="15">
        <f>VLOOKUP(CurrentMtgRatesDataTable934[[#This Row],[Asof]],'[2]FNM FHL'!B:C,2,0)+VLOOKUP(CurrentMtgRatesDataTable934[[#This Row],[Asof]],'[2]FNM FHL'!G:H,2,0)</f>
        <v>3278222457.1800003</v>
      </c>
      <c r="E28" s="16">
        <f>CurrentMtgRatesDataTable934[[#This Row],[FHA]]/(CurrentMtgRatesDataTable934[[#This Row],[FHA]]+CurrentMtgRatesDataTable934[[#This Row],[FHL+FNM]])</f>
        <v>0.33910635512972465</v>
      </c>
      <c r="H28" s="18">
        <v>42036</v>
      </c>
      <c r="I28" s="13">
        <f>CurrentMtgRatesDataTable934[[#This Row],[FHA %]]</f>
        <v>0.33910635512972465</v>
      </c>
    </row>
    <row r="29" spans="2:13" x14ac:dyDescent="0.25">
      <c r="B29">
        <v>201503</v>
      </c>
      <c r="C29" s="15">
        <v>8250632000</v>
      </c>
      <c r="D29" s="15">
        <f>VLOOKUP(CurrentMtgRatesDataTable934[[#This Row],[Asof]],'[2]FNM FHL'!B:C,2,0)+VLOOKUP(CurrentMtgRatesDataTable934[[#This Row],[Asof]],'[2]FNM FHL'!G:H,2,0)</f>
        <v>4847903136.9799995</v>
      </c>
      <c r="E29" s="16">
        <f>CurrentMtgRatesDataTable934[[#This Row],[FHA]]/(CurrentMtgRatesDataTable934[[#This Row],[FHA]]+CurrentMtgRatesDataTable934[[#This Row],[FHL+FNM]])</f>
        <v>0.62988967191504341</v>
      </c>
      <c r="H29" s="18">
        <v>42064</v>
      </c>
      <c r="I29" s="13">
        <f>CurrentMtgRatesDataTable934[[#This Row],[FHA %]]</f>
        <v>0.62988967191504341</v>
      </c>
    </row>
    <row r="30" spans="2:13" x14ac:dyDescent="0.25">
      <c r="B30">
        <v>201504</v>
      </c>
      <c r="C30" s="15">
        <v>11192804000</v>
      </c>
      <c r="D30" s="15">
        <f>VLOOKUP(CurrentMtgRatesDataTable934[[#This Row],[Asof]],'[2]FNM FHL'!B:C,2,0)+VLOOKUP(CurrentMtgRatesDataTable934[[#This Row],[Asof]],'[2]FNM FHL'!G:H,2,0)</f>
        <v>5060409161.0300007</v>
      </c>
      <c r="E30" s="16">
        <f>CurrentMtgRatesDataTable934[[#This Row],[FHA]]/(CurrentMtgRatesDataTable934[[#This Row],[FHA]]+CurrentMtgRatesDataTable934[[#This Row],[FHL+FNM]])</f>
        <v>0.6886517692905646</v>
      </c>
      <c r="H30" s="18">
        <v>42095</v>
      </c>
      <c r="I30" s="13">
        <f>CurrentMtgRatesDataTable934[[#This Row],[FHA %]]</f>
        <v>0.6886517692905646</v>
      </c>
    </row>
    <row r="31" spans="2:13" x14ac:dyDescent="0.25">
      <c r="B31">
        <v>201505</v>
      </c>
      <c r="C31" s="15">
        <v>9495502000</v>
      </c>
      <c r="D31" s="15">
        <f>VLOOKUP(CurrentMtgRatesDataTable934[[#This Row],[Asof]],'[2]FNM FHL'!B:C,2,0)+VLOOKUP(CurrentMtgRatesDataTable934[[#This Row],[Asof]],'[2]FNM FHL'!G:H,2,0)</f>
        <v>3607484455.8299999</v>
      </c>
      <c r="E31" s="16">
        <f>CurrentMtgRatesDataTable934[[#This Row],[FHA]]/(CurrentMtgRatesDataTable934[[#This Row],[FHA]]+CurrentMtgRatesDataTable934[[#This Row],[FHL+FNM]])</f>
        <v>0.72468227239715277</v>
      </c>
      <c r="H31" s="18">
        <v>42125</v>
      </c>
      <c r="I31" s="13">
        <f>CurrentMtgRatesDataTable934[[#This Row],[FHA %]]</f>
        <v>0.72468227239715277</v>
      </c>
    </row>
    <row r="32" spans="2:13" x14ac:dyDescent="0.25">
      <c r="B32">
        <v>201506</v>
      </c>
      <c r="C32" s="15">
        <v>7771667000</v>
      </c>
      <c r="D32" s="15">
        <f>VLOOKUP(CurrentMtgRatesDataTable934[[#This Row],[Asof]],'[2]FNM FHL'!B:C,2,0)+VLOOKUP(CurrentMtgRatesDataTable934[[#This Row],[Asof]],'[2]FNM FHL'!G:H,2,0)</f>
        <v>3134441757.8400002</v>
      </c>
      <c r="E32" s="16">
        <f>CurrentMtgRatesDataTable934[[#This Row],[FHA]]/(CurrentMtgRatesDataTable934[[#This Row],[FHA]]+CurrentMtgRatesDataTable934[[#This Row],[FHL+FNM]])</f>
        <v>0.71259760676907191</v>
      </c>
      <c r="H32" s="18">
        <v>42156</v>
      </c>
      <c r="I32" s="13">
        <f>CurrentMtgRatesDataTable934[[#This Row],[FHA %]]</f>
        <v>0.71259760676907191</v>
      </c>
    </row>
    <row r="33" spans="2:9" x14ac:dyDescent="0.25">
      <c r="B33">
        <v>201507</v>
      </c>
      <c r="C33" s="15">
        <v>7309094000</v>
      </c>
      <c r="D33" s="15">
        <f>VLOOKUP(CurrentMtgRatesDataTable934[[#This Row],[Asof]],'[2]FNM FHL'!B:C,2,0)+VLOOKUP(CurrentMtgRatesDataTable934[[#This Row],[Asof]],'[2]FNM FHL'!G:H,2,0)</f>
        <v>2699494352.3000002</v>
      </c>
      <c r="E33" s="16">
        <f>CurrentMtgRatesDataTable934[[#This Row],[FHA]]/(CurrentMtgRatesDataTable934[[#This Row],[FHA]]+CurrentMtgRatesDataTable934[[#This Row],[FHL+FNM]])</f>
        <v>0.73028220791200305</v>
      </c>
      <c r="H33" s="18">
        <v>42186</v>
      </c>
      <c r="I33" s="13">
        <f>CurrentMtgRatesDataTable934[[#This Row],[FHA %]]</f>
        <v>0.73028220791200305</v>
      </c>
    </row>
    <row r="34" spans="2:9" x14ac:dyDescent="0.25">
      <c r="B34">
        <v>201508</v>
      </c>
      <c r="C34" s="15">
        <v>5719409000</v>
      </c>
      <c r="D34" s="15">
        <f>VLOOKUP(CurrentMtgRatesDataTable934[[#This Row],[Asof]],'[2]FNM FHL'!B:C,2,0)+VLOOKUP(CurrentMtgRatesDataTable934[[#This Row],[Asof]],'[2]FNM FHL'!G:H,2,0)</f>
        <v>2195416025.0999999</v>
      </c>
      <c r="E34" s="16">
        <f>CurrentMtgRatesDataTable934[[#This Row],[FHA]]/(CurrentMtgRatesDataTable934[[#This Row],[FHA]]+CurrentMtgRatesDataTable934[[#This Row],[FHL+FNM]])</f>
        <v>0.72261976504373038</v>
      </c>
      <c r="H34" s="18">
        <v>42217</v>
      </c>
      <c r="I34" s="13">
        <f>CurrentMtgRatesDataTable934[[#This Row],[FHA %]]</f>
        <v>0.72261976504373038</v>
      </c>
    </row>
    <row r="35" spans="2:9" x14ac:dyDescent="0.25">
      <c r="B35">
        <v>201509</v>
      </c>
      <c r="C35" s="15">
        <v>5358074000</v>
      </c>
      <c r="D35" s="15">
        <f>VLOOKUP(CurrentMtgRatesDataTable934[[#This Row],[Asof]],'[2]FNM FHL'!B:C,2,0)+VLOOKUP(CurrentMtgRatesDataTable934[[#This Row],[Asof]],'[2]FNM FHL'!G:H,2,0)</f>
        <v>2059250814.21</v>
      </c>
      <c r="E35" s="16">
        <f>CurrentMtgRatesDataTable934[[#This Row],[FHA]]/(CurrentMtgRatesDataTable934[[#This Row],[FHA]]+CurrentMtgRatesDataTable934[[#This Row],[FHL+FNM]])</f>
        <v>0.7223728411805671</v>
      </c>
      <c r="H35" s="18">
        <v>42248</v>
      </c>
      <c r="I35" s="13">
        <f>CurrentMtgRatesDataTable934[[#This Row],[FHA %]]</f>
        <v>0.7223728411805671</v>
      </c>
    </row>
    <row r="36" spans="2:9" x14ac:dyDescent="0.25">
      <c r="B36">
        <v>201510</v>
      </c>
      <c r="C36" s="15">
        <v>5370010000</v>
      </c>
      <c r="D36" s="15">
        <f>VLOOKUP(CurrentMtgRatesDataTable934[[#This Row],[Asof]],'[2]FNM FHL'!B:C,2,0)+VLOOKUP(CurrentMtgRatesDataTable934[[#This Row],[Asof]],'[2]FNM FHL'!G:H,2,0)</f>
        <v>2246681178.1700001</v>
      </c>
      <c r="E36" s="16">
        <f>CurrentMtgRatesDataTable934[[#This Row],[FHA]]/(CurrentMtgRatesDataTable934[[#This Row],[FHA]]+CurrentMtgRatesDataTable934[[#This Row],[FHL+FNM]])</f>
        <v>0.70503186677580487</v>
      </c>
      <c r="H36" s="18">
        <v>42278</v>
      </c>
      <c r="I36" s="13">
        <f>CurrentMtgRatesDataTable934[[#This Row],[FHA %]]</f>
        <v>0.70503186677580487</v>
      </c>
    </row>
    <row r="37" spans="2:9" x14ac:dyDescent="0.25">
      <c r="B37">
        <v>201511</v>
      </c>
      <c r="C37" s="15">
        <v>4913322000</v>
      </c>
      <c r="D37" s="15">
        <f>VLOOKUP(CurrentMtgRatesDataTable934[[#This Row],[Asof]],'[2]FNM FHL'!B:C,2,0)+VLOOKUP(CurrentMtgRatesDataTable934[[#This Row],[Asof]],'[2]FNM FHL'!G:H,2,0)</f>
        <v>2437598508.8900003</v>
      </c>
      <c r="E37" s="16">
        <f>CurrentMtgRatesDataTable934[[#This Row],[FHA]]/(CurrentMtgRatesDataTable934[[#This Row],[FHA]]+CurrentMtgRatesDataTable934[[#This Row],[FHL+FNM]])</f>
        <v>0.6683954742889634</v>
      </c>
      <c r="H37" s="18">
        <v>42309</v>
      </c>
      <c r="I37" s="13">
        <f>CurrentMtgRatesDataTable934[[#This Row],[FHA %]]</f>
        <v>0.6683954742889634</v>
      </c>
    </row>
    <row r="38" spans="2:9" x14ac:dyDescent="0.25">
      <c r="B38">
        <v>201512</v>
      </c>
      <c r="C38" s="15">
        <v>4393044000</v>
      </c>
      <c r="D38" s="15">
        <f>VLOOKUP(CurrentMtgRatesDataTable934[[#This Row],[Asof]],'[2]FNM FHL'!B:C,2,0)+VLOOKUP(CurrentMtgRatesDataTable934[[#This Row],[Asof]],'[2]FNM FHL'!G:H,2,0)</f>
        <v>2200567689.25</v>
      </c>
      <c r="E38" s="16">
        <f>CurrentMtgRatesDataTable934[[#This Row],[FHA]]/(CurrentMtgRatesDataTable934[[#This Row],[FHA]]+CurrentMtgRatesDataTable934[[#This Row],[FHL+FNM]])</f>
        <v>0.66625761525542504</v>
      </c>
      <c r="H38" s="18">
        <v>42339</v>
      </c>
      <c r="I38" s="13">
        <f>CurrentMtgRatesDataTable934[[#This Row],[FHA %]]</f>
        <v>0.66625761525542504</v>
      </c>
    </row>
    <row r="39" spans="2:9" x14ac:dyDescent="0.25">
      <c r="B39">
        <v>201601</v>
      </c>
      <c r="C39" s="15">
        <v>4671854000</v>
      </c>
      <c r="D39" s="15">
        <f>VLOOKUP(CurrentMtgRatesDataTable934[[#This Row],[Asof]],'[2]FNM FHL'!B:C,2,0)+VLOOKUP(CurrentMtgRatesDataTable934[[#This Row],[Asof]],'[2]FNM FHL'!G:H,2,0)</f>
        <v>2169971298.3900003</v>
      </c>
      <c r="E39" s="16">
        <f>CurrentMtgRatesDataTable934[[#This Row],[FHA]]/(CurrentMtgRatesDataTable934[[#This Row],[FHA]]+CurrentMtgRatesDataTable934[[#This Row],[FHL+FNM]])</f>
        <v>0.68283737105935283</v>
      </c>
      <c r="H39" s="18">
        <v>42370</v>
      </c>
      <c r="I39" s="13">
        <f>CurrentMtgRatesDataTable934[[#This Row],[FHA %]]</f>
        <v>0.68283737105935283</v>
      </c>
    </row>
    <row r="40" spans="2:9" x14ac:dyDescent="0.25">
      <c r="B40">
        <v>201602</v>
      </c>
      <c r="C40" s="15">
        <v>4044728000</v>
      </c>
      <c r="D40" s="15">
        <f>VLOOKUP(CurrentMtgRatesDataTable934[[#This Row],[Asof]],'[2]FNM FHL'!B:C,2,0)+VLOOKUP(CurrentMtgRatesDataTable934[[#This Row],[Asof]],'[2]FNM FHL'!G:H,2,0)</f>
        <v>1644626850.77</v>
      </c>
      <c r="E40" s="16">
        <f>CurrentMtgRatesDataTable934[[#This Row],[FHA]]/(CurrentMtgRatesDataTable934[[#This Row],[FHA]]+CurrentMtgRatesDataTable934[[#This Row],[FHL+FNM]])</f>
        <v>0.71092911342181164</v>
      </c>
      <c r="H40" s="18">
        <v>42401</v>
      </c>
      <c r="I40" s="13">
        <f>CurrentMtgRatesDataTable934[[#This Row],[FHA %]]</f>
        <v>0.71092911342181164</v>
      </c>
    </row>
    <row r="41" spans="2:9" x14ac:dyDescent="0.25">
      <c r="B41">
        <v>201603</v>
      </c>
      <c r="C41" s="15">
        <v>3414802000</v>
      </c>
      <c r="D41" s="15">
        <f>VLOOKUP(CurrentMtgRatesDataTable934[[#This Row],[Asof]],'[2]FNM FHL'!B:C,2,0)+VLOOKUP(CurrentMtgRatesDataTable934[[#This Row],[Asof]],'[2]FNM FHL'!G:H,2,0)</f>
        <v>903623669</v>
      </c>
      <c r="E41" s="16">
        <f>CurrentMtgRatesDataTable934[[#This Row],[FHA]]/(CurrentMtgRatesDataTable934[[#This Row],[FHA]]+CurrentMtgRatesDataTable934[[#This Row],[FHL+FNM]])</f>
        <v>0.79075159832280995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>
      <selection activeCell="E26" sqref="E26"/>
    </sheetView>
  </sheetViews>
  <sheetFormatPr defaultRowHeight="15" x14ac:dyDescent="0.25"/>
  <cols>
    <col min="1" max="1" width="11" customWidth="1"/>
    <col min="2" max="2" width="19" style="19" bestFit="1" customWidth="1"/>
    <col min="3" max="3" width="20" style="19" bestFit="1" customWidth="1"/>
    <col min="4" max="4" width="14.7109375" style="3" bestFit="1" customWidth="1"/>
  </cols>
  <sheetData>
    <row r="1" spans="1:4" s="2" customFormat="1" x14ac:dyDescent="0.25">
      <c r="B1" s="2" t="s">
        <v>32</v>
      </c>
      <c r="C1" s="20" t="s">
        <v>33</v>
      </c>
      <c r="D1" s="2" t="s">
        <v>34</v>
      </c>
    </row>
    <row r="2" spans="1:4" x14ac:dyDescent="0.25">
      <c r="A2" s="18">
        <v>41275</v>
      </c>
      <c r="B2" s="21">
        <v>2994807580.0678692</v>
      </c>
      <c r="C2" s="21">
        <v>16407926049.573374</v>
      </c>
      <c r="D2" s="7">
        <f>B2/C2</f>
        <v>0.18252200619503267</v>
      </c>
    </row>
    <row r="3" spans="1:4" x14ac:dyDescent="0.25">
      <c r="A3" s="18">
        <v>41306</v>
      </c>
      <c r="B3" s="21">
        <v>2800796753.8144765</v>
      </c>
      <c r="C3" s="21">
        <v>16268801349.061646</v>
      </c>
      <c r="D3" s="7">
        <f t="shared" ref="D3:D36" si="0">B3/C3</f>
        <v>0.17215753599302638</v>
      </c>
    </row>
    <row r="4" spans="1:4" x14ac:dyDescent="0.25">
      <c r="A4" s="18">
        <v>41334</v>
      </c>
      <c r="B4" s="21">
        <v>4586096423.8379822</v>
      </c>
      <c r="C4" s="21">
        <v>15855887447.676811</v>
      </c>
      <c r="D4" s="7">
        <f t="shared" si="0"/>
        <v>0.28923618680895291</v>
      </c>
    </row>
    <row r="5" spans="1:4" x14ac:dyDescent="0.25">
      <c r="A5" s="18">
        <v>41365</v>
      </c>
      <c r="B5" s="21">
        <v>2271099630.6601095</v>
      </c>
      <c r="C5" s="21">
        <v>16167001561.829386</v>
      </c>
      <c r="D5" s="7">
        <f t="shared" si="0"/>
        <v>0.14047747951124229</v>
      </c>
    </row>
    <row r="6" spans="1:4" x14ac:dyDescent="0.25">
      <c r="A6" s="18">
        <v>41395</v>
      </c>
      <c r="B6" s="21">
        <v>3368086814.2293558</v>
      </c>
      <c r="C6" s="21">
        <v>14315030083.384848</v>
      </c>
      <c r="D6" s="7">
        <f t="shared" si="0"/>
        <v>0.23528325086362362</v>
      </c>
    </row>
    <row r="7" spans="1:4" x14ac:dyDescent="0.25">
      <c r="A7" s="18">
        <v>41426</v>
      </c>
      <c r="B7" s="21">
        <v>1717995345.6394691</v>
      </c>
      <c r="C7" s="21">
        <v>12484068932.653818</v>
      </c>
      <c r="D7" s="7">
        <f t="shared" si="0"/>
        <v>0.13761501597814904</v>
      </c>
    </row>
    <row r="8" spans="1:4" x14ac:dyDescent="0.25">
      <c r="A8" s="18">
        <v>41456</v>
      </c>
      <c r="B8" s="21">
        <v>1825047192.6189961</v>
      </c>
      <c r="C8" s="21">
        <v>8452140714.4139967</v>
      </c>
      <c r="D8" s="7">
        <f t="shared" si="0"/>
        <v>0.21592721350540486</v>
      </c>
    </row>
    <row r="9" spans="1:4" x14ac:dyDescent="0.25">
      <c r="A9" s="18">
        <v>41487</v>
      </c>
      <c r="B9" s="21">
        <v>1693185619.3105996</v>
      </c>
      <c r="C9" s="21">
        <v>4940067608.0088358</v>
      </c>
      <c r="D9" s="7">
        <f t="shared" si="0"/>
        <v>0.3427454346101676</v>
      </c>
    </row>
    <row r="10" spans="1:4" x14ac:dyDescent="0.25">
      <c r="A10" s="18">
        <v>41518</v>
      </c>
      <c r="B10" s="21">
        <v>1443804408.2771482</v>
      </c>
      <c r="C10" s="21">
        <v>4175854610.9404941</v>
      </c>
      <c r="D10" s="7">
        <f t="shared" si="0"/>
        <v>0.34575064095729419</v>
      </c>
    </row>
    <row r="11" spans="1:4" x14ac:dyDescent="0.25">
      <c r="A11" s="18">
        <v>41548</v>
      </c>
      <c r="B11" s="21">
        <v>1791936105.9805019</v>
      </c>
      <c r="C11" s="21">
        <v>3284577532.3649383</v>
      </c>
      <c r="D11" s="7">
        <f t="shared" si="0"/>
        <v>0.54556060507735515</v>
      </c>
    </row>
    <row r="12" spans="1:4" x14ac:dyDescent="0.25">
      <c r="A12" s="18">
        <v>41579</v>
      </c>
      <c r="B12" s="21">
        <v>1472463645.7074943</v>
      </c>
      <c r="C12" s="21">
        <v>3577004982.9733071</v>
      </c>
      <c r="D12" s="7">
        <f t="shared" si="0"/>
        <v>0.4116470770145646</v>
      </c>
    </row>
    <row r="13" spans="1:4" x14ac:dyDescent="0.25">
      <c r="A13" s="18">
        <v>41609</v>
      </c>
      <c r="B13" s="21">
        <v>1315527844.0366974</v>
      </c>
      <c r="C13" s="21">
        <v>1830290763.1495428</v>
      </c>
      <c r="D13" s="7">
        <f t="shared" si="0"/>
        <v>0.71875347377755028</v>
      </c>
    </row>
    <row r="14" spans="1:4" x14ac:dyDescent="0.25">
      <c r="A14" s="18">
        <v>41640</v>
      </c>
      <c r="B14" s="21">
        <v>1495002132.4031243</v>
      </c>
      <c r="C14" s="21">
        <v>1292624171.1962588</v>
      </c>
      <c r="D14" s="7">
        <f t="shared" si="0"/>
        <v>1.1565636522327869</v>
      </c>
    </row>
    <row r="15" spans="1:4" x14ac:dyDescent="0.25">
      <c r="A15" s="18">
        <v>41671</v>
      </c>
      <c r="B15" s="21">
        <v>1416396722.2629073</v>
      </c>
      <c r="C15" s="21">
        <v>2522668719.444912</v>
      </c>
      <c r="D15" s="7">
        <f t="shared" si="0"/>
        <v>0.56146758840953603</v>
      </c>
    </row>
    <row r="16" spans="1:4" x14ac:dyDescent="0.25">
      <c r="A16" s="18">
        <v>41699</v>
      </c>
      <c r="B16" s="21">
        <v>1647079834.4118767</v>
      </c>
      <c r="C16" s="21">
        <v>2861570511.5272489</v>
      </c>
      <c r="D16" s="7">
        <f t="shared" si="0"/>
        <v>0.57558596853614263</v>
      </c>
    </row>
    <row r="17" spans="1:7" x14ac:dyDescent="0.25">
      <c r="A17" s="18">
        <v>41730</v>
      </c>
      <c r="B17" s="21">
        <v>1717454513.0111525</v>
      </c>
      <c r="C17" s="21">
        <v>3413265437.5371456</v>
      </c>
      <c r="D17" s="7">
        <f t="shared" si="0"/>
        <v>0.50317051059773077</v>
      </c>
    </row>
    <row r="18" spans="1:7" x14ac:dyDescent="0.25">
      <c r="A18" s="18">
        <v>41760</v>
      </c>
      <c r="B18" s="21">
        <v>1633182655.2374704</v>
      </c>
      <c r="C18" s="21">
        <v>5257422349.145565</v>
      </c>
      <c r="D18" s="7">
        <f t="shared" si="0"/>
        <v>0.310643229091704</v>
      </c>
    </row>
    <row r="19" spans="1:7" x14ac:dyDescent="0.25">
      <c r="A19" s="18">
        <v>41791</v>
      </c>
      <c r="B19" s="21">
        <v>1547382121.2660029</v>
      </c>
      <c r="C19" s="21">
        <v>5983996557.7595949</v>
      </c>
      <c r="D19" s="7">
        <f t="shared" si="0"/>
        <v>0.2585867331857794</v>
      </c>
      <c r="G19" t="s">
        <v>35</v>
      </c>
    </row>
    <row r="20" spans="1:7" x14ac:dyDescent="0.25">
      <c r="A20" s="18">
        <v>41821</v>
      </c>
      <c r="B20" s="21">
        <v>1623875662.3670907</v>
      </c>
      <c r="C20" s="21">
        <v>5137222088.1732635</v>
      </c>
      <c r="D20" s="7">
        <f t="shared" si="0"/>
        <v>0.31609995333967</v>
      </c>
    </row>
    <row r="21" spans="1:7" x14ac:dyDescent="0.25">
      <c r="A21" s="18">
        <v>41852</v>
      </c>
      <c r="B21" s="21">
        <v>1637891720.4551117</v>
      </c>
      <c r="C21" s="21">
        <v>4975509835.2213974</v>
      </c>
      <c r="D21" s="7">
        <f t="shared" si="0"/>
        <v>0.32919073114086805</v>
      </c>
      <c r="G21" t="s">
        <v>36</v>
      </c>
    </row>
    <row r="22" spans="1:7" x14ac:dyDescent="0.25">
      <c r="A22" s="18">
        <v>41883</v>
      </c>
      <c r="B22" s="21">
        <v>1657061207.8562474</v>
      </c>
      <c r="C22" s="21">
        <v>5553251093.5731077</v>
      </c>
      <c r="D22" s="7">
        <f t="shared" si="0"/>
        <v>0.298394792516045</v>
      </c>
      <c r="G22" t="s">
        <v>37</v>
      </c>
    </row>
    <row r="23" spans="1:7" x14ac:dyDescent="0.25">
      <c r="A23" s="18">
        <v>41913</v>
      </c>
      <c r="B23" s="21">
        <v>1847140067.5374324</v>
      </c>
      <c r="C23" s="21">
        <v>6721996564.9796982</v>
      </c>
      <c r="D23" s="7">
        <f t="shared" si="0"/>
        <v>0.27479039146801637</v>
      </c>
    </row>
    <row r="24" spans="1:7" x14ac:dyDescent="0.25">
      <c r="A24" s="18">
        <v>41944</v>
      </c>
      <c r="B24" s="21">
        <v>1531310613.0746131</v>
      </c>
      <c r="C24" s="21">
        <v>9042909821.2366219</v>
      </c>
      <c r="D24" s="7">
        <f t="shared" si="0"/>
        <v>0.1693382598462323</v>
      </c>
    </row>
    <row r="25" spans="1:7" x14ac:dyDescent="0.25">
      <c r="A25" s="18">
        <v>41974</v>
      </c>
      <c r="B25" s="21">
        <v>1594437860.9342704</v>
      </c>
      <c r="C25" s="21">
        <v>7322635997.6250114</v>
      </c>
      <c r="D25" s="7">
        <f t="shared" si="0"/>
        <v>0.21774096943387636</v>
      </c>
    </row>
    <row r="26" spans="1:7" x14ac:dyDescent="0.25">
      <c r="A26" s="18">
        <v>42005</v>
      </c>
      <c r="B26" s="21">
        <v>2605369698.1132078</v>
      </c>
      <c r="C26" s="21">
        <v>15502210979.823862</v>
      </c>
      <c r="D26" s="7">
        <f t="shared" si="0"/>
        <v>0.16806439426634678</v>
      </c>
    </row>
    <row r="27" spans="1:7" x14ac:dyDescent="0.25">
      <c r="A27" s="18">
        <v>42036</v>
      </c>
      <c r="B27" s="21">
        <v>2920637847.5597897</v>
      </c>
      <c r="C27" s="21">
        <v>20547734499.065746</v>
      </c>
      <c r="D27" s="7">
        <f t="shared" si="0"/>
        <v>0.14213916613009497</v>
      </c>
    </row>
    <row r="28" spans="1:7" x14ac:dyDescent="0.25">
      <c r="A28" s="18">
        <v>42064</v>
      </c>
      <c r="B28" s="21">
        <v>3726084922.8038116</v>
      </c>
      <c r="C28" s="21">
        <v>14424388857.793934</v>
      </c>
      <c r="D28" s="7">
        <f t="shared" si="0"/>
        <v>0.25831839113173211</v>
      </c>
    </row>
    <row r="29" spans="1:7" x14ac:dyDescent="0.25">
      <c r="A29" s="18">
        <v>42095</v>
      </c>
      <c r="B29" s="21">
        <v>3817097943.3929505</v>
      </c>
      <c r="C29" s="21">
        <v>13658405013.283747</v>
      </c>
      <c r="D29" s="7">
        <f t="shared" si="0"/>
        <v>0.27946879153755932</v>
      </c>
    </row>
    <row r="30" spans="1:7" x14ac:dyDescent="0.25">
      <c r="A30" s="18">
        <v>42125</v>
      </c>
      <c r="B30" s="21">
        <v>3365606590.3220787</v>
      </c>
      <c r="C30" s="21">
        <v>13670392756.054596</v>
      </c>
      <c r="D30" s="7">
        <f t="shared" si="0"/>
        <v>0.2461967735953641</v>
      </c>
    </row>
    <row r="31" spans="1:7" x14ac:dyDescent="0.25">
      <c r="A31" s="18">
        <v>42156</v>
      </c>
      <c r="B31" s="21">
        <v>3886762063.8823252</v>
      </c>
      <c r="C31" s="21">
        <v>10455898590.683102</v>
      </c>
      <c r="D31" s="7">
        <f t="shared" si="0"/>
        <v>0.37172912783848994</v>
      </c>
    </row>
    <row r="32" spans="1:7" x14ac:dyDescent="0.25">
      <c r="A32" s="18">
        <v>42186</v>
      </c>
      <c r="B32" s="21">
        <v>3890484076.984808</v>
      </c>
      <c r="C32" s="21">
        <v>8151707244.7391682</v>
      </c>
      <c r="D32" s="7">
        <f t="shared" si="0"/>
        <v>0.47726003402484707</v>
      </c>
    </row>
    <row r="33" spans="1:4" x14ac:dyDescent="0.25">
      <c r="A33" s="18">
        <v>42217</v>
      </c>
      <c r="B33" s="21">
        <v>3834285111.4433742</v>
      </c>
      <c r="C33" s="21">
        <v>8122990217.1054859</v>
      </c>
      <c r="D33" s="7">
        <f t="shared" si="0"/>
        <v>0.4720287737598271</v>
      </c>
    </row>
    <row r="34" spans="1:4" x14ac:dyDescent="0.25">
      <c r="A34" s="18">
        <v>42248</v>
      </c>
      <c r="B34" s="21">
        <v>3819574385.9726191</v>
      </c>
      <c r="C34" s="21">
        <v>8413944880.2426939</v>
      </c>
      <c r="D34" s="7">
        <f t="shared" si="0"/>
        <v>0.45395761920684774</v>
      </c>
    </row>
    <row r="35" spans="1:4" x14ac:dyDescent="0.25">
      <c r="A35" s="18">
        <v>42278</v>
      </c>
      <c r="B35" s="21">
        <v>3575968673.4099841</v>
      </c>
      <c r="C35" s="21">
        <v>6328145328.4275131</v>
      </c>
      <c r="D35" s="7">
        <f t="shared" si="0"/>
        <v>0.5650895306316519</v>
      </c>
    </row>
    <row r="36" spans="1:4" x14ac:dyDescent="0.25">
      <c r="A36" s="18">
        <v>42309</v>
      </c>
      <c r="B36" s="21">
        <v>3311118463.9319973</v>
      </c>
      <c r="C36" s="21">
        <v>8250640075.4535007</v>
      </c>
      <c r="D36" s="7">
        <f t="shared" si="0"/>
        <v>0.4013165564915277</v>
      </c>
    </row>
    <row r="37" spans="1:4" x14ac:dyDescent="0.25">
      <c r="B37" s="21">
        <v>0</v>
      </c>
      <c r="C37" s="21">
        <v>3829459531.3585596</v>
      </c>
      <c r="D37" s="7"/>
    </row>
    <row r="38" spans="1:4" x14ac:dyDescent="0.25">
      <c r="B38" s="21">
        <v>0</v>
      </c>
      <c r="C38" s="21">
        <v>5734521588.417861</v>
      </c>
      <c r="D38" s="7"/>
    </row>
    <row r="39" spans="1:4" x14ac:dyDescent="0.25">
      <c r="B39" s="21">
        <v>0</v>
      </c>
      <c r="C39" s="21">
        <v>0</v>
      </c>
      <c r="D39" s="7"/>
    </row>
    <row r="40" spans="1:4" x14ac:dyDescent="0.25">
      <c r="B40" s="21">
        <v>0</v>
      </c>
      <c r="C40" s="21">
        <v>0</v>
      </c>
      <c r="D40" s="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1"/>
  <sheetViews>
    <sheetView workbookViewId="0">
      <selection activeCell="O33" sqref="O33"/>
    </sheetView>
  </sheetViews>
  <sheetFormatPr defaultRowHeight="15" x14ac:dyDescent="0.25"/>
  <cols>
    <col min="1" max="1" width="10.85546875" customWidth="1"/>
    <col min="2" max="2" width="19.28515625" style="21" customWidth="1"/>
    <col min="3" max="3" width="18.7109375" style="21" customWidth="1"/>
    <col min="4" max="4" width="15.85546875" style="7" customWidth="1"/>
  </cols>
  <sheetData>
    <row r="2" spans="1:4" s="1" customFormat="1" x14ac:dyDescent="0.25">
      <c r="B2" s="22" t="s">
        <v>38</v>
      </c>
      <c r="C2" s="22" t="s">
        <v>39</v>
      </c>
      <c r="D2" s="23" t="s">
        <v>34</v>
      </c>
    </row>
    <row r="3" spans="1:4" x14ac:dyDescent="0.25">
      <c r="A3" s="18">
        <v>41275</v>
      </c>
      <c r="B3" s="21">
        <v>11947263146.700182</v>
      </c>
    </row>
    <row r="4" spans="1:4" x14ac:dyDescent="0.25">
      <c r="A4" s="18">
        <v>41306</v>
      </c>
      <c r="B4" s="21">
        <v>10197202685.135088</v>
      </c>
    </row>
    <row r="5" spans="1:4" x14ac:dyDescent="0.25">
      <c r="A5" s="18">
        <v>41334</v>
      </c>
      <c r="B5" s="21">
        <v>14644097325.508381</v>
      </c>
    </row>
    <row r="6" spans="1:4" x14ac:dyDescent="0.25">
      <c r="A6" s="18">
        <v>41365</v>
      </c>
      <c r="B6" s="21">
        <v>7638672634.193862</v>
      </c>
    </row>
    <row r="7" spans="1:4" x14ac:dyDescent="0.25">
      <c r="A7" s="18">
        <v>41395</v>
      </c>
      <c r="B7" s="21">
        <v>11086565381.952431</v>
      </c>
    </row>
    <row r="8" spans="1:4" x14ac:dyDescent="0.25">
      <c r="A8" s="18">
        <v>41426</v>
      </c>
      <c r="B8" s="21">
        <v>4538135862.532052</v>
      </c>
    </row>
    <row r="9" spans="1:4" x14ac:dyDescent="0.25">
      <c r="A9" s="18">
        <v>41456</v>
      </c>
      <c r="B9" s="21">
        <v>4638705436.1967468</v>
      </c>
    </row>
    <row r="10" spans="1:4" x14ac:dyDescent="0.25">
      <c r="A10" s="18">
        <v>41487</v>
      </c>
      <c r="B10" s="21">
        <v>3455886148.6938152</v>
      </c>
    </row>
    <row r="11" spans="1:4" x14ac:dyDescent="0.25">
      <c r="A11" s="18">
        <v>41518</v>
      </c>
      <c r="B11" s="21">
        <v>2258579656.9600368</v>
      </c>
    </row>
    <row r="12" spans="1:4" x14ac:dyDescent="0.25">
      <c r="A12" s="18">
        <v>41548</v>
      </c>
      <c r="B12" s="21">
        <v>2828621702.4528928</v>
      </c>
    </row>
    <row r="13" spans="1:4" x14ac:dyDescent="0.25">
      <c r="A13" s="18">
        <v>41579</v>
      </c>
      <c r="B13" s="21">
        <v>2424279037.6626916</v>
      </c>
      <c r="C13" s="21">
        <v>4910988114.269906</v>
      </c>
      <c r="D13" s="7">
        <f>1-B13/C13</f>
        <v>0.50635615862753969</v>
      </c>
    </row>
    <row r="14" spans="1:4" x14ac:dyDescent="0.25">
      <c r="A14" s="18">
        <v>41609</v>
      </c>
      <c r="B14" s="21">
        <v>2095657440.0618718</v>
      </c>
      <c r="C14" s="21">
        <v>3748200189.1990056</v>
      </c>
      <c r="D14" s="7">
        <f t="shared" ref="D14:D37" si="0">1-B14/C14</f>
        <v>0.44088967123452494</v>
      </c>
    </row>
    <row r="15" spans="1:4" x14ac:dyDescent="0.25">
      <c r="A15" s="18">
        <v>41640</v>
      </c>
      <c r="B15" s="21">
        <v>2436697893.3478737</v>
      </c>
      <c r="C15" s="21">
        <v>3859903084.4635758</v>
      </c>
      <c r="D15" s="7">
        <f t="shared" si="0"/>
        <v>0.36871526563561119</v>
      </c>
    </row>
    <row r="16" spans="1:4" x14ac:dyDescent="0.25">
      <c r="A16" s="18">
        <v>41671</v>
      </c>
      <c r="B16" s="21">
        <v>2431269876.0187273</v>
      </c>
      <c r="C16" s="21">
        <v>4458096550.9259186</v>
      </c>
      <c r="D16" s="7">
        <f t="shared" si="0"/>
        <v>0.4546394748867052</v>
      </c>
    </row>
    <row r="17" spans="1:6" x14ac:dyDescent="0.25">
      <c r="A17" s="18">
        <v>41699</v>
      </c>
      <c r="B17" s="21">
        <v>2633275382.7814569</v>
      </c>
      <c r="C17" s="21">
        <v>6292626069.5707836</v>
      </c>
      <c r="D17" s="7">
        <f t="shared" si="0"/>
        <v>0.58152997593243749</v>
      </c>
    </row>
    <row r="18" spans="1:6" x14ac:dyDescent="0.25">
      <c r="A18" s="18">
        <v>41730</v>
      </c>
      <c r="B18" s="21">
        <v>2504655438.8533087</v>
      </c>
      <c r="C18" s="21">
        <v>6716960254.7478685</v>
      </c>
      <c r="D18" s="7">
        <f t="shared" si="0"/>
        <v>0.62711474478609597</v>
      </c>
    </row>
    <row r="19" spans="1:6" x14ac:dyDescent="0.25">
      <c r="A19" s="18">
        <v>41760</v>
      </c>
      <c r="B19" s="21">
        <v>2290694491.6226764</v>
      </c>
      <c r="C19" s="21">
        <v>7297795502.5331888</v>
      </c>
      <c r="D19" s="7">
        <f t="shared" si="0"/>
        <v>0.68611144408917224</v>
      </c>
    </row>
    <row r="20" spans="1:6" x14ac:dyDescent="0.25">
      <c r="A20" s="18">
        <v>41791</v>
      </c>
      <c r="B20" s="21">
        <v>2537863350.5827889</v>
      </c>
      <c r="C20" s="21">
        <v>7189512959.9157696</v>
      </c>
      <c r="D20" s="7">
        <f t="shared" si="0"/>
        <v>0.64700482984976471</v>
      </c>
    </row>
    <row r="21" spans="1:6" x14ac:dyDescent="0.25">
      <c r="A21" s="18">
        <v>41821</v>
      </c>
      <c r="B21" s="21">
        <v>2505366065.5602345</v>
      </c>
      <c r="C21" s="21">
        <v>6535048992.0665703</v>
      </c>
      <c r="D21" s="7">
        <f t="shared" si="0"/>
        <v>0.61662627646683243</v>
      </c>
    </row>
    <row r="22" spans="1:6" x14ac:dyDescent="0.25">
      <c r="A22" s="18">
        <v>41852</v>
      </c>
      <c r="B22" s="21">
        <v>2345438262.1100993</v>
      </c>
      <c r="C22" s="21">
        <v>6896564520.9205799</v>
      </c>
      <c r="D22" s="7">
        <f t="shared" si="0"/>
        <v>0.65991208303855298</v>
      </c>
      <c r="F22" t="s">
        <v>40</v>
      </c>
    </row>
    <row r="23" spans="1:6" x14ac:dyDescent="0.25">
      <c r="A23" s="18">
        <v>41883</v>
      </c>
      <c r="B23" s="21">
        <v>2289865233.5802469</v>
      </c>
      <c r="C23" s="21">
        <v>6947170491.1834307</v>
      </c>
      <c r="D23" s="7">
        <f t="shared" si="0"/>
        <v>0.67038879548353003</v>
      </c>
      <c r="F23" t="s">
        <v>41</v>
      </c>
    </row>
    <row r="24" spans="1:6" x14ac:dyDescent="0.25">
      <c r="A24" s="18">
        <v>41913</v>
      </c>
      <c r="B24" s="21">
        <v>2680344717.5488343</v>
      </c>
      <c r="C24" s="21">
        <v>6466712374.3801699</v>
      </c>
      <c r="D24" s="7">
        <f t="shared" si="0"/>
        <v>0.58551663312445634</v>
      </c>
    </row>
    <row r="25" spans="1:6" x14ac:dyDescent="0.25">
      <c r="A25" s="18">
        <v>41944</v>
      </c>
      <c r="B25" s="21">
        <v>2334270269.201405</v>
      </c>
      <c r="C25" s="21">
        <v>7602229154.8261547</v>
      </c>
      <c r="D25" s="7">
        <f t="shared" si="0"/>
        <v>0.69294923611720771</v>
      </c>
      <c r="F25" t="s">
        <v>42</v>
      </c>
    </row>
    <row r="26" spans="1:6" x14ac:dyDescent="0.25">
      <c r="A26" s="18">
        <v>41974</v>
      </c>
      <c r="B26" s="21">
        <v>2367225995.7415442</v>
      </c>
      <c r="C26" s="21">
        <v>5402872981.7151051</v>
      </c>
      <c r="D26" s="7">
        <f t="shared" si="0"/>
        <v>0.56185792193284456</v>
      </c>
    </row>
    <row r="27" spans="1:6" x14ac:dyDescent="0.25">
      <c r="A27" s="18">
        <v>42005</v>
      </c>
      <c r="B27" s="21">
        <v>7167502500.4180918</v>
      </c>
      <c r="C27" s="21">
        <v>11766675374.187794</v>
      </c>
      <c r="D27" s="7">
        <f t="shared" si="0"/>
        <v>0.39086426093293702</v>
      </c>
      <c r="F27" t="s">
        <v>43</v>
      </c>
    </row>
    <row r="28" spans="1:6" x14ac:dyDescent="0.25">
      <c r="A28" s="18">
        <v>42036</v>
      </c>
      <c r="B28" s="21">
        <v>12500942458.041624</v>
      </c>
      <c r="C28" s="21">
        <v>16684432324.423405</v>
      </c>
      <c r="D28" s="7">
        <f t="shared" si="0"/>
        <v>0.25074211606575336</v>
      </c>
      <c r="F28" t="s">
        <v>44</v>
      </c>
    </row>
    <row r="29" spans="1:6" x14ac:dyDescent="0.25">
      <c r="A29" s="18">
        <v>42064</v>
      </c>
      <c r="B29" s="21">
        <v>12644203082.469429</v>
      </c>
      <c r="C29" s="21">
        <v>14955220985.975342</v>
      </c>
      <c r="D29" s="7">
        <f t="shared" si="0"/>
        <v>0.15452917116190601</v>
      </c>
    </row>
    <row r="30" spans="1:6" x14ac:dyDescent="0.25">
      <c r="A30" s="18">
        <v>42095</v>
      </c>
      <c r="B30" s="21">
        <v>11137771433.993998</v>
      </c>
      <c r="C30" s="21">
        <v>12946751533.723717</v>
      </c>
      <c r="D30" s="7">
        <f t="shared" si="0"/>
        <v>0.13972463246998179</v>
      </c>
    </row>
    <row r="31" spans="1:6" x14ac:dyDescent="0.25">
      <c r="A31" s="18">
        <v>42125</v>
      </c>
      <c r="B31" s="21">
        <v>8420677676.302352</v>
      </c>
      <c r="C31" s="21">
        <v>13739950194.356853</v>
      </c>
      <c r="D31" s="7">
        <f t="shared" si="0"/>
        <v>0.38713914117674053</v>
      </c>
      <c r="F31" t="s">
        <v>45</v>
      </c>
    </row>
    <row r="32" spans="1:6" x14ac:dyDescent="0.25">
      <c r="A32" s="18">
        <v>42156</v>
      </c>
      <c r="B32" s="21">
        <v>6681050467.8368645</v>
      </c>
      <c r="C32" s="21">
        <v>11500041557.923384</v>
      </c>
      <c r="D32" s="7">
        <f t="shared" si="0"/>
        <v>0.41904118918303346</v>
      </c>
    </row>
    <row r="33" spans="1:4" x14ac:dyDescent="0.25">
      <c r="A33" s="18">
        <v>42186</v>
      </c>
      <c r="B33" s="21">
        <v>5873260490.0035076</v>
      </c>
      <c r="C33" s="21">
        <v>10356525092.001606</v>
      </c>
      <c r="D33" s="7">
        <f t="shared" si="0"/>
        <v>0.43289274753561358</v>
      </c>
    </row>
    <row r="34" spans="1:4" x14ac:dyDescent="0.25">
      <c r="A34" s="18">
        <v>42217</v>
      </c>
      <c r="B34" s="21">
        <v>6081394076.4448071</v>
      </c>
      <c r="C34" s="21">
        <v>10259341074.740776</v>
      </c>
      <c r="D34" s="7">
        <f t="shared" si="0"/>
        <v>0.4072334634221656</v>
      </c>
    </row>
    <row r="35" spans="1:4" x14ac:dyDescent="0.25">
      <c r="A35" s="18">
        <v>42248</v>
      </c>
      <c r="B35" s="21">
        <v>6163485801.2541866</v>
      </c>
      <c r="C35" s="21">
        <v>9187695097.2712898</v>
      </c>
      <c r="D35" s="7">
        <f t="shared" si="0"/>
        <v>0.32915864795244254</v>
      </c>
    </row>
    <row r="36" spans="1:4" x14ac:dyDescent="0.25">
      <c r="A36" s="18">
        <v>42278</v>
      </c>
      <c r="B36" s="21">
        <v>6140418345.9009981</v>
      </c>
      <c r="C36" s="21">
        <v>7285599192.1953163</v>
      </c>
      <c r="D36" s="7">
        <f t="shared" si="0"/>
        <v>0.1571841678473187</v>
      </c>
    </row>
    <row r="37" spans="1:4" x14ac:dyDescent="0.25">
      <c r="A37" s="18">
        <v>42309</v>
      </c>
      <c r="B37" s="21">
        <v>5111616235.7335148</v>
      </c>
      <c r="C37" s="21">
        <v>8518475260.714221</v>
      </c>
      <c r="D37" s="7">
        <f t="shared" si="0"/>
        <v>0.39993765559108552</v>
      </c>
    </row>
    <row r="38" spans="1:4" x14ac:dyDescent="0.25">
      <c r="A38" s="18">
        <v>42339</v>
      </c>
      <c r="B38" s="21">
        <v>0</v>
      </c>
      <c r="C38" s="21">
        <v>6687800241.8058872</v>
      </c>
    </row>
    <row r="39" spans="1:4" x14ac:dyDescent="0.25">
      <c r="A39" s="18">
        <v>42370</v>
      </c>
      <c r="B39" s="21">
        <v>0</v>
      </c>
      <c r="C39" s="21">
        <v>7031765923.4534149</v>
      </c>
    </row>
    <row r="40" spans="1:4" x14ac:dyDescent="0.25">
      <c r="A40" s="18">
        <v>42401</v>
      </c>
      <c r="B40" s="21">
        <v>0</v>
      </c>
      <c r="C40" s="21">
        <v>0</v>
      </c>
    </row>
    <row r="41" spans="1:4" x14ac:dyDescent="0.25">
      <c r="A41" s="18">
        <v>42430</v>
      </c>
      <c r="B41" s="21">
        <v>0</v>
      </c>
      <c r="C41" s="21">
        <v>0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3"/>
  <sheetViews>
    <sheetView showGridLines="0" workbookViewId="0">
      <selection activeCell="K28" sqref="K28"/>
    </sheetView>
  </sheetViews>
  <sheetFormatPr defaultRowHeight="15" x14ac:dyDescent="0.25"/>
  <sheetData>
    <row r="1" spans="2:13" ht="15.75" thickBot="1" x14ac:dyDescent="0.3"/>
    <row r="2" spans="2:13" ht="15.75" thickBot="1" x14ac:dyDescent="0.3">
      <c r="C2" s="25" t="s">
        <v>46</v>
      </c>
      <c r="D2" s="26"/>
      <c r="E2" s="26"/>
      <c r="F2" s="26"/>
      <c r="G2" s="26"/>
      <c r="H2" s="26"/>
      <c r="I2" s="26"/>
      <c r="J2" s="26"/>
      <c r="K2" s="26"/>
      <c r="L2" s="26"/>
      <c r="M2" s="27"/>
    </row>
    <row r="3" spans="2:13" ht="15.75" thickBot="1" x14ac:dyDescent="0.3">
      <c r="B3" s="28"/>
      <c r="C3" s="29" t="s">
        <v>47</v>
      </c>
      <c r="D3" s="30"/>
      <c r="E3" s="31" t="s">
        <v>48</v>
      </c>
      <c r="F3" s="32" t="s">
        <v>49</v>
      </c>
      <c r="G3" s="33" t="s">
        <v>50</v>
      </c>
      <c r="H3" s="33" t="s">
        <v>51</v>
      </c>
      <c r="I3" s="33" t="s">
        <v>52</v>
      </c>
      <c r="J3" s="33" t="s">
        <v>53</v>
      </c>
      <c r="K3" s="33" t="s">
        <v>54</v>
      </c>
      <c r="L3" s="33" t="s">
        <v>55</v>
      </c>
      <c r="M3" s="34" t="s">
        <v>56</v>
      </c>
    </row>
    <row r="4" spans="2:13" x14ac:dyDescent="0.25">
      <c r="C4" s="35">
        <v>95.01</v>
      </c>
      <c r="D4" s="36">
        <v>97</v>
      </c>
      <c r="E4" s="37">
        <f>35%</f>
        <v>0.35</v>
      </c>
      <c r="F4" s="38">
        <v>1.1000000000000001</v>
      </c>
      <c r="G4" s="39">
        <v>1.2</v>
      </c>
      <c r="H4" s="38">
        <v>1.2</v>
      </c>
      <c r="I4" s="39">
        <v>1.46</v>
      </c>
      <c r="J4" s="38">
        <v>1.46</v>
      </c>
      <c r="K4" s="39">
        <v>1.78</v>
      </c>
      <c r="L4" s="38">
        <v>1.78</v>
      </c>
      <c r="M4" s="40">
        <v>1.78</v>
      </c>
    </row>
    <row r="5" spans="2:13" x14ac:dyDescent="0.25">
      <c r="C5" s="41">
        <v>90.01</v>
      </c>
      <c r="D5" s="42">
        <v>95</v>
      </c>
      <c r="E5" s="43">
        <f>30%</f>
        <v>0.3</v>
      </c>
      <c r="F5" s="44">
        <v>0.59</v>
      </c>
      <c r="G5" s="45">
        <v>0.72</v>
      </c>
      <c r="H5" s="44">
        <v>0.72</v>
      </c>
      <c r="I5" s="45">
        <v>1.04</v>
      </c>
      <c r="J5" s="44">
        <v>1.04</v>
      </c>
      <c r="K5" s="45">
        <v>1.45</v>
      </c>
      <c r="L5" s="44">
        <v>1.45</v>
      </c>
      <c r="M5" s="46">
        <v>1.45</v>
      </c>
    </row>
    <row r="6" spans="2:13" x14ac:dyDescent="0.25">
      <c r="C6" s="41">
        <v>85.01</v>
      </c>
      <c r="D6" s="42">
        <v>90</v>
      </c>
      <c r="E6" s="43">
        <f>25%</f>
        <v>0.25</v>
      </c>
      <c r="F6" s="44">
        <v>0.44</v>
      </c>
      <c r="G6" s="45">
        <v>0.54</v>
      </c>
      <c r="H6" s="44">
        <v>0.54</v>
      </c>
      <c r="I6" s="45">
        <v>0.72</v>
      </c>
      <c r="J6" s="44">
        <v>0.72</v>
      </c>
      <c r="K6" s="45">
        <v>1.01</v>
      </c>
      <c r="L6" s="44">
        <v>1.01</v>
      </c>
      <c r="M6" s="46">
        <v>1.01</v>
      </c>
    </row>
    <row r="7" spans="2:13" ht="15.75" thickBot="1" x14ac:dyDescent="0.3">
      <c r="C7" s="47">
        <v>0.01</v>
      </c>
      <c r="D7" s="48">
        <v>85</v>
      </c>
      <c r="E7" s="49">
        <f>12%</f>
        <v>0.12</v>
      </c>
      <c r="F7" s="50">
        <v>0.28000000000000003</v>
      </c>
      <c r="G7" s="51">
        <v>0.37</v>
      </c>
      <c r="H7" s="50">
        <v>0.37</v>
      </c>
      <c r="I7" s="51">
        <v>0.48</v>
      </c>
      <c r="J7" s="50">
        <v>0.48</v>
      </c>
      <c r="K7" s="51">
        <v>0.69</v>
      </c>
      <c r="L7" s="50">
        <v>0.69</v>
      </c>
      <c r="M7" s="52">
        <v>0.69</v>
      </c>
    </row>
    <row r="8" spans="2:13" ht="17.25" customHeight="1" thickBot="1" x14ac:dyDescent="0.3">
      <c r="C8" s="53"/>
      <c r="D8" s="53"/>
      <c r="E8" s="54"/>
      <c r="F8" s="53"/>
      <c r="G8" s="53"/>
      <c r="H8" s="53"/>
      <c r="I8" s="53"/>
      <c r="J8" s="53"/>
      <c r="K8" s="53"/>
      <c r="L8" s="53"/>
      <c r="M8" s="53"/>
    </row>
    <row r="9" spans="2:13" ht="17.25" customHeight="1" thickBot="1" x14ac:dyDescent="0.3">
      <c r="C9" s="25" t="s">
        <v>57</v>
      </c>
      <c r="D9" s="55"/>
      <c r="E9" s="55"/>
      <c r="F9" s="55"/>
      <c r="G9" s="55"/>
      <c r="H9" s="55"/>
      <c r="I9" s="55"/>
      <c r="J9" s="55"/>
      <c r="K9" s="55"/>
      <c r="L9" s="55"/>
      <c r="M9" s="56"/>
    </row>
    <row r="10" spans="2:13" ht="17.25" customHeight="1" thickBot="1" x14ac:dyDescent="0.3">
      <c r="B10" s="18"/>
      <c r="C10" s="29" t="s">
        <v>47</v>
      </c>
      <c r="D10" s="30"/>
      <c r="E10" s="31" t="s">
        <v>48</v>
      </c>
      <c r="F10" s="32" t="s">
        <v>49</v>
      </c>
      <c r="G10" s="33" t="s">
        <v>50</v>
      </c>
      <c r="H10" s="33" t="s">
        <v>51</v>
      </c>
      <c r="I10" s="33" t="s">
        <v>52</v>
      </c>
      <c r="J10" s="33" t="s">
        <v>53</v>
      </c>
      <c r="K10" s="33" t="s">
        <v>54</v>
      </c>
      <c r="L10" s="33" t="s">
        <v>55</v>
      </c>
      <c r="M10" s="34" t="s">
        <v>56</v>
      </c>
    </row>
    <row r="11" spans="2:13" x14ac:dyDescent="0.25">
      <c r="C11" s="35">
        <v>95.01</v>
      </c>
      <c r="D11" s="36">
        <v>97</v>
      </c>
      <c r="E11" s="37">
        <f>35%</f>
        <v>0.35</v>
      </c>
      <c r="F11" s="38">
        <f>0.55</f>
        <v>0.55000000000000004</v>
      </c>
      <c r="G11" s="39">
        <v>0.75</v>
      </c>
      <c r="H11" s="38">
        <v>0.95</v>
      </c>
      <c r="I11" s="39">
        <f>1.15</f>
        <v>1.1499999999999999</v>
      </c>
      <c r="J11" s="38">
        <v>1.4</v>
      </c>
      <c r="K11" s="39">
        <f>1.9</f>
        <v>1.9</v>
      </c>
      <c r="L11" s="38">
        <f>2.05</f>
        <v>2.0499999999999998</v>
      </c>
      <c r="M11" s="40">
        <f>2.25</f>
        <v>2.25</v>
      </c>
    </row>
    <row r="12" spans="2:13" x14ac:dyDescent="0.25">
      <c r="C12" s="41">
        <v>90.01</v>
      </c>
      <c r="D12" s="42">
        <v>95</v>
      </c>
      <c r="E12" s="43">
        <f>30%</f>
        <v>0.3</v>
      </c>
      <c r="F12" s="44">
        <f>0.41</f>
        <v>0.41</v>
      </c>
      <c r="G12" s="45">
        <f>0.59</f>
        <v>0.59</v>
      </c>
      <c r="H12" s="44">
        <f>0.73</f>
        <v>0.73</v>
      </c>
      <c r="I12" s="45">
        <f>0.87</f>
        <v>0.87</v>
      </c>
      <c r="J12" s="44">
        <f>1.08</f>
        <v>1.08</v>
      </c>
      <c r="K12" s="45">
        <f>1.42</f>
        <v>1.42</v>
      </c>
      <c r="L12" s="44">
        <f>1.5</f>
        <v>1.5</v>
      </c>
      <c r="M12" s="46">
        <f>1.61</f>
        <v>1.61</v>
      </c>
    </row>
    <row r="13" spans="2:13" x14ac:dyDescent="0.25">
      <c r="C13" s="41">
        <v>85.01</v>
      </c>
      <c r="D13" s="42">
        <v>90</v>
      </c>
      <c r="E13" s="43">
        <f>25%</f>
        <v>0.25</v>
      </c>
      <c r="F13" s="44">
        <f>0.3</f>
        <v>0.3</v>
      </c>
      <c r="G13" s="45">
        <f>0.41</f>
        <v>0.41</v>
      </c>
      <c r="H13" s="44">
        <f>0.5</f>
        <v>0.5</v>
      </c>
      <c r="I13" s="45">
        <f>0.6</f>
        <v>0.6</v>
      </c>
      <c r="J13" s="44">
        <f>0.73</f>
        <v>0.73</v>
      </c>
      <c r="K13" s="45">
        <f>1</f>
        <v>1</v>
      </c>
      <c r="L13" s="44">
        <f>1.05</f>
        <v>1.05</v>
      </c>
      <c r="M13" s="46">
        <f>1.1</f>
        <v>1.1000000000000001</v>
      </c>
    </row>
    <row r="14" spans="2:13" ht="15.75" thickBot="1" x14ac:dyDescent="0.3">
      <c r="C14" s="47">
        <v>0.01</v>
      </c>
      <c r="D14" s="48">
        <v>85</v>
      </c>
      <c r="E14" s="49">
        <f>12%</f>
        <v>0.12</v>
      </c>
      <c r="F14" s="50">
        <f>0.19</f>
        <v>0.19</v>
      </c>
      <c r="G14" s="51">
        <f>0.2</f>
        <v>0.2</v>
      </c>
      <c r="H14" s="50">
        <f>0.23</f>
        <v>0.23</v>
      </c>
      <c r="I14" s="51">
        <f>0.27</f>
        <v>0.27</v>
      </c>
      <c r="J14" s="50">
        <f>0.32</f>
        <v>0.32</v>
      </c>
      <c r="K14" s="51">
        <f>0.41</f>
        <v>0.41</v>
      </c>
      <c r="L14" s="50">
        <f>0.43</f>
        <v>0.43</v>
      </c>
      <c r="M14" s="52">
        <f>0.45</f>
        <v>0.45</v>
      </c>
    </row>
    <row r="15" spans="2:13" ht="15.75" thickBot="1" x14ac:dyDescent="0.3"/>
    <row r="16" spans="2:13" ht="15.75" thickBot="1" x14ac:dyDescent="0.3">
      <c r="C16" s="25" t="s">
        <v>58</v>
      </c>
      <c r="D16" s="26"/>
      <c r="E16" s="26"/>
      <c r="F16" s="26"/>
      <c r="G16" s="26"/>
      <c r="H16" s="26"/>
      <c r="I16" s="26"/>
      <c r="J16" s="26"/>
      <c r="K16" s="26"/>
      <c r="L16" s="26"/>
      <c r="M16" s="27"/>
    </row>
    <row r="17" spans="3:13" ht="15.75" thickBot="1" x14ac:dyDescent="0.3">
      <c r="C17" s="29" t="s">
        <v>47</v>
      </c>
      <c r="D17" s="30"/>
      <c r="E17" s="31" t="s">
        <v>48</v>
      </c>
      <c r="F17" s="32" t="s">
        <v>49</v>
      </c>
      <c r="G17" s="33" t="s">
        <v>50</v>
      </c>
      <c r="H17" s="33" t="s">
        <v>51</v>
      </c>
      <c r="I17" s="33" t="s">
        <v>52</v>
      </c>
      <c r="J17" s="33" t="s">
        <v>53</v>
      </c>
      <c r="K17" s="33" t="s">
        <v>54</v>
      </c>
      <c r="L17" s="33" t="s">
        <v>55</v>
      </c>
      <c r="M17" s="34" t="s">
        <v>56</v>
      </c>
    </row>
    <row r="18" spans="3:13" x14ac:dyDescent="0.25">
      <c r="C18" s="35">
        <v>95.01</v>
      </c>
      <c r="D18" s="36">
        <v>97</v>
      </c>
      <c r="E18" s="37">
        <f>35%</f>
        <v>0.35</v>
      </c>
      <c r="F18" s="57">
        <f>F4-F11</f>
        <v>0.55000000000000004</v>
      </c>
      <c r="G18" s="57">
        <f t="shared" ref="G18:M18" si="0">G4-G11</f>
        <v>0.44999999999999996</v>
      </c>
      <c r="H18" s="57">
        <f t="shared" si="0"/>
        <v>0.25</v>
      </c>
      <c r="I18" s="57">
        <f t="shared" si="0"/>
        <v>0.31000000000000005</v>
      </c>
      <c r="J18" s="57">
        <f t="shared" si="0"/>
        <v>6.0000000000000053E-2</v>
      </c>
      <c r="K18" s="58">
        <f t="shared" si="0"/>
        <v>-0.11999999999999988</v>
      </c>
      <c r="L18" s="58">
        <f t="shared" si="0"/>
        <v>-0.2699999999999998</v>
      </c>
      <c r="M18" s="59">
        <f t="shared" si="0"/>
        <v>-0.47</v>
      </c>
    </row>
    <row r="19" spans="3:13" x14ac:dyDescent="0.25">
      <c r="C19" s="41">
        <v>90.01</v>
      </c>
      <c r="D19" s="42">
        <v>95</v>
      </c>
      <c r="E19" s="43">
        <f>30%</f>
        <v>0.3</v>
      </c>
      <c r="F19" s="60">
        <f t="shared" ref="F19:M21" si="1">F5-F12</f>
        <v>0.18</v>
      </c>
      <c r="G19" s="60">
        <f t="shared" si="1"/>
        <v>0.13</v>
      </c>
      <c r="H19" s="61">
        <f t="shared" si="1"/>
        <v>-1.0000000000000009E-2</v>
      </c>
      <c r="I19" s="60">
        <f t="shared" si="1"/>
        <v>0.17000000000000004</v>
      </c>
      <c r="J19" s="61">
        <f t="shared" si="1"/>
        <v>-4.0000000000000036E-2</v>
      </c>
      <c r="K19" s="60">
        <f t="shared" si="1"/>
        <v>3.0000000000000027E-2</v>
      </c>
      <c r="L19" s="61">
        <f t="shared" si="1"/>
        <v>-5.0000000000000044E-2</v>
      </c>
      <c r="M19" s="62">
        <f t="shared" si="1"/>
        <v>-0.16000000000000014</v>
      </c>
    </row>
    <row r="20" spans="3:13" x14ac:dyDescent="0.25">
      <c r="C20" s="41">
        <v>85.01</v>
      </c>
      <c r="D20" s="42">
        <v>90</v>
      </c>
      <c r="E20" s="43">
        <f>25%</f>
        <v>0.25</v>
      </c>
      <c r="F20" s="60">
        <f t="shared" si="1"/>
        <v>0.14000000000000001</v>
      </c>
      <c r="G20" s="60">
        <f t="shared" si="1"/>
        <v>0.13000000000000006</v>
      </c>
      <c r="H20" s="60">
        <f t="shared" si="1"/>
        <v>4.0000000000000036E-2</v>
      </c>
      <c r="I20" s="60">
        <f t="shared" si="1"/>
        <v>0.12</v>
      </c>
      <c r="J20" s="61">
        <f t="shared" si="1"/>
        <v>-1.0000000000000009E-2</v>
      </c>
      <c r="K20" s="60">
        <f t="shared" si="1"/>
        <v>1.0000000000000009E-2</v>
      </c>
      <c r="L20" s="61">
        <f t="shared" si="1"/>
        <v>-4.0000000000000036E-2</v>
      </c>
      <c r="M20" s="62">
        <f t="shared" si="1"/>
        <v>-9.000000000000008E-2</v>
      </c>
    </row>
    <row r="21" spans="3:13" ht="15.75" thickBot="1" x14ac:dyDescent="0.3">
      <c r="C21" s="47">
        <v>0.01</v>
      </c>
      <c r="D21" s="48">
        <v>85</v>
      </c>
      <c r="E21" s="49">
        <f>12%</f>
        <v>0.12</v>
      </c>
      <c r="F21" s="63">
        <f t="shared" si="1"/>
        <v>9.0000000000000024E-2</v>
      </c>
      <c r="G21" s="63">
        <f t="shared" si="1"/>
        <v>0.16999999999999998</v>
      </c>
      <c r="H21" s="63">
        <f t="shared" si="1"/>
        <v>0.13999999999999999</v>
      </c>
      <c r="I21" s="63">
        <f t="shared" si="1"/>
        <v>0.20999999999999996</v>
      </c>
      <c r="J21" s="63">
        <f t="shared" si="1"/>
        <v>0.15999999999999998</v>
      </c>
      <c r="K21" s="63">
        <f t="shared" si="1"/>
        <v>0.27999999999999997</v>
      </c>
      <c r="L21" s="63">
        <f t="shared" si="1"/>
        <v>0.25999999999999995</v>
      </c>
      <c r="M21" s="64">
        <f t="shared" si="1"/>
        <v>0.23999999999999994</v>
      </c>
    </row>
    <row r="22" spans="3:13" x14ac:dyDescent="0.25">
      <c r="C22" s="65"/>
      <c r="D22" s="65"/>
      <c r="E22" s="66"/>
      <c r="F22" s="65"/>
      <c r="G22" s="65"/>
      <c r="H22" s="65"/>
      <c r="I22" s="65"/>
      <c r="J22" s="65"/>
      <c r="K22" s="65"/>
      <c r="L22" s="65"/>
      <c r="M22" s="65"/>
    </row>
    <row r="23" spans="3:13" x14ac:dyDescent="0.25"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</row>
  </sheetData>
  <mergeCells count="6">
    <mergeCell ref="C2:M2"/>
    <mergeCell ref="C3:D3"/>
    <mergeCell ref="C9:M9"/>
    <mergeCell ref="C10:D10"/>
    <mergeCell ref="C16:M16"/>
    <mergeCell ref="C17:D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P57"/>
  <sheetViews>
    <sheetView showGridLines="0" topLeftCell="B25" workbookViewId="0">
      <selection activeCell="O26" sqref="O26"/>
    </sheetView>
  </sheetViews>
  <sheetFormatPr defaultRowHeight="15" x14ac:dyDescent="0.25"/>
  <cols>
    <col min="3" max="3" width="16.28515625" customWidth="1"/>
    <col min="4" max="4" width="19" customWidth="1"/>
    <col min="5" max="5" width="10.85546875" bestFit="1" customWidth="1"/>
    <col min="15" max="15" width="12.85546875" customWidth="1"/>
    <col min="16" max="16" width="21.28515625" customWidth="1"/>
  </cols>
  <sheetData>
    <row r="4" spans="3:16" ht="15.75" customHeight="1" thickBot="1" x14ac:dyDescent="0.3">
      <c r="C4" s="68" t="s">
        <v>59</v>
      </c>
      <c r="D4" s="68"/>
      <c r="E4" s="69" t="s">
        <v>60</v>
      </c>
      <c r="F4" s="69"/>
      <c r="G4" s="69"/>
      <c r="H4" s="69"/>
      <c r="I4" s="69"/>
      <c r="J4" s="69"/>
      <c r="K4" s="69"/>
      <c r="L4" s="69"/>
    </row>
    <row r="5" spans="3:16" ht="15.75" thickBot="1" x14ac:dyDescent="0.3">
      <c r="C5" s="70"/>
      <c r="D5" s="71"/>
      <c r="E5" s="72" t="s">
        <v>49</v>
      </c>
      <c r="F5" s="72" t="s">
        <v>50</v>
      </c>
      <c r="G5" s="72" t="s">
        <v>51</v>
      </c>
      <c r="H5" s="72" t="s">
        <v>52</v>
      </c>
      <c r="I5" s="72" t="s">
        <v>53</v>
      </c>
      <c r="J5" s="72" t="s">
        <v>54</v>
      </c>
      <c r="K5" s="72" t="s">
        <v>55</v>
      </c>
      <c r="L5" s="73" t="s">
        <v>56</v>
      </c>
      <c r="O5" s="74" t="s">
        <v>61</v>
      </c>
      <c r="P5" s="75"/>
    </row>
    <row r="6" spans="3:16" x14ac:dyDescent="0.25">
      <c r="C6" s="76" t="s">
        <v>25</v>
      </c>
      <c r="D6" s="67"/>
      <c r="E6" s="67"/>
      <c r="F6" s="67"/>
      <c r="G6" s="67"/>
      <c r="H6" s="67"/>
      <c r="I6" s="67"/>
      <c r="J6" s="67"/>
      <c r="K6" s="67"/>
      <c r="L6" s="77"/>
      <c r="O6" s="78" t="s">
        <v>62</v>
      </c>
      <c r="P6" s="79">
        <f>250000</f>
        <v>250000</v>
      </c>
    </row>
    <row r="7" spans="3:16" x14ac:dyDescent="0.25">
      <c r="C7" s="80" t="s">
        <v>63</v>
      </c>
      <c r="D7" s="81"/>
      <c r="E7" s="82">
        <f>1.75%</f>
        <v>1.7500000000000002E-2</v>
      </c>
      <c r="F7" s="82">
        <f t="shared" ref="F7:L7" si="0">1.75%</f>
        <v>1.7500000000000002E-2</v>
      </c>
      <c r="G7" s="82">
        <f t="shared" si="0"/>
        <v>1.7500000000000002E-2</v>
      </c>
      <c r="H7" s="82">
        <f t="shared" si="0"/>
        <v>1.7500000000000002E-2</v>
      </c>
      <c r="I7" s="82">
        <f t="shared" si="0"/>
        <v>1.7500000000000002E-2</v>
      </c>
      <c r="J7" s="82">
        <f t="shared" si="0"/>
        <v>1.7500000000000002E-2</v>
      </c>
      <c r="K7" s="82">
        <f t="shared" si="0"/>
        <v>1.7500000000000002E-2</v>
      </c>
      <c r="L7" s="83">
        <f t="shared" si="0"/>
        <v>1.7500000000000002E-2</v>
      </c>
      <c r="O7" s="78" t="s">
        <v>64</v>
      </c>
      <c r="P7" s="84" t="s">
        <v>65</v>
      </c>
    </row>
    <row r="8" spans="3:16" ht="15.75" thickBot="1" x14ac:dyDescent="0.3">
      <c r="C8" s="85" t="s">
        <v>66</v>
      </c>
      <c r="D8" s="86"/>
      <c r="E8" s="87">
        <f>0.85%</f>
        <v>8.5000000000000006E-3</v>
      </c>
      <c r="F8" s="87">
        <f t="shared" ref="F8:L8" si="1">0.85%</f>
        <v>8.5000000000000006E-3</v>
      </c>
      <c r="G8" s="87">
        <f t="shared" si="1"/>
        <v>8.5000000000000006E-3</v>
      </c>
      <c r="H8" s="87">
        <f t="shared" si="1"/>
        <v>8.5000000000000006E-3</v>
      </c>
      <c r="I8" s="87">
        <f t="shared" si="1"/>
        <v>8.5000000000000006E-3</v>
      </c>
      <c r="J8" s="87">
        <f t="shared" si="1"/>
        <v>8.5000000000000006E-3</v>
      </c>
      <c r="K8" s="87">
        <f t="shared" si="1"/>
        <v>8.5000000000000006E-3</v>
      </c>
      <c r="L8" s="88">
        <f t="shared" si="1"/>
        <v>8.5000000000000006E-3</v>
      </c>
      <c r="O8" s="78" t="s">
        <v>67</v>
      </c>
      <c r="P8" s="84" t="s">
        <v>68</v>
      </c>
    </row>
    <row r="9" spans="3:16" ht="15.75" thickBot="1" x14ac:dyDescent="0.3">
      <c r="C9" s="89" t="s">
        <v>69</v>
      </c>
      <c r="D9" s="67"/>
      <c r="E9" s="90"/>
      <c r="F9" s="90"/>
      <c r="G9" s="90"/>
      <c r="H9" s="90"/>
      <c r="I9" s="90"/>
      <c r="J9" s="90"/>
      <c r="K9" s="90"/>
      <c r="L9" s="91"/>
      <c r="O9" s="92" t="s">
        <v>70</v>
      </c>
      <c r="P9" s="93" t="s">
        <v>71</v>
      </c>
    </row>
    <row r="10" spans="3:16" ht="15.75" thickBot="1" x14ac:dyDescent="0.3">
      <c r="C10" s="78" t="s">
        <v>72</v>
      </c>
      <c r="D10" s="67"/>
      <c r="E10" s="82">
        <f>0.75%</f>
        <v>7.4999999999999997E-3</v>
      </c>
      <c r="F10" s="82">
        <f>0.75%</f>
        <v>7.4999999999999997E-3</v>
      </c>
      <c r="G10" s="82">
        <f>1%</f>
        <v>0.01</v>
      </c>
      <c r="H10" s="82">
        <f>1.5%</f>
        <v>1.4999999999999999E-2</v>
      </c>
      <c r="I10" s="82">
        <f>1.5%</f>
        <v>1.4999999999999999E-2</v>
      </c>
      <c r="J10" s="82">
        <f>2.25%</f>
        <v>2.2499999999999999E-2</v>
      </c>
      <c r="K10" s="82">
        <f>2.75%</f>
        <v>2.75E-2</v>
      </c>
      <c r="L10" s="83">
        <f>3.5%</f>
        <v>3.5000000000000003E-2</v>
      </c>
    </row>
    <row r="11" spans="3:16" ht="15.75" thickBot="1" x14ac:dyDescent="0.3">
      <c r="C11" s="92" t="s">
        <v>73</v>
      </c>
      <c r="D11" s="94"/>
      <c r="E11" s="87">
        <f>0.55%</f>
        <v>5.5000000000000005E-3</v>
      </c>
      <c r="F11" s="87">
        <f>0.75%</f>
        <v>7.4999999999999997E-3</v>
      </c>
      <c r="G11" s="87">
        <f>0.95%</f>
        <v>9.4999999999999998E-3</v>
      </c>
      <c r="H11" s="87">
        <f>1.15%</f>
        <v>1.15E-2</v>
      </c>
      <c r="I11" s="87">
        <f>1.4%</f>
        <v>1.3999999999999999E-2</v>
      </c>
      <c r="J11" s="87">
        <f>1.9%</f>
        <v>1.9E-2</v>
      </c>
      <c r="K11" s="87">
        <f>2.05%</f>
        <v>2.0499999999999997E-2</v>
      </c>
      <c r="L11" s="88">
        <f>2.25%</f>
        <v>2.2499999999999999E-2</v>
      </c>
      <c r="O11" s="74" t="s">
        <v>74</v>
      </c>
      <c r="P11" s="75"/>
    </row>
    <row r="12" spans="3:16" x14ac:dyDescent="0.25">
      <c r="C12" s="89" t="s">
        <v>75</v>
      </c>
      <c r="D12" s="67"/>
      <c r="E12" s="90"/>
      <c r="F12" s="90"/>
      <c r="G12" s="90"/>
      <c r="H12" s="90"/>
      <c r="I12" s="90"/>
      <c r="J12" s="90"/>
      <c r="K12" s="90"/>
      <c r="L12" s="91"/>
      <c r="O12" s="78" t="s">
        <v>69</v>
      </c>
      <c r="P12" s="95">
        <v>3.7100000000000001E-2</v>
      </c>
    </row>
    <row r="13" spans="3:16" ht="15.75" thickBot="1" x14ac:dyDescent="0.3">
      <c r="C13" s="92"/>
      <c r="D13" s="94"/>
      <c r="E13" s="96">
        <f>($P$12+E10/4+E11) - ($P$13+E7/12.5+E8)</f>
        <v>-1.7249999999999974E-3</v>
      </c>
      <c r="F13" s="96">
        <f t="shared" ref="F13:L13" si="2">($P$12+F10/4+F11) - ($P$13+F7/12.5+F8)</f>
        <v>2.7500000000000441E-4</v>
      </c>
      <c r="G13" s="96">
        <f t="shared" si="2"/>
        <v>2.9000000000000067E-3</v>
      </c>
      <c r="H13" s="96">
        <f t="shared" si="2"/>
        <v>6.1499999999999957E-3</v>
      </c>
      <c r="I13" s="96">
        <f t="shared" si="2"/>
        <v>8.649999999999998E-3</v>
      </c>
      <c r="J13" s="96">
        <f t="shared" si="2"/>
        <v>1.5525000000000004E-2</v>
      </c>
      <c r="K13" s="96">
        <f t="shared" si="2"/>
        <v>1.8275000000000007E-2</v>
      </c>
      <c r="L13" s="96">
        <f t="shared" si="2"/>
        <v>2.2149999999999996E-2</v>
      </c>
      <c r="O13" s="92" t="s">
        <v>25</v>
      </c>
      <c r="P13" s="97">
        <v>3.6299999999999999E-2</v>
      </c>
    </row>
    <row r="14" spans="3:16" x14ac:dyDescent="0.25">
      <c r="C14" s="67"/>
      <c r="D14" s="67"/>
      <c r="E14" s="67"/>
      <c r="F14" s="67"/>
      <c r="G14" s="67"/>
      <c r="H14" s="67"/>
      <c r="I14" s="67"/>
      <c r="J14" s="67"/>
      <c r="K14" s="67"/>
      <c r="L14" s="67"/>
    </row>
    <row r="15" spans="3:16" ht="15.75" customHeight="1" thickBot="1" x14ac:dyDescent="0.3">
      <c r="C15" s="68" t="s">
        <v>76</v>
      </c>
      <c r="D15" s="68"/>
      <c r="E15" s="69" t="s">
        <v>60</v>
      </c>
      <c r="F15" s="69"/>
      <c r="G15" s="69"/>
      <c r="H15" s="69"/>
      <c r="I15" s="69"/>
      <c r="J15" s="69"/>
      <c r="K15" s="69"/>
      <c r="L15" s="69"/>
      <c r="O15" s="98"/>
    </row>
    <row r="16" spans="3:16" x14ac:dyDescent="0.25">
      <c r="C16" s="70"/>
      <c r="D16" s="71"/>
      <c r="E16" s="72" t="s">
        <v>49</v>
      </c>
      <c r="F16" s="72" t="s">
        <v>50</v>
      </c>
      <c r="G16" s="72" t="s">
        <v>51</v>
      </c>
      <c r="H16" s="72" t="s">
        <v>52</v>
      </c>
      <c r="I16" s="72" t="s">
        <v>53</v>
      </c>
      <c r="J16" s="72" t="s">
        <v>54</v>
      </c>
      <c r="K16" s="72" t="s">
        <v>55</v>
      </c>
      <c r="L16" s="73" t="s">
        <v>56</v>
      </c>
      <c r="O16" s="98"/>
      <c r="P16" s="99"/>
    </row>
    <row r="17" spans="3:16" x14ac:dyDescent="0.25">
      <c r="C17" s="76" t="s">
        <v>25</v>
      </c>
      <c r="D17" s="67"/>
      <c r="E17" s="67"/>
      <c r="F17" s="67"/>
      <c r="G17" s="67"/>
      <c r="H17" s="67"/>
      <c r="I17" s="67"/>
      <c r="J17" s="67"/>
      <c r="K17" s="67"/>
      <c r="L17" s="77"/>
      <c r="O17" s="98"/>
    </row>
    <row r="18" spans="3:16" x14ac:dyDescent="0.25">
      <c r="C18" s="80" t="s">
        <v>63</v>
      </c>
      <c r="D18" s="81"/>
      <c r="E18" s="82">
        <f>1.75%</f>
        <v>1.7500000000000002E-2</v>
      </c>
      <c r="F18" s="82">
        <f t="shared" ref="F18:L18" si="3">1.75%</f>
        <v>1.7500000000000002E-2</v>
      </c>
      <c r="G18" s="82">
        <f t="shared" si="3"/>
        <v>1.7500000000000002E-2</v>
      </c>
      <c r="H18" s="82">
        <f t="shared" si="3"/>
        <v>1.7500000000000002E-2</v>
      </c>
      <c r="I18" s="82">
        <f t="shared" si="3"/>
        <v>1.7500000000000002E-2</v>
      </c>
      <c r="J18" s="82">
        <f t="shared" si="3"/>
        <v>1.7500000000000002E-2</v>
      </c>
      <c r="K18" s="82">
        <f t="shared" si="3"/>
        <v>1.7500000000000002E-2</v>
      </c>
      <c r="L18" s="83">
        <f t="shared" si="3"/>
        <v>1.7500000000000002E-2</v>
      </c>
      <c r="O18" s="98"/>
    </row>
    <row r="19" spans="3:16" ht="15.75" thickBot="1" x14ac:dyDescent="0.3">
      <c r="C19" s="85" t="s">
        <v>66</v>
      </c>
      <c r="D19" s="86"/>
      <c r="E19" s="87">
        <f>0.85%</f>
        <v>8.5000000000000006E-3</v>
      </c>
      <c r="F19" s="87">
        <f t="shared" ref="F19:L19" si="4">0.85%</f>
        <v>8.5000000000000006E-3</v>
      </c>
      <c r="G19" s="87">
        <f t="shared" si="4"/>
        <v>8.5000000000000006E-3</v>
      </c>
      <c r="H19" s="87">
        <f t="shared" si="4"/>
        <v>8.5000000000000006E-3</v>
      </c>
      <c r="I19" s="87">
        <f t="shared" si="4"/>
        <v>8.5000000000000006E-3</v>
      </c>
      <c r="J19" s="87">
        <f t="shared" si="4"/>
        <v>8.5000000000000006E-3</v>
      </c>
      <c r="K19" s="87">
        <f t="shared" si="4"/>
        <v>8.5000000000000006E-3</v>
      </c>
      <c r="L19" s="88">
        <f t="shared" si="4"/>
        <v>8.5000000000000006E-3</v>
      </c>
      <c r="O19" s="98"/>
      <c r="P19" s="99"/>
    </row>
    <row r="20" spans="3:16" x14ac:dyDescent="0.25">
      <c r="C20" s="100" t="s">
        <v>69</v>
      </c>
      <c r="D20" s="101"/>
      <c r="E20" s="102"/>
      <c r="F20" s="102"/>
      <c r="G20" s="102"/>
      <c r="H20" s="102"/>
      <c r="I20" s="102"/>
      <c r="J20" s="102"/>
      <c r="K20" s="102"/>
      <c r="L20" s="103"/>
    </row>
    <row r="21" spans="3:16" x14ac:dyDescent="0.25">
      <c r="C21" s="78" t="s">
        <v>72</v>
      </c>
      <c r="D21" s="67"/>
      <c r="E21" s="82">
        <f>0.25%</f>
        <v>2.5000000000000001E-3</v>
      </c>
      <c r="F21" s="82">
        <f>0.25%</f>
        <v>2.5000000000000001E-3</v>
      </c>
      <c r="G21" s="82">
        <f>0.5%</f>
        <v>5.0000000000000001E-3</v>
      </c>
      <c r="H21" s="82">
        <f>1%</f>
        <v>0.01</v>
      </c>
      <c r="I21" s="82">
        <f>1.25%</f>
        <v>1.2500000000000001E-2</v>
      </c>
      <c r="J21" s="82">
        <f>2.25%</f>
        <v>2.2499999999999999E-2</v>
      </c>
      <c r="K21" s="82">
        <f>2.75%</f>
        <v>2.75E-2</v>
      </c>
      <c r="L21" s="83">
        <f>3.25%</f>
        <v>3.2500000000000001E-2</v>
      </c>
      <c r="P21" s="99"/>
    </row>
    <row r="22" spans="3:16" ht="15.75" thickBot="1" x14ac:dyDescent="0.3">
      <c r="C22" s="92" t="s">
        <v>73</v>
      </c>
      <c r="D22" s="94"/>
      <c r="E22" s="104">
        <f>0.41%</f>
        <v>4.0999999999999995E-3</v>
      </c>
      <c r="F22" s="104">
        <f>0.59%</f>
        <v>5.8999999999999999E-3</v>
      </c>
      <c r="G22" s="104">
        <f>0.73%</f>
        <v>7.3000000000000001E-3</v>
      </c>
      <c r="H22" s="104">
        <f>0.87%</f>
        <v>8.6999999999999994E-3</v>
      </c>
      <c r="I22" s="104">
        <f>1.08%</f>
        <v>1.0800000000000001E-2</v>
      </c>
      <c r="J22" s="104">
        <f>1.42%</f>
        <v>1.4199999999999999E-2</v>
      </c>
      <c r="K22" s="104">
        <f>1.5%</f>
        <v>1.4999999999999999E-2</v>
      </c>
      <c r="L22" s="105">
        <f>1.61%</f>
        <v>1.61E-2</v>
      </c>
    </row>
    <row r="23" spans="3:16" x14ac:dyDescent="0.25">
      <c r="C23" s="89" t="s">
        <v>75</v>
      </c>
      <c r="D23" s="67"/>
      <c r="E23" s="90"/>
      <c r="F23" s="90"/>
      <c r="G23" s="90"/>
      <c r="H23" s="90"/>
      <c r="I23" s="90"/>
      <c r="J23" s="90"/>
      <c r="K23" s="90"/>
      <c r="L23" s="91"/>
    </row>
    <row r="24" spans="3:16" ht="15.75" thickBot="1" x14ac:dyDescent="0.3">
      <c r="C24" s="92"/>
      <c r="D24" s="94"/>
      <c r="E24" s="96">
        <f t="shared" ref="E24:L24" si="5">($P$12+E21/4+E22) - ($P$13+E18/12.5+E19)</f>
        <v>-4.3749999999999969E-3</v>
      </c>
      <c r="F24" s="96">
        <f t="shared" si="5"/>
        <v>-2.574999999999994E-3</v>
      </c>
      <c r="G24" s="96">
        <f t="shared" si="5"/>
        <v>-5.4999999999999494E-4</v>
      </c>
      <c r="H24" s="96">
        <f t="shared" si="5"/>
        <v>2.1000000000000046E-3</v>
      </c>
      <c r="I24" s="96">
        <f t="shared" si="5"/>
        <v>4.8250000000000029E-3</v>
      </c>
      <c r="J24" s="96">
        <f t="shared" si="5"/>
        <v>1.0724999999999998E-2</v>
      </c>
      <c r="K24" s="96">
        <f t="shared" si="5"/>
        <v>1.2775000000000002E-2</v>
      </c>
      <c r="L24" s="96">
        <f t="shared" si="5"/>
        <v>1.5125000000000006E-2</v>
      </c>
    </row>
    <row r="26" spans="3:16" ht="15.75" customHeight="1" thickBot="1" x14ac:dyDescent="0.3">
      <c r="C26" s="68" t="s">
        <v>77</v>
      </c>
      <c r="D26" s="68"/>
      <c r="E26" s="69" t="s">
        <v>60</v>
      </c>
      <c r="F26" s="69"/>
      <c r="G26" s="69"/>
      <c r="H26" s="69"/>
      <c r="I26" s="69"/>
      <c r="J26" s="69"/>
      <c r="K26" s="69"/>
      <c r="L26" s="69"/>
    </row>
    <row r="27" spans="3:16" x14ac:dyDescent="0.25">
      <c r="C27" s="70"/>
      <c r="D27" s="71"/>
      <c r="E27" s="72" t="s">
        <v>49</v>
      </c>
      <c r="F27" s="72" t="s">
        <v>50</v>
      </c>
      <c r="G27" s="72" t="s">
        <v>51</v>
      </c>
      <c r="H27" s="72" t="s">
        <v>52</v>
      </c>
      <c r="I27" s="72" t="s">
        <v>53</v>
      </c>
      <c r="J27" s="72" t="s">
        <v>54</v>
      </c>
      <c r="K27" s="72" t="s">
        <v>55</v>
      </c>
      <c r="L27" s="73" t="s">
        <v>56</v>
      </c>
    </row>
    <row r="28" spans="3:16" x14ac:dyDescent="0.25">
      <c r="C28" s="76" t="s">
        <v>25</v>
      </c>
      <c r="D28" s="67"/>
      <c r="E28" s="67"/>
      <c r="F28" s="67"/>
      <c r="G28" s="67"/>
      <c r="H28" s="67"/>
      <c r="I28" s="67"/>
      <c r="J28" s="67"/>
      <c r="K28" s="67"/>
      <c r="L28" s="77"/>
    </row>
    <row r="29" spans="3:16" x14ac:dyDescent="0.25">
      <c r="C29" s="80" t="s">
        <v>63</v>
      </c>
      <c r="D29" s="81"/>
      <c r="E29" s="82">
        <f>1.75%</f>
        <v>1.7500000000000002E-2</v>
      </c>
      <c r="F29" s="82">
        <f t="shared" ref="F29:L29" si="6">1.75%</f>
        <v>1.7500000000000002E-2</v>
      </c>
      <c r="G29" s="82">
        <f t="shared" si="6"/>
        <v>1.7500000000000002E-2</v>
      </c>
      <c r="H29" s="82">
        <f t="shared" si="6"/>
        <v>1.7500000000000002E-2</v>
      </c>
      <c r="I29" s="82">
        <f t="shared" si="6"/>
        <v>1.7500000000000002E-2</v>
      </c>
      <c r="J29" s="82">
        <f t="shared" si="6"/>
        <v>1.7500000000000002E-2</v>
      </c>
      <c r="K29" s="82">
        <f t="shared" si="6"/>
        <v>1.7500000000000002E-2</v>
      </c>
      <c r="L29" s="83">
        <f t="shared" si="6"/>
        <v>1.7500000000000002E-2</v>
      </c>
    </row>
    <row r="30" spans="3:16" ht="15.75" thickBot="1" x14ac:dyDescent="0.3">
      <c r="C30" s="85" t="s">
        <v>66</v>
      </c>
      <c r="D30" s="86"/>
      <c r="E30" s="87">
        <f>0.85%</f>
        <v>8.5000000000000006E-3</v>
      </c>
      <c r="F30" s="87">
        <f t="shared" ref="F30:L30" si="7">0.85%</f>
        <v>8.5000000000000006E-3</v>
      </c>
      <c r="G30" s="87">
        <f t="shared" si="7"/>
        <v>8.5000000000000006E-3</v>
      </c>
      <c r="H30" s="87">
        <f t="shared" si="7"/>
        <v>8.5000000000000006E-3</v>
      </c>
      <c r="I30" s="87">
        <f t="shared" si="7"/>
        <v>8.5000000000000006E-3</v>
      </c>
      <c r="J30" s="87">
        <f t="shared" si="7"/>
        <v>8.5000000000000006E-3</v>
      </c>
      <c r="K30" s="87">
        <f t="shared" si="7"/>
        <v>8.5000000000000006E-3</v>
      </c>
      <c r="L30" s="88">
        <f t="shared" si="7"/>
        <v>8.5000000000000006E-3</v>
      </c>
    </row>
    <row r="31" spans="3:16" x14ac:dyDescent="0.25">
      <c r="C31" s="100" t="s">
        <v>69</v>
      </c>
      <c r="D31" s="101"/>
      <c r="E31" s="102"/>
      <c r="F31" s="102"/>
      <c r="G31" s="102"/>
      <c r="H31" s="102"/>
      <c r="I31" s="102"/>
      <c r="J31" s="102"/>
      <c r="K31" s="102"/>
      <c r="L31" s="103"/>
    </row>
    <row r="32" spans="3:16" x14ac:dyDescent="0.25">
      <c r="C32" s="78" t="s">
        <v>72</v>
      </c>
      <c r="D32" s="67"/>
      <c r="E32" s="82">
        <f>0.25%</f>
        <v>2.5000000000000001E-3</v>
      </c>
      <c r="F32" s="82">
        <f>0.25%</f>
        <v>2.5000000000000001E-3</v>
      </c>
      <c r="G32" s="82">
        <f>0.5%</f>
        <v>5.0000000000000001E-3</v>
      </c>
      <c r="H32" s="82">
        <f>1%</f>
        <v>0.01</v>
      </c>
      <c r="I32" s="82">
        <f>1.25%</f>
        <v>1.2500000000000001E-2</v>
      </c>
      <c r="J32" s="82">
        <f>2.25%</f>
        <v>2.2499999999999999E-2</v>
      </c>
      <c r="K32" s="82">
        <f>2.75%</f>
        <v>2.75E-2</v>
      </c>
      <c r="L32" s="83">
        <f>3.25%</f>
        <v>3.2500000000000001E-2</v>
      </c>
    </row>
    <row r="33" spans="3:12" ht="15.75" thickBot="1" x14ac:dyDescent="0.3">
      <c r="C33" s="92" t="s">
        <v>73</v>
      </c>
      <c r="D33" s="94"/>
      <c r="E33" s="104">
        <f>0.3%</f>
        <v>3.0000000000000001E-3</v>
      </c>
      <c r="F33" s="104">
        <f>0.41%</f>
        <v>4.0999999999999995E-3</v>
      </c>
      <c r="G33" s="104">
        <f>0.5%</f>
        <v>5.0000000000000001E-3</v>
      </c>
      <c r="H33" s="104">
        <f>0.6%</f>
        <v>6.0000000000000001E-3</v>
      </c>
      <c r="I33" s="104">
        <f>0.73%</f>
        <v>7.3000000000000001E-3</v>
      </c>
      <c r="J33" s="104">
        <f>1%</f>
        <v>0.01</v>
      </c>
      <c r="K33" s="104">
        <f>1.05%</f>
        <v>1.0500000000000001E-2</v>
      </c>
      <c r="L33" s="105">
        <f>1.1%</f>
        <v>1.1000000000000001E-2</v>
      </c>
    </row>
    <row r="34" spans="3:12" x14ac:dyDescent="0.25">
      <c r="C34" s="89" t="s">
        <v>75</v>
      </c>
      <c r="D34" s="67"/>
      <c r="E34" s="90"/>
      <c r="F34" s="90"/>
      <c r="G34" s="90"/>
      <c r="H34" s="90"/>
      <c r="I34" s="90"/>
      <c r="J34" s="90"/>
      <c r="K34" s="90"/>
      <c r="L34" s="91"/>
    </row>
    <row r="35" spans="3:12" ht="15.75" thickBot="1" x14ac:dyDescent="0.3">
      <c r="C35" s="92"/>
      <c r="D35" s="94"/>
      <c r="E35" s="96">
        <f t="shared" ref="E35:L35" si="8">($P$12+E32/4+E33) - ($P$13+E29/12.5+E30)</f>
        <v>-5.4749999999999938E-3</v>
      </c>
      <c r="F35" s="96">
        <f t="shared" si="8"/>
        <v>-4.3749999999999969E-3</v>
      </c>
      <c r="G35" s="96">
        <f t="shared" si="8"/>
        <v>-2.8499999999999984E-3</v>
      </c>
      <c r="H35" s="96">
        <f t="shared" si="8"/>
        <v>-5.9999999999999637E-4</v>
      </c>
      <c r="I35" s="96">
        <f t="shared" si="8"/>
        <v>1.3250000000000067E-3</v>
      </c>
      <c r="J35" s="96">
        <f t="shared" si="8"/>
        <v>6.525000000000003E-3</v>
      </c>
      <c r="K35" s="96">
        <f t="shared" si="8"/>
        <v>8.2750000000000046E-3</v>
      </c>
      <c r="L35" s="96">
        <f t="shared" si="8"/>
        <v>1.0025000000000006E-2</v>
      </c>
    </row>
    <row r="37" spans="3:12" ht="15.75" customHeight="1" thickBot="1" x14ac:dyDescent="0.3">
      <c r="C37" s="68" t="s">
        <v>78</v>
      </c>
      <c r="D37" s="68"/>
      <c r="E37" s="69" t="s">
        <v>60</v>
      </c>
      <c r="F37" s="69"/>
      <c r="G37" s="69"/>
      <c r="H37" s="69"/>
      <c r="I37" s="69"/>
      <c r="J37" s="69"/>
      <c r="K37" s="69"/>
      <c r="L37" s="69"/>
    </row>
    <row r="38" spans="3:12" x14ac:dyDescent="0.25">
      <c r="C38" s="70"/>
      <c r="D38" s="71"/>
      <c r="E38" s="72" t="s">
        <v>49</v>
      </c>
      <c r="F38" s="72" t="s">
        <v>50</v>
      </c>
      <c r="G38" s="72" t="s">
        <v>51</v>
      </c>
      <c r="H38" s="72" t="s">
        <v>52</v>
      </c>
      <c r="I38" s="72" t="s">
        <v>53</v>
      </c>
      <c r="J38" s="72" t="s">
        <v>54</v>
      </c>
      <c r="K38" s="72" t="s">
        <v>55</v>
      </c>
      <c r="L38" s="73" t="s">
        <v>56</v>
      </c>
    </row>
    <row r="39" spans="3:12" x14ac:dyDescent="0.25">
      <c r="C39" s="76" t="s">
        <v>25</v>
      </c>
      <c r="D39" s="67"/>
      <c r="E39" s="67"/>
      <c r="F39" s="67"/>
      <c r="G39" s="67"/>
      <c r="H39" s="67"/>
      <c r="I39" s="67"/>
      <c r="J39" s="67"/>
      <c r="K39" s="67"/>
      <c r="L39" s="77"/>
    </row>
    <row r="40" spans="3:12" x14ac:dyDescent="0.25">
      <c r="C40" s="80" t="s">
        <v>63</v>
      </c>
      <c r="D40" s="81"/>
      <c r="E40" s="82">
        <f>1.75%</f>
        <v>1.7500000000000002E-2</v>
      </c>
      <c r="F40" s="82">
        <f t="shared" ref="F40:L40" si="9">1.75%</f>
        <v>1.7500000000000002E-2</v>
      </c>
      <c r="G40" s="82">
        <f t="shared" si="9"/>
        <v>1.7500000000000002E-2</v>
      </c>
      <c r="H40" s="82">
        <f t="shared" si="9"/>
        <v>1.7500000000000002E-2</v>
      </c>
      <c r="I40" s="82">
        <f t="shared" si="9"/>
        <v>1.7500000000000002E-2</v>
      </c>
      <c r="J40" s="82">
        <f t="shared" si="9"/>
        <v>1.7500000000000002E-2</v>
      </c>
      <c r="K40" s="82">
        <f t="shared" si="9"/>
        <v>1.7500000000000002E-2</v>
      </c>
      <c r="L40" s="83">
        <f t="shared" si="9"/>
        <v>1.7500000000000002E-2</v>
      </c>
    </row>
    <row r="41" spans="3:12" ht="15.75" thickBot="1" x14ac:dyDescent="0.3">
      <c r="C41" s="85" t="s">
        <v>66</v>
      </c>
      <c r="D41" s="86"/>
      <c r="E41" s="87">
        <f>0.85%</f>
        <v>8.5000000000000006E-3</v>
      </c>
      <c r="F41" s="87">
        <f t="shared" ref="F41:L41" si="10">0.85%</f>
        <v>8.5000000000000006E-3</v>
      </c>
      <c r="G41" s="87">
        <f t="shared" si="10"/>
        <v>8.5000000000000006E-3</v>
      </c>
      <c r="H41" s="87">
        <f t="shared" si="10"/>
        <v>8.5000000000000006E-3</v>
      </c>
      <c r="I41" s="87">
        <f t="shared" si="10"/>
        <v>8.5000000000000006E-3</v>
      </c>
      <c r="J41" s="87">
        <f t="shared" si="10"/>
        <v>8.5000000000000006E-3</v>
      </c>
      <c r="K41" s="87">
        <f t="shared" si="10"/>
        <v>8.5000000000000006E-3</v>
      </c>
      <c r="L41" s="88">
        <f t="shared" si="10"/>
        <v>8.5000000000000006E-3</v>
      </c>
    </row>
    <row r="42" spans="3:12" x14ac:dyDescent="0.25">
      <c r="C42" s="100" t="s">
        <v>69</v>
      </c>
      <c r="D42" s="101"/>
      <c r="E42" s="102"/>
      <c r="F42" s="102"/>
      <c r="G42" s="102"/>
      <c r="H42" s="102"/>
      <c r="I42" s="102"/>
      <c r="J42" s="102"/>
      <c r="K42" s="102"/>
      <c r="L42" s="103"/>
    </row>
    <row r="43" spans="3:12" x14ac:dyDescent="0.25">
      <c r="C43" s="78" t="s">
        <v>72</v>
      </c>
      <c r="D43" s="67"/>
      <c r="E43" s="82">
        <f>0.25%</f>
        <v>2.5000000000000001E-3</v>
      </c>
      <c r="F43" s="82">
        <f>0.25%</f>
        <v>2.5000000000000001E-3</v>
      </c>
      <c r="G43" s="82">
        <f>0.5%</f>
        <v>5.0000000000000001E-3</v>
      </c>
      <c r="H43" s="82">
        <f>1%</f>
        <v>0.01</v>
      </c>
      <c r="I43" s="82">
        <f>1.25%</f>
        <v>1.2500000000000001E-2</v>
      </c>
      <c r="J43" s="82">
        <f>2.25%</f>
        <v>2.2499999999999999E-2</v>
      </c>
      <c r="K43" s="82">
        <f>2.75%</f>
        <v>2.75E-2</v>
      </c>
      <c r="L43" s="83">
        <f>3.25%</f>
        <v>3.2500000000000001E-2</v>
      </c>
    </row>
    <row r="44" spans="3:12" ht="15.75" thickBot="1" x14ac:dyDescent="0.3">
      <c r="C44" s="92" t="s">
        <v>73</v>
      </c>
      <c r="D44" s="94"/>
      <c r="E44" s="104">
        <f>0.19%</f>
        <v>1.9E-3</v>
      </c>
      <c r="F44" s="104">
        <f>0.2%</f>
        <v>2E-3</v>
      </c>
      <c r="G44" s="104">
        <f>0.23%</f>
        <v>2.3E-3</v>
      </c>
      <c r="H44" s="104">
        <f>0.27%</f>
        <v>2.7000000000000001E-3</v>
      </c>
      <c r="I44" s="104">
        <f>0.32%</f>
        <v>3.2000000000000002E-3</v>
      </c>
      <c r="J44" s="104">
        <f>0.41%</f>
        <v>4.0999999999999995E-3</v>
      </c>
      <c r="K44" s="104">
        <f>0.43%</f>
        <v>4.3E-3</v>
      </c>
      <c r="L44" s="105">
        <f>0.45%</f>
        <v>4.5000000000000005E-3</v>
      </c>
    </row>
    <row r="45" spans="3:12" x14ac:dyDescent="0.25">
      <c r="C45" s="89" t="s">
        <v>75</v>
      </c>
      <c r="D45" s="67"/>
      <c r="E45" s="90"/>
      <c r="F45" s="90"/>
      <c r="G45" s="90"/>
      <c r="H45" s="90"/>
      <c r="I45" s="90"/>
      <c r="J45" s="90"/>
      <c r="K45" s="90"/>
      <c r="L45" s="91"/>
    </row>
    <row r="46" spans="3:12" ht="15.75" thickBot="1" x14ac:dyDescent="0.3">
      <c r="C46" s="92"/>
      <c r="D46" s="94"/>
      <c r="E46" s="96">
        <f t="shared" ref="E46:L46" si="11">($P$12+E43/4+E44) - ($P$13+E40/12.5+E41)</f>
        <v>-6.5749999999999975E-3</v>
      </c>
      <c r="F46" s="96">
        <f t="shared" si="11"/>
        <v>-6.4749999999999946E-3</v>
      </c>
      <c r="G46" s="96">
        <f t="shared" si="11"/>
        <v>-5.5499999999999924E-3</v>
      </c>
      <c r="H46" s="96">
        <f t="shared" si="11"/>
        <v>-3.8999999999999937E-3</v>
      </c>
      <c r="I46" s="96">
        <f t="shared" si="11"/>
        <v>-2.7749999999999928E-3</v>
      </c>
      <c r="J46" s="96">
        <f t="shared" si="11"/>
        <v>6.2500000000000056E-4</v>
      </c>
      <c r="K46" s="96">
        <f t="shared" si="11"/>
        <v>2.0750000000000005E-3</v>
      </c>
      <c r="L46" s="96">
        <f t="shared" si="11"/>
        <v>3.5250000000000073E-3</v>
      </c>
    </row>
    <row r="49" spans="3:3" x14ac:dyDescent="0.25">
      <c r="C49" s="106" t="s">
        <v>79</v>
      </c>
    </row>
    <row r="51" spans="3:3" x14ac:dyDescent="0.25">
      <c r="C51" s="107" t="s">
        <v>80</v>
      </c>
    </row>
    <row r="52" spans="3:3" x14ac:dyDescent="0.25">
      <c r="C52" t="s">
        <v>81</v>
      </c>
    </row>
    <row r="54" spans="3:3" x14ac:dyDescent="0.25">
      <c r="C54" t="s">
        <v>82</v>
      </c>
    </row>
    <row r="55" spans="3:3" x14ac:dyDescent="0.25">
      <c r="C55" t="s">
        <v>81</v>
      </c>
    </row>
    <row r="57" spans="3:3" x14ac:dyDescent="0.25">
      <c r="C57" t="s">
        <v>81</v>
      </c>
    </row>
  </sheetData>
  <mergeCells count="22">
    <mergeCell ref="C38:D38"/>
    <mergeCell ref="C40:D40"/>
    <mergeCell ref="C41:D41"/>
    <mergeCell ref="C26:D26"/>
    <mergeCell ref="E26:L26"/>
    <mergeCell ref="C27:D27"/>
    <mergeCell ref="C29:D29"/>
    <mergeCell ref="C30:D30"/>
    <mergeCell ref="C37:D37"/>
    <mergeCell ref="E37:L37"/>
    <mergeCell ref="O11:P11"/>
    <mergeCell ref="C15:D15"/>
    <mergeCell ref="E15:L15"/>
    <mergeCell ref="C16:D16"/>
    <mergeCell ref="C18:D18"/>
    <mergeCell ref="C19:D19"/>
    <mergeCell ref="C4:D4"/>
    <mergeCell ref="E4:L4"/>
    <mergeCell ref="C5:D5"/>
    <mergeCell ref="O5:P5"/>
    <mergeCell ref="C7:D7"/>
    <mergeCell ref="C8:D8"/>
  </mergeCells>
  <conditionalFormatting sqref="E13:L13">
    <cfRule type="cellIs" dxfId="7" priority="7" operator="lessThan">
      <formula>0</formula>
    </cfRule>
    <cfRule type="cellIs" dxfId="6" priority="8" operator="greaterThan">
      <formula>0</formula>
    </cfRule>
  </conditionalFormatting>
  <conditionalFormatting sqref="E24:L24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E35:L35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E46:L46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9"/>
  <sheetViews>
    <sheetView tabSelected="1" workbookViewId="0">
      <selection activeCell="D12" sqref="D12"/>
    </sheetView>
  </sheetViews>
  <sheetFormatPr defaultRowHeight="15" x14ac:dyDescent="0.25"/>
  <cols>
    <col min="2" max="2" width="24.28515625" customWidth="1"/>
    <col min="3" max="3" width="2" customWidth="1"/>
    <col min="4" max="11" width="9.140625" style="3"/>
  </cols>
  <sheetData>
    <row r="2" spans="2:11" x14ac:dyDescent="0.25">
      <c r="B2" s="1" t="s">
        <v>89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 t="s">
        <v>55</v>
      </c>
      <c r="K2" s="2" t="s">
        <v>56</v>
      </c>
    </row>
    <row r="3" spans="2:11" x14ac:dyDescent="0.25">
      <c r="B3" t="s">
        <v>88</v>
      </c>
      <c r="D3" s="108">
        <v>0</v>
      </c>
      <c r="E3" s="108">
        <v>0</v>
      </c>
      <c r="F3" s="108">
        <v>0</v>
      </c>
      <c r="G3" s="108">
        <v>0</v>
      </c>
      <c r="H3" s="108">
        <v>0</v>
      </c>
      <c r="I3" s="108">
        <v>0</v>
      </c>
      <c r="J3" s="108">
        <v>0</v>
      </c>
      <c r="K3" s="108">
        <v>0</v>
      </c>
    </row>
    <row r="4" spans="2:11" hidden="1" x14ac:dyDescent="0.25">
      <c r="B4" t="s">
        <v>87</v>
      </c>
      <c r="D4" s="108"/>
      <c r="E4" s="108"/>
      <c r="F4" s="108"/>
      <c r="G4" s="108"/>
      <c r="H4" s="108"/>
      <c r="I4" s="108"/>
      <c r="J4" s="108"/>
      <c r="K4" s="108"/>
    </row>
    <row r="5" spans="2:11" x14ac:dyDescent="0.25">
      <c r="B5" t="s">
        <v>86</v>
      </c>
      <c r="D5" s="108">
        <f>0.18%</f>
        <v>1.8E-3</v>
      </c>
      <c r="E5" s="108">
        <f>0.2%</f>
        <v>2E-3</v>
      </c>
      <c r="F5" s="108">
        <f>0.2%</f>
        <v>2E-3</v>
      </c>
      <c r="G5" s="108">
        <f>0.25%</f>
        <v>2.5000000000000001E-3</v>
      </c>
      <c r="H5" s="108">
        <f>0.25%</f>
        <v>2.5000000000000001E-3</v>
      </c>
      <c r="I5" s="108">
        <f>0.5%</f>
        <v>5.0000000000000001E-3</v>
      </c>
      <c r="J5" s="108">
        <f>0.55%</f>
        <v>5.5000000000000005E-3</v>
      </c>
      <c r="K5" s="108">
        <f>0.6%</f>
        <v>6.0000000000000001E-3</v>
      </c>
    </row>
    <row r="6" spans="2:11" x14ac:dyDescent="0.25">
      <c r="B6" t="s">
        <v>85</v>
      </c>
      <c r="D6" s="108">
        <f>0.2%</f>
        <v>2E-3</v>
      </c>
      <c r="E6" s="108">
        <f>0.22%</f>
        <v>2.2000000000000001E-3</v>
      </c>
      <c r="F6" s="108">
        <f>0.25%</f>
        <v>2.5000000000000001E-3</v>
      </c>
      <c r="G6" s="108">
        <f>0.3%</f>
        <v>3.0000000000000001E-3</v>
      </c>
      <c r="H6" s="108">
        <f>0.4%</f>
        <v>4.0000000000000001E-3</v>
      </c>
      <c r="I6" s="108">
        <f>0.5%</f>
        <v>5.0000000000000001E-3</v>
      </c>
      <c r="J6" s="108">
        <f>0.6%</f>
        <v>6.0000000000000001E-3</v>
      </c>
      <c r="K6" s="108">
        <f>0.7%</f>
        <v>6.9999999999999993E-3</v>
      </c>
    </row>
    <row r="7" spans="2:11" x14ac:dyDescent="0.25">
      <c r="B7" t="s">
        <v>84</v>
      </c>
      <c r="D7" s="108">
        <f>0.34%</f>
        <v>3.4000000000000002E-3</v>
      </c>
      <c r="E7" s="108">
        <f>0.38%</f>
        <v>3.8E-3</v>
      </c>
      <c r="F7" s="108">
        <f>0.38%</f>
        <v>3.8E-3</v>
      </c>
      <c r="G7" s="108">
        <f>0.47%</f>
        <v>4.6999999999999993E-3</v>
      </c>
      <c r="H7" s="108">
        <f>0.5%</f>
        <v>5.0000000000000001E-3</v>
      </c>
      <c r="I7" s="108">
        <f>0.57%</f>
        <v>5.6999999999999993E-3</v>
      </c>
      <c r="J7" s="108">
        <f>0.65%</f>
        <v>6.5000000000000006E-3</v>
      </c>
      <c r="K7" s="108">
        <f>0.75%</f>
        <v>7.4999999999999997E-3</v>
      </c>
    </row>
    <row r="9" spans="2:11" x14ac:dyDescent="0.25">
      <c r="B9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PMI Volumes</vt:lpstr>
      <vt:lpstr>Key Insurers  - New MI</vt:lpstr>
      <vt:lpstr>FHA Share HiLTV Refi</vt:lpstr>
      <vt:lpstr>Conv-FHA Refis</vt:lpstr>
      <vt:lpstr>FHA-Conventional</vt:lpstr>
      <vt:lpstr>PMI Premium Evolution</vt:lpstr>
      <vt:lpstr>FHA vs PMI</vt:lpstr>
      <vt:lpstr>Add-ons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Chaudhary</dc:creator>
  <cp:lastModifiedBy>Sharad Chaudhary</cp:lastModifiedBy>
  <dcterms:created xsi:type="dcterms:W3CDTF">2016-03-18T19:10:40Z</dcterms:created>
  <dcterms:modified xsi:type="dcterms:W3CDTF">2016-05-03T14:00:34Z</dcterms:modified>
</cp:coreProperties>
</file>