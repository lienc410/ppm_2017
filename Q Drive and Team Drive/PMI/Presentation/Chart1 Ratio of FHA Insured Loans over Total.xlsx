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34515" windowHeight="18705"/>
  </bookViews>
  <sheets>
    <sheet name="GNM" sheetId="2" r:id="rId1"/>
    <sheet name="FNM FHL" sheetId="3" r:id="rId2"/>
  </sheets>
  <externalReferences>
    <externalReference r:id="rId3"/>
  </externalReferences>
  <definedNames>
    <definedName name="DateToChangeLag">[1]Report!$U$12</definedName>
    <definedName name="Query_from_Agency_8" localSheetId="1" hidden="1">'FNM FHL'!$B$2:$C$41</definedName>
    <definedName name="Query_from_Agency_8" localSheetId="0" hidden="1">GNM!$B$2:$C$41</definedName>
    <definedName name="Query_from_Agency_9" localSheetId="1" hidden="1">'FNM FHL'!$G$2:$H$42</definedName>
  </definedNames>
  <calcPr calcId="145621"/>
</workbook>
</file>

<file path=xl/calcChain.xml><?xml version="1.0" encoding="utf-8"?>
<calcChain xmlns="http://schemas.openxmlformats.org/spreadsheetml/2006/main">
  <c r="D3" i="2" l="1"/>
  <c r="D4" i="2"/>
  <c r="E4" i="2" s="1"/>
  <c r="D5" i="2"/>
  <c r="E5" i="2" s="1"/>
  <c r="D6" i="2"/>
  <c r="D7" i="2"/>
  <c r="E7" i="2" s="1"/>
  <c r="D8" i="2"/>
  <c r="E8" i="2" s="1"/>
  <c r="D9" i="2"/>
  <c r="E9" i="2" s="1"/>
  <c r="D10" i="2"/>
  <c r="E10" i="2" s="1"/>
  <c r="D11" i="2"/>
  <c r="D12" i="2"/>
  <c r="E12" i="2" s="1"/>
  <c r="D13" i="2"/>
  <c r="E13" i="2" s="1"/>
  <c r="D14" i="2"/>
  <c r="D15" i="2"/>
  <c r="D16" i="2"/>
  <c r="E16" i="2" s="1"/>
  <c r="D17" i="2"/>
  <c r="E17" i="2" s="1"/>
  <c r="D18" i="2"/>
  <c r="E18" i="2" s="1"/>
  <c r="D19" i="2"/>
  <c r="D20" i="2"/>
  <c r="D21" i="2"/>
  <c r="E21" i="2" s="1"/>
  <c r="D22" i="2"/>
  <c r="D23" i="2"/>
  <c r="E23" i="2" s="1"/>
  <c r="D24" i="2"/>
  <c r="E24" i="2" s="1"/>
  <c r="D25" i="2"/>
  <c r="E25" i="2" s="1"/>
  <c r="D26" i="2"/>
  <c r="E26" i="2" s="1"/>
  <c r="D27" i="2"/>
  <c r="D28" i="2"/>
  <c r="D29" i="2"/>
  <c r="E29" i="2" s="1"/>
  <c r="D30" i="2"/>
  <c r="D31" i="2"/>
  <c r="D32" i="2"/>
  <c r="E32" i="2" s="1"/>
  <c r="D33" i="2"/>
  <c r="E33" i="2" s="1"/>
  <c r="D34" i="2"/>
  <c r="E34" i="2" s="1"/>
  <c r="D35" i="2"/>
  <c r="D36" i="2"/>
  <c r="E36" i="2" s="1"/>
  <c r="D37" i="2"/>
  <c r="E37" i="2" s="1"/>
  <c r="D38" i="2"/>
  <c r="D39" i="2"/>
  <c r="E39" i="2" s="1"/>
  <c r="D40" i="2"/>
  <c r="E40" i="2" s="1"/>
  <c r="D41" i="2"/>
  <c r="E41" i="2" s="1"/>
  <c r="E3" i="2"/>
  <c r="E6" i="2"/>
  <c r="E11" i="2"/>
  <c r="E14" i="2"/>
  <c r="E15" i="2"/>
  <c r="E19" i="2"/>
  <c r="E20" i="2"/>
  <c r="E22" i="2"/>
  <c r="E27" i="2"/>
  <c r="E28" i="2"/>
  <c r="E30" i="2"/>
  <c r="E31" i="2"/>
  <c r="E35" i="2"/>
  <c r="E38" i="2"/>
  <c r="H4" i="2" l="1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3" i="2"/>
  <c r="I9" i="2"/>
  <c r="I3" i="2"/>
  <c r="I4" i="2"/>
  <c r="I5" i="2"/>
  <c r="I6" i="2"/>
  <c r="I7" i="2"/>
  <c r="I8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</calcChain>
</file>

<file path=xl/connections.xml><?xml version="1.0" encoding="utf-8"?>
<connections xmlns="http://schemas.openxmlformats.org/spreadsheetml/2006/main">
  <connection id="1" name="GNMQuery" type="1" refreshedVersion="4" savePassword="1" saveData="1">
    <dbPr connection="DSN=Agency" command="select calcOrigMonth_LL as Asof, sum(OriginalLoanAmount) As FHA_x000d__x000a_from gnm.cello_loan_x000d__x000a_where marketTicker in ('GNSF', 'G2SF')_x000d__x000a_and loanType in ('FHA')_x000d__x000a_and UFMIPPoints &gt; 0_x000d__x000a_and loanPurposeType like ('RE-FI-%')_x000d__x000a_And calcOrigMonth_LL &gt;= 201301_x000d__x000a_group by calcOrigMonth_LL_x000d__x000a_order by calcOrigMonth_LL"/>
  </connection>
  <connection id="2" name="GNMQuery1" type="1" refreshedVersion="4" savePassword="1" saveData="1">
    <dbPr connection="DSN=Agency" command="select calcOrigMonth_LL as Asof, sum(OriginalLoanAmount) As Balance_x000d__x000a_from fhl.cello_loan_x000d__x000a_where pctMtgIns &gt; 0_x000d__x000a_and  marketTicker in ('FGLMC', 'FGU6', 'FGU9', 'FGT6')_x000d__x000a_and loanPurposeType like ('RE-FI%')_x000d__x000a_And calcOrigMonth_LL &gt;= 201301_x000d__x000a_group by calcOrigMonth_LL_x000d__x000a_order by calcOrigMonth_LL"/>
  </connection>
  <connection id="3" name="GNMQuery2" type="1" refreshedVersion="4" savePassword="1" saveData="1">
    <dbPr connection="DSN=Agency" command="select calcOrigMonth_LL as Asof, sum(OriginalLoanAmount) As Balance_x000d__x000a_from fnm.cello_loan_x000d__x000a_where pctMtgIns &gt; 0_x000d__x000a_and  marketTicker in ('FNCL', 'FNCK', 'FNCQ30', 'FNCR')_x000d__x000a_and loanPurposeType in ('RE-FI')_x000d__x000a_And calcOrigMonth_LL &gt;= 201301_x000d__x000a_group by calcOrigMonth_LL_x000d__x000a_order by calcOrigMonth_LL"/>
  </connection>
</connections>
</file>

<file path=xl/sharedStrings.xml><?xml version="1.0" encoding="utf-8"?>
<sst xmlns="http://schemas.openxmlformats.org/spreadsheetml/2006/main" count="13" uniqueCount="9">
  <si>
    <t>Asof</t>
  </si>
  <si>
    <t>Balance</t>
  </si>
  <si>
    <t>GNM FHA</t>
  </si>
  <si>
    <t>FHL</t>
  </si>
  <si>
    <t>FNM</t>
  </si>
  <si>
    <t>FHA</t>
  </si>
  <si>
    <t>FHL+FNM</t>
  </si>
  <si>
    <t>FHA %</t>
  </si>
  <si>
    <t>Plot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</si>
</sst>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/>
  </cellStyleXfs>
  <cellXfs count="7">
    <xf numFmtId="0" fontId="0" fillId="0" borderId="0" xfId="0"/>
    <xf numFmtId="9" fontId="0" fillId="0" borderId="0" xfId="2" applyFont="1"/>
    <xf numFmtId="9" fontId="4" fillId="0" borderId="0" xfId="2" applyFont="1"/>
    <xf numFmtId="0" fontId="4" fillId="0" borderId="0" xfId="0" applyFont="1"/>
    <xf numFmtId="164" fontId="4" fillId="0" borderId="0" xfId="1" applyNumberFormat="1" applyFont="1"/>
    <xf numFmtId="164" fontId="0" fillId="0" borderId="0" xfId="1" applyNumberFormat="1" applyFont="1"/>
    <xf numFmtId="9" fontId="3" fillId="3" borderId="1" xfId="2" applyFont="1" applyFill="1" applyBorder="1"/>
  </cellXfs>
  <cellStyles count="4">
    <cellStyle name="Comma" xfId="1" builtinId="3"/>
    <cellStyle name="Normal" xfId="0" builtinId="0"/>
    <cellStyle name="Normal 2 7" xfId="3"/>
    <cellStyle name="Percent" xfId="2" builtinId="5"/>
  </cellStyles>
  <dxfs count="14"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_(* #,##0_);_(* \(#,##0\);_(* &quot;-&quot;??_);_(@_)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4" formatCode="_(* #,##0_);_(* \(#,##0\);_(* &quot;-&quot;??_);_(@_)"/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1"/>
              <a:t>Ratio =</a:t>
            </a:r>
            <a:r>
              <a:rPr lang="en-US" sz="1400" b="1" i="0" u="none" strike="noStrike" baseline="0">
                <a:effectLst/>
              </a:rPr>
              <a:t>Govt/(Govt + Conv)</a:t>
            </a:r>
            <a:r>
              <a:rPr lang="en-US" sz="1400" b="1"/>
              <a:t> 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GNM!$I$2</c:f>
              <c:strCache>
                <c:ptCount val="1"/>
                <c:pt idx="0">
                  <c:v>FHA %</c:v>
                </c:pt>
              </c:strCache>
            </c:strRef>
          </c:tx>
          <c:marker>
            <c:symbol val="none"/>
          </c:marker>
          <c:cat>
            <c:numRef>
              <c:f>GNM!$H$3:$H$39</c:f>
              <c:numCache>
                <c:formatCode>General</c:formatCode>
                <c:ptCount val="37"/>
                <c:pt idx="0">
                  <c:v>201301</c:v>
                </c:pt>
                <c:pt idx="1">
                  <c:v>201302</c:v>
                </c:pt>
                <c:pt idx="2">
                  <c:v>201303</c:v>
                </c:pt>
                <c:pt idx="3">
                  <c:v>201304</c:v>
                </c:pt>
                <c:pt idx="4">
                  <c:v>201305</c:v>
                </c:pt>
                <c:pt idx="5">
                  <c:v>201306</c:v>
                </c:pt>
                <c:pt idx="6">
                  <c:v>201307</c:v>
                </c:pt>
                <c:pt idx="7">
                  <c:v>201308</c:v>
                </c:pt>
                <c:pt idx="8">
                  <c:v>201309</c:v>
                </c:pt>
                <c:pt idx="9">
                  <c:v>201310</c:v>
                </c:pt>
                <c:pt idx="10">
                  <c:v>201311</c:v>
                </c:pt>
                <c:pt idx="11">
                  <c:v>201312</c:v>
                </c:pt>
                <c:pt idx="12">
                  <c:v>201401</c:v>
                </c:pt>
                <c:pt idx="13">
                  <c:v>201402</c:v>
                </c:pt>
                <c:pt idx="14">
                  <c:v>201403</c:v>
                </c:pt>
                <c:pt idx="15">
                  <c:v>201404</c:v>
                </c:pt>
                <c:pt idx="16">
                  <c:v>201405</c:v>
                </c:pt>
                <c:pt idx="17">
                  <c:v>201406</c:v>
                </c:pt>
                <c:pt idx="18">
                  <c:v>201407</c:v>
                </c:pt>
                <c:pt idx="19">
                  <c:v>201408</c:v>
                </c:pt>
                <c:pt idx="20">
                  <c:v>201409</c:v>
                </c:pt>
                <c:pt idx="21">
                  <c:v>201410</c:v>
                </c:pt>
                <c:pt idx="22">
                  <c:v>201411</c:v>
                </c:pt>
                <c:pt idx="23">
                  <c:v>201412</c:v>
                </c:pt>
                <c:pt idx="24">
                  <c:v>201501</c:v>
                </c:pt>
                <c:pt idx="25">
                  <c:v>201502</c:v>
                </c:pt>
                <c:pt idx="26">
                  <c:v>201503</c:v>
                </c:pt>
                <c:pt idx="27">
                  <c:v>201504</c:v>
                </c:pt>
                <c:pt idx="28">
                  <c:v>201505</c:v>
                </c:pt>
                <c:pt idx="29">
                  <c:v>201506</c:v>
                </c:pt>
                <c:pt idx="30">
                  <c:v>201507</c:v>
                </c:pt>
                <c:pt idx="31">
                  <c:v>201508</c:v>
                </c:pt>
                <c:pt idx="32">
                  <c:v>201509</c:v>
                </c:pt>
                <c:pt idx="33">
                  <c:v>201510</c:v>
                </c:pt>
                <c:pt idx="34">
                  <c:v>201511</c:v>
                </c:pt>
                <c:pt idx="35">
                  <c:v>201512</c:v>
                </c:pt>
                <c:pt idx="36">
                  <c:v>201601</c:v>
                </c:pt>
              </c:numCache>
            </c:numRef>
          </c:cat>
          <c:val>
            <c:numRef>
              <c:f>GNM!$I$3:$I$39</c:f>
              <c:numCache>
                <c:formatCode>0%</c:formatCode>
                <c:ptCount val="37"/>
                <c:pt idx="0">
                  <c:v>0.56108218576561508</c:v>
                </c:pt>
                <c:pt idx="1">
                  <c:v>0.54435123166484978</c:v>
                </c:pt>
                <c:pt idx="2">
                  <c:v>0.5491015363699645</c:v>
                </c:pt>
                <c:pt idx="3">
                  <c:v>0.54995474708238923</c:v>
                </c:pt>
                <c:pt idx="4">
                  <c:v>0.56511592696605339</c:v>
                </c:pt>
                <c:pt idx="5">
                  <c:v>0.51202013492236487</c:v>
                </c:pt>
                <c:pt idx="6">
                  <c:v>0.46641497236640284</c:v>
                </c:pt>
                <c:pt idx="7">
                  <c:v>0.47058926974059806</c:v>
                </c:pt>
                <c:pt idx="8">
                  <c:v>0.47483153830078578</c:v>
                </c:pt>
                <c:pt idx="9">
                  <c:v>0.49570577850548603</c:v>
                </c:pt>
                <c:pt idx="10">
                  <c:v>0.48352741785971454</c:v>
                </c:pt>
                <c:pt idx="11">
                  <c:v>0.46453197340036273</c:v>
                </c:pt>
                <c:pt idx="12">
                  <c:v>0.47215460987256003</c:v>
                </c:pt>
                <c:pt idx="13">
                  <c:v>0.47954476434219379</c:v>
                </c:pt>
                <c:pt idx="14">
                  <c:v>0.50309362653990597</c:v>
                </c:pt>
                <c:pt idx="15">
                  <c:v>0.50877774029208744</c:v>
                </c:pt>
                <c:pt idx="16">
                  <c:v>0.52972983436886212</c:v>
                </c:pt>
                <c:pt idx="17">
                  <c:v>0.50979569807752034</c:v>
                </c:pt>
                <c:pt idx="18">
                  <c:v>0.47526183917730119</c:v>
                </c:pt>
                <c:pt idx="19">
                  <c:v>0.46476574515914998</c:v>
                </c:pt>
                <c:pt idx="20">
                  <c:v>0.45155518746256951</c:v>
                </c:pt>
                <c:pt idx="21">
                  <c:v>0.44079644574684212</c:v>
                </c:pt>
                <c:pt idx="22">
                  <c:v>0.45232557687141073</c:v>
                </c:pt>
                <c:pt idx="23">
                  <c:v>0.39990979797486242</c:v>
                </c:pt>
                <c:pt idx="24">
                  <c:v>0.40104591895184921</c:v>
                </c:pt>
                <c:pt idx="25">
                  <c:v>0.33910635512972465</c:v>
                </c:pt>
                <c:pt idx="26">
                  <c:v>0.62988967191504341</c:v>
                </c:pt>
                <c:pt idx="27">
                  <c:v>0.6886517692905646</c:v>
                </c:pt>
                <c:pt idx="28">
                  <c:v>0.72468227239715277</c:v>
                </c:pt>
                <c:pt idx="29">
                  <c:v>0.71259760676907191</c:v>
                </c:pt>
                <c:pt idx="30">
                  <c:v>0.73028220791200305</c:v>
                </c:pt>
                <c:pt idx="31">
                  <c:v>0.72261976504373038</c:v>
                </c:pt>
                <c:pt idx="32">
                  <c:v>0.7223728411805671</c:v>
                </c:pt>
                <c:pt idx="33">
                  <c:v>0.70503186677580487</c:v>
                </c:pt>
                <c:pt idx="34">
                  <c:v>0.6683954742889634</c:v>
                </c:pt>
                <c:pt idx="35">
                  <c:v>0.66625761525542504</c:v>
                </c:pt>
                <c:pt idx="36">
                  <c:v>0.68283737105935283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5159552"/>
        <c:axId val="325161344"/>
      </c:lineChart>
      <c:catAx>
        <c:axId val="325159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25161344"/>
        <c:crosses val="autoZero"/>
        <c:auto val="1"/>
        <c:lblAlgn val="ctr"/>
        <c:lblOffset val="100"/>
        <c:noMultiLvlLbl val="0"/>
      </c:catAx>
      <c:valAx>
        <c:axId val="32516134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251595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4762</xdr:colOff>
      <xdr:row>3</xdr:row>
      <xdr:rowOff>128587</xdr:rowOff>
    </xdr:from>
    <xdr:to>
      <xdr:col>19</xdr:col>
      <xdr:colOff>309562</xdr:colOff>
      <xdr:row>18</xdr:row>
      <xdr:rowOff>14287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IT\Production\Daily%20Reports\Primary%20Market\5.Market%20Concentration%20Maste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Result Combine"/>
      <sheetName val="Result-lag"/>
      <sheetName val="Pivot - lag"/>
      <sheetName val="Input-lag"/>
      <sheetName val="Pivot equal"/>
      <sheetName val="Input-equal"/>
    </sheetNames>
    <sheetDataSet>
      <sheetData sheetId="0">
        <row r="12">
          <cell r="U12">
            <v>40695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/>
    </sheetDataSet>
  </externalBook>
</externalLink>
</file>

<file path=xl/queryTables/queryTable1.xml><?xml version="1.0" encoding="utf-8"?>
<queryTable xmlns="http://schemas.openxmlformats.org/spreadsheetml/2006/main" name="Query from Agency_8" backgroundRefresh="0" adjustColumnWidth="0" connectionId="1" autoFormatId="16" applyNumberFormats="0" applyBorderFormats="0" applyFontFormats="0" applyPatternFormats="0" applyAlignmentFormats="0" applyWidthHeightFormats="0">
  <queryTableRefresh nextId="78" unboundColumnsRight="2">
    <queryTableFields count="4">
      <queryTableField id="73" name="Asof" tableColumnId="4"/>
      <queryTableField id="75" name="FHA" tableColumnId="6"/>
      <queryTableField id="76" dataBound="0" tableColumnId="7"/>
      <queryTableField id="77" dataBound="0" tableColumnId="8"/>
    </queryTableFields>
  </queryTableRefresh>
</queryTable>
</file>

<file path=xl/queryTables/queryTable2.xml><?xml version="1.0" encoding="utf-8"?>
<queryTable xmlns="http://schemas.openxmlformats.org/spreadsheetml/2006/main" name="Query from Agency_8" backgroundRefresh="0" adjustColumnWidth="0" connectionId="2" autoFormatId="16" applyNumberFormats="0" applyBorderFormats="0" applyFontFormats="0" applyPatternFormats="0" applyAlignmentFormats="0" applyWidthHeightFormats="0">
  <queryTableRefresh nextId="75">
    <queryTableFields count="2">
      <queryTableField id="73" name="Asof" tableColumnId="4"/>
      <queryTableField id="74" name="Balance" tableColumnId="5"/>
    </queryTableFields>
  </queryTableRefresh>
</queryTable>
</file>

<file path=xl/queryTables/queryTable3.xml><?xml version="1.0" encoding="utf-8"?>
<queryTable xmlns="http://schemas.openxmlformats.org/spreadsheetml/2006/main" name="Query from Agency_9" backgroundRefresh="0" adjustColumnWidth="0" connectionId="3" autoFormatId="16" applyNumberFormats="0" applyBorderFormats="0" applyFontFormats="0" applyPatternFormats="0" applyAlignmentFormats="0" applyWidthHeightFormats="0">
  <queryTableRefresh nextId="75">
    <queryTableFields count="2">
      <queryTableField id="73" name="Asof" tableColumnId="4"/>
      <queryTableField id="74" name="Balanc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id="2" name="CurrentMtgRatesDataTable934" displayName="CurrentMtgRatesDataTable934" ref="B2:E41" tableType="queryTable" totalsRowShown="0" headerRowDxfId="13" dataDxfId="12">
  <tableColumns count="4">
    <tableColumn id="4" uniqueName="4" name="Asof" queryTableFieldId="73" dataDxfId="11"/>
    <tableColumn id="6" uniqueName="6" name="FHA" queryTableFieldId="75" dataDxfId="10" dataCellStyle="Comma"/>
    <tableColumn id="7" uniqueName="7" name="FHL+FNM" queryTableFieldId="76" dataDxfId="9" dataCellStyle="Comma">
      <calculatedColumnFormula>VLOOKUP(CurrentMtgRatesDataTable934[[#This Row],[Asof]],'FNM FHL'!B:C,2,0)+VLOOKUP(CurrentMtgRatesDataTable934[[#This Row],[Asof]],'FNM FHL'!G:H,2,0)</calculatedColumnFormula>
    </tableColumn>
    <tableColumn id="8" uniqueName="8" name="FHA %" queryTableFieldId="77" dataDxfId="8" dataCellStyle="Percent">
      <calculatedColumnFormula>CurrentMtgRatesDataTable934[[#This Row],[FHA]]/(CurrentMtgRatesDataTable934[[#This Row],[FHA]]+CurrentMtgRatesDataTable934[[#This Row],[FHL+FNM]])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3" name="CurrentMtgRatesDataTable9344" displayName="CurrentMtgRatesDataTable9344" ref="B2:C41" tableType="queryTable" totalsRowShown="0" headerRowDxfId="7" dataDxfId="6">
  <tableColumns count="2">
    <tableColumn id="4" uniqueName="4" name="Asof" queryTableFieldId="73" dataDxfId="5"/>
    <tableColumn id="5" uniqueName="5" name="Balance" queryTableFieldId="74" dataDxfId="4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4" name="CurrentMtgRatesDataTable9345" displayName="CurrentMtgRatesDataTable9345" ref="G2:H42" tableType="queryTable" totalsRowShown="0" headerRowDxfId="3" dataDxfId="2">
  <tableColumns count="2">
    <tableColumn id="4" uniqueName="4" name="Asof" queryTableFieldId="73" dataDxfId="1"/>
    <tableColumn id="5" uniqueName="5" name="Balance" queryTableFieldId="74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abSelected="1" workbookViewId="0">
      <selection activeCell="AB27" sqref="AB27"/>
    </sheetView>
  </sheetViews>
  <sheetFormatPr defaultRowHeight="15" x14ac:dyDescent="0.25"/>
  <cols>
    <col min="3" max="3" width="17" style="5" bestFit="1" customWidth="1"/>
    <col min="4" max="4" width="16" style="5" bestFit="1" customWidth="1"/>
    <col min="5" max="5" width="9.140625" style="1"/>
    <col min="9" max="9" width="9.140625" style="1"/>
  </cols>
  <sheetData>
    <row r="1" spans="1:9" x14ac:dyDescent="0.25">
      <c r="H1" t="s">
        <v>8</v>
      </c>
    </row>
    <row r="2" spans="1:9" x14ac:dyDescent="0.25">
      <c r="A2" t="s">
        <v>2</v>
      </c>
      <c r="B2" s="3" t="s">
        <v>0</v>
      </c>
      <c r="C2" s="4" t="s">
        <v>5</v>
      </c>
      <c r="D2" s="4" t="s">
        <v>6</v>
      </c>
      <c r="E2" s="2" t="s">
        <v>7</v>
      </c>
      <c r="I2" s="6" t="s">
        <v>7</v>
      </c>
    </row>
    <row r="3" spans="1:9" x14ac:dyDescent="0.25">
      <c r="B3">
        <v>201301</v>
      </c>
      <c r="C3" s="4">
        <v>10454472000</v>
      </c>
      <c r="D3" s="4">
        <f>VLOOKUP(CurrentMtgRatesDataTable934[[#This Row],[Asof]],'FNM FHL'!B:C,2,0)+VLOOKUP(CurrentMtgRatesDataTable934[[#This Row],[Asof]],'FNM FHL'!G:H,2,0)</f>
        <v>8178220794.79</v>
      </c>
      <c r="E3" s="2">
        <f>CurrentMtgRatesDataTable934[[#This Row],[FHA]]/(CurrentMtgRatesDataTable934[[#This Row],[FHA]]+CurrentMtgRatesDataTable934[[#This Row],[FHL+FNM]])</f>
        <v>0.56108218576561508</v>
      </c>
      <c r="H3">
        <f>CurrentMtgRatesDataTable934[[#This Row],[Asof]]</f>
        <v>201301</v>
      </c>
      <c r="I3" s="1">
        <f>CurrentMtgRatesDataTable934[[#This Row],[FHA %]]</f>
        <v>0.56108218576561508</v>
      </c>
    </row>
    <row r="4" spans="1:9" x14ac:dyDescent="0.25">
      <c r="B4">
        <v>201302</v>
      </c>
      <c r="C4" s="4">
        <v>10339094000</v>
      </c>
      <c r="D4" s="4">
        <f>VLOOKUP(CurrentMtgRatesDataTable934[[#This Row],[Asof]],'FNM FHL'!B:C,2,0)+VLOOKUP(CurrentMtgRatesDataTable934[[#This Row],[Asof]],'FNM FHL'!G:H,2,0)</f>
        <v>8654330463.0600014</v>
      </c>
      <c r="E4" s="2">
        <f>CurrentMtgRatesDataTable934[[#This Row],[FHA]]/(CurrentMtgRatesDataTable934[[#This Row],[FHA]]+CurrentMtgRatesDataTable934[[#This Row],[FHL+FNM]])</f>
        <v>0.54435123166484978</v>
      </c>
      <c r="H4">
        <f>CurrentMtgRatesDataTable934[[#This Row],[Asof]]</f>
        <v>201302</v>
      </c>
      <c r="I4" s="1">
        <f>CurrentMtgRatesDataTable934[[#This Row],[FHA %]]</f>
        <v>0.54435123166484978</v>
      </c>
    </row>
    <row r="5" spans="1:9" x14ac:dyDescent="0.25">
      <c r="B5">
        <v>201303</v>
      </c>
      <c r="C5" s="4">
        <v>9095945401</v>
      </c>
      <c r="D5" s="4">
        <f>VLOOKUP(CurrentMtgRatesDataTable934[[#This Row],[Asof]],'FNM FHL'!B:C,2,0)+VLOOKUP(CurrentMtgRatesDataTable934[[#This Row],[Asof]],'FNM FHL'!G:H,2,0)</f>
        <v>7469197470.6300001</v>
      </c>
      <c r="E5" s="2">
        <f>CurrentMtgRatesDataTable934[[#This Row],[FHA]]/(CurrentMtgRatesDataTable934[[#This Row],[FHA]]+CurrentMtgRatesDataTable934[[#This Row],[FHL+FNM]])</f>
        <v>0.5491015363699645</v>
      </c>
      <c r="H5">
        <f>CurrentMtgRatesDataTable934[[#This Row],[Asof]]</f>
        <v>201303</v>
      </c>
      <c r="I5" s="1">
        <f>CurrentMtgRatesDataTable934[[#This Row],[FHA %]]</f>
        <v>0.5491015363699645</v>
      </c>
    </row>
    <row r="6" spans="1:9" x14ac:dyDescent="0.25">
      <c r="B6">
        <v>201304</v>
      </c>
      <c r="C6" s="4">
        <v>9144782000</v>
      </c>
      <c r="D6" s="4">
        <f>VLOOKUP(CurrentMtgRatesDataTable934[[#This Row],[Asof]],'FNM FHL'!B:C,2,0)+VLOOKUP(CurrentMtgRatesDataTable934[[#This Row],[Asof]],'FNM FHL'!G:H,2,0)</f>
        <v>7483462502.8699999</v>
      </c>
      <c r="E6" s="2">
        <f>CurrentMtgRatesDataTable934[[#This Row],[FHA]]/(CurrentMtgRatesDataTable934[[#This Row],[FHA]]+CurrentMtgRatesDataTable934[[#This Row],[FHL+FNM]])</f>
        <v>0.54995474708238923</v>
      </c>
      <c r="H6">
        <f>CurrentMtgRatesDataTable934[[#This Row],[Asof]]</f>
        <v>201304</v>
      </c>
      <c r="I6" s="1">
        <f>CurrentMtgRatesDataTable934[[#This Row],[FHA %]]</f>
        <v>0.54995474708238923</v>
      </c>
    </row>
    <row r="7" spans="1:9" x14ac:dyDescent="0.25">
      <c r="B7">
        <v>201305</v>
      </c>
      <c r="C7" s="4">
        <v>9333706425</v>
      </c>
      <c r="D7" s="4">
        <f>VLOOKUP(CurrentMtgRatesDataTable934[[#This Row],[Asof]],'FNM FHL'!B:C,2,0)+VLOOKUP(CurrentMtgRatesDataTable934[[#This Row],[Asof]],'FNM FHL'!G:H,2,0)</f>
        <v>7182739103.46</v>
      </c>
      <c r="E7" s="2">
        <f>CurrentMtgRatesDataTable934[[#This Row],[FHA]]/(CurrentMtgRatesDataTable934[[#This Row],[FHA]]+CurrentMtgRatesDataTable934[[#This Row],[FHL+FNM]])</f>
        <v>0.56511592696605339</v>
      </c>
      <c r="H7">
        <f>CurrentMtgRatesDataTable934[[#This Row],[Asof]]</f>
        <v>201305</v>
      </c>
      <c r="I7" s="1">
        <f>CurrentMtgRatesDataTable934[[#This Row],[FHA %]]</f>
        <v>0.56511592696605339</v>
      </c>
    </row>
    <row r="8" spans="1:9" x14ac:dyDescent="0.25">
      <c r="B8">
        <v>201306</v>
      </c>
      <c r="C8" s="4">
        <v>7456124024</v>
      </c>
      <c r="D8" s="4">
        <f>VLOOKUP(CurrentMtgRatesDataTable934[[#This Row],[Asof]],'FNM FHL'!B:C,2,0)+VLOOKUP(CurrentMtgRatesDataTable934[[#This Row],[Asof]],'FNM FHL'!G:H,2,0)</f>
        <v>7106045538.1999998</v>
      </c>
      <c r="E8" s="2">
        <f>CurrentMtgRatesDataTable934[[#This Row],[FHA]]/(CurrentMtgRatesDataTable934[[#This Row],[FHA]]+CurrentMtgRatesDataTable934[[#This Row],[FHL+FNM]])</f>
        <v>0.51202013492236487</v>
      </c>
      <c r="H8">
        <f>CurrentMtgRatesDataTable934[[#This Row],[Asof]]</f>
        <v>201306</v>
      </c>
      <c r="I8" s="1">
        <f>CurrentMtgRatesDataTable934[[#This Row],[FHA %]]</f>
        <v>0.51202013492236487</v>
      </c>
    </row>
    <row r="9" spans="1:9" x14ac:dyDescent="0.25">
      <c r="B9">
        <v>201307</v>
      </c>
      <c r="C9" s="4">
        <v>5340629755</v>
      </c>
      <c r="D9" s="4">
        <f>VLOOKUP(CurrentMtgRatesDataTable934[[#This Row],[Asof]],'FNM FHL'!B:C,2,0)+VLOOKUP(CurrentMtgRatesDataTable934[[#This Row],[Asof]],'FNM FHL'!G:H,2,0)</f>
        <v>6109752568.5</v>
      </c>
      <c r="E9" s="2">
        <f>CurrentMtgRatesDataTable934[[#This Row],[FHA]]/(CurrentMtgRatesDataTable934[[#This Row],[FHA]]+CurrentMtgRatesDataTable934[[#This Row],[FHL+FNM]])</f>
        <v>0.46641497236640284</v>
      </c>
      <c r="H9">
        <f>CurrentMtgRatesDataTable934[[#This Row],[Asof]]</f>
        <v>201307</v>
      </c>
      <c r="I9" s="1">
        <f>CurrentMtgRatesDataTable934[[#This Row],[FHA %]]</f>
        <v>0.46641497236640284</v>
      </c>
    </row>
    <row r="10" spans="1:9" x14ac:dyDescent="0.25">
      <c r="B10">
        <v>201308</v>
      </c>
      <c r="C10" s="4">
        <v>4366669252</v>
      </c>
      <c r="D10" s="4">
        <f>VLOOKUP(CurrentMtgRatesDataTable934[[#This Row],[Asof]],'FNM FHL'!B:C,2,0)+VLOOKUP(CurrentMtgRatesDataTable934[[#This Row],[Asof]],'FNM FHL'!G:H,2,0)</f>
        <v>4912482511.0799999</v>
      </c>
      <c r="E10" s="2">
        <f>CurrentMtgRatesDataTable934[[#This Row],[FHA]]/(CurrentMtgRatesDataTable934[[#This Row],[FHA]]+CurrentMtgRatesDataTable934[[#This Row],[FHL+FNM]])</f>
        <v>0.47058926974059806</v>
      </c>
      <c r="H10">
        <f>CurrentMtgRatesDataTable934[[#This Row],[Asof]]</f>
        <v>201308</v>
      </c>
      <c r="I10" s="1">
        <f>CurrentMtgRatesDataTable934[[#This Row],[FHA %]]</f>
        <v>0.47058926974059806</v>
      </c>
    </row>
    <row r="11" spans="1:9" x14ac:dyDescent="0.25">
      <c r="B11">
        <v>201309</v>
      </c>
      <c r="C11" s="4">
        <v>3269639789</v>
      </c>
      <c r="D11" s="4">
        <f>VLOOKUP(CurrentMtgRatesDataTable934[[#This Row],[Asof]],'FNM FHL'!B:C,2,0)+VLOOKUP(CurrentMtgRatesDataTable934[[#This Row],[Asof]],'FNM FHL'!G:H,2,0)</f>
        <v>3616254523.54</v>
      </c>
      <c r="E11" s="2">
        <f>CurrentMtgRatesDataTable934[[#This Row],[FHA]]/(CurrentMtgRatesDataTable934[[#This Row],[FHA]]+CurrentMtgRatesDataTable934[[#This Row],[FHL+FNM]])</f>
        <v>0.47483153830078578</v>
      </c>
      <c r="H11">
        <f>CurrentMtgRatesDataTable934[[#This Row],[Asof]]</f>
        <v>201309</v>
      </c>
      <c r="I11" s="1">
        <f>CurrentMtgRatesDataTable934[[#This Row],[FHA %]]</f>
        <v>0.47483153830078578</v>
      </c>
    </row>
    <row r="12" spans="1:9" x14ac:dyDescent="0.25">
      <c r="B12">
        <v>201310</v>
      </c>
      <c r="C12" s="4">
        <v>2537899121</v>
      </c>
      <c r="D12" s="4">
        <f>VLOOKUP(CurrentMtgRatesDataTable934[[#This Row],[Asof]],'FNM FHL'!B:C,2,0)+VLOOKUP(CurrentMtgRatesDataTable934[[#This Row],[Asof]],'FNM FHL'!G:H,2,0)</f>
        <v>2581869965.9200001</v>
      </c>
      <c r="E12" s="2">
        <f>CurrentMtgRatesDataTable934[[#This Row],[FHA]]/(CurrentMtgRatesDataTable934[[#This Row],[FHA]]+CurrentMtgRatesDataTable934[[#This Row],[FHL+FNM]])</f>
        <v>0.49570577850548603</v>
      </c>
      <c r="H12">
        <f>CurrentMtgRatesDataTable934[[#This Row],[Asof]]</f>
        <v>201310</v>
      </c>
      <c r="I12" s="1">
        <f>CurrentMtgRatesDataTable934[[#This Row],[FHA %]]</f>
        <v>0.49570577850548603</v>
      </c>
    </row>
    <row r="13" spans="1:9" x14ac:dyDescent="0.25">
      <c r="B13">
        <v>201311</v>
      </c>
      <c r="C13" s="4">
        <v>2307580910</v>
      </c>
      <c r="D13" s="4">
        <f>VLOOKUP(CurrentMtgRatesDataTable934[[#This Row],[Asof]],'FNM FHL'!B:C,2,0)+VLOOKUP(CurrentMtgRatesDataTable934[[#This Row],[Asof]],'FNM FHL'!G:H,2,0)</f>
        <v>2464808048.2399998</v>
      </c>
      <c r="E13" s="2">
        <f>CurrentMtgRatesDataTable934[[#This Row],[FHA]]/(CurrentMtgRatesDataTable934[[#This Row],[FHA]]+CurrentMtgRatesDataTable934[[#This Row],[FHL+FNM]])</f>
        <v>0.48352741785971454</v>
      </c>
      <c r="H13">
        <f>CurrentMtgRatesDataTable934[[#This Row],[Asof]]</f>
        <v>201311</v>
      </c>
      <c r="I13" s="1">
        <f>CurrentMtgRatesDataTable934[[#This Row],[FHA %]]</f>
        <v>0.48352741785971454</v>
      </c>
    </row>
    <row r="14" spans="1:9" x14ac:dyDescent="0.25">
      <c r="B14">
        <v>201312</v>
      </c>
      <c r="C14" s="4">
        <v>2117115000</v>
      </c>
      <c r="D14" s="4">
        <f>VLOOKUP(CurrentMtgRatesDataTable934[[#This Row],[Asof]],'FNM FHL'!B:C,2,0)+VLOOKUP(CurrentMtgRatesDataTable934[[#This Row],[Asof]],'FNM FHL'!G:H,2,0)</f>
        <v>2440407670.6199999</v>
      </c>
      <c r="E14" s="2">
        <f>CurrentMtgRatesDataTable934[[#This Row],[FHA]]/(CurrentMtgRatesDataTable934[[#This Row],[FHA]]+CurrentMtgRatesDataTable934[[#This Row],[FHL+FNM]])</f>
        <v>0.46453197340036273</v>
      </c>
      <c r="H14">
        <f>CurrentMtgRatesDataTable934[[#This Row],[Asof]]</f>
        <v>201312</v>
      </c>
      <c r="I14" s="1">
        <f>CurrentMtgRatesDataTable934[[#This Row],[FHA %]]</f>
        <v>0.46453197340036273</v>
      </c>
    </row>
    <row r="15" spans="1:9" x14ac:dyDescent="0.25">
      <c r="B15">
        <v>201401</v>
      </c>
      <c r="C15" s="4">
        <v>2051680000</v>
      </c>
      <c r="D15" s="4">
        <f>VLOOKUP(CurrentMtgRatesDataTable934[[#This Row],[Asof]],'FNM FHL'!B:C,2,0)+VLOOKUP(CurrentMtgRatesDataTable934[[#This Row],[Asof]],'FNM FHL'!G:H,2,0)</f>
        <v>2293676281.8199997</v>
      </c>
      <c r="E15" s="2">
        <f>CurrentMtgRatesDataTable934[[#This Row],[FHA]]/(CurrentMtgRatesDataTable934[[#This Row],[FHA]]+CurrentMtgRatesDataTable934[[#This Row],[FHL+FNM]])</f>
        <v>0.47215460987256003</v>
      </c>
      <c r="H15">
        <f>CurrentMtgRatesDataTable934[[#This Row],[Asof]]</f>
        <v>201401</v>
      </c>
      <c r="I15" s="1">
        <f>CurrentMtgRatesDataTable934[[#This Row],[FHA %]]</f>
        <v>0.47215460987256003</v>
      </c>
    </row>
    <row r="16" spans="1:9" x14ac:dyDescent="0.25">
      <c r="B16">
        <v>201402</v>
      </c>
      <c r="C16" s="4">
        <v>1666062000</v>
      </c>
      <c r="D16" s="4">
        <f>VLOOKUP(CurrentMtgRatesDataTable934[[#This Row],[Asof]],'FNM FHL'!B:C,2,0)+VLOOKUP(CurrentMtgRatesDataTable934[[#This Row],[Asof]],'FNM FHL'!G:H,2,0)</f>
        <v>1808195512.3</v>
      </c>
      <c r="E16" s="2">
        <f>CurrentMtgRatesDataTable934[[#This Row],[FHA]]/(CurrentMtgRatesDataTable934[[#This Row],[FHA]]+CurrentMtgRatesDataTable934[[#This Row],[FHL+FNM]])</f>
        <v>0.47954476434219379</v>
      </c>
      <c r="H16">
        <f>CurrentMtgRatesDataTable934[[#This Row],[Asof]]</f>
        <v>201402</v>
      </c>
      <c r="I16" s="1">
        <f>CurrentMtgRatesDataTable934[[#This Row],[FHA %]]</f>
        <v>0.47954476434219379</v>
      </c>
    </row>
    <row r="17" spans="2:9" x14ac:dyDescent="0.25">
      <c r="B17">
        <v>201403</v>
      </c>
      <c r="C17" s="4">
        <v>1586390000</v>
      </c>
      <c r="D17" s="4">
        <f>VLOOKUP(CurrentMtgRatesDataTable934[[#This Row],[Asof]],'FNM FHL'!B:C,2,0)+VLOOKUP(CurrentMtgRatesDataTable934[[#This Row],[Asof]],'FNM FHL'!G:H,2,0)</f>
        <v>1566879920.97</v>
      </c>
      <c r="E17" s="2">
        <f>CurrentMtgRatesDataTable934[[#This Row],[FHA]]/(CurrentMtgRatesDataTable934[[#This Row],[FHA]]+CurrentMtgRatesDataTable934[[#This Row],[FHL+FNM]])</f>
        <v>0.50309362653990597</v>
      </c>
      <c r="H17">
        <f>CurrentMtgRatesDataTable934[[#This Row],[Asof]]</f>
        <v>201403</v>
      </c>
      <c r="I17" s="1">
        <f>CurrentMtgRatesDataTable934[[#This Row],[FHA %]]</f>
        <v>0.50309362653990597</v>
      </c>
    </row>
    <row r="18" spans="2:9" x14ac:dyDescent="0.25">
      <c r="B18">
        <v>201404</v>
      </c>
      <c r="C18" s="4">
        <v>1806080000</v>
      </c>
      <c r="D18" s="4">
        <f>VLOOKUP(CurrentMtgRatesDataTable934[[#This Row],[Asof]],'FNM FHL'!B:C,2,0)+VLOOKUP(CurrentMtgRatesDataTable934[[#This Row],[Asof]],'FNM FHL'!G:H,2,0)</f>
        <v>1743760838.0899999</v>
      </c>
      <c r="E18" s="2">
        <f>CurrentMtgRatesDataTable934[[#This Row],[FHA]]/(CurrentMtgRatesDataTable934[[#This Row],[FHA]]+CurrentMtgRatesDataTable934[[#This Row],[FHL+FNM]])</f>
        <v>0.50877774029208744</v>
      </c>
      <c r="H18">
        <f>CurrentMtgRatesDataTable934[[#This Row],[Asof]]</f>
        <v>201404</v>
      </c>
      <c r="I18" s="1">
        <f>CurrentMtgRatesDataTable934[[#This Row],[FHA %]]</f>
        <v>0.50877774029208744</v>
      </c>
    </row>
    <row r="19" spans="2:9" x14ac:dyDescent="0.25">
      <c r="B19">
        <v>201405</v>
      </c>
      <c r="C19" s="4">
        <v>1835035000</v>
      </c>
      <c r="D19" s="4">
        <f>VLOOKUP(CurrentMtgRatesDataTable934[[#This Row],[Asof]],'FNM FHL'!B:C,2,0)+VLOOKUP(CurrentMtgRatesDataTable934[[#This Row],[Asof]],'FNM FHL'!G:H,2,0)</f>
        <v>1629060999.4000001</v>
      </c>
      <c r="E19" s="2">
        <f>CurrentMtgRatesDataTable934[[#This Row],[FHA]]/(CurrentMtgRatesDataTable934[[#This Row],[FHA]]+CurrentMtgRatesDataTable934[[#This Row],[FHL+FNM]])</f>
        <v>0.52972983436886212</v>
      </c>
      <c r="H19">
        <f>CurrentMtgRatesDataTable934[[#This Row],[Asof]]</f>
        <v>201405</v>
      </c>
      <c r="I19" s="1">
        <f>CurrentMtgRatesDataTable934[[#This Row],[FHA %]]</f>
        <v>0.52972983436886212</v>
      </c>
    </row>
    <row r="20" spans="2:9" x14ac:dyDescent="0.25">
      <c r="B20">
        <v>201406</v>
      </c>
      <c r="C20" s="4">
        <v>1702196000</v>
      </c>
      <c r="D20" s="4">
        <f>VLOOKUP(CurrentMtgRatesDataTable934[[#This Row],[Asof]],'FNM FHL'!B:C,2,0)+VLOOKUP(CurrentMtgRatesDataTable934[[#This Row],[Asof]],'FNM FHL'!G:H,2,0)</f>
        <v>1636780783.0900002</v>
      </c>
      <c r="E20" s="2">
        <f>CurrentMtgRatesDataTable934[[#This Row],[FHA]]/(CurrentMtgRatesDataTable934[[#This Row],[FHA]]+CurrentMtgRatesDataTable934[[#This Row],[FHL+FNM]])</f>
        <v>0.50979569807752034</v>
      </c>
      <c r="H20">
        <f>CurrentMtgRatesDataTable934[[#This Row],[Asof]]</f>
        <v>201406</v>
      </c>
      <c r="I20" s="1">
        <f>CurrentMtgRatesDataTable934[[#This Row],[FHA %]]</f>
        <v>0.50979569807752034</v>
      </c>
    </row>
    <row r="21" spans="2:9" x14ac:dyDescent="0.25">
      <c r="B21">
        <v>201407</v>
      </c>
      <c r="C21" s="4">
        <v>1796755000</v>
      </c>
      <c r="D21" s="4">
        <f>VLOOKUP(CurrentMtgRatesDataTable934[[#This Row],[Asof]],'FNM FHL'!B:C,2,0)+VLOOKUP(CurrentMtgRatesDataTable934[[#This Row],[Asof]],'FNM FHL'!G:H,2,0)</f>
        <v>1983803109</v>
      </c>
      <c r="E21" s="2">
        <f>CurrentMtgRatesDataTable934[[#This Row],[FHA]]/(CurrentMtgRatesDataTable934[[#This Row],[FHA]]+CurrentMtgRatesDataTable934[[#This Row],[FHL+FNM]])</f>
        <v>0.47526183917730119</v>
      </c>
      <c r="H21">
        <f>CurrentMtgRatesDataTable934[[#This Row],[Asof]]</f>
        <v>201407</v>
      </c>
      <c r="I21" s="1">
        <f>CurrentMtgRatesDataTable934[[#This Row],[FHA %]]</f>
        <v>0.47526183917730119</v>
      </c>
    </row>
    <row r="22" spans="2:9" x14ac:dyDescent="0.25">
      <c r="B22">
        <v>201408</v>
      </c>
      <c r="C22" s="4">
        <v>1892874000</v>
      </c>
      <c r="D22" s="4">
        <f>VLOOKUP(CurrentMtgRatesDataTable934[[#This Row],[Asof]],'FNM FHL'!B:C,2,0)+VLOOKUP(CurrentMtgRatesDataTable934[[#This Row],[Asof]],'FNM FHL'!G:H,2,0)</f>
        <v>2179874518.4000001</v>
      </c>
      <c r="E22" s="2">
        <f>CurrentMtgRatesDataTable934[[#This Row],[FHA]]/(CurrentMtgRatesDataTable934[[#This Row],[FHA]]+CurrentMtgRatesDataTable934[[#This Row],[FHL+FNM]])</f>
        <v>0.46476574515914998</v>
      </c>
      <c r="H22">
        <f>CurrentMtgRatesDataTable934[[#This Row],[Asof]]</f>
        <v>201408</v>
      </c>
      <c r="I22" s="1">
        <f>CurrentMtgRatesDataTable934[[#This Row],[FHA %]]</f>
        <v>0.46476574515914998</v>
      </c>
    </row>
    <row r="23" spans="2:9" x14ac:dyDescent="0.25">
      <c r="B23">
        <v>201409</v>
      </c>
      <c r="C23" s="4">
        <v>1892948000</v>
      </c>
      <c r="D23" s="4">
        <f>VLOOKUP(CurrentMtgRatesDataTable934[[#This Row],[Asof]],'FNM FHL'!B:C,2,0)+VLOOKUP(CurrentMtgRatesDataTable934[[#This Row],[Asof]],'FNM FHL'!G:H,2,0)</f>
        <v>2299115456.5999999</v>
      </c>
      <c r="E23" s="2">
        <f>CurrentMtgRatesDataTable934[[#This Row],[FHA]]/(CurrentMtgRatesDataTable934[[#This Row],[FHA]]+CurrentMtgRatesDataTable934[[#This Row],[FHL+FNM]])</f>
        <v>0.45155518746256951</v>
      </c>
      <c r="H23">
        <f>CurrentMtgRatesDataTable934[[#This Row],[Asof]]</f>
        <v>201409</v>
      </c>
      <c r="I23" s="1">
        <f>CurrentMtgRatesDataTable934[[#This Row],[FHA %]]</f>
        <v>0.45155518746256951</v>
      </c>
    </row>
    <row r="24" spans="2:9" x14ac:dyDescent="0.25">
      <c r="B24">
        <v>201410</v>
      </c>
      <c r="C24" s="4">
        <v>1969488000</v>
      </c>
      <c r="D24" s="4">
        <f>VLOOKUP(CurrentMtgRatesDataTable934[[#This Row],[Asof]],'FNM FHL'!B:C,2,0)+VLOOKUP(CurrentMtgRatesDataTable934[[#This Row],[Asof]],'FNM FHL'!G:H,2,0)</f>
        <v>2498533507.4400001</v>
      </c>
      <c r="E24" s="2">
        <f>CurrentMtgRatesDataTable934[[#This Row],[FHA]]/(CurrentMtgRatesDataTable934[[#This Row],[FHA]]+CurrentMtgRatesDataTable934[[#This Row],[FHL+FNM]])</f>
        <v>0.44079644574684212</v>
      </c>
      <c r="H24">
        <f>CurrentMtgRatesDataTable934[[#This Row],[Asof]]</f>
        <v>201410</v>
      </c>
      <c r="I24" s="1">
        <f>CurrentMtgRatesDataTable934[[#This Row],[FHA %]]</f>
        <v>0.44079644574684212</v>
      </c>
    </row>
    <row r="25" spans="2:9" x14ac:dyDescent="0.25">
      <c r="B25">
        <v>201411</v>
      </c>
      <c r="C25" s="4">
        <v>2109369000</v>
      </c>
      <c r="D25" s="4">
        <f>VLOOKUP(CurrentMtgRatesDataTable934[[#This Row],[Asof]],'FNM FHL'!B:C,2,0)+VLOOKUP(CurrentMtgRatesDataTable934[[#This Row],[Asof]],'FNM FHL'!G:H,2,0)</f>
        <v>2554017524.79</v>
      </c>
      <c r="E25" s="2">
        <f>CurrentMtgRatesDataTable934[[#This Row],[FHA]]/(CurrentMtgRatesDataTable934[[#This Row],[FHA]]+CurrentMtgRatesDataTable934[[#This Row],[FHL+FNM]])</f>
        <v>0.45232557687141073</v>
      </c>
      <c r="H25">
        <f>CurrentMtgRatesDataTable934[[#This Row],[Asof]]</f>
        <v>201411</v>
      </c>
      <c r="I25" s="1">
        <f>CurrentMtgRatesDataTable934[[#This Row],[FHA %]]</f>
        <v>0.45232557687141073</v>
      </c>
    </row>
    <row r="26" spans="2:9" x14ac:dyDescent="0.25">
      <c r="B26">
        <v>201412</v>
      </c>
      <c r="C26" s="4">
        <v>2026558000</v>
      </c>
      <c r="D26" s="4">
        <f>VLOOKUP(CurrentMtgRatesDataTable934[[#This Row],[Asof]],'FNM FHL'!B:C,2,0)+VLOOKUP(CurrentMtgRatesDataTable934[[#This Row],[Asof]],'FNM FHL'!G:H,2,0)</f>
        <v>3040979755.4200001</v>
      </c>
      <c r="E26" s="2">
        <f>CurrentMtgRatesDataTable934[[#This Row],[FHA]]/(CurrentMtgRatesDataTable934[[#This Row],[FHA]]+CurrentMtgRatesDataTable934[[#This Row],[FHL+FNM]])</f>
        <v>0.39990979797486242</v>
      </c>
      <c r="H26">
        <f>CurrentMtgRatesDataTable934[[#This Row],[Asof]]</f>
        <v>201412</v>
      </c>
      <c r="I26" s="1">
        <f>CurrentMtgRatesDataTable934[[#This Row],[FHA %]]</f>
        <v>0.39990979797486242</v>
      </c>
    </row>
    <row r="27" spans="2:9" x14ac:dyDescent="0.25">
      <c r="B27">
        <v>201501</v>
      </c>
      <c r="C27" s="4">
        <v>2230974000</v>
      </c>
      <c r="D27" s="4">
        <f>VLOOKUP(CurrentMtgRatesDataTable934[[#This Row],[Asof]],'FNM FHL'!B:C,2,0)+VLOOKUP(CurrentMtgRatesDataTable934[[#This Row],[Asof]],'FNM FHL'!G:H,2,0)</f>
        <v>3331915171.9699998</v>
      </c>
      <c r="E27" s="2">
        <f>CurrentMtgRatesDataTable934[[#This Row],[FHA]]/(CurrentMtgRatesDataTable934[[#This Row],[FHA]]+CurrentMtgRatesDataTable934[[#This Row],[FHL+FNM]])</f>
        <v>0.40104591895184921</v>
      </c>
      <c r="H27">
        <f>CurrentMtgRatesDataTable934[[#This Row],[Asof]]</f>
        <v>201501</v>
      </c>
      <c r="I27" s="1">
        <f>CurrentMtgRatesDataTable934[[#This Row],[FHA %]]</f>
        <v>0.40104591895184921</v>
      </c>
    </row>
    <row r="28" spans="2:9" x14ac:dyDescent="0.25">
      <c r="B28">
        <v>201502</v>
      </c>
      <c r="C28" s="4">
        <v>1682065000</v>
      </c>
      <c r="D28" s="4">
        <f>VLOOKUP(CurrentMtgRatesDataTable934[[#This Row],[Asof]],'FNM FHL'!B:C,2,0)+VLOOKUP(CurrentMtgRatesDataTable934[[#This Row],[Asof]],'FNM FHL'!G:H,2,0)</f>
        <v>3278222457.1800003</v>
      </c>
      <c r="E28" s="2">
        <f>CurrentMtgRatesDataTable934[[#This Row],[FHA]]/(CurrentMtgRatesDataTable934[[#This Row],[FHA]]+CurrentMtgRatesDataTable934[[#This Row],[FHL+FNM]])</f>
        <v>0.33910635512972465</v>
      </c>
      <c r="H28">
        <f>CurrentMtgRatesDataTable934[[#This Row],[Asof]]</f>
        <v>201502</v>
      </c>
      <c r="I28" s="1">
        <f>CurrentMtgRatesDataTable934[[#This Row],[FHA %]]</f>
        <v>0.33910635512972465</v>
      </c>
    </row>
    <row r="29" spans="2:9" x14ac:dyDescent="0.25">
      <c r="B29">
        <v>201503</v>
      </c>
      <c r="C29" s="4">
        <v>8250632000</v>
      </c>
      <c r="D29" s="4">
        <f>VLOOKUP(CurrentMtgRatesDataTable934[[#This Row],[Asof]],'FNM FHL'!B:C,2,0)+VLOOKUP(CurrentMtgRatesDataTable934[[#This Row],[Asof]],'FNM FHL'!G:H,2,0)</f>
        <v>4847903136.9799995</v>
      </c>
      <c r="E29" s="2">
        <f>CurrentMtgRatesDataTable934[[#This Row],[FHA]]/(CurrentMtgRatesDataTable934[[#This Row],[FHA]]+CurrentMtgRatesDataTable934[[#This Row],[FHL+FNM]])</f>
        <v>0.62988967191504341</v>
      </c>
      <c r="H29">
        <f>CurrentMtgRatesDataTable934[[#This Row],[Asof]]</f>
        <v>201503</v>
      </c>
      <c r="I29" s="1">
        <f>CurrentMtgRatesDataTable934[[#This Row],[FHA %]]</f>
        <v>0.62988967191504341</v>
      </c>
    </row>
    <row r="30" spans="2:9" x14ac:dyDescent="0.25">
      <c r="B30">
        <v>201504</v>
      </c>
      <c r="C30" s="4">
        <v>11192804000</v>
      </c>
      <c r="D30" s="4">
        <f>VLOOKUP(CurrentMtgRatesDataTable934[[#This Row],[Asof]],'FNM FHL'!B:C,2,0)+VLOOKUP(CurrentMtgRatesDataTable934[[#This Row],[Asof]],'FNM FHL'!G:H,2,0)</f>
        <v>5060409161.0300007</v>
      </c>
      <c r="E30" s="2">
        <f>CurrentMtgRatesDataTable934[[#This Row],[FHA]]/(CurrentMtgRatesDataTable934[[#This Row],[FHA]]+CurrentMtgRatesDataTable934[[#This Row],[FHL+FNM]])</f>
        <v>0.6886517692905646</v>
      </c>
      <c r="H30">
        <f>CurrentMtgRatesDataTable934[[#This Row],[Asof]]</f>
        <v>201504</v>
      </c>
      <c r="I30" s="1">
        <f>CurrentMtgRatesDataTable934[[#This Row],[FHA %]]</f>
        <v>0.6886517692905646</v>
      </c>
    </row>
    <row r="31" spans="2:9" x14ac:dyDescent="0.25">
      <c r="B31">
        <v>201505</v>
      </c>
      <c r="C31" s="4">
        <v>9495502000</v>
      </c>
      <c r="D31" s="4">
        <f>VLOOKUP(CurrentMtgRatesDataTable934[[#This Row],[Asof]],'FNM FHL'!B:C,2,0)+VLOOKUP(CurrentMtgRatesDataTable934[[#This Row],[Asof]],'FNM FHL'!G:H,2,0)</f>
        <v>3607484455.8299999</v>
      </c>
      <c r="E31" s="2">
        <f>CurrentMtgRatesDataTable934[[#This Row],[FHA]]/(CurrentMtgRatesDataTable934[[#This Row],[FHA]]+CurrentMtgRatesDataTable934[[#This Row],[FHL+FNM]])</f>
        <v>0.72468227239715277</v>
      </c>
      <c r="H31">
        <f>CurrentMtgRatesDataTable934[[#This Row],[Asof]]</f>
        <v>201505</v>
      </c>
      <c r="I31" s="1">
        <f>CurrentMtgRatesDataTable934[[#This Row],[FHA %]]</f>
        <v>0.72468227239715277</v>
      </c>
    </row>
    <row r="32" spans="2:9" x14ac:dyDescent="0.25">
      <c r="B32">
        <v>201506</v>
      </c>
      <c r="C32" s="4">
        <v>7771667000</v>
      </c>
      <c r="D32" s="4">
        <f>VLOOKUP(CurrentMtgRatesDataTable934[[#This Row],[Asof]],'FNM FHL'!B:C,2,0)+VLOOKUP(CurrentMtgRatesDataTable934[[#This Row],[Asof]],'FNM FHL'!G:H,2,0)</f>
        <v>3134441757.8400002</v>
      </c>
      <c r="E32" s="2">
        <f>CurrentMtgRatesDataTable934[[#This Row],[FHA]]/(CurrentMtgRatesDataTable934[[#This Row],[FHA]]+CurrentMtgRatesDataTable934[[#This Row],[FHL+FNM]])</f>
        <v>0.71259760676907191</v>
      </c>
      <c r="H32">
        <f>CurrentMtgRatesDataTable934[[#This Row],[Asof]]</f>
        <v>201506</v>
      </c>
      <c r="I32" s="1">
        <f>CurrentMtgRatesDataTable934[[#This Row],[FHA %]]</f>
        <v>0.71259760676907191</v>
      </c>
    </row>
    <row r="33" spans="2:9" x14ac:dyDescent="0.25">
      <c r="B33">
        <v>201507</v>
      </c>
      <c r="C33" s="4">
        <v>7309094000</v>
      </c>
      <c r="D33" s="4">
        <f>VLOOKUP(CurrentMtgRatesDataTable934[[#This Row],[Asof]],'FNM FHL'!B:C,2,0)+VLOOKUP(CurrentMtgRatesDataTable934[[#This Row],[Asof]],'FNM FHL'!G:H,2,0)</f>
        <v>2699494352.3000002</v>
      </c>
      <c r="E33" s="2">
        <f>CurrentMtgRatesDataTable934[[#This Row],[FHA]]/(CurrentMtgRatesDataTable934[[#This Row],[FHA]]+CurrentMtgRatesDataTable934[[#This Row],[FHL+FNM]])</f>
        <v>0.73028220791200305</v>
      </c>
      <c r="H33">
        <f>CurrentMtgRatesDataTable934[[#This Row],[Asof]]</f>
        <v>201507</v>
      </c>
      <c r="I33" s="1">
        <f>CurrentMtgRatesDataTable934[[#This Row],[FHA %]]</f>
        <v>0.73028220791200305</v>
      </c>
    </row>
    <row r="34" spans="2:9" x14ac:dyDescent="0.25">
      <c r="B34">
        <v>201508</v>
      </c>
      <c r="C34" s="4">
        <v>5719409000</v>
      </c>
      <c r="D34" s="4">
        <f>VLOOKUP(CurrentMtgRatesDataTable934[[#This Row],[Asof]],'FNM FHL'!B:C,2,0)+VLOOKUP(CurrentMtgRatesDataTable934[[#This Row],[Asof]],'FNM FHL'!G:H,2,0)</f>
        <v>2195416025.0999999</v>
      </c>
      <c r="E34" s="2">
        <f>CurrentMtgRatesDataTable934[[#This Row],[FHA]]/(CurrentMtgRatesDataTable934[[#This Row],[FHA]]+CurrentMtgRatesDataTable934[[#This Row],[FHL+FNM]])</f>
        <v>0.72261976504373038</v>
      </c>
      <c r="H34">
        <f>CurrentMtgRatesDataTable934[[#This Row],[Asof]]</f>
        <v>201508</v>
      </c>
      <c r="I34" s="1">
        <f>CurrentMtgRatesDataTable934[[#This Row],[FHA %]]</f>
        <v>0.72261976504373038</v>
      </c>
    </row>
    <row r="35" spans="2:9" x14ac:dyDescent="0.25">
      <c r="B35">
        <v>201509</v>
      </c>
      <c r="C35" s="4">
        <v>5358074000</v>
      </c>
      <c r="D35" s="4">
        <f>VLOOKUP(CurrentMtgRatesDataTable934[[#This Row],[Asof]],'FNM FHL'!B:C,2,0)+VLOOKUP(CurrentMtgRatesDataTable934[[#This Row],[Asof]],'FNM FHL'!G:H,2,0)</f>
        <v>2059250814.21</v>
      </c>
      <c r="E35" s="2">
        <f>CurrentMtgRatesDataTable934[[#This Row],[FHA]]/(CurrentMtgRatesDataTable934[[#This Row],[FHA]]+CurrentMtgRatesDataTable934[[#This Row],[FHL+FNM]])</f>
        <v>0.7223728411805671</v>
      </c>
      <c r="H35">
        <f>CurrentMtgRatesDataTable934[[#This Row],[Asof]]</f>
        <v>201509</v>
      </c>
      <c r="I35" s="1">
        <f>CurrentMtgRatesDataTable934[[#This Row],[FHA %]]</f>
        <v>0.7223728411805671</v>
      </c>
    </row>
    <row r="36" spans="2:9" x14ac:dyDescent="0.25">
      <c r="B36">
        <v>201510</v>
      </c>
      <c r="C36" s="4">
        <v>5370010000</v>
      </c>
      <c r="D36" s="4">
        <f>VLOOKUP(CurrentMtgRatesDataTable934[[#This Row],[Asof]],'FNM FHL'!B:C,2,0)+VLOOKUP(CurrentMtgRatesDataTable934[[#This Row],[Asof]],'FNM FHL'!G:H,2,0)</f>
        <v>2246681178.1700001</v>
      </c>
      <c r="E36" s="2">
        <f>CurrentMtgRatesDataTable934[[#This Row],[FHA]]/(CurrentMtgRatesDataTable934[[#This Row],[FHA]]+CurrentMtgRatesDataTable934[[#This Row],[FHL+FNM]])</f>
        <v>0.70503186677580487</v>
      </c>
      <c r="H36">
        <f>CurrentMtgRatesDataTable934[[#This Row],[Asof]]</f>
        <v>201510</v>
      </c>
      <c r="I36" s="1">
        <f>CurrentMtgRatesDataTable934[[#This Row],[FHA %]]</f>
        <v>0.70503186677580487</v>
      </c>
    </row>
    <row r="37" spans="2:9" x14ac:dyDescent="0.25">
      <c r="B37">
        <v>201511</v>
      </c>
      <c r="C37" s="4">
        <v>4913322000</v>
      </c>
      <c r="D37" s="4">
        <f>VLOOKUP(CurrentMtgRatesDataTable934[[#This Row],[Asof]],'FNM FHL'!B:C,2,0)+VLOOKUP(CurrentMtgRatesDataTable934[[#This Row],[Asof]],'FNM FHL'!G:H,2,0)</f>
        <v>2437598508.8900003</v>
      </c>
      <c r="E37" s="2">
        <f>CurrentMtgRatesDataTable934[[#This Row],[FHA]]/(CurrentMtgRatesDataTable934[[#This Row],[FHA]]+CurrentMtgRatesDataTable934[[#This Row],[FHL+FNM]])</f>
        <v>0.6683954742889634</v>
      </c>
      <c r="H37">
        <f>CurrentMtgRatesDataTable934[[#This Row],[Asof]]</f>
        <v>201511</v>
      </c>
      <c r="I37" s="1">
        <f>CurrentMtgRatesDataTable934[[#This Row],[FHA %]]</f>
        <v>0.6683954742889634</v>
      </c>
    </row>
    <row r="38" spans="2:9" x14ac:dyDescent="0.25">
      <c r="B38">
        <v>201512</v>
      </c>
      <c r="C38" s="4">
        <v>4393044000</v>
      </c>
      <c r="D38" s="4">
        <f>VLOOKUP(CurrentMtgRatesDataTable934[[#This Row],[Asof]],'FNM FHL'!B:C,2,0)+VLOOKUP(CurrentMtgRatesDataTable934[[#This Row],[Asof]],'FNM FHL'!G:H,2,0)</f>
        <v>2200567689.25</v>
      </c>
      <c r="E38" s="2">
        <f>CurrentMtgRatesDataTable934[[#This Row],[FHA]]/(CurrentMtgRatesDataTable934[[#This Row],[FHA]]+CurrentMtgRatesDataTable934[[#This Row],[FHL+FNM]])</f>
        <v>0.66625761525542504</v>
      </c>
      <c r="H38">
        <f>CurrentMtgRatesDataTable934[[#This Row],[Asof]]</f>
        <v>201512</v>
      </c>
      <c r="I38" s="1">
        <f>CurrentMtgRatesDataTable934[[#This Row],[FHA %]]</f>
        <v>0.66625761525542504</v>
      </c>
    </row>
    <row r="39" spans="2:9" x14ac:dyDescent="0.25">
      <c r="B39">
        <v>201601</v>
      </c>
      <c r="C39" s="4">
        <v>4671854000</v>
      </c>
      <c r="D39" s="4">
        <f>VLOOKUP(CurrentMtgRatesDataTable934[[#This Row],[Asof]],'FNM FHL'!B:C,2,0)+VLOOKUP(CurrentMtgRatesDataTable934[[#This Row],[Asof]],'FNM FHL'!G:H,2,0)</f>
        <v>2169971298.3900003</v>
      </c>
      <c r="E39" s="2">
        <f>CurrentMtgRatesDataTable934[[#This Row],[FHA]]/(CurrentMtgRatesDataTable934[[#This Row],[FHA]]+CurrentMtgRatesDataTable934[[#This Row],[FHL+FNM]])</f>
        <v>0.68283737105935283</v>
      </c>
      <c r="H39">
        <f>CurrentMtgRatesDataTable934[[#This Row],[Asof]]</f>
        <v>201601</v>
      </c>
      <c r="I39" s="1">
        <f>CurrentMtgRatesDataTable934[[#This Row],[FHA %]]</f>
        <v>0.68283737105935283</v>
      </c>
    </row>
    <row r="40" spans="2:9" x14ac:dyDescent="0.25">
      <c r="B40">
        <v>201602</v>
      </c>
      <c r="C40" s="4">
        <v>4044728000</v>
      </c>
      <c r="D40" s="4">
        <f>VLOOKUP(CurrentMtgRatesDataTable934[[#This Row],[Asof]],'FNM FHL'!B:C,2,0)+VLOOKUP(CurrentMtgRatesDataTable934[[#This Row],[Asof]],'FNM FHL'!G:H,2,0)</f>
        <v>1644626850.77</v>
      </c>
      <c r="E40" s="2">
        <f>CurrentMtgRatesDataTable934[[#This Row],[FHA]]/(CurrentMtgRatesDataTable934[[#This Row],[FHA]]+CurrentMtgRatesDataTable934[[#This Row],[FHL+FNM]])</f>
        <v>0.71092911342181164</v>
      </c>
      <c r="H40">
        <f>CurrentMtgRatesDataTable934[[#This Row],[Asof]]</f>
        <v>201602</v>
      </c>
      <c r="I40" s="1">
        <f>CurrentMtgRatesDataTable934[[#This Row],[FHA %]]</f>
        <v>0.71092911342181164</v>
      </c>
    </row>
    <row r="41" spans="2:9" x14ac:dyDescent="0.25">
      <c r="B41">
        <v>201603</v>
      </c>
      <c r="C41" s="4">
        <v>3414802000</v>
      </c>
      <c r="D41" s="4">
        <f>VLOOKUP(CurrentMtgRatesDataTable934[[#This Row],[Asof]],'FNM FHL'!B:C,2,0)+VLOOKUP(CurrentMtgRatesDataTable934[[#This Row],[Asof]],'FNM FHL'!G:H,2,0)</f>
        <v>903623669</v>
      </c>
      <c r="E41" s="2">
        <f>CurrentMtgRatesDataTable934[[#This Row],[FHA]]/(CurrentMtgRatesDataTable934[[#This Row],[FHA]]+CurrentMtgRatesDataTable934[[#This Row],[FHL+FNM]])</f>
        <v>0.79075159832280995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42"/>
  <sheetViews>
    <sheetView workbookViewId="0">
      <selection activeCell="B2" sqref="B2:C41"/>
    </sheetView>
  </sheetViews>
  <sheetFormatPr defaultRowHeight="15" x14ac:dyDescent="0.25"/>
  <sheetData>
    <row r="2" spans="1:8" x14ac:dyDescent="0.25">
      <c r="A2" t="s">
        <v>3</v>
      </c>
      <c r="B2" s="3" t="s">
        <v>0</v>
      </c>
      <c r="C2" s="3" t="s">
        <v>1</v>
      </c>
      <c r="F2" t="s">
        <v>4</v>
      </c>
      <c r="G2" s="3" t="s">
        <v>0</v>
      </c>
      <c r="H2" s="3" t="s">
        <v>1</v>
      </c>
    </row>
    <row r="3" spans="1:8" x14ac:dyDescent="0.25">
      <c r="B3">
        <v>201301</v>
      </c>
      <c r="C3">
        <v>2713946673</v>
      </c>
      <c r="G3">
        <v>201301</v>
      </c>
      <c r="H3">
        <v>5464274121.79</v>
      </c>
    </row>
    <row r="4" spans="1:8" x14ac:dyDescent="0.25">
      <c r="B4">
        <v>201302</v>
      </c>
      <c r="C4">
        <v>3019401856</v>
      </c>
      <c r="G4">
        <v>201302</v>
      </c>
      <c r="H4">
        <v>5634928607.0600004</v>
      </c>
    </row>
    <row r="5" spans="1:8" x14ac:dyDescent="0.25">
      <c r="B5">
        <v>201303</v>
      </c>
      <c r="C5">
        <v>2738157234</v>
      </c>
      <c r="G5">
        <v>201303</v>
      </c>
      <c r="H5">
        <v>4731040236.6300001</v>
      </c>
    </row>
    <row r="6" spans="1:8" x14ac:dyDescent="0.25">
      <c r="B6">
        <v>201304</v>
      </c>
      <c r="C6">
        <v>2456192124</v>
      </c>
      <c r="G6">
        <v>201304</v>
      </c>
      <c r="H6">
        <v>5027270378.8699999</v>
      </c>
    </row>
    <row r="7" spans="1:8" x14ac:dyDescent="0.25">
      <c r="B7">
        <v>201305</v>
      </c>
      <c r="C7">
        <v>2412357591</v>
      </c>
      <c r="G7">
        <v>201305</v>
      </c>
      <c r="H7">
        <v>4770381512.46</v>
      </c>
    </row>
    <row r="8" spans="1:8" x14ac:dyDescent="0.25">
      <c r="B8">
        <v>201306</v>
      </c>
      <c r="C8">
        <v>2466431399</v>
      </c>
      <c r="G8">
        <v>201306</v>
      </c>
      <c r="H8">
        <v>4639614139.1999998</v>
      </c>
    </row>
    <row r="9" spans="1:8" x14ac:dyDescent="0.25">
      <c r="B9">
        <v>201307</v>
      </c>
      <c r="C9">
        <v>1922475854</v>
      </c>
      <c r="G9">
        <v>201307</v>
      </c>
      <c r="H9">
        <v>4187276714.5</v>
      </c>
    </row>
    <row r="10" spans="1:8" x14ac:dyDescent="0.25">
      <c r="B10">
        <v>201308</v>
      </c>
      <c r="C10">
        <v>1587127211</v>
      </c>
      <c r="G10">
        <v>201308</v>
      </c>
      <c r="H10">
        <v>3325355300.0799999</v>
      </c>
    </row>
    <row r="11" spans="1:8" x14ac:dyDescent="0.25">
      <c r="B11">
        <v>201309</v>
      </c>
      <c r="C11">
        <v>1155574664</v>
      </c>
      <c r="G11">
        <v>201309</v>
      </c>
      <c r="H11">
        <v>2460679859.54</v>
      </c>
    </row>
    <row r="12" spans="1:8" x14ac:dyDescent="0.25">
      <c r="B12">
        <v>201310</v>
      </c>
      <c r="C12">
        <v>775893134</v>
      </c>
      <c r="G12">
        <v>201310</v>
      </c>
      <c r="H12">
        <v>1805976831.9200001</v>
      </c>
    </row>
    <row r="13" spans="1:8" x14ac:dyDescent="0.25">
      <c r="B13">
        <v>201311</v>
      </c>
      <c r="C13">
        <v>745613800</v>
      </c>
      <c r="G13">
        <v>201311</v>
      </c>
      <c r="H13">
        <v>1719194248.24</v>
      </c>
    </row>
    <row r="14" spans="1:8" x14ac:dyDescent="0.25">
      <c r="B14">
        <v>201312</v>
      </c>
      <c r="C14">
        <v>815123439</v>
      </c>
      <c r="G14">
        <v>201312</v>
      </c>
      <c r="H14">
        <v>1625284231.6199999</v>
      </c>
    </row>
    <row r="15" spans="1:8" x14ac:dyDescent="0.25">
      <c r="B15">
        <v>201401</v>
      </c>
      <c r="C15">
        <v>787070489</v>
      </c>
      <c r="G15">
        <v>201401</v>
      </c>
      <c r="H15">
        <v>1506605792.8199999</v>
      </c>
    </row>
    <row r="16" spans="1:8" x14ac:dyDescent="0.25">
      <c r="B16">
        <v>201402</v>
      </c>
      <c r="C16">
        <v>578952286</v>
      </c>
      <c r="G16">
        <v>201402</v>
      </c>
      <c r="H16">
        <v>1229243226.3</v>
      </c>
    </row>
    <row r="17" spans="2:8" x14ac:dyDescent="0.25">
      <c r="B17">
        <v>201403</v>
      </c>
      <c r="C17">
        <v>511678931</v>
      </c>
      <c r="G17">
        <v>201403</v>
      </c>
      <c r="H17">
        <v>1055200989.97</v>
      </c>
    </row>
    <row r="18" spans="2:8" x14ac:dyDescent="0.25">
      <c r="B18">
        <v>201404</v>
      </c>
      <c r="C18">
        <v>643451862</v>
      </c>
      <c r="G18">
        <v>201404</v>
      </c>
      <c r="H18">
        <v>1100308976.0899999</v>
      </c>
    </row>
    <row r="19" spans="2:8" x14ac:dyDescent="0.25">
      <c r="B19">
        <v>201405</v>
      </c>
      <c r="C19">
        <v>580250399</v>
      </c>
      <c r="G19">
        <v>201405</v>
      </c>
      <c r="H19">
        <v>1048810600.4</v>
      </c>
    </row>
    <row r="20" spans="2:8" x14ac:dyDescent="0.25">
      <c r="B20">
        <v>201406</v>
      </c>
      <c r="C20">
        <v>578541007</v>
      </c>
      <c r="G20">
        <v>201406</v>
      </c>
      <c r="H20">
        <v>1058239776.09</v>
      </c>
    </row>
    <row r="21" spans="2:8" x14ac:dyDescent="0.25">
      <c r="B21">
        <v>201407</v>
      </c>
      <c r="C21">
        <v>736877560</v>
      </c>
      <c r="G21">
        <v>201407</v>
      </c>
      <c r="H21">
        <v>1246925549</v>
      </c>
    </row>
    <row r="22" spans="2:8" x14ac:dyDescent="0.25">
      <c r="B22">
        <v>201408</v>
      </c>
      <c r="C22">
        <v>741180104</v>
      </c>
      <c r="G22">
        <v>201408</v>
      </c>
      <c r="H22">
        <v>1438694414.4000001</v>
      </c>
    </row>
    <row r="23" spans="2:8" x14ac:dyDescent="0.25">
      <c r="B23">
        <v>201409</v>
      </c>
      <c r="C23">
        <v>773482535</v>
      </c>
      <c r="G23">
        <v>201409</v>
      </c>
      <c r="H23">
        <v>1525632921.5999999</v>
      </c>
    </row>
    <row r="24" spans="2:8" x14ac:dyDescent="0.25">
      <c r="B24">
        <v>201410</v>
      </c>
      <c r="C24">
        <v>845043044</v>
      </c>
      <c r="G24">
        <v>201410</v>
      </c>
      <c r="H24">
        <v>1653490463.4400001</v>
      </c>
    </row>
    <row r="25" spans="2:8" x14ac:dyDescent="0.25">
      <c r="B25">
        <v>201411</v>
      </c>
      <c r="C25">
        <v>961850656</v>
      </c>
      <c r="G25">
        <v>201411</v>
      </c>
      <c r="H25">
        <v>1592166868.79</v>
      </c>
    </row>
    <row r="26" spans="2:8" x14ac:dyDescent="0.25">
      <c r="B26">
        <v>201412</v>
      </c>
      <c r="C26">
        <v>1160870721</v>
      </c>
      <c r="G26">
        <v>201412</v>
      </c>
      <c r="H26">
        <v>1880109034.4200001</v>
      </c>
    </row>
    <row r="27" spans="2:8" x14ac:dyDescent="0.25">
      <c r="B27">
        <v>201501</v>
      </c>
      <c r="C27">
        <v>1012365410</v>
      </c>
      <c r="G27">
        <v>201501</v>
      </c>
      <c r="H27">
        <v>2319549761.9699998</v>
      </c>
    </row>
    <row r="28" spans="2:8" x14ac:dyDescent="0.25">
      <c r="B28">
        <v>201502</v>
      </c>
      <c r="C28">
        <v>1389459273</v>
      </c>
      <c r="G28">
        <v>201502</v>
      </c>
      <c r="H28">
        <v>1888763184.1800001</v>
      </c>
    </row>
    <row r="29" spans="2:8" x14ac:dyDescent="0.25">
      <c r="B29">
        <v>201503</v>
      </c>
      <c r="C29">
        <v>1890040249</v>
      </c>
      <c r="G29">
        <v>201503</v>
      </c>
      <c r="H29">
        <v>2957862887.98</v>
      </c>
    </row>
    <row r="30" spans="2:8" x14ac:dyDescent="0.25">
      <c r="B30">
        <v>201504</v>
      </c>
      <c r="C30">
        <v>2224236311</v>
      </c>
      <c r="G30">
        <v>201504</v>
      </c>
      <c r="H30">
        <v>2836172850.0300002</v>
      </c>
    </row>
    <row r="31" spans="2:8" x14ac:dyDescent="0.25">
      <c r="B31">
        <v>201505</v>
      </c>
      <c r="C31">
        <v>1535855721</v>
      </c>
      <c r="G31">
        <v>201505</v>
      </c>
      <c r="H31">
        <v>2071628734.8299999</v>
      </c>
    </row>
    <row r="32" spans="2:8" x14ac:dyDescent="0.25">
      <c r="B32">
        <v>201506</v>
      </c>
      <c r="C32">
        <v>1287127092</v>
      </c>
      <c r="G32">
        <v>201506</v>
      </c>
      <c r="H32">
        <v>1847314665.8399999</v>
      </c>
    </row>
    <row r="33" spans="2:8" x14ac:dyDescent="0.25">
      <c r="B33">
        <v>201507</v>
      </c>
      <c r="C33">
        <v>1070824454</v>
      </c>
      <c r="G33">
        <v>201507</v>
      </c>
      <c r="H33">
        <v>1628669898.3</v>
      </c>
    </row>
    <row r="34" spans="2:8" x14ac:dyDescent="0.25">
      <c r="B34">
        <v>201508</v>
      </c>
      <c r="C34">
        <v>805661802</v>
      </c>
      <c r="G34">
        <v>201508</v>
      </c>
      <c r="H34">
        <v>1389754223.0999999</v>
      </c>
    </row>
    <row r="35" spans="2:8" x14ac:dyDescent="0.25">
      <c r="B35">
        <v>201509</v>
      </c>
      <c r="C35">
        <v>830795937</v>
      </c>
      <c r="G35">
        <v>201509</v>
      </c>
      <c r="H35">
        <v>1228454877.21</v>
      </c>
    </row>
    <row r="36" spans="2:8" x14ac:dyDescent="0.25">
      <c r="B36">
        <v>201510</v>
      </c>
      <c r="C36">
        <v>880094471</v>
      </c>
      <c r="G36">
        <v>201510</v>
      </c>
      <c r="H36">
        <v>1366586707.1700001</v>
      </c>
    </row>
    <row r="37" spans="2:8" x14ac:dyDescent="0.25">
      <c r="B37">
        <v>201511</v>
      </c>
      <c r="C37">
        <v>1036261788</v>
      </c>
      <c r="G37">
        <v>201511</v>
      </c>
      <c r="H37">
        <v>1401336720.8900001</v>
      </c>
    </row>
    <row r="38" spans="2:8" x14ac:dyDescent="0.25">
      <c r="B38">
        <v>201512</v>
      </c>
      <c r="C38">
        <v>928951499</v>
      </c>
      <c r="G38">
        <v>201512</v>
      </c>
      <c r="H38">
        <v>1271616190.25</v>
      </c>
    </row>
    <row r="39" spans="2:8" x14ac:dyDescent="0.25">
      <c r="B39">
        <v>201601</v>
      </c>
      <c r="C39">
        <v>900771331</v>
      </c>
      <c r="G39">
        <v>201601</v>
      </c>
      <c r="H39">
        <v>1269199967.3900001</v>
      </c>
    </row>
    <row r="40" spans="2:8" x14ac:dyDescent="0.25">
      <c r="B40">
        <v>201602</v>
      </c>
      <c r="C40">
        <v>630861235</v>
      </c>
      <c r="G40">
        <v>201602</v>
      </c>
      <c r="H40">
        <v>1013765615.77</v>
      </c>
    </row>
    <row r="41" spans="2:8" x14ac:dyDescent="0.25">
      <c r="B41">
        <v>201603</v>
      </c>
      <c r="C41">
        <v>263241848</v>
      </c>
      <c r="G41">
        <v>201603</v>
      </c>
      <c r="H41">
        <v>640381821</v>
      </c>
    </row>
    <row r="42" spans="2:8" x14ac:dyDescent="0.25">
      <c r="G42" s="3">
        <v>201604</v>
      </c>
      <c r="H42" s="3">
        <v>28184199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GNM</vt:lpstr>
      <vt:lpstr>FNM FHL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2016-03-17T18:05:31Z</dcterms:created>
  <dcterms:modified xsi:type="dcterms:W3CDTF">2016-03-18T17:42:26Z</dcterms:modified>
</cp:coreProperties>
</file>