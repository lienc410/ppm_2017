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15" yWindow="135" windowWidth="35205" windowHeight="18045" activeTab="8"/>
  </bookViews>
  <sheets>
    <sheet name="2016" sheetId="17" r:id="rId1"/>
    <sheet name="2014" sheetId="10" r:id="rId2"/>
    <sheet name="2013" sheetId="6" r:id="rId3"/>
    <sheet name="2012" sheetId="15" r:id="rId4"/>
    <sheet name="2011" sheetId="8" r:id="rId5"/>
    <sheet name="2010" sheetId="9" r:id="rId6"/>
    <sheet name="2009" sheetId="14" r:id="rId7"/>
    <sheet name="2005" sheetId="13" r:id="rId8"/>
    <sheet name="PMIOcc" sheetId="11" r:id="rId9"/>
    <sheet name="PMILoanSize" sheetId="12" r:id="rId10"/>
    <sheet name="UpdateDate" sheetId="7" r:id="rId11"/>
  </sheets>
  <calcPr calcId="152511"/>
</workbook>
</file>

<file path=xl/calcChain.xml><?xml version="1.0" encoding="utf-8"?>
<calcChain xmlns="http://schemas.openxmlformats.org/spreadsheetml/2006/main">
  <c r="Q130" i="6" l="1"/>
  <c r="Q133" i="6"/>
  <c r="P133" i="6"/>
  <c r="O133" i="6"/>
  <c r="N133" i="6"/>
  <c r="Q132" i="6"/>
  <c r="P132" i="6"/>
  <c r="O132" i="6"/>
  <c r="N132" i="6"/>
  <c r="Q131" i="6"/>
  <c r="P131" i="6"/>
  <c r="O131" i="6"/>
  <c r="N131" i="6"/>
  <c r="P130" i="6"/>
  <c r="O130" i="6"/>
  <c r="N130" i="6"/>
  <c r="N71" i="6"/>
  <c r="O71" i="6"/>
  <c r="P71" i="6"/>
  <c r="N72" i="6"/>
  <c r="O72" i="6"/>
  <c r="P72" i="6"/>
  <c r="N73" i="6"/>
  <c r="O73" i="6"/>
  <c r="P73" i="6"/>
  <c r="Q72" i="6"/>
  <c r="Q73" i="6"/>
  <c r="Q71" i="6"/>
  <c r="P70" i="6"/>
  <c r="O70" i="6"/>
  <c r="N70" i="6"/>
  <c r="Q24" i="15"/>
  <c r="Q31" i="15" s="1"/>
  <c r="Q25" i="15"/>
  <c r="Q32" i="15" s="1"/>
  <c r="Q26" i="15"/>
  <c r="Q33" i="15" s="1"/>
  <c r="Q27" i="15"/>
  <c r="N24" i="15"/>
  <c r="O24" i="15"/>
  <c r="P24" i="15"/>
  <c r="P31" i="15" s="1"/>
  <c r="N25" i="15"/>
  <c r="N32" i="15" s="1"/>
  <c r="O25" i="15"/>
  <c r="O32" i="15" s="1"/>
  <c r="P25" i="15"/>
  <c r="P32" i="15" s="1"/>
  <c r="N26" i="15"/>
  <c r="N33" i="15" s="1"/>
  <c r="O26" i="15"/>
  <c r="O33" i="15" s="1"/>
  <c r="P26" i="15"/>
  <c r="N27" i="15"/>
  <c r="O27" i="15"/>
  <c r="P27" i="15"/>
  <c r="O23" i="15"/>
  <c r="O30" i="15" s="1"/>
  <c r="P23" i="15"/>
  <c r="P30" i="15" s="1"/>
  <c r="N23" i="15"/>
  <c r="N30" i="15" s="1"/>
  <c r="P33" i="15"/>
  <c r="O31" i="15"/>
  <c r="N31" i="15"/>
  <c r="N11" i="15"/>
  <c r="N12" i="15"/>
  <c r="N13" i="15"/>
  <c r="O11" i="15"/>
  <c r="O12" i="15"/>
  <c r="O13" i="15"/>
  <c r="P11" i="15"/>
  <c r="P12" i="15"/>
  <c r="P13" i="15"/>
  <c r="Q12" i="15"/>
  <c r="Q13" i="15"/>
  <c r="Q11" i="15"/>
  <c r="P10" i="15"/>
  <c r="O10" i="15"/>
  <c r="N10" i="15"/>
  <c r="O10" i="14"/>
  <c r="P10" i="14"/>
  <c r="Q10" i="14"/>
  <c r="O11" i="14"/>
  <c r="P11" i="14"/>
  <c r="Q11" i="14"/>
  <c r="O12" i="14"/>
  <c r="P12" i="14"/>
  <c r="Q12" i="14"/>
  <c r="O13" i="14"/>
  <c r="P13" i="14"/>
  <c r="Q13" i="14"/>
  <c r="O14" i="14"/>
  <c r="P14" i="14"/>
  <c r="Q14" i="14"/>
  <c r="N11" i="14"/>
  <c r="N12" i="14"/>
  <c r="N13" i="14"/>
  <c r="N14" i="14"/>
  <c r="N10" i="14"/>
  <c r="O10" i="13"/>
  <c r="P10" i="13"/>
  <c r="Q10" i="13"/>
  <c r="O11" i="13"/>
  <c r="P11" i="13"/>
  <c r="Q11" i="13"/>
  <c r="O12" i="13"/>
  <c r="P12" i="13"/>
  <c r="Q12" i="13"/>
  <c r="O13" i="13"/>
  <c r="P13" i="13"/>
  <c r="Q13" i="13"/>
  <c r="O14" i="13"/>
  <c r="P14" i="13"/>
  <c r="Q14" i="13"/>
  <c r="N11" i="13"/>
  <c r="N12" i="13"/>
  <c r="N13" i="13"/>
  <c r="N14" i="13"/>
  <c r="N10" i="13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F24" i="9"/>
  <c r="F23" i="9"/>
  <c r="F22" i="9"/>
  <c r="Q12" i="9"/>
  <c r="Q13" i="9"/>
  <c r="Q11" i="9"/>
  <c r="P13" i="9"/>
  <c r="O13" i="9"/>
  <c r="N13" i="9"/>
  <c r="P12" i="9"/>
  <c r="O12" i="9"/>
  <c r="N12" i="9"/>
  <c r="P11" i="9"/>
  <c r="O11" i="9"/>
  <c r="N11" i="9"/>
  <c r="P10" i="9"/>
  <c r="O10" i="9"/>
  <c r="N10" i="9"/>
  <c r="P11" i="8"/>
  <c r="P12" i="8"/>
  <c r="P13" i="8"/>
  <c r="P10" i="8"/>
  <c r="N11" i="8"/>
  <c r="O11" i="8"/>
  <c r="N12" i="8"/>
  <c r="O12" i="8"/>
  <c r="N13" i="8"/>
  <c r="O13" i="8"/>
  <c r="O10" i="8"/>
  <c r="N10" i="8"/>
  <c r="Q6" i="6"/>
  <c r="P6" i="6"/>
  <c r="O6" i="6"/>
  <c r="N6" i="6"/>
  <c r="Q5" i="6"/>
  <c r="P5" i="6"/>
  <c r="O5" i="6"/>
  <c r="N5" i="6"/>
  <c r="Q4" i="6"/>
  <c r="P4" i="6"/>
  <c r="O4" i="6"/>
  <c r="N4" i="6"/>
  <c r="P3" i="6"/>
  <c r="O3" i="6"/>
  <c r="N3" i="6" l="1"/>
</calcChain>
</file>

<file path=xl/sharedStrings.xml><?xml version="1.0" encoding="utf-8"?>
<sst xmlns="http://schemas.openxmlformats.org/spreadsheetml/2006/main" count="1987" uniqueCount="69">
  <si>
    <t>LoanPurpose</t>
  </si>
  <si>
    <t>FICOBucketStart</t>
  </si>
  <si>
    <t>FICOBucketEnd</t>
  </si>
  <si>
    <t>LTVBucketStart</t>
  </si>
  <si>
    <t>LTVBucketEnd</t>
  </si>
  <si>
    <t>PMI</t>
  </si>
  <si>
    <t>AsOfDate</t>
  </si>
  <si>
    <t>REFI</t>
  </si>
  <si>
    <t>PURCH</t>
  </si>
  <si>
    <t>startDate</t>
  </si>
  <si>
    <t>endDate</t>
  </si>
  <si>
    <t>Old Purchase</t>
  </si>
  <si>
    <t>760+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</si>
  <si>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</si>
  <si>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</si>
  <si>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</si>
  <si>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</si>
  <si>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</si>
  <si>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</si>
  <si>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</si>
  <si>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</si>
  <si>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</si>
  <si>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</si>
  <si>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Old Refi</t>
  </si>
  <si>
    <t xml:space="preserve">Raw Data Found at: </t>
  </si>
  <si>
    <t>Data Loaded in:</t>
  </si>
  <si>
    <t>report.PMI</t>
  </si>
  <si>
    <t xml:space="preserve">New Purchase </t>
  </si>
  <si>
    <t>New Refi</t>
  </si>
  <si>
    <t>LoanSizeStart</t>
  </si>
  <si>
    <t>LoanSizeEnd</t>
  </si>
  <si>
    <t>LtvStart</t>
  </si>
  <si>
    <t>LtvEnd</t>
  </si>
  <si>
    <t>FicoStart</t>
  </si>
  <si>
    <t>FicoEnd</t>
  </si>
  <si>
    <t>StartDate</t>
  </si>
  <si>
    <t>EndDate</t>
  </si>
  <si>
    <t>&gt; 417000</t>
  </si>
  <si>
    <t>LTV &gt;80</t>
  </si>
  <si>
    <t>LTV &lt;=80</t>
  </si>
  <si>
    <t xml:space="preserve"> </t>
  </si>
  <si>
    <t>report.PMILoanSizeLTV</t>
  </si>
  <si>
    <t>N/A</t>
  </si>
  <si>
    <t>INV</t>
  </si>
  <si>
    <t>2ND</t>
  </si>
  <si>
    <t>OWNER</t>
  </si>
  <si>
    <t>report.PMIOCCLTV</t>
  </si>
  <si>
    <t>OccType</t>
  </si>
  <si>
    <t>S:\IT\Requirements\FHA Premium Cut</t>
  </si>
  <si>
    <t>http://www.mtgprofessor.com/A%20-%20PMI/sample_mortgage_insurance_premiums.htm</t>
  </si>
  <si>
    <t>Annual to Monthly Adjustment based on May 2014 Files (monthly - annual)</t>
  </si>
  <si>
    <t>Note: This is Annual PMI</t>
  </si>
  <si>
    <t>Monthly</t>
  </si>
  <si>
    <t>S:\Research\MGIC\MGIC's MI rates_May 2014.pdf</t>
  </si>
  <si>
    <t>S:\Research\MGIC\MGIC's MI rates_Feb 2013.pdf</t>
  </si>
  <si>
    <t>S:\Research\MGIC\MGIC's MI rates_Aug 2011.pdf</t>
  </si>
  <si>
    <t>S:\Research\MGIC\MGIC's MI rates_May 2010.pdf</t>
  </si>
  <si>
    <t>S:\Research\MGIC</t>
  </si>
  <si>
    <t>NA</t>
  </si>
  <si>
    <t>&gt; 650000</t>
  </si>
  <si>
    <t>&lt;= 650000</t>
  </si>
  <si>
    <t>&lt;= 417000</t>
  </si>
  <si>
    <t>740-759</t>
  </si>
  <si>
    <t>720-739</t>
  </si>
  <si>
    <t>700-719</t>
  </si>
  <si>
    <t>680-699</t>
  </si>
  <si>
    <t>660-679</t>
  </si>
  <si>
    <t>640-659</t>
  </si>
  <si>
    <t>620-639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</si>
</sst>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/>
    <xf numFmtId="0" fontId="1" fillId="0" borderId="0" xfId="1"/>
    <xf numFmtId="14" fontId="0" fillId="0" borderId="0" xfId="0" applyNumberFormat="1" applyFill="1"/>
    <xf numFmtId="9" fontId="0" fillId="0" borderId="0" xfId="0" applyNumberFormat="1" applyFill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9"/>
  <sheetViews>
    <sheetView workbookViewId="0">
      <selection activeCell="A22" sqref="A22"/>
    </sheetView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7" width="9.42578125" bestFit="1" customWidth="1"/>
    <col min="9" max="9" width="8.7109375" bestFit="1" customWidth="1"/>
    <col min="13" max="13" width="18.5703125" bestFit="1" customWidth="1"/>
    <col min="14" max="14" width="11.7109375" customWidth="1"/>
    <col min="15" max="17" width="7.7109375" bestFit="1" customWidth="1"/>
    <col min="18" max="18" width="5.42578125" bestFit="1" customWidth="1"/>
    <col min="19" max="19" width="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M2" s="4"/>
      <c r="N2" s="4"/>
      <c r="O2" s="4"/>
      <c r="P2" s="4"/>
      <c r="Q2" s="4"/>
      <c r="R2" s="4"/>
      <c r="S2" s="7"/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55</v>
      </c>
      <c r="G3" s="1">
        <v>42464</v>
      </c>
      <c r="H3" s="1">
        <v>42461</v>
      </c>
      <c r="I3" s="1">
        <v>73051</v>
      </c>
      <c r="M3" s="8"/>
      <c r="N3" s="4"/>
      <c r="O3" s="4"/>
      <c r="P3" s="4"/>
      <c r="Q3" s="4"/>
      <c r="R3" s="4"/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41</v>
      </c>
      <c r="G4" s="1">
        <v>42464</v>
      </c>
      <c r="H4" s="1">
        <v>42461</v>
      </c>
      <c r="I4" s="1">
        <v>73051</v>
      </c>
      <c r="M4" s="4"/>
      <c r="N4" s="4"/>
      <c r="O4" s="4"/>
      <c r="P4" s="4"/>
      <c r="Q4" s="4"/>
      <c r="R4" s="4"/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30</v>
      </c>
      <c r="G5" s="1">
        <v>42464</v>
      </c>
      <c r="H5" s="1">
        <v>42461</v>
      </c>
      <c r="I5" s="1">
        <v>73051</v>
      </c>
      <c r="M5" s="4"/>
      <c r="N5" s="4"/>
      <c r="O5" s="4"/>
      <c r="P5" s="4"/>
      <c r="Q5" s="4"/>
      <c r="R5" s="4"/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19</v>
      </c>
      <c r="G6" s="1">
        <v>42464</v>
      </c>
      <c r="H6" s="1">
        <v>42461</v>
      </c>
      <c r="I6" s="1">
        <v>73051</v>
      </c>
      <c r="M6" s="4"/>
      <c r="N6" s="4"/>
      <c r="O6" s="4"/>
      <c r="P6" s="4"/>
      <c r="Q6" s="4"/>
      <c r="R6" s="4"/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42464</v>
      </c>
      <c r="H7" s="1">
        <v>42461</v>
      </c>
      <c r="I7" s="1">
        <v>73051</v>
      </c>
      <c r="M7" s="4"/>
      <c r="N7" s="4"/>
      <c r="O7" s="4"/>
      <c r="P7" s="4"/>
      <c r="Q7" s="4"/>
      <c r="R7" s="4"/>
      <c r="S7" s="4"/>
    </row>
    <row r="8" spans="1:19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740</v>
      </c>
      <c r="C9">
        <v>760</v>
      </c>
      <c r="D9">
        <v>95</v>
      </c>
      <c r="E9">
        <v>97</v>
      </c>
      <c r="F9">
        <v>75</v>
      </c>
      <c r="G9" s="1">
        <v>42464</v>
      </c>
      <c r="H9" s="1">
        <v>42461</v>
      </c>
      <c r="I9" s="1">
        <v>73051</v>
      </c>
      <c r="M9" s="4"/>
      <c r="N9" s="4"/>
      <c r="O9" s="4"/>
      <c r="P9" s="4"/>
      <c r="Q9" s="4"/>
      <c r="R9" s="4"/>
      <c r="S9" s="7"/>
    </row>
    <row r="10" spans="1:19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>
        <v>59</v>
      </c>
      <c r="G10" s="1">
        <v>42464</v>
      </c>
      <c r="H10" s="1">
        <v>42461</v>
      </c>
      <c r="I10" s="1">
        <v>73051</v>
      </c>
      <c r="M10" s="8"/>
      <c r="N10" s="4"/>
      <c r="O10" s="4"/>
      <c r="P10" s="4"/>
      <c r="Q10" s="4"/>
      <c r="R10" s="4"/>
      <c r="S10" s="4"/>
    </row>
    <row r="11" spans="1:19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>
        <v>41</v>
      </c>
      <c r="G11" s="1">
        <v>42464</v>
      </c>
      <c r="H11" s="1">
        <v>42461</v>
      </c>
      <c r="I11" s="1">
        <v>73051</v>
      </c>
      <c r="M11" s="4"/>
      <c r="N11" s="4"/>
      <c r="O11" s="4"/>
      <c r="P11" s="4"/>
      <c r="Q11" s="4"/>
      <c r="R11" s="4"/>
      <c r="S11" s="4"/>
    </row>
    <row r="12" spans="1:19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>
        <v>20</v>
      </c>
      <c r="G12" s="1">
        <v>42464</v>
      </c>
      <c r="H12" s="1">
        <v>42461</v>
      </c>
      <c r="I12" s="1">
        <v>73051</v>
      </c>
      <c r="M12" s="4"/>
      <c r="N12" s="4"/>
      <c r="O12" s="4"/>
      <c r="P12" s="4"/>
      <c r="Q12" s="4"/>
      <c r="R12" s="4"/>
      <c r="S12" s="4"/>
    </row>
    <row r="13" spans="1:19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>
        <v>0</v>
      </c>
      <c r="G13" s="1">
        <v>42464</v>
      </c>
      <c r="H13" s="1">
        <v>42461</v>
      </c>
      <c r="I13" s="1">
        <v>73051</v>
      </c>
      <c r="M13" s="4"/>
      <c r="N13" s="4"/>
      <c r="O13" s="4"/>
      <c r="P13" s="4"/>
      <c r="Q13" s="4"/>
      <c r="R13" s="4"/>
      <c r="S13" s="4"/>
    </row>
    <row r="14" spans="1:19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M14" s="4"/>
      <c r="N14" s="4"/>
      <c r="O14" s="4"/>
      <c r="P14" s="4"/>
      <c r="Q14" s="4"/>
      <c r="R14" s="4"/>
      <c r="S14" s="4"/>
    </row>
    <row r="15" spans="1:19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>
        <v>95</v>
      </c>
      <c r="G15" s="1">
        <v>42464</v>
      </c>
      <c r="H15" s="1">
        <v>42461</v>
      </c>
      <c r="I15" s="1">
        <v>73051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>
        <v>73</v>
      </c>
      <c r="G16" s="1">
        <v>42464</v>
      </c>
      <c r="H16" s="1">
        <v>42461</v>
      </c>
      <c r="I16" s="1">
        <v>73051</v>
      </c>
    </row>
    <row r="17" spans="1:9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>
        <v>50</v>
      </c>
      <c r="G17" s="1">
        <v>42464</v>
      </c>
      <c r="H17" s="1">
        <v>42461</v>
      </c>
      <c r="I17" s="1">
        <v>73051</v>
      </c>
    </row>
    <row r="18" spans="1:9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>
        <v>23</v>
      </c>
      <c r="G18" s="1">
        <v>42464</v>
      </c>
      <c r="H18" s="1">
        <v>42461</v>
      </c>
      <c r="I18" s="1">
        <v>73051</v>
      </c>
    </row>
    <row r="19" spans="1:9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>
        <v>0</v>
      </c>
      <c r="G19" s="1">
        <v>42464</v>
      </c>
      <c r="H19" s="1">
        <v>42461</v>
      </c>
      <c r="I19" s="1">
        <v>73051</v>
      </c>
    </row>
    <row r="20" spans="1:9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9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>
        <v>115</v>
      </c>
      <c r="G21" s="1">
        <v>42464</v>
      </c>
      <c r="H21" s="1">
        <v>42461</v>
      </c>
      <c r="I21" s="1">
        <v>73051</v>
      </c>
    </row>
    <row r="22" spans="1:9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>
        <v>87</v>
      </c>
      <c r="G22" s="1">
        <v>42464</v>
      </c>
      <c r="H22" s="1">
        <v>42461</v>
      </c>
      <c r="I22" s="1">
        <v>73051</v>
      </c>
    </row>
    <row r="23" spans="1:9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>
        <v>60</v>
      </c>
      <c r="G23" s="1">
        <v>42464</v>
      </c>
      <c r="H23" s="1">
        <v>42461</v>
      </c>
      <c r="I23" s="1">
        <v>73051</v>
      </c>
    </row>
    <row r="24" spans="1:9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>
        <v>27</v>
      </c>
      <c r="G24" s="1">
        <v>42464</v>
      </c>
      <c r="H24" s="1">
        <v>42461</v>
      </c>
      <c r="I24" s="1">
        <v>73051</v>
      </c>
    </row>
    <row r="25" spans="1:9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>
        <v>0</v>
      </c>
      <c r="G25" s="1">
        <v>42464</v>
      </c>
      <c r="H25" s="1">
        <v>42461</v>
      </c>
      <c r="I25" s="1">
        <v>73051</v>
      </c>
    </row>
    <row r="26" spans="1:9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9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>
        <v>140</v>
      </c>
      <c r="G27" s="1">
        <v>42464</v>
      </c>
      <c r="H27" s="1">
        <v>42461</v>
      </c>
      <c r="I27" s="1">
        <v>73051</v>
      </c>
    </row>
    <row r="28" spans="1:9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>
        <v>108</v>
      </c>
      <c r="G28" s="1">
        <v>42464</v>
      </c>
      <c r="H28" s="1">
        <v>42461</v>
      </c>
      <c r="I28" s="1">
        <v>73051</v>
      </c>
    </row>
    <row r="29" spans="1:9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>
        <v>73</v>
      </c>
      <c r="G29" s="1">
        <v>42464</v>
      </c>
      <c r="H29" s="1">
        <v>42461</v>
      </c>
      <c r="I29" s="1">
        <v>73051</v>
      </c>
    </row>
    <row r="30" spans="1:9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>
        <v>32</v>
      </c>
      <c r="G30" s="1">
        <v>42464</v>
      </c>
      <c r="H30" s="1">
        <v>42461</v>
      </c>
      <c r="I30" s="1">
        <v>73051</v>
      </c>
    </row>
    <row r="31" spans="1:9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>
        <v>0</v>
      </c>
      <c r="G31" s="1">
        <v>42464</v>
      </c>
      <c r="H31" s="1">
        <v>42461</v>
      </c>
      <c r="I31" s="1">
        <v>73051</v>
      </c>
    </row>
    <row r="32" spans="1:9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>
        <v>190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>
        <v>142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>
        <v>100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>
        <v>41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>
        <v>205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>
        <v>150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>
        <v>105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>
        <v>43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>
        <v>225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>
        <v>161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>
        <v>110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>
        <v>45</v>
      </c>
      <c r="G48" s="1">
        <v>42464</v>
      </c>
      <c r="H48" s="1">
        <v>42461</v>
      </c>
      <c r="I48" s="1">
        <v>73051</v>
      </c>
    </row>
    <row r="49" spans="1:11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>
        <v>0</v>
      </c>
      <c r="G49" s="1">
        <v>42464</v>
      </c>
      <c r="H49" s="1">
        <v>42461</v>
      </c>
      <c r="I49" s="1">
        <v>73051</v>
      </c>
    </row>
    <row r="50" spans="1:11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11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G51" s="1">
        <v>42464</v>
      </c>
      <c r="H51" s="1">
        <v>42461</v>
      </c>
      <c r="I51" s="1">
        <v>73051</v>
      </c>
    </row>
    <row r="52" spans="1:11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G52" s="1">
        <v>42464</v>
      </c>
      <c r="H52" s="1">
        <v>42461</v>
      </c>
      <c r="I52" s="1">
        <v>73051</v>
      </c>
    </row>
    <row r="53" spans="1:11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G53" s="1">
        <v>42464</v>
      </c>
      <c r="H53" s="1">
        <v>42461</v>
      </c>
      <c r="I53" s="1">
        <v>73051</v>
      </c>
    </row>
    <row r="54" spans="1:11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G54" s="1">
        <v>42464</v>
      </c>
      <c r="H54" s="1">
        <v>42461</v>
      </c>
      <c r="I54" s="1">
        <v>73051</v>
      </c>
    </row>
    <row r="55" spans="1:11" x14ac:dyDescent="0.25">
      <c r="A55" t="s">
        <v>7</v>
      </c>
      <c r="B55">
        <v>300</v>
      </c>
      <c r="C55">
        <v>620</v>
      </c>
      <c r="D55">
        <v>0</v>
      </c>
      <c r="E55">
        <v>80</v>
      </c>
      <c r="G55" s="1">
        <v>42464</v>
      </c>
      <c r="H55" s="1">
        <v>42461</v>
      </c>
      <c r="I55" s="1">
        <v>73051</v>
      </c>
    </row>
    <row r="56" spans="1:11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11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55</v>
      </c>
      <c r="G57" s="1">
        <v>42464</v>
      </c>
      <c r="H57" s="1">
        <v>42461</v>
      </c>
      <c r="I57" s="1">
        <v>73051</v>
      </c>
      <c r="K57" s="1"/>
    </row>
    <row r="58" spans="1:11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41</v>
      </c>
      <c r="G58" s="1">
        <v>42464</v>
      </c>
      <c r="H58" s="1">
        <v>42461</v>
      </c>
      <c r="I58" s="1">
        <v>73051</v>
      </c>
    </row>
    <row r="59" spans="1:11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30</v>
      </c>
      <c r="G59" s="1">
        <v>42464</v>
      </c>
      <c r="H59" s="1">
        <v>42461</v>
      </c>
      <c r="I59" s="1">
        <v>73051</v>
      </c>
    </row>
    <row r="60" spans="1:11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19</v>
      </c>
      <c r="G60" s="1">
        <v>42464</v>
      </c>
      <c r="H60" s="1">
        <v>42461</v>
      </c>
      <c r="I60" s="1">
        <v>73051</v>
      </c>
    </row>
    <row r="61" spans="1:11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11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11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>
        <v>75</v>
      </c>
      <c r="G63" s="1">
        <v>42464</v>
      </c>
      <c r="H63" s="1">
        <v>42461</v>
      </c>
      <c r="I63" s="1">
        <v>73051</v>
      </c>
    </row>
    <row r="64" spans="1:11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>
        <v>59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>
        <v>41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>
        <v>20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>
        <v>95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>
        <v>73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>
        <v>50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>
        <v>23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>
        <v>115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>
        <v>87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>
        <v>60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>
        <v>27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>
        <v>140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>
        <v>108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>
        <v>73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>
        <v>32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>
        <v>190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>
        <v>142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>
        <v>100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>
        <v>41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>
        <v>205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>
        <v>150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>
        <v>105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>
        <v>43</v>
      </c>
      <c r="G96" s="1">
        <v>42464</v>
      </c>
      <c r="H96" s="1">
        <v>42461</v>
      </c>
      <c r="I96" s="1">
        <v>73051</v>
      </c>
    </row>
    <row r="97" spans="1: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>
        <v>0</v>
      </c>
      <c r="G97" s="1">
        <v>42464</v>
      </c>
      <c r="H97" s="1">
        <v>42461</v>
      </c>
      <c r="I97" s="1">
        <v>73051</v>
      </c>
    </row>
    <row r="98" spans="1: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>
        <v>225</v>
      </c>
      <c r="G99" s="1">
        <v>42464</v>
      </c>
      <c r="H99" s="1">
        <v>42461</v>
      </c>
      <c r="I99" s="1">
        <v>73051</v>
      </c>
    </row>
    <row r="100" spans="1: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>
        <v>161</v>
      </c>
      <c r="G100" s="1">
        <v>42464</v>
      </c>
      <c r="H100" s="1">
        <v>42461</v>
      </c>
      <c r="I100" s="1">
        <v>73051</v>
      </c>
    </row>
    <row r="101" spans="1: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>
        <v>110</v>
      </c>
      <c r="G101" s="1">
        <v>42464</v>
      </c>
      <c r="H101" s="1">
        <v>42461</v>
      </c>
      <c r="I101" s="1">
        <v>73051</v>
      </c>
    </row>
    <row r="102" spans="1: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>
        <v>45</v>
      </c>
      <c r="G102" s="1">
        <v>42464</v>
      </c>
      <c r="H102" s="1">
        <v>42461</v>
      </c>
      <c r="I102" s="1">
        <v>73051</v>
      </c>
    </row>
    <row r="103" spans="1: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>
        <v>0</v>
      </c>
      <c r="G103" s="1">
        <v>42464</v>
      </c>
      <c r="H103" s="1">
        <v>42461</v>
      </c>
      <c r="I103" s="1">
        <v>73051</v>
      </c>
    </row>
    <row r="104" spans="1: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/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42461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110</v>
      </c>
      <c r="G3" s="1">
        <v>41760</v>
      </c>
      <c r="H3" s="1">
        <v>41760</v>
      </c>
      <c r="I3" s="1">
        <v>42461</v>
      </c>
      <c r="M3" s="8" t="s">
        <v>17</v>
      </c>
      <c r="N3" s="4">
        <v>105</v>
      </c>
      <c r="O3" s="4">
        <v>110</v>
      </c>
      <c r="P3" s="4">
        <v>131</v>
      </c>
      <c r="Q3" s="4">
        <v>148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59</v>
      </c>
      <c r="G4" s="1">
        <v>41760</v>
      </c>
      <c r="H4" s="1">
        <v>41760</v>
      </c>
      <c r="I4" s="1">
        <v>42461</v>
      </c>
      <c r="M4" s="4" t="s">
        <v>19</v>
      </c>
      <c r="N4" s="4">
        <v>54</v>
      </c>
      <c r="O4" s="4">
        <v>62</v>
      </c>
      <c r="P4" s="4">
        <v>89</v>
      </c>
      <c r="Q4" s="4">
        <v>115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44</v>
      </c>
      <c r="G5" s="1">
        <v>41760</v>
      </c>
      <c r="H5" s="1">
        <v>41760</v>
      </c>
      <c r="I5" s="1">
        <v>42461</v>
      </c>
      <c r="M5" s="4" t="s">
        <v>20</v>
      </c>
      <c r="N5" s="4">
        <v>39</v>
      </c>
      <c r="O5" s="4">
        <v>44</v>
      </c>
      <c r="P5" s="4">
        <v>57</v>
      </c>
      <c r="Q5" s="4">
        <v>71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28</v>
      </c>
      <c r="G6" s="1">
        <v>41760</v>
      </c>
      <c r="H6" s="1">
        <v>41760</v>
      </c>
      <c r="I6" s="1">
        <v>42461</v>
      </c>
      <c r="M6" s="4" t="s">
        <v>21</v>
      </c>
      <c r="N6" s="4">
        <v>23</v>
      </c>
      <c r="O6" s="4">
        <v>27</v>
      </c>
      <c r="P6" s="4">
        <v>33</v>
      </c>
      <c r="Q6" s="4">
        <v>39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41760</v>
      </c>
      <c r="H7" s="1">
        <v>41760</v>
      </c>
      <c r="I7" s="1">
        <v>42461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42461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120</v>
      </c>
      <c r="G9" s="1">
        <v>41760</v>
      </c>
      <c r="H9" s="1">
        <v>41760</v>
      </c>
      <c r="I9" s="1">
        <v>42461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72</v>
      </c>
      <c r="G10" s="1">
        <v>41760</v>
      </c>
      <c r="H10" s="1">
        <v>41760</v>
      </c>
      <c r="I10" s="1">
        <v>42461</v>
      </c>
      <c r="M10" s="8" t="s">
        <v>17</v>
      </c>
      <c r="N10" s="4">
        <f>N3+5</f>
        <v>110</v>
      </c>
      <c r="O10" s="4">
        <f>O3+10</f>
        <v>120</v>
      </c>
      <c r="P10" s="4">
        <f>P3+15</f>
        <v>146</v>
      </c>
      <c r="Q10" s="4">
        <f>Q3+30</f>
        <v>178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54</v>
      </c>
      <c r="G11" s="1">
        <v>41760</v>
      </c>
      <c r="H11" s="1">
        <v>41760</v>
      </c>
      <c r="I11" s="1">
        <v>42461</v>
      </c>
      <c r="M11" s="4" t="s">
        <v>19</v>
      </c>
      <c r="N11" s="4">
        <f t="shared" ref="N11:N13" si="0">N4+5</f>
        <v>59</v>
      </c>
      <c r="O11" s="4">
        <f t="shared" ref="O11:O13" si="1">O4+10</f>
        <v>72</v>
      </c>
      <c r="P11" s="4">
        <f t="shared" ref="P11:P13" si="2">P4+15</f>
        <v>104</v>
      </c>
      <c r="Q11" s="4">
        <f t="shared" ref="Q11:Q13" si="3">Q4+30</f>
        <v>145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37</v>
      </c>
      <c r="G12" s="1">
        <v>41760</v>
      </c>
      <c r="H12" s="1">
        <v>41760</v>
      </c>
      <c r="I12" s="1">
        <v>42461</v>
      </c>
      <c r="M12" s="4" t="s">
        <v>20</v>
      </c>
      <c r="N12" s="4">
        <f t="shared" si="0"/>
        <v>44</v>
      </c>
      <c r="O12" s="4">
        <f t="shared" si="1"/>
        <v>54</v>
      </c>
      <c r="P12" s="4">
        <f t="shared" si="2"/>
        <v>72</v>
      </c>
      <c r="Q12" s="4">
        <f t="shared" si="3"/>
        <v>101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41760</v>
      </c>
      <c r="H13" s="1">
        <v>41760</v>
      </c>
      <c r="I13" s="1">
        <v>42461</v>
      </c>
      <c r="M13" s="4" t="s">
        <v>21</v>
      </c>
      <c r="N13" s="4">
        <f t="shared" si="0"/>
        <v>28</v>
      </c>
      <c r="O13" s="4">
        <f t="shared" si="1"/>
        <v>37</v>
      </c>
      <c r="P13" s="4">
        <f t="shared" si="2"/>
        <v>48</v>
      </c>
      <c r="Q13" s="4">
        <f t="shared" si="3"/>
        <v>69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42461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146</v>
      </c>
      <c r="G15" s="1">
        <v>41760</v>
      </c>
      <c r="H15" s="1">
        <v>41760</v>
      </c>
      <c r="I15" s="1">
        <v>42461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104</v>
      </c>
      <c r="G16" s="1">
        <v>41760</v>
      </c>
      <c r="H16" s="1">
        <v>41760</v>
      </c>
      <c r="I16" s="1">
        <v>42461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72</v>
      </c>
      <c r="G17" s="1">
        <v>41760</v>
      </c>
      <c r="H17" s="1">
        <v>41760</v>
      </c>
      <c r="I17" s="1">
        <v>42461</v>
      </c>
      <c r="M17" t="s">
        <v>24</v>
      </c>
      <c r="N17" t="s">
        <v>53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48</v>
      </c>
      <c r="G18" s="1">
        <v>41760</v>
      </c>
      <c r="H18" s="1">
        <v>41760</v>
      </c>
      <c r="I18" s="1">
        <v>42461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41760</v>
      </c>
      <c r="H19" s="1">
        <v>41760</v>
      </c>
      <c r="I19" s="1">
        <v>42461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42461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178</v>
      </c>
      <c r="G21" s="1">
        <v>41760</v>
      </c>
      <c r="H21" s="1">
        <v>41760</v>
      </c>
      <c r="I21" s="1">
        <v>42461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145</v>
      </c>
      <c r="G22" s="1">
        <v>41760</v>
      </c>
      <c r="H22" s="1">
        <v>41760</v>
      </c>
      <c r="I22" s="1">
        <v>42461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101</v>
      </c>
      <c r="G23" s="1">
        <v>41760</v>
      </c>
      <c r="H23" s="1">
        <v>41760</v>
      </c>
      <c r="I23" s="1">
        <v>42461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69</v>
      </c>
      <c r="G24" s="1">
        <v>41760</v>
      </c>
      <c r="H24" s="1">
        <v>41760</v>
      </c>
      <c r="I24" s="1">
        <v>42461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41760</v>
      </c>
      <c r="H25" s="1">
        <v>41760</v>
      </c>
      <c r="I25" s="1">
        <v>42461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42461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42461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42461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42461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42461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42461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42461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105</v>
      </c>
      <c r="G33" s="1">
        <v>41760</v>
      </c>
      <c r="H33" s="1">
        <v>41760</v>
      </c>
      <c r="I33" s="1">
        <v>42461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54</v>
      </c>
      <c r="G34" s="1">
        <v>41760</v>
      </c>
      <c r="H34" s="1">
        <v>41760</v>
      </c>
      <c r="I34" s="1">
        <v>42461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39</v>
      </c>
      <c r="G35" s="1">
        <v>41760</v>
      </c>
      <c r="H35" s="1">
        <v>41760</v>
      </c>
      <c r="I35" s="1">
        <v>42461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23</v>
      </c>
      <c r="G36" s="1">
        <v>41760</v>
      </c>
      <c r="H36" s="1">
        <v>41760</v>
      </c>
      <c r="I36" s="1">
        <v>42461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41760</v>
      </c>
      <c r="H37" s="1">
        <v>41760</v>
      </c>
      <c r="I37" s="1">
        <v>42461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42461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110</v>
      </c>
      <c r="G39" s="1">
        <v>41760</v>
      </c>
      <c r="H39" s="1">
        <v>41760</v>
      </c>
      <c r="I39" s="1">
        <v>42461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62</v>
      </c>
      <c r="G40" s="1">
        <v>41760</v>
      </c>
      <c r="H40" s="1">
        <v>41760</v>
      </c>
      <c r="I40" s="1">
        <v>42461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44</v>
      </c>
      <c r="G41" s="1">
        <v>41760</v>
      </c>
      <c r="H41" s="1">
        <v>41760</v>
      </c>
      <c r="I41" s="1">
        <v>42461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27</v>
      </c>
      <c r="G42" s="1">
        <v>41760</v>
      </c>
      <c r="H42" s="1">
        <v>41760</v>
      </c>
      <c r="I42" s="1">
        <v>42461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41760</v>
      </c>
      <c r="H43" s="1">
        <v>41760</v>
      </c>
      <c r="I43" s="1">
        <v>42461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42461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131</v>
      </c>
      <c r="G45" s="1">
        <v>41760</v>
      </c>
      <c r="H45" s="1">
        <v>41760</v>
      </c>
      <c r="I45" s="1">
        <v>42461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89</v>
      </c>
      <c r="G46" s="1">
        <v>41760</v>
      </c>
      <c r="H46" s="1">
        <v>41760</v>
      </c>
      <c r="I46" s="1">
        <v>42461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57</v>
      </c>
      <c r="G47" s="1">
        <v>41760</v>
      </c>
      <c r="H47" s="1">
        <v>41760</v>
      </c>
      <c r="I47" s="1">
        <v>42461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33</v>
      </c>
      <c r="G48" s="1">
        <v>41760</v>
      </c>
      <c r="H48" s="1">
        <v>41760</v>
      </c>
      <c r="I48" s="1">
        <v>42461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41760</v>
      </c>
      <c r="H49" s="1">
        <v>41760</v>
      </c>
      <c r="I49" s="1">
        <v>42461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42461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148</v>
      </c>
      <c r="G51" s="1">
        <v>41760</v>
      </c>
      <c r="H51" s="1">
        <v>41760</v>
      </c>
      <c r="I51" s="1">
        <v>42461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115</v>
      </c>
      <c r="G52" s="1">
        <v>41760</v>
      </c>
      <c r="H52" s="1">
        <v>41760</v>
      </c>
      <c r="I52" s="1">
        <v>42461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71</v>
      </c>
      <c r="G53" s="1">
        <v>41760</v>
      </c>
      <c r="H53" s="1">
        <v>41760</v>
      </c>
      <c r="I53" s="1">
        <v>42461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39</v>
      </c>
      <c r="G54" s="1">
        <v>41760</v>
      </c>
      <c r="H54" s="1">
        <v>41760</v>
      </c>
      <c r="I54" s="1">
        <v>42461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41760</v>
      </c>
      <c r="H55" s="1">
        <v>41760</v>
      </c>
      <c r="I55" s="1">
        <v>42461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42461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42461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42461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42461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42461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42461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/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41306</v>
      </c>
      <c r="H2" s="1">
        <v>41306</v>
      </c>
      <c r="I2" s="1">
        <v>41395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41306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41306</v>
      </c>
      <c r="H3" s="1">
        <v>41306</v>
      </c>
      <c r="I3" s="1">
        <v>41395</v>
      </c>
      <c r="M3" s="2" t="s">
        <v>17</v>
      </c>
      <c r="N3">
        <f>N10-5</f>
        <v>81</v>
      </c>
      <c r="O3">
        <f>O10-10</f>
        <v>88</v>
      </c>
      <c r="P3">
        <f>P10-15</f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41306</v>
      </c>
      <c r="H4" s="1">
        <v>41306</v>
      </c>
      <c r="I4" s="1">
        <v>41395</v>
      </c>
      <c r="M4" t="s">
        <v>19</v>
      </c>
      <c r="N4">
        <f t="shared" ref="N4:N6" si="0">N11-5</f>
        <v>59</v>
      </c>
      <c r="O4">
        <f t="shared" ref="O4:O6" si="1">O11-10</f>
        <v>67</v>
      </c>
      <c r="P4">
        <f t="shared" ref="P4:P6" si="2">P11-15</f>
        <v>94</v>
      </c>
      <c r="Q4">
        <f>Q11-30</f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41306</v>
      </c>
      <c r="H5" s="1">
        <v>41306</v>
      </c>
      <c r="I5" s="1">
        <v>41395</v>
      </c>
      <c r="M5" t="s">
        <v>20</v>
      </c>
      <c r="N5">
        <f t="shared" si="0"/>
        <v>44</v>
      </c>
      <c r="O5">
        <f t="shared" si="1"/>
        <v>49</v>
      </c>
      <c r="P5">
        <f t="shared" si="2"/>
        <v>62</v>
      </c>
      <c r="Q5">
        <f t="shared" ref="Q5:Q6" si="3">Q12-30</f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41306</v>
      </c>
      <c r="H6" s="1">
        <v>41306</v>
      </c>
      <c r="I6" s="1">
        <v>41395</v>
      </c>
      <c r="M6" t="s">
        <v>21</v>
      </c>
      <c r="N6">
        <f t="shared" si="0"/>
        <v>28</v>
      </c>
      <c r="O6">
        <f t="shared" si="1"/>
        <v>32</v>
      </c>
      <c r="P6">
        <f t="shared" si="2"/>
        <v>38</v>
      </c>
      <c r="Q6">
        <f t="shared" si="3"/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41306</v>
      </c>
      <c r="H7" s="1">
        <v>41306</v>
      </c>
      <c r="I7" s="1">
        <v>41395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41306</v>
      </c>
      <c r="H8" s="1">
        <v>41306</v>
      </c>
      <c r="I8" s="1">
        <v>41395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41306</v>
      </c>
      <c r="H9" s="1">
        <v>41306</v>
      </c>
      <c r="I9" s="1">
        <v>41395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41306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41306</v>
      </c>
      <c r="H10" s="1">
        <v>41306</v>
      </c>
      <c r="I10" s="1">
        <v>41395</v>
      </c>
      <c r="M10" s="2" t="s">
        <v>17</v>
      </c>
      <c r="N10">
        <v>86</v>
      </c>
      <c r="O10">
        <v>98</v>
      </c>
      <c r="P10"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41306</v>
      </c>
      <c r="H11" s="1">
        <v>41306</v>
      </c>
      <c r="I11" s="1">
        <v>41395</v>
      </c>
      <c r="M11" t="s">
        <v>19</v>
      </c>
      <c r="N11">
        <v>64</v>
      </c>
      <c r="O11">
        <v>77</v>
      </c>
      <c r="P11">
        <v>109</v>
      </c>
      <c r="Q11"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41306</v>
      </c>
      <c r="H12" s="1">
        <v>41306</v>
      </c>
      <c r="I12" s="1">
        <v>41395</v>
      </c>
      <c r="M12" t="s">
        <v>20</v>
      </c>
      <c r="N12">
        <v>49</v>
      </c>
      <c r="O12">
        <v>59</v>
      </c>
      <c r="P12">
        <v>77</v>
      </c>
      <c r="Q12"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41306</v>
      </c>
      <c r="H13" s="1">
        <v>41306</v>
      </c>
      <c r="I13" s="1">
        <v>41395</v>
      </c>
      <c r="M13" t="s">
        <v>21</v>
      </c>
      <c r="N13">
        <v>33</v>
      </c>
      <c r="O13">
        <v>42</v>
      </c>
      <c r="P13">
        <v>53</v>
      </c>
      <c r="Q13"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41306</v>
      </c>
      <c r="H14" s="1">
        <v>41306</v>
      </c>
      <c r="I14" s="1">
        <v>41395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41306</v>
      </c>
      <c r="H15" s="1">
        <v>41306</v>
      </c>
      <c r="I15" s="1">
        <v>41395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41306</v>
      </c>
      <c r="H16" s="1">
        <v>41306</v>
      </c>
      <c r="I16" s="1">
        <v>41395</v>
      </c>
      <c r="M16" t="s">
        <v>24</v>
      </c>
      <c r="N16" t="s">
        <v>54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41306</v>
      </c>
      <c r="H17" s="1">
        <v>41306</v>
      </c>
      <c r="I17" s="1">
        <v>41395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41306</v>
      </c>
      <c r="H18" s="1">
        <v>41306</v>
      </c>
      <c r="I18" s="1">
        <v>41395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41306</v>
      </c>
      <c r="H19" s="1">
        <v>41306</v>
      </c>
      <c r="I19" s="1">
        <v>41395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41306</v>
      </c>
      <c r="H20" s="1">
        <v>41306</v>
      </c>
      <c r="I20" s="1">
        <v>41395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41306</v>
      </c>
      <c r="H21" s="1">
        <v>41306</v>
      </c>
      <c r="I21" s="1">
        <v>41395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41306</v>
      </c>
      <c r="H22" s="1">
        <v>41306</v>
      </c>
      <c r="I22" s="1">
        <v>41395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41306</v>
      </c>
      <c r="H23" s="1">
        <v>41306</v>
      </c>
      <c r="I23" s="1">
        <v>41395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41306</v>
      </c>
      <c r="H24" s="1">
        <v>41306</v>
      </c>
      <c r="I24" s="1">
        <v>41395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41306</v>
      </c>
      <c r="H25" s="1">
        <v>41306</v>
      </c>
      <c r="I25" s="1">
        <v>41395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41306</v>
      </c>
      <c r="H26" s="1">
        <v>41306</v>
      </c>
      <c r="I26" s="1">
        <v>41395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41306</v>
      </c>
      <c r="H27" s="1">
        <v>41306</v>
      </c>
      <c r="I27" s="1">
        <v>41395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41306</v>
      </c>
      <c r="H28" s="1">
        <v>41306</v>
      </c>
      <c r="I28" s="1">
        <v>41395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41306</v>
      </c>
      <c r="H29" s="1">
        <v>41306</v>
      </c>
      <c r="I29" s="1">
        <v>41395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41306</v>
      </c>
      <c r="H30" s="1">
        <v>41306</v>
      </c>
      <c r="I30" s="1">
        <v>41395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41306</v>
      </c>
      <c r="H31" s="1">
        <v>41306</v>
      </c>
      <c r="I31" s="1">
        <v>41395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41306</v>
      </c>
      <c r="H32" s="1">
        <v>41306</v>
      </c>
      <c r="I32" s="1">
        <v>41395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41306</v>
      </c>
      <c r="H33" s="1">
        <v>41306</v>
      </c>
      <c r="I33" s="1">
        <v>41395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41306</v>
      </c>
      <c r="H34" s="1">
        <v>41306</v>
      </c>
      <c r="I34" s="1">
        <v>41395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41306</v>
      </c>
      <c r="H35" s="1">
        <v>41306</v>
      </c>
      <c r="I35" s="1">
        <v>41395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41306</v>
      </c>
      <c r="H36" s="1">
        <v>41306</v>
      </c>
      <c r="I36" s="1">
        <v>41395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41306</v>
      </c>
      <c r="H37" s="1">
        <v>41306</v>
      </c>
      <c r="I37" s="1">
        <v>41395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41306</v>
      </c>
      <c r="H38" s="1">
        <v>41306</v>
      </c>
      <c r="I38" s="1">
        <v>41395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41306</v>
      </c>
      <c r="H39" s="1">
        <v>41306</v>
      </c>
      <c r="I39" s="1">
        <v>41395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41306</v>
      </c>
      <c r="H40" s="1">
        <v>41306</v>
      </c>
      <c r="I40" s="1">
        <v>41395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41306</v>
      </c>
      <c r="H41" s="1">
        <v>41306</v>
      </c>
      <c r="I41" s="1">
        <v>41395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41306</v>
      </c>
      <c r="H42" s="1">
        <v>41306</v>
      </c>
      <c r="I42" s="1">
        <v>41395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41306</v>
      </c>
      <c r="H43" s="1">
        <v>41306</v>
      </c>
      <c r="I43" s="1">
        <v>41395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41306</v>
      </c>
      <c r="H44" s="1">
        <v>41306</v>
      </c>
      <c r="I44" s="1">
        <v>41395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41306</v>
      </c>
      <c r="H45" s="1">
        <v>41306</v>
      </c>
      <c r="I45" s="1">
        <v>41395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41306</v>
      </c>
      <c r="H46" s="1">
        <v>41306</v>
      </c>
      <c r="I46" s="1">
        <v>41395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41306</v>
      </c>
      <c r="H47" s="1">
        <v>41306</v>
      </c>
      <c r="I47" s="1">
        <v>41395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41306</v>
      </c>
      <c r="H48" s="1">
        <v>41306</v>
      </c>
      <c r="I48" s="1">
        <v>41395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41306</v>
      </c>
      <c r="H49" s="1">
        <v>41306</v>
      </c>
      <c r="I49" s="1">
        <v>41395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41306</v>
      </c>
      <c r="H50" s="1">
        <v>41306</v>
      </c>
      <c r="I50" s="1">
        <v>41395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41306</v>
      </c>
      <c r="H51" s="1">
        <v>41306</v>
      </c>
      <c r="I51" s="1">
        <v>41395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41306</v>
      </c>
      <c r="H52" s="1">
        <v>41306</v>
      </c>
      <c r="I52" s="1">
        <v>41395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41306</v>
      </c>
      <c r="H53" s="1">
        <v>41306</v>
      </c>
      <c r="I53" s="1">
        <v>41395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41306</v>
      </c>
      <c r="H54" s="1">
        <v>41306</v>
      </c>
      <c r="I54" s="1">
        <v>41395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41306</v>
      </c>
      <c r="H55" s="1">
        <v>41306</v>
      </c>
      <c r="I55" s="1">
        <v>41395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41306</v>
      </c>
      <c r="H56" s="1">
        <v>41306</v>
      </c>
      <c r="I56" s="1">
        <v>41395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41306</v>
      </c>
      <c r="H57" s="1">
        <v>41306</v>
      </c>
      <c r="I57" s="1">
        <v>41395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41306</v>
      </c>
      <c r="H58" s="1">
        <v>41306</v>
      </c>
      <c r="I58" s="1">
        <v>41395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41306</v>
      </c>
      <c r="H59" s="1">
        <v>41306</v>
      </c>
      <c r="I59" s="1">
        <v>41395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41306</v>
      </c>
      <c r="H60" s="1">
        <v>41306</v>
      </c>
      <c r="I60" s="1">
        <v>41395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41306</v>
      </c>
      <c r="H61" s="1">
        <v>41306</v>
      </c>
      <c r="I61" s="1">
        <v>41395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41395</v>
      </c>
      <c r="H62" s="1">
        <v>41395</v>
      </c>
      <c r="I62" s="1">
        <v>41487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41395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v>115</v>
      </c>
      <c r="G63" s="1">
        <v>41395</v>
      </c>
      <c r="H63" s="1">
        <v>41395</v>
      </c>
      <c r="I63" s="1">
        <v>41487</v>
      </c>
      <c r="M63" s="2" t="s">
        <v>17</v>
      </c>
      <c r="N63">
        <v>110</v>
      </c>
      <c r="O63">
        <v>115</v>
      </c>
      <c r="P63">
        <v>136</v>
      </c>
      <c r="Q63" s="3" t="s">
        <v>18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v>64</v>
      </c>
      <c r="G64" s="1">
        <v>41395</v>
      </c>
      <c r="H64" s="1">
        <v>41395</v>
      </c>
      <c r="I64" s="1">
        <v>41487</v>
      </c>
      <c r="M64" t="s">
        <v>19</v>
      </c>
      <c r="N64">
        <v>59</v>
      </c>
      <c r="O64">
        <v>67</v>
      </c>
      <c r="P64">
        <v>94</v>
      </c>
      <c r="Q64">
        <v>120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v>49</v>
      </c>
      <c r="G65" s="1">
        <v>41395</v>
      </c>
      <c r="H65" s="1">
        <v>41395</v>
      </c>
      <c r="I65" s="1">
        <v>41487</v>
      </c>
      <c r="M65" t="s">
        <v>20</v>
      </c>
      <c r="N65">
        <v>44</v>
      </c>
      <c r="O65">
        <v>49</v>
      </c>
      <c r="P65">
        <v>62</v>
      </c>
      <c r="Q65">
        <v>76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v>33</v>
      </c>
      <c r="G66" s="1">
        <v>41395</v>
      </c>
      <c r="H66" s="1">
        <v>41395</v>
      </c>
      <c r="I66" s="1">
        <v>41487</v>
      </c>
      <c r="M66" t="s">
        <v>21</v>
      </c>
      <c r="N66">
        <v>28</v>
      </c>
      <c r="O66">
        <v>32</v>
      </c>
      <c r="P66">
        <v>38</v>
      </c>
      <c r="Q66">
        <v>44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v>0</v>
      </c>
      <c r="G67" s="1">
        <v>41395</v>
      </c>
      <c r="H67" s="1">
        <v>41395</v>
      </c>
      <c r="I67" s="1">
        <v>41487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41395</v>
      </c>
      <c r="H68" s="1">
        <v>41395</v>
      </c>
      <c r="I68" s="1">
        <v>41487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v>125</v>
      </c>
      <c r="G69" s="1">
        <v>41395</v>
      </c>
      <c r="H69" s="1">
        <v>41395</v>
      </c>
      <c r="I69" s="1">
        <v>41487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41395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v>77</v>
      </c>
      <c r="G70" s="1">
        <v>41395</v>
      </c>
      <c r="H70" s="1">
        <v>41395</v>
      </c>
      <c r="I70" s="1">
        <v>41487</v>
      </c>
      <c r="M70" s="2" t="s">
        <v>17</v>
      </c>
      <c r="N70">
        <f>N63+5</f>
        <v>115</v>
      </c>
      <c r="O70">
        <f>O63+10</f>
        <v>125</v>
      </c>
      <c r="P70">
        <f>P63+15</f>
        <v>151</v>
      </c>
      <c r="Q70" s="3" t="s">
        <v>18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v>59</v>
      </c>
      <c r="G71" s="1">
        <v>41395</v>
      </c>
      <c r="H71" s="1">
        <v>41395</v>
      </c>
      <c r="I71" s="1">
        <v>41487</v>
      </c>
      <c r="M71" t="s">
        <v>19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v>42</v>
      </c>
      <c r="G72" s="1">
        <v>41395</v>
      </c>
      <c r="H72" s="1">
        <v>41395</v>
      </c>
      <c r="I72" s="1">
        <v>41487</v>
      </c>
      <c r="M72" t="s">
        <v>20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v>0</v>
      </c>
      <c r="G73" s="1">
        <v>41395</v>
      </c>
      <c r="H73" s="1">
        <v>41395</v>
      </c>
      <c r="I73" s="1">
        <v>41487</v>
      </c>
      <c r="M73" t="s">
        <v>21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41395</v>
      </c>
      <c r="H74" s="1">
        <v>41395</v>
      </c>
      <c r="I74" s="1">
        <v>41487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v>151</v>
      </c>
      <c r="G75" s="1">
        <v>41395</v>
      </c>
      <c r="H75" s="1">
        <v>41395</v>
      </c>
      <c r="I75" s="1">
        <v>41487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v>109</v>
      </c>
      <c r="G76" s="1">
        <v>41395</v>
      </c>
      <c r="H76" s="1">
        <v>41395</v>
      </c>
      <c r="I76" s="1">
        <v>41487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v>77</v>
      </c>
      <c r="G77" s="1">
        <v>41395</v>
      </c>
      <c r="H77" s="1">
        <v>41395</v>
      </c>
      <c r="I77" s="1">
        <v>41487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v>53</v>
      </c>
      <c r="G78" s="1">
        <v>41395</v>
      </c>
      <c r="H78" s="1">
        <v>41395</v>
      </c>
      <c r="I78" s="1">
        <v>41487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v>0</v>
      </c>
      <c r="G79" s="1">
        <v>41395</v>
      </c>
      <c r="H79" s="1">
        <v>41395</v>
      </c>
      <c r="I79" s="1">
        <v>41487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41395</v>
      </c>
      <c r="H80" s="1">
        <v>41395</v>
      </c>
      <c r="I80" s="1">
        <v>41487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G81" s="1">
        <v>41395</v>
      </c>
      <c r="H81" s="1">
        <v>41395</v>
      </c>
      <c r="I81" s="1">
        <v>41487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v>150</v>
      </c>
      <c r="G82" s="1">
        <v>41395</v>
      </c>
      <c r="H82" s="1">
        <v>41395</v>
      </c>
      <c r="I82" s="1">
        <v>41487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v>106</v>
      </c>
      <c r="G83" s="1">
        <v>41395</v>
      </c>
      <c r="H83" s="1">
        <v>41395</v>
      </c>
      <c r="I83" s="1">
        <v>41487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v>74</v>
      </c>
      <c r="G84" s="1">
        <v>41395</v>
      </c>
      <c r="H84" s="1">
        <v>41395</v>
      </c>
      <c r="I84" s="1">
        <v>41487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v>0</v>
      </c>
      <c r="G85" s="1">
        <v>41395</v>
      </c>
      <c r="H85" s="1">
        <v>41395</v>
      </c>
      <c r="I85" s="1">
        <v>41487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41395</v>
      </c>
      <c r="H86" s="1">
        <v>41395</v>
      </c>
      <c r="I86" s="1">
        <v>41487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41395</v>
      </c>
      <c r="H87" s="1">
        <v>41395</v>
      </c>
      <c r="I87" s="1">
        <v>41487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41395</v>
      </c>
      <c r="H88" s="1">
        <v>41395</v>
      </c>
      <c r="I88" s="1">
        <v>41487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41395</v>
      </c>
      <c r="H89" s="1">
        <v>41395</v>
      </c>
      <c r="I89" s="1">
        <v>41487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41395</v>
      </c>
      <c r="H90" s="1">
        <v>41395</v>
      </c>
      <c r="I90" s="1">
        <v>41487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41395</v>
      </c>
      <c r="H91" s="1">
        <v>41395</v>
      </c>
      <c r="I91" s="1">
        <v>41487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41395</v>
      </c>
      <c r="H92" s="1">
        <v>41395</v>
      </c>
      <c r="I92" s="1">
        <v>41487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v>110</v>
      </c>
      <c r="G93" s="1">
        <v>41395</v>
      </c>
      <c r="H93" s="1">
        <v>41395</v>
      </c>
      <c r="I93" s="1">
        <v>41487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v>59</v>
      </c>
      <c r="G94" s="1">
        <v>41395</v>
      </c>
      <c r="H94" s="1">
        <v>41395</v>
      </c>
      <c r="I94" s="1">
        <v>41487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v>44</v>
      </c>
      <c r="G95" s="1">
        <v>41395</v>
      </c>
      <c r="H95" s="1">
        <v>41395</v>
      </c>
      <c r="I95" s="1">
        <v>41487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v>28</v>
      </c>
      <c r="G96" s="1">
        <v>41395</v>
      </c>
      <c r="H96" s="1">
        <v>41395</v>
      </c>
      <c r="I96" s="1">
        <v>41487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v>0</v>
      </c>
      <c r="G97" s="1">
        <v>41395</v>
      </c>
      <c r="H97" s="1">
        <v>41395</v>
      </c>
      <c r="I97" s="1">
        <v>41487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41395</v>
      </c>
      <c r="H98" s="1">
        <v>41395</v>
      </c>
      <c r="I98" s="1">
        <v>41487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v>115</v>
      </c>
      <c r="G99" s="1">
        <v>41395</v>
      </c>
      <c r="H99" s="1">
        <v>41395</v>
      </c>
      <c r="I99" s="1">
        <v>41487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v>67</v>
      </c>
      <c r="G100" s="1">
        <v>41395</v>
      </c>
      <c r="H100" s="1">
        <v>41395</v>
      </c>
      <c r="I100" s="1">
        <v>41487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v>49</v>
      </c>
      <c r="G101" s="1">
        <v>41395</v>
      </c>
      <c r="H101" s="1">
        <v>41395</v>
      </c>
      <c r="I101" s="1">
        <v>41487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v>32</v>
      </c>
      <c r="G102" s="1">
        <v>41395</v>
      </c>
      <c r="H102" s="1">
        <v>41395</v>
      </c>
      <c r="I102" s="1">
        <v>41487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v>0</v>
      </c>
      <c r="G103" s="1">
        <v>41395</v>
      </c>
      <c r="H103" s="1">
        <v>41395</v>
      </c>
      <c r="I103" s="1">
        <v>41487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41395</v>
      </c>
      <c r="H104" s="1">
        <v>41395</v>
      </c>
      <c r="I104" s="1">
        <v>41487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1">
        <v>41395</v>
      </c>
      <c r="H105" s="1">
        <v>41395</v>
      </c>
      <c r="I105" s="1">
        <v>41487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v>94</v>
      </c>
      <c r="G106" s="1">
        <v>41395</v>
      </c>
      <c r="H106" s="1">
        <v>41395</v>
      </c>
      <c r="I106" s="1">
        <v>41487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v>62</v>
      </c>
      <c r="G107" s="1">
        <v>41395</v>
      </c>
      <c r="H107" s="1">
        <v>41395</v>
      </c>
      <c r="I107" s="1">
        <v>41487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v>38</v>
      </c>
      <c r="G108" s="1">
        <v>41395</v>
      </c>
      <c r="H108" s="1">
        <v>41395</v>
      </c>
      <c r="I108" s="1">
        <v>41487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v>0</v>
      </c>
      <c r="G109" s="1">
        <v>41395</v>
      </c>
      <c r="H109" s="1">
        <v>41395</v>
      </c>
      <c r="I109" s="1">
        <v>41487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41395</v>
      </c>
      <c r="H110" s="1">
        <v>41395</v>
      </c>
      <c r="I110" s="1">
        <v>41487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G111" s="1">
        <v>41395</v>
      </c>
      <c r="H111" s="1">
        <v>41395</v>
      </c>
      <c r="I111" s="1">
        <v>41487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1">
        <v>41395</v>
      </c>
      <c r="H112" s="1">
        <v>41395</v>
      </c>
      <c r="I112" s="1">
        <v>41487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v>76</v>
      </c>
      <c r="G113" s="1">
        <v>41395</v>
      </c>
      <c r="H113" s="1">
        <v>41395</v>
      </c>
      <c r="I113" s="1">
        <v>41487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v>44</v>
      </c>
      <c r="G114" s="1">
        <v>41395</v>
      </c>
      <c r="H114" s="1">
        <v>41395</v>
      </c>
      <c r="I114" s="1">
        <v>41487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v>0</v>
      </c>
      <c r="G115" s="1">
        <v>41395</v>
      </c>
      <c r="H115" s="1">
        <v>41395</v>
      </c>
      <c r="I115" s="1">
        <v>41487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41395</v>
      </c>
      <c r="H116" s="1">
        <v>41395</v>
      </c>
      <c r="I116" s="1">
        <v>41487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41395</v>
      </c>
      <c r="H117" s="1">
        <v>41395</v>
      </c>
      <c r="I117" s="1">
        <v>41487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41395</v>
      </c>
      <c r="H118" s="1">
        <v>41395</v>
      </c>
      <c r="I118" s="1">
        <v>41487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41395</v>
      </c>
      <c r="H119" s="1">
        <v>41395</v>
      </c>
      <c r="I119" s="1">
        <v>41487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41395</v>
      </c>
      <c r="H120" s="1">
        <v>41395</v>
      </c>
      <c r="I120" s="1">
        <v>41487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41395</v>
      </c>
      <c r="H121" s="1">
        <v>41395</v>
      </c>
      <c r="I121" s="1">
        <v>41487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41487</v>
      </c>
      <c r="H122" s="1">
        <v>41487</v>
      </c>
      <c r="I122" s="1">
        <v>41760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41487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1">
        <v>41487</v>
      </c>
      <c r="H123" s="1">
        <v>41487</v>
      </c>
      <c r="I123" s="1">
        <v>41760</v>
      </c>
      <c r="M123" s="2" t="s">
        <v>17</v>
      </c>
      <c r="N123">
        <v>110</v>
      </c>
      <c r="O123">
        <v>115</v>
      </c>
      <c r="P123">
        <v>136</v>
      </c>
      <c r="Q123" s="9">
        <v>153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v>64</v>
      </c>
      <c r="G124" s="1">
        <v>41487</v>
      </c>
      <c r="H124" s="1">
        <v>41487</v>
      </c>
      <c r="I124" s="1">
        <v>41760</v>
      </c>
      <c r="M124" t="s">
        <v>19</v>
      </c>
      <c r="N124">
        <v>59</v>
      </c>
      <c r="O124">
        <v>67</v>
      </c>
      <c r="P124">
        <v>94</v>
      </c>
      <c r="Q124">
        <v>120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v>49</v>
      </c>
      <c r="G125" s="1">
        <v>41487</v>
      </c>
      <c r="H125" s="1">
        <v>41487</v>
      </c>
      <c r="I125" s="1">
        <v>41760</v>
      </c>
      <c r="M125" t="s">
        <v>20</v>
      </c>
      <c r="N125">
        <v>44</v>
      </c>
      <c r="O125">
        <v>49</v>
      </c>
      <c r="P125">
        <v>62</v>
      </c>
      <c r="Q125">
        <v>76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v>33</v>
      </c>
      <c r="G126" s="1">
        <v>41487</v>
      </c>
      <c r="H126" s="1">
        <v>41487</v>
      </c>
      <c r="I126" s="1">
        <v>41760</v>
      </c>
      <c r="M126" t="s">
        <v>21</v>
      </c>
      <c r="N126">
        <v>28</v>
      </c>
      <c r="O126">
        <v>32</v>
      </c>
      <c r="P126">
        <v>38</v>
      </c>
      <c r="Q126">
        <v>44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v>0</v>
      </c>
      <c r="G127" s="1">
        <v>41487</v>
      </c>
      <c r="H127" s="1">
        <v>41487</v>
      </c>
      <c r="I127" s="1">
        <v>41760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41487</v>
      </c>
      <c r="H128" s="1">
        <v>41487</v>
      </c>
      <c r="I128" s="1">
        <v>41760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1">
        <v>41487</v>
      </c>
      <c r="H129" s="1">
        <v>41487</v>
      </c>
      <c r="I129" s="1">
        <v>41760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41487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v>77</v>
      </c>
      <c r="G130" s="1">
        <v>41487</v>
      </c>
      <c r="H130" s="1">
        <v>41487</v>
      </c>
      <c r="I130" s="1">
        <v>41760</v>
      </c>
      <c r="M130" s="2" t="s">
        <v>17</v>
      </c>
      <c r="N130">
        <f>N123+5</f>
        <v>115</v>
      </c>
      <c r="O130">
        <f>O123+10</f>
        <v>125</v>
      </c>
      <c r="P130">
        <f>P123+15</f>
        <v>151</v>
      </c>
      <c r="Q130">
        <f>Q123+30</f>
        <v>183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v>59</v>
      </c>
      <c r="G131" s="1">
        <v>41487</v>
      </c>
      <c r="H131" s="1">
        <v>41487</v>
      </c>
      <c r="I131" s="1">
        <v>41760</v>
      </c>
      <c r="M131" t="s">
        <v>19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v>42</v>
      </c>
      <c r="G132" s="1">
        <v>41487</v>
      </c>
      <c r="H132" s="1">
        <v>41487</v>
      </c>
      <c r="I132" s="1">
        <v>41760</v>
      </c>
      <c r="M132" t="s">
        <v>20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v>0</v>
      </c>
      <c r="G133" s="1">
        <v>41487</v>
      </c>
      <c r="H133" s="1">
        <v>41487</v>
      </c>
      <c r="I133" s="1">
        <v>41760</v>
      </c>
      <c r="M133" t="s">
        <v>21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41487</v>
      </c>
      <c r="H134" s="1">
        <v>41487</v>
      </c>
      <c r="I134" s="1">
        <v>41760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1">
        <v>41487</v>
      </c>
      <c r="H135" s="1">
        <v>41487</v>
      </c>
      <c r="I135" s="1">
        <v>41760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1">
        <v>41487</v>
      </c>
      <c r="H136" s="1">
        <v>41487</v>
      </c>
      <c r="I136" s="1">
        <v>41760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v>77</v>
      </c>
      <c r="G137" s="1">
        <v>41487</v>
      </c>
      <c r="H137" s="1">
        <v>41487</v>
      </c>
      <c r="I137" s="1">
        <v>41760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v>53</v>
      </c>
      <c r="G138" s="1">
        <v>41487</v>
      </c>
      <c r="H138" s="1">
        <v>41487</v>
      </c>
      <c r="I138" s="1">
        <v>41760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v>0</v>
      </c>
      <c r="G139" s="1">
        <v>41487</v>
      </c>
      <c r="H139" s="1">
        <v>41487</v>
      </c>
      <c r="I139" s="1">
        <v>41760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41487</v>
      </c>
      <c r="H140" s="1">
        <v>41487</v>
      </c>
      <c r="I140" s="1">
        <v>41760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F141">
        <v>183</v>
      </c>
      <c r="G141" s="1">
        <v>41487</v>
      </c>
      <c r="H141" s="1">
        <v>41487</v>
      </c>
      <c r="I141" s="1">
        <v>41760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1">
        <v>41487</v>
      </c>
      <c r="H142" s="1">
        <v>41487</v>
      </c>
      <c r="I142" s="1">
        <v>41760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1">
        <v>41487</v>
      </c>
      <c r="H143" s="1">
        <v>41487</v>
      </c>
      <c r="I143" s="1">
        <v>41760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v>74</v>
      </c>
      <c r="G144" s="1">
        <v>41487</v>
      </c>
      <c r="H144" s="1">
        <v>41487</v>
      </c>
      <c r="I144" s="1">
        <v>41760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v>0</v>
      </c>
      <c r="G145" s="1">
        <v>41487</v>
      </c>
      <c r="H145" s="1">
        <v>41487</v>
      </c>
      <c r="I145" s="1">
        <v>41760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41487</v>
      </c>
      <c r="H146" s="1">
        <v>41487</v>
      </c>
      <c r="I146" s="1">
        <v>41760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41487</v>
      </c>
      <c r="H147" s="1">
        <v>41487</v>
      </c>
      <c r="I147" s="1">
        <v>41760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41487</v>
      </c>
      <c r="H148" s="1">
        <v>41487</v>
      </c>
      <c r="I148" s="1">
        <v>41760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41487</v>
      </c>
      <c r="H149" s="1">
        <v>41487</v>
      </c>
      <c r="I149" s="1">
        <v>41760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41487</v>
      </c>
      <c r="H150" s="1">
        <v>41487</v>
      </c>
      <c r="I150" s="1">
        <v>41760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41487</v>
      </c>
      <c r="H151" s="1">
        <v>41487</v>
      </c>
      <c r="I151" s="1">
        <v>41760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41487</v>
      </c>
      <c r="H152" s="1">
        <v>41487</v>
      </c>
      <c r="I152" s="1">
        <v>41760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1">
        <v>41487</v>
      </c>
      <c r="H153" s="1">
        <v>41487</v>
      </c>
      <c r="I153" s="1">
        <v>41760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v>59</v>
      </c>
      <c r="G154" s="1">
        <v>41487</v>
      </c>
      <c r="H154" s="1">
        <v>41487</v>
      </c>
      <c r="I154" s="1">
        <v>41760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v>44</v>
      </c>
      <c r="G155" s="1">
        <v>41487</v>
      </c>
      <c r="H155" s="1">
        <v>41487</v>
      </c>
      <c r="I155" s="1">
        <v>41760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v>28</v>
      </c>
      <c r="G156" s="1">
        <v>41487</v>
      </c>
      <c r="H156" s="1">
        <v>41487</v>
      </c>
      <c r="I156" s="1">
        <v>41760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v>0</v>
      </c>
      <c r="G157" s="1">
        <v>41487</v>
      </c>
      <c r="H157" s="1">
        <v>41487</v>
      </c>
      <c r="I157" s="1">
        <v>41760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41487</v>
      </c>
      <c r="H158" s="1">
        <v>41487</v>
      </c>
      <c r="I158" s="1">
        <v>41760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1">
        <v>41487</v>
      </c>
      <c r="H159" s="1">
        <v>41487</v>
      </c>
      <c r="I159" s="1">
        <v>41760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v>67</v>
      </c>
      <c r="G160" s="1">
        <v>41487</v>
      </c>
      <c r="H160" s="1">
        <v>41487</v>
      </c>
      <c r="I160" s="1">
        <v>41760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v>49</v>
      </c>
      <c r="G161" s="1">
        <v>41487</v>
      </c>
      <c r="H161" s="1">
        <v>41487</v>
      </c>
      <c r="I161" s="1">
        <v>41760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v>32</v>
      </c>
      <c r="G162" s="1">
        <v>41487</v>
      </c>
      <c r="H162" s="1">
        <v>41487</v>
      </c>
      <c r="I162" s="1">
        <v>41760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v>0</v>
      </c>
      <c r="G163" s="1">
        <v>41487</v>
      </c>
      <c r="H163" s="1">
        <v>41487</v>
      </c>
      <c r="I163" s="1">
        <v>41760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41487</v>
      </c>
      <c r="H164" s="1">
        <v>41487</v>
      </c>
      <c r="I164" s="1">
        <v>41760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1">
        <v>41487</v>
      </c>
      <c r="H165" s="1">
        <v>41487</v>
      </c>
      <c r="I165" s="1">
        <v>41760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v>94</v>
      </c>
      <c r="G166" s="1">
        <v>41487</v>
      </c>
      <c r="H166" s="1">
        <v>41487</v>
      </c>
      <c r="I166" s="1">
        <v>41760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v>62</v>
      </c>
      <c r="G167" s="1">
        <v>41487</v>
      </c>
      <c r="H167" s="1">
        <v>41487</v>
      </c>
      <c r="I167" s="1">
        <v>41760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v>38</v>
      </c>
      <c r="G168" s="1">
        <v>41487</v>
      </c>
      <c r="H168" s="1">
        <v>41487</v>
      </c>
      <c r="I168" s="1">
        <v>41760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v>0</v>
      </c>
      <c r="G169" s="1">
        <v>41487</v>
      </c>
      <c r="H169" s="1">
        <v>41487</v>
      </c>
      <c r="I169" s="1">
        <v>41760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F171" s="9">
        <v>153</v>
      </c>
      <c r="G171" s="1">
        <v>41487</v>
      </c>
      <c r="H171" s="1">
        <v>41487</v>
      </c>
      <c r="I171" s="1">
        <v>41760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1">
        <v>41487</v>
      </c>
      <c r="H172" s="1">
        <v>41487</v>
      </c>
      <c r="I172" s="1">
        <v>41760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>
        <v>76</v>
      </c>
      <c r="G173" s="1">
        <v>41487</v>
      </c>
      <c r="H173" s="1">
        <v>41487</v>
      </c>
      <c r="I173" s="1">
        <v>41760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>
        <v>44</v>
      </c>
      <c r="G174" s="1">
        <v>41487</v>
      </c>
      <c r="H174" s="1">
        <v>41487</v>
      </c>
      <c r="I174" s="1">
        <v>41760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41487</v>
      </c>
      <c r="H177" s="1">
        <v>41487</v>
      </c>
      <c r="I177" s="1">
        <v>41760</v>
      </c>
    </row>
    <row r="178" spans="1: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41487</v>
      </c>
      <c r="H178" s="1">
        <v>41487</v>
      </c>
      <c r="I178" s="1">
        <v>41760</v>
      </c>
    </row>
    <row r="179" spans="1: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41487</v>
      </c>
      <c r="H179" s="1">
        <v>41487</v>
      </c>
      <c r="I179" s="1">
        <v>41760</v>
      </c>
    </row>
    <row r="180" spans="1: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41487</v>
      </c>
      <c r="H180" s="1">
        <v>41487</v>
      </c>
      <c r="I180" s="1">
        <v>41760</v>
      </c>
    </row>
    <row r="181" spans="1: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41487</v>
      </c>
      <c r="H181" s="1">
        <v>41487</v>
      </c>
      <c r="I181" s="1">
        <v>41760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workbookViewId="0">
      <selection activeCell="H2" sqref="H2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M1" t="s">
        <v>51</v>
      </c>
      <c r="V1" t="s">
        <v>50</v>
      </c>
    </row>
    <row r="2" spans="1:28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40969</v>
      </c>
      <c r="H2" s="1">
        <v>40969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40969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s="1">
        <v>41306</v>
      </c>
    </row>
    <row r="3" spans="1:28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40969</v>
      </c>
      <c r="H3" s="1">
        <v>40969</v>
      </c>
      <c r="I3" s="1">
        <v>41306</v>
      </c>
      <c r="M3" s="2" t="s">
        <v>17</v>
      </c>
      <c r="N3">
        <v>79</v>
      </c>
      <c r="O3">
        <v>85</v>
      </c>
      <c r="P3">
        <v>106</v>
      </c>
      <c r="Q3" s="3" t="s">
        <v>18</v>
      </c>
      <c r="R3" s="3" t="s">
        <v>18</v>
      </c>
      <c r="V3" s="2" t="s">
        <v>17</v>
      </c>
      <c r="W3">
        <v>2</v>
      </c>
      <c r="X3">
        <v>3</v>
      </c>
      <c r="Y3">
        <v>4</v>
      </c>
      <c r="Z3" s="9">
        <v>5</v>
      </c>
      <c r="AA3" s="3"/>
    </row>
    <row r="4" spans="1:28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40969</v>
      </c>
      <c r="H4" s="1">
        <v>40969</v>
      </c>
      <c r="I4" s="1">
        <v>41306</v>
      </c>
      <c r="M4" t="s">
        <v>19</v>
      </c>
      <c r="N4">
        <v>57</v>
      </c>
      <c r="O4">
        <v>64</v>
      </c>
      <c r="P4">
        <v>90</v>
      </c>
      <c r="Q4">
        <v>115</v>
      </c>
      <c r="R4" s="3" t="s">
        <v>18</v>
      </c>
      <c r="V4" t="s">
        <v>19</v>
      </c>
      <c r="W4">
        <v>2</v>
      </c>
      <c r="X4">
        <v>3</v>
      </c>
      <c r="Y4">
        <v>4</v>
      </c>
      <c r="Z4">
        <v>5</v>
      </c>
      <c r="AA4" s="3"/>
    </row>
    <row r="5" spans="1:28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40969</v>
      </c>
      <c r="H5" s="1">
        <v>40969</v>
      </c>
      <c r="I5" s="1">
        <v>41306</v>
      </c>
      <c r="M5" t="s">
        <v>20</v>
      </c>
      <c r="N5">
        <v>42</v>
      </c>
      <c r="O5">
        <v>46</v>
      </c>
      <c r="P5">
        <v>58</v>
      </c>
      <c r="Q5">
        <v>71</v>
      </c>
      <c r="R5" s="3" t="s">
        <v>18</v>
      </c>
      <c r="V5" t="s">
        <v>20</v>
      </c>
      <c r="W5">
        <v>2</v>
      </c>
      <c r="X5">
        <v>3</v>
      </c>
      <c r="Y5">
        <v>4</v>
      </c>
      <c r="Z5">
        <v>5</v>
      </c>
      <c r="AA5" s="3"/>
    </row>
    <row r="6" spans="1:28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40969</v>
      </c>
      <c r="H6" s="1">
        <v>40969</v>
      </c>
      <c r="I6" s="1">
        <v>41306</v>
      </c>
      <c r="M6" t="s">
        <v>21</v>
      </c>
      <c r="N6">
        <v>26</v>
      </c>
      <c r="O6">
        <v>29</v>
      </c>
      <c r="P6">
        <v>34</v>
      </c>
      <c r="Q6">
        <v>39</v>
      </c>
      <c r="R6" s="3" t="s">
        <v>18</v>
      </c>
      <c r="V6" t="s">
        <v>21</v>
      </c>
      <c r="W6">
        <v>2</v>
      </c>
      <c r="X6">
        <v>3</v>
      </c>
      <c r="Y6">
        <v>4</v>
      </c>
      <c r="Z6">
        <v>5</v>
      </c>
      <c r="AA6" s="3"/>
    </row>
    <row r="7" spans="1:28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40969</v>
      </c>
      <c r="H7" s="1">
        <v>40969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  <c r="V7" t="s">
        <v>22</v>
      </c>
      <c r="AA7" s="3"/>
    </row>
    <row r="8" spans="1:28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40969</v>
      </c>
      <c r="H8" s="1">
        <v>40969</v>
      </c>
      <c r="I8" s="1">
        <v>41306</v>
      </c>
    </row>
    <row r="9" spans="1:28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40969</v>
      </c>
      <c r="H9" s="1">
        <v>40969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40969</v>
      </c>
    </row>
    <row r="10" spans="1:28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40969</v>
      </c>
      <c r="H10" s="1">
        <v>40969</v>
      </c>
      <c r="I10" s="1">
        <v>41306</v>
      </c>
      <c r="M10" s="2" t="s">
        <v>17</v>
      </c>
      <c r="N10">
        <f>N3+5</f>
        <v>84</v>
      </c>
      <c r="O10">
        <f>O3+10</f>
        <v>95</v>
      </c>
      <c r="P10">
        <f>P3+15</f>
        <v>121</v>
      </c>
      <c r="Q10" s="3" t="s">
        <v>18</v>
      </c>
      <c r="R10" s="3" t="s">
        <v>18</v>
      </c>
    </row>
    <row r="11" spans="1:28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40969</v>
      </c>
      <c r="H11" s="1">
        <v>40969</v>
      </c>
      <c r="I11" s="1">
        <v>41306</v>
      </c>
      <c r="M11" t="s">
        <v>19</v>
      </c>
      <c r="N11">
        <f t="shared" ref="N11:N13" si="0">N4+5</f>
        <v>62</v>
      </c>
      <c r="O11">
        <f t="shared" ref="O11:O13" si="1">O4+10</f>
        <v>74</v>
      </c>
      <c r="P11">
        <f t="shared" ref="P11:P13" si="2">P4+15</f>
        <v>105</v>
      </c>
      <c r="Q11">
        <f>Q4+30</f>
        <v>145</v>
      </c>
      <c r="R11" s="3" t="s">
        <v>18</v>
      </c>
    </row>
    <row r="12" spans="1:28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40969</v>
      </c>
      <c r="H12" s="1">
        <v>40969</v>
      </c>
      <c r="I12" s="1">
        <v>41306</v>
      </c>
      <c r="M12" t="s">
        <v>20</v>
      </c>
      <c r="N12">
        <f t="shared" si="0"/>
        <v>47</v>
      </c>
      <c r="O12">
        <f t="shared" si="1"/>
        <v>56</v>
      </c>
      <c r="P12">
        <f t="shared" si="2"/>
        <v>73</v>
      </c>
      <c r="Q12">
        <f t="shared" ref="Q12:Q13" si="3">Q5+30</f>
        <v>101</v>
      </c>
      <c r="R12" s="3" t="s">
        <v>18</v>
      </c>
    </row>
    <row r="13" spans="1:28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40969</v>
      </c>
      <c r="H13" s="1">
        <v>40969</v>
      </c>
      <c r="I13" s="1">
        <v>41306</v>
      </c>
      <c r="M13" t="s">
        <v>21</v>
      </c>
      <c r="N13">
        <f t="shared" si="0"/>
        <v>31</v>
      </c>
      <c r="O13">
        <f t="shared" si="1"/>
        <v>39</v>
      </c>
      <c r="P13">
        <f t="shared" si="2"/>
        <v>49</v>
      </c>
      <c r="Q13">
        <f t="shared" si="3"/>
        <v>69</v>
      </c>
      <c r="R13" s="3" t="s">
        <v>18</v>
      </c>
    </row>
    <row r="14" spans="1:28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40969</v>
      </c>
      <c r="H14" s="1">
        <v>40969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28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40969</v>
      </c>
      <c r="H15" s="1">
        <v>40969</v>
      </c>
      <c r="I15" s="1">
        <v>41306</v>
      </c>
    </row>
    <row r="16" spans="1:28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40969</v>
      </c>
      <c r="H16" s="1">
        <v>40969</v>
      </c>
      <c r="I16" s="1">
        <v>41306</v>
      </c>
      <c r="M16" t="s">
        <v>24</v>
      </c>
      <c r="N16" t="s">
        <v>54</v>
      </c>
    </row>
    <row r="17" spans="1:19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40969</v>
      </c>
      <c r="H17" s="1">
        <v>40969</v>
      </c>
      <c r="I17" s="1">
        <v>41306</v>
      </c>
      <c r="M17" t="s">
        <v>25</v>
      </c>
      <c r="N17" t="s">
        <v>26</v>
      </c>
    </row>
    <row r="18" spans="1:19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40969</v>
      </c>
      <c r="H18" s="1">
        <v>40969</v>
      </c>
      <c r="I18" s="1">
        <v>41306</v>
      </c>
    </row>
    <row r="19" spans="1:19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40969</v>
      </c>
      <c r="H19" s="1">
        <v>40969</v>
      </c>
      <c r="I19" s="1">
        <v>41306</v>
      </c>
    </row>
    <row r="20" spans="1:19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40969</v>
      </c>
      <c r="H20" s="1">
        <v>40969</v>
      </c>
      <c r="I20" s="1">
        <v>41306</v>
      </c>
    </row>
    <row r="21" spans="1:19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40969</v>
      </c>
      <c r="H21" s="1">
        <v>40969</v>
      </c>
      <c r="I21" s="1">
        <v>41306</v>
      </c>
      <c r="M21" t="s">
        <v>52</v>
      </c>
    </row>
    <row r="22" spans="1:19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40969</v>
      </c>
      <c r="H22" s="1">
        <v>40969</v>
      </c>
      <c r="I22" s="1">
        <v>41306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s="1">
        <v>40969</v>
      </c>
    </row>
    <row r="23" spans="1:19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40969</v>
      </c>
      <c r="H23" s="1">
        <v>40969</v>
      </c>
      <c r="I23" s="1">
        <v>41306</v>
      </c>
      <c r="M23" s="2" t="s">
        <v>17</v>
      </c>
      <c r="N23">
        <f>N3+W3</f>
        <v>81</v>
      </c>
      <c r="O23">
        <f t="shared" ref="O23:P23" si="4">O3+X3</f>
        <v>88</v>
      </c>
      <c r="P23">
        <f t="shared" si="4"/>
        <v>110</v>
      </c>
      <c r="Q23" s="3" t="s">
        <v>18</v>
      </c>
      <c r="R23" s="3" t="s">
        <v>18</v>
      </c>
    </row>
    <row r="24" spans="1:19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40969</v>
      </c>
      <c r="H24" s="1">
        <v>40969</v>
      </c>
      <c r="I24" s="1">
        <v>41306</v>
      </c>
      <c r="M24" t="s">
        <v>19</v>
      </c>
      <c r="N24">
        <f t="shared" ref="N24:N27" si="5">N4+W4</f>
        <v>59</v>
      </c>
      <c r="O24">
        <f t="shared" ref="O24:O27" si="6">O4+X4</f>
        <v>67</v>
      </c>
      <c r="P24">
        <f t="shared" ref="P24:Q27" si="7">P4+Y4</f>
        <v>94</v>
      </c>
      <c r="Q24">
        <f t="shared" si="7"/>
        <v>120</v>
      </c>
      <c r="R24" s="3" t="s">
        <v>18</v>
      </c>
    </row>
    <row r="25" spans="1:19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40969</v>
      </c>
      <c r="H25" s="1">
        <v>40969</v>
      </c>
      <c r="I25" s="1">
        <v>41306</v>
      </c>
      <c r="M25" t="s">
        <v>20</v>
      </c>
      <c r="N25">
        <f t="shared" si="5"/>
        <v>44</v>
      </c>
      <c r="O25">
        <f t="shared" si="6"/>
        <v>49</v>
      </c>
      <c r="P25">
        <f t="shared" si="7"/>
        <v>62</v>
      </c>
      <c r="Q25">
        <f t="shared" si="7"/>
        <v>76</v>
      </c>
      <c r="R25" s="3" t="s">
        <v>18</v>
      </c>
    </row>
    <row r="26" spans="1:19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40969</v>
      </c>
      <c r="H26" s="1">
        <v>40969</v>
      </c>
      <c r="I26" s="1">
        <v>41306</v>
      </c>
      <c r="M26" t="s">
        <v>21</v>
      </c>
      <c r="N26">
        <f t="shared" si="5"/>
        <v>28</v>
      </c>
      <c r="O26">
        <f t="shared" si="6"/>
        <v>32</v>
      </c>
      <c r="P26">
        <f t="shared" si="7"/>
        <v>38</v>
      </c>
      <c r="Q26">
        <f t="shared" si="7"/>
        <v>44</v>
      </c>
      <c r="R26" s="3" t="s">
        <v>18</v>
      </c>
    </row>
    <row r="27" spans="1:19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40969</v>
      </c>
      <c r="H27" s="1">
        <v>40969</v>
      </c>
      <c r="I27" s="1">
        <v>41306</v>
      </c>
      <c r="M27" t="s">
        <v>22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7"/>
        <v>0</v>
      </c>
      <c r="R27" s="3" t="s">
        <v>18</v>
      </c>
    </row>
    <row r="28" spans="1:19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40969</v>
      </c>
      <c r="H28" s="1">
        <v>40969</v>
      </c>
      <c r="I28" s="1">
        <v>41306</v>
      </c>
    </row>
    <row r="29" spans="1:19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40969</v>
      </c>
      <c r="H29" s="1">
        <v>40969</v>
      </c>
      <c r="I29" s="1">
        <v>41306</v>
      </c>
      <c r="M29" t="s">
        <v>23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s="1">
        <v>40969</v>
      </c>
    </row>
    <row r="30" spans="1:19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40969</v>
      </c>
      <c r="H30" s="1">
        <v>40969</v>
      </c>
      <c r="I30" s="1">
        <v>41306</v>
      </c>
      <c r="M30" s="2" t="s">
        <v>17</v>
      </c>
      <c r="N30">
        <f>N23+5</f>
        <v>86</v>
      </c>
      <c r="O30">
        <f>O23+10</f>
        <v>98</v>
      </c>
      <c r="P30">
        <f>P23+15</f>
        <v>125</v>
      </c>
      <c r="Q30" s="3" t="s">
        <v>18</v>
      </c>
      <c r="R30" s="3" t="s">
        <v>18</v>
      </c>
    </row>
    <row r="31" spans="1:19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40969</v>
      </c>
      <c r="H31" s="1">
        <v>40969</v>
      </c>
      <c r="I31" s="1">
        <v>41306</v>
      </c>
      <c r="M31" t="s">
        <v>19</v>
      </c>
      <c r="N31">
        <f t="shared" ref="N31:N33" si="8">N24+5</f>
        <v>64</v>
      </c>
      <c r="O31">
        <f t="shared" ref="O31:O33" si="9">O24+10</f>
        <v>77</v>
      </c>
      <c r="P31">
        <f t="shared" ref="P31:P33" si="10">P24+15</f>
        <v>109</v>
      </c>
      <c r="Q31">
        <f>Q24+30</f>
        <v>150</v>
      </c>
      <c r="R31" s="3" t="s">
        <v>18</v>
      </c>
    </row>
    <row r="32" spans="1:19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40969</v>
      </c>
      <c r="H32" s="1">
        <v>40969</v>
      </c>
      <c r="I32" s="1">
        <v>41306</v>
      </c>
      <c r="M32" t="s">
        <v>20</v>
      </c>
      <c r="N32">
        <f t="shared" si="8"/>
        <v>49</v>
      </c>
      <c r="O32">
        <f t="shared" si="9"/>
        <v>59</v>
      </c>
      <c r="P32">
        <f t="shared" si="10"/>
        <v>77</v>
      </c>
      <c r="Q32">
        <f t="shared" ref="Q32:Q33" si="11">Q25+30</f>
        <v>106</v>
      </c>
      <c r="R32" s="3" t="s">
        <v>18</v>
      </c>
    </row>
    <row r="33" spans="1:18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40969</v>
      </c>
      <c r="H33" s="1">
        <v>40969</v>
      </c>
      <c r="I33" s="1">
        <v>41306</v>
      </c>
      <c r="M33" t="s">
        <v>21</v>
      </c>
      <c r="N33">
        <f t="shared" si="8"/>
        <v>33</v>
      </c>
      <c r="O33">
        <f t="shared" si="9"/>
        <v>42</v>
      </c>
      <c r="P33">
        <f t="shared" si="10"/>
        <v>53</v>
      </c>
      <c r="Q33">
        <f t="shared" si="11"/>
        <v>74</v>
      </c>
      <c r="R33" s="3" t="s">
        <v>18</v>
      </c>
    </row>
    <row r="34" spans="1:18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40969</v>
      </c>
      <c r="H34" s="1">
        <v>40969</v>
      </c>
      <c r="I34" s="1">
        <v>41306</v>
      </c>
      <c r="M34" t="s">
        <v>22</v>
      </c>
      <c r="N34">
        <v>0</v>
      </c>
      <c r="O34">
        <v>0</v>
      </c>
      <c r="P34">
        <v>0</v>
      </c>
      <c r="Q34">
        <v>0</v>
      </c>
      <c r="R34" s="3" t="s">
        <v>18</v>
      </c>
    </row>
    <row r="35" spans="1:18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40969</v>
      </c>
      <c r="H35" s="1">
        <v>40969</v>
      </c>
      <c r="I35" s="1">
        <v>41306</v>
      </c>
    </row>
    <row r="36" spans="1:18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40969</v>
      </c>
      <c r="H36" s="1">
        <v>40969</v>
      </c>
      <c r="I36" s="1">
        <v>41306</v>
      </c>
    </row>
    <row r="37" spans="1:18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40969</v>
      </c>
      <c r="H37" s="1">
        <v>40969</v>
      </c>
      <c r="I37" s="1">
        <v>41306</v>
      </c>
    </row>
    <row r="38" spans="1:18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40969</v>
      </c>
      <c r="H38" s="1">
        <v>40969</v>
      </c>
      <c r="I38" s="1">
        <v>41306</v>
      </c>
    </row>
    <row r="39" spans="1:18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40969</v>
      </c>
      <c r="H39" s="1">
        <v>40969</v>
      </c>
      <c r="I39" s="1">
        <v>41306</v>
      </c>
    </row>
    <row r="40" spans="1:18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40969</v>
      </c>
      <c r="H40" s="1">
        <v>40969</v>
      </c>
      <c r="I40" s="1">
        <v>41306</v>
      </c>
    </row>
    <row r="41" spans="1:18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40969</v>
      </c>
      <c r="H41" s="1">
        <v>40969</v>
      </c>
      <c r="I41" s="1">
        <v>41306</v>
      </c>
    </row>
    <row r="42" spans="1:18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40969</v>
      </c>
      <c r="H42" s="1">
        <v>40969</v>
      </c>
      <c r="I42" s="1">
        <v>41306</v>
      </c>
    </row>
    <row r="43" spans="1:18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40969</v>
      </c>
      <c r="H43" s="1">
        <v>40969</v>
      </c>
      <c r="I43" s="1">
        <v>41306</v>
      </c>
    </row>
    <row r="44" spans="1:18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40969</v>
      </c>
      <c r="H44" s="1">
        <v>40969</v>
      </c>
      <c r="I44" s="1">
        <v>41306</v>
      </c>
    </row>
    <row r="45" spans="1:18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40969</v>
      </c>
      <c r="H45" s="1">
        <v>40969</v>
      </c>
      <c r="I45" s="1">
        <v>41306</v>
      </c>
    </row>
    <row r="46" spans="1:18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40969</v>
      </c>
      <c r="H46" s="1">
        <v>40969</v>
      </c>
      <c r="I46" s="1">
        <v>41306</v>
      </c>
    </row>
    <row r="47" spans="1:18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40969</v>
      </c>
      <c r="H47" s="1">
        <v>40969</v>
      </c>
      <c r="I47" s="1">
        <v>41306</v>
      </c>
    </row>
    <row r="48" spans="1:18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40969</v>
      </c>
      <c r="H48" s="1">
        <v>40969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40969</v>
      </c>
      <c r="H49" s="1">
        <v>40969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40969</v>
      </c>
      <c r="H50" s="1">
        <v>40969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40969</v>
      </c>
      <c r="H51" s="1">
        <v>40969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40969</v>
      </c>
      <c r="H52" s="1">
        <v>40969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40969</v>
      </c>
      <c r="H53" s="1">
        <v>40969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40969</v>
      </c>
      <c r="H54" s="1">
        <v>40969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40969</v>
      </c>
      <c r="H55" s="1">
        <v>40969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40969</v>
      </c>
      <c r="H56" s="1">
        <v>40969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40969</v>
      </c>
      <c r="H57" s="1">
        <v>40969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40969</v>
      </c>
      <c r="H58" s="1">
        <v>40969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40969</v>
      </c>
      <c r="H59" s="1">
        <v>40969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40969</v>
      </c>
      <c r="H60" s="1">
        <v>40969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40969</v>
      </c>
      <c r="H61" s="1">
        <v>40969</v>
      </c>
      <c r="I61" s="1">
        <v>41306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H8" sqref="H8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40756</v>
      </c>
      <c r="I2" s="1">
        <v>40969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40756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40756</v>
      </c>
      <c r="H3" s="1">
        <v>40756</v>
      </c>
      <c r="I3" s="1">
        <v>40969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40756</v>
      </c>
      <c r="H4" s="1">
        <v>40756</v>
      </c>
      <c r="I4" s="1">
        <v>40969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40756</v>
      </c>
      <c r="H5" s="1">
        <v>40756</v>
      </c>
      <c r="I5" s="1">
        <v>40969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40756</v>
      </c>
      <c r="H6" s="1">
        <v>40756</v>
      </c>
      <c r="I6" s="1">
        <v>40969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40756</v>
      </c>
      <c r="H7" s="1">
        <v>40756</v>
      </c>
      <c r="I7" s="1">
        <v>40969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40756</v>
      </c>
      <c r="H8" s="1">
        <v>40756</v>
      </c>
      <c r="I8" s="1">
        <v>40969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40756</v>
      </c>
      <c r="H9" s="1">
        <v>40756</v>
      </c>
      <c r="I9" s="1">
        <v>40969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40756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40756</v>
      </c>
      <c r="H10" s="1">
        <v>40756</v>
      </c>
      <c r="I10" s="1">
        <v>40969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40756</v>
      </c>
      <c r="H11" s="1">
        <v>40756</v>
      </c>
      <c r="I11" s="1">
        <v>40969</v>
      </c>
      <c r="M11" t="s">
        <v>19</v>
      </c>
      <c r="N11">
        <f t="shared" ref="N11:O11" si="0">N4+10</f>
        <v>77</v>
      </c>
      <c r="O11">
        <f t="shared" si="0"/>
        <v>77</v>
      </c>
      <c r="P11">
        <f t="shared" ref="P11:P13" si="1">P4+15</f>
        <v>109</v>
      </c>
      <c r="Q11" s="3" t="s">
        <v>18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40756</v>
      </c>
      <c r="H12" s="1">
        <v>40756</v>
      </c>
      <c r="I12" s="1">
        <v>40969</v>
      </c>
      <c r="M12" t="s">
        <v>20</v>
      </c>
      <c r="N12">
        <f t="shared" ref="N12:O12" si="2">N5+10</f>
        <v>59</v>
      </c>
      <c r="O12">
        <f t="shared" si="2"/>
        <v>59</v>
      </c>
      <c r="P12">
        <f t="shared" si="1"/>
        <v>77</v>
      </c>
      <c r="Q12" s="3" t="s">
        <v>18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40756</v>
      </c>
      <c r="H13" s="1">
        <v>40756</v>
      </c>
      <c r="I13" s="1">
        <v>40969</v>
      </c>
      <c r="M13" t="s">
        <v>21</v>
      </c>
      <c r="N13">
        <f t="shared" ref="N13:O13" si="3">N6+10</f>
        <v>42</v>
      </c>
      <c r="O13">
        <f t="shared" si="3"/>
        <v>42</v>
      </c>
      <c r="P13">
        <f t="shared" si="1"/>
        <v>53</v>
      </c>
      <c r="Q13" s="3" t="s">
        <v>18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40756</v>
      </c>
      <c r="H14" s="1">
        <v>40756</v>
      </c>
      <c r="I14" s="1">
        <v>40969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40756</v>
      </c>
      <c r="H15" s="1">
        <v>40756</v>
      </c>
      <c r="I15" s="1">
        <v>40969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40756</v>
      </c>
      <c r="H16" s="1">
        <v>40756</v>
      </c>
      <c r="I16" s="1">
        <v>40969</v>
      </c>
      <c r="M16" t="s">
        <v>24</v>
      </c>
      <c r="N16" t="s">
        <v>55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40756</v>
      </c>
      <c r="H17" s="1">
        <v>40756</v>
      </c>
      <c r="I17" s="1">
        <v>40969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40756</v>
      </c>
      <c r="H18" s="1">
        <v>40756</v>
      </c>
      <c r="I18" s="1">
        <v>40969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40756</v>
      </c>
      <c r="H19" s="1">
        <v>40756</v>
      </c>
      <c r="I19" s="1">
        <v>40969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40756</v>
      </c>
      <c r="H20" s="1">
        <v>40756</v>
      </c>
      <c r="I20" s="1">
        <v>40969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40756</v>
      </c>
      <c r="H21" s="1">
        <v>40756</v>
      </c>
      <c r="I21" s="1">
        <v>40969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G22" s="1">
        <v>40756</v>
      </c>
      <c r="H22" s="1">
        <v>40756</v>
      </c>
      <c r="I22" s="1">
        <v>40969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G23" s="1">
        <v>40756</v>
      </c>
      <c r="H23" s="1">
        <v>40756</v>
      </c>
      <c r="I23" s="1">
        <v>40969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G24" s="1">
        <v>40756</v>
      </c>
      <c r="H24" s="1">
        <v>40756</v>
      </c>
      <c r="I24" s="1">
        <v>40969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40756</v>
      </c>
      <c r="H25" s="1">
        <v>40756</v>
      </c>
      <c r="I25" s="1">
        <v>40969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40756</v>
      </c>
      <c r="H26" s="1">
        <v>40756</v>
      </c>
      <c r="I26" s="1">
        <v>40969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40756</v>
      </c>
      <c r="H27" s="1">
        <v>40756</v>
      </c>
      <c r="I27" s="1">
        <v>40969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40756</v>
      </c>
      <c r="H28" s="1">
        <v>40756</v>
      </c>
      <c r="I28" s="1">
        <v>40969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40756</v>
      </c>
      <c r="H29" s="1">
        <v>40756</v>
      </c>
      <c r="I29" s="1">
        <v>40969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40756</v>
      </c>
      <c r="H30" s="1">
        <v>40756</v>
      </c>
      <c r="I30" s="1">
        <v>40969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40756</v>
      </c>
      <c r="H31" s="1">
        <v>40756</v>
      </c>
      <c r="I31" s="1">
        <v>40969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40756</v>
      </c>
      <c r="H32" s="1">
        <v>40756</v>
      </c>
      <c r="I32" s="1">
        <v>40969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40756</v>
      </c>
      <c r="H33" s="1">
        <v>40756</v>
      </c>
      <c r="I33" s="1">
        <v>40969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40756</v>
      </c>
      <c r="H34" s="1">
        <v>40756</v>
      </c>
      <c r="I34" s="1">
        <v>40969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40756</v>
      </c>
      <c r="H35" s="1">
        <v>40756</v>
      </c>
      <c r="I35" s="1">
        <v>40969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40756</v>
      </c>
      <c r="H36" s="1">
        <v>40756</v>
      </c>
      <c r="I36" s="1">
        <v>40969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40756</v>
      </c>
      <c r="H37" s="1">
        <v>40756</v>
      </c>
      <c r="I37" s="1">
        <v>40969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40756</v>
      </c>
      <c r="H38" s="1">
        <v>40756</v>
      </c>
      <c r="I38" s="1">
        <v>40969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40756</v>
      </c>
      <c r="H39" s="1">
        <v>40756</v>
      </c>
      <c r="I39" s="1">
        <v>40969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40756</v>
      </c>
      <c r="H40" s="1">
        <v>40756</v>
      </c>
      <c r="I40" s="1">
        <v>40969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40756</v>
      </c>
      <c r="H41" s="1">
        <v>40756</v>
      </c>
      <c r="I41" s="1">
        <v>40969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40756</v>
      </c>
      <c r="H42" s="1">
        <v>40756</v>
      </c>
      <c r="I42" s="1">
        <v>40969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40756</v>
      </c>
      <c r="H43" s="1">
        <v>40756</v>
      </c>
      <c r="I43" s="1">
        <v>40969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40756</v>
      </c>
      <c r="H44" s="1">
        <v>40756</v>
      </c>
      <c r="I44" s="1">
        <v>40969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40756</v>
      </c>
      <c r="H45" s="1">
        <v>40756</v>
      </c>
      <c r="I45" s="1">
        <v>40969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40756</v>
      </c>
      <c r="H46" s="1">
        <v>40756</v>
      </c>
      <c r="I46" s="1">
        <v>40969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40756</v>
      </c>
      <c r="H47" s="1">
        <v>40756</v>
      </c>
      <c r="I47" s="1">
        <v>40969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40756</v>
      </c>
      <c r="H48" s="1">
        <v>40756</v>
      </c>
      <c r="I48" s="1">
        <v>40969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40756</v>
      </c>
      <c r="H49" s="1">
        <v>40756</v>
      </c>
      <c r="I49" s="1">
        <v>40969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40756</v>
      </c>
      <c r="H50" s="1">
        <v>40756</v>
      </c>
      <c r="I50" s="1">
        <v>40969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40756</v>
      </c>
      <c r="H51" s="1">
        <v>40756</v>
      </c>
      <c r="I51" s="1">
        <v>40969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40756</v>
      </c>
      <c r="H52" s="1">
        <v>40756</v>
      </c>
      <c r="I52" s="1">
        <v>40969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40756</v>
      </c>
      <c r="H53" s="1">
        <v>40756</v>
      </c>
      <c r="I53" s="1">
        <v>40969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40756</v>
      </c>
      <c r="H54" s="1">
        <v>40756</v>
      </c>
      <c r="I54" s="1">
        <v>40969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40756</v>
      </c>
      <c r="H55" s="1">
        <v>40756</v>
      </c>
      <c r="I55" s="1">
        <v>40969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40756</v>
      </c>
      <c r="H56" s="1">
        <v>40756</v>
      </c>
      <c r="I56" s="1">
        <v>40969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40756</v>
      </c>
      <c r="H57" s="1">
        <v>40756</v>
      </c>
      <c r="I57" s="1">
        <v>40969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40756</v>
      </c>
      <c r="H58" s="1">
        <v>40756</v>
      </c>
      <c r="I58" s="1">
        <v>40969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40756</v>
      </c>
      <c r="H59" s="1">
        <v>40756</v>
      </c>
      <c r="I59" s="1">
        <v>40969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40756</v>
      </c>
      <c r="H60" s="1">
        <v>40756</v>
      </c>
      <c r="I60" s="1">
        <v>40969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40756</v>
      </c>
      <c r="H61" s="1">
        <v>40756</v>
      </c>
      <c r="I61" s="1">
        <v>40969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N17" sqref="N17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40299</v>
      </c>
      <c r="H2" s="1">
        <v>40299</v>
      </c>
      <c r="I2" s="1">
        <v>40756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40299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40299</v>
      </c>
      <c r="H3" s="1">
        <v>40299</v>
      </c>
      <c r="I3" s="1">
        <v>40756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40299</v>
      </c>
      <c r="H4" s="1">
        <v>40299</v>
      </c>
      <c r="I4" s="1">
        <v>40756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40299</v>
      </c>
      <c r="H5" s="1">
        <v>40299</v>
      </c>
      <c r="I5" s="1">
        <v>40756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40299</v>
      </c>
      <c r="H6" s="1">
        <v>40299</v>
      </c>
      <c r="I6" s="1">
        <v>40756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40299</v>
      </c>
      <c r="H7" s="1">
        <v>40299</v>
      </c>
      <c r="I7" s="1">
        <v>40756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40299</v>
      </c>
      <c r="H8" s="1">
        <v>40299</v>
      </c>
      <c r="I8" s="1">
        <v>40756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40299</v>
      </c>
      <c r="H9" s="1">
        <v>40299</v>
      </c>
      <c r="I9" s="1">
        <v>40756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40299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40299</v>
      </c>
      <c r="H10" s="1">
        <v>40299</v>
      </c>
      <c r="I10" s="1">
        <v>40756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40299</v>
      </c>
      <c r="H11" s="1">
        <v>40299</v>
      </c>
      <c r="I11" s="1">
        <v>40756</v>
      </c>
      <c r="M11" t="s">
        <v>19</v>
      </c>
      <c r="N11">
        <f t="shared" ref="N11:O13" si="0">N4+10</f>
        <v>77</v>
      </c>
      <c r="O11">
        <f t="shared" si="0"/>
        <v>77</v>
      </c>
      <c r="P11">
        <f t="shared" ref="P11:P13" si="1">P4+15</f>
        <v>109</v>
      </c>
      <c r="Q11">
        <f>Q4+30</f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40299</v>
      </c>
      <c r="H12" s="1">
        <v>40299</v>
      </c>
      <c r="I12" s="1">
        <v>40756</v>
      </c>
      <c r="M12" t="s">
        <v>20</v>
      </c>
      <c r="N12">
        <f t="shared" si="0"/>
        <v>59</v>
      </c>
      <c r="O12">
        <f t="shared" si="0"/>
        <v>59</v>
      </c>
      <c r="P12">
        <f t="shared" si="1"/>
        <v>77</v>
      </c>
      <c r="Q12">
        <f t="shared" ref="Q12:Q13" si="2">Q5+30</f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40299</v>
      </c>
      <c r="H13" s="1">
        <v>40299</v>
      </c>
      <c r="I13" s="1">
        <v>40756</v>
      </c>
      <c r="M13" t="s">
        <v>21</v>
      </c>
      <c r="N13">
        <f t="shared" si="0"/>
        <v>42</v>
      </c>
      <c r="O13">
        <f t="shared" si="0"/>
        <v>42</v>
      </c>
      <c r="P13">
        <f t="shared" si="1"/>
        <v>53</v>
      </c>
      <c r="Q13">
        <f t="shared" si="2"/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40299</v>
      </c>
      <c r="H14" s="1">
        <v>40299</v>
      </c>
      <c r="I14" s="1">
        <v>40756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40299</v>
      </c>
      <c r="H15" s="1">
        <v>40299</v>
      </c>
      <c r="I15" s="1">
        <v>40756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40299</v>
      </c>
      <c r="H16" s="1">
        <v>40299</v>
      </c>
      <c r="I16" s="1">
        <v>40756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40299</v>
      </c>
      <c r="H17" s="1">
        <v>40299</v>
      </c>
      <c r="I17" s="1">
        <v>40756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40299</v>
      </c>
      <c r="H18" s="1">
        <v>40299</v>
      </c>
      <c r="I18" s="1">
        <v>40756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40299</v>
      </c>
      <c r="H19" s="1">
        <v>40299</v>
      </c>
      <c r="I19" s="1">
        <v>40756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40299</v>
      </c>
      <c r="H20" s="1">
        <v>40299</v>
      </c>
      <c r="I20" s="1">
        <v>40756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40299</v>
      </c>
      <c r="H21" s="1">
        <v>40299</v>
      </c>
      <c r="I21" s="1">
        <v>40756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F15+30</f>
        <v>155</v>
      </c>
      <c r="G22" s="1">
        <v>40299</v>
      </c>
      <c r="H22" s="1">
        <v>40299</v>
      </c>
      <c r="I22" s="1">
        <v>40756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4" si="3">F16+30</f>
        <v>139</v>
      </c>
      <c r="G23" s="1">
        <v>40299</v>
      </c>
      <c r="H23" s="1">
        <v>40299</v>
      </c>
      <c r="I23" s="1">
        <v>40756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3"/>
        <v>107</v>
      </c>
      <c r="G24" s="1">
        <v>40299</v>
      </c>
      <c r="H24" s="1">
        <v>40299</v>
      </c>
      <c r="I24" s="1">
        <v>40756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40299</v>
      </c>
      <c r="H25" s="1">
        <v>40299</v>
      </c>
      <c r="I25" s="1">
        <v>40756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40299</v>
      </c>
      <c r="H26" s="1">
        <v>40299</v>
      </c>
      <c r="I26" s="1">
        <v>40756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40299</v>
      </c>
      <c r="H27" s="1">
        <v>40299</v>
      </c>
      <c r="I27" s="1">
        <v>40756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40299</v>
      </c>
      <c r="H28" s="1">
        <v>40299</v>
      </c>
      <c r="I28" s="1">
        <v>40756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40299</v>
      </c>
      <c r="H29" s="1">
        <v>40299</v>
      </c>
      <c r="I29" s="1">
        <v>40756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40299</v>
      </c>
      <c r="H30" s="1">
        <v>40299</v>
      </c>
      <c r="I30" s="1">
        <v>40756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40299</v>
      </c>
      <c r="H31" s="1">
        <v>40299</v>
      </c>
      <c r="I31" s="1">
        <v>40756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40299</v>
      </c>
      <c r="H32" s="1">
        <v>40299</v>
      </c>
      <c r="I32" s="1">
        <v>40756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40299</v>
      </c>
      <c r="H33" s="1">
        <v>40299</v>
      </c>
      <c r="I33" s="1">
        <v>40756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40299</v>
      </c>
      <c r="H34" s="1">
        <v>40299</v>
      </c>
      <c r="I34" s="1">
        <v>40756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40299</v>
      </c>
      <c r="H35" s="1">
        <v>40299</v>
      </c>
      <c r="I35" s="1">
        <v>40756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40299</v>
      </c>
      <c r="H36" s="1">
        <v>40299</v>
      </c>
      <c r="I36" s="1">
        <v>40756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40299</v>
      </c>
      <c r="H37" s="1">
        <v>40299</v>
      </c>
      <c r="I37" s="1">
        <v>40756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40299</v>
      </c>
      <c r="H38" s="1">
        <v>40299</v>
      </c>
      <c r="I38" s="1">
        <v>40756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40299</v>
      </c>
      <c r="H39" s="1">
        <v>40299</v>
      </c>
      <c r="I39" s="1">
        <v>40756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40299</v>
      </c>
      <c r="H40" s="1">
        <v>40299</v>
      </c>
      <c r="I40" s="1">
        <v>40756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40299</v>
      </c>
      <c r="H41" s="1">
        <v>40299</v>
      </c>
      <c r="I41" s="1">
        <v>40756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40299</v>
      </c>
      <c r="H42" s="1">
        <v>40299</v>
      </c>
      <c r="I42" s="1">
        <v>40756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40299</v>
      </c>
      <c r="H43" s="1">
        <v>40299</v>
      </c>
      <c r="I43" s="1">
        <v>40756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40299</v>
      </c>
      <c r="H44" s="1">
        <v>40299</v>
      </c>
      <c r="I44" s="1">
        <v>40756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40299</v>
      </c>
      <c r="H45" s="1">
        <v>40299</v>
      </c>
      <c r="I45" s="1">
        <v>40756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40299</v>
      </c>
      <c r="H46" s="1">
        <v>40299</v>
      </c>
      <c r="I46" s="1">
        <v>40756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40299</v>
      </c>
      <c r="H47" s="1">
        <v>40299</v>
      </c>
      <c r="I47" s="1">
        <v>40756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40299</v>
      </c>
      <c r="H48" s="1">
        <v>40299</v>
      </c>
      <c r="I48" s="1">
        <v>40756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40299</v>
      </c>
      <c r="H49" s="1">
        <v>40299</v>
      </c>
      <c r="I49" s="1">
        <v>40756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40299</v>
      </c>
      <c r="H50" s="1">
        <v>40299</v>
      </c>
      <c r="I50" s="1">
        <v>40756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40299</v>
      </c>
      <c r="H51" s="1">
        <v>40299</v>
      </c>
      <c r="I51" s="1">
        <v>40756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40299</v>
      </c>
      <c r="H52" s="1">
        <v>40299</v>
      </c>
      <c r="I52" s="1">
        <v>40756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40299</v>
      </c>
      <c r="H53" s="1">
        <v>40299</v>
      </c>
      <c r="I53" s="1">
        <v>40756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40299</v>
      </c>
      <c r="H54" s="1">
        <v>40299</v>
      </c>
      <c r="I54" s="1">
        <v>40756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40299</v>
      </c>
      <c r="H55" s="1">
        <v>40299</v>
      </c>
      <c r="I55" s="1">
        <v>40756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40299</v>
      </c>
      <c r="H56" s="1">
        <v>40299</v>
      </c>
      <c r="I56" s="1">
        <v>40756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40299</v>
      </c>
      <c r="H57" s="1">
        <v>40299</v>
      </c>
      <c r="I57" s="1">
        <v>40756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40299</v>
      </c>
      <c r="H58" s="1">
        <v>40299</v>
      </c>
      <c r="I58" s="1">
        <v>40756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40299</v>
      </c>
      <c r="H59" s="1">
        <v>40299</v>
      </c>
      <c r="I59" s="1">
        <v>40756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40299</v>
      </c>
      <c r="H60" s="1">
        <v>40299</v>
      </c>
      <c r="I60" s="1">
        <v>40756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40299</v>
      </c>
      <c r="H61" s="1">
        <v>40299</v>
      </c>
      <c r="I61" s="1">
        <v>40756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O40" sqref="O40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39873</v>
      </c>
      <c r="H2" s="1">
        <v>39873</v>
      </c>
      <c r="I2" s="1">
        <v>40299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39873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39873</v>
      </c>
      <c r="H3" s="1">
        <v>39873</v>
      </c>
      <c r="I3" s="1">
        <v>40299</v>
      </c>
      <c r="M3" s="2" t="s">
        <v>17</v>
      </c>
      <c r="N3">
        <v>98</v>
      </c>
      <c r="O3">
        <v>98</v>
      </c>
      <c r="P3">
        <v>98</v>
      </c>
      <c r="Q3">
        <v>98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94</v>
      </c>
      <c r="G4" s="1">
        <v>39873</v>
      </c>
      <c r="H4" s="1">
        <v>39873</v>
      </c>
      <c r="I4" s="1">
        <v>40299</v>
      </c>
      <c r="M4" t="s">
        <v>19</v>
      </c>
      <c r="N4">
        <v>94</v>
      </c>
      <c r="O4">
        <v>94</v>
      </c>
      <c r="P4">
        <v>94</v>
      </c>
      <c r="Q4">
        <v>94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62</v>
      </c>
      <c r="G5" s="1">
        <v>39873</v>
      </c>
      <c r="H5" s="1">
        <v>39873</v>
      </c>
      <c r="I5" s="1">
        <v>40299</v>
      </c>
      <c r="M5" t="s">
        <v>20</v>
      </c>
      <c r="N5">
        <v>62</v>
      </c>
      <c r="O5">
        <v>62</v>
      </c>
      <c r="P5">
        <v>62</v>
      </c>
      <c r="Q5">
        <v>62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38</v>
      </c>
      <c r="G6" s="1">
        <v>39873</v>
      </c>
      <c r="H6" s="1">
        <v>39873</v>
      </c>
      <c r="I6" s="1">
        <v>40299</v>
      </c>
      <c r="M6" t="s">
        <v>21</v>
      </c>
      <c r="N6">
        <v>38</v>
      </c>
      <c r="O6">
        <v>38</v>
      </c>
      <c r="P6">
        <v>38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39873</v>
      </c>
      <c r="H7" s="1">
        <v>39873</v>
      </c>
      <c r="I7" s="1">
        <v>40299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39873</v>
      </c>
      <c r="H8" s="1">
        <v>39873</v>
      </c>
      <c r="I8" s="1">
        <v>40299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39873</v>
      </c>
      <c r="H9" s="1">
        <v>39873</v>
      </c>
      <c r="I9" s="1">
        <v>40299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39873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94</v>
      </c>
      <c r="G10" s="1">
        <v>39873</v>
      </c>
      <c r="H10" s="1">
        <v>39873</v>
      </c>
      <c r="I10" s="1">
        <v>40299</v>
      </c>
      <c r="M10" s="2" t="s">
        <v>17</v>
      </c>
      <c r="N10">
        <f>N3</f>
        <v>98</v>
      </c>
      <c r="O10">
        <f t="shared" ref="O10:Q10" si="0">O3</f>
        <v>98</v>
      </c>
      <c r="P10">
        <f t="shared" si="0"/>
        <v>98</v>
      </c>
      <c r="Q10">
        <f t="shared" si="0"/>
        <v>98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62</v>
      </c>
      <c r="G11" s="1">
        <v>39873</v>
      </c>
      <c r="H11" s="1">
        <v>39873</v>
      </c>
      <c r="I11" s="1">
        <v>40299</v>
      </c>
      <c r="M11" t="s">
        <v>19</v>
      </c>
      <c r="N11">
        <f t="shared" ref="N11:Q14" si="1">N4</f>
        <v>94</v>
      </c>
      <c r="O11">
        <f t="shared" si="1"/>
        <v>94</v>
      </c>
      <c r="P11">
        <f t="shared" si="1"/>
        <v>94</v>
      </c>
      <c r="Q11">
        <f t="shared" si="1"/>
        <v>94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38</v>
      </c>
      <c r="G12" s="1">
        <v>39873</v>
      </c>
      <c r="H12" s="1">
        <v>39873</v>
      </c>
      <c r="I12" s="1">
        <v>40299</v>
      </c>
      <c r="M12" t="s">
        <v>20</v>
      </c>
      <c r="N12">
        <f t="shared" si="1"/>
        <v>62</v>
      </c>
      <c r="O12">
        <f t="shared" si="1"/>
        <v>62</v>
      </c>
      <c r="P12">
        <f t="shared" si="1"/>
        <v>62</v>
      </c>
      <c r="Q12">
        <f t="shared" si="1"/>
        <v>62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39873</v>
      </c>
      <c r="H13" s="1">
        <v>39873</v>
      </c>
      <c r="I13" s="1">
        <v>40299</v>
      </c>
      <c r="M13" t="s">
        <v>21</v>
      </c>
      <c r="N13">
        <f t="shared" si="1"/>
        <v>38</v>
      </c>
      <c r="O13">
        <f t="shared" si="1"/>
        <v>38</v>
      </c>
      <c r="P13">
        <f t="shared" si="1"/>
        <v>38</v>
      </c>
      <c r="Q13">
        <f t="shared" si="1"/>
        <v>38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39873</v>
      </c>
      <c r="H14" s="1">
        <v>39873</v>
      </c>
      <c r="I14" s="1">
        <v>40299</v>
      </c>
      <c r="M14" t="s">
        <v>22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98</v>
      </c>
      <c r="G15" s="1">
        <v>39873</v>
      </c>
      <c r="H15" s="1">
        <v>39873</v>
      </c>
      <c r="I15" s="1">
        <v>40299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94</v>
      </c>
      <c r="G16" s="1">
        <v>39873</v>
      </c>
      <c r="H16" s="1">
        <v>39873</v>
      </c>
      <c r="I16" s="1">
        <v>40299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62</v>
      </c>
      <c r="G17" s="1">
        <v>39873</v>
      </c>
      <c r="H17" s="1">
        <v>39873</v>
      </c>
      <c r="I17" s="1">
        <v>40299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38</v>
      </c>
      <c r="G18" s="1">
        <v>39873</v>
      </c>
      <c r="H18" s="1">
        <v>39873</v>
      </c>
      <c r="I18" s="1">
        <v>40299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39873</v>
      </c>
      <c r="H19" s="1">
        <v>39873</v>
      </c>
      <c r="I19" s="1">
        <v>40299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39873</v>
      </c>
      <c r="H20" s="1">
        <v>39873</v>
      </c>
      <c r="I20" s="1">
        <v>40299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98</v>
      </c>
      <c r="G21" s="1">
        <v>39873</v>
      </c>
      <c r="H21" s="1">
        <v>39873</v>
      </c>
      <c r="I21" s="1">
        <v>40299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94</v>
      </c>
      <c r="G22" s="1">
        <v>39873</v>
      </c>
      <c r="H22" s="1">
        <v>39873</v>
      </c>
      <c r="I22" s="1">
        <v>40299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62</v>
      </c>
      <c r="G23" s="1">
        <v>39873</v>
      </c>
      <c r="H23" s="1">
        <v>39873</v>
      </c>
      <c r="I23" s="1">
        <v>40299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38</v>
      </c>
      <c r="G24" s="1">
        <v>39873</v>
      </c>
      <c r="H24" s="1">
        <v>39873</v>
      </c>
      <c r="I24" s="1">
        <v>40299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39873</v>
      </c>
      <c r="H25" s="1">
        <v>39873</v>
      </c>
      <c r="I25" s="1">
        <v>40299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39873</v>
      </c>
      <c r="H26" s="1">
        <v>39873</v>
      </c>
      <c r="I26" s="1">
        <v>40299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39873</v>
      </c>
      <c r="H27" s="1">
        <v>39873</v>
      </c>
      <c r="I27" s="1">
        <v>40299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39873</v>
      </c>
      <c r="H28" s="1">
        <v>39873</v>
      </c>
      <c r="I28" s="1">
        <v>40299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39873</v>
      </c>
      <c r="H29" s="1">
        <v>39873</v>
      </c>
      <c r="I29" s="1">
        <v>40299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39873</v>
      </c>
      <c r="H30" s="1">
        <v>39873</v>
      </c>
      <c r="I30" s="1">
        <v>40299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39873</v>
      </c>
      <c r="H31" s="1">
        <v>39873</v>
      </c>
      <c r="I31" s="1">
        <v>40299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39873</v>
      </c>
      <c r="H32" s="1">
        <v>39873</v>
      </c>
      <c r="I32" s="1">
        <v>40299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98</v>
      </c>
      <c r="G33" s="1">
        <v>39873</v>
      </c>
      <c r="H33" s="1">
        <v>39873</v>
      </c>
      <c r="I33" s="1">
        <v>40299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94</v>
      </c>
      <c r="G34" s="1">
        <v>39873</v>
      </c>
      <c r="H34" s="1">
        <v>39873</v>
      </c>
      <c r="I34" s="1">
        <v>40299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62</v>
      </c>
      <c r="G35" s="1">
        <v>39873</v>
      </c>
      <c r="H35" s="1">
        <v>39873</v>
      </c>
      <c r="I35" s="1">
        <v>40299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38</v>
      </c>
      <c r="G36" s="1">
        <v>39873</v>
      </c>
      <c r="H36" s="1">
        <v>39873</v>
      </c>
      <c r="I36" s="1">
        <v>40299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39873</v>
      </c>
      <c r="H37" s="1">
        <v>39873</v>
      </c>
      <c r="I37" s="1">
        <v>40299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39873</v>
      </c>
      <c r="H38" s="1">
        <v>39873</v>
      </c>
      <c r="I38" s="1">
        <v>40299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98</v>
      </c>
      <c r="G39" s="1">
        <v>39873</v>
      </c>
      <c r="H39" s="1">
        <v>39873</v>
      </c>
      <c r="I39" s="1">
        <v>40299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94</v>
      </c>
      <c r="G40" s="1">
        <v>39873</v>
      </c>
      <c r="H40" s="1">
        <v>39873</v>
      </c>
      <c r="I40" s="1">
        <v>40299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62</v>
      </c>
      <c r="G41" s="1">
        <v>39873</v>
      </c>
      <c r="H41" s="1">
        <v>39873</v>
      </c>
      <c r="I41" s="1">
        <v>40299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38</v>
      </c>
      <c r="G42" s="1">
        <v>39873</v>
      </c>
      <c r="H42" s="1">
        <v>39873</v>
      </c>
      <c r="I42" s="1">
        <v>40299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39873</v>
      </c>
      <c r="H43" s="1">
        <v>39873</v>
      </c>
      <c r="I43" s="1">
        <v>40299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39873</v>
      </c>
      <c r="H44" s="1">
        <v>39873</v>
      </c>
      <c r="I44" s="1">
        <v>40299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98</v>
      </c>
      <c r="G45" s="1">
        <v>39873</v>
      </c>
      <c r="H45" s="1">
        <v>39873</v>
      </c>
      <c r="I45" s="1">
        <v>40299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39873</v>
      </c>
      <c r="H46" s="1">
        <v>39873</v>
      </c>
      <c r="I46" s="1">
        <v>40299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39873</v>
      </c>
      <c r="H47" s="1">
        <v>39873</v>
      </c>
      <c r="I47" s="1">
        <v>40299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39873</v>
      </c>
      <c r="H48" s="1">
        <v>39873</v>
      </c>
      <c r="I48" s="1">
        <v>40299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39873</v>
      </c>
      <c r="H49" s="1">
        <v>39873</v>
      </c>
      <c r="I49" s="1">
        <v>40299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39873</v>
      </c>
      <c r="H50" s="1">
        <v>39873</v>
      </c>
      <c r="I50" s="1">
        <v>40299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98</v>
      </c>
      <c r="G51" s="1">
        <v>39873</v>
      </c>
      <c r="H51" s="1">
        <v>39873</v>
      </c>
      <c r="I51" s="1">
        <v>40299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94</v>
      </c>
      <c r="G52" s="1">
        <v>39873</v>
      </c>
      <c r="H52" s="1">
        <v>39873</v>
      </c>
      <c r="I52" s="1">
        <v>40299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62</v>
      </c>
      <c r="G53" s="1">
        <v>39873</v>
      </c>
      <c r="H53" s="1">
        <v>39873</v>
      </c>
      <c r="I53" s="1">
        <v>40299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38</v>
      </c>
      <c r="G54" s="1">
        <v>39873</v>
      </c>
      <c r="H54" s="1">
        <v>39873</v>
      </c>
      <c r="I54" s="1">
        <v>40299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39873</v>
      </c>
      <c r="H55" s="1">
        <v>39873</v>
      </c>
      <c r="I55" s="1">
        <v>40299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39873</v>
      </c>
      <c r="H56" s="1">
        <v>39873</v>
      </c>
      <c r="I56" s="1">
        <v>40299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39873</v>
      </c>
      <c r="H57" s="1">
        <v>39873</v>
      </c>
      <c r="I57" s="1">
        <v>40299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39873</v>
      </c>
      <c r="H58" s="1">
        <v>39873</v>
      </c>
      <c r="I58" s="1">
        <v>40299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39873</v>
      </c>
      <c r="H59" s="1">
        <v>39873</v>
      </c>
      <c r="I59" s="1">
        <v>40299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39873</v>
      </c>
      <c r="H60" s="1">
        <v>39873</v>
      </c>
      <c r="I60" s="1">
        <v>40299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39873</v>
      </c>
      <c r="H61" s="1">
        <v>39873</v>
      </c>
      <c r="I61" s="1">
        <v>40299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I2" sqref="I2:I61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1</v>
      </c>
      <c r="I2" s="1">
        <v>39873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1">
        <v>38607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4">
        <v>96</v>
      </c>
      <c r="G3" s="1">
        <v>38607</v>
      </c>
      <c r="H3" s="1">
        <v>1</v>
      </c>
      <c r="I3" s="1">
        <v>39873</v>
      </c>
      <c r="M3" s="8" t="s">
        <v>17</v>
      </c>
      <c r="N3" s="4">
        <v>96</v>
      </c>
      <c r="O3" s="4">
        <v>96</v>
      </c>
      <c r="P3" s="4">
        <v>96</v>
      </c>
      <c r="Q3" s="4">
        <v>96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4">
        <v>78</v>
      </c>
      <c r="G4" s="1">
        <v>38607</v>
      </c>
      <c r="H4" s="1">
        <v>1</v>
      </c>
      <c r="I4" s="1">
        <v>39873</v>
      </c>
      <c r="M4" s="4" t="s">
        <v>19</v>
      </c>
      <c r="N4" s="4">
        <v>78</v>
      </c>
      <c r="O4" s="4">
        <v>78</v>
      </c>
      <c r="P4" s="4">
        <v>78</v>
      </c>
      <c r="Q4" s="4">
        <v>78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4">
        <v>52</v>
      </c>
      <c r="G5" s="1">
        <v>38607</v>
      </c>
      <c r="H5" s="1">
        <v>1</v>
      </c>
      <c r="I5" s="1">
        <v>39873</v>
      </c>
      <c r="M5" s="4" t="s">
        <v>20</v>
      </c>
      <c r="N5" s="4">
        <v>52</v>
      </c>
      <c r="O5" s="4">
        <v>52</v>
      </c>
      <c r="P5" s="4">
        <v>52</v>
      </c>
      <c r="Q5" s="4">
        <v>52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4">
        <v>32</v>
      </c>
      <c r="G6" s="1">
        <v>38607</v>
      </c>
      <c r="H6" s="1">
        <v>1</v>
      </c>
      <c r="I6" s="1">
        <v>39873</v>
      </c>
      <c r="M6" s="4" t="s">
        <v>21</v>
      </c>
      <c r="N6" s="4">
        <v>32</v>
      </c>
      <c r="O6" s="4">
        <v>32</v>
      </c>
      <c r="P6" s="4">
        <v>32</v>
      </c>
      <c r="Q6" s="4">
        <v>32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 s="4">
        <v>0</v>
      </c>
      <c r="G7" s="1">
        <v>38607</v>
      </c>
      <c r="H7" s="1">
        <v>1</v>
      </c>
      <c r="I7" s="1">
        <v>39873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38607</v>
      </c>
      <c r="H8" s="1">
        <v>1</v>
      </c>
      <c r="I8" s="1">
        <v>39873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 s="4">
        <v>96</v>
      </c>
      <c r="G9" s="1">
        <v>38607</v>
      </c>
      <c r="H9" s="1">
        <v>1</v>
      </c>
      <c r="I9" s="1">
        <v>39873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1">
        <v>38607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 s="4">
        <v>78</v>
      </c>
      <c r="G10" s="1">
        <v>38607</v>
      </c>
      <c r="H10" s="1">
        <v>1</v>
      </c>
      <c r="I10" s="1">
        <v>39873</v>
      </c>
      <c r="M10" s="8" t="s">
        <v>17</v>
      </c>
      <c r="N10" s="4">
        <f>N3</f>
        <v>96</v>
      </c>
      <c r="O10" s="4">
        <f t="shared" ref="O10:Q10" si="0">O3</f>
        <v>96</v>
      </c>
      <c r="P10" s="4">
        <f t="shared" si="0"/>
        <v>96</v>
      </c>
      <c r="Q10" s="4">
        <f t="shared" si="0"/>
        <v>96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 s="4">
        <v>52</v>
      </c>
      <c r="G11" s="1">
        <v>38607</v>
      </c>
      <c r="H11" s="1">
        <v>1</v>
      </c>
      <c r="I11" s="1">
        <v>39873</v>
      </c>
      <c r="M11" s="4" t="s">
        <v>19</v>
      </c>
      <c r="N11" s="4">
        <f t="shared" ref="N11:Q14" si="1">N4</f>
        <v>78</v>
      </c>
      <c r="O11" s="4">
        <f t="shared" si="1"/>
        <v>78</v>
      </c>
      <c r="P11" s="4">
        <f t="shared" si="1"/>
        <v>78</v>
      </c>
      <c r="Q11" s="4">
        <f t="shared" si="1"/>
        <v>78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 s="4">
        <v>32</v>
      </c>
      <c r="G12" s="1">
        <v>38607</v>
      </c>
      <c r="H12" s="1">
        <v>1</v>
      </c>
      <c r="I12" s="1">
        <v>39873</v>
      </c>
      <c r="M12" s="4" t="s">
        <v>20</v>
      </c>
      <c r="N12" s="4">
        <f t="shared" si="1"/>
        <v>52</v>
      </c>
      <c r="O12" s="4">
        <f t="shared" si="1"/>
        <v>52</v>
      </c>
      <c r="P12" s="4">
        <f t="shared" si="1"/>
        <v>52</v>
      </c>
      <c r="Q12" s="4">
        <f t="shared" si="1"/>
        <v>52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 s="4">
        <v>0</v>
      </c>
      <c r="G13" s="1">
        <v>38607</v>
      </c>
      <c r="H13" s="1">
        <v>1</v>
      </c>
      <c r="I13" s="1">
        <v>39873</v>
      </c>
      <c r="M13" s="4" t="s">
        <v>21</v>
      </c>
      <c r="N13" s="4">
        <f t="shared" si="1"/>
        <v>32</v>
      </c>
      <c r="O13" s="4">
        <f t="shared" si="1"/>
        <v>32</v>
      </c>
      <c r="P13" s="4">
        <f t="shared" si="1"/>
        <v>32</v>
      </c>
      <c r="Q13" s="4">
        <f t="shared" si="1"/>
        <v>32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38607</v>
      </c>
      <c r="H14" s="1">
        <v>1</v>
      </c>
      <c r="I14" s="1">
        <v>39873</v>
      </c>
      <c r="M14" s="4" t="s">
        <v>22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 s="4">
        <v>96</v>
      </c>
      <c r="G15" s="1">
        <v>38607</v>
      </c>
      <c r="H15" s="1">
        <v>1</v>
      </c>
      <c r="I15" s="1">
        <v>39873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 s="4">
        <v>78</v>
      </c>
      <c r="G16" s="1">
        <v>38607</v>
      </c>
      <c r="H16" s="1">
        <v>1</v>
      </c>
      <c r="I16" s="1">
        <v>39873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 s="4">
        <v>52</v>
      </c>
      <c r="G17" s="1">
        <v>38607</v>
      </c>
      <c r="H17" s="1">
        <v>1</v>
      </c>
      <c r="I17" s="1">
        <v>39873</v>
      </c>
      <c r="M17" t="s">
        <v>24</v>
      </c>
      <c r="N17" s="6" t="s">
        <v>49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 s="4">
        <v>32</v>
      </c>
      <c r="G18" s="1">
        <v>38607</v>
      </c>
      <c r="H18" s="1">
        <v>1</v>
      </c>
      <c r="I18" s="1">
        <v>39873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 s="4">
        <v>0</v>
      </c>
      <c r="G19" s="1">
        <v>38607</v>
      </c>
      <c r="H19" s="1">
        <v>1</v>
      </c>
      <c r="I19" s="1">
        <v>39873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38607</v>
      </c>
      <c r="H20" s="1">
        <v>1</v>
      </c>
      <c r="I20" s="1">
        <v>39873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 s="4">
        <v>96</v>
      </c>
      <c r="G21" s="1">
        <v>38607</v>
      </c>
      <c r="H21" s="1">
        <v>1</v>
      </c>
      <c r="I21" s="1">
        <v>39873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 s="4">
        <v>78</v>
      </c>
      <c r="G22" s="1">
        <v>38607</v>
      </c>
      <c r="H22" s="1">
        <v>1</v>
      </c>
      <c r="I22" s="1">
        <v>39873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 s="4">
        <v>52</v>
      </c>
      <c r="G23" s="1">
        <v>38607</v>
      </c>
      <c r="H23" s="1">
        <v>1</v>
      </c>
      <c r="I23" s="1">
        <v>39873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 s="4">
        <v>32</v>
      </c>
      <c r="G24" s="1">
        <v>38607</v>
      </c>
      <c r="H24" s="1">
        <v>1</v>
      </c>
      <c r="I24" s="1">
        <v>39873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 s="4">
        <v>0</v>
      </c>
      <c r="G25" s="1">
        <v>38607</v>
      </c>
      <c r="H25" s="1">
        <v>1</v>
      </c>
      <c r="I25" s="1">
        <v>39873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38607</v>
      </c>
      <c r="H26" s="1">
        <v>1</v>
      </c>
      <c r="I26" s="1">
        <v>39873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38607</v>
      </c>
      <c r="H27" s="1">
        <v>1</v>
      </c>
      <c r="I27" s="1">
        <v>39873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38607</v>
      </c>
      <c r="H28" s="1">
        <v>1</v>
      </c>
      <c r="I28" s="1">
        <v>39873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38607</v>
      </c>
      <c r="H29" s="1">
        <v>1</v>
      </c>
      <c r="I29" s="1">
        <v>39873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38607</v>
      </c>
      <c r="H30" s="1">
        <v>1</v>
      </c>
      <c r="I30" s="1">
        <v>39873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38607</v>
      </c>
      <c r="H31" s="1">
        <v>1</v>
      </c>
      <c r="I31" s="1">
        <v>39873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38607</v>
      </c>
      <c r="H32" s="1">
        <v>1</v>
      </c>
      <c r="I32" s="1">
        <v>39873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 s="4">
        <v>96</v>
      </c>
      <c r="G33" s="1">
        <v>38607</v>
      </c>
      <c r="H33" s="1">
        <v>1</v>
      </c>
      <c r="I33" s="1">
        <v>39873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 s="4">
        <v>78</v>
      </c>
      <c r="G34" s="1">
        <v>38607</v>
      </c>
      <c r="H34" s="1">
        <v>1</v>
      </c>
      <c r="I34" s="1">
        <v>39873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 s="4">
        <v>52</v>
      </c>
      <c r="G35" s="1">
        <v>38607</v>
      </c>
      <c r="H35" s="1">
        <v>1</v>
      </c>
      <c r="I35" s="1">
        <v>39873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 s="4">
        <v>32</v>
      </c>
      <c r="G36" s="1">
        <v>38607</v>
      </c>
      <c r="H36" s="1">
        <v>1</v>
      </c>
      <c r="I36" s="1">
        <v>39873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 s="4">
        <v>0</v>
      </c>
      <c r="G37" s="1">
        <v>38607</v>
      </c>
      <c r="H37" s="1">
        <v>1</v>
      </c>
      <c r="I37" s="1">
        <v>39873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38607</v>
      </c>
      <c r="H38" s="1">
        <v>1</v>
      </c>
      <c r="I38" s="1">
        <v>39873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 s="4">
        <v>96</v>
      </c>
      <c r="G39" s="1">
        <v>38607</v>
      </c>
      <c r="H39" s="1">
        <v>1</v>
      </c>
      <c r="I39" s="1">
        <v>39873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 s="4">
        <v>78</v>
      </c>
      <c r="G40" s="1">
        <v>38607</v>
      </c>
      <c r="H40" s="1">
        <v>1</v>
      </c>
      <c r="I40" s="1">
        <v>39873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 s="4">
        <v>52</v>
      </c>
      <c r="G41" s="1">
        <v>38607</v>
      </c>
      <c r="H41" s="1">
        <v>1</v>
      </c>
      <c r="I41" s="1">
        <v>39873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 s="4">
        <v>32</v>
      </c>
      <c r="G42" s="1">
        <v>38607</v>
      </c>
      <c r="H42" s="1">
        <v>1</v>
      </c>
      <c r="I42" s="1">
        <v>39873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 s="4">
        <v>0</v>
      </c>
      <c r="G43" s="1">
        <v>38607</v>
      </c>
      <c r="H43" s="1">
        <v>1</v>
      </c>
      <c r="I43" s="1">
        <v>39873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38607</v>
      </c>
      <c r="H44" s="1">
        <v>1</v>
      </c>
      <c r="I44" s="1">
        <v>39873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 s="4">
        <v>96</v>
      </c>
      <c r="G45" s="1">
        <v>38607</v>
      </c>
      <c r="H45" s="1">
        <v>1</v>
      </c>
      <c r="I45" s="1">
        <v>39873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 s="4">
        <v>78</v>
      </c>
      <c r="G46" s="1">
        <v>38607</v>
      </c>
      <c r="H46" s="1">
        <v>1</v>
      </c>
      <c r="I46" s="1">
        <v>39873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 s="4">
        <v>52</v>
      </c>
      <c r="G47" s="1">
        <v>38607</v>
      </c>
      <c r="H47" s="1">
        <v>1</v>
      </c>
      <c r="I47" s="1">
        <v>39873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 s="4">
        <v>32</v>
      </c>
      <c r="G48" s="1">
        <v>38607</v>
      </c>
      <c r="H48" s="1">
        <v>1</v>
      </c>
      <c r="I48" s="1">
        <v>39873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 s="4">
        <v>0</v>
      </c>
      <c r="G49" s="1">
        <v>38607</v>
      </c>
      <c r="H49" s="1">
        <v>1</v>
      </c>
      <c r="I49" s="1">
        <v>39873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38607</v>
      </c>
      <c r="H50" s="1">
        <v>1</v>
      </c>
      <c r="I50" s="1">
        <v>39873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 s="4">
        <v>96</v>
      </c>
      <c r="G51" s="1">
        <v>38607</v>
      </c>
      <c r="H51" s="1">
        <v>1</v>
      </c>
      <c r="I51" s="1">
        <v>39873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 s="4">
        <v>78</v>
      </c>
      <c r="G52" s="1">
        <v>38607</v>
      </c>
      <c r="H52" s="1">
        <v>1</v>
      </c>
      <c r="I52" s="1">
        <v>39873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 s="4">
        <v>52</v>
      </c>
      <c r="G53" s="1">
        <v>38607</v>
      </c>
      <c r="H53" s="1">
        <v>1</v>
      </c>
      <c r="I53" s="1">
        <v>39873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 s="4">
        <v>32</v>
      </c>
      <c r="G54" s="1">
        <v>38607</v>
      </c>
      <c r="H54" s="1">
        <v>1</v>
      </c>
      <c r="I54" s="1">
        <v>39873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 s="4">
        <v>0</v>
      </c>
      <c r="G55" s="1">
        <v>38607</v>
      </c>
      <c r="H55" s="1">
        <v>1</v>
      </c>
      <c r="I55" s="1">
        <v>39873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38607</v>
      </c>
      <c r="H56" s="1">
        <v>1</v>
      </c>
      <c r="I56" s="1">
        <v>39873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38607</v>
      </c>
      <c r="H57" s="1">
        <v>1</v>
      </c>
      <c r="I57" s="1">
        <v>39873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38607</v>
      </c>
      <c r="H58" s="1">
        <v>1</v>
      </c>
      <c r="I58" s="1">
        <v>39873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38607</v>
      </c>
      <c r="H59" s="1">
        <v>1</v>
      </c>
      <c r="I59" s="1">
        <v>39873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38607</v>
      </c>
      <c r="H60" s="1">
        <v>1</v>
      </c>
      <c r="I60" s="1">
        <v>39873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38607</v>
      </c>
      <c r="H61" s="1">
        <v>1</v>
      </c>
      <c r="I61" s="1">
        <v>39873</v>
      </c>
    </row>
  </sheetData>
  <hyperlinks>
    <hyperlink ref="N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3"/>
  <sheetViews>
    <sheetView tabSelected="1" topLeftCell="A193" workbookViewId="0">
      <selection activeCell="G365" sqref="G365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7" width="7.7109375" bestFit="1" customWidth="1"/>
    <col min="18" max="18" width="5.42578125" bestFit="1" customWidth="1"/>
    <col min="19" max="19" width="1.42578125" bestFit="1" customWidth="1"/>
  </cols>
  <sheetData>
    <row r="1" spans="1:19" x14ac:dyDescent="0.25">
      <c r="A1" t="s">
        <v>47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6</v>
      </c>
      <c r="H1" t="s">
        <v>35</v>
      </c>
      <c r="I1" t="s">
        <v>36</v>
      </c>
    </row>
    <row r="2" spans="1:19" x14ac:dyDescent="0.25">
      <c r="A2" t="s">
        <v>45</v>
      </c>
      <c r="B2">
        <v>80</v>
      </c>
      <c r="C2">
        <v>999</v>
      </c>
      <c r="D2">
        <v>760</v>
      </c>
      <c r="E2">
        <v>999</v>
      </c>
      <c r="F2">
        <v>0</v>
      </c>
      <c r="G2" s="1">
        <v>38596</v>
      </c>
      <c r="H2" s="1">
        <v>1</v>
      </c>
      <c r="I2" s="1">
        <v>39873</v>
      </c>
      <c r="J2" s="5"/>
      <c r="L2" s="1">
        <v>38596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 t="s">
        <v>45</v>
      </c>
      <c r="B3">
        <v>80</v>
      </c>
      <c r="C3">
        <v>999</v>
      </c>
      <c r="D3">
        <v>720</v>
      </c>
      <c r="E3">
        <v>760</v>
      </c>
      <c r="F3">
        <v>0</v>
      </c>
      <c r="G3" s="1">
        <v>38596</v>
      </c>
      <c r="H3" s="1">
        <v>1</v>
      </c>
      <c r="I3" s="1">
        <v>39873</v>
      </c>
      <c r="J3" s="5"/>
      <c r="L3" t="s">
        <v>45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s="3" t="s">
        <v>18</v>
      </c>
    </row>
    <row r="4" spans="1:19" x14ac:dyDescent="0.25">
      <c r="A4" t="s">
        <v>45</v>
      </c>
      <c r="B4">
        <v>80</v>
      </c>
      <c r="C4">
        <v>999</v>
      </c>
      <c r="D4">
        <v>680</v>
      </c>
      <c r="E4">
        <v>720</v>
      </c>
      <c r="F4">
        <v>0</v>
      </c>
      <c r="G4" s="1">
        <v>38596</v>
      </c>
      <c r="H4" s="1">
        <v>1</v>
      </c>
      <c r="I4" s="1">
        <v>39873</v>
      </c>
      <c r="J4" s="5"/>
      <c r="L4" t="s">
        <v>44</v>
      </c>
      <c r="M4" t="s">
        <v>38</v>
      </c>
      <c r="N4" s="9">
        <v>0</v>
      </c>
      <c r="O4" s="9">
        <v>0</v>
      </c>
      <c r="P4" s="9">
        <v>0</v>
      </c>
      <c r="Q4" s="9">
        <v>0</v>
      </c>
      <c r="R4" s="3" t="s">
        <v>18</v>
      </c>
    </row>
    <row r="5" spans="1:19" x14ac:dyDescent="0.25">
      <c r="A5" t="s">
        <v>45</v>
      </c>
      <c r="B5">
        <v>80</v>
      </c>
      <c r="C5">
        <v>999</v>
      </c>
      <c r="D5">
        <v>620</v>
      </c>
      <c r="E5">
        <v>680</v>
      </c>
      <c r="F5">
        <v>0</v>
      </c>
      <c r="G5" s="1">
        <v>38596</v>
      </c>
      <c r="H5" s="1">
        <v>1</v>
      </c>
      <c r="I5" s="1">
        <v>39873</v>
      </c>
      <c r="J5" s="5"/>
      <c r="L5" t="s">
        <v>43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s="3" t="s">
        <v>18</v>
      </c>
    </row>
    <row r="6" spans="1:19" x14ac:dyDescent="0.25">
      <c r="A6" t="s">
        <v>45</v>
      </c>
      <c r="B6">
        <v>80</v>
      </c>
      <c r="C6">
        <v>999</v>
      </c>
      <c r="D6">
        <v>300</v>
      </c>
      <c r="E6">
        <v>620</v>
      </c>
      <c r="G6" s="1">
        <v>38596</v>
      </c>
      <c r="H6" s="1">
        <v>1</v>
      </c>
      <c r="I6" s="1">
        <v>39873</v>
      </c>
      <c r="J6" s="5"/>
      <c r="L6" t="s">
        <v>42</v>
      </c>
      <c r="M6" t="s">
        <v>38</v>
      </c>
      <c r="N6" s="9">
        <v>0</v>
      </c>
      <c r="O6" s="9">
        <v>0</v>
      </c>
      <c r="P6" s="9">
        <v>0</v>
      </c>
      <c r="Q6" s="9">
        <v>0</v>
      </c>
      <c r="R6" s="3" t="s">
        <v>18</v>
      </c>
    </row>
    <row r="7" spans="1:19" x14ac:dyDescent="0.25">
      <c r="A7" t="s">
        <v>44</v>
      </c>
      <c r="B7">
        <v>80</v>
      </c>
      <c r="C7">
        <v>999</v>
      </c>
      <c r="D7">
        <v>760</v>
      </c>
      <c r="E7">
        <v>999</v>
      </c>
      <c r="F7">
        <v>0</v>
      </c>
      <c r="G7" s="1">
        <v>38596</v>
      </c>
      <c r="H7" s="1">
        <v>1</v>
      </c>
      <c r="I7" s="1">
        <v>39873</v>
      </c>
      <c r="J7" s="5"/>
      <c r="L7" t="s">
        <v>45</v>
      </c>
      <c r="M7" t="s">
        <v>39</v>
      </c>
      <c r="N7" s="9">
        <v>0</v>
      </c>
      <c r="O7" s="9">
        <v>0</v>
      </c>
      <c r="P7" s="9">
        <v>0</v>
      </c>
      <c r="Q7" s="9">
        <v>0</v>
      </c>
      <c r="R7" s="3" t="s">
        <v>18</v>
      </c>
    </row>
    <row r="8" spans="1:19" x14ac:dyDescent="0.25">
      <c r="A8" t="s">
        <v>44</v>
      </c>
      <c r="B8">
        <v>80</v>
      </c>
      <c r="C8">
        <v>999</v>
      </c>
      <c r="D8">
        <v>720</v>
      </c>
      <c r="E8">
        <v>760</v>
      </c>
      <c r="F8">
        <v>0</v>
      </c>
      <c r="G8" s="1">
        <v>38596</v>
      </c>
      <c r="H8" s="1">
        <v>1</v>
      </c>
      <c r="I8" s="1">
        <v>39873</v>
      </c>
      <c r="J8" s="5"/>
      <c r="L8" t="s">
        <v>44</v>
      </c>
      <c r="M8" t="s">
        <v>39</v>
      </c>
      <c r="N8" s="9">
        <v>0</v>
      </c>
      <c r="O8" s="9">
        <v>0</v>
      </c>
      <c r="P8" s="9">
        <v>0</v>
      </c>
      <c r="Q8" s="9">
        <v>0</v>
      </c>
      <c r="R8" s="3" t="s">
        <v>18</v>
      </c>
    </row>
    <row r="9" spans="1:19" x14ac:dyDescent="0.25">
      <c r="A9" t="s">
        <v>44</v>
      </c>
      <c r="B9">
        <v>80</v>
      </c>
      <c r="C9">
        <v>999</v>
      </c>
      <c r="D9">
        <v>680</v>
      </c>
      <c r="E9">
        <v>720</v>
      </c>
      <c r="F9">
        <v>0</v>
      </c>
      <c r="G9" s="1">
        <v>38596</v>
      </c>
      <c r="H9" s="1">
        <v>1</v>
      </c>
      <c r="I9" s="1">
        <v>39873</v>
      </c>
      <c r="J9" s="5"/>
      <c r="L9" t="s">
        <v>43</v>
      </c>
      <c r="M9" t="s">
        <v>39</v>
      </c>
      <c r="N9" s="9">
        <v>0</v>
      </c>
      <c r="O9" s="9">
        <v>0</v>
      </c>
      <c r="P9" s="9">
        <v>0</v>
      </c>
      <c r="Q9" s="9">
        <v>0</v>
      </c>
      <c r="R9" s="3" t="s">
        <v>18</v>
      </c>
    </row>
    <row r="10" spans="1:19" x14ac:dyDescent="0.25">
      <c r="A10" t="s">
        <v>44</v>
      </c>
      <c r="B10">
        <v>80</v>
      </c>
      <c r="C10">
        <v>999</v>
      </c>
      <c r="D10">
        <v>620</v>
      </c>
      <c r="E10">
        <v>680</v>
      </c>
      <c r="F10">
        <v>0</v>
      </c>
      <c r="G10" s="1">
        <v>38596</v>
      </c>
      <c r="H10" s="1">
        <v>1</v>
      </c>
      <c r="I10" s="1">
        <v>39873</v>
      </c>
      <c r="J10" s="5"/>
      <c r="L10" t="s">
        <v>42</v>
      </c>
      <c r="M10" t="s">
        <v>39</v>
      </c>
      <c r="N10" s="9">
        <v>0</v>
      </c>
      <c r="O10" s="9">
        <v>0</v>
      </c>
      <c r="P10" s="9">
        <v>0</v>
      </c>
      <c r="Q10" s="9">
        <v>0</v>
      </c>
      <c r="R10" s="3" t="s">
        <v>18</v>
      </c>
    </row>
    <row r="11" spans="1:19" x14ac:dyDescent="0.25">
      <c r="A11" t="s">
        <v>44</v>
      </c>
      <c r="B11">
        <v>80</v>
      </c>
      <c r="C11">
        <v>999</v>
      </c>
      <c r="D11">
        <v>300</v>
      </c>
      <c r="E11">
        <v>620</v>
      </c>
      <c r="G11" s="1">
        <v>38596</v>
      </c>
      <c r="H11" s="1">
        <v>1</v>
      </c>
      <c r="I11" s="1">
        <v>39873</v>
      </c>
      <c r="J11" s="5"/>
    </row>
    <row r="12" spans="1:19" x14ac:dyDescent="0.25">
      <c r="A12" t="s">
        <v>43</v>
      </c>
      <c r="B12">
        <v>80</v>
      </c>
      <c r="C12">
        <v>999</v>
      </c>
      <c r="D12">
        <v>760</v>
      </c>
      <c r="E12">
        <v>999</v>
      </c>
      <c r="F12">
        <v>0</v>
      </c>
      <c r="G12" s="1">
        <v>38596</v>
      </c>
      <c r="H12" s="1">
        <v>1</v>
      </c>
      <c r="I12" s="1">
        <v>39873</v>
      </c>
      <c r="J12" s="5"/>
    </row>
    <row r="13" spans="1:19" x14ac:dyDescent="0.25">
      <c r="A13" t="s">
        <v>43</v>
      </c>
      <c r="B13">
        <v>80</v>
      </c>
      <c r="C13">
        <v>999</v>
      </c>
      <c r="D13">
        <v>720</v>
      </c>
      <c r="E13">
        <v>760</v>
      </c>
      <c r="F13">
        <v>0</v>
      </c>
      <c r="G13" s="1">
        <v>38596</v>
      </c>
      <c r="H13" s="1">
        <v>1</v>
      </c>
      <c r="I13" s="1">
        <v>39873</v>
      </c>
      <c r="J13" s="5"/>
      <c r="L13" t="s">
        <v>24</v>
      </c>
      <c r="M13" t="s">
        <v>48</v>
      </c>
    </row>
    <row r="14" spans="1:19" x14ac:dyDescent="0.25">
      <c r="A14" t="s">
        <v>43</v>
      </c>
      <c r="B14">
        <v>80</v>
      </c>
      <c r="C14">
        <v>999</v>
      </c>
      <c r="D14">
        <v>680</v>
      </c>
      <c r="E14">
        <v>720</v>
      </c>
      <c r="F14">
        <v>0</v>
      </c>
      <c r="G14" s="1">
        <v>38596</v>
      </c>
      <c r="H14" s="1">
        <v>1</v>
      </c>
      <c r="I14" s="1">
        <v>39873</v>
      </c>
      <c r="J14" s="5"/>
      <c r="L14" t="s">
        <v>25</v>
      </c>
      <c r="M14" t="s">
        <v>46</v>
      </c>
      <c r="S14" t="s">
        <v>40</v>
      </c>
    </row>
    <row r="15" spans="1:19" x14ac:dyDescent="0.25">
      <c r="A15" t="s">
        <v>43</v>
      </c>
      <c r="B15">
        <v>80</v>
      </c>
      <c r="C15">
        <v>999</v>
      </c>
      <c r="D15">
        <v>620</v>
      </c>
      <c r="E15">
        <v>680</v>
      </c>
      <c r="F15">
        <v>0</v>
      </c>
      <c r="G15" s="1">
        <v>38596</v>
      </c>
      <c r="H15" s="1">
        <v>1</v>
      </c>
      <c r="I15" s="1">
        <v>39873</v>
      </c>
      <c r="J15" s="5"/>
      <c r="N15" s="3"/>
      <c r="O15" s="3"/>
      <c r="P15" s="3"/>
      <c r="Q15" s="3"/>
      <c r="R15" s="3"/>
    </row>
    <row r="16" spans="1:19" x14ac:dyDescent="0.25">
      <c r="A16" t="s">
        <v>43</v>
      </c>
      <c r="B16">
        <v>80</v>
      </c>
      <c r="C16">
        <v>999</v>
      </c>
      <c r="D16">
        <v>300</v>
      </c>
      <c r="E16">
        <v>620</v>
      </c>
      <c r="G16" s="1">
        <v>38596</v>
      </c>
      <c r="H16" s="1">
        <v>1</v>
      </c>
      <c r="I16" s="1">
        <v>39873</v>
      </c>
      <c r="J16" s="5"/>
      <c r="N16" s="9"/>
      <c r="O16" s="9"/>
      <c r="P16" s="9"/>
      <c r="Q16" s="9"/>
      <c r="R16" s="3"/>
    </row>
    <row r="17" spans="1:18" x14ac:dyDescent="0.25">
      <c r="A17" t="s">
        <v>42</v>
      </c>
      <c r="B17">
        <v>80</v>
      </c>
      <c r="C17">
        <v>999</v>
      </c>
      <c r="D17">
        <v>760</v>
      </c>
      <c r="E17">
        <v>999</v>
      </c>
      <c r="F17">
        <v>0</v>
      </c>
      <c r="G17" s="1">
        <v>38596</v>
      </c>
      <c r="H17" s="1">
        <v>1</v>
      </c>
      <c r="I17" s="1">
        <v>39873</v>
      </c>
      <c r="J17" s="5"/>
      <c r="N17" s="9"/>
      <c r="O17" s="9"/>
      <c r="P17" s="9"/>
      <c r="Q17" s="9"/>
      <c r="R17" s="3"/>
    </row>
    <row r="18" spans="1:18" x14ac:dyDescent="0.25">
      <c r="A18" t="s">
        <v>42</v>
      </c>
      <c r="B18">
        <v>80</v>
      </c>
      <c r="C18">
        <v>999</v>
      </c>
      <c r="D18">
        <v>720</v>
      </c>
      <c r="E18">
        <v>760</v>
      </c>
      <c r="F18">
        <v>0</v>
      </c>
      <c r="G18" s="1">
        <v>38596</v>
      </c>
      <c r="H18" s="1">
        <v>1</v>
      </c>
      <c r="I18" s="1">
        <v>39873</v>
      </c>
      <c r="J18" s="5"/>
      <c r="N18" s="9"/>
      <c r="O18" s="9"/>
      <c r="P18" s="9"/>
      <c r="Q18" s="9"/>
      <c r="R18" s="3"/>
    </row>
    <row r="19" spans="1:18" x14ac:dyDescent="0.25">
      <c r="A19" t="s">
        <v>42</v>
      </c>
      <c r="B19">
        <v>80</v>
      </c>
      <c r="C19">
        <v>999</v>
      </c>
      <c r="D19">
        <v>680</v>
      </c>
      <c r="E19">
        <v>720</v>
      </c>
      <c r="F19">
        <v>0</v>
      </c>
      <c r="G19" s="1">
        <v>38596</v>
      </c>
      <c r="H19" s="1">
        <v>1</v>
      </c>
      <c r="I19" s="1">
        <v>39873</v>
      </c>
      <c r="J19" s="5"/>
      <c r="N19" s="9"/>
      <c r="O19" s="9"/>
      <c r="P19" s="9"/>
      <c r="Q19" s="9"/>
      <c r="R19" s="3"/>
    </row>
    <row r="20" spans="1:18" x14ac:dyDescent="0.25">
      <c r="A20" t="s">
        <v>42</v>
      </c>
      <c r="B20">
        <v>80</v>
      </c>
      <c r="C20">
        <v>999</v>
      </c>
      <c r="D20">
        <v>620</v>
      </c>
      <c r="E20">
        <v>680</v>
      </c>
      <c r="F20">
        <v>0</v>
      </c>
      <c r="G20" s="1">
        <v>38596</v>
      </c>
      <c r="H20" s="1">
        <v>1</v>
      </c>
      <c r="I20" s="1">
        <v>39873</v>
      </c>
      <c r="J20" s="5"/>
      <c r="N20" s="9"/>
      <c r="O20" s="9"/>
      <c r="P20" s="9"/>
      <c r="Q20" s="9"/>
      <c r="R20" s="3"/>
    </row>
    <row r="21" spans="1:18" x14ac:dyDescent="0.25">
      <c r="A21" t="s">
        <v>42</v>
      </c>
      <c r="B21">
        <v>80</v>
      </c>
      <c r="C21">
        <v>999</v>
      </c>
      <c r="D21">
        <v>300</v>
      </c>
      <c r="E21">
        <v>620</v>
      </c>
      <c r="G21" s="1">
        <v>38596</v>
      </c>
      <c r="H21" s="1">
        <v>1</v>
      </c>
      <c r="I21" s="1">
        <v>39873</v>
      </c>
      <c r="J21" s="5"/>
      <c r="N21" s="9"/>
      <c r="O21" s="9"/>
      <c r="P21" s="9"/>
      <c r="Q21" s="9"/>
      <c r="R21" s="3"/>
    </row>
    <row r="22" spans="1:18" x14ac:dyDescent="0.25">
      <c r="A22" t="s">
        <v>45</v>
      </c>
      <c r="B22">
        <v>80</v>
      </c>
      <c r="C22">
        <v>999</v>
      </c>
      <c r="D22">
        <v>760</v>
      </c>
      <c r="E22">
        <v>999</v>
      </c>
      <c r="F22">
        <v>0</v>
      </c>
      <c r="G22" s="1">
        <v>39873</v>
      </c>
      <c r="H22" s="1">
        <v>39873</v>
      </c>
      <c r="I22" s="1">
        <v>40299</v>
      </c>
      <c r="J22" s="5"/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8" x14ac:dyDescent="0.25">
      <c r="A23" t="s">
        <v>45</v>
      </c>
      <c r="B23">
        <v>80</v>
      </c>
      <c r="C23">
        <v>999</v>
      </c>
      <c r="D23">
        <v>720</v>
      </c>
      <c r="E23">
        <v>760</v>
      </c>
      <c r="F23">
        <v>0</v>
      </c>
      <c r="G23" s="1">
        <v>39873</v>
      </c>
      <c r="H23" s="1">
        <v>39873</v>
      </c>
      <c r="I23" s="1">
        <v>40299</v>
      </c>
      <c r="J23" s="5"/>
      <c r="L23" t="s">
        <v>45</v>
      </c>
      <c r="M23" t="s">
        <v>38</v>
      </c>
      <c r="N23" s="9">
        <v>0</v>
      </c>
      <c r="O23" s="9">
        <v>0</v>
      </c>
      <c r="P23" s="9">
        <v>0</v>
      </c>
      <c r="Q23" s="9">
        <v>0</v>
      </c>
      <c r="R23" s="3" t="s">
        <v>18</v>
      </c>
    </row>
    <row r="24" spans="1:18" x14ac:dyDescent="0.25">
      <c r="A24" t="s">
        <v>45</v>
      </c>
      <c r="B24">
        <v>80</v>
      </c>
      <c r="C24">
        <v>999</v>
      </c>
      <c r="D24">
        <v>680</v>
      </c>
      <c r="E24">
        <v>720</v>
      </c>
      <c r="F24">
        <v>0</v>
      </c>
      <c r="G24" s="1">
        <v>39873</v>
      </c>
      <c r="H24" s="1">
        <v>39873</v>
      </c>
      <c r="I24" s="1">
        <v>40299</v>
      </c>
      <c r="J24" s="5"/>
      <c r="L24" t="s">
        <v>44</v>
      </c>
      <c r="M24" t="s">
        <v>38</v>
      </c>
      <c r="N24" s="9">
        <v>14</v>
      </c>
      <c r="O24" s="9">
        <v>14</v>
      </c>
      <c r="P24" s="9">
        <v>14</v>
      </c>
      <c r="Q24" s="9">
        <v>14</v>
      </c>
      <c r="R24" s="3" t="s">
        <v>18</v>
      </c>
    </row>
    <row r="25" spans="1:18" x14ac:dyDescent="0.25">
      <c r="A25" t="s">
        <v>45</v>
      </c>
      <c r="B25">
        <v>80</v>
      </c>
      <c r="C25">
        <v>999</v>
      </c>
      <c r="D25">
        <v>620</v>
      </c>
      <c r="E25">
        <v>680</v>
      </c>
      <c r="F25">
        <v>0</v>
      </c>
      <c r="G25" s="1">
        <v>39873</v>
      </c>
      <c r="H25" s="1">
        <v>39873</v>
      </c>
      <c r="I25" s="1">
        <v>40299</v>
      </c>
      <c r="J25" s="5"/>
      <c r="L25" t="s">
        <v>43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s="3" t="s">
        <v>18</v>
      </c>
    </row>
    <row r="26" spans="1:18" x14ac:dyDescent="0.25">
      <c r="A26" t="s">
        <v>45</v>
      </c>
      <c r="B26">
        <v>80</v>
      </c>
      <c r="C26">
        <v>999</v>
      </c>
      <c r="D26">
        <v>300</v>
      </c>
      <c r="E26">
        <v>620</v>
      </c>
      <c r="G26" s="1">
        <v>39873</v>
      </c>
      <c r="H26" s="1">
        <v>39873</v>
      </c>
      <c r="I26" s="1">
        <v>40299</v>
      </c>
      <c r="J26" s="5"/>
      <c r="L26" t="s">
        <v>42</v>
      </c>
      <c r="M26" t="s">
        <v>38</v>
      </c>
      <c r="N26" s="9">
        <v>0</v>
      </c>
      <c r="O26" s="9">
        <v>0</v>
      </c>
      <c r="P26" s="9">
        <v>0</v>
      </c>
      <c r="Q26" s="9">
        <v>0</v>
      </c>
      <c r="R26" s="3" t="s">
        <v>18</v>
      </c>
    </row>
    <row r="27" spans="1:18" x14ac:dyDescent="0.25">
      <c r="A27" t="s">
        <v>44</v>
      </c>
      <c r="B27">
        <v>80</v>
      </c>
      <c r="C27">
        <v>999</v>
      </c>
      <c r="D27">
        <v>760</v>
      </c>
      <c r="E27">
        <v>999</v>
      </c>
      <c r="F27" s="9">
        <v>14</v>
      </c>
      <c r="G27" s="1">
        <v>39873</v>
      </c>
      <c r="H27" s="1">
        <v>39873</v>
      </c>
      <c r="I27" s="1">
        <v>40299</v>
      </c>
      <c r="J27" s="5"/>
      <c r="L27" t="s">
        <v>45</v>
      </c>
      <c r="M27" t="s">
        <v>39</v>
      </c>
      <c r="N27" s="9">
        <v>0</v>
      </c>
      <c r="O27" s="9">
        <v>0</v>
      </c>
      <c r="P27" s="9">
        <v>0</v>
      </c>
      <c r="Q27" s="9">
        <v>0</v>
      </c>
      <c r="R27" s="3" t="s">
        <v>18</v>
      </c>
    </row>
    <row r="28" spans="1:18" x14ac:dyDescent="0.25">
      <c r="A28" t="s">
        <v>44</v>
      </c>
      <c r="B28">
        <v>80</v>
      </c>
      <c r="C28">
        <v>999</v>
      </c>
      <c r="D28">
        <v>720</v>
      </c>
      <c r="E28">
        <v>760</v>
      </c>
      <c r="F28" s="9">
        <v>14</v>
      </c>
      <c r="G28" s="1">
        <v>39873</v>
      </c>
      <c r="H28" s="1">
        <v>39873</v>
      </c>
      <c r="I28" s="1">
        <v>40299</v>
      </c>
      <c r="J28" s="5"/>
      <c r="L28" t="s">
        <v>44</v>
      </c>
      <c r="M28" t="s">
        <v>39</v>
      </c>
      <c r="N28" s="9">
        <v>0</v>
      </c>
      <c r="O28" s="9">
        <v>0</v>
      </c>
      <c r="P28" s="9">
        <v>0</v>
      </c>
      <c r="Q28" s="9">
        <v>0</v>
      </c>
      <c r="R28" s="3" t="s">
        <v>18</v>
      </c>
    </row>
    <row r="29" spans="1:18" x14ac:dyDescent="0.25">
      <c r="A29" t="s">
        <v>44</v>
      </c>
      <c r="B29">
        <v>80</v>
      </c>
      <c r="C29">
        <v>999</v>
      </c>
      <c r="D29">
        <v>680</v>
      </c>
      <c r="E29">
        <v>720</v>
      </c>
      <c r="F29" s="9">
        <v>14</v>
      </c>
      <c r="G29" s="1">
        <v>39873</v>
      </c>
      <c r="H29" s="1">
        <v>39873</v>
      </c>
      <c r="I29" s="1">
        <v>40299</v>
      </c>
      <c r="J29" s="5"/>
      <c r="L29" t="s">
        <v>43</v>
      </c>
      <c r="M29" t="s">
        <v>39</v>
      </c>
      <c r="N29" s="9">
        <v>0</v>
      </c>
      <c r="O29" s="9">
        <v>0</v>
      </c>
      <c r="P29" s="9">
        <v>0</v>
      </c>
      <c r="Q29" s="9">
        <v>0</v>
      </c>
      <c r="R29" s="3" t="s">
        <v>18</v>
      </c>
    </row>
    <row r="30" spans="1:18" x14ac:dyDescent="0.25">
      <c r="A30" t="s">
        <v>44</v>
      </c>
      <c r="B30">
        <v>80</v>
      </c>
      <c r="C30">
        <v>999</v>
      </c>
      <c r="D30">
        <v>620</v>
      </c>
      <c r="E30">
        <v>680</v>
      </c>
      <c r="F30" s="9">
        <v>14</v>
      </c>
      <c r="G30" s="1">
        <v>39873</v>
      </c>
      <c r="H30" s="1">
        <v>39873</v>
      </c>
      <c r="I30" s="1">
        <v>40299</v>
      </c>
      <c r="J30" s="5"/>
      <c r="L30" t="s">
        <v>42</v>
      </c>
      <c r="M30" t="s">
        <v>39</v>
      </c>
      <c r="N30" s="9">
        <v>0</v>
      </c>
      <c r="O30" s="9">
        <v>0</v>
      </c>
      <c r="P30" s="9">
        <v>0</v>
      </c>
      <c r="Q30" s="9">
        <v>0</v>
      </c>
      <c r="R30" s="3" t="s">
        <v>18</v>
      </c>
    </row>
    <row r="31" spans="1:18" x14ac:dyDescent="0.25">
      <c r="A31" t="s">
        <v>44</v>
      </c>
      <c r="B31">
        <v>80</v>
      </c>
      <c r="C31">
        <v>999</v>
      </c>
      <c r="D31">
        <v>300</v>
      </c>
      <c r="E31">
        <v>620</v>
      </c>
      <c r="G31" s="1">
        <v>39873</v>
      </c>
      <c r="H31" s="1">
        <v>39873</v>
      </c>
      <c r="I31" s="1">
        <v>40299</v>
      </c>
      <c r="J31" s="5"/>
    </row>
    <row r="32" spans="1:18" x14ac:dyDescent="0.25">
      <c r="A32" t="s">
        <v>43</v>
      </c>
      <c r="B32">
        <v>80</v>
      </c>
      <c r="C32">
        <v>999</v>
      </c>
      <c r="D32">
        <v>760</v>
      </c>
      <c r="E32">
        <v>999</v>
      </c>
      <c r="F32">
        <v>0</v>
      </c>
      <c r="G32" s="1">
        <v>39873</v>
      </c>
      <c r="H32" s="1">
        <v>39873</v>
      </c>
      <c r="I32" s="1">
        <v>40299</v>
      </c>
      <c r="J32" s="5"/>
    </row>
    <row r="33" spans="1:19" x14ac:dyDescent="0.25">
      <c r="A33" t="s">
        <v>43</v>
      </c>
      <c r="B33">
        <v>80</v>
      </c>
      <c r="C33">
        <v>999</v>
      </c>
      <c r="D33">
        <v>720</v>
      </c>
      <c r="E33">
        <v>760</v>
      </c>
      <c r="F33">
        <v>0</v>
      </c>
      <c r="G33" s="1">
        <v>39873</v>
      </c>
      <c r="H33" s="1">
        <v>39873</v>
      </c>
      <c r="I33" s="1">
        <v>40299</v>
      </c>
      <c r="J33" s="5"/>
    </row>
    <row r="34" spans="1:19" x14ac:dyDescent="0.25">
      <c r="A34" t="s">
        <v>43</v>
      </c>
      <c r="B34">
        <v>80</v>
      </c>
      <c r="C34">
        <v>999</v>
      </c>
      <c r="D34">
        <v>680</v>
      </c>
      <c r="E34">
        <v>720</v>
      </c>
      <c r="F34">
        <v>0</v>
      </c>
      <c r="G34" s="1">
        <v>39873</v>
      </c>
      <c r="H34" s="1">
        <v>39873</v>
      </c>
      <c r="I34" s="1">
        <v>40299</v>
      </c>
      <c r="J34" s="5"/>
      <c r="S34" t="s">
        <v>40</v>
      </c>
    </row>
    <row r="35" spans="1:19" x14ac:dyDescent="0.25">
      <c r="A35" t="s">
        <v>43</v>
      </c>
      <c r="B35">
        <v>80</v>
      </c>
      <c r="C35">
        <v>999</v>
      </c>
      <c r="D35">
        <v>620</v>
      </c>
      <c r="E35">
        <v>680</v>
      </c>
      <c r="F35">
        <v>0</v>
      </c>
      <c r="G35" s="1">
        <v>39873</v>
      </c>
      <c r="H35" s="1">
        <v>39873</v>
      </c>
      <c r="I35" s="1">
        <v>40299</v>
      </c>
      <c r="J35" s="5"/>
      <c r="N35" s="3"/>
      <c r="O35" s="3"/>
      <c r="P35" s="3"/>
      <c r="Q35" s="3"/>
      <c r="R35" s="3"/>
    </row>
    <row r="36" spans="1:19" x14ac:dyDescent="0.25">
      <c r="A36" t="s">
        <v>43</v>
      </c>
      <c r="B36">
        <v>80</v>
      </c>
      <c r="C36">
        <v>999</v>
      </c>
      <c r="D36">
        <v>300</v>
      </c>
      <c r="E36">
        <v>620</v>
      </c>
      <c r="G36" s="1">
        <v>39873</v>
      </c>
      <c r="H36" s="1">
        <v>39873</v>
      </c>
      <c r="I36" s="1">
        <v>40299</v>
      </c>
      <c r="J36" s="5"/>
      <c r="N36" s="9"/>
      <c r="O36" s="9"/>
      <c r="P36" s="9"/>
      <c r="Q36" s="9"/>
      <c r="R36" s="3"/>
    </row>
    <row r="37" spans="1:19" x14ac:dyDescent="0.25">
      <c r="A37" t="s">
        <v>42</v>
      </c>
      <c r="B37">
        <v>80</v>
      </c>
      <c r="C37">
        <v>999</v>
      </c>
      <c r="D37">
        <v>760</v>
      </c>
      <c r="E37">
        <v>999</v>
      </c>
      <c r="F37">
        <v>0</v>
      </c>
      <c r="G37" s="1">
        <v>39873</v>
      </c>
      <c r="H37" s="1">
        <v>39873</v>
      </c>
      <c r="I37" s="1">
        <v>40299</v>
      </c>
      <c r="J37" s="5"/>
      <c r="N37" s="9"/>
      <c r="O37" s="9"/>
      <c r="P37" s="9"/>
      <c r="Q37" s="9"/>
      <c r="R37" s="3"/>
    </row>
    <row r="38" spans="1:19" x14ac:dyDescent="0.25">
      <c r="A38" t="s">
        <v>42</v>
      </c>
      <c r="B38">
        <v>80</v>
      </c>
      <c r="C38">
        <v>999</v>
      </c>
      <c r="D38">
        <v>720</v>
      </c>
      <c r="E38">
        <v>760</v>
      </c>
      <c r="F38">
        <v>0</v>
      </c>
      <c r="G38" s="1">
        <v>39873</v>
      </c>
      <c r="H38" s="1">
        <v>39873</v>
      </c>
      <c r="I38" s="1">
        <v>40299</v>
      </c>
      <c r="J38" s="5"/>
      <c r="N38" s="9"/>
      <c r="O38" s="9"/>
      <c r="P38" s="9"/>
      <c r="Q38" s="9"/>
      <c r="R38" s="3"/>
    </row>
    <row r="39" spans="1:19" x14ac:dyDescent="0.25">
      <c r="A39" t="s">
        <v>42</v>
      </c>
      <c r="B39">
        <v>80</v>
      </c>
      <c r="C39">
        <v>999</v>
      </c>
      <c r="D39">
        <v>680</v>
      </c>
      <c r="E39">
        <v>720</v>
      </c>
      <c r="F39">
        <v>0</v>
      </c>
      <c r="G39" s="1">
        <v>39873</v>
      </c>
      <c r="H39" s="1">
        <v>39873</v>
      </c>
      <c r="I39" s="1">
        <v>40299</v>
      </c>
      <c r="J39" s="5"/>
      <c r="N39" s="9"/>
      <c r="O39" s="9"/>
      <c r="P39" s="9"/>
      <c r="Q39" s="9"/>
      <c r="R39" s="3"/>
    </row>
    <row r="40" spans="1:19" x14ac:dyDescent="0.25">
      <c r="A40" t="s">
        <v>42</v>
      </c>
      <c r="B40">
        <v>80</v>
      </c>
      <c r="C40">
        <v>999</v>
      </c>
      <c r="D40">
        <v>620</v>
      </c>
      <c r="E40">
        <v>680</v>
      </c>
      <c r="F40">
        <v>0</v>
      </c>
      <c r="G40" s="1">
        <v>39873</v>
      </c>
      <c r="H40" s="1">
        <v>39873</v>
      </c>
      <c r="I40" s="1">
        <v>40299</v>
      </c>
      <c r="J40" s="5"/>
      <c r="N40" s="9"/>
      <c r="O40" s="9"/>
      <c r="P40" s="9"/>
      <c r="Q40" s="9"/>
      <c r="R40" s="3"/>
    </row>
    <row r="41" spans="1:19" x14ac:dyDescent="0.25">
      <c r="A41" t="s">
        <v>42</v>
      </c>
      <c r="B41">
        <v>80</v>
      </c>
      <c r="C41">
        <v>999</v>
      </c>
      <c r="D41">
        <v>300</v>
      </c>
      <c r="E41">
        <v>620</v>
      </c>
      <c r="G41" s="1">
        <v>39873</v>
      </c>
      <c r="H41" s="1">
        <v>39873</v>
      </c>
      <c r="I41" s="1">
        <v>40299</v>
      </c>
      <c r="J41" s="5"/>
      <c r="N41" s="9"/>
      <c r="O41" s="9"/>
      <c r="P41" s="9"/>
      <c r="Q41" s="9"/>
      <c r="R41" s="3"/>
    </row>
    <row r="42" spans="1:19" x14ac:dyDescent="0.25">
      <c r="A42" t="s">
        <v>45</v>
      </c>
      <c r="B42">
        <v>0</v>
      </c>
      <c r="C42">
        <v>80</v>
      </c>
      <c r="D42">
        <v>760</v>
      </c>
      <c r="E42">
        <v>999</v>
      </c>
      <c r="F42">
        <v>0</v>
      </c>
      <c r="G42" s="1">
        <v>39873</v>
      </c>
      <c r="H42" s="1">
        <v>39873</v>
      </c>
      <c r="I42" s="1">
        <v>40299</v>
      </c>
      <c r="J42" s="5"/>
      <c r="N42" s="9"/>
      <c r="O42" s="9"/>
      <c r="P42" s="9"/>
      <c r="Q42" s="9"/>
      <c r="R42" s="3"/>
    </row>
    <row r="43" spans="1:19" x14ac:dyDescent="0.25">
      <c r="A43" t="s">
        <v>45</v>
      </c>
      <c r="B43">
        <v>0</v>
      </c>
      <c r="C43">
        <v>80</v>
      </c>
      <c r="D43">
        <v>720</v>
      </c>
      <c r="E43">
        <v>760</v>
      </c>
      <c r="F43">
        <v>0</v>
      </c>
      <c r="G43" s="1">
        <v>39873</v>
      </c>
      <c r="H43" s="1">
        <v>39873</v>
      </c>
      <c r="I43" s="1">
        <v>40299</v>
      </c>
      <c r="J43" s="5"/>
      <c r="N43" s="9"/>
      <c r="O43" s="9"/>
      <c r="P43" s="9"/>
      <c r="Q43" s="9"/>
    </row>
    <row r="44" spans="1:19" x14ac:dyDescent="0.25">
      <c r="A44" t="s">
        <v>45</v>
      </c>
      <c r="B44">
        <v>0</v>
      </c>
      <c r="C44">
        <v>80</v>
      </c>
      <c r="D44">
        <v>680</v>
      </c>
      <c r="E44">
        <v>720</v>
      </c>
      <c r="F44">
        <v>0</v>
      </c>
      <c r="G44" s="1">
        <v>39873</v>
      </c>
      <c r="H44" s="1">
        <v>39873</v>
      </c>
      <c r="I44" s="1">
        <v>40299</v>
      </c>
      <c r="J44" s="5"/>
      <c r="N44" s="9"/>
      <c r="O44" s="9"/>
      <c r="P44" s="9"/>
      <c r="Q44" s="9"/>
    </row>
    <row r="45" spans="1:19" x14ac:dyDescent="0.25">
      <c r="A45" t="s">
        <v>45</v>
      </c>
      <c r="B45">
        <v>0</v>
      </c>
      <c r="C45">
        <v>80</v>
      </c>
      <c r="D45">
        <v>620</v>
      </c>
      <c r="E45">
        <v>680</v>
      </c>
      <c r="F45">
        <v>0</v>
      </c>
      <c r="G45" s="1">
        <v>39873</v>
      </c>
      <c r="H45" s="1">
        <v>39873</v>
      </c>
      <c r="I45" s="1">
        <v>40299</v>
      </c>
      <c r="J45" s="5"/>
      <c r="N45" s="9"/>
      <c r="O45" s="9"/>
      <c r="P45" s="9"/>
      <c r="Q45" s="9"/>
    </row>
    <row r="46" spans="1:19" x14ac:dyDescent="0.25">
      <c r="A46" t="s">
        <v>45</v>
      </c>
      <c r="B46">
        <v>0</v>
      </c>
      <c r="C46">
        <v>80</v>
      </c>
      <c r="D46">
        <v>300</v>
      </c>
      <c r="E46">
        <v>620</v>
      </c>
      <c r="G46" s="1">
        <v>39873</v>
      </c>
      <c r="H46" s="1">
        <v>39873</v>
      </c>
      <c r="I46" s="1">
        <v>40299</v>
      </c>
      <c r="J46" s="5"/>
      <c r="N46" s="9"/>
      <c r="O46" s="9"/>
      <c r="P46" s="9"/>
      <c r="Q46" s="9"/>
    </row>
    <row r="47" spans="1:19" x14ac:dyDescent="0.25">
      <c r="A47" t="s">
        <v>44</v>
      </c>
      <c r="B47">
        <v>0</v>
      </c>
      <c r="C47">
        <v>80</v>
      </c>
      <c r="D47">
        <v>760</v>
      </c>
      <c r="E47">
        <v>999</v>
      </c>
      <c r="F47">
        <v>0</v>
      </c>
      <c r="G47" s="1">
        <v>39873</v>
      </c>
      <c r="H47" s="1">
        <v>39873</v>
      </c>
      <c r="I47" s="1">
        <v>40299</v>
      </c>
      <c r="J47" s="5"/>
      <c r="N47" s="9"/>
      <c r="O47" s="9"/>
      <c r="P47" s="9"/>
      <c r="Q47" s="9"/>
    </row>
    <row r="48" spans="1:19" x14ac:dyDescent="0.25">
      <c r="A48" t="s">
        <v>44</v>
      </c>
      <c r="B48">
        <v>0</v>
      </c>
      <c r="C48">
        <v>80</v>
      </c>
      <c r="D48">
        <v>720</v>
      </c>
      <c r="E48">
        <v>760</v>
      </c>
      <c r="F48">
        <v>0</v>
      </c>
      <c r="G48" s="1">
        <v>39873</v>
      </c>
      <c r="H48" s="1">
        <v>39873</v>
      </c>
      <c r="I48" s="1">
        <v>40299</v>
      </c>
      <c r="J48" s="5"/>
      <c r="N48" s="9"/>
      <c r="O48" s="9"/>
      <c r="P48" s="9"/>
      <c r="Q48" s="9"/>
    </row>
    <row r="49" spans="1:18" x14ac:dyDescent="0.25">
      <c r="A49" t="s">
        <v>44</v>
      </c>
      <c r="B49">
        <v>0</v>
      </c>
      <c r="C49">
        <v>80</v>
      </c>
      <c r="D49">
        <v>680</v>
      </c>
      <c r="E49">
        <v>720</v>
      </c>
      <c r="F49">
        <v>0</v>
      </c>
      <c r="G49" s="1">
        <v>39873</v>
      </c>
      <c r="H49" s="1">
        <v>39873</v>
      </c>
      <c r="I49" s="1">
        <v>40299</v>
      </c>
      <c r="J49" s="5"/>
    </row>
    <row r="50" spans="1:18" x14ac:dyDescent="0.25">
      <c r="A50" t="s">
        <v>44</v>
      </c>
      <c r="B50">
        <v>0</v>
      </c>
      <c r="C50">
        <v>80</v>
      </c>
      <c r="D50">
        <v>620</v>
      </c>
      <c r="E50">
        <v>680</v>
      </c>
      <c r="F50">
        <v>0</v>
      </c>
      <c r="G50" s="1">
        <v>39873</v>
      </c>
      <c r="H50" s="1">
        <v>39873</v>
      </c>
      <c r="I50" s="1">
        <v>40299</v>
      </c>
      <c r="J50" s="5"/>
    </row>
    <row r="51" spans="1:18" x14ac:dyDescent="0.25">
      <c r="A51" t="s">
        <v>44</v>
      </c>
      <c r="B51">
        <v>0</v>
      </c>
      <c r="C51">
        <v>80</v>
      </c>
      <c r="D51">
        <v>300</v>
      </c>
      <c r="E51">
        <v>620</v>
      </c>
      <c r="G51" s="1">
        <v>39873</v>
      </c>
      <c r="H51" s="1">
        <v>39873</v>
      </c>
      <c r="I51" s="1">
        <v>40299</v>
      </c>
      <c r="J51" s="5"/>
    </row>
    <row r="52" spans="1:18" x14ac:dyDescent="0.25">
      <c r="A52" t="s">
        <v>43</v>
      </c>
      <c r="B52">
        <v>0</v>
      </c>
      <c r="C52">
        <v>80</v>
      </c>
      <c r="D52">
        <v>760</v>
      </c>
      <c r="E52">
        <v>999</v>
      </c>
      <c r="F52">
        <v>0</v>
      </c>
      <c r="G52" s="1">
        <v>39873</v>
      </c>
      <c r="H52" s="1">
        <v>39873</v>
      </c>
      <c r="I52" s="1">
        <v>40299</v>
      </c>
      <c r="J52" s="5"/>
    </row>
    <row r="53" spans="1:18" x14ac:dyDescent="0.25">
      <c r="A53" t="s">
        <v>43</v>
      </c>
      <c r="B53">
        <v>0</v>
      </c>
      <c r="C53">
        <v>80</v>
      </c>
      <c r="D53">
        <v>720</v>
      </c>
      <c r="E53">
        <v>760</v>
      </c>
      <c r="F53">
        <v>0</v>
      </c>
      <c r="G53" s="1">
        <v>39873</v>
      </c>
      <c r="H53" s="1">
        <v>39873</v>
      </c>
      <c r="I53" s="1">
        <v>40299</v>
      </c>
      <c r="J53" s="5"/>
    </row>
    <row r="54" spans="1:18" x14ac:dyDescent="0.25">
      <c r="A54" t="s">
        <v>43</v>
      </c>
      <c r="B54">
        <v>0</v>
      </c>
      <c r="C54">
        <v>80</v>
      </c>
      <c r="D54">
        <v>680</v>
      </c>
      <c r="E54">
        <v>720</v>
      </c>
      <c r="F54">
        <v>0</v>
      </c>
      <c r="G54" s="1">
        <v>39873</v>
      </c>
      <c r="H54" s="1">
        <v>39873</v>
      </c>
      <c r="I54" s="1">
        <v>40299</v>
      </c>
      <c r="J54" s="5"/>
    </row>
    <row r="55" spans="1:18" x14ac:dyDescent="0.25">
      <c r="A55" t="s">
        <v>43</v>
      </c>
      <c r="B55">
        <v>0</v>
      </c>
      <c r="C55">
        <v>80</v>
      </c>
      <c r="D55">
        <v>620</v>
      </c>
      <c r="E55">
        <v>680</v>
      </c>
      <c r="F55">
        <v>0</v>
      </c>
      <c r="G55" s="1">
        <v>39873</v>
      </c>
      <c r="H55" s="1">
        <v>39873</v>
      </c>
      <c r="I55" s="1">
        <v>40299</v>
      </c>
      <c r="J55" s="5"/>
    </row>
    <row r="56" spans="1:18" x14ac:dyDescent="0.25">
      <c r="A56" t="s">
        <v>43</v>
      </c>
      <c r="B56">
        <v>0</v>
      </c>
      <c r="C56">
        <v>80</v>
      </c>
      <c r="D56">
        <v>300</v>
      </c>
      <c r="E56">
        <v>620</v>
      </c>
      <c r="G56" s="1">
        <v>39873</v>
      </c>
      <c r="H56" s="1">
        <v>39873</v>
      </c>
      <c r="I56" s="1">
        <v>40299</v>
      </c>
      <c r="J56" s="5"/>
    </row>
    <row r="57" spans="1:18" x14ac:dyDescent="0.25">
      <c r="A57" t="s">
        <v>42</v>
      </c>
      <c r="B57">
        <v>0</v>
      </c>
      <c r="C57">
        <v>80</v>
      </c>
      <c r="D57">
        <v>760</v>
      </c>
      <c r="E57">
        <v>999</v>
      </c>
      <c r="F57">
        <v>0</v>
      </c>
      <c r="G57" s="1">
        <v>39873</v>
      </c>
      <c r="H57" s="1">
        <v>39873</v>
      </c>
      <c r="I57" s="1">
        <v>40299</v>
      </c>
      <c r="J57" s="5"/>
    </row>
    <row r="58" spans="1:18" x14ac:dyDescent="0.25">
      <c r="A58" t="s">
        <v>42</v>
      </c>
      <c r="B58">
        <v>0</v>
      </c>
      <c r="C58">
        <v>80</v>
      </c>
      <c r="D58">
        <v>720</v>
      </c>
      <c r="E58">
        <v>760</v>
      </c>
      <c r="F58">
        <v>0</v>
      </c>
      <c r="G58" s="1">
        <v>39873</v>
      </c>
      <c r="H58" s="1">
        <v>39873</v>
      </c>
      <c r="I58" s="1">
        <v>40299</v>
      </c>
      <c r="J58" s="5"/>
    </row>
    <row r="59" spans="1:18" x14ac:dyDescent="0.25">
      <c r="A59" t="s">
        <v>42</v>
      </c>
      <c r="B59">
        <v>0</v>
      </c>
      <c r="C59">
        <v>80</v>
      </c>
      <c r="D59">
        <v>680</v>
      </c>
      <c r="E59">
        <v>720</v>
      </c>
      <c r="F59">
        <v>0</v>
      </c>
      <c r="G59" s="1">
        <v>39873</v>
      </c>
      <c r="H59" s="1">
        <v>39873</v>
      </c>
      <c r="I59" s="1">
        <v>40299</v>
      </c>
      <c r="J59" s="5"/>
    </row>
    <row r="60" spans="1:18" x14ac:dyDescent="0.25">
      <c r="A60" t="s">
        <v>42</v>
      </c>
      <c r="B60">
        <v>0</v>
      </c>
      <c r="C60">
        <v>80</v>
      </c>
      <c r="D60">
        <v>620</v>
      </c>
      <c r="E60">
        <v>680</v>
      </c>
      <c r="F60">
        <v>0</v>
      </c>
      <c r="G60" s="1">
        <v>39873</v>
      </c>
      <c r="H60" s="1">
        <v>39873</v>
      </c>
      <c r="I60" s="1">
        <v>40299</v>
      </c>
      <c r="J60" s="5"/>
    </row>
    <row r="61" spans="1:18" x14ac:dyDescent="0.25">
      <c r="A61" t="s">
        <v>42</v>
      </c>
      <c r="B61">
        <v>0</v>
      </c>
      <c r="C61">
        <v>80</v>
      </c>
      <c r="D61">
        <v>300</v>
      </c>
      <c r="E61">
        <v>620</v>
      </c>
      <c r="G61" s="1">
        <v>39873</v>
      </c>
      <c r="H61" s="1">
        <v>39873</v>
      </c>
      <c r="I61" s="1">
        <v>40299</v>
      </c>
      <c r="J61" s="5"/>
    </row>
    <row r="62" spans="1:18" x14ac:dyDescent="0.25">
      <c r="A62" t="s">
        <v>45</v>
      </c>
      <c r="B62">
        <v>80</v>
      </c>
      <c r="C62">
        <v>999</v>
      </c>
      <c r="D62">
        <v>760</v>
      </c>
      <c r="E62">
        <v>999</v>
      </c>
      <c r="F62">
        <v>0</v>
      </c>
      <c r="G62" s="1">
        <v>40299</v>
      </c>
      <c r="H62" s="1">
        <v>40299</v>
      </c>
      <c r="I62" s="1">
        <v>40756</v>
      </c>
      <c r="J62" s="5"/>
      <c r="L62" s="1">
        <v>40299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8" x14ac:dyDescent="0.25">
      <c r="A63" t="s">
        <v>45</v>
      </c>
      <c r="B63">
        <v>80</v>
      </c>
      <c r="C63">
        <v>999</v>
      </c>
      <c r="D63">
        <v>720</v>
      </c>
      <c r="E63">
        <v>760</v>
      </c>
      <c r="F63">
        <v>0</v>
      </c>
      <c r="G63" s="1">
        <v>40299</v>
      </c>
      <c r="H63" s="1">
        <v>40299</v>
      </c>
      <c r="I63" s="1">
        <v>40756</v>
      </c>
      <c r="J63" s="5"/>
      <c r="L63" t="s">
        <v>45</v>
      </c>
      <c r="M63" t="s">
        <v>38</v>
      </c>
      <c r="N63" s="9">
        <v>0</v>
      </c>
      <c r="O63" s="9">
        <v>0</v>
      </c>
      <c r="P63" s="9">
        <v>0</v>
      </c>
      <c r="Q63" s="9">
        <v>0</v>
      </c>
      <c r="R63" s="3" t="s">
        <v>18</v>
      </c>
    </row>
    <row r="64" spans="1:18" x14ac:dyDescent="0.25">
      <c r="A64" t="s">
        <v>45</v>
      </c>
      <c r="B64">
        <v>80</v>
      </c>
      <c r="C64">
        <v>999</v>
      </c>
      <c r="D64">
        <v>680</v>
      </c>
      <c r="E64">
        <v>720</v>
      </c>
      <c r="F64">
        <v>0</v>
      </c>
      <c r="G64" s="1">
        <v>40299</v>
      </c>
      <c r="H64" s="1">
        <v>40299</v>
      </c>
      <c r="I64" s="1">
        <v>40756</v>
      </c>
      <c r="J64" s="5"/>
      <c r="L64" t="s">
        <v>44</v>
      </c>
      <c r="M64" t="s">
        <v>38</v>
      </c>
      <c r="N64" s="9">
        <v>14</v>
      </c>
      <c r="O64" s="9">
        <v>14</v>
      </c>
      <c r="P64" s="9">
        <v>20</v>
      </c>
      <c r="Q64" s="9">
        <v>35</v>
      </c>
      <c r="R64" s="3" t="s">
        <v>18</v>
      </c>
    </row>
    <row r="65" spans="1:19" x14ac:dyDescent="0.25">
      <c r="A65" t="s">
        <v>45</v>
      </c>
      <c r="B65">
        <v>80</v>
      </c>
      <c r="C65">
        <v>999</v>
      </c>
      <c r="D65">
        <v>620</v>
      </c>
      <c r="E65">
        <v>680</v>
      </c>
      <c r="F65">
        <v>0</v>
      </c>
      <c r="G65" s="1">
        <v>40299</v>
      </c>
      <c r="H65" s="1">
        <v>40299</v>
      </c>
      <c r="I65" s="1">
        <v>40756</v>
      </c>
      <c r="J65" s="5"/>
      <c r="L65" t="s">
        <v>43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s="3" t="s">
        <v>18</v>
      </c>
    </row>
    <row r="66" spans="1:19" x14ac:dyDescent="0.25">
      <c r="A66" t="s">
        <v>45</v>
      </c>
      <c r="B66">
        <v>80</v>
      </c>
      <c r="C66">
        <v>999</v>
      </c>
      <c r="D66">
        <v>300</v>
      </c>
      <c r="E66">
        <v>620</v>
      </c>
      <c r="G66" s="1">
        <v>40299</v>
      </c>
      <c r="H66" s="1">
        <v>40299</v>
      </c>
      <c r="I66" s="1">
        <v>40756</v>
      </c>
      <c r="J66" s="5"/>
      <c r="L66" t="s">
        <v>42</v>
      </c>
      <c r="M66" t="s">
        <v>38</v>
      </c>
      <c r="N66" s="9">
        <v>0</v>
      </c>
      <c r="O66" s="9">
        <v>0</v>
      </c>
      <c r="P66" s="9">
        <v>0</v>
      </c>
      <c r="Q66" s="9">
        <v>0</v>
      </c>
      <c r="R66" s="3" t="s">
        <v>18</v>
      </c>
    </row>
    <row r="67" spans="1:19" x14ac:dyDescent="0.25">
      <c r="A67" t="s">
        <v>44</v>
      </c>
      <c r="B67">
        <v>80</v>
      </c>
      <c r="C67">
        <v>999</v>
      </c>
      <c r="D67">
        <v>760</v>
      </c>
      <c r="E67">
        <v>999</v>
      </c>
      <c r="F67" s="9">
        <v>14</v>
      </c>
      <c r="G67" s="1">
        <v>40299</v>
      </c>
      <c r="H67" s="1">
        <v>40299</v>
      </c>
      <c r="I67" s="1">
        <v>40756</v>
      </c>
      <c r="J67" s="5"/>
      <c r="L67" t="s">
        <v>45</v>
      </c>
      <c r="M67" t="s">
        <v>39</v>
      </c>
      <c r="N67" s="9">
        <v>0</v>
      </c>
      <c r="O67" s="9">
        <v>0</v>
      </c>
      <c r="P67" s="9">
        <v>0</v>
      </c>
      <c r="Q67" s="9">
        <v>0</v>
      </c>
      <c r="R67" s="3" t="s">
        <v>18</v>
      </c>
    </row>
    <row r="68" spans="1:19" x14ac:dyDescent="0.25">
      <c r="A68" t="s">
        <v>44</v>
      </c>
      <c r="B68">
        <v>80</v>
      </c>
      <c r="C68">
        <v>999</v>
      </c>
      <c r="D68">
        <v>720</v>
      </c>
      <c r="E68">
        <v>760</v>
      </c>
      <c r="F68" s="9">
        <v>14</v>
      </c>
      <c r="G68" s="1">
        <v>40299</v>
      </c>
      <c r="H68" s="1">
        <v>40299</v>
      </c>
      <c r="I68" s="1">
        <v>40756</v>
      </c>
      <c r="J68" s="5"/>
      <c r="L68" t="s">
        <v>44</v>
      </c>
      <c r="M68" t="s">
        <v>39</v>
      </c>
      <c r="N68" s="9">
        <v>0</v>
      </c>
      <c r="O68" s="9">
        <v>0</v>
      </c>
      <c r="P68" s="9">
        <v>0</v>
      </c>
      <c r="Q68" s="9">
        <v>0</v>
      </c>
      <c r="R68" s="3" t="s">
        <v>18</v>
      </c>
    </row>
    <row r="69" spans="1:19" x14ac:dyDescent="0.25">
      <c r="A69" t="s">
        <v>44</v>
      </c>
      <c r="B69">
        <v>80</v>
      </c>
      <c r="C69">
        <v>999</v>
      </c>
      <c r="D69">
        <v>680</v>
      </c>
      <c r="E69">
        <v>720</v>
      </c>
      <c r="F69" s="9">
        <v>20</v>
      </c>
      <c r="G69" s="1">
        <v>40299</v>
      </c>
      <c r="H69" s="1">
        <v>40299</v>
      </c>
      <c r="I69" s="1">
        <v>40756</v>
      </c>
      <c r="J69" s="5"/>
      <c r="L69" t="s">
        <v>43</v>
      </c>
      <c r="M69" t="s">
        <v>39</v>
      </c>
      <c r="N69" s="9">
        <v>0</v>
      </c>
      <c r="O69" s="9">
        <v>0</v>
      </c>
      <c r="P69" s="9">
        <v>0</v>
      </c>
      <c r="Q69" s="9">
        <v>0</v>
      </c>
      <c r="R69" s="3" t="s">
        <v>18</v>
      </c>
    </row>
    <row r="70" spans="1:19" x14ac:dyDescent="0.25">
      <c r="A70" t="s">
        <v>44</v>
      </c>
      <c r="B70">
        <v>80</v>
      </c>
      <c r="C70">
        <v>999</v>
      </c>
      <c r="D70">
        <v>620</v>
      </c>
      <c r="E70">
        <v>680</v>
      </c>
      <c r="F70" s="9">
        <v>35</v>
      </c>
      <c r="G70" s="1">
        <v>40299</v>
      </c>
      <c r="H70" s="1">
        <v>40299</v>
      </c>
      <c r="I70" s="1">
        <v>40756</v>
      </c>
      <c r="J70" s="5"/>
      <c r="L70" t="s">
        <v>42</v>
      </c>
      <c r="M70" t="s">
        <v>39</v>
      </c>
      <c r="N70" s="9">
        <v>0</v>
      </c>
      <c r="O70" s="9">
        <v>0</v>
      </c>
      <c r="P70" s="9">
        <v>0</v>
      </c>
      <c r="Q70" s="9">
        <v>0</v>
      </c>
      <c r="R70" s="3" t="s">
        <v>18</v>
      </c>
    </row>
    <row r="71" spans="1:19" x14ac:dyDescent="0.25">
      <c r="A71" t="s">
        <v>44</v>
      </c>
      <c r="B71">
        <v>80</v>
      </c>
      <c r="C71">
        <v>999</v>
      </c>
      <c r="D71">
        <v>300</v>
      </c>
      <c r="E71">
        <v>620</v>
      </c>
      <c r="G71" s="1">
        <v>40299</v>
      </c>
      <c r="H71" s="1">
        <v>40299</v>
      </c>
      <c r="I71" s="1">
        <v>40756</v>
      </c>
      <c r="J71" s="5"/>
    </row>
    <row r="72" spans="1:19" x14ac:dyDescent="0.25">
      <c r="A72" t="s">
        <v>43</v>
      </c>
      <c r="B72">
        <v>80</v>
      </c>
      <c r="C72">
        <v>999</v>
      </c>
      <c r="D72">
        <v>760</v>
      </c>
      <c r="E72">
        <v>999</v>
      </c>
      <c r="F72">
        <v>0</v>
      </c>
      <c r="G72" s="1">
        <v>40299</v>
      </c>
      <c r="H72" s="1">
        <v>40299</v>
      </c>
      <c r="I72" s="1">
        <v>40756</v>
      </c>
      <c r="J72" s="5"/>
    </row>
    <row r="73" spans="1:19" x14ac:dyDescent="0.25">
      <c r="A73" t="s">
        <v>43</v>
      </c>
      <c r="B73">
        <v>80</v>
      </c>
      <c r="C73">
        <v>999</v>
      </c>
      <c r="D73">
        <v>720</v>
      </c>
      <c r="E73">
        <v>760</v>
      </c>
      <c r="F73">
        <v>0</v>
      </c>
      <c r="G73" s="1">
        <v>40299</v>
      </c>
      <c r="H73" s="1">
        <v>40299</v>
      </c>
      <c r="I73" s="1">
        <v>40756</v>
      </c>
      <c r="J73" s="5"/>
    </row>
    <row r="74" spans="1:19" x14ac:dyDescent="0.25">
      <c r="A74" t="s">
        <v>43</v>
      </c>
      <c r="B74">
        <v>80</v>
      </c>
      <c r="C74">
        <v>999</v>
      </c>
      <c r="D74">
        <v>680</v>
      </c>
      <c r="E74">
        <v>720</v>
      </c>
      <c r="F74">
        <v>0</v>
      </c>
      <c r="G74" s="1">
        <v>40299</v>
      </c>
      <c r="H74" s="1">
        <v>40299</v>
      </c>
      <c r="I74" s="1">
        <v>40756</v>
      </c>
      <c r="J74" s="5"/>
      <c r="S74" t="s">
        <v>40</v>
      </c>
    </row>
    <row r="75" spans="1:19" x14ac:dyDescent="0.25">
      <c r="A75" t="s">
        <v>43</v>
      </c>
      <c r="B75">
        <v>80</v>
      </c>
      <c r="C75">
        <v>999</v>
      </c>
      <c r="D75">
        <v>620</v>
      </c>
      <c r="E75">
        <v>680</v>
      </c>
      <c r="F75">
        <v>0</v>
      </c>
      <c r="G75" s="1">
        <v>40299</v>
      </c>
      <c r="H75" s="1">
        <v>40299</v>
      </c>
      <c r="I75" s="1">
        <v>40756</v>
      </c>
      <c r="J75" s="5"/>
      <c r="N75" s="3"/>
      <c r="O75" s="3"/>
      <c r="P75" s="3"/>
      <c r="Q75" s="3"/>
      <c r="R75" s="3"/>
    </row>
    <row r="76" spans="1:19" x14ac:dyDescent="0.25">
      <c r="A76" t="s">
        <v>43</v>
      </c>
      <c r="B76">
        <v>80</v>
      </c>
      <c r="C76">
        <v>999</v>
      </c>
      <c r="D76">
        <v>300</v>
      </c>
      <c r="E76">
        <v>620</v>
      </c>
      <c r="G76" s="1">
        <v>40299</v>
      </c>
      <c r="H76" s="1">
        <v>40299</v>
      </c>
      <c r="I76" s="1">
        <v>40756</v>
      </c>
      <c r="J76" s="5"/>
      <c r="N76" s="9"/>
      <c r="O76" s="9"/>
      <c r="P76" s="9"/>
      <c r="Q76" s="9"/>
      <c r="R76" s="3"/>
    </row>
    <row r="77" spans="1:19" x14ac:dyDescent="0.25">
      <c r="A77" t="s">
        <v>42</v>
      </c>
      <c r="B77">
        <v>80</v>
      </c>
      <c r="C77">
        <v>999</v>
      </c>
      <c r="D77">
        <v>760</v>
      </c>
      <c r="E77">
        <v>999</v>
      </c>
      <c r="F77">
        <v>0</v>
      </c>
      <c r="G77" s="1">
        <v>40299</v>
      </c>
      <c r="H77" s="1">
        <v>40299</v>
      </c>
      <c r="I77" s="1">
        <v>40756</v>
      </c>
      <c r="J77" s="5"/>
      <c r="N77" s="9"/>
      <c r="O77" s="9"/>
      <c r="P77" s="9"/>
      <c r="Q77" s="9"/>
      <c r="R77" s="3"/>
    </row>
    <row r="78" spans="1:19" x14ac:dyDescent="0.25">
      <c r="A78" t="s">
        <v>42</v>
      </c>
      <c r="B78">
        <v>80</v>
      </c>
      <c r="C78">
        <v>999</v>
      </c>
      <c r="D78">
        <v>720</v>
      </c>
      <c r="E78">
        <v>760</v>
      </c>
      <c r="F78">
        <v>0</v>
      </c>
      <c r="G78" s="1">
        <v>40299</v>
      </c>
      <c r="H78" s="1">
        <v>40299</v>
      </c>
      <c r="I78" s="1">
        <v>40756</v>
      </c>
      <c r="J78" s="5"/>
      <c r="N78" s="9"/>
      <c r="O78" s="9"/>
      <c r="P78" s="9"/>
      <c r="Q78" s="9"/>
      <c r="R78" s="3"/>
    </row>
    <row r="79" spans="1:19" x14ac:dyDescent="0.25">
      <c r="A79" t="s">
        <v>42</v>
      </c>
      <c r="B79">
        <v>80</v>
      </c>
      <c r="C79">
        <v>999</v>
      </c>
      <c r="D79">
        <v>680</v>
      </c>
      <c r="E79">
        <v>720</v>
      </c>
      <c r="F79">
        <v>0</v>
      </c>
      <c r="G79" s="1">
        <v>40299</v>
      </c>
      <c r="H79" s="1">
        <v>40299</v>
      </c>
      <c r="I79" s="1">
        <v>40756</v>
      </c>
      <c r="J79" s="5"/>
      <c r="N79" s="9"/>
      <c r="O79" s="9"/>
      <c r="P79" s="9"/>
      <c r="Q79" s="9"/>
      <c r="R79" s="3"/>
    </row>
    <row r="80" spans="1:19" x14ac:dyDescent="0.25">
      <c r="A80" t="s">
        <v>42</v>
      </c>
      <c r="B80">
        <v>80</v>
      </c>
      <c r="C80">
        <v>999</v>
      </c>
      <c r="D80">
        <v>620</v>
      </c>
      <c r="E80">
        <v>680</v>
      </c>
      <c r="F80">
        <v>0</v>
      </c>
      <c r="G80" s="1">
        <v>40299</v>
      </c>
      <c r="H80" s="1">
        <v>40299</v>
      </c>
      <c r="I80" s="1">
        <v>40756</v>
      </c>
      <c r="J80" s="5"/>
      <c r="N80" s="9"/>
      <c r="O80" s="9"/>
      <c r="P80" s="9"/>
      <c r="Q80" s="9"/>
      <c r="R80" s="3"/>
    </row>
    <row r="81" spans="1:18" x14ac:dyDescent="0.25">
      <c r="A81" t="s">
        <v>42</v>
      </c>
      <c r="B81">
        <v>80</v>
      </c>
      <c r="C81">
        <v>999</v>
      </c>
      <c r="D81">
        <v>300</v>
      </c>
      <c r="E81">
        <v>620</v>
      </c>
      <c r="G81" s="1">
        <v>40299</v>
      </c>
      <c r="H81" s="1">
        <v>40299</v>
      </c>
      <c r="I81" s="1">
        <v>40756</v>
      </c>
      <c r="J81" s="5"/>
      <c r="N81" s="9"/>
      <c r="O81" s="9"/>
      <c r="P81" s="9"/>
      <c r="Q81" s="9"/>
      <c r="R81" s="3"/>
    </row>
    <row r="82" spans="1:18" x14ac:dyDescent="0.25">
      <c r="A82" t="s">
        <v>45</v>
      </c>
      <c r="B82">
        <v>0</v>
      </c>
      <c r="C82">
        <v>80</v>
      </c>
      <c r="D82">
        <v>760</v>
      </c>
      <c r="E82">
        <v>999</v>
      </c>
      <c r="F82">
        <v>0</v>
      </c>
      <c r="G82" s="1">
        <v>40299</v>
      </c>
      <c r="H82" s="1">
        <v>40299</v>
      </c>
      <c r="I82" s="1">
        <v>40756</v>
      </c>
      <c r="J82" s="5"/>
      <c r="N82" s="9"/>
      <c r="O82" s="9"/>
      <c r="P82" s="9"/>
      <c r="Q82" s="9"/>
      <c r="R82" s="3"/>
    </row>
    <row r="83" spans="1:18" x14ac:dyDescent="0.25">
      <c r="A83" t="s">
        <v>45</v>
      </c>
      <c r="B83">
        <v>0</v>
      </c>
      <c r="C83">
        <v>80</v>
      </c>
      <c r="D83">
        <v>720</v>
      </c>
      <c r="E83">
        <v>760</v>
      </c>
      <c r="F83">
        <v>0</v>
      </c>
      <c r="G83" s="1">
        <v>40299</v>
      </c>
      <c r="H83" s="1">
        <v>40299</v>
      </c>
      <c r="I83" s="1">
        <v>40756</v>
      </c>
      <c r="J83" s="5"/>
      <c r="N83" s="9"/>
      <c r="O83" s="9"/>
      <c r="P83" s="9"/>
      <c r="Q83" s="9"/>
    </row>
    <row r="84" spans="1:18" x14ac:dyDescent="0.25">
      <c r="A84" t="s">
        <v>45</v>
      </c>
      <c r="B84">
        <v>0</v>
      </c>
      <c r="C84">
        <v>80</v>
      </c>
      <c r="D84">
        <v>680</v>
      </c>
      <c r="E84">
        <v>720</v>
      </c>
      <c r="F84">
        <v>0</v>
      </c>
      <c r="G84" s="1">
        <v>40299</v>
      </c>
      <c r="H84" s="1">
        <v>40299</v>
      </c>
      <c r="I84" s="1">
        <v>40756</v>
      </c>
      <c r="J84" s="5"/>
      <c r="N84" s="9"/>
      <c r="O84" s="9"/>
      <c r="P84" s="9"/>
      <c r="Q84" s="9"/>
    </row>
    <row r="85" spans="1:18" x14ac:dyDescent="0.25">
      <c r="A85" t="s">
        <v>45</v>
      </c>
      <c r="B85">
        <v>0</v>
      </c>
      <c r="C85">
        <v>80</v>
      </c>
      <c r="D85">
        <v>620</v>
      </c>
      <c r="E85">
        <v>680</v>
      </c>
      <c r="F85">
        <v>0</v>
      </c>
      <c r="G85" s="1">
        <v>40299</v>
      </c>
      <c r="H85" s="1">
        <v>40299</v>
      </c>
      <c r="I85" s="1">
        <v>40756</v>
      </c>
      <c r="J85" s="5"/>
      <c r="N85" s="9"/>
      <c r="O85" s="9"/>
      <c r="P85" s="9"/>
      <c r="Q85" s="9"/>
    </row>
    <row r="86" spans="1:18" x14ac:dyDescent="0.25">
      <c r="A86" t="s">
        <v>45</v>
      </c>
      <c r="B86">
        <v>0</v>
      </c>
      <c r="C86">
        <v>80</v>
      </c>
      <c r="D86">
        <v>300</v>
      </c>
      <c r="E86">
        <v>620</v>
      </c>
      <c r="G86" s="1">
        <v>40299</v>
      </c>
      <c r="H86" s="1">
        <v>40299</v>
      </c>
      <c r="I86" s="1">
        <v>40756</v>
      </c>
      <c r="J86" s="5"/>
      <c r="N86" s="9"/>
      <c r="O86" s="9"/>
      <c r="P86" s="9"/>
      <c r="Q86" s="9"/>
    </row>
    <row r="87" spans="1:18" x14ac:dyDescent="0.25">
      <c r="A87" t="s">
        <v>44</v>
      </c>
      <c r="B87">
        <v>0</v>
      </c>
      <c r="C87">
        <v>80</v>
      </c>
      <c r="D87">
        <v>760</v>
      </c>
      <c r="E87">
        <v>999</v>
      </c>
      <c r="F87">
        <v>0</v>
      </c>
      <c r="G87" s="1">
        <v>40299</v>
      </c>
      <c r="H87" s="1">
        <v>40299</v>
      </c>
      <c r="I87" s="1">
        <v>40756</v>
      </c>
      <c r="J87" s="5"/>
      <c r="N87" s="9"/>
      <c r="O87" s="9"/>
      <c r="P87" s="9"/>
      <c r="Q87" s="9"/>
    </row>
    <row r="88" spans="1:18" x14ac:dyDescent="0.25">
      <c r="A88" t="s">
        <v>44</v>
      </c>
      <c r="B88">
        <v>0</v>
      </c>
      <c r="C88">
        <v>80</v>
      </c>
      <c r="D88">
        <v>720</v>
      </c>
      <c r="E88">
        <v>760</v>
      </c>
      <c r="F88">
        <v>0</v>
      </c>
      <c r="G88" s="1">
        <v>40299</v>
      </c>
      <c r="H88" s="1">
        <v>40299</v>
      </c>
      <c r="I88" s="1">
        <v>40756</v>
      </c>
      <c r="J88" s="5"/>
      <c r="N88" s="9"/>
      <c r="O88" s="9"/>
      <c r="P88" s="9"/>
      <c r="Q88" s="9"/>
    </row>
    <row r="89" spans="1:18" x14ac:dyDescent="0.25">
      <c r="A89" t="s">
        <v>44</v>
      </c>
      <c r="B89">
        <v>0</v>
      </c>
      <c r="C89">
        <v>80</v>
      </c>
      <c r="D89">
        <v>680</v>
      </c>
      <c r="E89">
        <v>720</v>
      </c>
      <c r="F89">
        <v>0</v>
      </c>
      <c r="G89" s="1">
        <v>40299</v>
      </c>
      <c r="H89" s="1">
        <v>40299</v>
      </c>
      <c r="I89" s="1">
        <v>40756</v>
      </c>
      <c r="J89" s="5"/>
    </row>
    <row r="90" spans="1:18" x14ac:dyDescent="0.25">
      <c r="A90" t="s">
        <v>44</v>
      </c>
      <c r="B90">
        <v>0</v>
      </c>
      <c r="C90">
        <v>80</v>
      </c>
      <c r="D90">
        <v>620</v>
      </c>
      <c r="E90">
        <v>680</v>
      </c>
      <c r="F90">
        <v>0</v>
      </c>
      <c r="G90" s="1">
        <v>40299</v>
      </c>
      <c r="H90" s="1">
        <v>40299</v>
      </c>
      <c r="I90" s="1">
        <v>40756</v>
      </c>
      <c r="J90" s="5"/>
    </row>
    <row r="91" spans="1:18" x14ac:dyDescent="0.25">
      <c r="A91" t="s">
        <v>44</v>
      </c>
      <c r="B91">
        <v>0</v>
      </c>
      <c r="C91">
        <v>80</v>
      </c>
      <c r="D91">
        <v>300</v>
      </c>
      <c r="E91">
        <v>620</v>
      </c>
      <c r="G91" s="1">
        <v>40299</v>
      </c>
      <c r="H91" s="1">
        <v>40299</v>
      </c>
      <c r="I91" s="1">
        <v>40756</v>
      </c>
      <c r="J91" s="5"/>
    </row>
    <row r="92" spans="1:18" x14ac:dyDescent="0.25">
      <c r="A92" t="s">
        <v>43</v>
      </c>
      <c r="B92">
        <v>0</v>
      </c>
      <c r="C92">
        <v>80</v>
      </c>
      <c r="D92">
        <v>760</v>
      </c>
      <c r="E92">
        <v>999</v>
      </c>
      <c r="F92">
        <v>0</v>
      </c>
      <c r="G92" s="1">
        <v>40299</v>
      </c>
      <c r="H92" s="1">
        <v>40299</v>
      </c>
      <c r="I92" s="1">
        <v>40756</v>
      </c>
      <c r="J92" s="5"/>
    </row>
    <row r="93" spans="1:18" x14ac:dyDescent="0.25">
      <c r="A93" t="s">
        <v>43</v>
      </c>
      <c r="B93">
        <v>0</v>
      </c>
      <c r="C93">
        <v>80</v>
      </c>
      <c r="D93">
        <v>720</v>
      </c>
      <c r="E93">
        <v>760</v>
      </c>
      <c r="F93">
        <v>0</v>
      </c>
      <c r="G93" s="1">
        <v>40299</v>
      </c>
      <c r="H93" s="1">
        <v>40299</v>
      </c>
      <c r="I93" s="1">
        <v>40756</v>
      </c>
      <c r="J93" s="5"/>
    </row>
    <row r="94" spans="1:18" x14ac:dyDescent="0.25">
      <c r="A94" t="s">
        <v>43</v>
      </c>
      <c r="B94">
        <v>0</v>
      </c>
      <c r="C94">
        <v>80</v>
      </c>
      <c r="D94">
        <v>680</v>
      </c>
      <c r="E94">
        <v>720</v>
      </c>
      <c r="F94">
        <v>0</v>
      </c>
      <c r="G94" s="1">
        <v>40299</v>
      </c>
      <c r="H94" s="1">
        <v>40299</v>
      </c>
      <c r="I94" s="1">
        <v>40756</v>
      </c>
      <c r="J94" s="5"/>
    </row>
    <row r="95" spans="1:18" x14ac:dyDescent="0.25">
      <c r="A95" t="s">
        <v>43</v>
      </c>
      <c r="B95">
        <v>0</v>
      </c>
      <c r="C95">
        <v>80</v>
      </c>
      <c r="D95">
        <v>620</v>
      </c>
      <c r="E95">
        <v>680</v>
      </c>
      <c r="F95">
        <v>0</v>
      </c>
      <c r="G95" s="1">
        <v>40299</v>
      </c>
      <c r="H95" s="1">
        <v>40299</v>
      </c>
      <c r="I95" s="1">
        <v>40756</v>
      </c>
      <c r="J95" s="5"/>
    </row>
    <row r="96" spans="1:18" x14ac:dyDescent="0.25">
      <c r="A96" t="s">
        <v>43</v>
      </c>
      <c r="B96">
        <v>0</v>
      </c>
      <c r="C96">
        <v>80</v>
      </c>
      <c r="D96">
        <v>300</v>
      </c>
      <c r="E96">
        <v>620</v>
      </c>
      <c r="G96" s="1">
        <v>40299</v>
      </c>
      <c r="H96" s="1">
        <v>40299</v>
      </c>
      <c r="I96" s="1">
        <v>40756</v>
      </c>
      <c r="J96" s="5"/>
    </row>
    <row r="97" spans="1:18" x14ac:dyDescent="0.25">
      <c r="A97" t="s">
        <v>42</v>
      </c>
      <c r="B97">
        <v>0</v>
      </c>
      <c r="C97">
        <v>80</v>
      </c>
      <c r="D97">
        <v>760</v>
      </c>
      <c r="E97">
        <v>999</v>
      </c>
      <c r="F97">
        <v>0</v>
      </c>
      <c r="G97" s="1">
        <v>40299</v>
      </c>
      <c r="H97" s="1">
        <v>40299</v>
      </c>
      <c r="I97" s="1">
        <v>40756</v>
      </c>
      <c r="J97" s="5"/>
    </row>
    <row r="98" spans="1:18" x14ac:dyDescent="0.25">
      <c r="A98" t="s">
        <v>42</v>
      </c>
      <c r="B98">
        <v>0</v>
      </c>
      <c r="C98">
        <v>80</v>
      </c>
      <c r="D98">
        <v>720</v>
      </c>
      <c r="E98">
        <v>760</v>
      </c>
      <c r="F98">
        <v>0</v>
      </c>
      <c r="G98" s="1">
        <v>40299</v>
      </c>
      <c r="H98" s="1">
        <v>40299</v>
      </c>
      <c r="I98" s="1">
        <v>40756</v>
      </c>
      <c r="J98" s="5"/>
    </row>
    <row r="99" spans="1:18" x14ac:dyDescent="0.25">
      <c r="A99" t="s">
        <v>42</v>
      </c>
      <c r="B99">
        <v>0</v>
      </c>
      <c r="C99">
        <v>80</v>
      </c>
      <c r="D99">
        <v>680</v>
      </c>
      <c r="E99">
        <v>720</v>
      </c>
      <c r="F99">
        <v>0</v>
      </c>
      <c r="G99" s="1">
        <v>40299</v>
      </c>
      <c r="H99" s="1">
        <v>40299</v>
      </c>
      <c r="I99" s="1">
        <v>40756</v>
      </c>
      <c r="J99" s="5"/>
    </row>
    <row r="100" spans="1:18" x14ac:dyDescent="0.25">
      <c r="A100" t="s">
        <v>42</v>
      </c>
      <c r="B100">
        <v>0</v>
      </c>
      <c r="C100">
        <v>80</v>
      </c>
      <c r="D100">
        <v>620</v>
      </c>
      <c r="E100">
        <v>680</v>
      </c>
      <c r="F100">
        <v>0</v>
      </c>
      <c r="G100" s="1">
        <v>40299</v>
      </c>
      <c r="H100" s="1">
        <v>40299</v>
      </c>
      <c r="I100" s="1">
        <v>40756</v>
      </c>
      <c r="J100" s="5"/>
    </row>
    <row r="101" spans="1:18" x14ac:dyDescent="0.25">
      <c r="A101" t="s">
        <v>42</v>
      </c>
      <c r="B101">
        <v>0</v>
      </c>
      <c r="C101">
        <v>80</v>
      </c>
      <c r="D101">
        <v>300</v>
      </c>
      <c r="E101">
        <v>620</v>
      </c>
      <c r="G101" s="1">
        <v>40299</v>
      </c>
      <c r="H101" s="1">
        <v>40299</v>
      </c>
      <c r="I101" s="1">
        <v>40756</v>
      </c>
      <c r="J101" s="5"/>
    </row>
    <row r="102" spans="1:18" x14ac:dyDescent="0.25">
      <c r="A102" t="s">
        <v>45</v>
      </c>
      <c r="B102">
        <v>80</v>
      </c>
      <c r="C102">
        <v>999</v>
      </c>
      <c r="D102">
        <v>760</v>
      </c>
      <c r="E102">
        <v>999</v>
      </c>
      <c r="F102">
        <v>0</v>
      </c>
      <c r="G102" s="1">
        <v>40756</v>
      </c>
      <c r="H102" s="1">
        <v>40756</v>
      </c>
      <c r="I102" s="1">
        <v>40969</v>
      </c>
      <c r="J102" s="5"/>
      <c r="L102" s="1">
        <v>40756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8" x14ac:dyDescent="0.25">
      <c r="A103" t="s">
        <v>45</v>
      </c>
      <c r="B103">
        <v>80</v>
      </c>
      <c r="C103">
        <v>999</v>
      </c>
      <c r="D103">
        <v>720</v>
      </c>
      <c r="E103">
        <v>760</v>
      </c>
      <c r="F103">
        <v>0</v>
      </c>
      <c r="G103" s="1">
        <v>40756</v>
      </c>
      <c r="H103" s="1">
        <v>40756</v>
      </c>
      <c r="I103" s="1">
        <v>40969</v>
      </c>
      <c r="J103" s="5"/>
      <c r="L103" t="s">
        <v>45</v>
      </c>
      <c r="M103" t="s">
        <v>38</v>
      </c>
      <c r="N103" s="9">
        <v>0</v>
      </c>
      <c r="O103" s="9">
        <v>0</v>
      </c>
      <c r="P103" s="9">
        <v>0</v>
      </c>
      <c r="Q103" s="9">
        <v>0</v>
      </c>
      <c r="R103" s="3" t="s">
        <v>18</v>
      </c>
    </row>
    <row r="104" spans="1:18" x14ac:dyDescent="0.25">
      <c r="A104" t="s">
        <v>45</v>
      </c>
      <c r="B104">
        <v>80</v>
      </c>
      <c r="C104">
        <v>999</v>
      </c>
      <c r="D104">
        <v>680</v>
      </c>
      <c r="E104">
        <v>720</v>
      </c>
      <c r="F104">
        <v>0</v>
      </c>
      <c r="G104" s="1">
        <v>40756</v>
      </c>
      <c r="H104" s="1">
        <v>40756</v>
      </c>
      <c r="I104" s="1">
        <v>40969</v>
      </c>
      <c r="J104" s="5"/>
      <c r="L104" t="s">
        <v>44</v>
      </c>
      <c r="M104" t="s">
        <v>38</v>
      </c>
      <c r="N104" s="9">
        <v>14</v>
      </c>
      <c r="O104" s="9">
        <v>14</v>
      </c>
      <c r="P104" s="9">
        <v>20</v>
      </c>
      <c r="Q104" s="9">
        <v>35</v>
      </c>
      <c r="R104" s="3" t="s">
        <v>18</v>
      </c>
    </row>
    <row r="105" spans="1:18" x14ac:dyDescent="0.25">
      <c r="A105" t="s">
        <v>45</v>
      </c>
      <c r="B105">
        <v>80</v>
      </c>
      <c r="C105">
        <v>999</v>
      </c>
      <c r="D105">
        <v>620</v>
      </c>
      <c r="E105">
        <v>680</v>
      </c>
      <c r="F105">
        <v>0</v>
      </c>
      <c r="G105" s="1">
        <v>40756</v>
      </c>
      <c r="H105" s="1">
        <v>40756</v>
      </c>
      <c r="I105" s="1">
        <v>40969</v>
      </c>
      <c r="J105" s="5"/>
      <c r="L105" t="s">
        <v>43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s="3" t="s">
        <v>18</v>
      </c>
    </row>
    <row r="106" spans="1:18" x14ac:dyDescent="0.25">
      <c r="A106" t="s">
        <v>45</v>
      </c>
      <c r="B106">
        <v>80</v>
      </c>
      <c r="C106">
        <v>999</v>
      </c>
      <c r="D106">
        <v>300</v>
      </c>
      <c r="E106">
        <v>620</v>
      </c>
      <c r="G106" s="1">
        <v>40756</v>
      </c>
      <c r="H106" s="1">
        <v>40756</v>
      </c>
      <c r="I106" s="1">
        <v>40969</v>
      </c>
      <c r="J106" s="5"/>
      <c r="L106" t="s">
        <v>42</v>
      </c>
      <c r="M106" t="s">
        <v>38</v>
      </c>
      <c r="N106" s="9">
        <v>0</v>
      </c>
      <c r="O106" s="9">
        <v>0</v>
      </c>
      <c r="P106" s="9">
        <v>0</v>
      </c>
      <c r="Q106" s="9">
        <v>0</v>
      </c>
      <c r="R106" s="3" t="s">
        <v>18</v>
      </c>
    </row>
    <row r="107" spans="1:18" x14ac:dyDescent="0.25">
      <c r="A107" t="s">
        <v>44</v>
      </c>
      <c r="B107">
        <v>80</v>
      </c>
      <c r="C107">
        <v>999</v>
      </c>
      <c r="D107">
        <v>760</v>
      </c>
      <c r="E107">
        <v>999</v>
      </c>
      <c r="F107" s="9">
        <v>14</v>
      </c>
      <c r="G107" s="1">
        <v>40756</v>
      </c>
      <c r="H107" s="1">
        <v>40756</v>
      </c>
      <c r="I107" s="1">
        <v>40969</v>
      </c>
      <c r="J107" s="5"/>
      <c r="L107" t="s">
        <v>45</v>
      </c>
      <c r="M107" t="s">
        <v>39</v>
      </c>
      <c r="N107" s="9">
        <v>0</v>
      </c>
      <c r="O107" s="9">
        <v>0</v>
      </c>
      <c r="P107" s="9">
        <v>0</v>
      </c>
      <c r="Q107" s="9">
        <v>0</v>
      </c>
      <c r="R107" s="3" t="s">
        <v>18</v>
      </c>
    </row>
    <row r="108" spans="1:18" x14ac:dyDescent="0.25">
      <c r="A108" t="s">
        <v>44</v>
      </c>
      <c r="B108">
        <v>80</v>
      </c>
      <c r="C108">
        <v>999</v>
      </c>
      <c r="D108">
        <v>720</v>
      </c>
      <c r="E108">
        <v>760</v>
      </c>
      <c r="F108" s="9">
        <v>14</v>
      </c>
      <c r="G108" s="1">
        <v>40756</v>
      </c>
      <c r="H108" s="1">
        <v>40756</v>
      </c>
      <c r="I108" s="1">
        <v>40969</v>
      </c>
      <c r="J108" s="5"/>
      <c r="L108" t="s">
        <v>44</v>
      </c>
      <c r="M108" t="s">
        <v>39</v>
      </c>
      <c r="N108" s="9">
        <v>0</v>
      </c>
      <c r="O108" s="9">
        <v>0</v>
      </c>
      <c r="P108" s="9">
        <v>0</v>
      </c>
      <c r="Q108" s="9">
        <v>0</v>
      </c>
      <c r="R108" s="3" t="s">
        <v>18</v>
      </c>
    </row>
    <row r="109" spans="1:18" x14ac:dyDescent="0.25">
      <c r="A109" t="s">
        <v>44</v>
      </c>
      <c r="B109">
        <v>80</v>
      </c>
      <c r="C109">
        <v>999</v>
      </c>
      <c r="D109">
        <v>680</v>
      </c>
      <c r="E109">
        <v>720</v>
      </c>
      <c r="F109" s="9">
        <v>20</v>
      </c>
      <c r="G109" s="1">
        <v>40756</v>
      </c>
      <c r="H109" s="1">
        <v>40756</v>
      </c>
      <c r="I109" s="1">
        <v>40969</v>
      </c>
      <c r="J109" s="5"/>
      <c r="L109" t="s">
        <v>43</v>
      </c>
      <c r="M109" t="s">
        <v>39</v>
      </c>
      <c r="N109" s="9">
        <v>0</v>
      </c>
      <c r="O109" s="9">
        <v>0</v>
      </c>
      <c r="P109" s="9">
        <v>0</v>
      </c>
      <c r="Q109" s="9">
        <v>0</v>
      </c>
      <c r="R109" s="3" t="s">
        <v>18</v>
      </c>
    </row>
    <row r="110" spans="1:18" x14ac:dyDescent="0.25">
      <c r="A110" t="s">
        <v>44</v>
      </c>
      <c r="B110">
        <v>80</v>
      </c>
      <c r="C110">
        <v>999</v>
      </c>
      <c r="D110">
        <v>620</v>
      </c>
      <c r="E110">
        <v>680</v>
      </c>
      <c r="F110" s="9">
        <v>35</v>
      </c>
      <c r="G110" s="1">
        <v>40756</v>
      </c>
      <c r="H110" s="1">
        <v>40756</v>
      </c>
      <c r="I110" s="1">
        <v>40969</v>
      </c>
      <c r="J110" s="5"/>
      <c r="L110" t="s">
        <v>42</v>
      </c>
      <c r="M110" t="s">
        <v>39</v>
      </c>
      <c r="N110" s="9">
        <v>0</v>
      </c>
      <c r="O110" s="9">
        <v>0</v>
      </c>
      <c r="P110" s="9">
        <v>0</v>
      </c>
      <c r="Q110" s="9">
        <v>0</v>
      </c>
      <c r="R110" s="3" t="s">
        <v>18</v>
      </c>
    </row>
    <row r="111" spans="1:18" x14ac:dyDescent="0.25">
      <c r="A111" t="s">
        <v>44</v>
      </c>
      <c r="B111">
        <v>80</v>
      </c>
      <c r="C111">
        <v>999</v>
      </c>
      <c r="D111">
        <v>300</v>
      </c>
      <c r="E111">
        <v>620</v>
      </c>
      <c r="G111" s="1">
        <v>40756</v>
      </c>
      <c r="H111" s="1">
        <v>40756</v>
      </c>
      <c r="I111" s="1">
        <v>40969</v>
      </c>
      <c r="J111" s="5"/>
    </row>
    <row r="112" spans="1:18" x14ac:dyDescent="0.25">
      <c r="A112" t="s">
        <v>43</v>
      </c>
      <c r="B112">
        <v>80</v>
      </c>
      <c r="C112">
        <v>999</v>
      </c>
      <c r="D112">
        <v>760</v>
      </c>
      <c r="E112">
        <v>999</v>
      </c>
      <c r="F112">
        <v>0</v>
      </c>
      <c r="G112" s="1">
        <v>40756</v>
      </c>
      <c r="H112" s="1">
        <v>40756</v>
      </c>
      <c r="I112" s="1">
        <v>40969</v>
      </c>
      <c r="J112" s="5"/>
    </row>
    <row r="113" spans="1:19" x14ac:dyDescent="0.25">
      <c r="A113" t="s">
        <v>43</v>
      </c>
      <c r="B113">
        <v>80</v>
      </c>
      <c r="C113">
        <v>999</v>
      </c>
      <c r="D113">
        <v>720</v>
      </c>
      <c r="E113">
        <v>760</v>
      </c>
      <c r="F113">
        <v>0</v>
      </c>
      <c r="G113" s="1">
        <v>40756</v>
      </c>
      <c r="H113" s="1">
        <v>40756</v>
      </c>
      <c r="I113" s="1">
        <v>40969</v>
      </c>
      <c r="J113" s="5"/>
    </row>
    <row r="114" spans="1:19" x14ac:dyDescent="0.25">
      <c r="A114" t="s">
        <v>43</v>
      </c>
      <c r="B114">
        <v>80</v>
      </c>
      <c r="C114">
        <v>999</v>
      </c>
      <c r="D114">
        <v>680</v>
      </c>
      <c r="E114">
        <v>720</v>
      </c>
      <c r="F114">
        <v>0</v>
      </c>
      <c r="G114" s="1">
        <v>40756</v>
      </c>
      <c r="H114" s="1">
        <v>40756</v>
      </c>
      <c r="I114" s="1">
        <v>40969</v>
      </c>
      <c r="J114" s="5"/>
      <c r="S114" t="s">
        <v>40</v>
      </c>
    </row>
    <row r="115" spans="1:19" x14ac:dyDescent="0.25">
      <c r="A115" t="s">
        <v>43</v>
      </c>
      <c r="B115">
        <v>80</v>
      </c>
      <c r="C115">
        <v>999</v>
      </c>
      <c r="D115">
        <v>620</v>
      </c>
      <c r="E115">
        <v>680</v>
      </c>
      <c r="F115">
        <v>0</v>
      </c>
      <c r="G115" s="1">
        <v>40756</v>
      </c>
      <c r="H115" s="1">
        <v>40756</v>
      </c>
      <c r="I115" s="1">
        <v>40969</v>
      </c>
      <c r="J115" s="5"/>
      <c r="N115" s="3"/>
      <c r="O115" s="3"/>
      <c r="P115" s="3"/>
      <c r="Q115" s="3"/>
      <c r="R115" s="3"/>
    </row>
    <row r="116" spans="1:19" x14ac:dyDescent="0.25">
      <c r="A116" t="s">
        <v>43</v>
      </c>
      <c r="B116">
        <v>80</v>
      </c>
      <c r="C116">
        <v>999</v>
      </c>
      <c r="D116">
        <v>300</v>
      </c>
      <c r="E116">
        <v>620</v>
      </c>
      <c r="G116" s="1">
        <v>40756</v>
      </c>
      <c r="H116" s="1">
        <v>40756</v>
      </c>
      <c r="I116" s="1">
        <v>40969</v>
      </c>
      <c r="J116" s="5"/>
      <c r="N116" s="9"/>
      <c r="O116" s="9"/>
      <c r="P116" s="9"/>
      <c r="Q116" s="9"/>
      <c r="R116" s="3"/>
    </row>
    <row r="117" spans="1:19" x14ac:dyDescent="0.25">
      <c r="A117" t="s">
        <v>42</v>
      </c>
      <c r="B117">
        <v>80</v>
      </c>
      <c r="C117">
        <v>999</v>
      </c>
      <c r="D117">
        <v>760</v>
      </c>
      <c r="E117">
        <v>999</v>
      </c>
      <c r="F117">
        <v>0</v>
      </c>
      <c r="G117" s="1">
        <v>40756</v>
      </c>
      <c r="H117" s="1">
        <v>40756</v>
      </c>
      <c r="I117" s="1">
        <v>40969</v>
      </c>
      <c r="J117" s="5"/>
      <c r="N117" s="9"/>
      <c r="O117" s="9"/>
      <c r="P117" s="9"/>
      <c r="Q117" s="9"/>
      <c r="R117" s="3"/>
    </row>
    <row r="118" spans="1:19" x14ac:dyDescent="0.25">
      <c r="A118" t="s">
        <v>42</v>
      </c>
      <c r="B118">
        <v>80</v>
      </c>
      <c r="C118">
        <v>999</v>
      </c>
      <c r="D118">
        <v>720</v>
      </c>
      <c r="E118">
        <v>760</v>
      </c>
      <c r="F118">
        <v>0</v>
      </c>
      <c r="G118" s="1">
        <v>40756</v>
      </c>
      <c r="H118" s="1">
        <v>40756</v>
      </c>
      <c r="I118" s="1">
        <v>40969</v>
      </c>
      <c r="J118" s="5"/>
      <c r="N118" s="9"/>
      <c r="O118" s="9"/>
      <c r="P118" s="9"/>
      <c r="Q118" s="9"/>
      <c r="R118" s="3"/>
    </row>
    <row r="119" spans="1:19" x14ac:dyDescent="0.25">
      <c r="A119" t="s">
        <v>42</v>
      </c>
      <c r="B119">
        <v>80</v>
      </c>
      <c r="C119">
        <v>999</v>
      </c>
      <c r="D119">
        <v>680</v>
      </c>
      <c r="E119">
        <v>720</v>
      </c>
      <c r="F119">
        <v>0</v>
      </c>
      <c r="G119" s="1">
        <v>40756</v>
      </c>
      <c r="H119" s="1">
        <v>40756</v>
      </c>
      <c r="I119" s="1">
        <v>40969</v>
      </c>
      <c r="J119" s="5"/>
      <c r="N119" s="9"/>
      <c r="O119" s="9"/>
      <c r="P119" s="9"/>
      <c r="Q119" s="9"/>
      <c r="R119" s="3"/>
    </row>
    <row r="120" spans="1:19" x14ac:dyDescent="0.25">
      <c r="A120" t="s">
        <v>42</v>
      </c>
      <c r="B120">
        <v>80</v>
      </c>
      <c r="C120">
        <v>999</v>
      </c>
      <c r="D120">
        <v>620</v>
      </c>
      <c r="E120">
        <v>680</v>
      </c>
      <c r="F120">
        <v>0</v>
      </c>
      <c r="G120" s="1">
        <v>40756</v>
      </c>
      <c r="H120" s="1">
        <v>40756</v>
      </c>
      <c r="I120" s="1">
        <v>40969</v>
      </c>
      <c r="J120" s="5"/>
      <c r="N120" s="9"/>
      <c r="O120" s="9"/>
      <c r="P120" s="9"/>
      <c r="Q120" s="9"/>
      <c r="R120" s="3"/>
    </row>
    <row r="121" spans="1:19" x14ac:dyDescent="0.25">
      <c r="A121" t="s">
        <v>42</v>
      </c>
      <c r="B121">
        <v>80</v>
      </c>
      <c r="C121">
        <v>999</v>
      </c>
      <c r="D121">
        <v>300</v>
      </c>
      <c r="E121">
        <v>620</v>
      </c>
      <c r="G121" s="1">
        <v>40756</v>
      </c>
      <c r="H121" s="1">
        <v>40756</v>
      </c>
      <c r="I121" s="1">
        <v>40969</v>
      </c>
      <c r="J121" s="5"/>
      <c r="N121" s="9"/>
      <c r="O121" s="9"/>
      <c r="P121" s="9"/>
      <c r="Q121" s="9"/>
      <c r="R121" s="3"/>
    </row>
    <row r="122" spans="1:19" x14ac:dyDescent="0.25">
      <c r="A122" t="s">
        <v>45</v>
      </c>
      <c r="B122">
        <v>0</v>
      </c>
      <c r="C122">
        <v>80</v>
      </c>
      <c r="D122">
        <v>760</v>
      </c>
      <c r="E122">
        <v>999</v>
      </c>
      <c r="F122">
        <v>0</v>
      </c>
      <c r="G122" s="1">
        <v>40756</v>
      </c>
      <c r="H122" s="1">
        <v>40756</v>
      </c>
      <c r="I122" s="1">
        <v>40969</v>
      </c>
      <c r="J122" s="5"/>
      <c r="N122" s="9"/>
      <c r="O122" s="9"/>
      <c r="P122" s="9"/>
      <c r="Q122" s="9"/>
      <c r="R122" s="3"/>
    </row>
    <row r="123" spans="1:19" x14ac:dyDescent="0.25">
      <c r="A123" t="s">
        <v>45</v>
      </c>
      <c r="B123">
        <v>0</v>
      </c>
      <c r="C123">
        <v>80</v>
      </c>
      <c r="D123">
        <v>720</v>
      </c>
      <c r="E123">
        <v>760</v>
      </c>
      <c r="F123">
        <v>0</v>
      </c>
      <c r="G123" s="1">
        <v>40756</v>
      </c>
      <c r="H123" s="1">
        <v>40756</v>
      </c>
      <c r="I123" s="1">
        <v>40969</v>
      </c>
      <c r="J123" s="5"/>
      <c r="N123" s="9"/>
      <c r="O123" s="9"/>
      <c r="P123" s="9"/>
      <c r="Q123" s="9"/>
    </row>
    <row r="124" spans="1:19" x14ac:dyDescent="0.25">
      <c r="A124" t="s">
        <v>45</v>
      </c>
      <c r="B124">
        <v>0</v>
      </c>
      <c r="C124">
        <v>80</v>
      </c>
      <c r="D124">
        <v>680</v>
      </c>
      <c r="E124">
        <v>720</v>
      </c>
      <c r="F124">
        <v>0</v>
      </c>
      <c r="G124" s="1">
        <v>40756</v>
      </c>
      <c r="H124" s="1">
        <v>40756</v>
      </c>
      <c r="I124" s="1">
        <v>40969</v>
      </c>
      <c r="J124" s="5"/>
      <c r="N124" s="9"/>
      <c r="O124" s="9"/>
      <c r="P124" s="9"/>
      <c r="Q124" s="9"/>
    </row>
    <row r="125" spans="1:19" x14ac:dyDescent="0.25">
      <c r="A125" t="s">
        <v>45</v>
      </c>
      <c r="B125">
        <v>0</v>
      </c>
      <c r="C125">
        <v>80</v>
      </c>
      <c r="D125">
        <v>620</v>
      </c>
      <c r="E125">
        <v>680</v>
      </c>
      <c r="F125">
        <v>0</v>
      </c>
      <c r="G125" s="1">
        <v>40756</v>
      </c>
      <c r="H125" s="1">
        <v>40756</v>
      </c>
      <c r="I125" s="1">
        <v>40969</v>
      </c>
      <c r="J125" s="5"/>
      <c r="N125" s="9"/>
      <c r="O125" s="9"/>
      <c r="P125" s="9"/>
      <c r="Q125" s="9"/>
    </row>
    <row r="126" spans="1:19" x14ac:dyDescent="0.25">
      <c r="A126" t="s">
        <v>45</v>
      </c>
      <c r="B126">
        <v>0</v>
      </c>
      <c r="C126">
        <v>80</v>
      </c>
      <c r="D126">
        <v>300</v>
      </c>
      <c r="E126">
        <v>620</v>
      </c>
      <c r="G126" s="1">
        <v>40756</v>
      </c>
      <c r="H126" s="1">
        <v>40756</v>
      </c>
      <c r="I126" s="1">
        <v>40969</v>
      </c>
      <c r="J126" s="5"/>
      <c r="N126" s="9"/>
      <c r="O126" s="9"/>
      <c r="P126" s="9"/>
      <c r="Q126" s="9"/>
    </row>
    <row r="127" spans="1:19" x14ac:dyDescent="0.25">
      <c r="A127" t="s">
        <v>44</v>
      </c>
      <c r="B127">
        <v>0</v>
      </c>
      <c r="C127">
        <v>80</v>
      </c>
      <c r="D127">
        <v>760</v>
      </c>
      <c r="E127">
        <v>999</v>
      </c>
      <c r="F127">
        <v>0</v>
      </c>
      <c r="G127" s="1">
        <v>40756</v>
      </c>
      <c r="H127" s="1">
        <v>40756</v>
      </c>
      <c r="I127" s="1">
        <v>40969</v>
      </c>
      <c r="J127" s="5"/>
      <c r="N127" s="9"/>
      <c r="O127" s="9"/>
      <c r="P127" s="9"/>
      <c r="Q127" s="9"/>
    </row>
    <row r="128" spans="1:19" x14ac:dyDescent="0.25">
      <c r="A128" t="s">
        <v>44</v>
      </c>
      <c r="B128">
        <v>0</v>
      </c>
      <c r="C128">
        <v>80</v>
      </c>
      <c r="D128">
        <v>720</v>
      </c>
      <c r="E128">
        <v>760</v>
      </c>
      <c r="F128">
        <v>0</v>
      </c>
      <c r="G128" s="1">
        <v>40756</v>
      </c>
      <c r="H128" s="1">
        <v>40756</v>
      </c>
      <c r="I128" s="1">
        <v>40969</v>
      </c>
      <c r="J128" s="5"/>
      <c r="N128" s="9"/>
      <c r="O128" s="9"/>
      <c r="P128" s="9"/>
      <c r="Q128" s="9"/>
    </row>
    <row r="129" spans="1:18" x14ac:dyDescent="0.25">
      <c r="A129" t="s">
        <v>44</v>
      </c>
      <c r="B129">
        <v>0</v>
      </c>
      <c r="C129">
        <v>80</v>
      </c>
      <c r="D129">
        <v>680</v>
      </c>
      <c r="E129">
        <v>720</v>
      </c>
      <c r="F129">
        <v>0</v>
      </c>
      <c r="G129" s="1">
        <v>40756</v>
      </c>
      <c r="H129" s="1">
        <v>40756</v>
      </c>
      <c r="I129" s="1">
        <v>40969</v>
      </c>
      <c r="J129" s="5"/>
    </row>
    <row r="130" spans="1:18" x14ac:dyDescent="0.25">
      <c r="A130" t="s">
        <v>44</v>
      </c>
      <c r="B130">
        <v>0</v>
      </c>
      <c r="C130">
        <v>80</v>
      </c>
      <c r="D130">
        <v>620</v>
      </c>
      <c r="E130">
        <v>680</v>
      </c>
      <c r="F130">
        <v>0</v>
      </c>
      <c r="G130" s="1">
        <v>40756</v>
      </c>
      <c r="H130" s="1">
        <v>40756</v>
      </c>
      <c r="I130" s="1">
        <v>40969</v>
      </c>
      <c r="J130" s="5"/>
    </row>
    <row r="131" spans="1:18" x14ac:dyDescent="0.25">
      <c r="A131" t="s">
        <v>44</v>
      </c>
      <c r="B131">
        <v>0</v>
      </c>
      <c r="C131">
        <v>80</v>
      </c>
      <c r="D131">
        <v>300</v>
      </c>
      <c r="E131">
        <v>620</v>
      </c>
      <c r="G131" s="1">
        <v>40756</v>
      </c>
      <c r="H131" s="1">
        <v>40756</v>
      </c>
      <c r="I131" s="1">
        <v>40969</v>
      </c>
      <c r="J131" s="5"/>
    </row>
    <row r="132" spans="1:18" x14ac:dyDescent="0.25">
      <c r="A132" t="s">
        <v>43</v>
      </c>
      <c r="B132">
        <v>0</v>
      </c>
      <c r="C132">
        <v>80</v>
      </c>
      <c r="D132">
        <v>760</v>
      </c>
      <c r="E132">
        <v>999</v>
      </c>
      <c r="F132">
        <v>0</v>
      </c>
      <c r="G132" s="1">
        <v>40756</v>
      </c>
      <c r="H132" s="1">
        <v>40756</v>
      </c>
      <c r="I132" s="1">
        <v>40969</v>
      </c>
      <c r="J132" s="5"/>
    </row>
    <row r="133" spans="1:18" x14ac:dyDescent="0.25">
      <c r="A133" t="s">
        <v>43</v>
      </c>
      <c r="B133">
        <v>0</v>
      </c>
      <c r="C133">
        <v>80</v>
      </c>
      <c r="D133">
        <v>720</v>
      </c>
      <c r="E133">
        <v>760</v>
      </c>
      <c r="F133">
        <v>0</v>
      </c>
      <c r="G133" s="1">
        <v>40756</v>
      </c>
      <c r="H133" s="1">
        <v>40756</v>
      </c>
      <c r="I133" s="1">
        <v>40969</v>
      </c>
      <c r="J133" s="5"/>
    </row>
    <row r="134" spans="1:18" x14ac:dyDescent="0.25">
      <c r="A134" t="s">
        <v>43</v>
      </c>
      <c r="B134">
        <v>0</v>
      </c>
      <c r="C134">
        <v>80</v>
      </c>
      <c r="D134">
        <v>680</v>
      </c>
      <c r="E134">
        <v>720</v>
      </c>
      <c r="F134">
        <v>0</v>
      </c>
      <c r="G134" s="1">
        <v>40756</v>
      </c>
      <c r="H134" s="1">
        <v>40756</v>
      </c>
      <c r="I134" s="1">
        <v>40969</v>
      </c>
      <c r="J134" s="5"/>
    </row>
    <row r="135" spans="1:18" x14ac:dyDescent="0.25">
      <c r="A135" t="s">
        <v>43</v>
      </c>
      <c r="B135">
        <v>0</v>
      </c>
      <c r="C135">
        <v>80</v>
      </c>
      <c r="D135">
        <v>620</v>
      </c>
      <c r="E135">
        <v>680</v>
      </c>
      <c r="F135">
        <v>0</v>
      </c>
      <c r="G135" s="1">
        <v>40756</v>
      </c>
      <c r="H135" s="1">
        <v>40756</v>
      </c>
      <c r="I135" s="1">
        <v>40969</v>
      </c>
      <c r="J135" s="5"/>
    </row>
    <row r="136" spans="1:18" x14ac:dyDescent="0.25">
      <c r="A136" t="s">
        <v>43</v>
      </c>
      <c r="B136">
        <v>0</v>
      </c>
      <c r="C136">
        <v>80</v>
      </c>
      <c r="D136">
        <v>300</v>
      </c>
      <c r="E136">
        <v>620</v>
      </c>
      <c r="G136" s="1">
        <v>40756</v>
      </c>
      <c r="H136" s="1">
        <v>40756</v>
      </c>
      <c r="I136" s="1">
        <v>40969</v>
      </c>
      <c r="J136" s="5"/>
    </row>
    <row r="137" spans="1:18" x14ac:dyDescent="0.25">
      <c r="A137" t="s">
        <v>42</v>
      </c>
      <c r="B137">
        <v>0</v>
      </c>
      <c r="C137">
        <v>80</v>
      </c>
      <c r="D137">
        <v>760</v>
      </c>
      <c r="E137">
        <v>999</v>
      </c>
      <c r="F137">
        <v>0</v>
      </c>
      <c r="G137" s="1">
        <v>40756</v>
      </c>
      <c r="H137" s="1">
        <v>40756</v>
      </c>
      <c r="I137" s="1">
        <v>40969</v>
      </c>
      <c r="J137" s="5"/>
    </row>
    <row r="138" spans="1:18" x14ac:dyDescent="0.25">
      <c r="A138" t="s">
        <v>42</v>
      </c>
      <c r="B138">
        <v>0</v>
      </c>
      <c r="C138">
        <v>80</v>
      </c>
      <c r="D138">
        <v>720</v>
      </c>
      <c r="E138">
        <v>760</v>
      </c>
      <c r="F138">
        <v>0</v>
      </c>
      <c r="G138" s="1">
        <v>40756</v>
      </c>
      <c r="H138" s="1">
        <v>40756</v>
      </c>
      <c r="I138" s="1">
        <v>40969</v>
      </c>
      <c r="J138" s="5"/>
    </row>
    <row r="139" spans="1:18" x14ac:dyDescent="0.25">
      <c r="A139" t="s">
        <v>42</v>
      </c>
      <c r="B139">
        <v>0</v>
      </c>
      <c r="C139">
        <v>80</v>
      </c>
      <c r="D139">
        <v>680</v>
      </c>
      <c r="E139">
        <v>720</v>
      </c>
      <c r="F139">
        <v>0</v>
      </c>
      <c r="G139" s="1">
        <v>40756</v>
      </c>
      <c r="H139" s="1">
        <v>40756</v>
      </c>
      <c r="I139" s="1">
        <v>40969</v>
      </c>
      <c r="J139" s="5"/>
    </row>
    <row r="140" spans="1:18" x14ac:dyDescent="0.25">
      <c r="A140" t="s">
        <v>42</v>
      </c>
      <c r="B140">
        <v>0</v>
      </c>
      <c r="C140">
        <v>80</v>
      </c>
      <c r="D140">
        <v>620</v>
      </c>
      <c r="E140">
        <v>680</v>
      </c>
      <c r="F140">
        <v>0</v>
      </c>
      <c r="G140" s="1">
        <v>40756</v>
      </c>
      <c r="H140" s="1">
        <v>40756</v>
      </c>
      <c r="I140" s="1">
        <v>40969</v>
      </c>
      <c r="J140" s="5"/>
    </row>
    <row r="141" spans="1:18" x14ac:dyDescent="0.25">
      <c r="A141" t="s">
        <v>42</v>
      </c>
      <c r="B141">
        <v>0</v>
      </c>
      <c r="C141">
        <v>80</v>
      </c>
      <c r="D141">
        <v>300</v>
      </c>
      <c r="E141">
        <v>620</v>
      </c>
      <c r="G141" s="1">
        <v>40756</v>
      </c>
      <c r="H141" s="1">
        <v>40756</v>
      </c>
      <c r="I141" s="1">
        <v>40969</v>
      </c>
      <c r="J141" s="5"/>
    </row>
    <row r="142" spans="1:18" x14ac:dyDescent="0.25">
      <c r="A142" t="s">
        <v>45</v>
      </c>
      <c r="B142">
        <v>80</v>
      </c>
      <c r="C142">
        <v>999</v>
      </c>
      <c r="D142">
        <v>760</v>
      </c>
      <c r="E142">
        <v>999</v>
      </c>
      <c r="F142">
        <v>0</v>
      </c>
      <c r="G142" s="1">
        <v>40969</v>
      </c>
      <c r="H142" s="1">
        <v>40969</v>
      </c>
      <c r="I142" s="1">
        <v>41306</v>
      </c>
      <c r="J142" s="5"/>
      <c r="L142" s="1">
        <v>40969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8" x14ac:dyDescent="0.25">
      <c r="A143" t="s">
        <v>45</v>
      </c>
      <c r="B143">
        <v>80</v>
      </c>
      <c r="C143">
        <v>999</v>
      </c>
      <c r="D143">
        <v>720</v>
      </c>
      <c r="E143">
        <v>760</v>
      </c>
      <c r="F143">
        <v>0</v>
      </c>
      <c r="G143" s="1">
        <v>40969</v>
      </c>
      <c r="H143" s="1">
        <v>40969</v>
      </c>
      <c r="I143" s="1">
        <v>41306</v>
      </c>
      <c r="J143" s="5"/>
      <c r="L143" t="s">
        <v>45</v>
      </c>
      <c r="M143" t="s">
        <v>38</v>
      </c>
      <c r="N143" s="9">
        <v>0</v>
      </c>
      <c r="O143" s="9">
        <v>0</v>
      </c>
      <c r="P143" s="9">
        <v>0</v>
      </c>
      <c r="Q143" s="9">
        <v>0</v>
      </c>
      <c r="R143" s="3" t="s">
        <v>18</v>
      </c>
    </row>
    <row r="144" spans="1:18" x14ac:dyDescent="0.25">
      <c r="A144" t="s">
        <v>45</v>
      </c>
      <c r="B144">
        <v>80</v>
      </c>
      <c r="C144">
        <v>999</v>
      </c>
      <c r="D144">
        <v>680</v>
      </c>
      <c r="E144">
        <v>720</v>
      </c>
      <c r="F144">
        <v>0</v>
      </c>
      <c r="G144" s="1">
        <v>40969</v>
      </c>
      <c r="H144" s="1">
        <v>40969</v>
      </c>
      <c r="I144" s="1">
        <v>41306</v>
      </c>
      <c r="J144" s="5"/>
      <c r="L144" t="s">
        <v>44</v>
      </c>
      <c r="M144" t="s">
        <v>38</v>
      </c>
      <c r="N144" s="9">
        <v>11.999999999999998</v>
      </c>
      <c r="O144" s="9">
        <v>14</v>
      </c>
      <c r="P144" s="9">
        <v>20</v>
      </c>
      <c r="Q144" s="9">
        <v>35</v>
      </c>
      <c r="R144" s="3" t="s">
        <v>18</v>
      </c>
    </row>
    <row r="145" spans="1:18" x14ac:dyDescent="0.25">
      <c r="A145" t="s">
        <v>45</v>
      </c>
      <c r="B145">
        <v>80</v>
      </c>
      <c r="C145">
        <v>999</v>
      </c>
      <c r="D145">
        <v>620</v>
      </c>
      <c r="E145">
        <v>680</v>
      </c>
      <c r="F145">
        <v>0</v>
      </c>
      <c r="G145" s="1">
        <v>40969</v>
      </c>
      <c r="H145" s="1">
        <v>40969</v>
      </c>
      <c r="I145" s="1">
        <v>41306</v>
      </c>
      <c r="J145" s="5"/>
      <c r="L145" t="s">
        <v>43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s="3" t="s">
        <v>18</v>
      </c>
    </row>
    <row r="146" spans="1:18" x14ac:dyDescent="0.25">
      <c r="A146" t="s">
        <v>45</v>
      </c>
      <c r="B146">
        <v>80</v>
      </c>
      <c r="C146">
        <v>999</v>
      </c>
      <c r="D146">
        <v>300</v>
      </c>
      <c r="E146">
        <v>620</v>
      </c>
      <c r="G146" s="1">
        <v>40969</v>
      </c>
      <c r="H146" s="1">
        <v>40969</v>
      </c>
      <c r="I146" s="1">
        <v>41306</v>
      </c>
      <c r="J146" s="5"/>
      <c r="L146" t="s">
        <v>42</v>
      </c>
      <c r="M146" t="s">
        <v>38</v>
      </c>
      <c r="N146" s="9">
        <v>0</v>
      </c>
      <c r="O146" s="9">
        <v>0</v>
      </c>
      <c r="P146" s="9">
        <v>0</v>
      </c>
      <c r="Q146" s="9">
        <v>0</v>
      </c>
      <c r="R146" s="3" t="s">
        <v>18</v>
      </c>
    </row>
    <row r="147" spans="1:18" x14ac:dyDescent="0.25">
      <c r="A147" t="s">
        <v>44</v>
      </c>
      <c r="B147">
        <v>80</v>
      </c>
      <c r="C147">
        <v>999</v>
      </c>
      <c r="D147">
        <v>760</v>
      </c>
      <c r="E147">
        <v>999</v>
      </c>
      <c r="F147">
        <v>12</v>
      </c>
      <c r="G147" s="1">
        <v>40969</v>
      </c>
      <c r="H147" s="1">
        <v>40969</v>
      </c>
      <c r="I147" s="1">
        <v>41306</v>
      </c>
      <c r="J147" s="5"/>
      <c r="L147" t="s">
        <v>45</v>
      </c>
      <c r="M147" t="s">
        <v>39</v>
      </c>
      <c r="N147" s="9">
        <v>0</v>
      </c>
      <c r="O147" s="9">
        <v>0</v>
      </c>
      <c r="P147" s="9">
        <v>0</v>
      </c>
      <c r="Q147" s="9">
        <v>0</v>
      </c>
      <c r="R147" s="3" t="s">
        <v>18</v>
      </c>
    </row>
    <row r="148" spans="1:18" x14ac:dyDescent="0.25">
      <c r="A148" t="s">
        <v>44</v>
      </c>
      <c r="B148">
        <v>80</v>
      </c>
      <c r="C148">
        <v>999</v>
      </c>
      <c r="D148">
        <v>720</v>
      </c>
      <c r="E148">
        <v>760</v>
      </c>
      <c r="F148">
        <v>14</v>
      </c>
      <c r="G148" s="1">
        <v>40969</v>
      </c>
      <c r="H148" s="1">
        <v>40969</v>
      </c>
      <c r="I148" s="1">
        <v>41306</v>
      </c>
      <c r="J148" s="5"/>
      <c r="L148" t="s">
        <v>44</v>
      </c>
      <c r="M148" t="s">
        <v>39</v>
      </c>
      <c r="N148" s="9">
        <v>0</v>
      </c>
      <c r="O148" s="9">
        <v>0</v>
      </c>
      <c r="P148" s="9">
        <v>0</v>
      </c>
      <c r="Q148" s="9">
        <v>0</v>
      </c>
      <c r="R148" s="3" t="s">
        <v>18</v>
      </c>
    </row>
    <row r="149" spans="1:18" x14ac:dyDescent="0.25">
      <c r="A149" t="s">
        <v>44</v>
      </c>
      <c r="B149">
        <v>80</v>
      </c>
      <c r="C149">
        <v>999</v>
      </c>
      <c r="D149">
        <v>680</v>
      </c>
      <c r="E149">
        <v>720</v>
      </c>
      <c r="F149">
        <v>20</v>
      </c>
      <c r="G149" s="1">
        <v>40969</v>
      </c>
      <c r="H149" s="1">
        <v>40969</v>
      </c>
      <c r="I149" s="1">
        <v>41306</v>
      </c>
      <c r="J149" s="5"/>
      <c r="L149" t="s">
        <v>43</v>
      </c>
      <c r="M149" t="s">
        <v>39</v>
      </c>
      <c r="N149" s="9">
        <v>0</v>
      </c>
      <c r="O149" s="9">
        <v>0</v>
      </c>
      <c r="P149" s="9">
        <v>0</v>
      </c>
      <c r="Q149" s="9">
        <v>0</v>
      </c>
      <c r="R149" s="3" t="s">
        <v>18</v>
      </c>
    </row>
    <row r="150" spans="1:18" x14ac:dyDescent="0.25">
      <c r="A150" t="s">
        <v>44</v>
      </c>
      <c r="B150">
        <v>80</v>
      </c>
      <c r="C150">
        <v>999</v>
      </c>
      <c r="D150">
        <v>620</v>
      </c>
      <c r="E150">
        <v>680</v>
      </c>
      <c r="F150">
        <v>35</v>
      </c>
      <c r="G150" s="1">
        <v>40969</v>
      </c>
      <c r="H150" s="1">
        <v>40969</v>
      </c>
      <c r="I150" s="1">
        <v>41306</v>
      </c>
      <c r="J150" s="5"/>
      <c r="L150" t="s">
        <v>42</v>
      </c>
      <c r="M150" t="s">
        <v>39</v>
      </c>
      <c r="N150" s="9">
        <v>0</v>
      </c>
      <c r="O150" s="9">
        <v>0</v>
      </c>
      <c r="P150" s="9">
        <v>0</v>
      </c>
      <c r="Q150" s="9">
        <v>0</v>
      </c>
      <c r="R150" s="3" t="s">
        <v>18</v>
      </c>
    </row>
    <row r="151" spans="1:18" x14ac:dyDescent="0.25">
      <c r="A151" t="s">
        <v>44</v>
      </c>
      <c r="B151">
        <v>80</v>
      </c>
      <c r="C151">
        <v>999</v>
      </c>
      <c r="D151">
        <v>300</v>
      </c>
      <c r="E151">
        <v>620</v>
      </c>
      <c r="G151" s="1">
        <v>40969</v>
      </c>
      <c r="H151" s="1">
        <v>40969</v>
      </c>
      <c r="I151" s="1">
        <v>41306</v>
      </c>
      <c r="J151" s="5"/>
    </row>
    <row r="152" spans="1:18" x14ac:dyDescent="0.25">
      <c r="A152" t="s">
        <v>43</v>
      </c>
      <c r="B152">
        <v>80</v>
      </c>
      <c r="C152">
        <v>999</v>
      </c>
      <c r="D152">
        <v>760</v>
      </c>
      <c r="E152">
        <v>999</v>
      </c>
      <c r="F152">
        <v>0</v>
      </c>
      <c r="G152" s="1">
        <v>40969</v>
      </c>
      <c r="H152" s="1">
        <v>40969</v>
      </c>
      <c r="I152" s="1">
        <v>41306</v>
      </c>
      <c r="J152" s="5"/>
    </row>
    <row r="153" spans="1:18" x14ac:dyDescent="0.25">
      <c r="A153" t="s">
        <v>43</v>
      </c>
      <c r="B153">
        <v>80</v>
      </c>
      <c r="C153">
        <v>999</v>
      </c>
      <c r="D153">
        <v>720</v>
      </c>
      <c r="E153">
        <v>760</v>
      </c>
      <c r="F153">
        <v>0</v>
      </c>
      <c r="G153" s="1">
        <v>40969</v>
      </c>
      <c r="H153" s="1">
        <v>40969</v>
      </c>
      <c r="I153" s="1">
        <v>41306</v>
      </c>
      <c r="J153" s="5"/>
    </row>
    <row r="154" spans="1:18" x14ac:dyDescent="0.25">
      <c r="A154" t="s">
        <v>43</v>
      </c>
      <c r="B154">
        <v>80</v>
      </c>
      <c r="C154">
        <v>999</v>
      </c>
      <c r="D154">
        <v>680</v>
      </c>
      <c r="E154">
        <v>720</v>
      </c>
      <c r="F154">
        <v>0</v>
      </c>
      <c r="G154" s="1">
        <v>40969</v>
      </c>
      <c r="H154" s="1">
        <v>40969</v>
      </c>
      <c r="I154" s="1">
        <v>41306</v>
      </c>
      <c r="J154" s="5"/>
    </row>
    <row r="155" spans="1:18" x14ac:dyDescent="0.25">
      <c r="A155" t="s">
        <v>43</v>
      </c>
      <c r="B155">
        <v>80</v>
      </c>
      <c r="C155">
        <v>999</v>
      </c>
      <c r="D155">
        <v>620</v>
      </c>
      <c r="E155">
        <v>680</v>
      </c>
      <c r="F155">
        <v>0</v>
      </c>
      <c r="G155" s="1">
        <v>40969</v>
      </c>
      <c r="H155" s="1">
        <v>40969</v>
      </c>
      <c r="I155" s="1">
        <v>41306</v>
      </c>
      <c r="J155" s="5"/>
      <c r="N155" s="3"/>
      <c r="O155" s="3"/>
      <c r="P155" s="3"/>
      <c r="Q155" s="3"/>
      <c r="R155" s="3"/>
    </row>
    <row r="156" spans="1:18" x14ac:dyDescent="0.25">
      <c r="A156" t="s">
        <v>43</v>
      </c>
      <c r="B156">
        <v>80</v>
      </c>
      <c r="C156">
        <v>999</v>
      </c>
      <c r="D156">
        <v>300</v>
      </c>
      <c r="E156">
        <v>620</v>
      </c>
      <c r="G156" s="1">
        <v>40969</v>
      </c>
      <c r="H156" s="1">
        <v>40969</v>
      </c>
      <c r="I156" s="1">
        <v>41306</v>
      </c>
      <c r="J156" s="5"/>
      <c r="N156" s="9"/>
      <c r="O156" s="9"/>
      <c r="P156" s="9"/>
      <c r="Q156" s="9"/>
      <c r="R156" s="3"/>
    </row>
    <row r="157" spans="1:18" x14ac:dyDescent="0.25">
      <c r="A157" t="s">
        <v>42</v>
      </c>
      <c r="B157">
        <v>80</v>
      </c>
      <c r="C157">
        <v>999</v>
      </c>
      <c r="D157">
        <v>760</v>
      </c>
      <c r="E157">
        <v>999</v>
      </c>
      <c r="F157">
        <v>0</v>
      </c>
      <c r="G157" s="1">
        <v>40969</v>
      </c>
      <c r="H157" s="1">
        <v>40969</v>
      </c>
      <c r="I157" s="1">
        <v>41306</v>
      </c>
      <c r="J157" s="5"/>
      <c r="N157" s="9"/>
      <c r="O157" s="9"/>
      <c r="P157" s="9"/>
      <c r="Q157" s="9"/>
      <c r="R157" s="3"/>
    </row>
    <row r="158" spans="1:18" x14ac:dyDescent="0.25">
      <c r="A158" t="s">
        <v>42</v>
      </c>
      <c r="B158">
        <v>80</v>
      </c>
      <c r="C158">
        <v>999</v>
      </c>
      <c r="D158">
        <v>720</v>
      </c>
      <c r="E158">
        <v>760</v>
      </c>
      <c r="F158">
        <v>0</v>
      </c>
      <c r="G158" s="1">
        <v>40969</v>
      </c>
      <c r="H158" s="1">
        <v>40969</v>
      </c>
      <c r="I158" s="1">
        <v>41306</v>
      </c>
      <c r="J158" s="5"/>
      <c r="N158" s="9"/>
      <c r="O158" s="9"/>
      <c r="P158" s="9"/>
      <c r="Q158" s="9"/>
      <c r="R158" s="3"/>
    </row>
    <row r="159" spans="1:18" x14ac:dyDescent="0.25">
      <c r="A159" t="s">
        <v>42</v>
      </c>
      <c r="B159">
        <v>80</v>
      </c>
      <c r="C159">
        <v>999</v>
      </c>
      <c r="D159">
        <v>680</v>
      </c>
      <c r="E159">
        <v>720</v>
      </c>
      <c r="F159">
        <v>0</v>
      </c>
      <c r="G159" s="1">
        <v>40969</v>
      </c>
      <c r="H159" s="1">
        <v>40969</v>
      </c>
      <c r="I159" s="1">
        <v>41306</v>
      </c>
      <c r="J159" s="5"/>
      <c r="N159" s="9"/>
      <c r="O159" s="9"/>
      <c r="P159" s="9"/>
      <c r="Q159" s="9"/>
      <c r="R159" s="3"/>
    </row>
    <row r="160" spans="1:18" x14ac:dyDescent="0.25">
      <c r="A160" t="s">
        <v>42</v>
      </c>
      <c r="B160">
        <v>80</v>
      </c>
      <c r="C160">
        <v>999</v>
      </c>
      <c r="D160">
        <v>620</v>
      </c>
      <c r="E160">
        <v>680</v>
      </c>
      <c r="F160">
        <v>0</v>
      </c>
      <c r="G160" s="1">
        <v>40969</v>
      </c>
      <c r="H160" s="1">
        <v>40969</v>
      </c>
      <c r="I160" s="1">
        <v>41306</v>
      </c>
      <c r="J160" s="5"/>
      <c r="N160" s="9"/>
      <c r="O160" s="9"/>
      <c r="P160" s="9"/>
      <c r="Q160" s="9"/>
      <c r="R160" s="3"/>
    </row>
    <row r="161" spans="1:18" x14ac:dyDescent="0.25">
      <c r="A161" t="s">
        <v>42</v>
      </c>
      <c r="B161">
        <v>80</v>
      </c>
      <c r="C161">
        <v>999</v>
      </c>
      <c r="D161">
        <v>300</v>
      </c>
      <c r="E161">
        <v>620</v>
      </c>
      <c r="G161" s="1">
        <v>40969</v>
      </c>
      <c r="H161" s="1">
        <v>40969</v>
      </c>
      <c r="I161" s="1">
        <v>41306</v>
      </c>
      <c r="J161" s="5"/>
      <c r="N161" s="9"/>
      <c r="O161" s="9"/>
      <c r="P161" s="9"/>
      <c r="Q161" s="9"/>
      <c r="R161" s="3"/>
    </row>
    <row r="162" spans="1:18" x14ac:dyDescent="0.25">
      <c r="A162" t="s">
        <v>45</v>
      </c>
      <c r="B162">
        <v>0</v>
      </c>
      <c r="C162">
        <v>80</v>
      </c>
      <c r="D162">
        <v>760</v>
      </c>
      <c r="E162">
        <v>999</v>
      </c>
      <c r="F162">
        <v>0</v>
      </c>
      <c r="G162" s="1">
        <v>40969</v>
      </c>
      <c r="H162" s="1">
        <v>40969</v>
      </c>
      <c r="I162" s="1">
        <v>41306</v>
      </c>
      <c r="J162" s="5"/>
      <c r="N162" s="9"/>
      <c r="O162" s="9"/>
      <c r="P162" s="9"/>
      <c r="Q162" s="9"/>
      <c r="R162" s="3"/>
    </row>
    <row r="163" spans="1:18" x14ac:dyDescent="0.25">
      <c r="A163" t="s">
        <v>45</v>
      </c>
      <c r="B163">
        <v>0</v>
      </c>
      <c r="C163">
        <v>80</v>
      </c>
      <c r="D163">
        <v>720</v>
      </c>
      <c r="E163">
        <v>760</v>
      </c>
      <c r="F163">
        <v>0</v>
      </c>
      <c r="G163" s="1">
        <v>40969</v>
      </c>
      <c r="H163" s="1">
        <v>40969</v>
      </c>
      <c r="I163" s="1">
        <v>41306</v>
      </c>
      <c r="J163" s="5"/>
      <c r="N163" s="9"/>
      <c r="O163" s="9"/>
      <c r="P163" s="9"/>
      <c r="Q163" s="9"/>
    </row>
    <row r="164" spans="1:18" x14ac:dyDescent="0.25">
      <c r="A164" t="s">
        <v>45</v>
      </c>
      <c r="B164">
        <v>0</v>
      </c>
      <c r="C164">
        <v>80</v>
      </c>
      <c r="D164">
        <v>680</v>
      </c>
      <c r="E164">
        <v>720</v>
      </c>
      <c r="F164">
        <v>0</v>
      </c>
      <c r="G164" s="1">
        <v>40969</v>
      </c>
      <c r="H164" s="1">
        <v>40969</v>
      </c>
      <c r="I164" s="1">
        <v>41306</v>
      </c>
      <c r="J164" s="5"/>
      <c r="N164" s="9"/>
      <c r="O164" s="9"/>
      <c r="P164" s="9"/>
      <c r="Q164" s="9"/>
    </row>
    <row r="165" spans="1:18" x14ac:dyDescent="0.25">
      <c r="A165" t="s">
        <v>45</v>
      </c>
      <c r="B165">
        <v>0</v>
      </c>
      <c r="C165">
        <v>80</v>
      </c>
      <c r="D165">
        <v>620</v>
      </c>
      <c r="E165">
        <v>680</v>
      </c>
      <c r="F165">
        <v>0</v>
      </c>
      <c r="G165" s="1">
        <v>40969</v>
      </c>
      <c r="H165" s="1">
        <v>40969</v>
      </c>
      <c r="I165" s="1">
        <v>41306</v>
      </c>
      <c r="J165" s="5"/>
      <c r="N165" s="9"/>
      <c r="O165" s="9"/>
      <c r="P165" s="9"/>
      <c r="Q165" s="9"/>
    </row>
    <row r="166" spans="1:18" x14ac:dyDescent="0.25">
      <c r="A166" t="s">
        <v>45</v>
      </c>
      <c r="B166">
        <v>0</v>
      </c>
      <c r="C166">
        <v>80</v>
      </c>
      <c r="D166">
        <v>300</v>
      </c>
      <c r="E166">
        <v>620</v>
      </c>
      <c r="G166" s="1">
        <v>40969</v>
      </c>
      <c r="H166" s="1">
        <v>40969</v>
      </c>
      <c r="I166" s="1">
        <v>41306</v>
      </c>
      <c r="J166" s="5"/>
      <c r="N166" s="9"/>
      <c r="O166" s="9"/>
      <c r="P166" s="9"/>
      <c r="Q166" s="9"/>
    </row>
    <row r="167" spans="1:18" x14ac:dyDescent="0.25">
      <c r="A167" t="s">
        <v>44</v>
      </c>
      <c r="B167">
        <v>0</v>
      </c>
      <c r="C167">
        <v>80</v>
      </c>
      <c r="D167">
        <v>760</v>
      </c>
      <c r="E167">
        <v>999</v>
      </c>
      <c r="F167">
        <v>0</v>
      </c>
      <c r="G167" s="1">
        <v>40969</v>
      </c>
      <c r="H167" s="1">
        <v>40969</v>
      </c>
      <c r="I167" s="1">
        <v>41306</v>
      </c>
      <c r="J167" s="5"/>
      <c r="N167" s="9"/>
      <c r="O167" s="9"/>
      <c r="P167" s="9"/>
      <c r="Q167" s="9"/>
    </row>
    <row r="168" spans="1:18" x14ac:dyDescent="0.25">
      <c r="A168" t="s">
        <v>44</v>
      </c>
      <c r="B168">
        <v>0</v>
      </c>
      <c r="C168">
        <v>80</v>
      </c>
      <c r="D168">
        <v>720</v>
      </c>
      <c r="E168">
        <v>760</v>
      </c>
      <c r="F168">
        <v>0</v>
      </c>
      <c r="G168" s="1">
        <v>40969</v>
      </c>
      <c r="H168" s="1">
        <v>40969</v>
      </c>
      <c r="I168" s="1">
        <v>41306</v>
      </c>
      <c r="J168" s="5"/>
      <c r="N168" s="9"/>
      <c r="O168" s="9"/>
      <c r="P168" s="9"/>
      <c r="Q168" s="9"/>
    </row>
    <row r="169" spans="1:18" x14ac:dyDescent="0.25">
      <c r="A169" t="s">
        <v>44</v>
      </c>
      <c r="B169">
        <v>0</v>
      </c>
      <c r="C169">
        <v>80</v>
      </c>
      <c r="D169">
        <v>680</v>
      </c>
      <c r="E169">
        <v>720</v>
      </c>
      <c r="F169">
        <v>0</v>
      </c>
      <c r="G169" s="1">
        <v>40969</v>
      </c>
      <c r="H169" s="1">
        <v>40969</v>
      </c>
      <c r="I169" s="1">
        <v>41306</v>
      </c>
      <c r="J169" s="5"/>
    </row>
    <row r="170" spans="1:18" x14ac:dyDescent="0.25">
      <c r="A170" t="s">
        <v>44</v>
      </c>
      <c r="B170">
        <v>0</v>
      </c>
      <c r="C170">
        <v>80</v>
      </c>
      <c r="D170">
        <v>620</v>
      </c>
      <c r="E170">
        <v>680</v>
      </c>
      <c r="F170">
        <v>0</v>
      </c>
      <c r="G170" s="1">
        <v>40969</v>
      </c>
      <c r="H170" s="1">
        <v>40969</v>
      </c>
      <c r="I170" s="1">
        <v>41306</v>
      </c>
      <c r="J170" s="5"/>
    </row>
    <row r="171" spans="1:18" x14ac:dyDescent="0.25">
      <c r="A171" t="s">
        <v>44</v>
      </c>
      <c r="B171">
        <v>0</v>
      </c>
      <c r="C171">
        <v>80</v>
      </c>
      <c r="D171">
        <v>300</v>
      </c>
      <c r="E171">
        <v>620</v>
      </c>
      <c r="G171" s="1">
        <v>40969</v>
      </c>
      <c r="H171" s="1">
        <v>40969</v>
      </c>
      <c r="I171" s="1">
        <v>41306</v>
      </c>
      <c r="J171" s="5"/>
    </row>
    <row r="172" spans="1:18" x14ac:dyDescent="0.25">
      <c r="A172" t="s">
        <v>43</v>
      </c>
      <c r="B172">
        <v>0</v>
      </c>
      <c r="C172">
        <v>80</v>
      </c>
      <c r="D172">
        <v>760</v>
      </c>
      <c r="E172">
        <v>999</v>
      </c>
      <c r="F172">
        <v>0</v>
      </c>
      <c r="G172" s="1">
        <v>40969</v>
      </c>
      <c r="H172" s="1">
        <v>40969</v>
      </c>
      <c r="I172" s="1">
        <v>41306</v>
      </c>
      <c r="J172" s="5"/>
    </row>
    <row r="173" spans="1:18" x14ac:dyDescent="0.25">
      <c r="A173" t="s">
        <v>43</v>
      </c>
      <c r="B173">
        <v>0</v>
      </c>
      <c r="C173">
        <v>80</v>
      </c>
      <c r="D173">
        <v>720</v>
      </c>
      <c r="E173">
        <v>760</v>
      </c>
      <c r="F173">
        <v>0</v>
      </c>
      <c r="G173" s="1">
        <v>40969</v>
      </c>
      <c r="H173" s="1">
        <v>40969</v>
      </c>
      <c r="I173" s="1">
        <v>41306</v>
      </c>
      <c r="J173" s="5"/>
    </row>
    <row r="174" spans="1:18" x14ac:dyDescent="0.25">
      <c r="A174" t="s">
        <v>43</v>
      </c>
      <c r="B174">
        <v>0</v>
      </c>
      <c r="C174">
        <v>80</v>
      </c>
      <c r="D174">
        <v>680</v>
      </c>
      <c r="E174">
        <v>720</v>
      </c>
      <c r="F174">
        <v>0</v>
      </c>
      <c r="G174" s="1">
        <v>40969</v>
      </c>
      <c r="H174" s="1">
        <v>40969</v>
      </c>
      <c r="I174" s="1">
        <v>41306</v>
      </c>
      <c r="J174" s="5"/>
    </row>
    <row r="175" spans="1:18" x14ac:dyDescent="0.25">
      <c r="A175" t="s">
        <v>43</v>
      </c>
      <c r="B175">
        <v>0</v>
      </c>
      <c r="C175">
        <v>80</v>
      </c>
      <c r="D175">
        <v>620</v>
      </c>
      <c r="E175">
        <v>680</v>
      </c>
      <c r="F175">
        <v>0</v>
      </c>
      <c r="G175" s="1">
        <v>40969</v>
      </c>
      <c r="H175" s="1">
        <v>40969</v>
      </c>
      <c r="I175" s="1">
        <v>41306</v>
      </c>
      <c r="J175" s="5"/>
    </row>
    <row r="176" spans="1:18" x14ac:dyDescent="0.25">
      <c r="A176" t="s">
        <v>43</v>
      </c>
      <c r="B176">
        <v>0</v>
      </c>
      <c r="C176">
        <v>80</v>
      </c>
      <c r="D176">
        <v>300</v>
      </c>
      <c r="E176">
        <v>620</v>
      </c>
      <c r="G176" s="1">
        <v>40969</v>
      </c>
      <c r="H176" s="1">
        <v>40969</v>
      </c>
      <c r="I176" s="1">
        <v>41306</v>
      </c>
      <c r="J176" s="5"/>
    </row>
    <row r="177" spans="1:18" x14ac:dyDescent="0.25">
      <c r="A177" t="s">
        <v>42</v>
      </c>
      <c r="B177">
        <v>0</v>
      </c>
      <c r="C177">
        <v>80</v>
      </c>
      <c r="D177">
        <v>760</v>
      </c>
      <c r="E177">
        <v>999</v>
      </c>
      <c r="F177">
        <v>0</v>
      </c>
      <c r="G177" s="1">
        <v>40969</v>
      </c>
      <c r="H177" s="1">
        <v>40969</v>
      </c>
      <c r="I177" s="1">
        <v>41306</v>
      </c>
      <c r="J177" s="5"/>
    </row>
    <row r="178" spans="1:18" x14ac:dyDescent="0.25">
      <c r="A178" t="s">
        <v>42</v>
      </c>
      <c r="B178">
        <v>0</v>
      </c>
      <c r="C178">
        <v>80</v>
      </c>
      <c r="D178">
        <v>720</v>
      </c>
      <c r="E178">
        <v>760</v>
      </c>
      <c r="F178">
        <v>0</v>
      </c>
      <c r="G178" s="1">
        <v>40969</v>
      </c>
      <c r="H178" s="1">
        <v>40969</v>
      </c>
      <c r="I178" s="1">
        <v>41306</v>
      </c>
      <c r="J178" s="5"/>
    </row>
    <row r="179" spans="1:18" x14ac:dyDescent="0.25">
      <c r="A179" t="s">
        <v>42</v>
      </c>
      <c r="B179">
        <v>0</v>
      </c>
      <c r="C179">
        <v>80</v>
      </c>
      <c r="D179">
        <v>680</v>
      </c>
      <c r="E179">
        <v>720</v>
      </c>
      <c r="F179">
        <v>0</v>
      </c>
      <c r="G179" s="1">
        <v>40969</v>
      </c>
      <c r="H179" s="1">
        <v>40969</v>
      </c>
      <c r="I179" s="1">
        <v>41306</v>
      </c>
      <c r="J179" s="5"/>
    </row>
    <row r="180" spans="1:18" x14ac:dyDescent="0.25">
      <c r="A180" t="s">
        <v>42</v>
      </c>
      <c r="B180">
        <v>0</v>
      </c>
      <c r="C180">
        <v>80</v>
      </c>
      <c r="D180">
        <v>620</v>
      </c>
      <c r="E180">
        <v>680</v>
      </c>
      <c r="F180">
        <v>0</v>
      </c>
      <c r="G180" s="1">
        <v>40969</v>
      </c>
      <c r="H180" s="1">
        <v>40969</v>
      </c>
      <c r="I180" s="1">
        <v>41306</v>
      </c>
      <c r="J180" s="5"/>
    </row>
    <row r="181" spans="1:18" x14ac:dyDescent="0.25">
      <c r="A181" t="s">
        <v>42</v>
      </c>
      <c r="B181">
        <v>0</v>
      </c>
      <c r="C181">
        <v>80</v>
      </c>
      <c r="D181">
        <v>300</v>
      </c>
      <c r="E181">
        <v>620</v>
      </c>
      <c r="G181" s="1">
        <v>40969</v>
      </c>
      <c r="H181" s="1">
        <v>40969</v>
      </c>
      <c r="I181" s="1">
        <v>41306</v>
      </c>
      <c r="J181" s="5"/>
    </row>
    <row r="182" spans="1:18" x14ac:dyDescent="0.25">
      <c r="A182" t="s">
        <v>45</v>
      </c>
      <c r="B182">
        <v>80</v>
      </c>
      <c r="C182">
        <v>999</v>
      </c>
      <c r="D182">
        <v>760</v>
      </c>
      <c r="E182">
        <v>999</v>
      </c>
      <c r="F182">
        <v>0</v>
      </c>
      <c r="G182" s="1">
        <v>41306</v>
      </c>
      <c r="H182" s="1">
        <v>41306</v>
      </c>
      <c r="I182" s="1">
        <v>41760</v>
      </c>
      <c r="J182" s="5"/>
      <c r="L182" s="1">
        <v>41306</v>
      </c>
      <c r="N182" t="s">
        <v>12</v>
      </c>
      <c r="O182" t="s">
        <v>13</v>
      </c>
      <c r="P182" t="s">
        <v>14</v>
      </c>
      <c r="Q182" t="s">
        <v>15</v>
      </c>
      <c r="R182" t="s">
        <v>16</v>
      </c>
    </row>
    <row r="183" spans="1:18" x14ac:dyDescent="0.25">
      <c r="A183" t="s">
        <v>45</v>
      </c>
      <c r="B183">
        <v>80</v>
      </c>
      <c r="C183">
        <v>999</v>
      </c>
      <c r="D183">
        <v>720</v>
      </c>
      <c r="E183">
        <v>760</v>
      </c>
      <c r="F183">
        <v>0</v>
      </c>
      <c r="G183" s="1">
        <v>41306</v>
      </c>
      <c r="H183" s="1">
        <v>41306</v>
      </c>
      <c r="I183" s="1">
        <v>41395</v>
      </c>
      <c r="J183" s="5"/>
      <c r="L183" t="s">
        <v>45</v>
      </c>
      <c r="M183" t="s">
        <v>38</v>
      </c>
      <c r="N183" s="9">
        <v>0</v>
      </c>
      <c r="O183" s="9">
        <v>0</v>
      </c>
      <c r="P183" s="9">
        <v>0</v>
      </c>
      <c r="Q183" s="9">
        <v>0</v>
      </c>
      <c r="R183" s="3" t="s">
        <v>18</v>
      </c>
    </row>
    <row r="184" spans="1:18" x14ac:dyDescent="0.25">
      <c r="A184" t="s">
        <v>45</v>
      </c>
      <c r="B184">
        <v>80</v>
      </c>
      <c r="C184">
        <v>999</v>
      </c>
      <c r="D184">
        <v>680</v>
      </c>
      <c r="E184">
        <v>720</v>
      </c>
      <c r="F184">
        <v>0</v>
      </c>
      <c r="G184" s="1">
        <v>41306</v>
      </c>
      <c r="H184" s="1">
        <v>41306</v>
      </c>
      <c r="I184" s="1">
        <v>41395</v>
      </c>
      <c r="J184" s="5"/>
      <c r="L184" t="s">
        <v>44</v>
      </c>
      <c r="M184" t="s">
        <v>38</v>
      </c>
      <c r="N184" s="9">
        <v>11.999999999999998</v>
      </c>
      <c r="O184" s="9">
        <v>14</v>
      </c>
      <c r="P184" s="9">
        <v>20</v>
      </c>
      <c r="Q184" s="9">
        <v>35</v>
      </c>
      <c r="R184" s="3" t="s">
        <v>18</v>
      </c>
    </row>
    <row r="185" spans="1:18" x14ac:dyDescent="0.25">
      <c r="A185" t="s">
        <v>45</v>
      </c>
      <c r="B185">
        <v>80</v>
      </c>
      <c r="C185">
        <v>999</v>
      </c>
      <c r="D185">
        <v>620</v>
      </c>
      <c r="E185">
        <v>680</v>
      </c>
      <c r="F185">
        <v>0</v>
      </c>
      <c r="G185" s="1">
        <v>41306</v>
      </c>
      <c r="H185" s="1">
        <v>41306</v>
      </c>
      <c r="I185" s="1">
        <v>41395</v>
      </c>
      <c r="J185" s="5"/>
      <c r="L185" t="s">
        <v>43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3" t="s">
        <v>18</v>
      </c>
    </row>
    <row r="186" spans="1:18" x14ac:dyDescent="0.25">
      <c r="A186" t="s">
        <v>45</v>
      </c>
      <c r="B186">
        <v>80</v>
      </c>
      <c r="C186">
        <v>999</v>
      </c>
      <c r="D186">
        <v>300</v>
      </c>
      <c r="E186">
        <v>620</v>
      </c>
      <c r="G186" s="1">
        <v>41306</v>
      </c>
      <c r="H186" s="1">
        <v>41306</v>
      </c>
      <c r="I186" s="1">
        <v>41395</v>
      </c>
      <c r="J186" s="5"/>
      <c r="L186" t="s">
        <v>42</v>
      </c>
      <c r="M186" t="s">
        <v>38</v>
      </c>
      <c r="N186" s="9">
        <v>0</v>
      </c>
      <c r="O186" s="9">
        <v>0</v>
      </c>
      <c r="P186" s="9">
        <v>0</v>
      </c>
      <c r="Q186" s="9">
        <v>0</v>
      </c>
      <c r="R186" s="3" t="s">
        <v>18</v>
      </c>
    </row>
    <row r="187" spans="1:18" x14ac:dyDescent="0.25">
      <c r="A187" t="s">
        <v>44</v>
      </c>
      <c r="B187">
        <v>80</v>
      </c>
      <c r="C187">
        <v>999</v>
      </c>
      <c r="D187">
        <v>760</v>
      </c>
      <c r="E187">
        <v>999</v>
      </c>
      <c r="F187">
        <v>12</v>
      </c>
      <c r="G187" s="1">
        <v>41306</v>
      </c>
      <c r="H187" s="1">
        <v>41306</v>
      </c>
      <c r="I187" s="1">
        <v>41395</v>
      </c>
      <c r="J187" s="5"/>
      <c r="L187" t="s">
        <v>45</v>
      </c>
      <c r="M187" t="s">
        <v>39</v>
      </c>
      <c r="N187" s="9">
        <v>0</v>
      </c>
      <c r="O187" s="9">
        <v>0</v>
      </c>
      <c r="P187" s="9">
        <v>0</v>
      </c>
      <c r="Q187" s="9">
        <v>0</v>
      </c>
      <c r="R187" s="3" t="s">
        <v>18</v>
      </c>
    </row>
    <row r="188" spans="1:18" x14ac:dyDescent="0.25">
      <c r="A188" t="s">
        <v>44</v>
      </c>
      <c r="B188">
        <v>80</v>
      </c>
      <c r="C188">
        <v>999</v>
      </c>
      <c r="D188">
        <v>720</v>
      </c>
      <c r="E188">
        <v>760</v>
      </c>
      <c r="F188">
        <v>14</v>
      </c>
      <c r="G188" s="1">
        <v>41306</v>
      </c>
      <c r="H188" s="1">
        <v>41306</v>
      </c>
      <c r="I188" s="1">
        <v>41395</v>
      </c>
      <c r="J188" s="5"/>
      <c r="L188" t="s">
        <v>44</v>
      </c>
      <c r="M188" t="s">
        <v>39</v>
      </c>
      <c r="N188" s="9">
        <v>0</v>
      </c>
      <c r="O188" s="9">
        <v>0</v>
      </c>
      <c r="P188" s="9">
        <v>0</v>
      </c>
      <c r="Q188" s="9">
        <v>0</v>
      </c>
      <c r="R188" s="3" t="s">
        <v>18</v>
      </c>
    </row>
    <row r="189" spans="1:18" x14ac:dyDescent="0.25">
      <c r="A189" t="s">
        <v>44</v>
      </c>
      <c r="B189">
        <v>80</v>
      </c>
      <c r="C189">
        <v>999</v>
      </c>
      <c r="D189">
        <v>680</v>
      </c>
      <c r="E189">
        <v>720</v>
      </c>
      <c r="F189">
        <v>20</v>
      </c>
      <c r="G189" s="1">
        <v>41306</v>
      </c>
      <c r="H189" s="1">
        <v>41306</v>
      </c>
      <c r="I189" s="1">
        <v>41395</v>
      </c>
      <c r="J189" s="5"/>
      <c r="L189" t="s">
        <v>43</v>
      </c>
      <c r="M189" t="s">
        <v>39</v>
      </c>
      <c r="N189" s="9">
        <v>0</v>
      </c>
      <c r="O189" s="9">
        <v>0</v>
      </c>
      <c r="P189" s="9">
        <v>0</v>
      </c>
      <c r="Q189" s="9">
        <v>0</v>
      </c>
      <c r="R189" s="3" t="s">
        <v>18</v>
      </c>
    </row>
    <row r="190" spans="1:18" x14ac:dyDescent="0.25">
      <c r="A190" t="s">
        <v>44</v>
      </c>
      <c r="B190">
        <v>80</v>
      </c>
      <c r="C190">
        <v>999</v>
      </c>
      <c r="D190">
        <v>620</v>
      </c>
      <c r="E190">
        <v>680</v>
      </c>
      <c r="F190">
        <v>35</v>
      </c>
      <c r="G190" s="1">
        <v>41306</v>
      </c>
      <c r="H190" s="1">
        <v>41306</v>
      </c>
      <c r="I190" s="1">
        <v>41395</v>
      </c>
      <c r="J190" s="5"/>
      <c r="L190" t="s">
        <v>42</v>
      </c>
      <c r="M190" t="s">
        <v>39</v>
      </c>
      <c r="N190" s="9">
        <v>0</v>
      </c>
      <c r="O190" s="9">
        <v>0</v>
      </c>
      <c r="P190" s="9">
        <v>0</v>
      </c>
      <c r="Q190" s="9">
        <v>0</v>
      </c>
      <c r="R190" s="3" t="s">
        <v>18</v>
      </c>
    </row>
    <row r="191" spans="1:18" x14ac:dyDescent="0.25">
      <c r="A191" t="s">
        <v>44</v>
      </c>
      <c r="B191">
        <v>80</v>
      </c>
      <c r="C191">
        <v>999</v>
      </c>
      <c r="D191">
        <v>300</v>
      </c>
      <c r="E191">
        <v>620</v>
      </c>
      <c r="G191" s="1">
        <v>41306</v>
      </c>
      <c r="H191" s="1">
        <v>41306</v>
      </c>
      <c r="I191" s="1">
        <v>41395</v>
      </c>
      <c r="J191" s="5"/>
    </row>
    <row r="192" spans="1:18" x14ac:dyDescent="0.25">
      <c r="A192" t="s">
        <v>43</v>
      </c>
      <c r="B192">
        <v>80</v>
      </c>
      <c r="C192">
        <v>999</v>
      </c>
      <c r="D192">
        <v>760</v>
      </c>
      <c r="E192">
        <v>999</v>
      </c>
      <c r="F192">
        <v>0</v>
      </c>
      <c r="G192" s="1">
        <v>41306</v>
      </c>
      <c r="H192" s="1">
        <v>41306</v>
      </c>
      <c r="I192" s="1">
        <v>41395</v>
      </c>
      <c r="J192" s="5"/>
    </row>
    <row r="193" spans="1:18" x14ac:dyDescent="0.25">
      <c r="A193" t="s">
        <v>43</v>
      </c>
      <c r="B193">
        <v>80</v>
      </c>
      <c r="C193">
        <v>999</v>
      </c>
      <c r="D193">
        <v>720</v>
      </c>
      <c r="E193">
        <v>760</v>
      </c>
      <c r="F193">
        <v>0</v>
      </c>
      <c r="G193" s="1">
        <v>41306</v>
      </c>
      <c r="H193" s="1">
        <v>41306</v>
      </c>
      <c r="I193" s="1">
        <v>41395</v>
      </c>
      <c r="J193" s="5"/>
    </row>
    <row r="194" spans="1:18" x14ac:dyDescent="0.25">
      <c r="A194" t="s">
        <v>43</v>
      </c>
      <c r="B194">
        <v>80</v>
      </c>
      <c r="C194">
        <v>999</v>
      </c>
      <c r="D194">
        <v>680</v>
      </c>
      <c r="E194">
        <v>720</v>
      </c>
      <c r="F194">
        <v>0</v>
      </c>
      <c r="G194" s="1">
        <v>41306</v>
      </c>
      <c r="H194" s="1">
        <v>41306</v>
      </c>
      <c r="I194" s="1">
        <v>41395</v>
      </c>
      <c r="J194" s="5"/>
    </row>
    <row r="195" spans="1:18" x14ac:dyDescent="0.25">
      <c r="A195" t="s">
        <v>43</v>
      </c>
      <c r="B195">
        <v>80</v>
      </c>
      <c r="C195">
        <v>999</v>
      </c>
      <c r="D195">
        <v>620</v>
      </c>
      <c r="E195">
        <v>680</v>
      </c>
      <c r="F195">
        <v>0</v>
      </c>
      <c r="G195" s="1">
        <v>41306</v>
      </c>
      <c r="H195" s="1">
        <v>41306</v>
      </c>
      <c r="I195" s="1">
        <v>41395</v>
      </c>
      <c r="J195" s="5"/>
      <c r="N195" s="3"/>
      <c r="O195" s="3"/>
      <c r="P195" s="3"/>
      <c r="Q195" s="3"/>
      <c r="R195" s="3"/>
    </row>
    <row r="196" spans="1:18" x14ac:dyDescent="0.25">
      <c r="A196" t="s">
        <v>43</v>
      </c>
      <c r="B196">
        <v>80</v>
      </c>
      <c r="C196">
        <v>999</v>
      </c>
      <c r="D196">
        <v>300</v>
      </c>
      <c r="E196">
        <v>620</v>
      </c>
      <c r="G196" s="1">
        <v>41306</v>
      </c>
      <c r="H196" s="1">
        <v>41306</v>
      </c>
      <c r="I196" s="1">
        <v>41395</v>
      </c>
      <c r="J196" s="5"/>
      <c r="N196" s="9"/>
      <c r="O196" s="9"/>
      <c r="P196" s="9"/>
      <c r="Q196" s="9"/>
      <c r="R196" s="3"/>
    </row>
    <row r="197" spans="1:18" x14ac:dyDescent="0.25">
      <c r="A197" t="s">
        <v>42</v>
      </c>
      <c r="B197">
        <v>80</v>
      </c>
      <c r="C197">
        <v>999</v>
      </c>
      <c r="D197">
        <v>760</v>
      </c>
      <c r="E197">
        <v>999</v>
      </c>
      <c r="F197">
        <v>0</v>
      </c>
      <c r="G197" s="1">
        <v>41306</v>
      </c>
      <c r="H197" s="1">
        <v>41306</v>
      </c>
      <c r="I197" s="1">
        <v>41395</v>
      </c>
      <c r="J197" s="5"/>
      <c r="N197" s="9"/>
      <c r="O197" s="9"/>
      <c r="P197" s="9"/>
      <c r="Q197" s="9"/>
      <c r="R197" s="3"/>
    </row>
    <row r="198" spans="1:18" x14ac:dyDescent="0.25">
      <c r="A198" t="s">
        <v>42</v>
      </c>
      <c r="B198">
        <v>80</v>
      </c>
      <c r="C198">
        <v>999</v>
      </c>
      <c r="D198">
        <v>720</v>
      </c>
      <c r="E198">
        <v>760</v>
      </c>
      <c r="F198">
        <v>0</v>
      </c>
      <c r="G198" s="1">
        <v>41306</v>
      </c>
      <c r="H198" s="1">
        <v>41306</v>
      </c>
      <c r="I198" s="1">
        <v>41395</v>
      </c>
      <c r="J198" s="5"/>
      <c r="N198" s="9"/>
      <c r="O198" s="9"/>
      <c r="P198" s="9"/>
      <c r="Q198" s="9"/>
      <c r="R198" s="3"/>
    </row>
    <row r="199" spans="1:18" x14ac:dyDescent="0.25">
      <c r="A199" t="s">
        <v>42</v>
      </c>
      <c r="B199">
        <v>80</v>
      </c>
      <c r="C199">
        <v>999</v>
      </c>
      <c r="D199">
        <v>680</v>
      </c>
      <c r="E199">
        <v>720</v>
      </c>
      <c r="F199">
        <v>0</v>
      </c>
      <c r="G199" s="1">
        <v>41306</v>
      </c>
      <c r="H199" s="1">
        <v>41306</v>
      </c>
      <c r="I199" s="1">
        <v>41395</v>
      </c>
      <c r="J199" s="5"/>
      <c r="N199" s="9"/>
      <c r="O199" s="9"/>
      <c r="P199" s="9"/>
      <c r="Q199" s="9"/>
      <c r="R199" s="3"/>
    </row>
    <row r="200" spans="1:18" x14ac:dyDescent="0.25">
      <c r="A200" t="s">
        <v>42</v>
      </c>
      <c r="B200">
        <v>80</v>
      </c>
      <c r="C200">
        <v>999</v>
      </c>
      <c r="D200">
        <v>620</v>
      </c>
      <c r="E200">
        <v>680</v>
      </c>
      <c r="F200">
        <v>0</v>
      </c>
      <c r="G200" s="1">
        <v>41306</v>
      </c>
      <c r="H200" s="1">
        <v>41306</v>
      </c>
      <c r="I200" s="1">
        <v>41395</v>
      </c>
      <c r="J200" s="5"/>
      <c r="N200" s="9"/>
      <c r="O200" s="9"/>
      <c r="P200" s="9"/>
      <c r="Q200" s="9"/>
      <c r="R200" s="3"/>
    </row>
    <row r="201" spans="1:18" x14ac:dyDescent="0.25">
      <c r="A201" t="s">
        <v>42</v>
      </c>
      <c r="B201">
        <v>80</v>
      </c>
      <c r="C201">
        <v>999</v>
      </c>
      <c r="D201">
        <v>300</v>
      </c>
      <c r="E201">
        <v>620</v>
      </c>
      <c r="G201" s="1">
        <v>41306</v>
      </c>
      <c r="H201" s="1">
        <v>41306</v>
      </c>
      <c r="I201" s="1">
        <v>41395</v>
      </c>
      <c r="J201" s="5"/>
      <c r="N201" s="9"/>
      <c r="O201" s="9"/>
      <c r="P201" s="9"/>
      <c r="Q201" s="9"/>
      <c r="R201" s="3"/>
    </row>
    <row r="202" spans="1:18" x14ac:dyDescent="0.25">
      <c r="A202" t="s">
        <v>45</v>
      </c>
      <c r="B202">
        <v>0</v>
      </c>
      <c r="C202">
        <v>80</v>
      </c>
      <c r="D202">
        <v>760</v>
      </c>
      <c r="E202">
        <v>999</v>
      </c>
      <c r="F202">
        <v>0</v>
      </c>
      <c r="G202" s="1">
        <v>41306</v>
      </c>
      <c r="H202" s="1">
        <v>41306</v>
      </c>
      <c r="I202" s="1">
        <v>41395</v>
      </c>
      <c r="J202" s="5"/>
      <c r="N202" s="9"/>
      <c r="O202" s="9"/>
      <c r="P202" s="9"/>
      <c r="Q202" s="9"/>
      <c r="R202" s="3"/>
    </row>
    <row r="203" spans="1:18" x14ac:dyDescent="0.25">
      <c r="A203" t="s">
        <v>45</v>
      </c>
      <c r="B203">
        <v>0</v>
      </c>
      <c r="C203">
        <v>80</v>
      </c>
      <c r="D203">
        <v>720</v>
      </c>
      <c r="E203">
        <v>760</v>
      </c>
      <c r="F203">
        <v>0</v>
      </c>
      <c r="G203" s="1">
        <v>41306</v>
      </c>
      <c r="H203" s="1">
        <v>41306</v>
      </c>
      <c r="I203" s="1">
        <v>41395</v>
      </c>
      <c r="J203" s="5"/>
      <c r="N203" s="9"/>
      <c r="O203" s="9"/>
      <c r="P203" s="9"/>
      <c r="Q203" s="9"/>
    </row>
    <row r="204" spans="1:18" x14ac:dyDescent="0.25">
      <c r="A204" t="s">
        <v>45</v>
      </c>
      <c r="B204">
        <v>0</v>
      </c>
      <c r="C204">
        <v>80</v>
      </c>
      <c r="D204">
        <v>680</v>
      </c>
      <c r="E204">
        <v>720</v>
      </c>
      <c r="F204">
        <v>0</v>
      </c>
      <c r="G204" s="1">
        <v>41306</v>
      </c>
      <c r="H204" s="1">
        <v>41306</v>
      </c>
      <c r="I204" s="1">
        <v>41395</v>
      </c>
      <c r="J204" s="5"/>
      <c r="N204" s="9"/>
      <c r="O204" s="9"/>
      <c r="P204" s="9"/>
      <c r="Q204" s="9"/>
    </row>
    <row r="205" spans="1:18" x14ac:dyDescent="0.25">
      <c r="A205" t="s">
        <v>45</v>
      </c>
      <c r="B205">
        <v>0</v>
      </c>
      <c r="C205">
        <v>80</v>
      </c>
      <c r="D205">
        <v>620</v>
      </c>
      <c r="E205">
        <v>680</v>
      </c>
      <c r="F205">
        <v>0</v>
      </c>
      <c r="G205" s="1">
        <v>41306</v>
      </c>
      <c r="H205" s="1">
        <v>41306</v>
      </c>
      <c r="I205" s="1">
        <v>41395</v>
      </c>
      <c r="J205" s="5"/>
      <c r="N205" s="9"/>
      <c r="O205" s="9"/>
      <c r="P205" s="9"/>
      <c r="Q205" s="9"/>
    </row>
    <row r="206" spans="1:18" x14ac:dyDescent="0.25">
      <c r="A206" t="s">
        <v>45</v>
      </c>
      <c r="B206">
        <v>0</v>
      </c>
      <c r="C206">
        <v>80</v>
      </c>
      <c r="D206">
        <v>300</v>
      </c>
      <c r="E206">
        <v>620</v>
      </c>
      <c r="G206" s="1">
        <v>41306</v>
      </c>
      <c r="H206" s="1">
        <v>41306</v>
      </c>
      <c r="I206" s="1">
        <v>41395</v>
      </c>
      <c r="J206" s="5"/>
      <c r="N206" s="9"/>
      <c r="O206" s="9"/>
      <c r="P206" s="9"/>
      <c r="Q206" s="9"/>
    </row>
    <row r="207" spans="1:18" x14ac:dyDescent="0.25">
      <c r="A207" t="s">
        <v>44</v>
      </c>
      <c r="B207">
        <v>0</v>
      </c>
      <c r="C207">
        <v>80</v>
      </c>
      <c r="D207">
        <v>760</v>
      </c>
      <c r="E207">
        <v>999</v>
      </c>
      <c r="F207">
        <v>0</v>
      </c>
      <c r="G207" s="1">
        <v>41306</v>
      </c>
      <c r="H207" s="1">
        <v>41306</v>
      </c>
      <c r="I207" s="1">
        <v>41395</v>
      </c>
      <c r="J207" s="5"/>
      <c r="N207" s="9"/>
      <c r="O207" s="9"/>
      <c r="P207" s="9"/>
      <c r="Q207" s="9"/>
    </row>
    <row r="208" spans="1:18" x14ac:dyDescent="0.25">
      <c r="A208" t="s">
        <v>44</v>
      </c>
      <c r="B208">
        <v>0</v>
      </c>
      <c r="C208">
        <v>80</v>
      </c>
      <c r="D208">
        <v>720</v>
      </c>
      <c r="E208">
        <v>760</v>
      </c>
      <c r="F208">
        <v>0</v>
      </c>
      <c r="G208" s="1">
        <v>41306</v>
      </c>
      <c r="H208" s="1">
        <v>41306</v>
      </c>
      <c r="I208" s="1">
        <v>41395</v>
      </c>
      <c r="J208" s="5"/>
      <c r="N208" s="9"/>
      <c r="O208" s="9"/>
      <c r="P208" s="9"/>
      <c r="Q208" s="9"/>
    </row>
    <row r="209" spans="1:18" x14ac:dyDescent="0.25">
      <c r="A209" t="s">
        <v>44</v>
      </c>
      <c r="B209">
        <v>0</v>
      </c>
      <c r="C209">
        <v>80</v>
      </c>
      <c r="D209">
        <v>680</v>
      </c>
      <c r="E209">
        <v>720</v>
      </c>
      <c r="F209">
        <v>0</v>
      </c>
      <c r="G209" s="1">
        <v>41306</v>
      </c>
      <c r="H209" s="1">
        <v>41306</v>
      </c>
      <c r="I209" s="1">
        <v>41395</v>
      </c>
      <c r="J209" s="5"/>
    </row>
    <row r="210" spans="1:18" x14ac:dyDescent="0.25">
      <c r="A210" t="s">
        <v>44</v>
      </c>
      <c r="B210">
        <v>0</v>
      </c>
      <c r="C210">
        <v>80</v>
      </c>
      <c r="D210">
        <v>620</v>
      </c>
      <c r="E210">
        <v>680</v>
      </c>
      <c r="F210">
        <v>0</v>
      </c>
      <c r="G210" s="1">
        <v>41306</v>
      </c>
      <c r="H210" s="1">
        <v>41306</v>
      </c>
      <c r="I210" s="1">
        <v>41395</v>
      </c>
      <c r="J210" s="5"/>
    </row>
    <row r="211" spans="1:18" x14ac:dyDescent="0.25">
      <c r="A211" t="s">
        <v>44</v>
      </c>
      <c r="B211">
        <v>0</v>
      </c>
      <c r="C211">
        <v>80</v>
      </c>
      <c r="D211">
        <v>300</v>
      </c>
      <c r="E211">
        <v>620</v>
      </c>
      <c r="G211" s="1">
        <v>41306</v>
      </c>
      <c r="H211" s="1">
        <v>41306</v>
      </c>
      <c r="I211" s="1">
        <v>41395</v>
      </c>
      <c r="J211" s="5"/>
    </row>
    <row r="212" spans="1:18" x14ac:dyDescent="0.25">
      <c r="A212" t="s">
        <v>43</v>
      </c>
      <c r="B212">
        <v>0</v>
      </c>
      <c r="C212">
        <v>80</v>
      </c>
      <c r="D212">
        <v>760</v>
      </c>
      <c r="E212">
        <v>999</v>
      </c>
      <c r="F212">
        <v>0</v>
      </c>
      <c r="G212" s="1">
        <v>41306</v>
      </c>
      <c r="H212" s="1">
        <v>41306</v>
      </c>
      <c r="I212" s="1">
        <v>41395</v>
      </c>
      <c r="J212" s="5"/>
    </row>
    <row r="213" spans="1:18" x14ac:dyDescent="0.25">
      <c r="A213" t="s">
        <v>43</v>
      </c>
      <c r="B213">
        <v>0</v>
      </c>
      <c r="C213">
        <v>80</v>
      </c>
      <c r="D213">
        <v>720</v>
      </c>
      <c r="E213">
        <v>760</v>
      </c>
      <c r="F213">
        <v>0</v>
      </c>
      <c r="G213" s="1">
        <v>41306</v>
      </c>
      <c r="H213" s="1">
        <v>41306</v>
      </c>
      <c r="I213" s="1">
        <v>41395</v>
      </c>
      <c r="J213" s="5"/>
    </row>
    <row r="214" spans="1:18" x14ac:dyDescent="0.25">
      <c r="A214" t="s">
        <v>43</v>
      </c>
      <c r="B214">
        <v>0</v>
      </c>
      <c r="C214">
        <v>80</v>
      </c>
      <c r="D214">
        <v>680</v>
      </c>
      <c r="E214">
        <v>720</v>
      </c>
      <c r="F214">
        <v>0</v>
      </c>
      <c r="G214" s="1">
        <v>41306</v>
      </c>
      <c r="H214" s="1">
        <v>41306</v>
      </c>
      <c r="I214" s="1">
        <v>41395</v>
      </c>
      <c r="J214" s="5"/>
    </row>
    <row r="215" spans="1:18" x14ac:dyDescent="0.25">
      <c r="A215" t="s">
        <v>43</v>
      </c>
      <c r="B215">
        <v>0</v>
      </c>
      <c r="C215">
        <v>80</v>
      </c>
      <c r="D215">
        <v>620</v>
      </c>
      <c r="E215">
        <v>680</v>
      </c>
      <c r="F215">
        <v>0</v>
      </c>
      <c r="G215" s="1">
        <v>41306</v>
      </c>
      <c r="H215" s="1">
        <v>41306</v>
      </c>
      <c r="I215" s="1">
        <v>41395</v>
      </c>
      <c r="J215" s="5"/>
    </row>
    <row r="216" spans="1:18" x14ac:dyDescent="0.25">
      <c r="A216" t="s">
        <v>43</v>
      </c>
      <c r="B216">
        <v>0</v>
      </c>
      <c r="C216">
        <v>80</v>
      </c>
      <c r="D216">
        <v>300</v>
      </c>
      <c r="E216">
        <v>620</v>
      </c>
      <c r="G216" s="1">
        <v>41306</v>
      </c>
      <c r="H216" s="1">
        <v>41306</v>
      </c>
      <c r="I216" s="1">
        <v>41395</v>
      </c>
      <c r="J216" s="5"/>
    </row>
    <row r="217" spans="1:18" x14ac:dyDescent="0.25">
      <c r="A217" t="s">
        <v>42</v>
      </c>
      <c r="B217">
        <v>0</v>
      </c>
      <c r="C217">
        <v>80</v>
      </c>
      <c r="D217">
        <v>760</v>
      </c>
      <c r="E217">
        <v>999</v>
      </c>
      <c r="F217">
        <v>0</v>
      </c>
      <c r="G217" s="1">
        <v>41306</v>
      </c>
      <c r="H217" s="1">
        <v>41306</v>
      </c>
      <c r="I217" s="1">
        <v>41395</v>
      </c>
      <c r="J217" s="5"/>
    </row>
    <row r="218" spans="1:18" x14ac:dyDescent="0.25">
      <c r="A218" t="s">
        <v>42</v>
      </c>
      <c r="B218">
        <v>0</v>
      </c>
      <c r="C218">
        <v>80</v>
      </c>
      <c r="D218">
        <v>720</v>
      </c>
      <c r="E218">
        <v>760</v>
      </c>
      <c r="F218">
        <v>0</v>
      </c>
      <c r="G218" s="1">
        <v>41306</v>
      </c>
      <c r="H218" s="1">
        <v>41306</v>
      </c>
      <c r="I218" s="1">
        <v>41395</v>
      </c>
      <c r="J218" s="5"/>
    </row>
    <row r="219" spans="1:18" x14ac:dyDescent="0.25">
      <c r="A219" t="s">
        <v>42</v>
      </c>
      <c r="B219">
        <v>0</v>
      </c>
      <c r="C219">
        <v>80</v>
      </c>
      <c r="D219">
        <v>680</v>
      </c>
      <c r="E219">
        <v>720</v>
      </c>
      <c r="F219">
        <v>0</v>
      </c>
      <c r="G219" s="1">
        <v>41306</v>
      </c>
      <c r="H219" s="1">
        <v>41306</v>
      </c>
      <c r="I219" s="1">
        <v>41395</v>
      </c>
      <c r="J219" s="5"/>
    </row>
    <row r="220" spans="1:18" x14ac:dyDescent="0.25">
      <c r="A220" t="s">
        <v>42</v>
      </c>
      <c r="B220">
        <v>0</v>
      </c>
      <c r="C220">
        <v>80</v>
      </c>
      <c r="D220">
        <v>620</v>
      </c>
      <c r="E220">
        <v>680</v>
      </c>
      <c r="F220">
        <v>0</v>
      </c>
      <c r="G220" s="1">
        <v>41306</v>
      </c>
      <c r="H220" s="1">
        <v>41306</v>
      </c>
      <c r="I220" s="1">
        <v>41395</v>
      </c>
      <c r="J220" s="5"/>
    </row>
    <row r="221" spans="1:18" x14ac:dyDescent="0.25">
      <c r="A221" t="s">
        <v>42</v>
      </c>
      <c r="B221">
        <v>0</v>
      </c>
      <c r="C221">
        <v>80</v>
      </c>
      <c r="D221">
        <v>300</v>
      </c>
      <c r="E221">
        <v>620</v>
      </c>
      <c r="G221" s="1">
        <v>41306</v>
      </c>
      <c r="H221" s="1">
        <v>41306</v>
      </c>
      <c r="I221" s="1">
        <v>41395</v>
      </c>
      <c r="J221" s="5"/>
    </row>
    <row r="222" spans="1:18" x14ac:dyDescent="0.25">
      <c r="A222" t="s">
        <v>45</v>
      </c>
      <c r="B222">
        <v>80</v>
      </c>
      <c r="C222">
        <v>999</v>
      </c>
      <c r="D222">
        <v>760</v>
      </c>
      <c r="E222">
        <v>999</v>
      </c>
      <c r="F222">
        <v>0</v>
      </c>
      <c r="G222" s="1">
        <v>41395</v>
      </c>
      <c r="H222" s="1">
        <v>41395</v>
      </c>
      <c r="I222" s="1">
        <v>41487</v>
      </c>
      <c r="J222" s="5"/>
      <c r="L222" s="1">
        <v>41395</v>
      </c>
      <c r="N222" t="s">
        <v>12</v>
      </c>
      <c r="O222" t="s">
        <v>13</v>
      </c>
      <c r="P222" t="s">
        <v>14</v>
      </c>
      <c r="Q222" t="s">
        <v>15</v>
      </c>
      <c r="R222" t="s">
        <v>16</v>
      </c>
    </row>
    <row r="223" spans="1:18" x14ac:dyDescent="0.25">
      <c r="A223" t="s">
        <v>45</v>
      </c>
      <c r="B223">
        <v>80</v>
      </c>
      <c r="C223">
        <v>999</v>
      </c>
      <c r="D223">
        <v>720</v>
      </c>
      <c r="E223">
        <v>760</v>
      </c>
      <c r="F223">
        <v>0</v>
      </c>
      <c r="G223" s="1">
        <v>41395</v>
      </c>
      <c r="H223" s="1">
        <v>41395</v>
      </c>
      <c r="I223" s="1">
        <v>41487</v>
      </c>
      <c r="J223" s="5"/>
      <c r="L223" t="s">
        <v>45</v>
      </c>
      <c r="M223" t="s">
        <v>38</v>
      </c>
      <c r="N223" s="9">
        <v>0</v>
      </c>
      <c r="O223" s="9">
        <v>0</v>
      </c>
      <c r="P223" s="9">
        <v>0</v>
      </c>
      <c r="Q223" s="9">
        <v>0</v>
      </c>
      <c r="R223" s="3" t="s">
        <v>18</v>
      </c>
    </row>
    <row r="224" spans="1:18" x14ac:dyDescent="0.25">
      <c r="A224" t="s">
        <v>45</v>
      </c>
      <c r="B224">
        <v>80</v>
      </c>
      <c r="C224">
        <v>999</v>
      </c>
      <c r="D224">
        <v>680</v>
      </c>
      <c r="E224">
        <v>720</v>
      </c>
      <c r="F224">
        <v>0</v>
      </c>
      <c r="G224" s="1">
        <v>41395</v>
      </c>
      <c r="H224" s="1">
        <v>41395</v>
      </c>
      <c r="I224" s="1">
        <v>41487</v>
      </c>
      <c r="J224" s="5"/>
      <c r="L224" t="s">
        <v>44</v>
      </c>
      <c r="M224" t="s">
        <v>38</v>
      </c>
      <c r="N224" s="9">
        <v>11.999999999999998</v>
      </c>
      <c r="O224" s="9">
        <v>14</v>
      </c>
      <c r="P224" s="9">
        <v>20</v>
      </c>
      <c r="Q224" s="9">
        <v>35</v>
      </c>
      <c r="R224" s="3" t="s">
        <v>18</v>
      </c>
    </row>
    <row r="225" spans="1:18" x14ac:dyDescent="0.25">
      <c r="A225" t="s">
        <v>45</v>
      </c>
      <c r="B225">
        <v>80</v>
      </c>
      <c r="C225">
        <v>999</v>
      </c>
      <c r="D225">
        <v>620</v>
      </c>
      <c r="E225">
        <v>680</v>
      </c>
      <c r="F225">
        <v>0</v>
      </c>
      <c r="G225" s="1">
        <v>41395</v>
      </c>
      <c r="H225" s="1">
        <v>41395</v>
      </c>
      <c r="I225" s="1">
        <v>41487</v>
      </c>
      <c r="J225" s="5"/>
      <c r="L225" t="s">
        <v>43</v>
      </c>
      <c r="M225" t="s">
        <v>38</v>
      </c>
      <c r="N225" s="9">
        <v>0</v>
      </c>
      <c r="O225" s="9">
        <v>0</v>
      </c>
      <c r="P225" s="9">
        <v>0</v>
      </c>
      <c r="Q225" s="9">
        <v>0</v>
      </c>
      <c r="R225" s="3" t="s">
        <v>18</v>
      </c>
    </row>
    <row r="226" spans="1:18" x14ac:dyDescent="0.25">
      <c r="A226" t="s">
        <v>45</v>
      </c>
      <c r="B226">
        <v>80</v>
      </c>
      <c r="C226">
        <v>999</v>
      </c>
      <c r="D226">
        <v>300</v>
      </c>
      <c r="E226">
        <v>620</v>
      </c>
      <c r="G226" s="1">
        <v>41395</v>
      </c>
      <c r="H226" s="1">
        <v>41395</v>
      </c>
      <c r="I226" s="1">
        <v>41487</v>
      </c>
      <c r="J226" s="5"/>
      <c r="L226" t="s">
        <v>42</v>
      </c>
      <c r="M226" t="s">
        <v>38</v>
      </c>
      <c r="N226" s="9">
        <v>0</v>
      </c>
      <c r="O226" s="9">
        <v>0</v>
      </c>
      <c r="P226" s="9">
        <v>0</v>
      </c>
      <c r="Q226" s="9">
        <v>0</v>
      </c>
      <c r="R226" s="3" t="s">
        <v>18</v>
      </c>
    </row>
    <row r="227" spans="1:18" x14ac:dyDescent="0.25">
      <c r="A227" t="s">
        <v>44</v>
      </c>
      <c r="B227">
        <v>80</v>
      </c>
      <c r="C227">
        <v>999</v>
      </c>
      <c r="D227">
        <v>760</v>
      </c>
      <c r="E227">
        <v>999</v>
      </c>
      <c r="F227">
        <v>12</v>
      </c>
      <c r="G227" s="1">
        <v>41395</v>
      </c>
      <c r="H227" s="1">
        <v>41395</v>
      </c>
      <c r="I227" s="1">
        <v>41487</v>
      </c>
      <c r="J227" s="5"/>
      <c r="L227" t="s">
        <v>45</v>
      </c>
      <c r="M227" t="s">
        <v>39</v>
      </c>
      <c r="N227" s="9">
        <v>0</v>
      </c>
      <c r="O227" s="9">
        <v>0</v>
      </c>
      <c r="P227" s="9">
        <v>0</v>
      </c>
      <c r="Q227" s="9">
        <v>0</v>
      </c>
      <c r="R227" s="3" t="s">
        <v>18</v>
      </c>
    </row>
    <row r="228" spans="1:18" x14ac:dyDescent="0.25">
      <c r="A228" t="s">
        <v>44</v>
      </c>
      <c r="B228">
        <v>80</v>
      </c>
      <c r="C228">
        <v>999</v>
      </c>
      <c r="D228">
        <v>720</v>
      </c>
      <c r="E228">
        <v>760</v>
      </c>
      <c r="F228">
        <v>14</v>
      </c>
      <c r="G228" s="1">
        <v>41395</v>
      </c>
      <c r="H228" s="1">
        <v>41395</v>
      </c>
      <c r="I228" s="1">
        <v>41487</v>
      </c>
      <c r="J228" s="5"/>
      <c r="L228" t="s">
        <v>44</v>
      </c>
      <c r="M228" t="s">
        <v>39</v>
      </c>
      <c r="N228" s="9">
        <v>0</v>
      </c>
      <c r="O228" s="9">
        <v>0</v>
      </c>
      <c r="P228" s="9">
        <v>0</v>
      </c>
      <c r="Q228" s="9">
        <v>0</v>
      </c>
      <c r="R228" s="3" t="s">
        <v>18</v>
      </c>
    </row>
    <row r="229" spans="1:18" x14ac:dyDescent="0.25">
      <c r="A229" t="s">
        <v>44</v>
      </c>
      <c r="B229">
        <v>80</v>
      </c>
      <c r="C229">
        <v>999</v>
      </c>
      <c r="D229">
        <v>680</v>
      </c>
      <c r="E229">
        <v>720</v>
      </c>
      <c r="F229">
        <v>20</v>
      </c>
      <c r="G229" s="1">
        <v>41395</v>
      </c>
      <c r="H229" s="1">
        <v>41395</v>
      </c>
      <c r="I229" s="1">
        <v>41487</v>
      </c>
      <c r="J229" s="5"/>
      <c r="L229" t="s">
        <v>43</v>
      </c>
      <c r="M229" t="s">
        <v>39</v>
      </c>
      <c r="N229" s="9">
        <v>0</v>
      </c>
      <c r="O229" s="9">
        <v>0</v>
      </c>
      <c r="P229" s="9">
        <v>0</v>
      </c>
      <c r="Q229" s="9">
        <v>0</v>
      </c>
      <c r="R229" s="3" t="s">
        <v>18</v>
      </c>
    </row>
    <row r="230" spans="1:18" x14ac:dyDescent="0.25">
      <c r="A230" t="s">
        <v>44</v>
      </c>
      <c r="B230">
        <v>80</v>
      </c>
      <c r="C230">
        <v>999</v>
      </c>
      <c r="D230">
        <v>620</v>
      </c>
      <c r="E230">
        <v>680</v>
      </c>
      <c r="F230">
        <v>35</v>
      </c>
      <c r="G230" s="1">
        <v>41395</v>
      </c>
      <c r="H230" s="1">
        <v>41395</v>
      </c>
      <c r="I230" s="1">
        <v>41487</v>
      </c>
      <c r="J230" s="5"/>
      <c r="L230" t="s">
        <v>42</v>
      </c>
      <c r="M230" t="s">
        <v>39</v>
      </c>
      <c r="N230" s="9">
        <v>0</v>
      </c>
      <c r="O230" s="9">
        <v>0</v>
      </c>
      <c r="P230" s="9">
        <v>0</v>
      </c>
      <c r="Q230" s="9">
        <v>0</v>
      </c>
      <c r="R230" s="3" t="s">
        <v>18</v>
      </c>
    </row>
    <row r="231" spans="1:18" x14ac:dyDescent="0.25">
      <c r="A231" t="s">
        <v>44</v>
      </c>
      <c r="B231">
        <v>80</v>
      </c>
      <c r="C231">
        <v>999</v>
      </c>
      <c r="D231">
        <v>300</v>
      </c>
      <c r="E231">
        <v>620</v>
      </c>
      <c r="G231" s="1">
        <v>41395</v>
      </c>
      <c r="H231" s="1">
        <v>41395</v>
      </c>
      <c r="I231" s="1">
        <v>41487</v>
      </c>
      <c r="J231" s="5"/>
    </row>
    <row r="232" spans="1:18" x14ac:dyDescent="0.25">
      <c r="A232" t="s">
        <v>43</v>
      </c>
      <c r="B232">
        <v>80</v>
      </c>
      <c r="C232">
        <v>999</v>
      </c>
      <c r="D232">
        <v>760</v>
      </c>
      <c r="E232">
        <v>999</v>
      </c>
      <c r="F232">
        <v>0</v>
      </c>
      <c r="G232" s="1">
        <v>41395</v>
      </c>
      <c r="H232" s="1">
        <v>41395</v>
      </c>
      <c r="I232" s="1">
        <v>41487</v>
      </c>
      <c r="J232" s="5"/>
    </row>
    <row r="233" spans="1:18" x14ac:dyDescent="0.25">
      <c r="A233" t="s">
        <v>43</v>
      </c>
      <c r="B233">
        <v>80</v>
      </c>
      <c r="C233">
        <v>999</v>
      </c>
      <c r="D233">
        <v>720</v>
      </c>
      <c r="E233">
        <v>760</v>
      </c>
      <c r="F233">
        <v>0</v>
      </c>
      <c r="G233" s="1">
        <v>41395</v>
      </c>
      <c r="H233" s="1">
        <v>41395</v>
      </c>
      <c r="I233" s="1">
        <v>41487</v>
      </c>
      <c r="J233" s="5"/>
    </row>
    <row r="234" spans="1:18" x14ac:dyDescent="0.25">
      <c r="A234" t="s">
        <v>43</v>
      </c>
      <c r="B234">
        <v>80</v>
      </c>
      <c r="C234">
        <v>999</v>
      </c>
      <c r="D234">
        <v>680</v>
      </c>
      <c r="E234">
        <v>720</v>
      </c>
      <c r="F234">
        <v>0</v>
      </c>
      <c r="G234" s="1">
        <v>41395</v>
      </c>
      <c r="H234" s="1">
        <v>41395</v>
      </c>
      <c r="I234" s="1">
        <v>41487</v>
      </c>
      <c r="J234" s="5"/>
    </row>
    <row r="235" spans="1:18" x14ac:dyDescent="0.25">
      <c r="A235" t="s">
        <v>43</v>
      </c>
      <c r="B235">
        <v>80</v>
      </c>
      <c r="C235">
        <v>999</v>
      </c>
      <c r="D235">
        <v>620</v>
      </c>
      <c r="E235">
        <v>680</v>
      </c>
      <c r="F235">
        <v>0</v>
      </c>
      <c r="G235" s="1">
        <v>41395</v>
      </c>
      <c r="H235" s="1">
        <v>41395</v>
      </c>
      <c r="I235" s="1">
        <v>41487</v>
      </c>
      <c r="J235" s="5"/>
      <c r="N235" s="3"/>
      <c r="O235" s="3"/>
      <c r="P235" s="3"/>
      <c r="Q235" s="3"/>
      <c r="R235" s="3"/>
    </row>
    <row r="236" spans="1:18" x14ac:dyDescent="0.25">
      <c r="A236" t="s">
        <v>43</v>
      </c>
      <c r="B236">
        <v>80</v>
      </c>
      <c r="C236">
        <v>999</v>
      </c>
      <c r="D236">
        <v>300</v>
      </c>
      <c r="E236">
        <v>620</v>
      </c>
      <c r="G236" s="1">
        <v>41395</v>
      </c>
      <c r="H236" s="1">
        <v>41395</v>
      </c>
      <c r="I236" s="1">
        <v>41487</v>
      </c>
      <c r="J236" s="5"/>
      <c r="N236" s="9"/>
      <c r="O236" s="9"/>
      <c r="P236" s="9"/>
      <c r="Q236" s="9"/>
      <c r="R236" s="3"/>
    </row>
    <row r="237" spans="1:18" x14ac:dyDescent="0.25">
      <c r="A237" t="s">
        <v>42</v>
      </c>
      <c r="B237">
        <v>80</v>
      </c>
      <c r="C237">
        <v>999</v>
      </c>
      <c r="D237">
        <v>760</v>
      </c>
      <c r="E237">
        <v>999</v>
      </c>
      <c r="F237">
        <v>0</v>
      </c>
      <c r="G237" s="1">
        <v>41395</v>
      </c>
      <c r="H237" s="1">
        <v>41395</v>
      </c>
      <c r="I237" s="1">
        <v>41487</v>
      </c>
      <c r="J237" s="5"/>
      <c r="N237" s="9"/>
      <c r="O237" s="9"/>
      <c r="P237" s="9"/>
      <c r="Q237" s="9"/>
      <c r="R237" s="3"/>
    </row>
    <row r="238" spans="1:18" x14ac:dyDescent="0.25">
      <c r="A238" t="s">
        <v>42</v>
      </c>
      <c r="B238">
        <v>80</v>
      </c>
      <c r="C238">
        <v>999</v>
      </c>
      <c r="D238">
        <v>720</v>
      </c>
      <c r="E238">
        <v>760</v>
      </c>
      <c r="F238">
        <v>0</v>
      </c>
      <c r="G238" s="1">
        <v>41395</v>
      </c>
      <c r="H238" s="1">
        <v>41395</v>
      </c>
      <c r="I238" s="1">
        <v>41487</v>
      </c>
      <c r="J238" s="5"/>
      <c r="N238" s="9"/>
      <c r="O238" s="9"/>
      <c r="P238" s="9"/>
      <c r="Q238" s="9"/>
      <c r="R238" s="3"/>
    </row>
    <row r="239" spans="1:18" x14ac:dyDescent="0.25">
      <c r="A239" t="s">
        <v>42</v>
      </c>
      <c r="B239">
        <v>80</v>
      </c>
      <c r="C239">
        <v>999</v>
      </c>
      <c r="D239">
        <v>680</v>
      </c>
      <c r="E239">
        <v>720</v>
      </c>
      <c r="F239">
        <v>0</v>
      </c>
      <c r="G239" s="1">
        <v>41395</v>
      </c>
      <c r="H239" s="1">
        <v>41395</v>
      </c>
      <c r="I239" s="1">
        <v>41487</v>
      </c>
      <c r="J239" s="5"/>
      <c r="N239" s="9"/>
      <c r="O239" s="9"/>
      <c r="P239" s="9"/>
      <c r="Q239" s="9"/>
      <c r="R239" s="3"/>
    </row>
    <row r="240" spans="1:18" x14ac:dyDescent="0.25">
      <c r="A240" t="s">
        <v>42</v>
      </c>
      <c r="B240">
        <v>80</v>
      </c>
      <c r="C240">
        <v>999</v>
      </c>
      <c r="D240">
        <v>620</v>
      </c>
      <c r="E240">
        <v>680</v>
      </c>
      <c r="F240">
        <v>0</v>
      </c>
      <c r="G240" s="1">
        <v>41395</v>
      </c>
      <c r="H240" s="1">
        <v>41395</v>
      </c>
      <c r="I240" s="1">
        <v>41487</v>
      </c>
      <c r="J240" s="5"/>
      <c r="N240" s="9"/>
      <c r="O240" s="9"/>
      <c r="P240" s="9"/>
      <c r="Q240" s="9"/>
      <c r="R240" s="3"/>
    </row>
    <row r="241" spans="1:18" x14ac:dyDescent="0.25">
      <c r="A241" t="s">
        <v>42</v>
      </c>
      <c r="B241">
        <v>80</v>
      </c>
      <c r="C241">
        <v>999</v>
      </c>
      <c r="D241">
        <v>300</v>
      </c>
      <c r="E241">
        <v>620</v>
      </c>
      <c r="G241" s="1">
        <v>41395</v>
      </c>
      <c r="H241" s="1">
        <v>41395</v>
      </c>
      <c r="I241" s="1">
        <v>41487</v>
      </c>
      <c r="J241" s="5"/>
      <c r="N241" s="9"/>
      <c r="O241" s="9"/>
      <c r="P241" s="9"/>
      <c r="Q241" s="9"/>
      <c r="R241" s="3"/>
    </row>
    <row r="242" spans="1:18" x14ac:dyDescent="0.25">
      <c r="A242" t="s">
        <v>45</v>
      </c>
      <c r="B242">
        <v>0</v>
      </c>
      <c r="C242">
        <v>80</v>
      </c>
      <c r="D242">
        <v>760</v>
      </c>
      <c r="E242">
        <v>999</v>
      </c>
      <c r="F242">
        <v>0</v>
      </c>
      <c r="G242" s="1">
        <v>41395</v>
      </c>
      <c r="H242" s="1">
        <v>41395</v>
      </c>
      <c r="I242" s="1">
        <v>41487</v>
      </c>
      <c r="J242" s="5"/>
      <c r="N242" s="9"/>
      <c r="O242" s="9"/>
      <c r="P242" s="9"/>
      <c r="Q242" s="9"/>
      <c r="R242" s="3"/>
    </row>
    <row r="243" spans="1:18" x14ac:dyDescent="0.25">
      <c r="A243" t="s">
        <v>45</v>
      </c>
      <c r="B243">
        <v>0</v>
      </c>
      <c r="C243">
        <v>80</v>
      </c>
      <c r="D243">
        <v>720</v>
      </c>
      <c r="E243">
        <v>760</v>
      </c>
      <c r="F243">
        <v>0</v>
      </c>
      <c r="G243" s="1">
        <v>41395</v>
      </c>
      <c r="H243" s="1">
        <v>41395</v>
      </c>
      <c r="I243" s="1">
        <v>41487</v>
      </c>
      <c r="J243" s="5"/>
      <c r="N243" s="9"/>
      <c r="O243" s="9"/>
      <c r="P243" s="9"/>
      <c r="Q243" s="9"/>
    </row>
    <row r="244" spans="1:18" x14ac:dyDescent="0.25">
      <c r="A244" t="s">
        <v>45</v>
      </c>
      <c r="B244">
        <v>0</v>
      </c>
      <c r="C244">
        <v>80</v>
      </c>
      <c r="D244">
        <v>680</v>
      </c>
      <c r="E244">
        <v>720</v>
      </c>
      <c r="F244">
        <v>0</v>
      </c>
      <c r="G244" s="1">
        <v>41395</v>
      </c>
      <c r="H244" s="1">
        <v>41395</v>
      </c>
      <c r="I244" s="1">
        <v>41487</v>
      </c>
      <c r="J244" s="5"/>
      <c r="N244" s="9"/>
      <c r="O244" s="9"/>
      <c r="P244" s="9"/>
      <c r="Q244" s="9"/>
    </row>
    <row r="245" spans="1:18" x14ac:dyDescent="0.25">
      <c r="A245" t="s">
        <v>45</v>
      </c>
      <c r="B245">
        <v>0</v>
      </c>
      <c r="C245">
        <v>80</v>
      </c>
      <c r="D245">
        <v>620</v>
      </c>
      <c r="E245">
        <v>680</v>
      </c>
      <c r="F245">
        <v>0</v>
      </c>
      <c r="G245" s="1">
        <v>41395</v>
      </c>
      <c r="H245" s="1">
        <v>41395</v>
      </c>
      <c r="I245" s="1">
        <v>41487</v>
      </c>
      <c r="J245" s="5"/>
      <c r="N245" s="9"/>
      <c r="O245" s="9"/>
      <c r="P245" s="9"/>
      <c r="Q245" s="9"/>
    </row>
    <row r="246" spans="1:18" x14ac:dyDescent="0.25">
      <c r="A246" t="s">
        <v>45</v>
      </c>
      <c r="B246">
        <v>0</v>
      </c>
      <c r="C246">
        <v>80</v>
      </c>
      <c r="D246">
        <v>300</v>
      </c>
      <c r="E246">
        <v>620</v>
      </c>
      <c r="G246" s="1">
        <v>41395</v>
      </c>
      <c r="H246" s="1">
        <v>41395</v>
      </c>
      <c r="I246" s="1">
        <v>41487</v>
      </c>
      <c r="J246" s="5"/>
      <c r="N246" s="9"/>
      <c r="O246" s="9"/>
      <c r="P246" s="9"/>
      <c r="Q246" s="9"/>
    </row>
    <row r="247" spans="1:18" x14ac:dyDescent="0.25">
      <c r="A247" t="s">
        <v>44</v>
      </c>
      <c r="B247">
        <v>0</v>
      </c>
      <c r="C247">
        <v>80</v>
      </c>
      <c r="D247">
        <v>760</v>
      </c>
      <c r="E247">
        <v>999</v>
      </c>
      <c r="F247">
        <v>0</v>
      </c>
      <c r="G247" s="1">
        <v>41395</v>
      </c>
      <c r="H247" s="1">
        <v>41395</v>
      </c>
      <c r="I247" s="1">
        <v>41487</v>
      </c>
      <c r="J247" s="5"/>
      <c r="N247" s="9"/>
      <c r="O247" s="9"/>
      <c r="P247" s="9"/>
      <c r="Q247" s="9"/>
    </row>
    <row r="248" spans="1:18" x14ac:dyDescent="0.25">
      <c r="A248" t="s">
        <v>44</v>
      </c>
      <c r="B248">
        <v>0</v>
      </c>
      <c r="C248">
        <v>80</v>
      </c>
      <c r="D248">
        <v>720</v>
      </c>
      <c r="E248">
        <v>760</v>
      </c>
      <c r="F248">
        <v>0</v>
      </c>
      <c r="G248" s="1">
        <v>41395</v>
      </c>
      <c r="H248" s="1">
        <v>41395</v>
      </c>
      <c r="I248" s="1">
        <v>41487</v>
      </c>
      <c r="J248" s="5"/>
      <c r="N248" s="9"/>
      <c r="O248" s="9"/>
      <c r="P248" s="9"/>
      <c r="Q248" s="9"/>
    </row>
    <row r="249" spans="1:18" x14ac:dyDescent="0.25">
      <c r="A249" t="s">
        <v>44</v>
      </c>
      <c r="B249">
        <v>0</v>
      </c>
      <c r="C249">
        <v>80</v>
      </c>
      <c r="D249">
        <v>680</v>
      </c>
      <c r="E249">
        <v>720</v>
      </c>
      <c r="F249">
        <v>0</v>
      </c>
      <c r="G249" s="1">
        <v>41395</v>
      </c>
      <c r="H249" s="1">
        <v>41395</v>
      </c>
      <c r="I249" s="1">
        <v>41487</v>
      </c>
      <c r="J249" s="5"/>
    </row>
    <row r="250" spans="1:18" x14ac:dyDescent="0.25">
      <c r="A250" t="s">
        <v>44</v>
      </c>
      <c r="B250">
        <v>0</v>
      </c>
      <c r="C250">
        <v>80</v>
      </c>
      <c r="D250">
        <v>620</v>
      </c>
      <c r="E250">
        <v>680</v>
      </c>
      <c r="F250">
        <v>0</v>
      </c>
      <c r="G250" s="1">
        <v>41395</v>
      </c>
      <c r="H250" s="1">
        <v>41395</v>
      </c>
      <c r="I250" s="1">
        <v>41487</v>
      </c>
      <c r="J250" s="5"/>
    </row>
    <row r="251" spans="1:18" x14ac:dyDescent="0.25">
      <c r="A251" t="s">
        <v>44</v>
      </c>
      <c r="B251">
        <v>0</v>
      </c>
      <c r="C251">
        <v>80</v>
      </c>
      <c r="D251">
        <v>300</v>
      </c>
      <c r="E251">
        <v>620</v>
      </c>
      <c r="G251" s="1">
        <v>41395</v>
      </c>
      <c r="H251" s="1">
        <v>41395</v>
      </c>
      <c r="I251" s="1">
        <v>41487</v>
      </c>
      <c r="J251" s="5"/>
    </row>
    <row r="252" spans="1:18" x14ac:dyDescent="0.25">
      <c r="A252" t="s">
        <v>43</v>
      </c>
      <c r="B252">
        <v>0</v>
      </c>
      <c r="C252">
        <v>80</v>
      </c>
      <c r="D252">
        <v>760</v>
      </c>
      <c r="E252">
        <v>999</v>
      </c>
      <c r="F252">
        <v>0</v>
      </c>
      <c r="G252" s="1">
        <v>41395</v>
      </c>
      <c r="H252" s="1">
        <v>41395</v>
      </c>
      <c r="I252" s="1">
        <v>41487</v>
      </c>
      <c r="J252" s="5"/>
    </row>
    <row r="253" spans="1:18" x14ac:dyDescent="0.25">
      <c r="A253" t="s">
        <v>43</v>
      </c>
      <c r="B253">
        <v>0</v>
      </c>
      <c r="C253">
        <v>80</v>
      </c>
      <c r="D253">
        <v>720</v>
      </c>
      <c r="E253">
        <v>760</v>
      </c>
      <c r="F253">
        <v>0</v>
      </c>
      <c r="G253" s="1">
        <v>41395</v>
      </c>
      <c r="H253" s="1">
        <v>41395</v>
      </c>
      <c r="I253" s="1">
        <v>41487</v>
      </c>
      <c r="J253" s="5"/>
    </row>
    <row r="254" spans="1:18" x14ac:dyDescent="0.25">
      <c r="A254" t="s">
        <v>43</v>
      </c>
      <c r="B254">
        <v>0</v>
      </c>
      <c r="C254">
        <v>80</v>
      </c>
      <c r="D254">
        <v>680</v>
      </c>
      <c r="E254">
        <v>720</v>
      </c>
      <c r="F254">
        <v>0</v>
      </c>
      <c r="G254" s="1">
        <v>41395</v>
      </c>
      <c r="H254" s="1">
        <v>41395</v>
      </c>
      <c r="I254" s="1">
        <v>41487</v>
      </c>
      <c r="J254" s="5"/>
    </row>
    <row r="255" spans="1:18" x14ac:dyDescent="0.25">
      <c r="A255" t="s">
        <v>43</v>
      </c>
      <c r="B255">
        <v>0</v>
      </c>
      <c r="C255">
        <v>80</v>
      </c>
      <c r="D255">
        <v>620</v>
      </c>
      <c r="E255">
        <v>680</v>
      </c>
      <c r="F255">
        <v>0</v>
      </c>
      <c r="G255" s="1">
        <v>41395</v>
      </c>
      <c r="H255" s="1">
        <v>41395</v>
      </c>
      <c r="I255" s="1">
        <v>41487</v>
      </c>
      <c r="J255" s="5"/>
    </row>
    <row r="256" spans="1:18" x14ac:dyDescent="0.25">
      <c r="A256" t="s">
        <v>43</v>
      </c>
      <c r="B256">
        <v>0</v>
      </c>
      <c r="C256">
        <v>80</v>
      </c>
      <c r="D256">
        <v>300</v>
      </c>
      <c r="E256">
        <v>620</v>
      </c>
      <c r="G256" s="1">
        <v>41395</v>
      </c>
      <c r="H256" s="1">
        <v>41395</v>
      </c>
      <c r="I256" s="1">
        <v>41487</v>
      </c>
      <c r="J256" s="5"/>
    </row>
    <row r="257" spans="1:18" x14ac:dyDescent="0.25">
      <c r="A257" t="s">
        <v>42</v>
      </c>
      <c r="B257">
        <v>0</v>
      </c>
      <c r="C257">
        <v>80</v>
      </c>
      <c r="D257">
        <v>760</v>
      </c>
      <c r="E257">
        <v>999</v>
      </c>
      <c r="F257">
        <v>0</v>
      </c>
      <c r="G257" s="1">
        <v>41395</v>
      </c>
      <c r="H257" s="1">
        <v>41395</v>
      </c>
      <c r="I257" s="1">
        <v>41487</v>
      </c>
      <c r="J257" s="5"/>
    </row>
    <row r="258" spans="1:18" x14ac:dyDescent="0.25">
      <c r="A258" t="s">
        <v>42</v>
      </c>
      <c r="B258">
        <v>0</v>
      </c>
      <c r="C258">
        <v>80</v>
      </c>
      <c r="D258">
        <v>720</v>
      </c>
      <c r="E258">
        <v>760</v>
      </c>
      <c r="F258">
        <v>0</v>
      </c>
      <c r="G258" s="1">
        <v>41395</v>
      </c>
      <c r="H258" s="1">
        <v>41395</v>
      </c>
      <c r="I258" s="1">
        <v>41487</v>
      </c>
      <c r="J258" s="5"/>
    </row>
    <row r="259" spans="1:18" x14ac:dyDescent="0.25">
      <c r="A259" t="s">
        <v>42</v>
      </c>
      <c r="B259">
        <v>0</v>
      </c>
      <c r="C259">
        <v>80</v>
      </c>
      <c r="D259">
        <v>680</v>
      </c>
      <c r="E259">
        <v>720</v>
      </c>
      <c r="F259">
        <v>0</v>
      </c>
      <c r="G259" s="1">
        <v>41395</v>
      </c>
      <c r="H259" s="1">
        <v>41395</v>
      </c>
      <c r="I259" s="1">
        <v>41487</v>
      </c>
      <c r="J259" s="5"/>
    </row>
    <row r="260" spans="1:18" x14ac:dyDescent="0.25">
      <c r="A260" t="s">
        <v>42</v>
      </c>
      <c r="B260">
        <v>0</v>
      </c>
      <c r="C260">
        <v>80</v>
      </c>
      <c r="D260">
        <v>620</v>
      </c>
      <c r="E260">
        <v>680</v>
      </c>
      <c r="F260">
        <v>0</v>
      </c>
      <c r="G260" s="1">
        <v>41395</v>
      </c>
      <c r="H260" s="1">
        <v>41395</v>
      </c>
      <c r="I260" s="1">
        <v>41487</v>
      </c>
      <c r="J260" s="5"/>
    </row>
    <row r="261" spans="1:18" x14ac:dyDescent="0.25">
      <c r="A261" t="s">
        <v>42</v>
      </c>
      <c r="B261">
        <v>0</v>
      </c>
      <c r="C261">
        <v>80</v>
      </c>
      <c r="D261">
        <v>300</v>
      </c>
      <c r="E261">
        <v>620</v>
      </c>
      <c r="G261" s="1">
        <v>41395</v>
      </c>
      <c r="H261" s="1">
        <v>41395</v>
      </c>
      <c r="I261" s="1">
        <v>41487</v>
      </c>
      <c r="J261" s="5"/>
    </row>
    <row r="262" spans="1:18" x14ac:dyDescent="0.25">
      <c r="A262" t="s">
        <v>45</v>
      </c>
      <c r="B262">
        <v>80</v>
      </c>
      <c r="C262">
        <v>999</v>
      </c>
      <c r="D262">
        <v>760</v>
      </c>
      <c r="E262">
        <v>999</v>
      </c>
      <c r="F262">
        <v>0</v>
      </c>
      <c r="G262" s="1">
        <v>41487</v>
      </c>
      <c r="H262" s="1">
        <v>41487</v>
      </c>
      <c r="I262" s="1">
        <v>41760</v>
      </c>
      <c r="J262" s="5"/>
      <c r="L262" s="1">
        <v>41487</v>
      </c>
      <c r="N262" t="s">
        <v>12</v>
      </c>
      <c r="O262" t="s">
        <v>13</v>
      </c>
      <c r="P262" t="s">
        <v>14</v>
      </c>
      <c r="Q262" t="s">
        <v>15</v>
      </c>
      <c r="R262" t="s">
        <v>16</v>
      </c>
    </row>
    <row r="263" spans="1:18" x14ac:dyDescent="0.25">
      <c r="A263" t="s">
        <v>45</v>
      </c>
      <c r="B263">
        <v>80</v>
      </c>
      <c r="C263">
        <v>999</v>
      </c>
      <c r="D263">
        <v>720</v>
      </c>
      <c r="E263">
        <v>760</v>
      </c>
      <c r="F263">
        <v>0</v>
      </c>
      <c r="G263" s="1">
        <v>41487</v>
      </c>
      <c r="H263" s="1">
        <v>41487</v>
      </c>
      <c r="I263" s="1">
        <v>41760</v>
      </c>
      <c r="J263" s="5"/>
      <c r="L263" t="s">
        <v>45</v>
      </c>
      <c r="M263" t="s">
        <v>38</v>
      </c>
      <c r="N263" s="9">
        <v>0</v>
      </c>
      <c r="O263" s="9">
        <v>0</v>
      </c>
      <c r="P263" s="9">
        <v>0</v>
      </c>
      <c r="Q263" s="9">
        <v>0</v>
      </c>
      <c r="R263" s="3" t="s">
        <v>18</v>
      </c>
    </row>
    <row r="264" spans="1:18" x14ac:dyDescent="0.25">
      <c r="A264" t="s">
        <v>45</v>
      </c>
      <c r="B264">
        <v>80</v>
      </c>
      <c r="C264">
        <v>999</v>
      </c>
      <c r="D264">
        <v>680</v>
      </c>
      <c r="E264">
        <v>720</v>
      </c>
      <c r="F264">
        <v>0</v>
      </c>
      <c r="G264" s="1">
        <v>41487</v>
      </c>
      <c r="H264" s="1">
        <v>41487</v>
      </c>
      <c r="I264" s="1">
        <v>41760</v>
      </c>
      <c r="J264" s="5"/>
      <c r="L264" t="s">
        <v>44</v>
      </c>
      <c r="M264" t="s">
        <v>38</v>
      </c>
      <c r="N264" s="9">
        <v>11.999999999999998</v>
      </c>
      <c r="O264" s="9">
        <v>14</v>
      </c>
      <c r="P264" s="9">
        <v>20</v>
      </c>
      <c r="Q264" s="9">
        <v>35</v>
      </c>
      <c r="R264" s="3" t="s">
        <v>18</v>
      </c>
    </row>
    <row r="265" spans="1:18" x14ac:dyDescent="0.25">
      <c r="A265" t="s">
        <v>45</v>
      </c>
      <c r="B265">
        <v>80</v>
      </c>
      <c r="C265">
        <v>999</v>
      </c>
      <c r="D265">
        <v>620</v>
      </c>
      <c r="E265">
        <v>680</v>
      </c>
      <c r="F265">
        <v>0</v>
      </c>
      <c r="G265" s="1">
        <v>41487</v>
      </c>
      <c r="H265" s="1">
        <v>41487</v>
      </c>
      <c r="I265" s="1">
        <v>41760</v>
      </c>
      <c r="J265" s="5"/>
      <c r="L265" t="s">
        <v>43</v>
      </c>
      <c r="M265" t="s">
        <v>38</v>
      </c>
      <c r="N265" s="9">
        <v>0</v>
      </c>
      <c r="O265" s="9">
        <v>0</v>
      </c>
      <c r="P265" s="9">
        <v>0</v>
      </c>
      <c r="Q265" s="9">
        <v>0</v>
      </c>
      <c r="R265" s="3" t="s">
        <v>18</v>
      </c>
    </row>
    <row r="266" spans="1:18" x14ac:dyDescent="0.25">
      <c r="A266" t="s">
        <v>45</v>
      </c>
      <c r="B266">
        <v>80</v>
      </c>
      <c r="C266">
        <v>999</v>
      </c>
      <c r="D266">
        <v>300</v>
      </c>
      <c r="E266">
        <v>620</v>
      </c>
      <c r="G266" s="1">
        <v>41487</v>
      </c>
      <c r="H266" s="1">
        <v>41487</v>
      </c>
      <c r="I266" s="1">
        <v>41760</v>
      </c>
      <c r="J266" s="5"/>
      <c r="L266" t="s">
        <v>42</v>
      </c>
      <c r="M266" t="s">
        <v>38</v>
      </c>
      <c r="N266" s="9">
        <v>0</v>
      </c>
      <c r="O266" s="9">
        <v>0</v>
      </c>
      <c r="P266" s="9">
        <v>0</v>
      </c>
      <c r="Q266" s="9">
        <v>0</v>
      </c>
      <c r="R266" s="3" t="s">
        <v>18</v>
      </c>
    </row>
    <row r="267" spans="1:18" x14ac:dyDescent="0.25">
      <c r="A267" t="s">
        <v>44</v>
      </c>
      <c r="B267">
        <v>80</v>
      </c>
      <c r="C267">
        <v>999</v>
      </c>
      <c r="D267">
        <v>760</v>
      </c>
      <c r="E267">
        <v>999</v>
      </c>
      <c r="F267">
        <v>12</v>
      </c>
      <c r="G267" s="1">
        <v>41487</v>
      </c>
      <c r="H267" s="1">
        <v>41487</v>
      </c>
      <c r="I267" s="1">
        <v>41760</v>
      </c>
      <c r="J267" s="5"/>
      <c r="L267" t="s">
        <v>45</v>
      </c>
      <c r="M267" t="s">
        <v>39</v>
      </c>
      <c r="N267" s="9">
        <v>0</v>
      </c>
      <c r="O267" s="9">
        <v>0</v>
      </c>
      <c r="P267" s="9">
        <v>0</v>
      </c>
      <c r="Q267" s="9">
        <v>0</v>
      </c>
      <c r="R267" s="3" t="s">
        <v>18</v>
      </c>
    </row>
    <row r="268" spans="1:18" x14ac:dyDescent="0.25">
      <c r="A268" t="s">
        <v>44</v>
      </c>
      <c r="B268">
        <v>80</v>
      </c>
      <c r="C268">
        <v>999</v>
      </c>
      <c r="D268">
        <v>720</v>
      </c>
      <c r="E268">
        <v>760</v>
      </c>
      <c r="F268">
        <v>14</v>
      </c>
      <c r="G268" s="1">
        <v>41487</v>
      </c>
      <c r="H268" s="1">
        <v>41487</v>
      </c>
      <c r="I268" s="1">
        <v>41760</v>
      </c>
      <c r="J268" s="5"/>
      <c r="L268" t="s">
        <v>44</v>
      </c>
      <c r="M268" t="s">
        <v>39</v>
      </c>
      <c r="N268" s="9">
        <v>0</v>
      </c>
      <c r="O268" s="9">
        <v>0</v>
      </c>
      <c r="P268" s="9">
        <v>0</v>
      </c>
      <c r="Q268" s="9">
        <v>0</v>
      </c>
      <c r="R268" s="3" t="s">
        <v>18</v>
      </c>
    </row>
    <row r="269" spans="1:18" x14ac:dyDescent="0.25">
      <c r="A269" t="s">
        <v>44</v>
      </c>
      <c r="B269">
        <v>80</v>
      </c>
      <c r="C269">
        <v>999</v>
      </c>
      <c r="D269">
        <v>680</v>
      </c>
      <c r="E269">
        <v>720</v>
      </c>
      <c r="F269">
        <v>20</v>
      </c>
      <c r="G269" s="1">
        <v>41487</v>
      </c>
      <c r="H269" s="1">
        <v>41487</v>
      </c>
      <c r="I269" s="1">
        <v>41760</v>
      </c>
      <c r="J269" s="5"/>
      <c r="L269" t="s">
        <v>43</v>
      </c>
      <c r="M269" t="s">
        <v>39</v>
      </c>
      <c r="N269" s="9">
        <v>0</v>
      </c>
      <c r="O269" s="9">
        <v>0</v>
      </c>
      <c r="P269" s="9">
        <v>0</v>
      </c>
      <c r="Q269" s="9">
        <v>0</v>
      </c>
      <c r="R269" s="3" t="s">
        <v>18</v>
      </c>
    </row>
    <row r="270" spans="1:18" x14ac:dyDescent="0.25">
      <c r="A270" t="s">
        <v>44</v>
      </c>
      <c r="B270">
        <v>80</v>
      </c>
      <c r="C270">
        <v>999</v>
      </c>
      <c r="D270">
        <v>620</v>
      </c>
      <c r="E270">
        <v>680</v>
      </c>
      <c r="F270">
        <v>35</v>
      </c>
      <c r="G270" s="1">
        <v>41487</v>
      </c>
      <c r="H270" s="1">
        <v>41487</v>
      </c>
      <c r="I270" s="1">
        <v>41760</v>
      </c>
      <c r="J270" s="5"/>
      <c r="L270" t="s">
        <v>42</v>
      </c>
      <c r="M270" t="s">
        <v>39</v>
      </c>
      <c r="N270" s="9">
        <v>0</v>
      </c>
      <c r="O270" s="9">
        <v>0</v>
      </c>
      <c r="P270" s="9">
        <v>0</v>
      </c>
      <c r="Q270" s="9">
        <v>0</v>
      </c>
      <c r="R270" s="3" t="s">
        <v>18</v>
      </c>
    </row>
    <row r="271" spans="1:18" x14ac:dyDescent="0.25">
      <c r="A271" t="s">
        <v>44</v>
      </c>
      <c r="B271">
        <v>80</v>
      </c>
      <c r="C271">
        <v>999</v>
      </c>
      <c r="D271">
        <v>300</v>
      </c>
      <c r="E271">
        <v>620</v>
      </c>
      <c r="G271" s="1">
        <v>41487</v>
      </c>
      <c r="H271" s="1">
        <v>41487</v>
      </c>
      <c r="I271" s="1">
        <v>41760</v>
      </c>
      <c r="J271" s="5"/>
    </row>
    <row r="272" spans="1:18" x14ac:dyDescent="0.25">
      <c r="A272" t="s">
        <v>43</v>
      </c>
      <c r="B272">
        <v>80</v>
      </c>
      <c r="C272">
        <v>999</v>
      </c>
      <c r="D272">
        <v>760</v>
      </c>
      <c r="E272">
        <v>999</v>
      </c>
      <c r="F272">
        <v>0</v>
      </c>
      <c r="G272" s="1">
        <v>41487</v>
      </c>
      <c r="H272" s="1">
        <v>41487</v>
      </c>
      <c r="I272" s="1">
        <v>41760</v>
      </c>
      <c r="J272" s="5"/>
    </row>
    <row r="273" spans="1:18" x14ac:dyDescent="0.25">
      <c r="A273" t="s">
        <v>43</v>
      </c>
      <c r="B273">
        <v>80</v>
      </c>
      <c r="C273">
        <v>999</v>
      </c>
      <c r="D273">
        <v>720</v>
      </c>
      <c r="E273">
        <v>760</v>
      </c>
      <c r="F273">
        <v>0</v>
      </c>
      <c r="G273" s="1">
        <v>41487</v>
      </c>
      <c r="H273" s="1">
        <v>41487</v>
      </c>
      <c r="I273" s="1">
        <v>41760</v>
      </c>
      <c r="J273" s="5"/>
    </row>
    <row r="274" spans="1:18" x14ac:dyDescent="0.25">
      <c r="A274" t="s">
        <v>43</v>
      </c>
      <c r="B274">
        <v>80</v>
      </c>
      <c r="C274">
        <v>999</v>
      </c>
      <c r="D274">
        <v>680</v>
      </c>
      <c r="E274">
        <v>720</v>
      </c>
      <c r="F274">
        <v>0</v>
      </c>
      <c r="G274" s="1">
        <v>41487</v>
      </c>
      <c r="H274" s="1">
        <v>41487</v>
      </c>
      <c r="I274" s="1">
        <v>41760</v>
      </c>
      <c r="J274" s="5"/>
    </row>
    <row r="275" spans="1:18" x14ac:dyDescent="0.25">
      <c r="A275" t="s">
        <v>43</v>
      </c>
      <c r="B275">
        <v>80</v>
      </c>
      <c r="C275">
        <v>999</v>
      </c>
      <c r="D275">
        <v>620</v>
      </c>
      <c r="E275">
        <v>680</v>
      </c>
      <c r="F275">
        <v>0</v>
      </c>
      <c r="G275" s="1">
        <v>41487</v>
      </c>
      <c r="H275" s="1">
        <v>41487</v>
      </c>
      <c r="I275" s="1">
        <v>41760</v>
      </c>
      <c r="J275" s="5"/>
      <c r="N275" s="3"/>
      <c r="O275" s="3"/>
      <c r="P275" s="3"/>
      <c r="Q275" s="3"/>
      <c r="R275" s="3"/>
    </row>
    <row r="276" spans="1:18" x14ac:dyDescent="0.25">
      <c r="A276" t="s">
        <v>43</v>
      </c>
      <c r="B276">
        <v>80</v>
      </c>
      <c r="C276">
        <v>999</v>
      </c>
      <c r="D276">
        <v>300</v>
      </c>
      <c r="E276">
        <v>620</v>
      </c>
      <c r="G276" s="1">
        <v>41487</v>
      </c>
      <c r="H276" s="1">
        <v>41487</v>
      </c>
      <c r="I276" s="1">
        <v>41760</v>
      </c>
      <c r="J276" s="5"/>
      <c r="N276" s="9"/>
      <c r="O276" s="9"/>
      <c r="P276" s="9"/>
      <c r="Q276" s="9"/>
      <c r="R276" s="3"/>
    </row>
    <row r="277" spans="1:18" x14ac:dyDescent="0.25">
      <c r="A277" t="s">
        <v>42</v>
      </c>
      <c r="B277">
        <v>80</v>
      </c>
      <c r="C277">
        <v>999</v>
      </c>
      <c r="D277">
        <v>760</v>
      </c>
      <c r="E277">
        <v>999</v>
      </c>
      <c r="F277">
        <v>0</v>
      </c>
      <c r="G277" s="1">
        <v>41487</v>
      </c>
      <c r="H277" s="1">
        <v>41487</v>
      </c>
      <c r="I277" s="1">
        <v>41760</v>
      </c>
      <c r="J277" s="5"/>
      <c r="N277" s="9"/>
      <c r="O277" s="9"/>
      <c r="P277" s="9"/>
      <c r="Q277" s="9"/>
      <c r="R277" s="3"/>
    </row>
    <row r="278" spans="1:18" x14ac:dyDescent="0.25">
      <c r="A278" t="s">
        <v>42</v>
      </c>
      <c r="B278">
        <v>80</v>
      </c>
      <c r="C278">
        <v>999</v>
      </c>
      <c r="D278">
        <v>720</v>
      </c>
      <c r="E278">
        <v>760</v>
      </c>
      <c r="F278">
        <v>0</v>
      </c>
      <c r="G278" s="1">
        <v>41487</v>
      </c>
      <c r="H278" s="1">
        <v>41487</v>
      </c>
      <c r="I278" s="1">
        <v>41760</v>
      </c>
      <c r="J278" s="5"/>
      <c r="N278" s="9"/>
      <c r="O278" s="9"/>
      <c r="P278" s="9"/>
      <c r="Q278" s="9"/>
      <c r="R278" s="3"/>
    </row>
    <row r="279" spans="1:18" x14ac:dyDescent="0.25">
      <c r="A279" t="s">
        <v>42</v>
      </c>
      <c r="B279">
        <v>80</v>
      </c>
      <c r="C279">
        <v>999</v>
      </c>
      <c r="D279">
        <v>680</v>
      </c>
      <c r="E279">
        <v>720</v>
      </c>
      <c r="F279">
        <v>0</v>
      </c>
      <c r="G279" s="1">
        <v>41487</v>
      </c>
      <c r="H279" s="1">
        <v>41487</v>
      </c>
      <c r="I279" s="1">
        <v>41760</v>
      </c>
      <c r="J279" s="5"/>
      <c r="N279" s="9"/>
      <c r="O279" s="9"/>
      <c r="P279" s="9"/>
      <c r="Q279" s="9"/>
      <c r="R279" s="3"/>
    </row>
    <row r="280" spans="1:18" x14ac:dyDescent="0.25">
      <c r="A280" t="s">
        <v>42</v>
      </c>
      <c r="B280">
        <v>80</v>
      </c>
      <c r="C280">
        <v>999</v>
      </c>
      <c r="D280">
        <v>620</v>
      </c>
      <c r="E280">
        <v>680</v>
      </c>
      <c r="F280">
        <v>0</v>
      </c>
      <c r="G280" s="1">
        <v>41487</v>
      </c>
      <c r="H280" s="1">
        <v>41487</v>
      </c>
      <c r="I280" s="1">
        <v>41760</v>
      </c>
      <c r="J280" s="5"/>
      <c r="N280" s="9"/>
      <c r="O280" s="9"/>
      <c r="P280" s="9"/>
      <c r="Q280" s="9"/>
      <c r="R280" s="3"/>
    </row>
    <row r="281" spans="1:18" x14ac:dyDescent="0.25">
      <c r="A281" t="s">
        <v>42</v>
      </c>
      <c r="B281">
        <v>80</v>
      </c>
      <c r="C281">
        <v>999</v>
      </c>
      <c r="D281">
        <v>300</v>
      </c>
      <c r="E281">
        <v>620</v>
      </c>
      <c r="G281" s="1">
        <v>41487</v>
      </c>
      <c r="H281" s="1">
        <v>41487</v>
      </c>
      <c r="I281" s="1">
        <v>41760</v>
      </c>
      <c r="J281" s="5"/>
      <c r="N281" s="9"/>
      <c r="O281" s="9"/>
      <c r="P281" s="9"/>
      <c r="Q281" s="9"/>
      <c r="R281" s="3"/>
    </row>
    <row r="282" spans="1:18" x14ac:dyDescent="0.25">
      <c r="A282" t="s">
        <v>45</v>
      </c>
      <c r="B282">
        <v>0</v>
      </c>
      <c r="C282">
        <v>80</v>
      </c>
      <c r="D282">
        <v>760</v>
      </c>
      <c r="E282">
        <v>999</v>
      </c>
      <c r="F282">
        <v>0</v>
      </c>
      <c r="G282" s="1">
        <v>41487</v>
      </c>
      <c r="H282" s="1">
        <v>41487</v>
      </c>
      <c r="I282" s="1">
        <v>41760</v>
      </c>
      <c r="J282" s="5"/>
      <c r="N282" s="9"/>
      <c r="O282" s="9"/>
      <c r="P282" s="9"/>
      <c r="Q282" s="9"/>
      <c r="R282" s="3"/>
    </row>
    <row r="283" spans="1:18" x14ac:dyDescent="0.25">
      <c r="A283" t="s">
        <v>45</v>
      </c>
      <c r="B283">
        <v>0</v>
      </c>
      <c r="C283">
        <v>80</v>
      </c>
      <c r="D283">
        <v>720</v>
      </c>
      <c r="E283">
        <v>760</v>
      </c>
      <c r="F283">
        <v>0</v>
      </c>
      <c r="G283" s="1">
        <v>41487</v>
      </c>
      <c r="H283" s="1">
        <v>41487</v>
      </c>
      <c r="I283" s="1">
        <v>41760</v>
      </c>
      <c r="J283" s="5"/>
      <c r="N283" s="9"/>
      <c r="O283" s="9"/>
      <c r="P283" s="9"/>
      <c r="Q283" s="9"/>
    </row>
    <row r="284" spans="1:18" x14ac:dyDescent="0.25">
      <c r="A284" t="s">
        <v>45</v>
      </c>
      <c r="B284">
        <v>0</v>
      </c>
      <c r="C284">
        <v>80</v>
      </c>
      <c r="D284">
        <v>680</v>
      </c>
      <c r="E284">
        <v>720</v>
      </c>
      <c r="F284">
        <v>0</v>
      </c>
      <c r="G284" s="1">
        <v>41487</v>
      </c>
      <c r="H284" s="1">
        <v>41487</v>
      </c>
      <c r="I284" s="1">
        <v>41760</v>
      </c>
      <c r="J284" s="5"/>
      <c r="N284" s="9"/>
      <c r="O284" s="9"/>
      <c r="P284" s="9"/>
      <c r="Q284" s="9"/>
    </row>
    <row r="285" spans="1:18" x14ac:dyDescent="0.25">
      <c r="A285" t="s">
        <v>45</v>
      </c>
      <c r="B285">
        <v>0</v>
      </c>
      <c r="C285">
        <v>80</v>
      </c>
      <c r="D285">
        <v>620</v>
      </c>
      <c r="E285">
        <v>680</v>
      </c>
      <c r="F285">
        <v>0</v>
      </c>
      <c r="G285" s="1">
        <v>41487</v>
      </c>
      <c r="H285" s="1">
        <v>41487</v>
      </c>
      <c r="I285" s="1">
        <v>41760</v>
      </c>
      <c r="J285" s="5"/>
      <c r="N285" s="9"/>
      <c r="O285" s="9"/>
      <c r="P285" s="9"/>
      <c r="Q285" s="9"/>
    </row>
    <row r="286" spans="1:18" x14ac:dyDescent="0.25">
      <c r="A286" t="s">
        <v>45</v>
      </c>
      <c r="B286">
        <v>0</v>
      </c>
      <c r="C286">
        <v>80</v>
      </c>
      <c r="D286">
        <v>300</v>
      </c>
      <c r="E286">
        <v>620</v>
      </c>
      <c r="G286" s="1">
        <v>41487</v>
      </c>
      <c r="H286" s="1">
        <v>41487</v>
      </c>
      <c r="I286" s="1">
        <v>41760</v>
      </c>
      <c r="J286" s="5"/>
      <c r="N286" s="9"/>
      <c r="O286" s="9"/>
      <c r="P286" s="9"/>
      <c r="Q286" s="9"/>
    </row>
    <row r="287" spans="1:18" x14ac:dyDescent="0.25">
      <c r="A287" t="s">
        <v>44</v>
      </c>
      <c r="B287">
        <v>0</v>
      </c>
      <c r="C287">
        <v>80</v>
      </c>
      <c r="D287">
        <v>760</v>
      </c>
      <c r="E287">
        <v>999</v>
      </c>
      <c r="F287">
        <v>0</v>
      </c>
      <c r="G287" s="1">
        <v>41487</v>
      </c>
      <c r="H287" s="1">
        <v>41487</v>
      </c>
      <c r="I287" s="1">
        <v>41760</v>
      </c>
      <c r="J287" s="5"/>
      <c r="N287" s="9"/>
      <c r="O287" s="9"/>
      <c r="P287" s="9"/>
      <c r="Q287" s="9"/>
    </row>
    <row r="288" spans="1:18" x14ac:dyDescent="0.25">
      <c r="A288" t="s">
        <v>44</v>
      </c>
      <c r="B288">
        <v>0</v>
      </c>
      <c r="C288">
        <v>80</v>
      </c>
      <c r="D288">
        <v>720</v>
      </c>
      <c r="E288">
        <v>760</v>
      </c>
      <c r="F288">
        <v>0</v>
      </c>
      <c r="G288" s="1">
        <v>41487</v>
      </c>
      <c r="H288" s="1">
        <v>41487</v>
      </c>
      <c r="I288" s="1">
        <v>41760</v>
      </c>
      <c r="J288" s="5"/>
      <c r="N288" s="9"/>
      <c r="O288" s="9"/>
      <c r="P288" s="9"/>
      <c r="Q288" s="9"/>
    </row>
    <row r="289" spans="1:18" x14ac:dyDescent="0.25">
      <c r="A289" t="s">
        <v>44</v>
      </c>
      <c r="B289">
        <v>0</v>
      </c>
      <c r="C289">
        <v>80</v>
      </c>
      <c r="D289">
        <v>680</v>
      </c>
      <c r="E289">
        <v>720</v>
      </c>
      <c r="F289">
        <v>0</v>
      </c>
      <c r="G289" s="1">
        <v>41487</v>
      </c>
      <c r="H289" s="1">
        <v>41487</v>
      </c>
      <c r="I289" s="1">
        <v>41760</v>
      </c>
      <c r="J289" s="5"/>
    </row>
    <row r="290" spans="1:18" x14ac:dyDescent="0.25">
      <c r="A290" t="s">
        <v>44</v>
      </c>
      <c r="B290">
        <v>0</v>
      </c>
      <c r="C290">
        <v>80</v>
      </c>
      <c r="D290">
        <v>620</v>
      </c>
      <c r="E290">
        <v>680</v>
      </c>
      <c r="F290">
        <v>0</v>
      </c>
      <c r="G290" s="1">
        <v>41487</v>
      </c>
      <c r="H290" s="1">
        <v>41487</v>
      </c>
      <c r="I290" s="1">
        <v>41760</v>
      </c>
      <c r="J290" s="5"/>
    </row>
    <row r="291" spans="1:18" x14ac:dyDescent="0.25">
      <c r="A291" t="s">
        <v>44</v>
      </c>
      <c r="B291">
        <v>0</v>
      </c>
      <c r="C291">
        <v>80</v>
      </c>
      <c r="D291">
        <v>300</v>
      </c>
      <c r="E291">
        <v>620</v>
      </c>
      <c r="G291" s="1">
        <v>41487</v>
      </c>
      <c r="H291" s="1">
        <v>41487</v>
      </c>
      <c r="I291" s="1">
        <v>41760</v>
      </c>
      <c r="J291" s="5"/>
    </row>
    <row r="292" spans="1:18" x14ac:dyDescent="0.25">
      <c r="A292" t="s">
        <v>43</v>
      </c>
      <c r="B292">
        <v>0</v>
      </c>
      <c r="C292">
        <v>80</v>
      </c>
      <c r="D292">
        <v>760</v>
      </c>
      <c r="E292">
        <v>999</v>
      </c>
      <c r="F292">
        <v>0</v>
      </c>
      <c r="G292" s="1">
        <v>41487</v>
      </c>
      <c r="H292" s="1">
        <v>41487</v>
      </c>
      <c r="I292" s="1">
        <v>41760</v>
      </c>
      <c r="J292" s="5"/>
    </row>
    <row r="293" spans="1:18" x14ac:dyDescent="0.25">
      <c r="A293" t="s">
        <v>43</v>
      </c>
      <c r="B293">
        <v>0</v>
      </c>
      <c r="C293">
        <v>80</v>
      </c>
      <c r="D293">
        <v>720</v>
      </c>
      <c r="E293">
        <v>760</v>
      </c>
      <c r="F293">
        <v>0</v>
      </c>
      <c r="G293" s="1">
        <v>41487</v>
      </c>
      <c r="H293" s="1">
        <v>41487</v>
      </c>
      <c r="I293" s="1">
        <v>41760</v>
      </c>
      <c r="J293" s="5"/>
    </row>
    <row r="294" spans="1:18" x14ac:dyDescent="0.25">
      <c r="A294" t="s">
        <v>43</v>
      </c>
      <c r="B294">
        <v>0</v>
      </c>
      <c r="C294">
        <v>80</v>
      </c>
      <c r="D294">
        <v>680</v>
      </c>
      <c r="E294">
        <v>720</v>
      </c>
      <c r="F294">
        <v>0</v>
      </c>
      <c r="G294" s="1">
        <v>41487</v>
      </c>
      <c r="H294" s="1">
        <v>41487</v>
      </c>
      <c r="I294" s="1">
        <v>41760</v>
      </c>
      <c r="J294" s="5"/>
    </row>
    <row r="295" spans="1:18" x14ac:dyDescent="0.25">
      <c r="A295" t="s">
        <v>43</v>
      </c>
      <c r="B295">
        <v>0</v>
      </c>
      <c r="C295">
        <v>80</v>
      </c>
      <c r="D295">
        <v>620</v>
      </c>
      <c r="E295">
        <v>680</v>
      </c>
      <c r="F295">
        <v>0</v>
      </c>
      <c r="G295" s="1">
        <v>41487</v>
      </c>
      <c r="H295" s="1">
        <v>41487</v>
      </c>
      <c r="I295" s="1">
        <v>41760</v>
      </c>
      <c r="J295" s="5"/>
    </row>
    <row r="296" spans="1:18" x14ac:dyDescent="0.25">
      <c r="A296" t="s">
        <v>43</v>
      </c>
      <c r="B296">
        <v>0</v>
      </c>
      <c r="C296">
        <v>80</v>
      </c>
      <c r="D296">
        <v>300</v>
      </c>
      <c r="E296">
        <v>620</v>
      </c>
      <c r="G296" s="1">
        <v>41487</v>
      </c>
      <c r="H296" s="1">
        <v>41487</v>
      </c>
      <c r="I296" s="1">
        <v>41760</v>
      </c>
      <c r="J296" s="5"/>
    </row>
    <row r="297" spans="1:18" x14ac:dyDescent="0.25">
      <c r="A297" t="s">
        <v>42</v>
      </c>
      <c r="B297">
        <v>0</v>
      </c>
      <c r="C297">
        <v>80</v>
      </c>
      <c r="D297">
        <v>760</v>
      </c>
      <c r="E297">
        <v>999</v>
      </c>
      <c r="F297">
        <v>0</v>
      </c>
      <c r="G297" s="1">
        <v>41487</v>
      </c>
      <c r="H297" s="1">
        <v>41487</v>
      </c>
      <c r="I297" s="1">
        <v>41760</v>
      </c>
      <c r="J297" s="5"/>
    </row>
    <row r="298" spans="1:18" x14ac:dyDescent="0.25">
      <c r="A298" t="s">
        <v>42</v>
      </c>
      <c r="B298">
        <v>0</v>
      </c>
      <c r="C298">
        <v>80</v>
      </c>
      <c r="D298">
        <v>720</v>
      </c>
      <c r="E298">
        <v>760</v>
      </c>
      <c r="F298">
        <v>0</v>
      </c>
      <c r="G298" s="1">
        <v>41487</v>
      </c>
      <c r="H298" s="1">
        <v>41487</v>
      </c>
      <c r="I298" s="1">
        <v>41760</v>
      </c>
      <c r="J298" s="5"/>
    </row>
    <row r="299" spans="1:18" x14ac:dyDescent="0.25">
      <c r="A299" t="s">
        <v>42</v>
      </c>
      <c r="B299">
        <v>0</v>
      </c>
      <c r="C299">
        <v>80</v>
      </c>
      <c r="D299">
        <v>680</v>
      </c>
      <c r="E299">
        <v>720</v>
      </c>
      <c r="F299">
        <v>0</v>
      </c>
      <c r="G299" s="1">
        <v>41487</v>
      </c>
      <c r="H299" s="1">
        <v>41487</v>
      </c>
      <c r="I299" s="1">
        <v>41760</v>
      </c>
      <c r="J299" s="5"/>
    </row>
    <row r="300" spans="1:18" x14ac:dyDescent="0.25">
      <c r="A300" t="s">
        <v>42</v>
      </c>
      <c r="B300">
        <v>0</v>
      </c>
      <c r="C300">
        <v>80</v>
      </c>
      <c r="D300">
        <v>620</v>
      </c>
      <c r="E300">
        <v>680</v>
      </c>
      <c r="F300">
        <v>0</v>
      </c>
      <c r="G300" s="1">
        <v>41487</v>
      </c>
      <c r="H300" s="1">
        <v>41487</v>
      </c>
      <c r="I300" s="1">
        <v>41760</v>
      </c>
      <c r="J300" s="5"/>
    </row>
    <row r="301" spans="1:18" x14ac:dyDescent="0.25">
      <c r="A301" t="s">
        <v>42</v>
      </c>
      <c r="B301">
        <v>0</v>
      </c>
      <c r="C301">
        <v>80</v>
      </c>
      <c r="D301">
        <v>300</v>
      </c>
      <c r="E301">
        <v>620</v>
      </c>
      <c r="G301" s="1">
        <v>41487</v>
      </c>
      <c r="H301" s="1">
        <v>41487</v>
      </c>
      <c r="I301" s="1">
        <v>41760</v>
      </c>
      <c r="J301" s="5"/>
    </row>
    <row r="302" spans="1:18" x14ac:dyDescent="0.25">
      <c r="A302" t="s">
        <v>45</v>
      </c>
      <c r="B302">
        <v>80</v>
      </c>
      <c r="C302">
        <v>999</v>
      </c>
      <c r="D302">
        <v>760</v>
      </c>
      <c r="E302">
        <v>999</v>
      </c>
      <c r="F302">
        <v>0</v>
      </c>
      <c r="G302" s="1">
        <v>41760</v>
      </c>
      <c r="H302" s="1">
        <v>41760</v>
      </c>
      <c r="I302" s="1">
        <v>42461</v>
      </c>
      <c r="J302" s="5"/>
      <c r="L302" s="1">
        <v>41760</v>
      </c>
      <c r="N302" t="s">
        <v>12</v>
      </c>
      <c r="O302" t="s">
        <v>13</v>
      </c>
      <c r="P302" t="s">
        <v>14</v>
      </c>
      <c r="Q302" t="s">
        <v>15</v>
      </c>
      <c r="R302" t="s">
        <v>16</v>
      </c>
    </row>
    <row r="303" spans="1:18" x14ac:dyDescent="0.25">
      <c r="A303" t="s">
        <v>45</v>
      </c>
      <c r="B303">
        <v>80</v>
      </c>
      <c r="C303">
        <v>999</v>
      </c>
      <c r="D303">
        <v>720</v>
      </c>
      <c r="E303">
        <v>760</v>
      </c>
      <c r="F303">
        <v>0</v>
      </c>
      <c r="G303" s="1">
        <v>41760</v>
      </c>
      <c r="H303" s="1">
        <v>41760</v>
      </c>
      <c r="I303" s="1">
        <v>42461</v>
      </c>
      <c r="J303" s="5"/>
      <c r="L303" t="s">
        <v>45</v>
      </c>
      <c r="M303" t="s">
        <v>38</v>
      </c>
      <c r="N303" s="9">
        <v>0</v>
      </c>
      <c r="O303" s="9">
        <v>0</v>
      </c>
      <c r="P303" s="9">
        <v>0</v>
      </c>
      <c r="Q303" s="9">
        <v>0</v>
      </c>
      <c r="R303" s="3" t="s">
        <v>18</v>
      </c>
    </row>
    <row r="304" spans="1:18" x14ac:dyDescent="0.25">
      <c r="A304" t="s">
        <v>45</v>
      </c>
      <c r="B304">
        <v>80</v>
      </c>
      <c r="C304">
        <v>999</v>
      </c>
      <c r="D304">
        <v>680</v>
      </c>
      <c r="E304">
        <v>720</v>
      </c>
      <c r="F304">
        <v>0</v>
      </c>
      <c r="G304" s="1">
        <v>41760</v>
      </c>
      <c r="H304" s="1">
        <v>41760</v>
      </c>
      <c r="I304" s="1">
        <v>42461</v>
      </c>
      <c r="J304" s="5"/>
      <c r="L304" t="s">
        <v>44</v>
      </c>
      <c r="M304" t="s">
        <v>38</v>
      </c>
      <c r="N304" s="9">
        <v>11.999999999999998</v>
      </c>
      <c r="O304" s="9">
        <v>14</v>
      </c>
      <c r="P304" s="9">
        <v>20</v>
      </c>
      <c r="Q304" s="9">
        <v>35</v>
      </c>
      <c r="R304" s="3" t="s">
        <v>18</v>
      </c>
    </row>
    <row r="305" spans="1:18" x14ac:dyDescent="0.25">
      <c r="A305" t="s">
        <v>45</v>
      </c>
      <c r="B305">
        <v>80</v>
      </c>
      <c r="C305">
        <v>999</v>
      </c>
      <c r="D305">
        <v>620</v>
      </c>
      <c r="E305">
        <v>680</v>
      </c>
      <c r="F305">
        <v>0</v>
      </c>
      <c r="G305" s="1">
        <v>41760</v>
      </c>
      <c r="H305" s="1">
        <v>41760</v>
      </c>
      <c r="I305" s="1">
        <v>42461</v>
      </c>
      <c r="J305" s="5"/>
      <c r="L305" t="s">
        <v>43</v>
      </c>
      <c r="M305" t="s">
        <v>38</v>
      </c>
      <c r="N305" s="9">
        <v>34</v>
      </c>
      <c r="O305" s="9">
        <v>38</v>
      </c>
      <c r="P305" s="9">
        <v>50</v>
      </c>
      <c r="Q305" s="9">
        <v>75</v>
      </c>
      <c r="R305" s="3" t="s">
        <v>18</v>
      </c>
    </row>
    <row r="306" spans="1:18" x14ac:dyDescent="0.25">
      <c r="A306" t="s">
        <v>45</v>
      </c>
      <c r="B306">
        <v>80</v>
      </c>
      <c r="C306">
        <v>999</v>
      </c>
      <c r="D306">
        <v>300</v>
      </c>
      <c r="E306">
        <v>620</v>
      </c>
      <c r="G306" s="1">
        <v>41760</v>
      </c>
      <c r="H306" s="1">
        <v>41760</v>
      </c>
      <c r="I306" s="1">
        <v>42461</v>
      </c>
      <c r="J306" s="5"/>
      <c r="L306" t="s">
        <v>42</v>
      </c>
      <c r="M306" t="s">
        <v>38</v>
      </c>
      <c r="N306" s="9">
        <v>0</v>
      </c>
      <c r="O306" s="9">
        <v>0</v>
      </c>
      <c r="P306" s="9">
        <v>0</v>
      </c>
      <c r="Q306" s="9">
        <v>0</v>
      </c>
      <c r="R306" s="3" t="s">
        <v>18</v>
      </c>
    </row>
    <row r="307" spans="1:18" x14ac:dyDescent="0.25">
      <c r="A307" t="s">
        <v>44</v>
      </c>
      <c r="B307">
        <v>80</v>
      </c>
      <c r="C307">
        <v>999</v>
      </c>
      <c r="D307">
        <v>760</v>
      </c>
      <c r="E307">
        <v>999</v>
      </c>
      <c r="F307">
        <v>12</v>
      </c>
      <c r="G307" s="1">
        <v>41760</v>
      </c>
      <c r="H307" s="1">
        <v>41760</v>
      </c>
      <c r="I307" s="1">
        <v>42461</v>
      </c>
      <c r="J307" s="5"/>
      <c r="L307" t="s">
        <v>45</v>
      </c>
      <c r="M307" t="s">
        <v>39</v>
      </c>
      <c r="N307" s="9">
        <v>0</v>
      </c>
      <c r="O307" s="9">
        <v>0</v>
      </c>
      <c r="P307" s="9">
        <v>0</v>
      </c>
      <c r="Q307" s="9">
        <v>0</v>
      </c>
      <c r="R307" s="3" t="s">
        <v>18</v>
      </c>
    </row>
    <row r="308" spans="1:18" x14ac:dyDescent="0.25">
      <c r="A308" t="s">
        <v>44</v>
      </c>
      <c r="B308">
        <v>80</v>
      </c>
      <c r="C308">
        <v>999</v>
      </c>
      <c r="D308">
        <v>720</v>
      </c>
      <c r="E308">
        <v>760</v>
      </c>
      <c r="F308">
        <v>14</v>
      </c>
      <c r="G308" s="1">
        <v>41760</v>
      </c>
      <c r="H308" s="1">
        <v>41760</v>
      </c>
      <c r="I308" s="1">
        <v>42461</v>
      </c>
      <c r="J308" s="5"/>
      <c r="L308" t="s">
        <v>44</v>
      </c>
      <c r="M308" t="s">
        <v>39</v>
      </c>
      <c r="N308" s="9">
        <v>0</v>
      </c>
      <c r="O308" s="9">
        <v>0</v>
      </c>
      <c r="P308" s="9">
        <v>0</v>
      </c>
      <c r="Q308" s="9">
        <v>0</v>
      </c>
      <c r="R308" s="3" t="s">
        <v>18</v>
      </c>
    </row>
    <row r="309" spans="1:18" x14ac:dyDescent="0.25">
      <c r="A309" t="s">
        <v>44</v>
      </c>
      <c r="B309">
        <v>80</v>
      </c>
      <c r="C309">
        <v>999</v>
      </c>
      <c r="D309">
        <v>680</v>
      </c>
      <c r="E309">
        <v>720</v>
      </c>
      <c r="F309">
        <v>20</v>
      </c>
      <c r="G309" s="1">
        <v>41760</v>
      </c>
      <c r="H309" s="1">
        <v>41760</v>
      </c>
      <c r="I309" s="1">
        <v>42461</v>
      </c>
      <c r="J309" s="5"/>
      <c r="L309" t="s">
        <v>43</v>
      </c>
      <c r="M309" t="s">
        <v>39</v>
      </c>
      <c r="N309" s="9">
        <v>0</v>
      </c>
      <c r="O309" s="9">
        <v>0</v>
      </c>
      <c r="P309" s="9">
        <v>0</v>
      </c>
      <c r="Q309" s="9">
        <v>0</v>
      </c>
      <c r="R309" s="3" t="s">
        <v>18</v>
      </c>
    </row>
    <row r="310" spans="1:18" x14ac:dyDescent="0.25">
      <c r="A310" t="s">
        <v>44</v>
      </c>
      <c r="B310">
        <v>80</v>
      </c>
      <c r="C310">
        <v>999</v>
      </c>
      <c r="D310">
        <v>620</v>
      </c>
      <c r="E310">
        <v>680</v>
      </c>
      <c r="F310">
        <v>35</v>
      </c>
      <c r="G310" s="1">
        <v>41760</v>
      </c>
      <c r="H310" s="1">
        <v>41760</v>
      </c>
      <c r="I310" s="1">
        <v>42461</v>
      </c>
      <c r="J310" s="5"/>
      <c r="L310" t="s">
        <v>42</v>
      </c>
      <c r="M310" t="s">
        <v>39</v>
      </c>
      <c r="N310" s="9">
        <v>0</v>
      </c>
      <c r="O310" s="9">
        <v>0</v>
      </c>
      <c r="P310" s="9">
        <v>0</v>
      </c>
      <c r="Q310" s="9">
        <v>0</v>
      </c>
      <c r="R310" s="3" t="s">
        <v>18</v>
      </c>
    </row>
    <row r="311" spans="1:18" x14ac:dyDescent="0.25">
      <c r="A311" t="s">
        <v>44</v>
      </c>
      <c r="B311">
        <v>80</v>
      </c>
      <c r="C311">
        <v>999</v>
      </c>
      <c r="D311">
        <v>300</v>
      </c>
      <c r="E311">
        <v>620</v>
      </c>
      <c r="G311" s="1">
        <v>41760</v>
      </c>
      <c r="H311" s="1">
        <v>41760</v>
      </c>
      <c r="I311" s="1">
        <v>42461</v>
      </c>
      <c r="J311" s="5"/>
    </row>
    <row r="312" spans="1:18" x14ac:dyDescent="0.25">
      <c r="A312" t="s">
        <v>43</v>
      </c>
      <c r="B312">
        <v>80</v>
      </c>
      <c r="C312">
        <v>999</v>
      </c>
      <c r="D312">
        <v>760</v>
      </c>
      <c r="E312">
        <v>999</v>
      </c>
      <c r="F312">
        <v>34</v>
      </c>
      <c r="G312" s="1">
        <v>41760</v>
      </c>
      <c r="H312" s="1">
        <v>41760</v>
      </c>
      <c r="I312" s="1">
        <v>42461</v>
      </c>
      <c r="J312" s="5"/>
    </row>
    <row r="313" spans="1:18" x14ac:dyDescent="0.25">
      <c r="A313" t="s">
        <v>43</v>
      </c>
      <c r="B313">
        <v>80</v>
      </c>
      <c r="C313">
        <v>999</v>
      </c>
      <c r="D313">
        <v>720</v>
      </c>
      <c r="E313">
        <v>760</v>
      </c>
      <c r="F313">
        <v>38</v>
      </c>
      <c r="G313" s="1">
        <v>41760</v>
      </c>
      <c r="H313" s="1">
        <v>41760</v>
      </c>
      <c r="I313" s="1">
        <v>42461</v>
      </c>
      <c r="J313" s="5"/>
    </row>
    <row r="314" spans="1:18" x14ac:dyDescent="0.25">
      <c r="A314" t="s">
        <v>43</v>
      </c>
      <c r="B314">
        <v>80</v>
      </c>
      <c r="C314">
        <v>999</v>
      </c>
      <c r="D314">
        <v>680</v>
      </c>
      <c r="E314">
        <v>720</v>
      </c>
      <c r="F314">
        <v>50</v>
      </c>
      <c r="G314" s="1">
        <v>41760</v>
      </c>
      <c r="H314" s="1">
        <v>41760</v>
      </c>
      <c r="I314" s="1">
        <v>42461</v>
      </c>
      <c r="J314" s="5"/>
    </row>
    <row r="315" spans="1:18" x14ac:dyDescent="0.25">
      <c r="A315" t="s">
        <v>43</v>
      </c>
      <c r="B315">
        <v>80</v>
      </c>
      <c r="C315">
        <v>999</v>
      </c>
      <c r="D315">
        <v>620</v>
      </c>
      <c r="E315">
        <v>680</v>
      </c>
      <c r="F315">
        <v>75</v>
      </c>
      <c r="G315" s="1">
        <v>41760</v>
      </c>
      <c r="H315" s="1">
        <v>41760</v>
      </c>
      <c r="I315" s="1">
        <v>42461</v>
      </c>
      <c r="J315" s="5"/>
      <c r="N315" s="9"/>
      <c r="O315" s="9"/>
      <c r="P315" s="9"/>
      <c r="Q315" s="9"/>
    </row>
    <row r="316" spans="1:18" x14ac:dyDescent="0.25">
      <c r="A316" t="s">
        <v>43</v>
      </c>
      <c r="B316">
        <v>80</v>
      </c>
      <c r="C316">
        <v>999</v>
      </c>
      <c r="D316">
        <v>300</v>
      </c>
      <c r="E316">
        <v>620</v>
      </c>
      <c r="G316" s="1">
        <v>41760</v>
      </c>
      <c r="H316" s="1">
        <v>41760</v>
      </c>
      <c r="I316" s="1">
        <v>42461</v>
      </c>
      <c r="J316" s="5"/>
      <c r="N316" s="9"/>
      <c r="O316" s="9"/>
      <c r="P316" s="9"/>
      <c r="Q316" s="9"/>
    </row>
    <row r="317" spans="1:18" x14ac:dyDescent="0.25">
      <c r="A317" t="s">
        <v>42</v>
      </c>
      <c r="B317">
        <v>80</v>
      </c>
      <c r="C317">
        <v>999</v>
      </c>
      <c r="D317">
        <v>760</v>
      </c>
      <c r="E317">
        <v>999</v>
      </c>
      <c r="F317">
        <v>0</v>
      </c>
      <c r="G317" s="1">
        <v>41760</v>
      </c>
      <c r="H317" s="1">
        <v>41760</v>
      </c>
      <c r="I317" s="1">
        <v>42461</v>
      </c>
      <c r="J317" s="5"/>
      <c r="N317" s="9"/>
      <c r="O317" s="9"/>
      <c r="P317" s="9"/>
      <c r="Q317" s="9"/>
    </row>
    <row r="318" spans="1:18" x14ac:dyDescent="0.25">
      <c r="A318" t="s">
        <v>42</v>
      </c>
      <c r="B318">
        <v>80</v>
      </c>
      <c r="C318">
        <v>999</v>
      </c>
      <c r="D318">
        <v>720</v>
      </c>
      <c r="E318">
        <v>760</v>
      </c>
      <c r="F318">
        <v>0</v>
      </c>
      <c r="G318" s="1">
        <v>41760</v>
      </c>
      <c r="H318" s="1">
        <v>41760</v>
      </c>
      <c r="I318" s="1">
        <v>42461</v>
      </c>
      <c r="J318" s="5"/>
      <c r="N318" s="9"/>
      <c r="O318" s="9"/>
      <c r="P318" s="9"/>
      <c r="Q318" s="9"/>
    </row>
    <row r="319" spans="1:18" x14ac:dyDescent="0.25">
      <c r="A319" t="s">
        <v>42</v>
      </c>
      <c r="B319">
        <v>80</v>
      </c>
      <c r="C319">
        <v>999</v>
      </c>
      <c r="D319">
        <v>680</v>
      </c>
      <c r="E319">
        <v>720</v>
      </c>
      <c r="F319">
        <v>0</v>
      </c>
      <c r="G319" s="1">
        <v>41760</v>
      </c>
      <c r="H319" s="1">
        <v>41760</v>
      </c>
      <c r="I319" s="1">
        <v>42461</v>
      </c>
      <c r="J319" s="5"/>
      <c r="N319" s="9"/>
      <c r="O319" s="9"/>
      <c r="P319" s="9"/>
      <c r="Q319" s="9"/>
    </row>
    <row r="320" spans="1:18" x14ac:dyDescent="0.25">
      <c r="A320" t="s">
        <v>42</v>
      </c>
      <c r="B320">
        <v>80</v>
      </c>
      <c r="C320">
        <v>999</v>
      </c>
      <c r="D320">
        <v>620</v>
      </c>
      <c r="E320">
        <v>680</v>
      </c>
      <c r="F320">
        <v>0</v>
      </c>
      <c r="G320" s="1">
        <v>41760</v>
      </c>
      <c r="H320" s="1">
        <v>41760</v>
      </c>
      <c r="I320" s="1">
        <v>42461</v>
      </c>
      <c r="J320" s="5"/>
      <c r="N320" s="9"/>
      <c r="O320" s="9"/>
      <c r="P320" s="9"/>
      <c r="Q320" s="9"/>
    </row>
    <row r="321" spans="1:17" x14ac:dyDescent="0.25">
      <c r="A321" t="s">
        <v>42</v>
      </c>
      <c r="B321">
        <v>80</v>
      </c>
      <c r="C321">
        <v>999</v>
      </c>
      <c r="D321">
        <v>300</v>
      </c>
      <c r="E321">
        <v>620</v>
      </c>
      <c r="G321" s="1">
        <v>41760</v>
      </c>
      <c r="H321" s="1">
        <v>41760</v>
      </c>
      <c r="I321" s="1">
        <v>42461</v>
      </c>
      <c r="J321" s="5"/>
      <c r="N321" s="9"/>
      <c r="O321" s="9"/>
      <c r="P321" s="9"/>
      <c r="Q321" s="9"/>
    </row>
    <row r="322" spans="1:17" x14ac:dyDescent="0.25">
      <c r="A322" t="s">
        <v>45</v>
      </c>
      <c r="B322">
        <v>0</v>
      </c>
      <c r="C322">
        <v>80</v>
      </c>
      <c r="D322">
        <v>760</v>
      </c>
      <c r="E322">
        <v>999</v>
      </c>
      <c r="F322">
        <v>0</v>
      </c>
      <c r="G322" s="1">
        <v>41760</v>
      </c>
      <c r="H322" s="1">
        <v>41760</v>
      </c>
      <c r="I322" s="1">
        <v>42461</v>
      </c>
      <c r="J322" s="5"/>
      <c r="N322" s="9"/>
      <c r="O322" s="9"/>
      <c r="P322" s="9"/>
      <c r="Q322" s="9"/>
    </row>
    <row r="323" spans="1:17" x14ac:dyDescent="0.25">
      <c r="A323" t="s">
        <v>45</v>
      </c>
      <c r="B323">
        <v>0</v>
      </c>
      <c r="C323">
        <v>80</v>
      </c>
      <c r="D323">
        <v>720</v>
      </c>
      <c r="E323">
        <v>760</v>
      </c>
      <c r="F323">
        <v>0</v>
      </c>
      <c r="G323" s="1">
        <v>41760</v>
      </c>
      <c r="H323" s="1">
        <v>41760</v>
      </c>
      <c r="I323" s="1">
        <v>42461</v>
      </c>
      <c r="J323" s="5"/>
    </row>
    <row r="324" spans="1:17" x14ac:dyDescent="0.25">
      <c r="A324" t="s">
        <v>45</v>
      </c>
      <c r="B324">
        <v>0</v>
      </c>
      <c r="C324">
        <v>80</v>
      </c>
      <c r="D324">
        <v>680</v>
      </c>
      <c r="E324">
        <v>720</v>
      </c>
      <c r="F324">
        <v>0</v>
      </c>
      <c r="G324" s="1">
        <v>41760</v>
      </c>
      <c r="H324" s="1">
        <v>41760</v>
      </c>
      <c r="I324" s="1">
        <v>42461</v>
      </c>
      <c r="J324" s="5"/>
    </row>
    <row r="325" spans="1:17" x14ac:dyDescent="0.25">
      <c r="A325" t="s">
        <v>45</v>
      </c>
      <c r="B325">
        <v>0</v>
      </c>
      <c r="C325">
        <v>80</v>
      </c>
      <c r="D325">
        <v>620</v>
      </c>
      <c r="E325">
        <v>680</v>
      </c>
      <c r="F325">
        <v>0</v>
      </c>
      <c r="G325" s="1">
        <v>41760</v>
      </c>
      <c r="H325" s="1">
        <v>41760</v>
      </c>
      <c r="I325" s="1">
        <v>42461</v>
      </c>
      <c r="J325" s="5"/>
    </row>
    <row r="326" spans="1:17" x14ac:dyDescent="0.25">
      <c r="A326" t="s">
        <v>45</v>
      </c>
      <c r="B326">
        <v>0</v>
      </c>
      <c r="C326">
        <v>80</v>
      </c>
      <c r="D326">
        <v>300</v>
      </c>
      <c r="E326">
        <v>620</v>
      </c>
      <c r="G326" s="1">
        <v>41760</v>
      </c>
      <c r="H326" s="1">
        <v>41760</v>
      </c>
      <c r="I326" s="1">
        <v>42461</v>
      </c>
      <c r="J326" s="5"/>
    </row>
    <row r="327" spans="1:17" x14ac:dyDescent="0.25">
      <c r="A327" t="s">
        <v>44</v>
      </c>
      <c r="B327">
        <v>0</v>
      </c>
      <c r="C327">
        <v>80</v>
      </c>
      <c r="D327">
        <v>760</v>
      </c>
      <c r="E327">
        <v>999</v>
      </c>
      <c r="F327">
        <v>0</v>
      </c>
      <c r="G327" s="1">
        <v>41760</v>
      </c>
      <c r="H327" s="1">
        <v>41760</v>
      </c>
      <c r="I327" s="1">
        <v>42461</v>
      </c>
      <c r="J327" s="5"/>
    </row>
    <row r="328" spans="1:17" x14ac:dyDescent="0.25">
      <c r="A328" t="s">
        <v>44</v>
      </c>
      <c r="B328">
        <v>0</v>
      </c>
      <c r="C328">
        <v>80</v>
      </c>
      <c r="D328">
        <v>720</v>
      </c>
      <c r="E328">
        <v>760</v>
      </c>
      <c r="F328">
        <v>0</v>
      </c>
      <c r="G328" s="1">
        <v>41760</v>
      </c>
      <c r="H328" s="1">
        <v>41760</v>
      </c>
      <c r="I328" s="1">
        <v>42461</v>
      </c>
      <c r="J328" s="5"/>
    </row>
    <row r="329" spans="1:17" x14ac:dyDescent="0.25">
      <c r="A329" t="s">
        <v>44</v>
      </c>
      <c r="B329">
        <v>0</v>
      </c>
      <c r="C329">
        <v>80</v>
      </c>
      <c r="D329">
        <v>680</v>
      </c>
      <c r="E329">
        <v>720</v>
      </c>
      <c r="F329">
        <v>0</v>
      </c>
      <c r="G329" s="1">
        <v>41760</v>
      </c>
      <c r="H329" s="1">
        <v>41760</v>
      </c>
      <c r="I329" s="1">
        <v>42461</v>
      </c>
      <c r="J329" s="5"/>
    </row>
    <row r="330" spans="1:17" x14ac:dyDescent="0.25">
      <c r="A330" t="s">
        <v>44</v>
      </c>
      <c r="B330">
        <v>0</v>
      </c>
      <c r="C330">
        <v>80</v>
      </c>
      <c r="D330">
        <v>620</v>
      </c>
      <c r="E330">
        <v>680</v>
      </c>
      <c r="F330">
        <v>0</v>
      </c>
      <c r="G330" s="1">
        <v>41760</v>
      </c>
      <c r="H330" s="1">
        <v>41760</v>
      </c>
      <c r="I330" s="1">
        <v>42461</v>
      </c>
      <c r="J330" s="5"/>
    </row>
    <row r="331" spans="1:17" x14ac:dyDescent="0.25">
      <c r="A331" t="s">
        <v>44</v>
      </c>
      <c r="B331">
        <v>0</v>
      </c>
      <c r="C331">
        <v>80</v>
      </c>
      <c r="D331">
        <v>300</v>
      </c>
      <c r="E331">
        <v>620</v>
      </c>
      <c r="G331" s="1">
        <v>41760</v>
      </c>
      <c r="H331" s="1">
        <v>41760</v>
      </c>
      <c r="I331" s="1">
        <v>42461</v>
      </c>
      <c r="J331" s="5"/>
    </row>
    <row r="332" spans="1:17" x14ac:dyDescent="0.25">
      <c r="A332" t="s">
        <v>43</v>
      </c>
      <c r="B332">
        <v>0</v>
      </c>
      <c r="C332">
        <v>80</v>
      </c>
      <c r="D332">
        <v>760</v>
      </c>
      <c r="E332">
        <v>999</v>
      </c>
      <c r="F332">
        <v>0</v>
      </c>
      <c r="G332" s="1">
        <v>41760</v>
      </c>
      <c r="H332" s="1">
        <v>41760</v>
      </c>
      <c r="I332" s="1">
        <v>42461</v>
      </c>
      <c r="J332" s="5"/>
    </row>
    <row r="333" spans="1:17" x14ac:dyDescent="0.25">
      <c r="A333" t="s">
        <v>43</v>
      </c>
      <c r="B333">
        <v>0</v>
      </c>
      <c r="C333">
        <v>80</v>
      </c>
      <c r="D333">
        <v>720</v>
      </c>
      <c r="E333">
        <v>760</v>
      </c>
      <c r="F333">
        <v>0</v>
      </c>
      <c r="G333" s="1">
        <v>41760</v>
      </c>
      <c r="H333" s="1">
        <v>41760</v>
      </c>
      <c r="I333" s="1">
        <v>42461</v>
      </c>
      <c r="J333" s="5"/>
    </row>
    <row r="334" spans="1:17" x14ac:dyDescent="0.25">
      <c r="A334" t="s">
        <v>43</v>
      </c>
      <c r="B334">
        <v>0</v>
      </c>
      <c r="C334">
        <v>80</v>
      </c>
      <c r="D334">
        <v>680</v>
      </c>
      <c r="E334">
        <v>720</v>
      </c>
      <c r="F334">
        <v>0</v>
      </c>
      <c r="G334" s="1">
        <v>41760</v>
      </c>
      <c r="H334" s="1">
        <v>41760</v>
      </c>
      <c r="I334" s="1">
        <v>42461</v>
      </c>
      <c r="J334" s="5"/>
    </row>
    <row r="335" spans="1:17" x14ac:dyDescent="0.25">
      <c r="A335" t="s">
        <v>43</v>
      </c>
      <c r="B335">
        <v>0</v>
      </c>
      <c r="C335">
        <v>80</v>
      </c>
      <c r="D335">
        <v>620</v>
      </c>
      <c r="E335">
        <v>680</v>
      </c>
      <c r="F335">
        <v>0</v>
      </c>
      <c r="G335" s="1">
        <v>41760</v>
      </c>
      <c r="H335" s="1">
        <v>41760</v>
      </c>
      <c r="I335" s="1">
        <v>42461</v>
      </c>
      <c r="J335" s="5"/>
    </row>
    <row r="336" spans="1:17" x14ac:dyDescent="0.25">
      <c r="A336" t="s">
        <v>43</v>
      </c>
      <c r="B336">
        <v>0</v>
      </c>
      <c r="C336">
        <v>80</v>
      </c>
      <c r="D336">
        <v>300</v>
      </c>
      <c r="E336">
        <v>620</v>
      </c>
      <c r="G336" s="1">
        <v>41760</v>
      </c>
      <c r="H336" s="1">
        <v>41760</v>
      </c>
      <c r="I336" s="1">
        <v>42461</v>
      </c>
      <c r="J336" s="5"/>
    </row>
    <row r="337" spans="1:10" x14ac:dyDescent="0.25">
      <c r="A337" t="s">
        <v>42</v>
      </c>
      <c r="B337">
        <v>0</v>
      </c>
      <c r="C337">
        <v>80</v>
      </c>
      <c r="D337">
        <v>760</v>
      </c>
      <c r="E337">
        <v>999</v>
      </c>
      <c r="F337">
        <v>0</v>
      </c>
      <c r="G337" s="1">
        <v>41760</v>
      </c>
      <c r="H337" s="1">
        <v>41760</v>
      </c>
      <c r="I337" s="1">
        <v>42461</v>
      </c>
      <c r="J337" s="5"/>
    </row>
    <row r="338" spans="1:10" x14ac:dyDescent="0.25">
      <c r="A338" t="s">
        <v>42</v>
      </c>
      <c r="B338">
        <v>0</v>
      </c>
      <c r="C338">
        <v>80</v>
      </c>
      <c r="D338">
        <v>720</v>
      </c>
      <c r="E338">
        <v>760</v>
      </c>
      <c r="F338">
        <v>0</v>
      </c>
      <c r="G338" s="1">
        <v>41760</v>
      </c>
      <c r="H338" s="1">
        <v>41760</v>
      </c>
      <c r="I338" s="1">
        <v>42461</v>
      </c>
      <c r="J338" s="5"/>
    </row>
    <row r="339" spans="1:10" x14ac:dyDescent="0.25">
      <c r="A339" t="s">
        <v>42</v>
      </c>
      <c r="B339">
        <v>0</v>
      </c>
      <c r="C339">
        <v>80</v>
      </c>
      <c r="D339">
        <v>680</v>
      </c>
      <c r="E339">
        <v>720</v>
      </c>
      <c r="F339">
        <v>0</v>
      </c>
      <c r="G339" s="1">
        <v>41760</v>
      </c>
      <c r="H339" s="1">
        <v>41760</v>
      </c>
      <c r="I339" s="1">
        <v>42461</v>
      </c>
      <c r="J339" s="5"/>
    </row>
    <row r="340" spans="1:10" x14ac:dyDescent="0.25">
      <c r="A340" t="s">
        <v>42</v>
      </c>
      <c r="B340">
        <v>0</v>
      </c>
      <c r="C340">
        <v>80</v>
      </c>
      <c r="D340">
        <v>620</v>
      </c>
      <c r="E340">
        <v>680</v>
      </c>
      <c r="F340">
        <v>0</v>
      </c>
      <c r="G340" s="1">
        <v>41760</v>
      </c>
      <c r="H340" s="1">
        <v>41760</v>
      </c>
      <c r="I340" s="1">
        <v>42461</v>
      </c>
      <c r="J340" s="5"/>
    </row>
    <row r="341" spans="1:10" x14ac:dyDescent="0.25">
      <c r="A341" t="s">
        <v>42</v>
      </c>
      <c r="B341">
        <v>0</v>
      </c>
      <c r="C341">
        <v>80</v>
      </c>
      <c r="D341">
        <v>300</v>
      </c>
      <c r="E341">
        <v>620</v>
      </c>
      <c r="G341" s="1">
        <v>41760</v>
      </c>
      <c r="H341" s="1">
        <v>41760</v>
      </c>
      <c r="I341" s="1">
        <v>42461</v>
      </c>
      <c r="J341" s="5"/>
    </row>
    <row r="342" spans="1:10" x14ac:dyDescent="0.25">
      <c r="A342" t="s">
        <v>45</v>
      </c>
      <c r="B342">
        <v>80</v>
      </c>
      <c r="C342">
        <v>999</v>
      </c>
      <c r="D342">
        <v>760</v>
      </c>
      <c r="E342">
        <v>999</v>
      </c>
      <c r="F342">
        <v>0</v>
      </c>
      <c r="G342" s="1">
        <v>42464</v>
      </c>
      <c r="H342" s="1">
        <v>42461</v>
      </c>
      <c r="I342" s="1">
        <v>73051</v>
      </c>
    </row>
    <row r="343" spans="1:10" x14ac:dyDescent="0.25">
      <c r="A343" t="s">
        <v>45</v>
      </c>
      <c r="B343">
        <v>80</v>
      </c>
      <c r="C343">
        <v>999</v>
      </c>
      <c r="D343">
        <v>740</v>
      </c>
      <c r="E343">
        <v>760</v>
      </c>
      <c r="F343">
        <v>0</v>
      </c>
      <c r="G343" s="1">
        <v>42464</v>
      </c>
      <c r="H343" s="1">
        <v>42461</v>
      </c>
      <c r="I343" s="1">
        <v>73051</v>
      </c>
    </row>
    <row r="344" spans="1:10" x14ac:dyDescent="0.25">
      <c r="A344" t="s">
        <v>45</v>
      </c>
      <c r="B344">
        <v>80</v>
      </c>
      <c r="C344">
        <v>999</v>
      </c>
      <c r="D344">
        <v>720</v>
      </c>
      <c r="E344">
        <v>740</v>
      </c>
      <c r="F344">
        <v>0</v>
      </c>
      <c r="G344" s="1">
        <v>42464</v>
      </c>
      <c r="H344" s="1">
        <v>42461</v>
      </c>
      <c r="I344" s="1">
        <v>73051</v>
      </c>
    </row>
    <row r="345" spans="1:10" x14ac:dyDescent="0.25">
      <c r="A345" t="s">
        <v>45</v>
      </c>
      <c r="B345">
        <v>80</v>
      </c>
      <c r="C345">
        <v>999</v>
      </c>
      <c r="D345">
        <v>700</v>
      </c>
      <c r="E345">
        <v>720</v>
      </c>
      <c r="F345">
        <v>0</v>
      </c>
      <c r="G345" s="1">
        <v>42464</v>
      </c>
      <c r="H345" s="1">
        <v>42461</v>
      </c>
      <c r="I345" s="1">
        <v>73051</v>
      </c>
    </row>
    <row r="346" spans="1:10" x14ac:dyDescent="0.25">
      <c r="A346" t="s">
        <v>45</v>
      </c>
      <c r="B346">
        <v>80</v>
      </c>
      <c r="C346">
        <v>999</v>
      </c>
      <c r="D346">
        <v>680</v>
      </c>
      <c r="E346">
        <v>700</v>
      </c>
      <c r="F346">
        <v>0</v>
      </c>
      <c r="G346" s="1">
        <v>42464</v>
      </c>
      <c r="H346" s="1">
        <v>42461</v>
      </c>
      <c r="I346" s="1">
        <v>73051</v>
      </c>
    </row>
    <row r="347" spans="1:10" x14ac:dyDescent="0.25">
      <c r="A347" t="s">
        <v>45</v>
      </c>
      <c r="B347">
        <v>80</v>
      </c>
      <c r="C347">
        <v>999</v>
      </c>
      <c r="D347">
        <v>660</v>
      </c>
      <c r="E347">
        <v>680</v>
      </c>
      <c r="F347">
        <v>0</v>
      </c>
      <c r="G347" s="1">
        <v>42464</v>
      </c>
      <c r="H347" s="1">
        <v>42461</v>
      </c>
      <c r="I347" s="1">
        <v>73051</v>
      </c>
    </row>
    <row r="348" spans="1:10" x14ac:dyDescent="0.25">
      <c r="A348" t="s">
        <v>45</v>
      </c>
      <c r="B348">
        <v>80</v>
      </c>
      <c r="C348">
        <v>999</v>
      </c>
      <c r="D348">
        <v>640</v>
      </c>
      <c r="E348">
        <v>660</v>
      </c>
      <c r="F348">
        <v>0</v>
      </c>
      <c r="G348" s="1">
        <v>42464</v>
      </c>
      <c r="H348" s="1">
        <v>42461</v>
      </c>
      <c r="I348" s="1">
        <v>73051</v>
      </c>
    </row>
    <row r="349" spans="1:10" x14ac:dyDescent="0.25">
      <c r="A349" t="s">
        <v>45</v>
      </c>
      <c r="B349">
        <v>80</v>
      </c>
      <c r="C349">
        <v>999</v>
      </c>
      <c r="D349">
        <v>620</v>
      </c>
      <c r="E349">
        <v>640</v>
      </c>
      <c r="F349">
        <v>0</v>
      </c>
      <c r="G349" s="1">
        <v>42464</v>
      </c>
      <c r="H349" s="1">
        <v>42461</v>
      </c>
      <c r="I349" s="1">
        <v>73051</v>
      </c>
    </row>
    <row r="350" spans="1:10" x14ac:dyDescent="0.25">
      <c r="A350" t="s">
        <v>45</v>
      </c>
      <c r="B350">
        <v>80</v>
      </c>
      <c r="C350">
        <v>999</v>
      </c>
      <c r="D350">
        <v>300</v>
      </c>
      <c r="E350">
        <v>620</v>
      </c>
      <c r="G350" s="1">
        <v>42464</v>
      </c>
      <c r="H350" s="1">
        <v>42461</v>
      </c>
      <c r="I350" s="1">
        <v>73051</v>
      </c>
    </row>
    <row r="351" spans="1:10" x14ac:dyDescent="0.25">
      <c r="A351" t="s">
        <v>44</v>
      </c>
      <c r="B351">
        <v>80</v>
      </c>
      <c r="C351">
        <v>999</v>
      </c>
      <c r="D351">
        <v>760</v>
      </c>
      <c r="E351">
        <v>999</v>
      </c>
      <c r="F351">
        <v>12</v>
      </c>
      <c r="G351" s="1">
        <v>42464</v>
      </c>
      <c r="H351" s="1">
        <v>42461</v>
      </c>
      <c r="I351" s="1">
        <v>73051</v>
      </c>
    </row>
    <row r="352" spans="1:10" x14ac:dyDescent="0.25">
      <c r="A352" t="s">
        <v>44</v>
      </c>
      <c r="B352">
        <v>80</v>
      </c>
      <c r="C352">
        <v>999</v>
      </c>
      <c r="D352">
        <v>740</v>
      </c>
      <c r="E352">
        <v>760</v>
      </c>
      <c r="F352">
        <v>13</v>
      </c>
      <c r="G352" s="1">
        <v>42464</v>
      </c>
      <c r="H352" s="1">
        <v>42461</v>
      </c>
      <c r="I352" s="1">
        <v>73051</v>
      </c>
    </row>
    <row r="353" spans="1:9" x14ac:dyDescent="0.25">
      <c r="A353" t="s">
        <v>44</v>
      </c>
      <c r="B353">
        <v>80</v>
      </c>
      <c r="C353">
        <v>999</v>
      </c>
      <c r="D353">
        <v>720</v>
      </c>
      <c r="E353">
        <v>740</v>
      </c>
      <c r="F353">
        <v>14</v>
      </c>
      <c r="G353" s="1">
        <v>42464</v>
      </c>
      <c r="H353" s="1">
        <v>42461</v>
      </c>
      <c r="I353" s="1">
        <v>73051</v>
      </c>
    </row>
    <row r="354" spans="1:9" x14ac:dyDescent="0.25">
      <c r="A354" t="s">
        <v>44</v>
      </c>
      <c r="B354">
        <v>80</v>
      </c>
      <c r="C354">
        <v>999</v>
      </c>
      <c r="D354">
        <v>700</v>
      </c>
      <c r="E354">
        <v>720</v>
      </c>
      <c r="F354">
        <v>17</v>
      </c>
      <c r="G354" s="1">
        <v>42464</v>
      </c>
      <c r="H354" s="1">
        <v>42461</v>
      </c>
      <c r="I354" s="1">
        <v>73051</v>
      </c>
    </row>
    <row r="355" spans="1:9" x14ac:dyDescent="0.25">
      <c r="A355" t="s">
        <v>44</v>
      </c>
      <c r="B355">
        <v>80</v>
      </c>
      <c r="C355">
        <v>999</v>
      </c>
      <c r="D355">
        <v>680</v>
      </c>
      <c r="E355">
        <v>700</v>
      </c>
      <c r="F355">
        <v>20</v>
      </c>
      <c r="G355" s="1">
        <v>42464</v>
      </c>
      <c r="H355" s="1">
        <v>42461</v>
      </c>
      <c r="I355" s="1">
        <v>73051</v>
      </c>
    </row>
    <row r="356" spans="1:9" x14ac:dyDescent="0.25">
      <c r="A356" t="s">
        <v>44</v>
      </c>
      <c r="B356">
        <v>80</v>
      </c>
      <c r="C356">
        <v>999</v>
      </c>
      <c r="D356">
        <v>660</v>
      </c>
      <c r="E356">
        <v>680</v>
      </c>
      <c r="F356">
        <v>35</v>
      </c>
      <c r="G356" s="1">
        <v>42464</v>
      </c>
      <c r="H356" s="1">
        <v>42461</v>
      </c>
      <c r="I356" s="1">
        <v>73051</v>
      </c>
    </row>
    <row r="357" spans="1:9" x14ac:dyDescent="0.25">
      <c r="A357" t="s">
        <v>44</v>
      </c>
      <c r="B357">
        <v>80</v>
      </c>
      <c r="C357">
        <v>999</v>
      </c>
      <c r="D357">
        <v>640</v>
      </c>
      <c r="E357">
        <v>660</v>
      </c>
      <c r="F357">
        <v>40</v>
      </c>
      <c r="G357" s="1">
        <v>42464</v>
      </c>
      <c r="H357" s="1">
        <v>42461</v>
      </c>
      <c r="I357" s="1">
        <v>73051</v>
      </c>
    </row>
    <row r="358" spans="1:9" x14ac:dyDescent="0.25">
      <c r="A358" t="s">
        <v>44</v>
      </c>
      <c r="B358">
        <v>80</v>
      </c>
      <c r="C358">
        <v>999</v>
      </c>
      <c r="D358">
        <v>620</v>
      </c>
      <c r="E358">
        <v>640</v>
      </c>
      <c r="F358">
        <v>45</v>
      </c>
      <c r="G358" s="1">
        <v>42464</v>
      </c>
      <c r="H358" s="1">
        <v>42461</v>
      </c>
      <c r="I358" s="1">
        <v>73051</v>
      </c>
    </row>
    <row r="359" spans="1:9" x14ac:dyDescent="0.25">
      <c r="A359" t="s">
        <v>44</v>
      </c>
      <c r="B359">
        <v>80</v>
      </c>
      <c r="C359">
        <v>999</v>
      </c>
      <c r="D359">
        <v>300</v>
      </c>
      <c r="E359">
        <v>620</v>
      </c>
      <c r="G359" s="1">
        <v>42464</v>
      </c>
      <c r="H359" s="1">
        <v>42461</v>
      </c>
      <c r="I359" s="1">
        <v>73051</v>
      </c>
    </row>
    <row r="360" spans="1:9" x14ac:dyDescent="0.25">
      <c r="A360" t="s">
        <v>43</v>
      </c>
      <c r="B360">
        <v>80</v>
      </c>
      <c r="C360">
        <v>999</v>
      </c>
      <c r="D360">
        <v>760</v>
      </c>
      <c r="E360">
        <v>999</v>
      </c>
      <c r="F360">
        <v>34</v>
      </c>
      <c r="G360" s="1">
        <v>42464</v>
      </c>
      <c r="H360" s="1">
        <v>42461</v>
      </c>
      <c r="I360" s="1">
        <v>73051</v>
      </c>
    </row>
    <row r="361" spans="1:9" x14ac:dyDescent="0.25">
      <c r="A361" t="s">
        <v>43</v>
      </c>
      <c r="B361">
        <v>80</v>
      </c>
      <c r="C361">
        <v>999</v>
      </c>
      <c r="D361">
        <v>740</v>
      </c>
      <c r="E361">
        <v>760</v>
      </c>
      <c r="F361">
        <v>38</v>
      </c>
      <c r="G361" s="1">
        <v>42464</v>
      </c>
      <c r="H361" s="1">
        <v>42461</v>
      </c>
      <c r="I361" s="1">
        <v>73051</v>
      </c>
    </row>
    <row r="362" spans="1:9" x14ac:dyDescent="0.25">
      <c r="A362" t="s">
        <v>43</v>
      </c>
      <c r="B362">
        <v>80</v>
      </c>
      <c r="C362">
        <v>999</v>
      </c>
      <c r="D362">
        <v>720</v>
      </c>
      <c r="E362">
        <v>740</v>
      </c>
      <c r="F362">
        <v>38</v>
      </c>
      <c r="G362" s="1">
        <v>42464</v>
      </c>
      <c r="H362" s="1">
        <v>42461</v>
      </c>
      <c r="I362" s="1">
        <v>73051</v>
      </c>
    </row>
    <row r="363" spans="1:9" x14ac:dyDescent="0.25">
      <c r="A363" t="s">
        <v>43</v>
      </c>
      <c r="B363">
        <v>80</v>
      </c>
      <c r="C363">
        <v>999</v>
      </c>
      <c r="D363">
        <v>700</v>
      </c>
      <c r="E363">
        <v>720</v>
      </c>
      <c r="F363">
        <v>47</v>
      </c>
      <c r="G363" s="1">
        <v>42464</v>
      </c>
      <c r="H363" s="1">
        <v>42461</v>
      </c>
      <c r="I363" s="1">
        <v>73051</v>
      </c>
    </row>
    <row r="364" spans="1:9" x14ac:dyDescent="0.25">
      <c r="A364" t="s">
        <v>43</v>
      </c>
      <c r="B364">
        <v>80</v>
      </c>
      <c r="C364">
        <v>999</v>
      </c>
      <c r="D364">
        <v>680</v>
      </c>
      <c r="E364">
        <v>700</v>
      </c>
      <c r="F364">
        <v>50</v>
      </c>
      <c r="G364" s="1">
        <v>42464</v>
      </c>
      <c r="H364" s="1">
        <v>42461</v>
      </c>
      <c r="I364" s="1">
        <v>73051</v>
      </c>
    </row>
    <row r="365" spans="1:9" x14ac:dyDescent="0.25">
      <c r="A365" t="s">
        <v>43</v>
      </c>
      <c r="B365">
        <v>80</v>
      </c>
      <c r="C365">
        <v>999</v>
      </c>
      <c r="D365">
        <v>660</v>
      </c>
      <c r="E365">
        <v>680</v>
      </c>
      <c r="F365">
        <v>57</v>
      </c>
      <c r="G365" s="1">
        <v>42464</v>
      </c>
      <c r="H365" s="1">
        <v>42461</v>
      </c>
      <c r="I365" s="1">
        <v>73051</v>
      </c>
    </row>
    <row r="366" spans="1:9" x14ac:dyDescent="0.25">
      <c r="A366" t="s">
        <v>43</v>
      </c>
      <c r="B366">
        <v>80</v>
      </c>
      <c r="C366">
        <v>999</v>
      </c>
      <c r="D366">
        <v>640</v>
      </c>
      <c r="E366">
        <v>660</v>
      </c>
      <c r="F366">
        <v>65</v>
      </c>
      <c r="G366" s="1">
        <v>42464</v>
      </c>
      <c r="H366" s="1">
        <v>42461</v>
      </c>
      <c r="I366" s="1">
        <v>73051</v>
      </c>
    </row>
    <row r="367" spans="1:9" x14ac:dyDescent="0.25">
      <c r="A367" t="s">
        <v>43</v>
      </c>
      <c r="B367">
        <v>80</v>
      </c>
      <c r="C367">
        <v>999</v>
      </c>
      <c r="D367">
        <v>620</v>
      </c>
      <c r="E367">
        <v>640</v>
      </c>
      <c r="F367">
        <v>75</v>
      </c>
      <c r="G367" s="1">
        <v>42464</v>
      </c>
      <c r="H367" s="1">
        <v>42461</v>
      </c>
      <c r="I367" s="1">
        <v>73051</v>
      </c>
    </row>
    <row r="368" spans="1:9" x14ac:dyDescent="0.25">
      <c r="A368" t="s">
        <v>43</v>
      </c>
      <c r="B368">
        <v>80</v>
      </c>
      <c r="C368">
        <v>999</v>
      </c>
      <c r="D368">
        <v>300</v>
      </c>
      <c r="E368">
        <v>620</v>
      </c>
      <c r="G368" s="1">
        <v>42464</v>
      </c>
      <c r="H368" s="1">
        <v>42461</v>
      </c>
      <c r="I368" s="1">
        <v>73051</v>
      </c>
    </row>
    <row r="369" spans="1:9" x14ac:dyDescent="0.25">
      <c r="A369" t="s">
        <v>58</v>
      </c>
      <c r="B369">
        <v>80</v>
      </c>
      <c r="C369">
        <v>999</v>
      </c>
      <c r="D369">
        <v>760</v>
      </c>
      <c r="E369">
        <v>999</v>
      </c>
      <c r="F369">
        <v>0</v>
      </c>
      <c r="G369" s="1">
        <v>42464</v>
      </c>
      <c r="H369" s="1">
        <v>42461</v>
      </c>
      <c r="I369" s="1">
        <v>73051</v>
      </c>
    </row>
    <row r="370" spans="1:9" x14ac:dyDescent="0.25">
      <c r="A370" t="s">
        <v>58</v>
      </c>
      <c r="B370">
        <v>80</v>
      </c>
      <c r="C370">
        <v>999</v>
      </c>
      <c r="D370">
        <v>740</v>
      </c>
      <c r="E370">
        <v>760</v>
      </c>
      <c r="F370">
        <v>0</v>
      </c>
      <c r="G370" s="1">
        <v>42464</v>
      </c>
      <c r="H370" s="1">
        <v>42461</v>
      </c>
      <c r="I370" s="1">
        <v>73051</v>
      </c>
    </row>
    <row r="371" spans="1:9" x14ac:dyDescent="0.25">
      <c r="A371" t="s">
        <v>58</v>
      </c>
      <c r="B371">
        <v>80</v>
      </c>
      <c r="C371">
        <v>999</v>
      </c>
      <c r="D371">
        <v>720</v>
      </c>
      <c r="E371">
        <v>740</v>
      </c>
      <c r="F371">
        <v>0</v>
      </c>
      <c r="G371" s="1">
        <v>42464</v>
      </c>
      <c r="H371" s="1">
        <v>42461</v>
      </c>
      <c r="I371" s="1">
        <v>73051</v>
      </c>
    </row>
    <row r="372" spans="1:9" x14ac:dyDescent="0.25">
      <c r="A372" t="s">
        <v>58</v>
      </c>
      <c r="B372">
        <v>80</v>
      </c>
      <c r="C372">
        <v>999</v>
      </c>
      <c r="D372">
        <v>700</v>
      </c>
      <c r="E372">
        <v>720</v>
      </c>
      <c r="F372">
        <v>0</v>
      </c>
      <c r="G372" s="1">
        <v>42464</v>
      </c>
      <c r="H372" s="1">
        <v>42461</v>
      </c>
      <c r="I372" s="1">
        <v>73051</v>
      </c>
    </row>
    <row r="373" spans="1:9" x14ac:dyDescent="0.25">
      <c r="A373" t="s">
        <v>58</v>
      </c>
      <c r="B373">
        <v>80</v>
      </c>
      <c r="C373">
        <v>999</v>
      </c>
      <c r="D373">
        <v>680</v>
      </c>
      <c r="E373">
        <v>700</v>
      </c>
      <c r="F373">
        <v>0</v>
      </c>
      <c r="G373" s="1">
        <v>42464</v>
      </c>
      <c r="H373" s="1">
        <v>42461</v>
      </c>
      <c r="I373" s="1">
        <v>73051</v>
      </c>
    </row>
    <row r="374" spans="1:9" x14ac:dyDescent="0.25">
      <c r="A374" t="s">
        <v>58</v>
      </c>
      <c r="B374">
        <v>80</v>
      </c>
      <c r="C374">
        <v>999</v>
      </c>
      <c r="D374">
        <v>660</v>
      </c>
      <c r="E374">
        <v>680</v>
      </c>
      <c r="F374">
        <v>0</v>
      </c>
      <c r="G374" s="1">
        <v>42464</v>
      </c>
      <c r="H374" s="1">
        <v>42461</v>
      </c>
      <c r="I374" s="1">
        <v>73051</v>
      </c>
    </row>
    <row r="375" spans="1:9" x14ac:dyDescent="0.25">
      <c r="A375" t="s">
        <v>58</v>
      </c>
      <c r="B375">
        <v>80</v>
      </c>
      <c r="C375">
        <v>999</v>
      </c>
      <c r="D375">
        <v>640</v>
      </c>
      <c r="E375">
        <v>660</v>
      </c>
      <c r="F375">
        <v>0</v>
      </c>
      <c r="G375" s="1">
        <v>42464</v>
      </c>
      <c r="H375" s="1">
        <v>42461</v>
      </c>
      <c r="I375" s="1">
        <v>73051</v>
      </c>
    </row>
    <row r="376" spans="1:9" x14ac:dyDescent="0.25">
      <c r="A376" t="s">
        <v>58</v>
      </c>
      <c r="B376">
        <v>80</v>
      </c>
      <c r="C376">
        <v>999</v>
      </c>
      <c r="D376">
        <v>620</v>
      </c>
      <c r="E376">
        <v>640</v>
      </c>
      <c r="F376">
        <v>0</v>
      </c>
      <c r="G376" s="1">
        <v>42464</v>
      </c>
      <c r="H376" s="1">
        <v>42461</v>
      </c>
      <c r="I376" s="1">
        <v>73051</v>
      </c>
    </row>
    <row r="377" spans="1:9" x14ac:dyDescent="0.25">
      <c r="A377" t="s">
        <v>58</v>
      </c>
      <c r="B377">
        <v>80</v>
      </c>
      <c r="C377">
        <v>999</v>
      </c>
      <c r="D377">
        <v>300</v>
      </c>
      <c r="E377">
        <v>620</v>
      </c>
      <c r="G377" s="1">
        <v>42464</v>
      </c>
      <c r="H377" s="1">
        <v>42461</v>
      </c>
      <c r="I377" s="1">
        <v>73051</v>
      </c>
    </row>
    <row r="378" spans="1:9" x14ac:dyDescent="0.25">
      <c r="A378" t="s">
        <v>45</v>
      </c>
      <c r="B378">
        <v>0</v>
      </c>
      <c r="C378">
        <v>80</v>
      </c>
      <c r="D378">
        <v>760</v>
      </c>
      <c r="E378">
        <v>999</v>
      </c>
      <c r="F378">
        <v>0</v>
      </c>
      <c r="G378" s="1">
        <v>42464</v>
      </c>
      <c r="H378" s="1">
        <v>42461</v>
      </c>
      <c r="I378" s="1">
        <v>73051</v>
      </c>
    </row>
    <row r="379" spans="1:9" x14ac:dyDescent="0.25">
      <c r="A379" t="s">
        <v>45</v>
      </c>
      <c r="B379">
        <v>0</v>
      </c>
      <c r="C379">
        <v>80</v>
      </c>
      <c r="D379">
        <v>740</v>
      </c>
      <c r="E379">
        <v>760</v>
      </c>
      <c r="F379">
        <v>0</v>
      </c>
      <c r="G379" s="1">
        <v>42464</v>
      </c>
      <c r="H379" s="1">
        <v>42461</v>
      </c>
      <c r="I379" s="1">
        <v>73051</v>
      </c>
    </row>
    <row r="380" spans="1:9" x14ac:dyDescent="0.25">
      <c r="A380" t="s">
        <v>45</v>
      </c>
      <c r="B380">
        <v>0</v>
      </c>
      <c r="C380">
        <v>80</v>
      </c>
      <c r="D380">
        <v>720</v>
      </c>
      <c r="E380">
        <v>740</v>
      </c>
      <c r="F380">
        <v>0</v>
      </c>
      <c r="G380" s="1">
        <v>42464</v>
      </c>
      <c r="H380" s="1">
        <v>42461</v>
      </c>
      <c r="I380" s="1">
        <v>73051</v>
      </c>
    </row>
    <row r="381" spans="1:9" x14ac:dyDescent="0.25">
      <c r="A381" t="s">
        <v>45</v>
      </c>
      <c r="B381">
        <v>0</v>
      </c>
      <c r="C381">
        <v>80</v>
      </c>
      <c r="D381">
        <v>700</v>
      </c>
      <c r="E381">
        <v>720</v>
      </c>
      <c r="F381">
        <v>0</v>
      </c>
      <c r="G381" s="1">
        <v>42464</v>
      </c>
      <c r="H381" s="1">
        <v>42461</v>
      </c>
      <c r="I381" s="1">
        <v>73051</v>
      </c>
    </row>
    <row r="382" spans="1:9" x14ac:dyDescent="0.25">
      <c r="A382" t="s">
        <v>45</v>
      </c>
      <c r="B382">
        <v>0</v>
      </c>
      <c r="C382">
        <v>80</v>
      </c>
      <c r="D382">
        <v>680</v>
      </c>
      <c r="E382">
        <v>700</v>
      </c>
      <c r="F382">
        <v>0</v>
      </c>
      <c r="G382" s="1">
        <v>42464</v>
      </c>
      <c r="H382" s="1">
        <v>42461</v>
      </c>
      <c r="I382" s="1">
        <v>73051</v>
      </c>
    </row>
    <row r="383" spans="1:9" x14ac:dyDescent="0.25">
      <c r="A383" t="s">
        <v>45</v>
      </c>
      <c r="B383">
        <v>0</v>
      </c>
      <c r="C383">
        <v>80</v>
      </c>
      <c r="D383">
        <v>660</v>
      </c>
      <c r="E383">
        <v>680</v>
      </c>
      <c r="F383">
        <v>0</v>
      </c>
      <c r="G383" s="1">
        <v>42464</v>
      </c>
      <c r="H383" s="1">
        <v>42461</v>
      </c>
      <c r="I383" s="1">
        <v>73051</v>
      </c>
    </row>
    <row r="384" spans="1:9" x14ac:dyDescent="0.25">
      <c r="A384" t="s">
        <v>45</v>
      </c>
      <c r="B384">
        <v>0</v>
      </c>
      <c r="C384">
        <v>80</v>
      </c>
      <c r="D384">
        <v>640</v>
      </c>
      <c r="E384">
        <v>660</v>
      </c>
      <c r="F384">
        <v>0</v>
      </c>
      <c r="G384" s="1">
        <v>42464</v>
      </c>
      <c r="H384" s="1">
        <v>42461</v>
      </c>
      <c r="I384" s="1">
        <v>73051</v>
      </c>
    </row>
    <row r="385" spans="1:9" x14ac:dyDescent="0.25">
      <c r="A385" t="s">
        <v>45</v>
      </c>
      <c r="B385">
        <v>0</v>
      </c>
      <c r="C385">
        <v>80</v>
      </c>
      <c r="D385">
        <v>620</v>
      </c>
      <c r="E385">
        <v>640</v>
      </c>
      <c r="F385">
        <v>0</v>
      </c>
      <c r="G385" s="1">
        <v>42464</v>
      </c>
      <c r="H385" s="1">
        <v>42461</v>
      </c>
      <c r="I385" s="1">
        <v>73051</v>
      </c>
    </row>
    <row r="386" spans="1:9" x14ac:dyDescent="0.25">
      <c r="A386" t="s">
        <v>45</v>
      </c>
      <c r="B386">
        <v>0</v>
      </c>
      <c r="C386">
        <v>80</v>
      </c>
      <c r="D386">
        <v>300</v>
      </c>
      <c r="E386">
        <v>620</v>
      </c>
      <c r="G386" s="1">
        <v>42464</v>
      </c>
      <c r="H386" s="1">
        <v>42461</v>
      </c>
      <c r="I386" s="1">
        <v>73051</v>
      </c>
    </row>
    <row r="387" spans="1:9" x14ac:dyDescent="0.25">
      <c r="A387" t="s">
        <v>44</v>
      </c>
      <c r="B387">
        <v>0</v>
      </c>
      <c r="C387">
        <v>80</v>
      </c>
      <c r="D387">
        <v>760</v>
      </c>
      <c r="E387">
        <v>999</v>
      </c>
      <c r="F387">
        <v>0</v>
      </c>
      <c r="G387" s="1">
        <v>42464</v>
      </c>
      <c r="H387" s="1">
        <v>42461</v>
      </c>
      <c r="I387" s="1">
        <v>73051</v>
      </c>
    </row>
    <row r="388" spans="1:9" x14ac:dyDescent="0.25">
      <c r="A388" t="s">
        <v>44</v>
      </c>
      <c r="B388">
        <v>0</v>
      </c>
      <c r="C388">
        <v>80</v>
      </c>
      <c r="D388">
        <v>740</v>
      </c>
      <c r="E388">
        <v>760</v>
      </c>
      <c r="F388">
        <v>0</v>
      </c>
      <c r="G388" s="1">
        <v>42464</v>
      </c>
      <c r="H388" s="1">
        <v>42461</v>
      </c>
      <c r="I388" s="1">
        <v>73051</v>
      </c>
    </row>
    <row r="389" spans="1:9" x14ac:dyDescent="0.25">
      <c r="A389" t="s">
        <v>44</v>
      </c>
      <c r="B389">
        <v>0</v>
      </c>
      <c r="C389">
        <v>80</v>
      </c>
      <c r="D389">
        <v>720</v>
      </c>
      <c r="E389">
        <v>740</v>
      </c>
      <c r="F389">
        <v>0</v>
      </c>
      <c r="G389" s="1">
        <v>42464</v>
      </c>
      <c r="H389" s="1">
        <v>42461</v>
      </c>
      <c r="I389" s="1">
        <v>73051</v>
      </c>
    </row>
    <row r="390" spans="1:9" x14ac:dyDescent="0.25">
      <c r="A390" t="s">
        <v>44</v>
      </c>
      <c r="B390">
        <v>0</v>
      </c>
      <c r="C390">
        <v>80</v>
      </c>
      <c r="D390">
        <v>700</v>
      </c>
      <c r="E390">
        <v>720</v>
      </c>
      <c r="F390">
        <v>0</v>
      </c>
      <c r="G390" s="1">
        <v>42464</v>
      </c>
      <c r="H390" s="1">
        <v>42461</v>
      </c>
      <c r="I390" s="1">
        <v>73051</v>
      </c>
    </row>
    <row r="391" spans="1:9" x14ac:dyDescent="0.25">
      <c r="A391" t="s">
        <v>44</v>
      </c>
      <c r="B391">
        <v>0</v>
      </c>
      <c r="C391">
        <v>80</v>
      </c>
      <c r="D391">
        <v>680</v>
      </c>
      <c r="E391">
        <v>700</v>
      </c>
      <c r="F391">
        <v>0</v>
      </c>
      <c r="G391" s="1">
        <v>42464</v>
      </c>
      <c r="H391" s="1">
        <v>42461</v>
      </c>
      <c r="I391" s="1">
        <v>73051</v>
      </c>
    </row>
    <row r="392" spans="1:9" x14ac:dyDescent="0.25">
      <c r="A392" t="s">
        <v>44</v>
      </c>
      <c r="B392">
        <v>0</v>
      </c>
      <c r="C392">
        <v>80</v>
      </c>
      <c r="D392">
        <v>660</v>
      </c>
      <c r="E392">
        <v>680</v>
      </c>
      <c r="F392">
        <v>0</v>
      </c>
      <c r="G392" s="1">
        <v>42464</v>
      </c>
      <c r="H392" s="1">
        <v>42461</v>
      </c>
      <c r="I392" s="1">
        <v>73051</v>
      </c>
    </row>
    <row r="393" spans="1:9" x14ac:dyDescent="0.25">
      <c r="A393" t="s">
        <v>44</v>
      </c>
      <c r="B393">
        <v>0</v>
      </c>
      <c r="C393">
        <v>80</v>
      </c>
      <c r="D393">
        <v>640</v>
      </c>
      <c r="E393">
        <v>660</v>
      </c>
      <c r="F393">
        <v>0</v>
      </c>
      <c r="G393" s="1">
        <v>42464</v>
      </c>
      <c r="H393" s="1">
        <v>42461</v>
      </c>
      <c r="I393" s="1">
        <v>73051</v>
      </c>
    </row>
    <row r="394" spans="1:9" x14ac:dyDescent="0.25">
      <c r="A394" t="s">
        <v>44</v>
      </c>
      <c r="B394">
        <v>0</v>
      </c>
      <c r="C394">
        <v>80</v>
      </c>
      <c r="D394">
        <v>620</v>
      </c>
      <c r="E394">
        <v>640</v>
      </c>
      <c r="F394">
        <v>0</v>
      </c>
      <c r="G394" s="1">
        <v>42464</v>
      </c>
      <c r="H394" s="1">
        <v>42461</v>
      </c>
      <c r="I394" s="1">
        <v>73051</v>
      </c>
    </row>
    <row r="395" spans="1:9" x14ac:dyDescent="0.25">
      <c r="A395" t="s">
        <v>44</v>
      </c>
      <c r="B395">
        <v>0</v>
      </c>
      <c r="C395">
        <v>80</v>
      </c>
      <c r="D395">
        <v>300</v>
      </c>
      <c r="E395">
        <v>620</v>
      </c>
      <c r="G395" s="1">
        <v>42464</v>
      </c>
      <c r="H395" s="1">
        <v>42461</v>
      </c>
      <c r="I395" s="1">
        <v>73051</v>
      </c>
    </row>
    <row r="396" spans="1:9" x14ac:dyDescent="0.25">
      <c r="A396" t="s">
        <v>43</v>
      </c>
      <c r="B396">
        <v>0</v>
      </c>
      <c r="C396">
        <v>80</v>
      </c>
      <c r="D396">
        <v>760</v>
      </c>
      <c r="E396">
        <v>999</v>
      </c>
      <c r="F396">
        <v>0</v>
      </c>
      <c r="G396" s="1">
        <v>42464</v>
      </c>
      <c r="H396" s="1">
        <v>42461</v>
      </c>
      <c r="I396" s="1">
        <v>73051</v>
      </c>
    </row>
    <row r="397" spans="1:9" x14ac:dyDescent="0.25">
      <c r="A397" t="s">
        <v>43</v>
      </c>
      <c r="B397">
        <v>0</v>
      </c>
      <c r="C397">
        <v>80</v>
      </c>
      <c r="D397">
        <v>740</v>
      </c>
      <c r="E397">
        <v>760</v>
      </c>
      <c r="F397">
        <v>0</v>
      </c>
      <c r="G397" s="1">
        <v>42464</v>
      </c>
      <c r="H397" s="1">
        <v>42461</v>
      </c>
      <c r="I397" s="1">
        <v>73051</v>
      </c>
    </row>
    <row r="398" spans="1:9" x14ac:dyDescent="0.25">
      <c r="A398" t="s">
        <v>43</v>
      </c>
      <c r="B398">
        <v>0</v>
      </c>
      <c r="C398">
        <v>80</v>
      </c>
      <c r="D398">
        <v>720</v>
      </c>
      <c r="E398">
        <v>740</v>
      </c>
      <c r="F398">
        <v>0</v>
      </c>
      <c r="G398" s="1">
        <v>42464</v>
      </c>
      <c r="H398" s="1">
        <v>42461</v>
      </c>
      <c r="I398" s="1">
        <v>73051</v>
      </c>
    </row>
    <row r="399" spans="1:9" x14ac:dyDescent="0.25">
      <c r="A399" t="s">
        <v>43</v>
      </c>
      <c r="B399">
        <v>0</v>
      </c>
      <c r="C399">
        <v>80</v>
      </c>
      <c r="D399">
        <v>700</v>
      </c>
      <c r="E399">
        <v>720</v>
      </c>
      <c r="F399">
        <v>0</v>
      </c>
      <c r="G399" s="1">
        <v>42464</v>
      </c>
      <c r="H399" s="1">
        <v>42461</v>
      </c>
      <c r="I399" s="1">
        <v>73051</v>
      </c>
    </row>
    <row r="400" spans="1:9" x14ac:dyDescent="0.25">
      <c r="A400" t="s">
        <v>43</v>
      </c>
      <c r="B400">
        <v>0</v>
      </c>
      <c r="C400">
        <v>80</v>
      </c>
      <c r="D400">
        <v>680</v>
      </c>
      <c r="E400">
        <v>700</v>
      </c>
      <c r="F400">
        <v>0</v>
      </c>
      <c r="G400" s="1">
        <v>42464</v>
      </c>
      <c r="H400" s="1">
        <v>42461</v>
      </c>
      <c r="I400" s="1">
        <v>73051</v>
      </c>
    </row>
    <row r="401" spans="1:9" x14ac:dyDescent="0.25">
      <c r="A401" t="s">
        <v>43</v>
      </c>
      <c r="B401">
        <v>0</v>
      </c>
      <c r="C401">
        <v>80</v>
      </c>
      <c r="D401">
        <v>660</v>
      </c>
      <c r="E401">
        <v>680</v>
      </c>
      <c r="F401">
        <v>0</v>
      </c>
      <c r="G401" s="1">
        <v>42464</v>
      </c>
      <c r="H401" s="1">
        <v>42461</v>
      </c>
      <c r="I401" s="1">
        <v>73051</v>
      </c>
    </row>
    <row r="402" spans="1:9" x14ac:dyDescent="0.25">
      <c r="A402" t="s">
        <v>43</v>
      </c>
      <c r="B402">
        <v>0</v>
      </c>
      <c r="C402">
        <v>80</v>
      </c>
      <c r="D402">
        <v>640</v>
      </c>
      <c r="E402">
        <v>660</v>
      </c>
      <c r="F402">
        <v>0</v>
      </c>
      <c r="G402" s="1">
        <v>42464</v>
      </c>
      <c r="H402" s="1">
        <v>42461</v>
      </c>
      <c r="I402" s="1">
        <v>73051</v>
      </c>
    </row>
    <row r="403" spans="1:9" x14ac:dyDescent="0.25">
      <c r="A403" t="s">
        <v>43</v>
      </c>
      <c r="B403">
        <v>0</v>
      </c>
      <c r="C403">
        <v>80</v>
      </c>
      <c r="D403">
        <v>620</v>
      </c>
      <c r="E403">
        <v>640</v>
      </c>
      <c r="F403">
        <v>0</v>
      </c>
      <c r="G403" s="1">
        <v>42464</v>
      </c>
      <c r="H403" s="1">
        <v>42461</v>
      </c>
      <c r="I403" s="1">
        <v>73051</v>
      </c>
    </row>
    <row r="404" spans="1:9" x14ac:dyDescent="0.25">
      <c r="A404" t="s">
        <v>43</v>
      </c>
      <c r="B404">
        <v>0</v>
      </c>
      <c r="C404">
        <v>80</v>
      </c>
      <c r="D404">
        <v>300</v>
      </c>
      <c r="E404">
        <v>620</v>
      </c>
      <c r="G404" s="1">
        <v>42464</v>
      </c>
      <c r="H404" s="1">
        <v>42461</v>
      </c>
      <c r="I404" s="1">
        <v>73051</v>
      </c>
    </row>
    <row r="405" spans="1:9" x14ac:dyDescent="0.25">
      <c r="A405" t="s">
        <v>58</v>
      </c>
      <c r="B405">
        <v>0</v>
      </c>
      <c r="C405">
        <v>80</v>
      </c>
      <c r="D405">
        <v>760</v>
      </c>
      <c r="E405">
        <v>999</v>
      </c>
      <c r="F405">
        <v>0</v>
      </c>
      <c r="G405" s="1">
        <v>42464</v>
      </c>
      <c r="H405" s="1">
        <v>42461</v>
      </c>
      <c r="I405" s="1">
        <v>73051</v>
      </c>
    </row>
    <row r="406" spans="1:9" x14ac:dyDescent="0.25">
      <c r="A406" t="s">
        <v>58</v>
      </c>
      <c r="B406">
        <v>0</v>
      </c>
      <c r="C406">
        <v>80</v>
      </c>
      <c r="D406">
        <v>740</v>
      </c>
      <c r="E406">
        <v>760</v>
      </c>
      <c r="F406">
        <v>0</v>
      </c>
      <c r="G406" s="1">
        <v>42464</v>
      </c>
      <c r="H406" s="1">
        <v>42461</v>
      </c>
      <c r="I406" s="1">
        <v>73051</v>
      </c>
    </row>
    <row r="407" spans="1:9" x14ac:dyDescent="0.25">
      <c r="A407" t="s">
        <v>58</v>
      </c>
      <c r="B407">
        <v>0</v>
      </c>
      <c r="C407">
        <v>80</v>
      </c>
      <c r="D407">
        <v>720</v>
      </c>
      <c r="E407">
        <v>740</v>
      </c>
      <c r="F407">
        <v>0</v>
      </c>
      <c r="G407" s="1">
        <v>42464</v>
      </c>
      <c r="H407" s="1">
        <v>42461</v>
      </c>
      <c r="I407" s="1">
        <v>73051</v>
      </c>
    </row>
    <row r="408" spans="1:9" x14ac:dyDescent="0.25">
      <c r="A408" t="s">
        <v>58</v>
      </c>
      <c r="B408">
        <v>0</v>
      </c>
      <c r="C408">
        <v>80</v>
      </c>
      <c r="D408">
        <v>700</v>
      </c>
      <c r="E408">
        <v>720</v>
      </c>
      <c r="F408">
        <v>0</v>
      </c>
      <c r="G408" s="1">
        <v>42464</v>
      </c>
      <c r="H408" s="1">
        <v>42461</v>
      </c>
      <c r="I408" s="1">
        <v>73051</v>
      </c>
    </row>
    <row r="409" spans="1:9" x14ac:dyDescent="0.25">
      <c r="A409" t="s">
        <v>58</v>
      </c>
      <c r="B409">
        <v>0</v>
      </c>
      <c r="C409">
        <v>80</v>
      </c>
      <c r="D409">
        <v>680</v>
      </c>
      <c r="E409">
        <v>700</v>
      </c>
      <c r="F409">
        <v>0</v>
      </c>
      <c r="G409" s="1">
        <v>42464</v>
      </c>
      <c r="H409" s="1">
        <v>42461</v>
      </c>
      <c r="I409" s="1">
        <v>73051</v>
      </c>
    </row>
    <row r="410" spans="1:9" x14ac:dyDescent="0.25">
      <c r="A410" t="s">
        <v>58</v>
      </c>
      <c r="B410">
        <v>0</v>
      </c>
      <c r="C410">
        <v>80</v>
      </c>
      <c r="D410">
        <v>660</v>
      </c>
      <c r="E410">
        <v>680</v>
      </c>
      <c r="F410">
        <v>0</v>
      </c>
      <c r="G410" s="1">
        <v>42464</v>
      </c>
      <c r="H410" s="1">
        <v>42461</v>
      </c>
      <c r="I410" s="1">
        <v>73051</v>
      </c>
    </row>
    <row r="411" spans="1:9" x14ac:dyDescent="0.25">
      <c r="A411" t="s">
        <v>58</v>
      </c>
      <c r="B411">
        <v>0</v>
      </c>
      <c r="C411">
        <v>80</v>
      </c>
      <c r="D411">
        <v>640</v>
      </c>
      <c r="E411">
        <v>660</v>
      </c>
      <c r="F411">
        <v>0</v>
      </c>
      <c r="G411" s="1">
        <v>42464</v>
      </c>
      <c r="H411" s="1">
        <v>42461</v>
      </c>
      <c r="I411" s="1">
        <v>73051</v>
      </c>
    </row>
    <row r="412" spans="1:9" x14ac:dyDescent="0.25">
      <c r="A412" t="s">
        <v>58</v>
      </c>
      <c r="B412">
        <v>0</v>
      </c>
      <c r="C412">
        <v>80</v>
      </c>
      <c r="D412">
        <v>620</v>
      </c>
      <c r="E412">
        <v>640</v>
      </c>
      <c r="F412">
        <v>0</v>
      </c>
      <c r="G412" s="1">
        <v>42464</v>
      </c>
      <c r="H412" s="1">
        <v>42461</v>
      </c>
      <c r="I412" s="1">
        <v>73051</v>
      </c>
    </row>
    <row r="413" spans="1:9" x14ac:dyDescent="0.25">
      <c r="A413" t="s">
        <v>58</v>
      </c>
      <c r="B413">
        <v>0</v>
      </c>
      <c r="C413">
        <v>80</v>
      </c>
      <c r="D413">
        <v>300</v>
      </c>
      <c r="E413">
        <v>620</v>
      </c>
      <c r="G413" s="1">
        <v>42464</v>
      </c>
      <c r="H413" s="1">
        <v>42461</v>
      </c>
      <c r="I413" s="1">
        <v>73051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7"/>
  <sheetViews>
    <sheetView topLeftCell="A181" workbookViewId="0">
      <selection activeCell="J244" sqref="J244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</v>
      </c>
      <c r="H1" t="s">
        <v>6</v>
      </c>
      <c r="I1" t="s">
        <v>35</v>
      </c>
      <c r="J1" t="s">
        <v>36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1">
        <v>38607</v>
      </c>
      <c r="I2" s="1">
        <v>1</v>
      </c>
      <c r="J2" s="1">
        <v>39873</v>
      </c>
      <c r="L2" s="1">
        <v>38607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1">
        <v>38607</v>
      </c>
      <c r="I3" s="1">
        <v>1</v>
      </c>
      <c r="J3" s="1">
        <v>39873</v>
      </c>
      <c r="L3" t="s">
        <v>37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t="s">
        <v>18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1">
        <v>38607</v>
      </c>
      <c r="I4" s="1">
        <v>1</v>
      </c>
      <c r="J4" s="1">
        <v>39873</v>
      </c>
      <c r="L4" t="s">
        <v>37</v>
      </c>
      <c r="M4" t="s">
        <v>39</v>
      </c>
      <c r="N4" s="9">
        <v>0</v>
      </c>
      <c r="O4" s="9">
        <v>0</v>
      </c>
      <c r="P4" s="9">
        <v>0</v>
      </c>
      <c r="Q4" s="9">
        <v>0</v>
      </c>
      <c r="R4" t="s">
        <v>18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1">
        <v>38607</v>
      </c>
      <c r="I5" s="1">
        <v>1</v>
      </c>
      <c r="J5" s="1">
        <v>39873</v>
      </c>
      <c r="L5" t="s">
        <v>61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t="s">
        <v>18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1">
        <v>38607</v>
      </c>
      <c r="I6" s="1">
        <v>1</v>
      </c>
      <c r="J6" s="1">
        <v>39873</v>
      </c>
      <c r="L6" t="s">
        <v>61</v>
      </c>
      <c r="M6" t="s">
        <v>39</v>
      </c>
      <c r="N6" s="9">
        <v>0</v>
      </c>
      <c r="O6" s="9">
        <v>0</v>
      </c>
      <c r="P6" s="9">
        <v>0</v>
      </c>
      <c r="Q6" s="9">
        <v>0</v>
      </c>
      <c r="R6" t="s">
        <v>18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1">
        <v>38607</v>
      </c>
      <c r="I7" s="1">
        <v>1</v>
      </c>
      <c r="J7" s="1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1">
        <v>38607</v>
      </c>
      <c r="I8" s="1">
        <v>1</v>
      </c>
      <c r="J8" s="1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1">
        <v>38607</v>
      </c>
      <c r="I9" s="1">
        <v>1</v>
      </c>
      <c r="J9" s="1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1">
        <v>38607</v>
      </c>
      <c r="I10" s="1">
        <v>1</v>
      </c>
      <c r="J10" s="1">
        <v>39873</v>
      </c>
      <c r="L10" t="s">
        <v>24</v>
      </c>
      <c r="M10" t="s">
        <v>57</v>
      </c>
      <c r="S10" t="s">
        <v>40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1">
        <v>38607</v>
      </c>
      <c r="I11" s="1">
        <v>1</v>
      </c>
      <c r="J11" s="1">
        <v>39873</v>
      </c>
      <c r="L11" t="s">
        <v>25</v>
      </c>
      <c r="M11" t="s">
        <v>41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1">
        <v>38607</v>
      </c>
      <c r="I12" s="1">
        <v>1</v>
      </c>
      <c r="J12" s="1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1">
        <v>38607</v>
      </c>
      <c r="I13" s="1">
        <v>1</v>
      </c>
      <c r="J13" s="1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1">
        <v>38607</v>
      </c>
      <c r="I14" s="1">
        <v>1</v>
      </c>
      <c r="J14" s="1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1">
        <v>38607</v>
      </c>
      <c r="I15" s="1">
        <v>1</v>
      </c>
      <c r="J15" s="1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1">
        <v>38607</v>
      </c>
      <c r="I16" s="1">
        <v>1</v>
      </c>
      <c r="J16" s="1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1">
        <v>38607</v>
      </c>
      <c r="I17" s="1">
        <v>1</v>
      </c>
      <c r="J17" s="1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1">
        <v>38607</v>
      </c>
      <c r="I18" s="1">
        <v>1</v>
      </c>
      <c r="J18" s="1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1">
        <v>38607</v>
      </c>
      <c r="I19" s="1">
        <v>1</v>
      </c>
      <c r="J19" s="1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1">
        <v>38607</v>
      </c>
      <c r="I20" s="1">
        <v>1</v>
      </c>
      <c r="J20" s="1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1">
        <v>38607</v>
      </c>
      <c r="I21" s="1">
        <v>1</v>
      </c>
      <c r="J21" s="1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9">
        <v>25</v>
      </c>
      <c r="H22" s="1">
        <v>39873</v>
      </c>
      <c r="I22" s="1">
        <v>39873</v>
      </c>
      <c r="J22" s="1">
        <v>40299</v>
      </c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9">
        <v>25</v>
      </c>
      <c r="H23" s="1">
        <v>39873</v>
      </c>
      <c r="I23" s="1">
        <v>39873</v>
      </c>
      <c r="J23" s="1">
        <v>40299</v>
      </c>
      <c r="L23" t="s">
        <v>37</v>
      </c>
      <c r="M23" t="s">
        <v>38</v>
      </c>
      <c r="N23" s="9">
        <v>25</v>
      </c>
      <c r="O23" s="9">
        <v>25</v>
      </c>
      <c r="P23" s="9">
        <v>25</v>
      </c>
      <c r="Q23" s="9">
        <v>25</v>
      </c>
      <c r="R23" t="s">
        <v>18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9">
        <v>25</v>
      </c>
      <c r="H24" s="1">
        <v>39873</v>
      </c>
      <c r="I24" s="1">
        <v>39873</v>
      </c>
      <c r="J24" s="1">
        <v>40299</v>
      </c>
      <c r="L24" t="s">
        <v>37</v>
      </c>
      <c r="M24" t="s">
        <v>39</v>
      </c>
      <c r="N24" s="9">
        <v>0</v>
      </c>
      <c r="O24" s="9">
        <v>0</v>
      </c>
      <c r="P24" s="9">
        <v>0</v>
      </c>
      <c r="Q24" s="9">
        <v>0</v>
      </c>
      <c r="R24" t="s">
        <v>18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9">
        <v>25</v>
      </c>
      <c r="H25" s="1">
        <v>39873</v>
      </c>
      <c r="I25" s="1">
        <v>39873</v>
      </c>
      <c r="J25" s="1">
        <v>40299</v>
      </c>
      <c r="L25" t="s">
        <v>61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t="s">
        <v>18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1">
        <v>39873</v>
      </c>
      <c r="I26" s="1">
        <v>39873</v>
      </c>
      <c r="J26" s="1">
        <v>40299</v>
      </c>
      <c r="L26" t="s">
        <v>61</v>
      </c>
      <c r="M26" t="s">
        <v>39</v>
      </c>
      <c r="N26" s="9">
        <v>0</v>
      </c>
      <c r="O26" s="9">
        <v>0</v>
      </c>
      <c r="P26" s="9">
        <v>0</v>
      </c>
      <c r="Q26" s="9">
        <v>0</v>
      </c>
      <c r="R26" t="s">
        <v>18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1">
        <v>39873</v>
      </c>
      <c r="I27" s="1">
        <v>39873</v>
      </c>
      <c r="J27" s="1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1">
        <v>39873</v>
      </c>
      <c r="I28" s="1">
        <v>39873</v>
      </c>
      <c r="J28" s="1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1">
        <v>39873</v>
      </c>
      <c r="I29" s="1">
        <v>39873</v>
      </c>
      <c r="J29" s="1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1">
        <v>39873</v>
      </c>
      <c r="I30" s="1">
        <v>39873</v>
      </c>
      <c r="J30" s="1">
        <v>40299</v>
      </c>
      <c r="S30" t="s">
        <v>40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1">
        <v>39873</v>
      </c>
      <c r="I31" s="1">
        <v>39873</v>
      </c>
      <c r="J31" s="1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1">
        <v>39873</v>
      </c>
      <c r="I32" s="1">
        <v>39873</v>
      </c>
      <c r="J32" s="1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1">
        <v>39873</v>
      </c>
      <c r="I33" s="1">
        <v>39873</v>
      </c>
      <c r="J33" s="1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1">
        <v>39873</v>
      </c>
      <c r="I34" s="1">
        <v>39873</v>
      </c>
      <c r="J34" s="1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1">
        <v>39873</v>
      </c>
      <c r="I35" s="1">
        <v>39873</v>
      </c>
      <c r="J35" s="1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1">
        <v>39873</v>
      </c>
      <c r="I36" s="1">
        <v>39873</v>
      </c>
      <c r="J36" s="1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1">
        <v>39873</v>
      </c>
      <c r="I37" s="1">
        <v>39873</v>
      </c>
      <c r="J37" s="1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1">
        <v>39873</v>
      </c>
      <c r="I38" s="1">
        <v>39873</v>
      </c>
      <c r="J38" s="1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1">
        <v>39873</v>
      </c>
      <c r="I39" s="1">
        <v>39873</v>
      </c>
      <c r="J39" s="1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1">
        <v>39873</v>
      </c>
      <c r="I40" s="1">
        <v>39873</v>
      </c>
      <c r="J40" s="1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1">
        <v>39873</v>
      </c>
      <c r="I41" s="1">
        <v>39873</v>
      </c>
      <c r="J41" s="1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9">
        <v>25</v>
      </c>
      <c r="H42" s="1">
        <v>40299</v>
      </c>
      <c r="I42" s="1">
        <v>40299</v>
      </c>
      <c r="J42" s="1">
        <v>40756</v>
      </c>
      <c r="L42" s="1">
        <v>40299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9">
        <v>25</v>
      </c>
      <c r="H43" s="1">
        <v>40299</v>
      </c>
      <c r="I43" s="1">
        <v>40299</v>
      </c>
      <c r="J43" s="1">
        <v>40756</v>
      </c>
      <c r="L43" t="s">
        <v>37</v>
      </c>
      <c r="M43" t="s">
        <v>38</v>
      </c>
      <c r="N43" s="9">
        <v>25</v>
      </c>
      <c r="O43" s="9">
        <v>25</v>
      </c>
      <c r="P43" s="9">
        <v>40</v>
      </c>
      <c r="Q43" s="9">
        <v>60</v>
      </c>
      <c r="R43" t="s">
        <v>18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9">
        <v>40</v>
      </c>
      <c r="H44" s="1">
        <v>40299</v>
      </c>
      <c r="I44" s="1">
        <v>40299</v>
      </c>
      <c r="J44" s="1">
        <v>40756</v>
      </c>
      <c r="L44" t="s">
        <v>37</v>
      </c>
      <c r="M44" t="s">
        <v>39</v>
      </c>
      <c r="N44" s="9">
        <v>0</v>
      </c>
      <c r="O44" s="9">
        <v>0</v>
      </c>
      <c r="P44" s="9">
        <v>0</v>
      </c>
      <c r="Q44" s="9">
        <v>0</v>
      </c>
      <c r="R44" t="s">
        <v>18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9">
        <v>60</v>
      </c>
      <c r="H45" s="1">
        <v>40299</v>
      </c>
      <c r="I45" s="1">
        <v>40299</v>
      </c>
      <c r="J45" s="1">
        <v>40756</v>
      </c>
      <c r="L45" t="s">
        <v>61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t="s">
        <v>18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1">
        <v>40299</v>
      </c>
      <c r="I46" s="1">
        <v>40299</v>
      </c>
      <c r="J46" s="1">
        <v>40756</v>
      </c>
      <c r="L46" t="s">
        <v>61</v>
      </c>
      <c r="M46" t="s">
        <v>39</v>
      </c>
      <c r="N46" s="9">
        <v>0</v>
      </c>
      <c r="O46" s="9">
        <v>0</v>
      </c>
      <c r="P46" s="9">
        <v>0</v>
      </c>
      <c r="Q46" s="9">
        <v>0</v>
      </c>
      <c r="R46" t="s">
        <v>18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1">
        <v>40299</v>
      </c>
      <c r="I47" s="1">
        <v>40299</v>
      </c>
      <c r="J47" s="1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1">
        <v>40299</v>
      </c>
      <c r="I48" s="1">
        <v>40299</v>
      </c>
      <c r="J48" s="1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1">
        <v>40299</v>
      </c>
      <c r="I49" s="1">
        <v>40299</v>
      </c>
      <c r="J49" s="1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1">
        <v>40299</v>
      </c>
      <c r="I50" s="1">
        <v>40299</v>
      </c>
      <c r="J50" s="1">
        <v>40756</v>
      </c>
      <c r="S50" t="s">
        <v>40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1">
        <v>40299</v>
      </c>
      <c r="I51" s="1">
        <v>40299</v>
      </c>
      <c r="J51" s="1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1">
        <v>40299</v>
      </c>
      <c r="I52" s="1">
        <v>40299</v>
      </c>
      <c r="J52" s="1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1">
        <v>40299</v>
      </c>
      <c r="I53" s="1">
        <v>40299</v>
      </c>
      <c r="J53" s="1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1">
        <v>40299</v>
      </c>
      <c r="I54" s="1">
        <v>40299</v>
      </c>
      <c r="J54" s="1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1">
        <v>40299</v>
      </c>
      <c r="I55" s="1">
        <v>40299</v>
      </c>
      <c r="J55" s="1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1">
        <v>40299</v>
      </c>
      <c r="I56" s="1">
        <v>40299</v>
      </c>
      <c r="J56" s="1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1">
        <v>40299</v>
      </c>
      <c r="I57" s="1">
        <v>40299</v>
      </c>
      <c r="J57" s="1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1">
        <v>40299</v>
      </c>
      <c r="I58" s="1">
        <v>40299</v>
      </c>
      <c r="J58" s="1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1">
        <v>40299</v>
      </c>
      <c r="I59" s="1">
        <v>40299</v>
      </c>
      <c r="J59" s="1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1">
        <v>40299</v>
      </c>
      <c r="I60" s="1">
        <v>40299</v>
      </c>
      <c r="J60" s="1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1">
        <v>40299</v>
      </c>
      <c r="I61" s="1">
        <v>40299</v>
      </c>
      <c r="J61" s="1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9">
        <v>25</v>
      </c>
      <c r="H62" s="1">
        <v>40756</v>
      </c>
      <c r="I62" s="1">
        <v>40756</v>
      </c>
      <c r="J62" s="1">
        <v>40969</v>
      </c>
      <c r="L62" s="1">
        <v>40756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9">
        <v>25</v>
      </c>
      <c r="H63" s="1">
        <v>40756</v>
      </c>
      <c r="I63" s="1">
        <v>40756</v>
      </c>
      <c r="J63" s="1">
        <v>40969</v>
      </c>
      <c r="L63" t="s">
        <v>37</v>
      </c>
      <c r="M63" t="s">
        <v>38</v>
      </c>
      <c r="N63" s="9">
        <v>25</v>
      </c>
      <c r="O63" s="9">
        <v>25</v>
      </c>
      <c r="P63" s="9">
        <v>40</v>
      </c>
      <c r="Q63" s="9">
        <v>60</v>
      </c>
      <c r="R63" t="s">
        <v>18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9">
        <v>40</v>
      </c>
      <c r="H64" s="1">
        <v>40756</v>
      </c>
      <c r="I64" s="1">
        <v>40756</v>
      </c>
      <c r="J64" s="1">
        <v>40969</v>
      </c>
      <c r="L64" t="s">
        <v>37</v>
      </c>
      <c r="M64" t="s">
        <v>39</v>
      </c>
      <c r="N64" s="9">
        <v>0</v>
      </c>
      <c r="O64" s="9">
        <v>0</v>
      </c>
      <c r="P64" s="9">
        <v>0</v>
      </c>
      <c r="Q64" s="9">
        <v>0</v>
      </c>
      <c r="R64" t="s">
        <v>18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9">
        <v>60</v>
      </c>
      <c r="H65" s="1">
        <v>40756</v>
      </c>
      <c r="I65" s="1">
        <v>40756</v>
      </c>
      <c r="J65" s="1">
        <v>40969</v>
      </c>
      <c r="L65" t="s">
        <v>61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t="s">
        <v>18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1">
        <v>40756</v>
      </c>
      <c r="I66" s="1">
        <v>40756</v>
      </c>
      <c r="J66" s="1">
        <v>40969</v>
      </c>
      <c r="L66" t="s">
        <v>61</v>
      </c>
      <c r="M66" t="s">
        <v>39</v>
      </c>
      <c r="N66" s="9">
        <v>0</v>
      </c>
      <c r="O66" s="9">
        <v>0</v>
      </c>
      <c r="P66" s="9">
        <v>0</v>
      </c>
      <c r="Q66" s="9">
        <v>0</v>
      </c>
      <c r="R66" t="s">
        <v>18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1">
        <v>40756</v>
      </c>
      <c r="I67" s="1">
        <v>40756</v>
      </c>
      <c r="J67" s="1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1">
        <v>40756</v>
      </c>
      <c r="I68" s="1">
        <v>40756</v>
      </c>
      <c r="J68" s="1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1">
        <v>40756</v>
      </c>
      <c r="I69" s="1">
        <v>40756</v>
      </c>
      <c r="J69" s="1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1">
        <v>40756</v>
      </c>
      <c r="I70" s="1">
        <v>40756</v>
      </c>
      <c r="J70" s="1">
        <v>40969</v>
      </c>
      <c r="S70" t="s">
        <v>40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1">
        <v>40756</v>
      </c>
      <c r="I71" s="1">
        <v>40756</v>
      </c>
      <c r="J71" s="1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1">
        <v>40756</v>
      </c>
      <c r="I72" s="1">
        <v>40756</v>
      </c>
      <c r="J72" s="1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1">
        <v>40756</v>
      </c>
      <c r="I73" s="1">
        <v>40756</v>
      </c>
      <c r="J73" s="1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1">
        <v>40756</v>
      </c>
      <c r="I74" s="1">
        <v>40756</v>
      </c>
      <c r="J74" s="1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1">
        <v>40756</v>
      </c>
      <c r="I75" s="1">
        <v>40756</v>
      </c>
      <c r="J75" s="1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1">
        <v>40756</v>
      </c>
      <c r="I76" s="1">
        <v>40756</v>
      </c>
      <c r="J76" s="1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1">
        <v>40756</v>
      </c>
      <c r="I77" s="1">
        <v>40756</v>
      </c>
      <c r="J77" s="1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1">
        <v>40756</v>
      </c>
      <c r="I78" s="1">
        <v>40756</v>
      </c>
      <c r="J78" s="1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1">
        <v>40756</v>
      </c>
      <c r="I79" s="1">
        <v>40756</v>
      </c>
      <c r="J79" s="1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1">
        <v>40756</v>
      </c>
      <c r="I80" s="1">
        <v>40756</v>
      </c>
      <c r="J80" s="1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1">
        <v>40756</v>
      </c>
      <c r="I81" s="1">
        <v>40756</v>
      </c>
      <c r="J81" s="1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9">
        <v>20</v>
      </c>
      <c r="H82" s="1">
        <v>40969</v>
      </c>
      <c r="I82" s="1">
        <v>40969</v>
      </c>
      <c r="J82" s="1">
        <v>41306</v>
      </c>
      <c r="L82" s="1">
        <v>40969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9">
        <v>25</v>
      </c>
      <c r="H83" s="1">
        <v>40969</v>
      </c>
      <c r="I83" s="1">
        <v>40969</v>
      </c>
      <c r="J83" s="1">
        <v>41306</v>
      </c>
      <c r="L83" t="s">
        <v>37</v>
      </c>
      <c r="M83" t="s">
        <v>38</v>
      </c>
      <c r="N83" s="9">
        <v>20</v>
      </c>
      <c r="O83" s="9">
        <v>25</v>
      </c>
      <c r="P83" s="9">
        <v>40</v>
      </c>
      <c r="Q83" s="9">
        <v>60</v>
      </c>
      <c r="R83" t="s">
        <v>18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9">
        <v>40</v>
      </c>
      <c r="H84" s="1">
        <v>40969</v>
      </c>
      <c r="I84" s="1">
        <v>40969</v>
      </c>
      <c r="J84" s="1">
        <v>41306</v>
      </c>
      <c r="L84" t="s">
        <v>37</v>
      </c>
      <c r="M84" t="s">
        <v>39</v>
      </c>
      <c r="N84" s="9">
        <v>0</v>
      </c>
      <c r="O84" s="9">
        <v>0</v>
      </c>
      <c r="P84" s="9">
        <v>0</v>
      </c>
      <c r="Q84" s="9">
        <v>0</v>
      </c>
      <c r="R84" t="s">
        <v>18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9">
        <v>60</v>
      </c>
      <c r="H85" s="1">
        <v>40969</v>
      </c>
      <c r="I85" s="1">
        <v>40969</v>
      </c>
      <c r="J85" s="1">
        <v>41306</v>
      </c>
      <c r="L85" t="s">
        <v>61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t="s">
        <v>18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1">
        <v>40969</v>
      </c>
      <c r="I86" s="1">
        <v>40969</v>
      </c>
      <c r="J86" s="1">
        <v>41306</v>
      </c>
      <c r="L86" t="s">
        <v>61</v>
      </c>
      <c r="M86" t="s">
        <v>39</v>
      </c>
      <c r="N86" s="9">
        <v>0</v>
      </c>
      <c r="O86" s="9">
        <v>0</v>
      </c>
      <c r="P86" s="9">
        <v>0</v>
      </c>
      <c r="Q86" s="9">
        <v>0</v>
      </c>
      <c r="R86" t="s">
        <v>18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1">
        <v>40969</v>
      </c>
      <c r="I87" s="1">
        <v>40969</v>
      </c>
      <c r="J87" s="1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1">
        <v>40969</v>
      </c>
      <c r="I88" s="1">
        <v>40969</v>
      </c>
      <c r="J88" s="1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1">
        <v>40969</v>
      </c>
      <c r="I89" s="1">
        <v>40969</v>
      </c>
      <c r="J89" s="1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1">
        <v>40969</v>
      </c>
      <c r="I90" s="1">
        <v>40969</v>
      </c>
      <c r="J90" s="1">
        <v>41306</v>
      </c>
      <c r="S90" t="s">
        <v>40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1">
        <v>40969</v>
      </c>
      <c r="I91" s="1">
        <v>40969</v>
      </c>
      <c r="J91" s="1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1">
        <v>40969</v>
      </c>
      <c r="I92" s="1">
        <v>40969</v>
      </c>
      <c r="J92" s="1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1">
        <v>40969</v>
      </c>
      <c r="I93" s="1">
        <v>40969</v>
      </c>
      <c r="J93" s="1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1">
        <v>40969</v>
      </c>
      <c r="I94" s="1">
        <v>40969</v>
      </c>
      <c r="J94" s="1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1">
        <v>40969</v>
      </c>
      <c r="I95" s="1">
        <v>40969</v>
      </c>
      <c r="J95" s="1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1">
        <v>40969</v>
      </c>
      <c r="I96" s="1">
        <v>40969</v>
      </c>
      <c r="J96" s="1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1">
        <v>40969</v>
      </c>
      <c r="I97" s="1">
        <v>40969</v>
      </c>
      <c r="J97" s="1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1">
        <v>40969</v>
      </c>
      <c r="I98" s="1">
        <v>40969</v>
      </c>
      <c r="J98" s="1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1">
        <v>40969</v>
      </c>
      <c r="I99" s="1">
        <v>40969</v>
      </c>
      <c r="J99" s="1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1">
        <v>40969</v>
      </c>
      <c r="I100" s="1">
        <v>40969</v>
      </c>
      <c r="J100" s="1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1">
        <v>40969</v>
      </c>
      <c r="I101" s="1">
        <v>40969</v>
      </c>
      <c r="J101" s="1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9">
        <v>20</v>
      </c>
      <c r="H102" s="1">
        <v>41306</v>
      </c>
      <c r="I102" s="1">
        <v>41306</v>
      </c>
      <c r="J102" s="1">
        <v>41395</v>
      </c>
      <c r="L102" s="1">
        <v>41306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9">
        <v>25</v>
      </c>
      <c r="H103" s="1">
        <v>41306</v>
      </c>
      <c r="I103" s="1">
        <v>41306</v>
      </c>
      <c r="J103" s="1">
        <v>41395</v>
      </c>
      <c r="L103" t="s">
        <v>37</v>
      </c>
      <c r="M103" t="s">
        <v>38</v>
      </c>
      <c r="N103" s="9">
        <v>20</v>
      </c>
      <c r="O103" s="9">
        <v>25</v>
      </c>
      <c r="P103" s="9">
        <v>40</v>
      </c>
      <c r="Q103" s="9">
        <v>60</v>
      </c>
      <c r="R103" t="s">
        <v>18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9">
        <v>40</v>
      </c>
      <c r="H104" s="1">
        <v>41306</v>
      </c>
      <c r="I104" s="1">
        <v>41306</v>
      </c>
      <c r="J104" s="1">
        <v>41395</v>
      </c>
      <c r="L104" t="s">
        <v>37</v>
      </c>
      <c r="M104" t="s">
        <v>39</v>
      </c>
      <c r="N104" s="9">
        <v>0</v>
      </c>
      <c r="O104" s="9">
        <v>0</v>
      </c>
      <c r="P104" s="9">
        <v>0</v>
      </c>
      <c r="Q104" s="9">
        <v>0</v>
      </c>
      <c r="R104" t="s">
        <v>18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9">
        <v>60</v>
      </c>
      <c r="H105" s="1">
        <v>41306</v>
      </c>
      <c r="I105" s="1">
        <v>41306</v>
      </c>
      <c r="J105" s="1">
        <v>41395</v>
      </c>
      <c r="L105" t="s">
        <v>61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t="s">
        <v>18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1">
        <v>41306</v>
      </c>
      <c r="I106" s="1">
        <v>41306</v>
      </c>
      <c r="J106" s="1">
        <v>41395</v>
      </c>
      <c r="L106" t="s">
        <v>61</v>
      </c>
      <c r="M106" t="s">
        <v>39</v>
      </c>
      <c r="N106" s="9">
        <v>0</v>
      </c>
      <c r="O106" s="9">
        <v>0</v>
      </c>
      <c r="P106" s="9">
        <v>0</v>
      </c>
      <c r="Q106" s="9">
        <v>0</v>
      </c>
      <c r="R106" t="s">
        <v>18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1">
        <v>41306</v>
      </c>
      <c r="I107" s="1">
        <v>41306</v>
      </c>
      <c r="J107" s="1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1">
        <v>41306</v>
      </c>
      <c r="I108" s="1">
        <v>41306</v>
      </c>
      <c r="J108" s="1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1">
        <v>41306</v>
      </c>
      <c r="I109" s="1">
        <v>41306</v>
      </c>
      <c r="J109" s="1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1">
        <v>41306</v>
      </c>
      <c r="I110" s="1">
        <v>41306</v>
      </c>
      <c r="J110" s="1">
        <v>41395</v>
      </c>
      <c r="S110" t="s">
        <v>40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1">
        <v>41306</v>
      </c>
      <c r="I111" s="1">
        <v>41306</v>
      </c>
      <c r="J111" s="1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1">
        <v>41306</v>
      </c>
      <c r="I112" s="1">
        <v>41306</v>
      </c>
      <c r="J112" s="1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1">
        <v>41306</v>
      </c>
      <c r="I113" s="1">
        <v>41306</v>
      </c>
      <c r="J113" s="1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1">
        <v>41306</v>
      </c>
      <c r="I114" s="1">
        <v>41306</v>
      </c>
      <c r="J114" s="1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1">
        <v>41306</v>
      </c>
      <c r="I115" s="1">
        <v>41306</v>
      </c>
      <c r="J115" s="1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1">
        <v>41306</v>
      </c>
      <c r="I116" s="1">
        <v>41306</v>
      </c>
      <c r="J116" s="1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1">
        <v>41306</v>
      </c>
      <c r="I117" s="1">
        <v>41306</v>
      </c>
      <c r="J117" s="1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1">
        <v>41306</v>
      </c>
      <c r="I118" s="1">
        <v>41306</v>
      </c>
      <c r="J118" s="1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1">
        <v>41306</v>
      </c>
      <c r="I119" s="1">
        <v>41306</v>
      </c>
      <c r="J119" s="1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1">
        <v>41306</v>
      </c>
      <c r="I120" s="1">
        <v>41306</v>
      </c>
      <c r="J120" s="1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1">
        <v>41306</v>
      </c>
      <c r="I121" s="1">
        <v>41306</v>
      </c>
      <c r="J121" s="1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9">
        <v>20</v>
      </c>
      <c r="H122" s="1">
        <v>41395</v>
      </c>
      <c r="I122" s="1">
        <v>41395</v>
      </c>
      <c r="J122" s="1">
        <v>41487</v>
      </c>
      <c r="L122" s="1">
        <v>41395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9">
        <v>25</v>
      </c>
      <c r="H123" s="1">
        <v>41395</v>
      </c>
      <c r="I123" s="1">
        <v>41395</v>
      </c>
      <c r="J123" s="1">
        <v>41487</v>
      </c>
      <c r="L123" t="s">
        <v>37</v>
      </c>
      <c r="M123" t="s">
        <v>38</v>
      </c>
      <c r="N123" s="9">
        <v>20</v>
      </c>
      <c r="O123" s="9">
        <v>25</v>
      </c>
      <c r="P123" s="9">
        <v>40</v>
      </c>
      <c r="Q123" s="9">
        <v>60</v>
      </c>
      <c r="R123" t="s">
        <v>18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9">
        <v>40</v>
      </c>
      <c r="H124" s="1">
        <v>41395</v>
      </c>
      <c r="I124" s="1">
        <v>41395</v>
      </c>
      <c r="J124" s="1">
        <v>41487</v>
      </c>
      <c r="L124" t="s">
        <v>37</v>
      </c>
      <c r="M124" t="s">
        <v>39</v>
      </c>
      <c r="N124" s="9">
        <v>0</v>
      </c>
      <c r="O124" s="9">
        <v>0</v>
      </c>
      <c r="P124" s="9">
        <v>0</v>
      </c>
      <c r="Q124" s="9">
        <v>0</v>
      </c>
      <c r="R124" t="s">
        <v>18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9">
        <v>60</v>
      </c>
      <c r="H125" s="1">
        <v>41395</v>
      </c>
      <c r="I125" s="1">
        <v>41395</v>
      </c>
      <c r="J125" s="1">
        <v>41487</v>
      </c>
      <c r="L125" t="s">
        <v>61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t="s">
        <v>18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1">
        <v>41395</v>
      </c>
      <c r="I126" s="1">
        <v>41395</v>
      </c>
      <c r="J126" s="1">
        <v>41487</v>
      </c>
      <c r="L126" t="s">
        <v>61</v>
      </c>
      <c r="M126" t="s">
        <v>39</v>
      </c>
      <c r="N126" s="9">
        <v>0</v>
      </c>
      <c r="O126" s="9">
        <v>0</v>
      </c>
      <c r="P126" s="9">
        <v>0</v>
      </c>
      <c r="Q126" s="9">
        <v>0</v>
      </c>
      <c r="R126" t="s">
        <v>18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1">
        <v>41395</v>
      </c>
      <c r="I127" s="1">
        <v>41395</v>
      </c>
      <c r="J127" s="1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1">
        <v>41395</v>
      </c>
      <c r="I128" s="1">
        <v>41395</v>
      </c>
      <c r="J128" s="1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1">
        <v>41395</v>
      </c>
      <c r="I129" s="1">
        <v>41395</v>
      </c>
      <c r="J129" s="1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1">
        <v>41395</v>
      </c>
      <c r="I130" s="1">
        <v>41395</v>
      </c>
      <c r="J130" s="1">
        <v>41487</v>
      </c>
      <c r="S130" t="s">
        <v>40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1">
        <v>41395</v>
      </c>
      <c r="I131" s="1">
        <v>41395</v>
      </c>
      <c r="J131" s="1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1">
        <v>41395</v>
      </c>
      <c r="I132" s="1">
        <v>41395</v>
      </c>
      <c r="J132" s="1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1">
        <v>41395</v>
      </c>
      <c r="I133" s="1">
        <v>41395</v>
      </c>
      <c r="J133" s="1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1">
        <v>41395</v>
      </c>
      <c r="I134" s="1">
        <v>41395</v>
      </c>
      <c r="J134" s="1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1">
        <v>41395</v>
      </c>
      <c r="I135" s="1">
        <v>41395</v>
      </c>
      <c r="J135" s="1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1">
        <v>41395</v>
      </c>
      <c r="I136" s="1">
        <v>41395</v>
      </c>
      <c r="J136" s="1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1">
        <v>41395</v>
      </c>
      <c r="I137" s="1">
        <v>41395</v>
      </c>
      <c r="J137" s="1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1">
        <v>41395</v>
      </c>
      <c r="I138" s="1">
        <v>41395</v>
      </c>
      <c r="J138" s="1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1">
        <v>41395</v>
      </c>
      <c r="I139" s="1">
        <v>41395</v>
      </c>
      <c r="J139" s="1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1">
        <v>41395</v>
      </c>
      <c r="I140" s="1">
        <v>41395</v>
      </c>
      <c r="J140" s="1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1">
        <v>41395</v>
      </c>
      <c r="I141" s="1">
        <v>41395</v>
      </c>
      <c r="J141" s="1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9">
        <v>20</v>
      </c>
      <c r="H142" s="1">
        <v>41487</v>
      </c>
      <c r="I142" s="1">
        <v>41487</v>
      </c>
      <c r="J142" s="1">
        <v>41760</v>
      </c>
      <c r="L142" s="1">
        <v>41487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9">
        <v>25</v>
      </c>
      <c r="H143" s="1">
        <v>41487</v>
      </c>
      <c r="I143" s="1">
        <v>41487</v>
      </c>
      <c r="J143" s="1">
        <v>41760</v>
      </c>
      <c r="L143" t="s">
        <v>37</v>
      </c>
      <c r="M143" t="s">
        <v>38</v>
      </c>
      <c r="N143" s="9">
        <v>20</v>
      </c>
      <c r="O143" s="9">
        <v>25</v>
      </c>
      <c r="P143" s="9">
        <v>40</v>
      </c>
      <c r="Q143" s="9">
        <v>60</v>
      </c>
      <c r="R143" t="s">
        <v>18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9">
        <v>40</v>
      </c>
      <c r="H144" s="1">
        <v>41487</v>
      </c>
      <c r="I144" s="1">
        <v>41487</v>
      </c>
      <c r="J144" s="1">
        <v>41760</v>
      </c>
      <c r="L144" t="s">
        <v>37</v>
      </c>
      <c r="M144" t="s">
        <v>39</v>
      </c>
      <c r="N144" s="9">
        <v>0</v>
      </c>
      <c r="O144" s="9">
        <v>0</v>
      </c>
      <c r="P144" s="9">
        <v>0</v>
      </c>
      <c r="Q144" s="9">
        <v>0</v>
      </c>
      <c r="R144" t="s">
        <v>18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9">
        <v>60</v>
      </c>
      <c r="H145" s="1">
        <v>41487</v>
      </c>
      <c r="I145" s="1">
        <v>41487</v>
      </c>
      <c r="J145" s="1">
        <v>41760</v>
      </c>
      <c r="L145" t="s">
        <v>61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t="s">
        <v>18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1">
        <v>41487</v>
      </c>
      <c r="I146" s="1">
        <v>41487</v>
      </c>
      <c r="J146" s="1">
        <v>41760</v>
      </c>
      <c r="L146" t="s">
        <v>61</v>
      </c>
      <c r="M146" t="s">
        <v>39</v>
      </c>
      <c r="N146" s="9">
        <v>0</v>
      </c>
      <c r="O146" s="9">
        <v>0</v>
      </c>
      <c r="P146" s="9">
        <v>0</v>
      </c>
      <c r="Q146" s="9">
        <v>0</v>
      </c>
      <c r="R146" t="s">
        <v>18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1">
        <v>41487</v>
      </c>
      <c r="I147" s="1">
        <v>41487</v>
      </c>
      <c r="J147" s="1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1">
        <v>41487</v>
      </c>
      <c r="I148" s="1">
        <v>41487</v>
      </c>
      <c r="J148" s="1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1">
        <v>41487</v>
      </c>
      <c r="I149" s="1">
        <v>41487</v>
      </c>
      <c r="J149" s="1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1">
        <v>41487</v>
      </c>
      <c r="I150" s="1">
        <v>41487</v>
      </c>
      <c r="J150" s="1">
        <v>41760</v>
      </c>
      <c r="S150" t="s">
        <v>40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1">
        <v>41487</v>
      </c>
      <c r="I151" s="1">
        <v>41487</v>
      </c>
      <c r="J151" s="1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1">
        <v>41487</v>
      </c>
      <c r="I152" s="1">
        <v>41487</v>
      </c>
      <c r="J152" s="1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1">
        <v>41487</v>
      </c>
      <c r="I153" s="1">
        <v>41487</v>
      </c>
      <c r="J153" s="1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1">
        <v>41487</v>
      </c>
      <c r="I154" s="1">
        <v>41487</v>
      </c>
      <c r="J154" s="1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1">
        <v>41487</v>
      </c>
      <c r="I155" s="1">
        <v>41487</v>
      </c>
      <c r="J155" s="1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1">
        <v>41487</v>
      </c>
      <c r="I156" s="1">
        <v>41487</v>
      </c>
      <c r="J156" s="1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1">
        <v>41487</v>
      </c>
      <c r="I157" s="1">
        <v>41487</v>
      </c>
      <c r="J157" s="1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1">
        <v>41487</v>
      </c>
      <c r="I158" s="1">
        <v>41487</v>
      </c>
      <c r="J158" s="1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1">
        <v>41487</v>
      </c>
      <c r="I159" s="1">
        <v>41487</v>
      </c>
      <c r="J159" s="1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1">
        <v>41487</v>
      </c>
      <c r="I160" s="1">
        <v>41487</v>
      </c>
      <c r="J160" s="1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1">
        <v>41487</v>
      </c>
      <c r="I161" s="1">
        <v>41487</v>
      </c>
      <c r="J161" s="1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9">
        <v>34</v>
      </c>
      <c r="H162" s="1">
        <v>41760</v>
      </c>
      <c r="I162" s="1">
        <v>41760</v>
      </c>
      <c r="J162" s="1">
        <v>42461</v>
      </c>
      <c r="L162" s="1">
        <v>41760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9">
        <v>38</v>
      </c>
      <c r="H163" s="1">
        <v>41760</v>
      </c>
      <c r="I163" s="1">
        <v>41760</v>
      </c>
      <c r="J163" s="1">
        <v>42461</v>
      </c>
      <c r="L163" t="s">
        <v>37</v>
      </c>
      <c r="M163" t="s">
        <v>38</v>
      </c>
      <c r="N163" s="9">
        <v>34</v>
      </c>
      <c r="O163" s="9">
        <v>38</v>
      </c>
      <c r="P163" s="9">
        <v>50</v>
      </c>
      <c r="Q163" s="9">
        <v>75</v>
      </c>
      <c r="R163" t="s">
        <v>18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9">
        <v>50</v>
      </c>
      <c r="H164" s="1">
        <v>41760</v>
      </c>
      <c r="I164" s="1">
        <v>41760</v>
      </c>
      <c r="J164" s="1">
        <v>42461</v>
      </c>
      <c r="L164" t="s">
        <v>37</v>
      </c>
      <c r="M164" t="s">
        <v>39</v>
      </c>
      <c r="N164" s="9">
        <v>0</v>
      </c>
      <c r="O164" s="9">
        <v>0</v>
      </c>
      <c r="P164" s="9">
        <v>0</v>
      </c>
      <c r="Q164" s="9">
        <v>0</v>
      </c>
      <c r="R164" t="s">
        <v>18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9">
        <v>75</v>
      </c>
      <c r="H165" s="1">
        <v>41760</v>
      </c>
      <c r="I165" s="1">
        <v>41760</v>
      </c>
      <c r="J165" s="1">
        <v>42461</v>
      </c>
      <c r="L165" t="s">
        <v>61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t="s">
        <v>18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1">
        <v>41760</v>
      </c>
      <c r="I166" s="1">
        <v>41760</v>
      </c>
      <c r="J166" s="1">
        <v>42461</v>
      </c>
      <c r="L166" t="s">
        <v>61</v>
      </c>
      <c r="M166" t="s">
        <v>39</v>
      </c>
      <c r="N166" s="9">
        <v>0</v>
      </c>
      <c r="O166" s="9">
        <v>0</v>
      </c>
      <c r="P166" s="9">
        <v>0</v>
      </c>
      <c r="Q166" s="9">
        <v>0</v>
      </c>
      <c r="R166" t="s">
        <v>18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1">
        <v>41760</v>
      </c>
      <c r="I167" s="1">
        <v>41760</v>
      </c>
      <c r="J167" s="1">
        <v>42461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1">
        <v>41760</v>
      </c>
      <c r="I168" s="1">
        <v>41760</v>
      </c>
      <c r="J168" s="1">
        <v>42461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1">
        <v>41760</v>
      </c>
      <c r="I169" s="1">
        <v>41760</v>
      </c>
      <c r="J169" s="1">
        <v>42461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1">
        <v>41760</v>
      </c>
      <c r="I170" s="1">
        <v>41760</v>
      </c>
      <c r="J170" s="1">
        <v>42461</v>
      </c>
      <c r="S170" t="s">
        <v>40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1">
        <v>41760</v>
      </c>
      <c r="I171" s="1">
        <v>41760</v>
      </c>
      <c r="J171" s="1">
        <v>42461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1">
        <v>41760</v>
      </c>
      <c r="I172" s="1">
        <v>41760</v>
      </c>
      <c r="J172" s="1">
        <v>42461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1">
        <v>41760</v>
      </c>
      <c r="I173" s="1">
        <v>41760</v>
      </c>
      <c r="J173" s="1">
        <v>42461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1">
        <v>41760</v>
      </c>
      <c r="I174" s="1">
        <v>41760</v>
      </c>
      <c r="J174" s="1">
        <v>42461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1">
        <v>41760</v>
      </c>
      <c r="I175" s="1">
        <v>41760</v>
      </c>
      <c r="J175" s="1">
        <v>42461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1">
        <v>41760</v>
      </c>
      <c r="I176" s="1">
        <v>41760</v>
      </c>
      <c r="J176" s="1">
        <v>42461</v>
      </c>
    </row>
    <row r="177" spans="1:22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1">
        <v>41760</v>
      </c>
      <c r="I177" s="1">
        <v>41760</v>
      </c>
      <c r="J177" s="1">
        <v>42461</v>
      </c>
    </row>
    <row r="178" spans="1:22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1">
        <v>41760</v>
      </c>
      <c r="I178" s="1">
        <v>41760</v>
      </c>
      <c r="J178" s="1">
        <v>42461</v>
      </c>
    </row>
    <row r="179" spans="1:22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1">
        <v>41760</v>
      </c>
      <c r="I179" s="1">
        <v>41760</v>
      </c>
      <c r="J179" s="1">
        <v>42461</v>
      </c>
    </row>
    <row r="180" spans="1:22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1">
        <v>41760</v>
      </c>
      <c r="I180" s="1">
        <v>41760</v>
      </c>
      <c r="J180" s="1">
        <v>42461</v>
      </c>
    </row>
    <row r="181" spans="1:22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1">
        <v>41760</v>
      </c>
      <c r="I181" s="1">
        <v>41760</v>
      </c>
      <c r="J181" s="1">
        <v>42461</v>
      </c>
    </row>
    <row r="182" spans="1:22" x14ac:dyDescent="0.25">
      <c r="A182">
        <v>650000</v>
      </c>
      <c r="B182">
        <v>99999999</v>
      </c>
      <c r="C182">
        <v>80</v>
      </c>
      <c r="D182">
        <v>999</v>
      </c>
      <c r="E182">
        <v>760</v>
      </c>
      <c r="F182">
        <v>999</v>
      </c>
      <c r="G182" s="9">
        <v>20</v>
      </c>
      <c r="H182" s="1">
        <v>42464</v>
      </c>
      <c r="I182" s="1">
        <v>42461</v>
      </c>
      <c r="J182" s="1">
        <v>73051</v>
      </c>
      <c r="L182" s="1">
        <v>41760</v>
      </c>
      <c r="N182" t="s">
        <v>12</v>
      </c>
      <c r="O182" t="s">
        <v>62</v>
      </c>
      <c r="P182" t="s">
        <v>63</v>
      </c>
      <c r="Q182" t="s">
        <v>64</v>
      </c>
      <c r="R182" t="s">
        <v>65</v>
      </c>
      <c r="S182" t="s">
        <v>66</v>
      </c>
      <c r="T182" t="s">
        <v>67</v>
      </c>
      <c r="U182" t="s">
        <v>68</v>
      </c>
      <c r="V182" t="s">
        <v>16</v>
      </c>
    </row>
    <row r="183" spans="1:22" x14ac:dyDescent="0.25">
      <c r="A183">
        <v>650000</v>
      </c>
      <c r="B183">
        <v>99999999</v>
      </c>
      <c r="C183">
        <v>80</v>
      </c>
      <c r="D183">
        <v>999</v>
      </c>
      <c r="E183">
        <v>740</v>
      </c>
      <c r="F183">
        <v>760</v>
      </c>
      <c r="G183" s="9">
        <v>22</v>
      </c>
      <c r="H183" s="1">
        <v>42464</v>
      </c>
      <c r="I183" s="1">
        <v>42461</v>
      </c>
      <c r="J183" s="1">
        <v>73051</v>
      </c>
      <c r="L183" t="s">
        <v>59</v>
      </c>
      <c r="M183" t="s">
        <v>38</v>
      </c>
      <c r="N183" s="9">
        <v>20</v>
      </c>
      <c r="O183" s="9">
        <v>22</v>
      </c>
      <c r="P183" s="9">
        <v>25</v>
      </c>
      <c r="Q183" s="9">
        <v>30</v>
      </c>
      <c r="R183" s="9">
        <v>40</v>
      </c>
      <c r="S183" s="9">
        <v>50</v>
      </c>
      <c r="T183" s="9">
        <v>60</v>
      </c>
      <c r="U183" s="9">
        <v>70</v>
      </c>
      <c r="V183" t="s">
        <v>18</v>
      </c>
    </row>
    <row r="184" spans="1:22" x14ac:dyDescent="0.25">
      <c r="A184">
        <v>650000</v>
      </c>
      <c r="B184">
        <v>99999999</v>
      </c>
      <c r="C184">
        <v>80</v>
      </c>
      <c r="D184">
        <v>999</v>
      </c>
      <c r="E184">
        <v>720</v>
      </c>
      <c r="F184">
        <v>740</v>
      </c>
      <c r="G184" s="9">
        <v>25</v>
      </c>
      <c r="H184" s="1">
        <v>42464</v>
      </c>
      <c r="I184" s="1">
        <v>42461</v>
      </c>
      <c r="J184" s="1">
        <v>73051</v>
      </c>
      <c r="L184" t="s">
        <v>59</v>
      </c>
      <c r="M184" t="s">
        <v>39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t="s">
        <v>18</v>
      </c>
    </row>
    <row r="185" spans="1:22" x14ac:dyDescent="0.25">
      <c r="A185">
        <v>650000</v>
      </c>
      <c r="B185">
        <v>99999999</v>
      </c>
      <c r="C185">
        <v>80</v>
      </c>
      <c r="D185">
        <v>999</v>
      </c>
      <c r="E185">
        <v>700</v>
      </c>
      <c r="F185">
        <v>720</v>
      </c>
      <c r="G185" s="9">
        <v>30</v>
      </c>
      <c r="H185" s="1">
        <v>42464</v>
      </c>
      <c r="I185" s="1">
        <v>42461</v>
      </c>
      <c r="J185" s="1">
        <v>73051</v>
      </c>
      <c r="L185" t="s">
        <v>60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t="s">
        <v>18</v>
      </c>
    </row>
    <row r="186" spans="1:22" x14ac:dyDescent="0.25">
      <c r="A186">
        <v>650000</v>
      </c>
      <c r="B186">
        <v>99999999</v>
      </c>
      <c r="C186">
        <v>80</v>
      </c>
      <c r="D186">
        <v>999</v>
      </c>
      <c r="E186">
        <v>680</v>
      </c>
      <c r="F186">
        <v>700</v>
      </c>
      <c r="G186" s="9">
        <v>40</v>
      </c>
      <c r="H186" s="1">
        <v>42464</v>
      </c>
      <c r="I186" s="1">
        <v>42461</v>
      </c>
      <c r="J186" s="1">
        <v>73051</v>
      </c>
      <c r="L186" t="s">
        <v>60</v>
      </c>
      <c r="M186" t="s">
        <v>39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t="s">
        <v>18</v>
      </c>
    </row>
    <row r="187" spans="1:22" x14ac:dyDescent="0.25">
      <c r="A187">
        <v>650000</v>
      </c>
      <c r="B187">
        <v>99999999</v>
      </c>
      <c r="C187">
        <v>80</v>
      </c>
      <c r="D187">
        <v>999</v>
      </c>
      <c r="E187">
        <v>660</v>
      </c>
      <c r="F187">
        <v>680</v>
      </c>
      <c r="G187" s="9">
        <v>50</v>
      </c>
      <c r="H187" s="1">
        <v>42464</v>
      </c>
      <c r="I187" s="1">
        <v>42461</v>
      </c>
      <c r="J187" s="1">
        <v>73051</v>
      </c>
    </row>
    <row r="188" spans="1:22" x14ac:dyDescent="0.25">
      <c r="A188">
        <v>650000</v>
      </c>
      <c r="B188">
        <v>99999999</v>
      </c>
      <c r="C188">
        <v>80</v>
      </c>
      <c r="D188">
        <v>999</v>
      </c>
      <c r="E188">
        <v>640</v>
      </c>
      <c r="F188">
        <v>660</v>
      </c>
      <c r="G188" s="9">
        <v>60</v>
      </c>
      <c r="H188" s="1">
        <v>42464</v>
      </c>
      <c r="I188" s="1">
        <v>42461</v>
      </c>
      <c r="J188" s="1">
        <v>73051</v>
      </c>
    </row>
    <row r="189" spans="1:22" x14ac:dyDescent="0.25">
      <c r="A189">
        <v>650000</v>
      </c>
      <c r="B189">
        <v>99999999</v>
      </c>
      <c r="C189">
        <v>80</v>
      </c>
      <c r="D189">
        <v>999</v>
      </c>
      <c r="E189">
        <v>620</v>
      </c>
      <c r="F189">
        <v>640</v>
      </c>
      <c r="G189" s="9">
        <v>70</v>
      </c>
      <c r="H189" s="1">
        <v>42464</v>
      </c>
      <c r="I189" s="1">
        <v>42461</v>
      </c>
      <c r="J189" s="1">
        <v>73051</v>
      </c>
    </row>
    <row r="190" spans="1:22" x14ac:dyDescent="0.25">
      <c r="A190">
        <v>650000</v>
      </c>
      <c r="B190">
        <v>99999999</v>
      </c>
      <c r="C190">
        <v>80</v>
      </c>
      <c r="D190">
        <v>999</v>
      </c>
      <c r="E190">
        <v>300</v>
      </c>
      <c r="F190">
        <v>620</v>
      </c>
      <c r="H190" s="1">
        <v>42464</v>
      </c>
      <c r="I190" s="1">
        <v>42461</v>
      </c>
      <c r="J190" s="1">
        <v>73051</v>
      </c>
    </row>
    <row r="191" spans="1:22" x14ac:dyDescent="0.25">
      <c r="A191">
        <v>650000</v>
      </c>
      <c r="B191">
        <v>99999999</v>
      </c>
      <c r="C191">
        <v>0</v>
      </c>
      <c r="D191">
        <v>80</v>
      </c>
      <c r="E191">
        <v>760</v>
      </c>
      <c r="F191">
        <v>999</v>
      </c>
      <c r="G191" s="9">
        <v>0</v>
      </c>
      <c r="H191" s="1">
        <v>42464</v>
      </c>
      <c r="I191" s="1">
        <v>42461</v>
      </c>
      <c r="J191" s="1">
        <v>73051</v>
      </c>
    </row>
    <row r="192" spans="1:22" x14ac:dyDescent="0.25">
      <c r="A192">
        <v>650000</v>
      </c>
      <c r="B192">
        <v>99999999</v>
      </c>
      <c r="C192">
        <v>0</v>
      </c>
      <c r="D192">
        <v>80</v>
      </c>
      <c r="E192">
        <v>740</v>
      </c>
      <c r="F192">
        <v>760</v>
      </c>
      <c r="G192" s="9">
        <v>0</v>
      </c>
      <c r="H192" s="1">
        <v>42464</v>
      </c>
      <c r="I192" s="1">
        <v>42461</v>
      </c>
      <c r="J192" s="1">
        <v>73051</v>
      </c>
    </row>
    <row r="193" spans="1:10" x14ac:dyDescent="0.25">
      <c r="A193">
        <v>650000</v>
      </c>
      <c r="B193">
        <v>99999999</v>
      </c>
      <c r="C193">
        <v>0</v>
      </c>
      <c r="D193">
        <v>80</v>
      </c>
      <c r="E193">
        <v>720</v>
      </c>
      <c r="F193">
        <v>740</v>
      </c>
      <c r="G193" s="9">
        <v>0</v>
      </c>
      <c r="H193" s="1">
        <v>42464</v>
      </c>
      <c r="I193" s="1">
        <v>42461</v>
      </c>
      <c r="J193" s="1">
        <v>73051</v>
      </c>
    </row>
    <row r="194" spans="1:10" x14ac:dyDescent="0.25">
      <c r="A194">
        <v>650000</v>
      </c>
      <c r="B194">
        <v>99999999</v>
      </c>
      <c r="C194">
        <v>0</v>
      </c>
      <c r="D194">
        <v>80</v>
      </c>
      <c r="E194">
        <v>700</v>
      </c>
      <c r="F194">
        <v>720</v>
      </c>
      <c r="G194" s="9">
        <v>0</v>
      </c>
      <c r="H194" s="1">
        <v>42464</v>
      </c>
      <c r="I194" s="1">
        <v>42461</v>
      </c>
      <c r="J194" s="1">
        <v>73051</v>
      </c>
    </row>
    <row r="195" spans="1:10" x14ac:dyDescent="0.25">
      <c r="A195">
        <v>650000</v>
      </c>
      <c r="B195">
        <v>99999999</v>
      </c>
      <c r="C195">
        <v>0</v>
      </c>
      <c r="D195">
        <v>80</v>
      </c>
      <c r="E195">
        <v>680</v>
      </c>
      <c r="F195">
        <v>700</v>
      </c>
      <c r="G195" s="9">
        <v>0</v>
      </c>
      <c r="H195" s="1">
        <v>42464</v>
      </c>
      <c r="I195" s="1">
        <v>42461</v>
      </c>
      <c r="J195" s="1">
        <v>73051</v>
      </c>
    </row>
    <row r="196" spans="1:10" x14ac:dyDescent="0.25">
      <c r="A196">
        <v>650000</v>
      </c>
      <c r="B196">
        <v>99999999</v>
      </c>
      <c r="C196">
        <v>0</v>
      </c>
      <c r="D196">
        <v>80</v>
      </c>
      <c r="E196">
        <v>660</v>
      </c>
      <c r="F196">
        <v>680</v>
      </c>
      <c r="G196" s="9">
        <v>0</v>
      </c>
      <c r="H196" s="1">
        <v>42464</v>
      </c>
      <c r="I196" s="1">
        <v>42461</v>
      </c>
      <c r="J196" s="1">
        <v>73051</v>
      </c>
    </row>
    <row r="197" spans="1:10" x14ac:dyDescent="0.25">
      <c r="A197">
        <v>650000</v>
      </c>
      <c r="B197">
        <v>99999999</v>
      </c>
      <c r="C197">
        <v>0</v>
      </c>
      <c r="D197">
        <v>80</v>
      </c>
      <c r="E197">
        <v>640</v>
      </c>
      <c r="F197">
        <v>660</v>
      </c>
      <c r="G197" s="9">
        <v>0</v>
      </c>
      <c r="H197" s="1">
        <v>42464</v>
      </c>
      <c r="I197" s="1">
        <v>42461</v>
      </c>
      <c r="J197" s="1">
        <v>73051</v>
      </c>
    </row>
    <row r="198" spans="1:10" x14ac:dyDescent="0.25">
      <c r="A198">
        <v>650000</v>
      </c>
      <c r="B198">
        <v>99999999</v>
      </c>
      <c r="C198">
        <v>0</v>
      </c>
      <c r="D198">
        <v>80</v>
      </c>
      <c r="E198">
        <v>620</v>
      </c>
      <c r="F198">
        <v>640</v>
      </c>
      <c r="G198" s="9">
        <v>0</v>
      </c>
      <c r="H198" s="1">
        <v>42464</v>
      </c>
      <c r="I198" s="1">
        <v>42461</v>
      </c>
      <c r="J198" s="1">
        <v>73051</v>
      </c>
    </row>
    <row r="199" spans="1:10" x14ac:dyDescent="0.25">
      <c r="A199">
        <v>650000</v>
      </c>
      <c r="B199">
        <v>99999999</v>
      </c>
      <c r="C199">
        <v>0</v>
      </c>
      <c r="D199">
        <v>80</v>
      </c>
      <c r="E199">
        <v>300</v>
      </c>
      <c r="F199">
        <v>620</v>
      </c>
      <c r="H199" s="1">
        <v>42464</v>
      </c>
      <c r="I199" s="1">
        <v>42461</v>
      </c>
      <c r="J199" s="1">
        <v>73051</v>
      </c>
    </row>
    <row r="200" spans="1:10" x14ac:dyDescent="0.25">
      <c r="A200">
        <v>0</v>
      </c>
      <c r="B200">
        <v>650000</v>
      </c>
      <c r="C200">
        <v>80</v>
      </c>
      <c r="D200">
        <v>999</v>
      </c>
      <c r="E200">
        <v>760</v>
      </c>
      <c r="F200">
        <v>999</v>
      </c>
      <c r="G200" s="9">
        <v>0</v>
      </c>
      <c r="H200" s="1">
        <v>42464</v>
      </c>
      <c r="I200" s="1">
        <v>42461</v>
      </c>
      <c r="J200" s="1">
        <v>73051</v>
      </c>
    </row>
    <row r="201" spans="1:10" x14ac:dyDescent="0.25">
      <c r="A201">
        <v>0</v>
      </c>
      <c r="B201">
        <v>650000</v>
      </c>
      <c r="C201">
        <v>80</v>
      </c>
      <c r="D201">
        <v>999</v>
      </c>
      <c r="E201">
        <v>740</v>
      </c>
      <c r="F201">
        <v>760</v>
      </c>
      <c r="G201" s="9">
        <v>0</v>
      </c>
      <c r="H201" s="1">
        <v>42464</v>
      </c>
      <c r="I201" s="1">
        <v>42461</v>
      </c>
      <c r="J201" s="1">
        <v>73051</v>
      </c>
    </row>
    <row r="202" spans="1:10" x14ac:dyDescent="0.25">
      <c r="A202">
        <v>0</v>
      </c>
      <c r="B202">
        <v>650000</v>
      </c>
      <c r="C202">
        <v>80</v>
      </c>
      <c r="D202">
        <v>999</v>
      </c>
      <c r="E202">
        <v>720</v>
      </c>
      <c r="F202">
        <v>740</v>
      </c>
      <c r="G202" s="9">
        <v>0</v>
      </c>
      <c r="H202" s="1">
        <v>42464</v>
      </c>
      <c r="I202" s="1">
        <v>42461</v>
      </c>
      <c r="J202" s="1">
        <v>73051</v>
      </c>
    </row>
    <row r="203" spans="1:10" x14ac:dyDescent="0.25">
      <c r="A203">
        <v>0</v>
      </c>
      <c r="B203">
        <v>650000</v>
      </c>
      <c r="C203">
        <v>80</v>
      </c>
      <c r="D203">
        <v>999</v>
      </c>
      <c r="E203">
        <v>700</v>
      </c>
      <c r="F203">
        <v>720</v>
      </c>
      <c r="G203" s="9">
        <v>0</v>
      </c>
      <c r="H203" s="1">
        <v>42464</v>
      </c>
      <c r="I203" s="1">
        <v>42461</v>
      </c>
      <c r="J203" s="1">
        <v>73051</v>
      </c>
    </row>
    <row r="204" spans="1:10" x14ac:dyDescent="0.25">
      <c r="A204">
        <v>0</v>
      </c>
      <c r="B204">
        <v>650000</v>
      </c>
      <c r="C204">
        <v>80</v>
      </c>
      <c r="D204">
        <v>999</v>
      </c>
      <c r="E204">
        <v>680</v>
      </c>
      <c r="F204">
        <v>700</v>
      </c>
      <c r="G204" s="9">
        <v>0</v>
      </c>
      <c r="H204" s="1">
        <v>42464</v>
      </c>
      <c r="I204" s="1">
        <v>42461</v>
      </c>
      <c r="J204" s="1">
        <v>73051</v>
      </c>
    </row>
    <row r="205" spans="1:10" x14ac:dyDescent="0.25">
      <c r="A205">
        <v>0</v>
      </c>
      <c r="B205">
        <v>650000</v>
      </c>
      <c r="C205">
        <v>80</v>
      </c>
      <c r="D205">
        <v>999</v>
      </c>
      <c r="E205">
        <v>660</v>
      </c>
      <c r="F205">
        <v>680</v>
      </c>
      <c r="G205" s="9">
        <v>0</v>
      </c>
      <c r="H205" s="1">
        <v>42464</v>
      </c>
      <c r="I205" s="1">
        <v>42461</v>
      </c>
      <c r="J205" s="1">
        <v>73051</v>
      </c>
    </row>
    <row r="206" spans="1:10" x14ac:dyDescent="0.25">
      <c r="A206">
        <v>0</v>
      </c>
      <c r="B206">
        <v>650000</v>
      </c>
      <c r="C206">
        <v>80</v>
      </c>
      <c r="D206">
        <v>999</v>
      </c>
      <c r="E206">
        <v>640</v>
      </c>
      <c r="F206">
        <v>660</v>
      </c>
      <c r="G206" s="9">
        <v>0</v>
      </c>
      <c r="H206" s="1">
        <v>42464</v>
      </c>
      <c r="I206" s="1">
        <v>42461</v>
      </c>
      <c r="J206" s="1">
        <v>73051</v>
      </c>
    </row>
    <row r="207" spans="1:10" x14ac:dyDescent="0.25">
      <c r="A207">
        <v>0</v>
      </c>
      <c r="B207">
        <v>650000</v>
      </c>
      <c r="C207">
        <v>80</v>
      </c>
      <c r="D207">
        <v>999</v>
      </c>
      <c r="E207">
        <v>620</v>
      </c>
      <c r="F207">
        <v>640</v>
      </c>
      <c r="G207" s="9">
        <v>0</v>
      </c>
      <c r="H207" s="1">
        <v>42464</v>
      </c>
      <c r="I207" s="1">
        <v>42461</v>
      </c>
      <c r="J207" s="1">
        <v>73051</v>
      </c>
    </row>
    <row r="208" spans="1:10" x14ac:dyDescent="0.25">
      <c r="A208">
        <v>0</v>
      </c>
      <c r="B208">
        <v>650000</v>
      </c>
      <c r="C208">
        <v>80</v>
      </c>
      <c r="D208">
        <v>999</v>
      </c>
      <c r="E208">
        <v>300</v>
      </c>
      <c r="F208">
        <v>620</v>
      </c>
      <c r="H208" s="1">
        <v>42464</v>
      </c>
      <c r="I208" s="1">
        <v>42461</v>
      </c>
      <c r="J208" s="1">
        <v>73051</v>
      </c>
    </row>
    <row r="209" spans="1:10" x14ac:dyDescent="0.25">
      <c r="A209">
        <v>0</v>
      </c>
      <c r="B209">
        <v>650000</v>
      </c>
      <c r="C209">
        <v>0</v>
      </c>
      <c r="D209">
        <v>80</v>
      </c>
      <c r="E209">
        <v>760</v>
      </c>
      <c r="F209">
        <v>999</v>
      </c>
      <c r="G209" s="9">
        <v>0</v>
      </c>
      <c r="H209" s="1">
        <v>42464</v>
      </c>
      <c r="I209" s="1">
        <v>42461</v>
      </c>
      <c r="J209" s="1">
        <v>73051</v>
      </c>
    </row>
    <row r="210" spans="1:10" x14ac:dyDescent="0.25">
      <c r="A210">
        <v>0</v>
      </c>
      <c r="B210">
        <v>650000</v>
      </c>
      <c r="C210">
        <v>0</v>
      </c>
      <c r="D210">
        <v>80</v>
      </c>
      <c r="E210">
        <v>740</v>
      </c>
      <c r="F210">
        <v>760</v>
      </c>
      <c r="G210" s="9">
        <v>0</v>
      </c>
      <c r="H210" s="1">
        <v>42464</v>
      </c>
      <c r="I210" s="1">
        <v>42461</v>
      </c>
      <c r="J210" s="1">
        <v>73051</v>
      </c>
    </row>
    <row r="211" spans="1:10" x14ac:dyDescent="0.25">
      <c r="A211">
        <v>0</v>
      </c>
      <c r="B211">
        <v>650000</v>
      </c>
      <c r="C211">
        <v>0</v>
      </c>
      <c r="D211">
        <v>80</v>
      </c>
      <c r="E211">
        <v>720</v>
      </c>
      <c r="F211">
        <v>740</v>
      </c>
      <c r="G211" s="9">
        <v>0</v>
      </c>
      <c r="H211" s="1">
        <v>42464</v>
      </c>
      <c r="I211" s="1">
        <v>42461</v>
      </c>
      <c r="J211" s="1">
        <v>73051</v>
      </c>
    </row>
    <row r="212" spans="1:10" x14ac:dyDescent="0.25">
      <c r="A212">
        <v>0</v>
      </c>
      <c r="B212">
        <v>650000</v>
      </c>
      <c r="C212">
        <v>0</v>
      </c>
      <c r="D212">
        <v>80</v>
      </c>
      <c r="E212">
        <v>700</v>
      </c>
      <c r="F212">
        <v>720</v>
      </c>
      <c r="G212" s="9">
        <v>0</v>
      </c>
      <c r="H212" s="1">
        <v>42464</v>
      </c>
      <c r="I212" s="1">
        <v>42461</v>
      </c>
      <c r="J212" s="1">
        <v>73051</v>
      </c>
    </row>
    <row r="213" spans="1:10" x14ac:dyDescent="0.25">
      <c r="A213">
        <v>0</v>
      </c>
      <c r="B213">
        <v>650000</v>
      </c>
      <c r="C213">
        <v>0</v>
      </c>
      <c r="D213">
        <v>80</v>
      </c>
      <c r="E213">
        <v>680</v>
      </c>
      <c r="F213">
        <v>700</v>
      </c>
      <c r="G213" s="9">
        <v>0</v>
      </c>
      <c r="H213" s="1">
        <v>42464</v>
      </c>
      <c r="I213" s="1">
        <v>42461</v>
      </c>
      <c r="J213" s="1">
        <v>73051</v>
      </c>
    </row>
    <row r="214" spans="1:10" x14ac:dyDescent="0.25">
      <c r="A214">
        <v>0</v>
      </c>
      <c r="B214">
        <v>650000</v>
      </c>
      <c r="C214">
        <v>0</v>
      </c>
      <c r="D214">
        <v>80</v>
      </c>
      <c r="E214">
        <v>660</v>
      </c>
      <c r="F214">
        <v>680</v>
      </c>
      <c r="G214" s="9">
        <v>0</v>
      </c>
      <c r="H214" s="1">
        <v>42464</v>
      </c>
      <c r="I214" s="1">
        <v>42461</v>
      </c>
      <c r="J214" s="1">
        <v>73051</v>
      </c>
    </row>
    <row r="215" spans="1:10" x14ac:dyDescent="0.25">
      <c r="A215">
        <v>0</v>
      </c>
      <c r="B215">
        <v>650000</v>
      </c>
      <c r="C215">
        <v>0</v>
      </c>
      <c r="D215">
        <v>80</v>
      </c>
      <c r="E215">
        <v>640</v>
      </c>
      <c r="F215">
        <v>660</v>
      </c>
      <c r="G215" s="9">
        <v>0</v>
      </c>
      <c r="H215" s="1">
        <v>42464</v>
      </c>
      <c r="I215" s="1">
        <v>42461</v>
      </c>
      <c r="J215" s="1">
        <v>73051</v>
      </c>
    </row>
    <row r="216" spans="1:10" x14ac:dyDescent="0.25">
      <c r="A216">
        <v>0</v>
      </c>
      <c r="B216">
        <v>650000</v>
      </c>
      <c r="C216">
        <v>0</v>
      </c>
      <c r="D216">
        <v>80</v>
      </c>
      <c r="E216">
        <v>620</v>
      </c>
      <c r="F216">
        <v>640</v>
      </c>
      <c r="G216" s="9">
        <v>0</v>
      </c>
      <c r="H216" s="1">
        <v>42464</v>
      </c>
      <c r="I216" s="1">
        <v>42461</v>
      </c>
      <c r="J216" s="1">
        <v>73051</v>
      </c>
    </row>
    <row r="217" spans="1:10" x14ac:dyDescent="0.25">
      <c r="A217">
        <v>0</v>
      </c>
      <c r="B217">
        <v>650000</v>
      </c>
      <c r="C217">
        <v>0</v>
      </c>
      <c r="D217">
        <v>80</v>
      </c>
      <c r="E217">
        <v>300</v>
      </c>
      <c r="F217">
        <v>620</v>
      </c>
      <c r="H217" s="1">
        <v>42464</v>
      </c>
      <c r="I217" s="1">
        <v>42461</v>
      </c>
      <c r="J217" s="1">
        <v>73051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2" sqref="B2"/>
    </sheetView>
  </sheetViews>
  <sheetFormatPr defaultRowHeight="15" x14ac:dyDescent="0.25"/>
  <cols>
    <col min="1" max="2" width="9.7109375" bestFit="1" customWidth="1"/>
  </cols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 s="1">
        <v>42464</v>
      </c>
      <c r="B2" s="1">
        <v>42461</v>
      </c>
      <c r="C2" s="1">
        <v>73051</v>
      </c>
    </row>
    <row r="3" spans="1:3" x14ac:dyDescent="0.25">
      <c r="A3" s="1">
        <v>41760</v>
      </c>
      <c r="B3" s="1">
        <v>41760</v>
      </c>
      <c r="C3" s="1">
        <v>42461</v>
      </c>
    </row>
    <row r="4" spans="1:3" x14ac:dyDescent="0.25">
      <c r="A4" s="1">
        <v>41487</v>
      </c>
      <c r="B4" s="1">
        <v>41487</v>
      </c>
      <c r="C4" s="1">
        <v>41760</v>
      </c>
    </row>
    <row r="5" spans="1:3" x14ac:dyDescent="0.25">
      <c r="A5" s="1">
        <v>41395</v>
      </c>
      <c r="B5" s="1">
        <v>41395</v>
      </c>
      <c r="C5" s="1">
        <v>41487</v>
      </c>
    </row>
    <row r="6" spans="1:3" x14ac:dyDescent="0.25">
      <c r="A6" s="1">
        <v>41306</v>
      </c>
      <c r="B6" s="1">
        <v>41306</v>
      </c>
      <c r="C6" s="1">
        <v>41395</v>
      </c>
    </row>
    <row r="7" spans="1:3" x14ac:dyDescent="0.25">
      <c r="A7" s="1">
        <v>40969</v>
      </c>
      <c r="B7" s="1">
        <v>40969</v>
      </c>
      <c r="C7" s="1">
        <v>41306</v>
      </c>
    </row>
    <row r="8" spans="1:3" x14ac:dyDescent="0.25">
      <c r="A8" s="1">
        <v>40756</v>
      </c>
      <c r="B8" s="1">
        <v>40756</v>
      </c>
      <c r="C8" s="1">
        <v>40969</v>
      </c>
    </row>
    <row r="9" spans="1:3" x14ac:dyDescent="0.25">
      <c r="A9" s="1">
        <v>40299</v>
      </c>
      <c r="B9" s="1">
        <v>40299</v>
      </c>
      <c r="C9" s="1">
        <v>40756</v>
      </c>
    </row>
    <row r="10" spans="1:3" x14ac:dyDescent="0.25">
      <c r="A10" s="1">
        <v>39873</v>
      </c>
      <c r="B10" s="1">
        <v>39873</v>
      </c>
      <c r="C10" s="1">
        <v>40299</v>
      </c>
    </row>
    <row r="11" spans="1:3" x14ac:dyDescent="0.25">
      <c r="A11" s="1">
        <v>38607</v>
      </c>
      <c r="B11" s="1">
        <v>1</v>
      </c>
      <c r="C11" s="1">
        <v>39873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2016</vt:lpstr>
      <vt:lpstr>2014</vt:lpstr>
      <vt:lpstr>2013</vt:lpstr>
      <vt:lpstr>2012</vt:lpstr>
      <vt:lpstr>2011</vt:lpstr>
      <vt:lpstr>2010</vt:lpstr>
      <vt:lpstr>2009</vt:lpstr>
      <vt:lpstr>2005</vt:lpstr>
      <vt:lpstr>PMIOcc</vt:lpstr>
      <vt:lpstr>PMILoanSize</vt:lpstr>
      <vt:lpstr>UpdateDate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2016-03-21T17:53:48Z</dcterms:modified>
</cp:coreProperties>
</file>