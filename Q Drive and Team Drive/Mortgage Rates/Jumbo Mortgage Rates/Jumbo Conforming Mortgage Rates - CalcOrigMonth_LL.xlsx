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255" windowWidth="17760" windowHeight="10500" activeTab="6"/>
  </bookViews>
  <sheets>
    <sheet name="WAC Differences" sheetId="3" r:id="rId1"/>
    <sheet name="Rate Differences - Credit" sheetId="8" r:id="rId2"/>
    <sheet name="LLPA Differences" sheetId="4" r:id="rId3"/>
    <sheet name="Issuance" sheetId="5" r:id="rId4"/>
    <sheet name="Rate Differences" sheetId="6" r:id="rId5"/>
    <sheet name="Sheet1" sheetId="9" r:id="rId6"/>
    <sheet name="Sheet2" sheetId="10" r:id="rId7"/>
  </sheets>
  <calcPr calcId="145621"/>
</workbook>
</file>

<file path=xl/calcChain.xml><?xml version="1.0" encoding="utf-8"?>
<calcChain xmlns="http://schemas.openxmlformats.org/spreadsheetml/2006/main">
  <c r="V9" i="6" l="1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8" i="6"/>
  <c r="AF156" i="3" l="1"/>
  <c r="AF157" i="3"/>
  <c r="AF158" i="3"/>
  <c r="AF159" i="3"/>
  <c r="AC156" i="3"/>
  <c r="AD156" i="3"/>
  <c r="AC157" i="3"/>
  <c r="AD157" i="3"/>
  <c r="AC158" i="3"/>
  <c r="AD158" i="3"/>
  <c r="AC159" i="3"/>
  <c r="AD159" i="3"/>
  <c r="AE156" i="3"/>
  <c r="AE157" i="3"/>
  <c r="AE158" i="3"/>
  <c r="AE159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4" i="3"/>
  <c r="BN3" i="8" l="1"/>
  <c r="BO3" i="8"/>
  <c r="BN4" i="8"/>
  <c r="BO4" i="8"/>
  <c r="BN5" i="8"/>
  <c r="BO5" i="8"/>
  <c r="BN6" i="8"/>
  <c r="BO6" i="8"/>
  <c r="BN7" i="8"/>
  <c r="BO7" i="8"/>
  <c r="BN8" i="8"/>
  <c r="BO8" i="8"/>
  <c r="BN9" i="8"/>
  <c r="BO9" i="8"/>
  <c r="BN10" i="8"/>
  <c r="BO10" i="8"/>
  <c r="BN11" i="8"/>
  <c r="BO11" i="8"/>
  <c r="BN12" i="8"/>
  <c r="BO12" i="8"/>
  <c r="BN13" i="8"/>
  <c r="BO13" i="8"/>
  <c r="BN14" i="8"/>
  <c r="BO14" i="8"/>
  <c r="BN15" i="8"/>
  <c r="BO15" i="8"/>
  <c r="BN16" i="8"/>
  <c r="BO16" i="8"/>
  <c r="BN17" i="8"/>
  <c r="BO17" i="8"/>
  <c r="BN18" i="8"/>
  <c r="BO18" i="8"/>
  <c r="BN19" i="8"/>
  <c r="BO19" i="8"/>
  <c r="BN20" i="8"/>
  <c r="BO20" i="8"/>
  <c r="BN21" i="8"/>
  <c r="BO21" i="8"/>
  <c r="BN22" i="8"/>
  <c r="BO22" i="8"/>
  <c r="BN23" i="8"/>
  <c r="BO23" i="8"/>
  <c r="BN24" i="8"/>
  <c r="BO24" i="8"/>
  <c r="BN25" i="8"/>
  <c r="BO25" i="8"/>
  <c r="BN26" i="8"/>
  <c r="BO26" i="8"/>
  <c r="BN27" i="8"/>
  <c r="BO27" i="8"/>
  <c r="BN28" i="8"/>
  <c r="BO28" i="8"/>
  <c r="BP28" i="8" s="1"/>
  <c r="BN29" i="8"/>
  <c r="BO29" i="8"/>
  <c r="BN30" i="8"/>
  <c r="BO30" i="8"/>
  <c r="BN31" i="8"/>
  <c r="BO31" i="8"/>
  <c r="BN32" i="8"/>
  <c r="BO32" i="8"/>
  <c r="BN33" i="8"/>
  <c r="BO33" i="8"/>
  <c r="BN34" i="8"/>
  <c r="BO34" i="8"/>
  <c r="BN36" i="8"/>
  <c r="BO36" i="8"/>
  <c r="BN37" i="8"/>
  <c r="BO37" i="8"/>
  <c r="BN38" i="8"/>
  <c r="BO38" i="8"/>
  <c r="BN39" i="8"/>
  <c r="BO39" i="8"/>
  <c r="BN40" i="8"/>
  <c r="BO40" i="8"/>
  <c r="BN41" i="8"/>
  <c r="BO41" i="8"/>
  <c r="BN42" i="8"/>
  <c r="BO42" i="8"/>
  <c r="BN43" i="8"/>
  <c r="BO43" i="8"/>
  <c r="BN44" i="8"/>
  <c r="BO44" i="8"/>
  <c r="BN45" i="8"/>
  <c r="BO45" i="8"/>
  <c r="BN46" i="8"/>
  <c r="BO46" i="8"/>
  <c r="BN47" i="8"/>
  <c r="BO47" i="8"/>
  <c r="BN48" i="8"/>
  <c r="BO48" i="8"/>
  <c r="BN49" i="8"/>
  <c r="BO49" i="8"/>
  <c r="BN50" i="8"/>
  <c r="BO50" i="8"/>
  <c r="BN51" i="8"/>
  <c r="BO51" i="8"/>
  <c r="BN52" i="8"/>
  <c r="BO52" i="8"/>
  <c r="BN53" i="8"/>
  <c r="BO53" i="8"/>
  <c r="BN54" i="8"/>
  <c r="BO54" i="8"/>
  <c r="BN55" i="8"/>
  <c r="BO55" i="8"/>
  <c r="BN56" i="8"/>
  <c r="BO56" i="8"/>
  <c r="BN57" i="8"/>
  <c r="BO57" i="8"/>
  <c r="BN58" i="8"/>
  <c r="BO58" i="8"/>
  <c r="BN59" i="8"/>
  <c r="BO59" i="8"/>
  <c r="BN60" i="8"/>
  <c r="BO60" i="8"/>
  <c r="BN61" i="8"/>
  <c r="BO61" i="8"/>
  <c r="BN62" i="8"/>
  <c r="BO62" i="8"/>
  <c r="BN63" i="8"/>
  <c r="BO63" i="8"/>
  <c r="BN64" i="8"/>
  <c r="BO64" i="8"/>
  <c r="BN65" i="8"/>
  <c r="BO65" i="8"/>
  <c r="BN66" i="8"/>
  <c r="BO66" i="8"/>
  <c r="BN67" i="8"/>
  <c r="BO67" i="8"/>
  <c r="BN68" i="8"/>
  <c r="BO68" i="8"/>
  <c r="BN69" i="8"/>
  <c r="BO69" i="8"/>
  <c r="BN70" i="8"/>
  <c r="BO70" i="8"/>
  <c r="BN71" i="8"/>
  <c r="BO71" i="8"/>
  <c r="BN72" i="8"/>
  <c r="BO72" i="8"/>
  <c r="BN73" i="8"/>
  <c r="BO73" i="8"/>
  <c r="BN74" i="8"/>
  <c r="BO74" i="8"/>
  <c r="BN75" i="8"/>
  <c r="BO75" i="8"/>
  <c r="BN76" i="8"/>
  <c r="BO76" i="8"/>
  <c r="BN77" i="8"/>
  <c r="BO77" i="8"/>
  <c r="BN78" i="8"/>
  <c r="BO78" i="8"/>
  <c r="BN79" i="8"/>
  <c r="BO79" i="8"/>
  <c r="BN80" i="8"/>
  <c r="BO80" i="8"/>
  <c r="BN81" i="8"/>
  <c r="BO81" i="8"/>
  <c r="BN82" i="8"/>
  <c r="BO82" i="8"/>
  <c r="BN83" i="8"/>
  <c r="BO83" i="8"/>
  <c r="BN84" i="8"/>
  <c r="BO84" i="8"/>
  <c r="BN85" i="8"/>
  <c r="BO85" i="8"/>
  <c r="BN86" i="8"/>
  <c r="BO86" i="8"/>
  <c r="BN87" i="8"/>
  <c r="BO87" i="8"/>
  <c r="BN88" i="8"/>
  <c r="BO88" i="8"/>
  <c r="BN89" i="8"/>
  <c r="BO89" i="8"/>
  <c r="BN90" i="8"/>
  <c r="BO90" i="8"/>
  <c r="BN91" i="8"/>
  <c r="BO91" i="8"/>
  <c r="BN92" i="8"/>
  <c r="BO92" i="8"/>
  <c r="BN93" i="8"/>
  <c r="BO93" i="8"/>
  <c r="BN94" i="8"/>
  <c r="BO94" i="8"/>
  <c r="BN95" i="8"/>
  <c r="BO95" i="8"/>
  <c r="BN96" i="8"/>
  <c r="BO96" i="8"/>
  <c r="BN97" i="8"/>
  <c r="BO97" i="8"/>
  <c r="BN98" i="8"/>
  <c r="BO98" i="8"/>
  <c r="BN99" i="8"/>
  <c r="BO99" i="8"/>
  <c r="BN100" i="8"/>
  <c r="BO100" i="8"/>
  <c r="BN101" i="8"/>
  <c r="BO101" i="8"/>
  <c r="BN102" i="8"/>
  <c r="BO102" i="8"/>
  <c r="BN103" i="8"/>
  <c r="BO103" i="8"/>
  <c r="BN104" i="8"/>
  <c r="BO104" i="8"/>
  <c r="BN105" i="8"/>
  <c r="BO105" i="8"/>
  <c r="BN106" i="8"/>
  <c r="BO106" i="8"/>
  <c r="BN107" i="8"/>
  <c r="BO107" i="8"/>
  <c r="BN108" i="8"/>
  <c r="BO108" i="8"/>
  <c r="BN109" i="8"/>
  <c r="BO109" i="8"/>
  <c r="BN110" i="8"/>
  <c r="BO110" i="8"/>
  <c r="BN111" i="8"/>
  <c r="BO111" i="8"/>
  <c r="BN112" i="8"/>
  <c r="BO112" i="8"/>
  <c r="BN113" i="8"/>
  <c r="BO113" i="8"/>
  <c r="BN114" i="8"/>
  <c r="BO114" i="8"/>
  <c r="BN115" i="8"/>
  <c r="BO115" i="8"/>
  <c r="BN116" i="8"/>
  <c r="BO116" i="8"/>
  <c r="BN117" i="8"/>
  <c r="BO117" i="8"/>
  <c r="BN118" i="8"/>
  <c r="BO118" i="8"/>
  <c r="BN119" i="8"/>
  <c r="BO119" i="8"/>
  <c r="BN120" i="8"/>
  <c r="BO120" i="8"/>
  <c r="BN121" i="8"/>
  <c r="BO121" i="8"/>
  <c r="BN122" i="8"/>
  <c r="BO122" i="8"/>
  <c r="BN123" i="8"/>
  <c r="BO123" i="8"/>
  <c r="BN124" i="8"/>
  <c r="BO124" i="8"/>
  <c r="BN125" i="8"/>
  <c r="BO125" i="8"/>
  <c r="BN126" i="8"/>
  <c r="BO126" i="8"/>
  <c r="BN127" i="8"/>
  <c r="BO127" i="8"/>
  <c r="BN128" i="8"/>
  <c r="BO128" i="8"/>
  <c r="BN129" i="8"/>
  <c r="BO129" i="8"/>
  <c r="BN130" i="8"/>
  <c r="BO130" i="8"/>
  <c r="BN131" i="8"/>
  <c r="BO131" i="8"/>
  <c r="BN132" i="8"/>
  <c r="BO132" i="8"/>
  <c r="BN133" i="8"/>
  <c r="BO133" i="8"/>
  <c r="BN134" i="8"/>
  <c r="BO134" i="8"/>
  <c r="BN135" i="8"/>
  <c r="BO135" i="8"/>
  <c r="BN136" i="8"/>
  <c r="BO136" i="8"/>
  <c r="BN137" i="8"/>
  <c r="BO137" i="8"/>
  <c r="BN138" i="8"/>
  <c r="BO138" i="8"/>
  <c r="BN139" i="8"/>
  <c r="BO139" i="8"/>
  <c r="BN140" i="8"/>
  <c r="BO140" i="8"/>
  <c r="BN141" i="8"/>
  <c r="BO141" i="8"/>
  <c r="BN142" i="8"/>
  <c r="BO142" i="8"/>
  <c r="BO35" i="8"/>
  <c r="BN35" i="8"/>
  <c r="BL4" i="8"/>
  <c r="BM4" i="8"/>
  <c r="BL5" i="8"/>
  <c r="BM5" i="8"/>
  <c r="BL6" i="8"/>
  <c r="BM6" i="8"/>
  <c r="BL7" i="8"/>
  <c r="BM7" i="8"/>
  <c r="BL8" i="8"/>
  <c r="BM8" i="8"/>
  <c r="BL9" i="8"/>
  <c r="BM9" i="8"/>
  <c r="BL10" i="8"/>
  <c r="BM10" i="8"/>
  <c r="BL11" i="8"/>
  <c r="BM11" i="8"/>
  <c r="BL12" i="8"/>
  <c r="BM12" i="8"/>
  <c r="BL13" i="8"/>
  <c r="BM13" i="8"/>
  <c r="BL14" i="8"/>
  <c r="BM14" i="8"/>
  <c r="BL15" i="8"/>
  <c r="BM15" i="8"/>
  <c r="BL16" i="8"/>
  <c r="BM16" i="8"/>
  <c r="BL17" i="8"/>
  <c r="BM17" i="8"/>
  <c r="BL18" i="8"/>
  <c r="BM18" i="8"/>
  <c r="BL19" i="8"/>
  <c r="BM19" i="8"/>
  <c r="BL20" i="8"/>
  <c r="BM20" i="8"/>
  <c r="BL21" i="8"/>
  <c r="BM21" i="8"/>
  <c r="BL22" i="8"/>
  <c r="BM22" i="8"/>
  <c r="BL23" i="8"/>
  <c r="BM23" i="8"/>
  <c r="BL24" i="8"/>
  <c r="BM24" i="8"/>
  <c r="BL25" i="8"/>
  <c r="BM25" i="8"/>
  <c r="BL26" i="8"/>
  <c r="BM26" i="8"/>
  <c r="BL27" i="8"/>
  <c r="BP27" i="8" s="1"/>
  <c r="BM27" i="8"/>
  <c r="BL28" i="8"/>
  <c r="BM28" i="8"/>
  <c r="BL29" i="8"/>
  <c r="BM29" i="8"/>
  <c r="BL30" i="8"/>
  <c r="BM30" i="8"/>
  <c r="BL31" i="8"/>
  <c r="BM31" i="8"/>
  <c r="BL32" i="8"/>
  <c r="BM32" i="8"/>
  <c r="BL33" i="8"/>
  <c r="BM33" i="8"/>
  <c r="BL34" i="8"/>
  <c r="BM34" i="8"/>
  <c r="BL35" i="8"/>
  <c r="BM35" i="8"/>
  <c r="BL36" i="8"/>
  <c r="BM36" i="8"/>
  <c r="BL37" i="8"/>
  <c r="BM37" i="8"/>
  <c r="BL38" i="8"/>
  <c r="BM38" i="8"/>
  <c r="BL39" i="8"/>
  <c r="BM39" i="8"/>
  <c r="BL40" i="8"/>
  <c r="BM40" i="8"/>
  <c r="BL41" i="8"/>
  <c r="BM41" i="8"/>
  <c r="BL42" i="8"/>
  <c r="BM42" i="8"/>
  <c r="BL43" i="8"/>
  <c r="BM43" i="8"/>
  <c r="BL44" i="8"/>
  <c r="BP44" i="8" s="1"/>
  <c r="BM44" i="8"/>
  <c r="BL45" i="8"/>
  <c r="BM45" i="8"/>
  <c r="BL46" i="8"/>
  <c r="BM46" i="8"/>
  <c r="BL47" i="8"/>
  <c r="BM47" i="8"/>
  <c r="BL48" i="8"/>
  <c r="BM48" i="8"/>
  <c r="BL49" i="8"/>
  <c r="BM49" i="8"/>
  <c r="BL50" i="8"/>
  <c r="BM50" i="8"/>
  <c r="BL51" i="8"/>
  <c r="BM51" i="8"/>
  <c r="BL52" i="8"/>
  <c r="BM52" i="8"/>
  <c r="BL53" i="8"/>
  <c r="BM53" i="8"/>
  <c r="BL54" i="8"/>
  <c r="BM54" i="8"/>
  <c r="BL55" i="8"/>
  <c r="BM55" i="8"/>
  <c r="BL56" i="8"/>
  <c r="BM56" i="8"/>
  <c r="BL57" i="8"/>
  <c r="BM57" i="8"/>
  <c r="BL58" i="8"/>
  <c r="BM58" i="8"/>
  <c r="BL59" i="8"/>
  <c r="BM59" i="8"/>
  <c r="BL60" i="8"/>
  <c r="BM60" i="8"/>
  <c r="BL61" i="8"/>
  <c r="BM61" i="8"/>
  <c r="BL62" i="8"/>
  <c r="BM62" i="8"/>
  <c r="BL63" i="8"/>
  <c r="BM63" i="8"/>
  <c r="BL64" i="8"/>
  <c r="BM64" i="8"/>
  <c r="BL65" i="8"/>
  <c r="BM65" i="8"/>
  <c r="BL66" i="8"/>
  <c r="BM66" i="8"/>
  <c r="BL67" i="8"/>
  <c r="BM67" i="8"/>
  <c r="BL68" i="8"/>
  <c r="BM68" i="8"/>
  <c r="BL69" i="8"/>
  <c r="BM69" i="8"/>
  <c r="BL70" i="8"/>
  <c r="BM70" i="8"/>
  <c r="BL71" i="8"/>
  <c r="BM71" i="8"/>
  <c r="BL72" i="8"/>
  <c r="BM72" i="8"/>
  <c r="BL73" i="8"/>
  <c r="BM73" i="8"/>
  <c r="BL74" i="8"/>
  <c r="BM74" i="8"/>
  <c r="BL75" i="8"/>
  <c r="BM75" i="8"/>
  <c r="BL76" i="8"/>
  <c r="BM76" i="8"/>
  <c r="BL77" i="8"/>
  <c r="BM77" i="8"/>
  <c r="BL78" i="8"/>
  <c r="BM78" i="8"/>
  <c r="BL79" i="8"/>
  <c r="BM79" i="8"/>
  <c r="BL80" i="8"/>
  <c r="BM80" i="8"/>
  <c r="BL81" i="8"/>
  <c r="BM81" i="8"/>
  <c r="BL82" i="8"/>
  <c r="BM82" i="8"/>
  <c r="BL83" i="8"/>
  <c r="BM83" i="8"/>
  <c r="BL84" i="8"/>
  <c r="BM84" i="8"/>
  <c r="BL85" i="8"/>
  <c r="BM85" i="8"/>
  <c r="BL86" i="8"/>
  <c r="BM86" i="8"/>
  <c r="BL87" i="8"/>
  <c r="BM87" i="8"/>
  <c r="BL88" i="8"/>
  <c r="BM88" i="8"/>
  <c r="BL89" i="8"/>
  <c r="BM89" i="8"/>
  <c r="BL90" i="8"/>
  <c r="BM90" i="8"/>
  <c r="BL91" i="8"/>
  <c r="BM91" i="8"/>
  <c r="BL92" i="8"/>
  <c r="BM92" i="8"/>
  <c r="BL93" i="8"/>
  <c r="BM93" i="8"/>
  <c r="BL94" i="8"/>
  <c r="BM94" i="8"/>
  <c r="BL95" i="8"/>
  <c r="BM95" i="8"/>
  <c r="BL96" i="8"/>
  <c r="BM96" i="8"/>
  <c r="BL97" i="8"/>
  <c r="BM97" i="8"/>
  <c r="BL98" i="8"/>
  <c r="BM98" i="8"/>
  <c r="BL99" i="8"/>
  <c r="BM99" i="8"/>
  <c r="BL100" i="8"/>
  <c r="BM100" i="8"/>
  <c r="BL101" i="8"/>
  <c r="BM101" i="8"/>
  <c r="BL102" i="8"/>
  <c r="BM102" i="8"/>
  <c r="BL103" i="8"/>
  <c r="BM103" i="8"/>
  <c r="BL104" i="8"/>
  <c r="BM104" i="8"/>
  <c r="BL105" i="8"/>
  <c r="BM105" i="8"/>
  <c r="BL106" i="8"/>
  <c r="BM106" i="8"/>
  <c r="BL107" i="8"/>
  <c r="BM107" i="8"/>
  <c r="BL108" i="8"/>
  <c r="BM108" i="8"/>
  <c r="BL109" i="8"/>
  <c r="BM109" i="8"/>
  <c r="BL110" i="8"/>
  <c r="BM110" i="8"/>
  <c r="BL111" i="8"/>
  <c r="BM111" i="8"/>
  <c r="BL112" i="8"/>
  <c r="BM112" i="8"/>
  <c r="BL113" i="8"/>
  <c r="BM113" i="8"/>
  <c r="BL114" i="8"/>
  <c r="BM114" i="8"/>
  <c r="BL115" i="8"/>
  <c r="BM115" i="8"/>
  <c r="BL116" i="8"/>
  <c r="BM116" i="8"/>
  <c r="BL117" i="8"/>
  <c r="BM117" i="8"/>
  <c r="BL118" i="8"/>
  <c r="BM118" i="8"/>
  <c r="BL119" i="8"/>
  <c r="BM119" i="8"/>
  <c r="BL120" i="8"/>
  <c r="BM120" i="8"/>
  <c r="BL121" i="8"/>
  <c r="BM121" i="8"/>
  <c r="BL122" i="8"/>
  <c r="BM122" i="8"/>
  <c r="BL123" i="8"/>
  <c r="BM123" i="8"/>
  <c r="BL124" i="8"/>
  <c r="BM124" i="8"/>
  <c r="BL125" i="8"/>
  <c r="BM125" i="8"/>
  <c r="BL126" i="8"/>
  <c r="BM126" i="8"/>
  <c r="BL127" i="8"/>
  <c r="BM127" i="8"/>
  <c r="BL128" i="8"/>
  <c r="BM128" i="8"/>
  <c r="BL129" i="8"/>
  <c r="BM129" i="8"/>
  <c r="BL130" i="8"/>
  <c r="BM130" i="8"/>
  <c r="BL131" i="8"/>
  <c r="BM131" i="8"/>
  <c r="BL132" i="8"/>
  <c r="BM132" i="8"/>
  <c r="BL133" i="8"/>
  <c r="BM133" i="8"/>
  <c r="BL134" i="8"/>
  <c r="BM134" i="8"/>
  <c r="BL135" i="8"/>
  <c r="BM135" i="8"/>
  <c r="BL136" i="8"/>
  <c r="BM136" i="8"/>
  <c r="BL137" i="8"/>
  <c r="BM137" i="8"/>
  <c r="BL138" i="8"/>
  <c r="BM138" i="8"/>
  <c r="BL139" i="8"/>
  <c r="BM139" i="8"/>
  <c r="BL140" i="8"/>
  <c r="BM140" i="8"/>
  <c r="BL141" i="8"/>
  <c r="BM141" i="8"/>
  <c r="BL142" i="8"/>
  <c r="BM142" i="8"/>
  <c r="BM3" i="8"/>
  <c r="BL3" i="8"/>
  <c r="BI3" i="8"/>
  <c r="BI4" i="8"/>
  <c r="BI5" i="8"/>
  <c r="BI6" i="8"/>
  <c r="BI7" i="8"/>
  <c r="BI8" i="8"/>
  <c r="BI9" i="8"/>
  <c r="BI10" i="8"/>
  <c r="BI11" i="8"/>
  <c r="BI12" i="8"/>
  <c r="BI13" i="8"/>
  <c r="BI14" i="8"/>
  <c r="BI15" i="8"/>
  <c r="BI16" i="8"/>
  <c r="BI17" i="8"/>
  <c r="BI18" i="8"/>
  <c r="BI19" i="8"/>
  <c r="BI20" i="8"/>
  <c r="BI21" i="8"/>
  <c r="BI22" i="8"/>
  <c r="BI23" i="8"/>
  <c r="BI24" i="8"/>
  <c r="BI25" i="8"/>
  <c r="BI26" i="8"/>
  <c r="BI27" i="8"/>
  <c r="BI28" i="8"/>
  <c r="BI29" i="8"/>
  <c r="BI30" i="8"/>
  <c r="BI31" i="8"/>
  <c r="BI32" i="8"/>
  <c r="BI33" i="8"/>
  <c r="BI34" i="8"/>
  <c r="BJ3" i="8"/>
  <c r="BJ4" i="8"/>
  <c r="BJ5" i="8"/>
  <c r="BJ6" i="8"/>
  <c r="BJ7" i="8"/>
  <c r="BJ8" i="8"/>
  <c r="BJ9" i="8"/>
  <c r="BJ10" i="8"/>
  <c r="BJ11" i="8"/>
  <c r="BJ12" i="8"/>
  <c r="BJ13" i="8"/>
  <c r="BJ14" i="8"/>
  <c r="BJ15" i="8"/>
  <c r="BJ16" i="8"/>
  <c r="BJ17" i="8"/>
  <c r="BJ18" i="8"/>
  <c r="BJ19" i="8"/>
  <c r="BJ20" i="8"/>
  <c r="BJ21" i="8"/>
  <c r="BJ22" i="8"/>
  <c r="BJ23" i="8"/>
  <c r="BJ24" i="8"/>
  <c r="BJ25" i="8"/>
  <c r="BJ26" i="8"/>
  <c r="BJ27" i="8"/>
  <c r="BJ28" i="8"/>
  <c r="BJ29" i="8"/>
  <c r="BJ30" i="8"/>
  <c r="BJ31" i="8"/>
  <c r="BJ32" i="8"/>
  <c r="BJ33" i="8"/>
  <c r="BJ34" i="8"/>
  <c r="BJ36" i="8"/>
  <c r="BJ37" i="8"/>
  <c r="BJ38" i="8"/>
  <c r="BJ39" i="8"/>
  <c r="BJ40" i="8"/>
  <c r="BJ41" i="8"/>
  <c r="BJ42" i="8"/>
  <c r="BJ43" i="8"/>
  <c r="BJ44" i="8"/>
  <c r="BJ45" i="8"/>
  <c r="BJ46" i="8"/>
  <c r="BJ47" i="8"/>
  <c r="BJ48" i="8"/>
  <c r="BJ49" i="8"/>
  <c r="BJ50" i="8"/>
  <c r="BJ51" i="8"/>
  <c r="BJ52" i="8"/>
  <c r="BJ53" i="8"/>
  <c r="BJ54" i="8"/>
  <c r="BJ55" i="8"/>
  <c r="BJ56" i="8"/>
  <c r="BJ57" i="8"/>
  <c r="BJ58" i="8"/>
  <c r="BJ59" i="8"/>
  <c r="BJ60" i="8"/>
  <c r="BJ61" i="8"/>
  <c r="BJ62" i="8"/>
  <c r="BJ63" i="8"/>
  <c r="BJ64" i="8"/>
  <c r="BJ65" i="8"/>
  <c r="BJ66" i="8"/>
  <c r="BJ67" i="8"/>
  <c r="BJ68" i="8"/>
  <c r="BJ69" i="8"/>
  <c r="BJ70" i="8"/>
  <c r="BJ71" i="8"/>
  <c r="BJ72" i="8"/>
  <c r="BJ73" i="8"/>
  <c r="BJ74" i="8"/>
  <c r="BJ75" i="8"/>
  <c r="BJ76" i="8"/>
  <c r="BJ77" i="8"/>
  <c r="BJ78" i="8"/>
  <c r="BJ79" i="8"/>
  <c r="BJ80" i="8"/>
  <c r="BJ81" i="8"/>
  <c r="BJ82" i="8"/>
  <c r="BJ83" i="8"/>
  <c r="BJ84" i="8"/>
  <c r="BJ85" i="8"/>
  <c r="BJ86" i="8"/>
  <c r="BJ87" i="8"/>
  <c r="BJ88" i="8"/>
  <c r="BJ89" i="8"/>
  <c r="BJ90" i="8"/>
  <c r="BJ91" i="8"/>
  <c r="BJ92" i="8"/>
  <c r="BJ93" i="8"/>
  <c r="BJ94" i="8"/>
  <c r="BJ95" i="8"/>
  <c r="BJ96" i="8"/>
  <c r="BJ97" i="8"/>
  <c r="BJ98" i="8"/>
  <c r="BJ99" i="8"/>
  <c r="BJ100" i="8"/>
  <c r="BJ101" i="8"/>
  <c r="BJ102" i="8"/>
  <c r="BJ103" i="8"/>
  <c r="BJ104" i="8"/>
  <c r="BJ105" i="8"/>
  <c r="BJ106" i="8"/>
  <c r="BJ107" i="8"/>
  <c r="BJ108" i="8"/>
  <c r="BJ109" i="8"/>
  <c r="BJ110" i="8"/>
  <c r="BJ111" i="8"/>
  <c r="BJ112" i="8"/>
  <c r="BJ113" i="8"/>
  <c r="BJ114" i="8"/>
  <c r="BJ115" i="8"/>
  <c r="BJ116" i="8"/>
  <c r="BJ117" i="8"/>
  <c r="BJ118" i="8"/>
  <c r="BJ119" i="8"/>
  <c r="BJ120" i="8"/>
  <c r="BJ121" i="8"/>
  <c r="BJ122" i="8"/>
  <c r="BJ123" i="8"/>
  <c r="BJ124" i="8"/>
  <c r="BJ125" i="8"/>
  <c r="BJ126" i="8"/>
  <c r="BJ127" i="8"/>
  <c r="BJ128" i="8"/>
  <c r="BJ129" i="8"/>
  <c r="BJ130" i="8"/>
  <c r="BJ131" i="8"/>
  <c r="BJ132" i="8"/>
  <c r="BJ133" i="8"/>
  <c r="BJ134" i="8"/>
  <c r="BJ135" i="8"/>
  <c r="BJ136" i="8"/>
  <c r="BJ137" i="8"/>
  <c r="BJ138" i="8"/>
  <c r="BJ139" i="8"/>
  <c r="BJ140" i="8"/>
  <c r="BJ141" i="8"/>
  <c r="BJ142" i="8"/>
  <c r="BJ35" i="8"/>
  <c r="BI36" i="8"/>
  <c r="BI37" i="8"/>
  <c r="BI38" i="8"/>
  <c r="BI39" i="8"/>
  <c r="BI40" i="8"/>
  <c r="BI41" i="8"/>
  <c r="BI42" i="8"/>
  <c r="BI43" i="8"/>
  <c r="BI44" i="8"/>
  <c r="BI45" i="8"/>
  <c r="BI46" i="8"/>
  <c r="BI47" i="8"/>
  <c r="BI48" i="8"/>
  <c r="BI49" i="8"/>
  <c r="BI50" i="8"/>
  <c r="BI51" i="8"/>
  <c r="BI52" i="8"/>
  <c r="BI53" i="8"/>
  <c r="BI54" i="8"/>
  <c r="BI55" i="8"/>
  <c r="BI56" i="8"/>
  <c r="BI57" i="8"/>
  <c r="BI58" i="8"/>
  <c r="BI59" i="8"/>
  <c r="BI60" i="8"/>
  <c r="BI61" i="8"/>
  <c r="BI62" i="8"/>
  <c r="BI63" i="8"/>
  <c r="BI64" i="8"/>
  <c r="BI65" i="8"/>
  <c r="BI66" i="8"/>
  <c r="BI67" i="8"/>
  <c r="BI68" i="8"/>
  <c r="BI69" i="8"/>
  <c r="BI70" i="8"/>
  <c r="BI71" i="8"/>
  <c r="BI72" i="8"/>
  <c r="BI73" i="8"/>
  <c r="BI74" i="8"/>
  <c r="BI75" i="8"/>
  <c r="BI76" i="8"/>
  <c r="BI77" i="8"/>
  <c r="BI78" i="8"/>
  <c r="BI79" i="8"/>
  <c r="BI80" i="8"/>
  <c r="BI81" i="8"/>
  <c r="BI82" i="8"/>
  <c r="BI83" i="8"/>
  <c r="BI84" i="8"/>
  <c r="BI85" i="8"/>
  <c r="BI86" i="8"/>
  <c r="BI87" i="8"/>
  <c r="BI88" i="8"/>
  <c r="BI89" i="8"/>
  <c r="BI90" i="8"/>
  <c r="BI91" i="8"/>
  <c r="BI92" i="8"/>
  <c r="BI93" i="8"/>
  <c r="BI94" i="8"/>
  <c r="BI95" i="8"/>
  <c r="BI96" i="8"/>
  <c r="BI97" i="8"/>
  <c r="BI98" i="8"/>
  <c r="BI99" i="8"/>
  <c r="BI100" i="8"/>
  <c r="BI101" i="8"/>
  <c r="BI102" i="8"/>
  <c r="BI103" i="8"/>
  <c r="BI104" i="8"/>
  <c r="BI105" i="8"/>
  <c r="BI106" i="8"/>
  <c r="BI107" i="8"/>
  <c r="BI108" i="8"/>
  <c r="BI109" i="8"/>
  <c r="BI110" i="8"/>
  <c r="BI111" i="8"/>
  <c r="BI112" i="8"/>
  <c r="BI113" i="8"/>
  <c r="BI114" i="8"/>
  <c r="BI115" i="8"/>
  <c r="BI116" i="8"/>
  <c r="BI117" i="8"/>
  <c r="BI118" i="8"/>
  <c r="BI119" i="8"/>
  <c r="BI120" i="8"/>
  <c r="BI121" i="8"/>
  <c r="BI122" i="8"/>
  <c r="BI123" i="8"/>
  <c r="BI124" i="8"/>
  <c r="BI125" i="8"/>
  <c r="BI126" i="8"/>
  <c r="BI127" i="8"/>
  <c r="BI128" i="8"/>
  <c r="BI129" i="8"/>
  <c r="BI130" i="8"/>
  <c r="BI131" i="8"/>
  <c r="BI132" i="8"/>
  <c r="BI133" i="8"/>
  <c r="BI134" i="8"/>
  <c r="BI135" i="8"/>
  <c r="BI136" i="8"/>
  <c r="BI137" i="8"/>
  <c r="BI138" i="8"/>
  <c r="BI139" i="8"/>
  <c r="BI140" i="8"/>
  <c r="BI141" i="8"/>
  <c r="BI142" i="8"/>
  <c r="BI35" i="8"/>
  <c r="BH4" i="8"/>
  <c r="BH5" i="8"/>
  <c r="BH6" i="8"/>
  <c r="BH7" i="8"/>
  <c r="BH8" i="8"/>
  <c r="BH9" i="8"/>
  <c r="BH10" i="8"/>
  <c r="BH11" i="8"/>
  <c r="BH12" i="8"/>
  <c r="BH13" i="8"/>
  <c r="BH14" i="8"/>
  <c r="BH15" i="8"/>
  <c r="BH16" i="8"/>
  <c r="BH17" i="8"/>
  <c r="BH18" i="8"/>
  <c r="BH19" i="8"/>
  <c r="BH20" i="8"/>
  <c r="BH21" i="8"/>
  <c r="BH22" i="8"/>
  <c r="BH23" i="8"/>
  <c r="BH24" i="8"/>
  <c r="BH25" i="8"/>
  <c r="BH26" i="8"/>
  <c r="BH27" i="8"/>
  <c r="BH28" i="8"/>
  <c r="BH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49" i="8"/>
  <c r="BH50" i="8"/>
  <c r="BH51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79" i="8"/>
  <c r="BH80" i="8"/>
  <c r="BH81" i="8"/>
  <c r="BH82" i="8"/>
  <c r="BH83" i="8"/>
  <c r="BH84" i="8"/>
  <c r="BH85" i="8"/>
  <c r="BH86" i="8"/>
  <c r="BH87" i="8"/>
  <c r="BH88" i="8"/>
  <c r="BH89" i="8"/>
  <c r="BH90" i="8"/>
  <c r="BH91" i="8"/>
  <c r="BH92" i="8"/>
  <c r="BH93" i="8"/>
  <c r="BH94" i="8"/>
  <c r="BH95" i="8"/>
  <c r="BH96" i="8"/>
  <c r="BH97" i="8"/>
  <c r="BH98" i="8"/>
  <c r="BH99" i="8"/>
  <c r="BH100" i="8"/>
  <c r="BH101" i="8"/>
  <c r="BH102" i="8"/>
  <c r="BH103" i="8"/>
  <c r="BH104" i="8"/>
  <c r="BH105" i="8"/>
  <c r="BH106" i="8"/>
  <c r="BH107" i="8"/>
  <c r="BH108" i="8"/>
  <c r="BH109" i="8"/>
  <c r="BH110" i="8"/>
  <c r="BH111" i="8"/>
  <c r="BH112" i="8"/>
  <c r="BH113" i="8"/>
  <c r="BH114" i="8"/>
  <c r="BH115" i="8"/>
  <c r="BH116" i="8"/>
  <c r="BH117" i="8"/>
  <c r="BH118" i="8"/>
  <c r="BH119" i="8"/>
  <c r="BH120" i="8"/>
  <c r="BH121" i="8"/>
  <c r="BH122" i="8"/>
  <c r="BH123" i="8"/>
  <c r="BH124" i="8"/>
  <c r="BH125" i="8"/>
  <c r="BH126" i="8"/>
  <c r="BH127" i="8"/>
  <c r="BH128" i="8"/>
  <c r="BH129" i="8"/>
  <c r="BH130" i="8"/>
  <c r="BH131" i="8"/>
  <c r="BH132" i="8"/>
  <c r="BH133" i="8"/>
  <c r="BH134" i="8"/>
  <c r="BH135" i="8"/>
  <c r="BH136" i="8"/>
  <c r="BH137" i="8"/>
  <c r="BH138" i="8"/>
  <c r="BH139" i="8"/>
  <c r="BH140" i="8"/>
  <c r="BH141" i="8"/>
  <c r="BH142" i="8"/>
  <c r="BH3" i="8"/>
  <c r="BG4" i="8"/>
  <c r="BG5" i="8"/>
  <c r="BG6" i="8"/>
  <c r="BG7" i="8"/>
  <c r="BG8" i="8"/>
  <c r="BG9" i="8"/>
  <c r="BG10" i="8"/>
  <c r="BG11" i="8"/>
  <c r="BG12" i="8"/>
  <c r="BG13" i="8"/>
  <c r="BG14" i="8"/>
  <c r="BG15" i="8"/>
  <c r="BG16" i="8"/>
  <c r="BG17" i="8"/>
  <c r="BG18" i="8"/>
  <c r="BG19" i="8"/>
  <c r="BG20" i="8"/>
  <c r="BG21" i="8"/>
  <c r="BG22" i="8"/>
  <c r="BG23" i="8"/>
  <c r="BG24" i="8"/>
  <c r="BG25" i="8"/>
  <c r="BG26" i="8"/>
  <c r="BG27" i="8"/>
  <c r="BG28" i="8"/>
  <c r="BG29" i="8"/>
  <c r="BG30" i="8"/>
  <c r="BK30" i="8" s="1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49" i="8"/>
  <c r="BG50" i="8"/>
  <c r="BG51" i="8"/>
  <c r="BG52" i="8"/>
  <c r="BG53" i="8"/>
  <c r="BG54" i="8"/>
  <c r="BG55" i="8"/>
  <c r="BG56" i="8"/>
  <c r="BG57" i="8"/>
  <c r="BG58" i="8"/>
  <c r="BG59" i="8"/>
  <c r="BG60" i="8"/>
  <c r="BG61" i="8"/>
  <c r="BG62" i="8"/>
  <c r="BG63" i="8"/>
  <c r="BG64" i="8"/>
  <c r="BG65" i="8"/>
  <c r="BG66" i="8"/>
  <c r="BG67" i="8"/>
  <c r="BG68" i="8"/>
  <c r="BG69" i="8"/>
  <c r="BG70" i="8"/>
  <c r="BG71" i="8"/>
  <c r="BG72" i="8"/>
  <c r="BG73" i="8"/>
  <c r="BG74" i="8"/>
  <c r="BG75" i="8"/>
  <c r="BG76" i="8"/>
  <c r="BG77" i="8"/>
  <c r="BG78" i="8"/>
  <c r="BG79" i="8"/>
  <c r="BG80" i="8"/>
  <c r="BG81" i="8"/>
  <c r="BG82" i="8"/>
  <c r="BG83" i="8"/>
  <c r="BG84" i="8"/>
  <c r="BG85" i="8"/>
  <c r="BG86" i="8"/>
  <c r="BK86" i="8" s="1"/>
  <c r="BG87" i="8"/>
  <c r="BG88" i="8"/>
  <c r="BG89" i="8"/>
  <c r="BG90" i="8"/>
  <c r="BG91" i="8"/>
  <c r="BG92" i="8"/>
  <c r="BG93" i="8"/>
  <c r="BG94" i="8"/>
  <c r="BG95" i="8"/>
  <c r="BG96" i="8"/>
  <c r="BG97" i="8"/>
  <c r="BG98" i="8"/>
  <c r="BG99" i="8"/>
  <c r="BG100" i="8"/>
  <c r="BG101" i="8"/>
  <c r="BG102" i="8"/>
  <c r="BG103" i="8"/>
  <c r="BG104" i="8"/>
  <c r="BG105" i="8"/>
  <c r="BG106" i="8"/>
  <c r="BG107" i="8"/>
  <c r="BG108" i="8"/>
  <c r="BG109" i="8"/>
  <c r="BG110" i="8"/>
  <c r="BG111" i="8"/>
  <c r="BG112" i="8"/>
  <c r="BG113" i="8"/>
  <c r="BG114" i="8"/>
  <c r="BG115" i="8"/>
  <c r="BG116" i="8"/>
  <c r="BG117" i="8"/>
  <c r="BG118" i="8"/>
  <c r="BG119" i="8"/>
  <c r="BG120" i="8"/>
  <c r="BG121" i="8"/>
  <c r="BG122" i="8"/>
  <c r="BG123" i="8"/>
  <c r="BG124" i="8"/>
  <c r="BG125" i="8"/>
  <c r="BG126" i="8"/>
  <c r="BG127" i="8"/>
  <c r="BG128" i="8"/>
  <c r="BG129" i="8"/>
  <c r="BG130" i="8"/>
  <c r="BG131" i="8"/>
  <c r="BG132" i="8"/>
  <c r="BG133" i="8"/>
  <c r="BG134" i="8"/>
  <c r="BG135" i="8"/>
  <c r="BG136" i="8"/>
  <c r="BG137" i="8"/>
  <c r="BG138" i="8"/>
  <c r="BG139" i="8"/>
  <c r="BG140" i="8"/>
  <c r="BG141" i="8"/>
  <c r="BG142" i="8"/>
  <c r="BG3" i="8"/>
  <c r="BF4" i="8"/>
  <c r="BF5" i="8"/>
  <c r="BF6" i="8"/>
  <c r="BF7" i="8"/>
  <c r="BF8" i="8"/>
  <c r="BF9" i="8"/>
  <c r="BF10" i="8"/>
  <c r="BF11" i="8"/>
  <c r="BF12" i="8"/>
  <c r="BF13" i="8"/>
  <c r="BF14" i="8"/>
  <c r="BF15" i="8"/>
  <c r="BF16" i="8"/>
  <c r="BF17" i="8"/>
  <c r="BF18" i="8"/>
  <c r="BF19" i="8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53" i="8"/>
  <c r="BF54" i="8"/>
  <c r="BF55" i="8"/>
  <c r="BF56" i="8"/>
  <c r="BF57" i="8"/>
  <c r="BF58" i="8"/>
  <c r="BF59" i="8"/>
  <c r="BF60" i="8"/>
  <c r="BF61" i="8"/>
  <c r="BF62" i="8"/>
  <c r="BF63" i="8"/>
  <c r="BF64" i="8"/>
  <c r="BF65" i="8"/>
  <c r="BF66" i="8"/>
  <c r="BF67" i="8"/>
  <c r="BF68" i="8"/>
  <c r="BF69" i="8"/>
  <c r="BF70" i="8"/>
  <c r="BF71" i="8"/>
  <c r="BF72" i="8"/>
  <c r="BF73" i="8"/>
  <c r="BF74" i="8"/>
  <c r="BF75" i="8"/>
  <c r="BF76" i="8"/>
  <c r="BF77" i="8"/>
  <c r="BF78" i="8"/>
  <c r="BF79" i="8"/>
  <c r="BF80" i="8"/>
  <c r="BF81" i="8"/>
  <c r="BF82" i="8"/>
  <c r="BF83" i="8"/>
  <c r="BF84" i="8"/>
  <c r="BF85" i="8"/>
  <c r="BF86" i="8"/>
  <c r="BF87" i="8"/>
  <c r="BF88" i="8"/>
  <c r="BF89" i="8"/>
  <c r="BF90" i="8"/>
  <c r="BF91" i="8"/>
  <c r="BF92" i="8"/>
  <c r="BF93" i="8"/>
  <c r="BF94" i="8"/>
  <c r="BF95" i="8"/>
  <c r="BF96" i="8"/>
  <c r="BF97" i="8"/>
  <c r="BF98" i="8"/>
  <c r="BF99" i="8"/>
  <c r="BF100" i="8"/>
  <c r="BF101" i="8"/>
  <c r="BF102" i="8"/>
  <c r="BF103" i="8"/>
  <c r="BF104" i="8"/>
  <c r="BF105" i="8"/>
  <c r="BF106" i="8"/>
  <c r="BF107" i="8"/>
  <c r="BF108" i="8"/>
  <c r="BF109" i="8"/>
  <c r="BF110" i="8"/>
  <c r="BF111" i="8"/>
  <c r="BF112" i="8"/>
  <c r="BF113" i="8"/>
  <c r="BF114" i="8"/>
  <c r="BF115" i="8"/>
  <c r="BF116" i="8"/>
  <c r="BF117" i="8"/>
  <c r="BF118" i="8"/>
  <c r="BF119" i="8"/>
  <c r="BF120" i="8"/>
  <c r="BF121" i="8"/>
  <c r="BF122" i="8"/>
  <c r="BF123" i="8"/>
  <c r="BF124" i="8"/>
  <c r="BF125" i="8"/>
  <c r="BF126" i="8"/>
  <c r="BF127" i="8"/>
  <c r="BF128" i="8"/>
  <c r="BF129" i="8"/>
  <c r="BF130" i="8"/>
  <c r="BF131" i="8"/>
  <c r="BF132" i="8"/>
  <c r="BF133" i="8"/>
  <c r="BF134" i="8"/>
  <c r="BF135" i="8"/>
  <c r="BF136" i="8"/>
  <c r="BF137" i="8"/>
  <c r="BF138" i="8"/>
  <c r="BF139" i="8"/>
  <c r="BF140" i="8"/>
  <c r="BF141" i="8"/>
  <c r="BF142" i="8"/>
  <c r="BF3" i="8"/>
  <c r="BP95" i="8"/>
  <c r="BP20" i="8"/>
  <c r="BP16" i="8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4" i="3"/>
  <c r="AD5" i="3"/>
  <c r="AF5" i="3" s="1"/>
  <c r="AD6" i="3"/>
  <c r="AF6" i="3" s="1"/>
  <c r="AD7" i="3"/>
  <c r="AF7" i="3" s="1"/>
  <c r="AD8" i="3"/>
  <c r="AF8" i="3" s="1"/>
  <c r="AD9" i="3"/>
  <c r="AF9" i="3" s="1"/>
  <c r="AD10" i="3"/>
  <c r="AF10" i="3" s="1"/>
  <c r="AD11" i="3"/>
  <c r="AF11" i="3" s="1"/>
  <c r="AD12" i="3"/>
  <c r="AF12" i="3" s="1"/>
  <c r="AD13" i="3"/>
  <c r="AF13" i="3" s="1"/>
  <c r="AD14" i="3"/>
  <c r="AF14" i="3" s="1"/>
  <c r="AD15" i="3"/>
  <c r="AF15" i="3" s="1"/>
  <c r="AD16" i="3"/>
  <c r="AF16" i="3" s="1"/>
  <c r="AD17" i="3"/>
  <c r="AF17" i="3" s="1"/>
  <c r="AD18" i="3"/>
  <c r="AF18" i="3" s="1"/>
  <c r="AD19" i="3"/>
  <c r="AF19" i="3" s="1"/>
  <c r="AD20" i="3"/>
  <c r="AF20" i="3" s="1"/>
  <c r="AD21" i="3"/>
  <c r="AF21" i="3" s="1"/>
  <c r="AD22" i="3"/>
  <c r="AF22" i="3" s="1"/>
  <c r="AD23" i="3"/>
  <c r="AF23" i="3" s="1"/>
  <c r="AD24" i="3"/>
  <c r="AF24" i="3" s="1"/>
  <c r="AD25" i="3"/>
  <c r="AF25" i="3" s="1"/>
  <c r="AD26" i="3"/>
  <c r="AF26" i="3" s="1"/>
  <c r="AD27" i="3"/>
  <c r="AF27" i="3" s="1"/>
  <c r="AD28" i="3"/>
  <c r="AF28" i="3" s="1"/>
  <c r="AD29" i="3"/>
  <c r="AF29" i="3" s="1"/>
  <c r="AD30" i="3"/>
  <c r="AF30" i="3" s="1"/>
  <c r="AD31" i="3"/>
  <c r="AF31" i="3" s="1"/>
  <c r="AD32" i="3"/>
  <c r="AF32" i="3" s="1"/>
  <c r="AD33" i="3"/>
  <c r="AF33" i="3" s="1"/>
  <c r="AD34" i="3"/>
  <c r="AF34" i="3" s="1"/>
  <c r="AD35" i="3"/>
  <c r="AF35" i="3" s="1"/>
  <c r="AD36" i="3"/>
  <c r="AF36" i="3" s="1"/>
  <c r="AD37" i="3"/>
  <c r="AF37" i="3" s="1"/>
  <c r="AD38" i="3"/>
  <c r="AF38" i="3" s="1"/>
  <c r="AD39" i="3"/>
  <c r="AF39" i="3" s="1"/>
  <c r="AD40" i="3"/>
  <c r="AF40" i="3" s="1"/>
  <c r="AD41" i="3"/>
  <c r="AF41" i="3" s="1"/>
  <c r="AD42" i="3"/>
  <c r="AF42" i="3" s="1"/>
  <c r="AD43" i="3"/>
  <c r="AF43" i="3" s="1"/>
  <c r="AD44" i="3"/>
  <c r="AF44" i="3" s="1"/>
  <c r="AD45" i="3"/>
  <c r="AF45" i="3" s="1"/>
  <c r="AD46" i="3"/>
  <c r="AF46" i="3" s="1"/>
  <c r="AD47" i="3"/>
  <c r="AF47" i="3" s="1"/>
  <c r="AD48" i="3"/>
  <c r="AF48" i="3" s="1"/>
  <c r="AD49" i="3"/>
  <c r="AF49" i="3" s="1"/>
  <c r="AD50" i="3"/>
  <c r="AF50" i="3" s="1"/>
  <c r="AD51" i="3"/>
  <c r="AF51" i="3" s="1"/>
  <c r="AD52" i="3"/>
  <c r="AF52" i="3" s="1"/>
  <c r="AD53" i="3"/>
  <c r="AF53" i="3" s="1"/>
  <c r="AD54" i="3"/>
  <c r="AF54" i="3" s="1"/>
  <c r="AD55" i="3"/>
  <c r="AF55" i="3" s="1"/>
  <c r="AD56" i="3"/>
  <c r="AF56" i="3" s="1"/>
  <c r="AD57" i="3"/>
  <c r="AF57" i="3" s="1"/>
  <c r="AD58" i="3"/>
  <c r="AF58" i="3" s="1"/>
  <c r="AD59" i="3"/>
  <c r="AF59" i="3" s="1"/>
  <c r="AD60" i="3"/>
  <c r="AF60" i="3" s="1"/>
  <c r="AD61" i="3"/>
  <c r="AF61" i="3" s="1"/>
  <c r="AD62" i="3"/>
  <c r="AF62" i="3" s="1"/>
  <c r="AD63" i="3"/>
  <c r="AF63" i="3" s="1"/>
  <c r="AD64" i="3"/>
  <c r="AF64" i="3" s="1"/>
  <c r="AD65" i="3"/>
  <c r="AF65" i="3" s="1"/>
  <c r="AD66" i="3"/>
  <c r="AF66" i="3" s="1"/>
  <c r="AD67" i="3"/>
  <c r="AF67" i="3" s="1"/>
  <c r="AD68" i="3"/>
  <c r="AF68" i="3" s="1"/>
  <c r="AD69" i="3"/>
  <c r="AF69" i="3" s="1"/>
  <c r="AD70" i="3"/>
  <c r="AF70" i="3" s="1"/>
  <c r="AD71" i="3"/>
  <c r="AF71" i="3" s="1"/>
  <c r="AD72" i="3"/>
  <c r="AF72" i="3" s="1"/>
  <c r="AD73" i="3"/>
  <c r="AF73" i="3" s="1"/>
  <c r="AD74" i="3"/>
  <c r="AF74" i="3" s="1"/>
  <c r="AD75" i="3"/>
  <c r="AF75" i="3" s="1"/>
  <c r="AD76" i="3"/>
  <c r="AF76" i="3" s="1"/>
  <c r="AD77" i="3"/>
  <c r="AF77" i="3" s="1"/>
  <c r="AD78" i="3"/>
  <c r="AF78" i="3" s="1"/>
  <c r="AD79" i="3"/>
  <c r="AF79" i="3" s="1"/>
  <c r="AD80" i="3"/>
  <c r="AF80" i="3" s="1"/>
  <c r="AD81" i="3"/>
  <c r="AF81" i="3" s="1"/>
  <c r="AD82" i="3"/>
  <c r="AF82" i="3" s="1"/>
  <c r="AD83" i="3"/>
  <c r="AF83" i="3" s="1"/>
  <c r="AD84" i="3"/>
  <c r="AF84" i="3" s="1"/>
  <c r="AD85" i="3"/>
  <c r="AF85" i="3" s="1"/>
  <c r="AD86" i="3"/>
  <c r="AF86" i="3" s="1"/>
  <c r="AD87" i="3"/>
  <c r="AF87" i="3" s="1"/>
  <c r="AD88" i="3"/>
  <c r="AF88" i="3" s="1"/>
  <c r="AD89" i="3"/>
  <c r="AF89" i="3" s="1"/>
  <c r="AD90" i="3"/>
  <c r="AF90" i="3" s="1"/>
  <c r="AD91" i="3"/>
  <c r="AF91" i="3" s="1"/>
  <c r="AD92" i="3"/>
  <c r="AF92" i="3" s="1"/>
  <c r="AD93" i="3"/>
  <c r="AF93" i="3" s="1"/>
  <c r="AD94" i="3"/>
  <c r="AF94" i="3" s="1"/>
  <c r="AD95" i="3"/>
  <c r="AF95" i="3" s="1"/>
  <c r="AD96" i="3"/>
  <c r="AF96" i="3" s="1"/>
  <c r="AD97" i="3"/>
  <c r="AF97" i="3" s="1"/>
  <c r="AD98" i="3"/>
  <c r="AF98" i="3" s="1"/>
  <c r="AD99" i="3"/>
  <c r="AF99" i="3" s="1"/>
  <c r="AD100" i="3"/>
  <c r="AF100" i="3" s="1"/>
  <c r="AD101" i="3"/>
  <c r="AF101" i="3" s="1"/>
  <c r="AD102" i="3"/>
  <c r="AF102" i="3" s="1"/>
  <c r="AD103" i="3"/>
  <c r="AF103" i="3" s="1"/>
  <c r="AD104" i="3"/>
  <c r="AF104" i="3" s="1"/>
  <c r="AD105" i="3"/>
  <c r="AF105" i="3" s="1"/>
  <c r="AD106" i="3"/>
  <c r="AF106" i="3" s="1"/>
  <c r="AD107" i="3"/>
  <c r="AF107" i="3" s="1"/>
  <c r="AD108" i="3"/>
  <c r="AF108" i="3" s="1"/>
  <c r="AD109" i="3"/>
  <c r="AF109" i="3" s="1"/>
  <c r="AD110" i="3"/>
  <c r="AF110" i="3" s="1"/>
  <c r="AD111" i="3"/>
  <c r="AF111" i="3" s="1"/>
  <c r="AD112" i="3"/>
  <c r="AF112" i="3" s="1"/>
  <c r="AD113" i="3"/>
  <c r="AF113" i="3" s="1"/>
  <c r="AD114" i="3"/>
  <c r="AF114" i="3" s="1"/>
  <c r="AD115" i="3"/>
  <c r="AF115" i="3" s="1"/>
  <c r="AD116" i="3"/>
  <c r="AF116" i="3" s="1"/>
  <c r="AD117" i="3"/>
  <c r="AF117" i="3" s="1"/>
  <c r="AD118" i="3"/>
  <c r="AF118" i="3" s="1"/>
  <c r="AD119" i="3"/>
  <c r="AF119" i="3" s="1"/>
  <c r="AD120" i="3"/>
  <c r="AF120" i="3" s="1"/>
  <c r="AD121" i="3"/>
  <c r="AF121" i="3" s="1"/>
  <c r="AD122" i="3"/>
  <c r="AF122" i="3" s="1"/>
  <c r="AD123" i="3"/>
  <c r="AF123" i="3" s="1"/>
  <c r="AD124" i="3"/>
  <c r="AF124" i="3" s="1"/>
  <c r="AD125" i="3"/>
  <c r="AF125" i="3" s="1"/>
  <c r="AD126" i="3"/>
  <c r="AF126" i="3" s="1"/>
  <c r="AD127" i="3"/>
  <c r="AF127" i="3" s="1"/>
  <c r="AD128" i="3"/>
  <c r="AF128" i="3" s="1"/>
  <c r="AD129" i="3"/>
  <c r="AF129" i="3" s="1"/>
  <c r="AD130" i="3"/>
  <c r="AF130" i="3" s="1"/>
  <c r="AD131" i="3"/>
  <c r="AF131" i="3" s="1"/>
  <c r="AD132" i="3"/>
  <c r="AF132" i="3" s="1"/>
  <c r="AD133" i="3"/>
  <c r="AF133" i="3" s="1"/>
  <c r="AD134" i="3"/>
  <c r="AF134" i="3" s="1"/>
  <c r="AD135" i="3"/>
  <c r="AF135" i="3" s="1"/>
  <c r="AD136" i="3"/>
  <c r="AF136" i="3" s="1"/>
  <c r="AD137" i="3"/>
  <c r="AF137" i="3" s="1"/>
  <c r="AD138" i="3"/>
  <c r="AF138" i="3" s="1"/>
  <c r="AD139" i="3"/>
  <c r="AF139" i="3" s="1"/>
  <c r="AD140" i="3"/>
  <c r="AF140" i="3" s="1"/>
  <c r="AD141" i="3"/>
  <c r="AF141" i="3" s="1"/>
  <c r="AD142" i="3"/>
  <c r="AF142" i="3" s="1"/>
  <c r="AD143" i="3"/>
  <c r="AF143" i="3" s="1"/>
  <c r="AD144" i="3"/>
  <c r="AF144" i="3" s="1"/>
  <c r="AD145" i="3"/>
  <c r="AF145" i="3" s="1"/>
  <c r="AD146" i="3"/>
  <c r="AF146" i="3" s="1"/>
  <c r="AD147" i="3"/>
  <c r="AF147" i="3" s="1"/>
  <c r="AD148" i="3"/>
  <c r="AF148" i="3" s="1"/>
  <c r="AD149" i="3"/>
  <c r="AF149" i="3" s="1"/>
  <c r="AD150" i="3"/>
  <c r="AF150" i="3" s="1"/>
  <c r="AD151" i="3"/>
  <c r="AF151" i="3" s="1"/>
  <c r="AD152" i="3"/>
  <c r="AF152" i="3" s="1"/>
  <c r="AD153" i="3"/>
  <c r="AF153" i="3" s="1"/>
  <c r="AD154" i="3"/>
  <c r="AF154" i="3" s="1"/>
  <c r="AD155" i="3"/>
  <c r="AF155" i="3" s="1"/>
  <c r="AD4" i="3"/>
  <c r="AF4" i="3" s="1"/>
  <c r="BP124" i="8" l="1"/>
  <c r="BP32" i="8"/>
  <c r="BK28" i="8"/>
  <c r="BK46" i="8"/>
  <c r="BK65" i="8"/>
  <c r="BP30" i="8"/>
  <c r="BQ30" i="8" s="1"/>
  <c r="BP22" i="8"/>
  <c r="BP18" i="8"/>
  <c r="BP46" i="8"/>
  <c r="BQ46" i="8" s="1"/>
  <c r="BP126" i="8"/>
  <c r="BP26" i="8"/>
  <c r="BP10" i="8"/>
  <c r="BP121" i="8"/>
  <c r="BP41" i="8"/>
  <c r="BP123" i="8"/>
  <c r="BP111" i="8"/>
  <c r="BP43" i="8"/>
  <c r="BP135" i="8"/>
  <c r="BP127" i="8"/>
  <c r="BP47" i="8"/>
  <c r="BK19" i="8"/>
  <c r="BK3" i="8"/>
  <c r="BK87" i="8"/>
  <c r="BK81" i="8"/>
  <c r="BP3" i="8"/>
  <c r="BP5" i="8"/>
  <c r="BP11" i="8"/>
  <c r="BP13" i="8"/>
  <c r="BP31" i="8"/>
  <c r="BP71" i="8"/>
  <c r="BP6" i="8"/>
  <c r="BP14" i="8"/>
  <c r="BP39" i="8"/>
  <c r="BP63" i="8"/>
  <c r="BP73" i="8"/>
  <c r="BP75" i="8"/>
  <c r="BP76" i="8"/>
  <c r="BP78" i="8"/>
  <c r="BP79" i="8"/>
  <c r="BP86" i="8"/>
  <c r="BQ86" i="8" s="1"/>
  <c r="BP87" i="8"/>
  <c r="BP89" i="8"/>
  <c r="BP91" i="8"/>
  <c r="BP92" i="8"/>
  <c r="BP94" i="8"/>
  <c r="BP112" i="8"/>
  <c r="BP17" i="8"/>
  <c r="BP19" i="8"/>
  <c r="BQ19" i="8" s="1"/>
  <c r="BP21" i="8"/>
  <c r="BP50" i="8"/>
  <c r="BP55" i="8"/>
  <c r="BP133" i="8"/>
  <c r="BP119" i="8"/>
  <c r="BP98" i="8"/>
  <c r="BP103" i="8"/>
  <c r="BK15" i="8"/>
  <c r="BQ28" i="8"/>
  <c r="BP58" i="8"/>
  <c r="BP69" i="8"/>
  <c r="BK96" i="8"/>
  <c r="BK97" i="8"/>
  <c r="BK102" i="8"/>
  <c r="BP106" i="8"/>
  <c r="BP129" i="8"/>
  <c r="BP131" i="8"/>
  <c r="BP132" i="8"/>
  <c r="BP134" i="8"/>
  <c r="BP4" i="8"/>
  <c r="BP15" i="8"/>
  <c r="BK21" i="8"/>
  <c r="BP35" i="8"/>
  <c r="BP36" i="8"/>
  <c r="BP38" i="8"/>
  <c r="BK41" i="8"/>
  <c r="BK57" i="8"/>
  <c r="BK59" i="8"/>
  <c r="BK61" i="8"/>
  <c r="BK62" i="8"/>
  <c r="BP66" i="8"/>
  <c r="BP80" i="8"/>
  <c r="BP81" i="8"/>
  <c r="BP83" i="8"/>
  <c r="BP84" i="8"/>
  <c r="BK104" i="8"/>
  <c r="BK107" i="8"/>
  <c r="BK110" i="8"/>
  <c r="BP114" i="8"/>
  <c r="BP137" i="8"/>
  <c r="BP139" i="8"/>
  <c r="BP140" i="8"/>
  <c r="BP142" i="8"/>
  <c r="BP130" i="8"/>
  <c r="BK7" i="8"/>
  <c r="BK9" i="8"/>
  <c r="BP12" i="8"/>
  <c r="BP23" i="8"/>
  <c r="BP25" i="8"/>
  <c r="BK29" i="8"/>
  <c r="BP34" i="8"/>
  <c r="BP49" i="8"/>
  <c r="BP51" i="8"/>
  <c r="BP52" i="8"/>
  <c r="BP54" i="8"/>
  <c r="BK80" i="8"/>
  <c r="BP82" i="8"/>
  <c r="BP97" i="8"/>
  <c r="BP99" i="8"/>
  <c r="BP100" i="8"/>
  <c r="BP102" i="8"/>
  <c r="BK126" i="8"/>
  <c r="BP138" i="8"/>
  <c r="BP74" i="8"/>
  <c r="BP122" i="8"/>
  <c r="BP37" i="8"/>
  <c r="BP42" i="8"/>
  <c r="BP48" i="8"/>
  <c r="BP57" i="8"/>
  <c r="BP59" i="8"/>
  <c r="BP60" i="8"/>
  <c r="BP62" i="8"/>
  <c r="BP105" i="8"/>
  <c r="BP107" i="8"/>
  <c r="BP108" i="8"/>
  <c r="BP110" i="8"/>
  <c r="BK129" i="8"/>
  <c r="BP7" i="8"/>
  <c r="BP9" i="8"/>
  <c r="BP29" i="8"/>
  <c r="BP65" i="8"/>
  <c r="BQ65" i="8" s="1"/>
  <c r="BP67" i="8"/>
  <c r="BP68" i="8"/>
  <c r="BP70" i="8"/>
  <c r="BP90" i="8"/>
  <c r="BP101" i="8"/>
  <c r="BP113" i="8"/>
  <c r="BP115" i="8"/>
  <c r="BP116" i="8"/>
  <c r="BP118" i="8"/>
  <c r="BK18" i="8"/>
  <c r="BK27" i="8"/>
  <c r="BQ27" i="8" s="1"/>
  <c r="BK70" i="8"/>
  <c r="BK121" i="8"/>
  <c r="BK123" i="8"/>
  <c r="BK125" i="8"/>
  <c r="BK105" i="8"/>
  <c r="BK11" i="8"/>
  <c r="BQ11" i="8" s="1"/>
  <c r="BK22" i="8"/>
  <c r="BQ22" i="8" s="1"/>
  <c r="BK83" i="8"/>
  <c r="BK85" i="8"/>
  <c r="BK40" i="8"/>
  <c r="BK43" i="8"/>
  <c r="BQ43" i="8" s="1"/>
  <c r="BK136" i="8"/>
  <c r="BK139" i="8"/>
  <c r="BK141" i="8"/>
  <c r="BK142" i="8"/>
  <c r="BK32" i="8"/>
  <c r="BQ32" i="8" s="1"/>
  <c r="BK91" i="8"/>
  <c r="BK93" i="8"/>
  <c r="BK94" i="8"/>
  <c r="BK89" i="8"/>
  <c r="BK12" i="8"/>
  <c r="BK14" i="8"/>
  <c r="BK23" i="8"/>
  <c r="BK25" i="8"/>
  <c r="BK48" i="8"/>
  <c r="BK49" i="8"/>
  <c r="BK51" i="8"/>
  <c r="BK53" i="8"/>
  <c r="BK54" i="8"/>
  <c r="BK16" i="8"/>
  <c r="BQ16" i="8" s="1"/>
  <c r="BK134" i="8"/>
  <c r="BK6" i="8"/>
  <c r="BK13" i="8"/>
  <c r="BK24" i="8"/>
  <c r="BK26" i="8"/>
  <c r="BK8" i="8"/>
  <c r="BK10" i="8"/>
  <c r="BK17" i="8"/>
  <c r="BK38" i="8"/>
  <c r="BK72" i="8"/>
  <c r="BK75" i="8"/>
  <c r="BK77" i="8"/>
  <c r="BK78" i="8"/>
  <c r="BK112" i="8"/>
  <c r="BK113" i="8"/>
  <c r="BK115" i="8"/>
  <c r="BK117" i="8"/>
  <c r="BK118" i="8"/>
  <c r="BK92" i="8"/>
  <c r="BK4" i="8"/>
  <c r="BK20" i="8"/>
  <c r="BQ20" i="8" s="1"/>
  <c r="BK31" i="8"/>
  <c r="BK33" i="8"/>
  <c r="BK35" i="8"/>
  <c r="BK37" i="8"/>
  <c r="BK52" i="8"/>
  <c r="BK55" i="8"/>
  <c r="BK56" i="8"/>
  <c r="BK76" i="8"/>
  <c r="BK98" i="8"/>
  <c r="BK99" i="8"/>
  <c r="BK101" i="8"/>
  <c r="BK116" i="8"/>
  <c r="BK119" i="8"/>
  <c r="BK120" i="8"/>
  <c r="BK140" i="8"/>
  <c r="BK132" i="8"/>
  <c r="BK36" i="8"/>
  <c r="BK73" i="8"/>
  <c r="BK45" i="8"/>
  <c r="BK60" i="8"/>
  <c r="BK64" i="8"/>
  <c r="BK109" i="8"/>
  <c r="BK124" i="8"/>
  <c r="BK128" i="8"/>
  <c r="BK68" i="8"/>
  <c r="BK137" i="8"/>
  <c r="BK100" i="8"/>
  <c r="BK34" i="8"/>
  <c r="BK44" i="8"/>
  <c r="BQ44" i="8" s="1"/>
  <c r="BK66" i="8"/>
  <c r="BK67" i="8"/>
  <c r="BK69" i="8"/>
  <c r="BK84" i="8"/>
  <c r="BK88" i="8"/>
  <c r="BK108" i="8"/>
  <c r="BK130" i="8"/>
  <c r="BK131" i="8"/>
  <c r="BK133" i="8"/>
  <c r="BP8" i="8"/>
  <c r="BP24" i="8"/>
  <c r="BK39" i="8"/>
  <c r="BK50" i="8"/>
  <c r="BP53" i="8"/>
  <c r="BP64" i="8"/>
  <c r="BK71" i="8"/>
  <c r="BK82" i="8"/>
  <c r="BP85" i="8"/>
  <c r="BP96" i="8"/>
  <c r="BK103" i="8"/>
  <c r="BK114" i="8"/>
  <c r="BP117" i="8"/>
  <c r="BP128" i="8"/>
  <c r="BK135" i="8"/>
  <c r="BK42" i="8"/>
  <c r="BP45" i="8"/>
  <c r="BP56" i="8"/>
  <c r="BK63" i="8"/>
  <c r="BK74" i="8"/>
  <c r="BP77" i="8"/>
  <c r="BP88" i="8"/>
  <c r="BK95" i="8"/>
  <c r="BQ95" i="8" s="1"/>
  <c r="BK106" i="8"/>
  <c r="BP109" i="8"/>
  <c r="BP120" i="8"/>
  <c r="BK127" i="8"/>
  <c r="BQ127" i="8" s="1"/>
  <c r="BK138" i="8"/>
  <c r="BP141" i="8"/>
  <c r="BK5" i="8"/>
  <c r="BP33" i="8"/>
  <c r="BP40" i="8"/>
  <c r="BK47" i="8"/>
  <c r="BQ47" i="8" s="1"/>
  <c r="BK58" i="8"/>
  <c r="BP61" i="8"/>
  <c r="BP72" i="8"/>
  <c r="BK79" i="8"/>
  <c r="BK90" i="8"/>
  <c r="BP93" i="8"/>
  <c r="BP104" i="8"/>
  <c r="BK111" i="8"/>
  <c r="BK122" i="8"/>
  <c r="BP125" i="8"/>
  <c r="BQ125" i="8" s="1"/>
  <c r="BP136" i="8"/>
  <c r="Z155" i="8"/>
  <c r="Y155" i="8"/>
  <c r="X155" i="8"/>
  <c r="W155" i="8"/>
  <c r="AA155" i="8" s="1"/>
  <c r="U155" i="8"/>
  <c r="T155" i="8"/>
  <c r="S155" i="8"/>
  <c r="R155" i="8"/>
  <c r="V155" i="8" s="1"/>
  <c r="Z154" i="8"/>
  <c r="Y154" i="8"/>
  <c r="X154" i="8"/>
  <c r="W154" i="8"/>
  <c r="AA154" i="8" s="1"/>
  <c r="U154" i="8"/>
  <c r="T154" i="8"/>
  <c r="S154" i="8"/>
  <c r="R154" i="8"/>
  <c r="V154" i="8" s="1"/>
  <c r="Z153" i="8"/>
  <c r="Y153" i="8"/>
  <c r="X153" i="8"/>
  <c r="W153" i="8"/>
  <c r="AA153" i="8" s="1"/>
  <c r="U153" i="8"/>
  <c r="T153" i="8"/>
  <c r="S153" i="8"/>
  <c r="R153" i="8"/>
  <c r="V153" i="8" s="1"/>
  <c r="Z152" i="8"/>
  <c r="Y152" i="8"/>
  <c r="X152" i="8"/>
  <c r="W152" i="8"/>
  <c r="AA152" i="8" s="1"/>
  <c r="U152" i="8"/>
  <c r="T152" i="8"/>
  <c r="S152" i="8"/>
  <c r="R152" i="8"/>
  <c r="Z151" i="8"/>
  <c r="Y151" i="8"/>
  <c r="X151" i="8"/>
  <c r="W151" i="8"/>
  <c r="AA151" i="8" s="1"/>
  <c r="U151" i="8"/>
  <c r="T151" i="8"/>
  <c r="S151" i="8"/>
  <c r="R151" i="8"/>
  <c r="V151" i="8" s="1"/>
  <c r="Z150" i="8"/>
  <c r="Y150" i="8"/>
  <c r="X150" i="8"/>
  <c r="W150" i="8"/>
  <c r="AA150" i="8" s="1"/>
  <c r="U150" i="8"/>
  <c r="T150" i="8"/>
  <c r="S150" i="8"/>
  <c r="R150" i="8"/>
  <c r="V150" i="8" s="1"/>
  <c r="Z149" i="8"/>
  <c r="Y149" i="8"/>
  <c r="X149" i="8"/>
  <c r="W149" i="8"/>
  <c r="U149" i="8"/>
  <c r="T149" i="8"/>
  <c r="S149" i="8"/>
  <c r="R149" i="8"/>
  <c r="V149" i="8" s="1"/>
  <c r="Z148" i="8"/>
  <c r="Y148" i="8"/>
  <c r="X148" i="8"/>
  <c r="W148" i="8"/>
  <c r="AA148" i="8" s="1"/>
  <c r="U148" i="8"/>
  <c r="T148" i="8"/>
  <c r="S148" i="8"/>
  <c r="R148" i="8"/>
  <c r="V148" i="8" s="1"/>
  <c r="Z147" i="8"/>
  <c r="Y147" i="8"/>
  <c r="X147" i="8"/>
  <c r="W147" i="8"/>
  <c r="AA147" i="8" s="1"/>
  <c r="U147" i="8"/>
  <c r="T147" i="8"/>
  <c r="S147" i="8"/>
  <c r="R147" i="8"/>
  <c r="V147" i="8" s="1"/>
  <c r="Z146" i="8"/>
  <c r="Y146" i="8"/>
  <c r="X146" i="8"/>
  <c r="W146" i="8"/>
  <c r="AA146" i="8" s="1"/>
  <c r="U146" i="8"/>
  <c r="T146" i="8"/>
  <c r="S146" i="8"/>
  <c r="R146" i="8"/>
  <c r="V146" i="8" s="1"/>
  <c r="Z145" i="8"/>
  <c r="Y145" i="8"/>
  <c r="X145" i="8"/>
  <c r="W145" i="8"/>
  <c r="U145" i="8"/>
  <c r="T145" i="8"/>
  <c r="S145" i="8"/>
  <c r="R145" i="8"/>
  <c r="V145" i="8" s="1"/>
  <c r="Z144" i="8"/>
  <c r="Y144" i="8"/>
  <c r="X144" i="8"/>
  <c r="W144" i="8"/>
  <c r="AA144" i="8" s="1"/>
  <c r="U144" i="8"/>
  <c r="T144" i="8"/>
  <c r="S144" i="8"/>
  <c r="R144" i="8"/>
  <c r="Z143" i="8"/>
  <c r="Y143" i="8"/>
  <c r="X143" i="8"/>
  <c r="W143" i="8"/>
  <c r="AA143" i="8" s="1"/>
  <c r="U143" i="8"/>
  <c r="T143" i="8"/>
  <c r="S143" i="8"/>
  <c r="R143" i="8"/>
  <c r="V143" i="8" s="1"/>
  <c r="Z142" i="8"/>
  <c r="Y142" i="8"/>
  <c r="X142" i="8"/>
  <c r="W142" i="8"/>
  <c r="AA142" i="8" s="1"/>
  <c r="U142" i="8"/>
  <c r="T142" i="8"/>
  <c r="S142" i="8"/>
  <c r="R142" i="8"/>
  <c r="V142" i="8" s="1"/>
  <c r="Z141" i="8"/>
  <c r="Y141" i="8"/>
  <c r="X141" i="8"/>
  <c r="W141" i="8"/>
  <c r="U141" i="8"/>
  <c r="T141" i="8"/>
  <c r="S141" i="8"/>
  <c r="R141" i="8"/>
  <c r="V141" i="8" s="1"/>
  <c r="Z140" i="8"/>
  <c r="Y140" i="8"/>
  <c r="X140" i="8"/>
  <c r="W140" i="8"/>
  <c r="AA140" i="8" s="1"/>
  <c r="U140" i="8"/>
  <c r="T140" i="8"/>
  <c r="S140" i="8"/>
  <c r="R140" i="8"/>
  <c r="Z139" i="8"/>
  <c r="Y139" i="8"/>
  <c r="X139" i="8"/>
  <c r="W139" i="8"/>
  <c r="AA139" i="8" s="1"/>
  <c r="U139" i="8"/>
  <c r="T139" i="8"/>
  <c r="S139" i="8"/>
  <c r="R139" i="8"/>
  <c r="V139" i="8" s="1"/>
  <c r="Z138" i="8"/>
  <c r="Y138" i="8"/>
  <c r="X138" i="8"/>
  <c r="W138" i="8"/>
  <c r="AA138" i="8" s="1"/>
  <c r="U138" i="8"/>
  <c r="T138" i="8"/>
  <c r="S138" i="8"/>
  <c r="R138" i="8"/>
  <c r="V138" i="8" s="1"/>
  <c r="Z137" i="8"/>
  <c r="Y137" i="8"/>
  <c r="X137" i="8"/>
  <c r="W137" i="8"/>
  <c r="AA137" i="8" s="1"/>
  <c r="U137" i="8"/>
  <c r="T137" i="8"/>
  <c r="S137" i="8"/>
  <c r="R137" i="8"/>
  <c r="V137" i="8" s="1"/>
  <c r="Z136" i="8"/>
  <c r="Y136" i="8"/>
  <c r="X136" i="8"/>
  <c r="W136" i="8"/>
  <c r="AA136" i="8" s="1"/>
  <c r="U136" i="8"/>
  <c r="T136" i="8"/>
  <c r="S136" i="8"/>
  <c r="R136" i="8"/>
  <c r="Z135" i="8"/>
  <c r="Y135" i="8"/>
  <c r="X135" i="8"/>
  <c r="W135" i="8"/>
  <c r="AA135" i="8" s="1"/>
  <c r="U135" i="8"/>
  <c r="T135" i="8"/>
  <c r="S135" i="8"/>
  <c r="R135" i="8"/>
  <c r="V135" i="8" s="1"/>
  <c r="Z134" i="8"/>
  <c r="Y134" i="8"/>
  <c r="X134" i="8"/>
  <c r="W134" i="8"/>
  <c r="AA134" i="8" s="1"/>
  <c r="U134" i="8"/>
  <c r="T134" i="8"/>
  <c r="S134" i="8"/>
  <c r="R134" i="8"/>
  <c r="V134" i="8" s="1"/>
  <c r="Z133" i="8"/>
  <c r="Y133" i="8"/>
  <c r="X133" i="8"/>
  <c r="W133" i="8"/>
  <c r="U133" i="8"/>
  <c r="T133" i="8"/>
  <c r="S133" i="8"/>
  <c r="R133" i="8"/>
  <c r="V133" i="8" s="1"/>
  <c r="Z132" i="8"/>
  <c r="Y132" i="8"/>
  <c r="X132" i="8"/>
  <c r="W132" i="8"/>
  <c r="AA132" i="8" s="1"/>
  <c r="U132" i="8"/>
  <c r="T132" i="8"/>
  <c r="S132" i="8"/>
  <c r="R132" i="8"/>
  <c r="V132" i="8" s="1"/>
  <c r="Z131" i="8"/>
  <c r="Y131" i="8"/>
  <c r="X131" i="8"/>
  <c r="W131" i="8"/>
  <c r="AA131" i="8" s="1"/>
  <c r="U131" i="8"/>
  <c r="T131" i="8"/>
  <c r="S131" i="8"/>
  <c r="R131" i="8"/>
  <c r="V131" i="8" s="1"/>
  <c r="Z130" i="8"/>
  <c r="Y130" i="8"/>
  <c r="X130" i="8"/>
  <c r="W130" i="8"/>
  <c r="AA130" i="8" s="1"/>
  <c r="U130" i="8"/>
  <c r="T130" i="8"/>
  <c r="S130" i="8"/>
  <c r="R130" i="8"/>
  <c r="V130" i="8" s="1"/>
  <c r="Z129" i="8"/>
  <c r="Y129" i="8"/>
  <c r="X129" i="8"/>
  <c r="W129" i="8"/>
  <c r="U129" i="8"/>
  <c r="T129" i="8"/>
  <c r="S129" i="8"/>
  <c r="R129" i="8"/>
  <c r="V129" i="8" s="1"/>
  <c r="Z128" i="8"/>
  <c r="Y128" i="8"/>
  <c r="X128" i="8"/>
  <c r="W128" i="8"/>
  <c r="AA128" i="8" s="1"/>
  <c r="U128" i="8"/>
  <c r="T128" i="8"/>
  <c r="S128" i="8"/>
  <c r="R128" i="8"/>
  <c r="Z127" i="8"/>
  <c r="Y127" i="8"/>
  <c r="X127" i="8"/>
  <c r="W127" i="8"/>
  <c r="AA127" i="8" s="1"/>
  <c r="U127" i="8"/>
  <c r="T127" i="8"/>
  <c r="S127" i="8"/>
  <c r="R127" i="8"/>
  <c r="V127" i="8" s="1"/>
  <c r="Z126" i="8"/>
  <c r="Y126" i="8"/>
  <c r="X126" i="8"/>
  <c r="W126" i="8"/>
  <c r="AA126" i="8" s="1"/>
  <c r="U126" i="8"/>
  <c r="T126" i="8"/>
  <c r="S126" i="8"/>
  <c r="R126" i="8"/>
  <c r="V126" i="8" s="1"/>
  <c r="Z125" i="8"/>
  <c r="Y125" i="8"/>
  <c r="X125" i="8"/>
  <c r="W125" i="8"/>
  <c r="U125" i="8"/>
  <c r="T125" i="8"/>
  <c r="S125" i="8"/>
  <c r="R125" i="8"/>
  <c r="V125" i="8" s="1"/>
  <c r="Z124" i="8"/>
  <c r="Y124" i="8"/>
  <c r="X124" i="8"/>
  <c r="W124" i="8"/>
  <c r="AA124" i="8" s="1"/>
  <c r="U124" i="8"/>
  <c r="T124" i="8"/>
  <c r="S124" i="8"/>
  <c r="R124" i="8"/>
  <c r="Z123" i="8"/>
  <c r="Y123" i="8"/>
  <c r="X123" i="8"/>
  <c r="W123" i="8"/>
  <c r="AA123" i="8" s="1"/>
  <c r="U123" i="8"/>
  <c r="T123" i="8"/>
  <c r="S123" i="8"/>
  <c r="R123" i="8"/>
  <c r="V123" i="8" s="1"/>
  <c r="Z122" i="8"/>
  <c r="Y122" i="8"/>
  <c r="X122" i="8"/>
  <c r="W122" i="8"/>
  <c r="AA122" i="8" s="1"/>
  <c r="U122" i="8"/>
  <c r="T122" i="8"/>
  <c r="S122" i="8"/>
  <c r="R122" i="8"/>
  <c r="V122" i="8" s="1"/>
  <c r="Z121" i="8"/>
  <c r="Y121" i="8"/>
  <c r="X121" i="8"/>
  <c r="W121" i="8"/>
  <c r="AA121" i="8" s="1"/>
  <c r="U121" i="8"/>
  <c r="T121" i="8"/>
  <c r="S121" i="8"/>
  <c r="R121" i="8"/>
  <c r="V121" i="8" s="1"/>
  <c r="Z120" i="8"/>
  <c r="Y120" i="8"/>
  <c r="X120" i="8"/>
  <c r="W120" i="8"/>
  <c r="AA120" i="8" s="1"/>
  <c r="U120" i="8"/>
  <c r="T120" i="8"/>
  <c r="S120" i="8"/>
  <c r="R120" i="8"/>
  <c r="Z119" i="8"/>
  <c r="Y119" i="8"/>
  <c r="X119" i="8"/>
  <c r="W119" i="8"/>
  <c r="AA119" i="8" s="1"/>
  <c r="U119" i="8"/>
  <c r="T119" i="8"/>
  <c r="S119" i="8"/>
  <c r="R119" i="8"/>
  <c r="V119" i="8" s="1"/>
  <c r="Z118" i="8"/>
  <c r="Y118" i="8"/>
  <c r="X118" i="8"/>
  <c r="W118" i="8"/>
  <c r="AA118" i="8" s="1"/>
  <c r="U118" i="8"/>
  <c r="T118" i="8"/>
  <c r="S118" i="8"/>
  <c r="R118" i="8"/>
  <c r="V118" i="8" s="1"/>
  <c r="Z117" i="8"/>
  <c r="Y117" i="8"/>
  <c r="X117" i="8"/>
  <c r="W117" i="8"/>
  <c r="U117" i="8"/>
  <c r="T117" i="8"/>
  <c r="S117" i="8"/>
  <c r="R117" i="8"/>
  <c r="V117" i="8" s="1"/>
  <c r="Z116" i="8"/>
  <c r="Y116" i="8"/>
  <c r="X116" i="8"/>
  <c r="W116" i="8"/>
  <c r="AA116" i="8" s="1"/>
  <c r="U116" i="8"/>
  <c r="T116" i="8"/>
  <c r="S116" i="8"/>
  <c r="R116" i="8"/>
  <c r="V116" i="8" s="1"/>
  <c r="Z115" i="8"/>
  <c r="Y115" i="8"/>
  <c r="X115" i="8"/>
  <c r="W115" i="8"/>
  <c r="AA115" i="8" s="1"/>
  <c r="U115" i="8"/>
  <c r="T115" i="8"/>
  <c r="S115" i="8"/>
  <c r="R115" i="8"/>
  <c r="V115" i="8" s="1"/>
  <c r="Z114" i="8"/>
  <c r="Y114" i="8"/>
  <c r="X114" i="8"/>
  <c r="W114" i="8"/>
  <c r="AA114" i="8" s="1"/>
  <c r="U114" i="8"/>
  <c r="T114" i="8"/>
  <c r="S114" i="8"/>
  <c r="R114" i="8"/>
  <c r="V114" i="8" s="1"/>
  <c r="Z113" i="8"/>
  <c r="Y113" i="8"/>
  <c r="X113" i="8"/>
  <c r="W113" i="8"/>
  <c r="U113" i="8"/>
  <c r="T113" i="8"/>
  <c r="S113" i="8"/>
  <c r="R113" i="8"/>
  <c r="V113" i="8" s="1"/>
  <c r="Z112" i="8"/>
  <c r="Y112" i="8"/>
  <c r="X112" i="8"/>
  <c r="W112" i="8"/>
  <c r="AA112" i="8" s="1"/>
  <c r="U112" i="8"/>
  <c r="T112" i="8"/>
  <c r="S112" i="8"/>
  <c r="R112" i="8"/>
  <c r="Z111" i="8"/>
  <c r="Y111" i="8"/>
  <c r="X111" i="8"/>
  <c r="W111" i="8"/>
  <c r="AA111" i="8" s="1"/>
  <c r="U111" i="8"/>
  <c r="T111" i="8"/>
  <c r="S111" i="8"/>
  <c r="R111" i="8"/>
  <c r="V111" i="8" s="1"/>
  <c r="Z110" i="8"/>
  <c r="Y110" i="8"/>
  <c r="X110" i="8"/>
  <c r="W110" i="8"/>
  <c r="AA110" i="8" s="1"/>
  <c r="U110" i="8"/>
  <c r="T110" i="8"/>
  <c r="S110" i="8"/>
  <c r="R110" i="8"/>
  <c r="V110" i="8" s="1"/>
  <c r="Z109" i="8"/>
  <c r="Y109" i="8"/>
  <c r="X109" i="8"/>
  <c r="W109" i="8"/>
  <c r="U109" i="8"/>
  <c r="T109" i="8"/>
  <c r="S109" i="8"/>
  <c r="R109" i="8"/>
  <c r="V109" i="8" s="1"/>
  <c r="Z108" i="8"/>
  <c r="Y108" i="8"/>
  <c r="X108" i="8"/>
  <c r="W108" i="8"/>
  <c r="AA108" i="8" s="1"/>
  <c r="U108" i="8"/>
  <c r="T108" i="8"/>
  <c r="S108" i="8"/>
  <c r="R108" i="8"/>
  <c r="Z107" i="8"/>
  <c r="Y107" i="8"/>
  <c r="X107" i="8"/>
  <c r="W107" i="8"/>
  <c r="AA107" i="8" s="1"/>
  <c r="U107" i="8"/>
  <c r="T107" i="8"/>
  <c r="S107" i="8"/>
  <c r="R107" i="8"/>
  <c r="V107" i="8" s="1"/>
  <c r="Z106" i="8"/>
  <c r="Y106" i="8"/>
  <c r="X106" i="8"/>
  <c r="W106" i="8"/>
  <c r="AA106" i="8" s="1"/>
  <c r="U106" i="8"/>
  <c r="T106" i="8"/>
  <c r="S106" i="8"/>
  <c r="R106" i="8"/>
  <c r="V106" i="8" s="1"/>
  <c r="Z105" i="8"/>
  <c r="Y105" i="8"/>
  <c r="X105" i="8"/>
  <c r="W105" i="8"/>
  <c r="AA105" i="8" s="1"/>
  <c r="U105" i="8"/>
  <c r="T105" i="8"/>
  <c r="S105" i="8"/>
  <c r="R105" i="8"/>
  <c r="V105" i="8" s="1"/>
  <c r="Z104" i="8"/>
  <c r="Y104" i="8"/>
  <c r="X104" i="8"/>
  <c r="W104" i="8"/>
  <c r="AA104" i="8" s="1"/>
  <c r="U104" i="8"/>
  <c r="T104" i="8"/>
  <c r="S104" i="8"/>
  <c r="R104" i="8"/>
  <c r="Z103" i="8"/>
  <c r="Y103" i="8"/>
  <c r="X103" i="8"/>
  <c r="W103" i="8"/>
  <c r="AA103" i="8" s="1"/>
  <c r="U103" i="8"/>
  <c r="T103" i="8"/>
  <c r="S103" i="8"/>
  <c r="R103" i="8"/>
  <c r="V103" i="8" s="1"/>
  <c r="Z102" i="8"/>
  <c r="Y102" i="8"/>
  <c r="X102" i="8"/>
  <c r="W102" i="8"/>
  <c r="AA102" i="8" s="1"/>
  <c r="U102" i="8"/>
  <c r="T102" i="8"/>
  <c r="S102" i="8"/>
  <c r="R102" i="8"/>
  <c r="V102" i="8" s="1"/>
  <c r="Z101" i="8"/>
  <c r="Y101" i="8"/>
  <c r="X101" i="8"/>
  <c r="W101" i="8"/>
  <c r="U101" i="8"/>
  <c r="T101" i="8"/>
  <c r="S101" i="8"/>
  <c r="R101" i="8"/>
  <c r="V101" i="8" s="1"/>
  <c r="Z100" i="8"/>
  <c r="Y100" i="8"/>
  <c r="X100" i="8"/>
  <c r="W100" i="8"/>
  <c r="AA100" i="8" s="1"/>
  <c r="U100" i="8"/>
  <c r="T100" i="8"/>
  <c r="S100" i="8"/>
  <c r="R100" i="8"/>
  <c r="V100" i="8" s="1"/>
  <c r="Z99" i="8"/>
  <c r="Y99" i="8"/>
  <c r="X99" i="8"/>
  <c r="W99" i="8"/>
  <c r="AA99" i="8" s="1"/>
  <c r="U99" i="8"/>
  <c r="T99" i="8"/>
  <c r="S99" i="8"/>
  <c r="R99" i="8"/>
  <c r="V99" i="8" s="1"/>
  <c r="Z98" i="8"/>
  <c r="Y98" i="8"/>
  <c r="X98" i="8"/>
  <c r="W98" i="8"/>
  <c r="AA98" i="8" s="1"/>
  <c r="U98" i="8"/>
  <c r="T98" i="8"/>
  <c r="S98" i="8"/>
  <c r="R98" i="8"/>
  <c r="V98" i="8" s="1"/>
  <c r="Z97" i="8"/>
  <c r="Y97" i="8"/>
  <c r="X97" i="8"/>
  <c r="W97" i="8"/>
  <c r="U97" i="8"/>
  <c r="T97" i="8"/>
  <c r="S97" i="8"/>
  <c r="R97" i="8"/>
  <c r="V97" i="8" s="1"/>
  <c r="Z96" i="8"/>
  <c r="Y96" i="8"/>
  <c r="X96" i="8"/>
  <c r="W96" i="8"/>
  <c r="AA96" i="8" s="1"/>
  <c r="U96" i="8"/>
  <c r="T96" i="8"/>
  <c r="S96" i="8"/>
  <c r="R96" i="8"/>
  <c r="Z95" i="8"/>
  <c r="Y95" i="8"/>
  <c r="X95" i="8"/>
  <c r="W95" i="8"/>
  <c r="AA95" i="8" s="1"/>
  <c r="U95" i="8"/>
  <c r="T95" i="8"/>
  <c r="S95" i="8"/>
  <c r="R95" i="8"/>
  <c r="V95" i="8" s="1"/>
  <c r="Z94" i="8"/>
  <c r="Y94" i="8"/>
  <c r="X94" i="8"/>
  <c r="W94" i="8"/>
  <c r="AA94" i="8" s="1"/>
  <c r="U94" i="8"/>
  <c r="T94" i="8"/>
  <c r="S94" i="8"/>
  <c r="R94" i="8"/>
  <c r="V94" i="8" s="1"/>
  <c r="Z93" i="8"/>
  <c r="Y93" i="8"/>
  <c r="X93" i="8"/>
  <c r="W93" i="8"/>
  <c r="U93" i="8"/>
  <c r="T93" i="8"/>
  <c r="S93" i="8"/>
  <c r="R93" i="8"/>
  <c r="V93" i="8" s="1"/>
  <c r="Z92" i="8"/>
  <c r="Y92" i="8"/>
  <c r="X92" i="8"/>
  <c r="W92" i="8"/>
  <c r="AA92" i="8" s="1"/>
  <c r="U92" i="8"/>
  <c r="T92" i="8"/>
  <c r="S92" i="8"/>
  <c r="R92" i="8"/>
  <c r="Z91" i="8"/>
  <c r="Y91" i="8"/>
  <c r="X91" i="8"/>
  <c r="W91" i="8"/>
  <c r="AA91" i="8" s="1"/>
  <c r="U91" i="8"/>
  <c r="T91" i="8"/>
  <c r="S91" i="8"/>
  <c r="R91" i="8"/>
  <c r="V91" i="8" s="1"/>
  <c r="Z90" i="8"/>
  <c r="Y90" i="8"/>
  <c r="X90" i="8"/>
  <c r="W90" i="8"/>
  <c r="AA90" i="8" s="1"/>
  <c r="U90" i="8"/>
  <c r="T90" i="8"/>
  <c r="S90" i="8"/>
  <c r="R90" i="8"/>
  <c r="V90" i="8" s="1"/>
  <c r="Z89" i="8"/>
  <c r="Y89" i="8"/>
  <c r="X89" i="8"/>
  <c r="W89" i="8"/>
  <c r="AA89" i="8" s="1"/>
  <c r="U89" i="8"/>
  <c r="T89" i="8"/>
  <c r="S89" i="8"/>
  <c r="R89" i="8"/>
  <c r="V89" i="8" s="1"/>
  <c r="Z88" i="8"/>
  <c r="Y88" i="8"/>
  <c r="X88" i="8"/>
  <c r="W88" i="8"/>
  <c r="AA88" i="8" s="1"/>
  <c r="U88" i="8"/>
  <c r="T88" i="8"/>
  <c r="S88" i="8"/>
  <c r="R88" i="8"/>
  <c r="Z87" i="8"/>
  <c r="Y87" i="8"/>
  <c r="X87" i="8"/>
  <c r="W87" i="8"/>
  <c r="AA87" i="8" s="1"/>
  <c r="U87" i="8"/>
  <c r="T87" i="8"/>
  <c r="S87" i="8"/>
  <c r="R87" i="8"/>
  <c r="V87" i="8" s="1"/>
  <c r="Z86" i="8"/>
  <c r="Y86" i="8"/>
  <c r="X86" i="8"/>
  <c r="W86" i="8"/>
  <c r="AA86" i="8" s="1"/>
  <c r="U86" i="8"/>
  <c r="T86" i="8"/>
  <c r="S86" i="8"/>
  <c r="R86" i="8"/>
  <c r="V86" i="8" s="1"/>
  <c r="Z85" i="8"/>
  <c r="Y85" i="8"/>
  <c r="X85" i="8"/>
  <c r="W85" i="8"/>
  <c r="U85" i="8"/>
  <c r="T85" i="8"/>
  <c r="S85" i="8"/>
  <c r="R85" i="8"/>
  <c r="V85" i="8" s="1"/>
  <c r="Z84" i="8"/>
  <c r="Y84" i="8"/>
  <c r="X84" i="8"/>
  <c r="W84" i="8"/>
  <c r="AA84" i="8" s="1"/>
  <c r="U84" i="8"/>
  <c r="T84" i="8"/>
  <c r="S84" i="8"/>
  <c r="R84" i="8"/>
  <c r="V84" i="8" s="1"/>
  <c r="Z83" i="8"/>
  <c r="Y83" i="8"/>
  <c r="X83" i="8"/>
  <c r="W83" i="8"/>
  <c r="AA83" i="8" s="1"/>
  <c r="U83" i="8"/>
  <c r="T83" i="8"/>
  <c r="S83" i="8"/>
  <c r="R83" i="8"/>
  <c r="V83" i="8" s="1"/>
  <c r="Z82" i="8"/>
  <c r="Y82" i="8"/>
  <c r="X82" i="8"/>
  <c r="W82" i="8"/>
  <c r="AA82" i="8" s="1"/>
  <c r="U82" i="8"/>
  <c r="T82" i="8"/>
  <c r="S82" i="8"/>
  <c r="R82" i="8"/>
  <c r="V82" i="8" s="1"/>
  <c r="Z81" i="8"/>
  <c r="Y81" i="8"/>
  <c r="X81" i="8"/>
  <c r="W81" i="8"/>
  <c r="U81" i="8"/>
  <c r="T81" i="8"/>
  <c r="S81" i="8"/>
  <c r="R81" i="8"/>
  <c r="V81" i="8" s="1"/>
  <c r="Z80" i="8"/>
  <c r="Y80" i="8"/>
  <c r="X80" i="8"/>
  <c r="W80" i="8"/>
  <c r="AA80" i="8" s="1"/>
  <c r="U80" i="8"/>
  <c r="T80" i="8"/>
  <c r="S80" i="8"/>
  <c r="R80" i="8"/>
  <c r="Z79" i="8"/>
  <c r="Y79" i="8"/>
  <c r="X79" i="8"/>
  <c r="W79" i="8"/>
  <c r="AA79" i="8" s="1"/>
  <c r="U79" i="8"/>
  <c r="T79" i="8"/>
  <c r="S79" i="8"/>
  <c r="R79" i="8"/>
  <c r="V79" i="8" s="1"/>
  <c r="Z78" i="8"/>
  <c r="Y78" i="8"/>
  <c r="X78" i="8"/>
  <c r="W78" i="8"/>
  <c r="AA78" i="8" s="1"/>
  <c r="U78" i="8"/>
  <c r="T78" i="8"/>
  <c r="S78" i="8"/>
  <c r="R78" i="8"/>
  <c r="V78" i="8" s="1"/>
  <c r="Z77" i="8"/>
  <c r="Y77" i="8"/>
  <c r="X77" i="8"/>
  <c r="W77" i="8"/>
  <c r="U77" i="8"/>
  <c r="T77" i="8"/>
  <c r="S77" i="8"/>
  <c r="R77" i="8"/>
  <c r="V77" i="8" s="1"/>
  <c r="Z76" i="8"/>
  <c r="Y76" i="8"/>
  <c r="X76" i="8"/>
  <c r="W76" i="8"/>
  <c r="AA76" i="8" s="1"/>
  <c r="U76" i="8"/>
  <c r="T76" i="8"/>
  <c r="S76" i="8"/>
  <c r="R76" i="8"/>
  <c r="Z75" i="8"/>
  <c r="Y75" i="8"/>
  <c r="X75" i="8"/>
  <c r="W75" i="8"/>
  <c r="AA75" i="8" s="1"/>
  <c r="U75" i="8"/>
  <c r="T75" i="8"/>
  <c r="S75" i="8"/>
  <c r="R75" i="8"/>
  <c r="V75" i="8" s="1"/>
  <c r="Z74" i="8"/>
  <c r="Y74" i="8"/>
  <c r="X74" i="8"/>
  <c r="W74" i="8"/>
  <c r="AA74" i="8" s="1"/>
  <c r="U74" i="8"/>
  <c r="T74" i="8"/>
  <c r="S74" i="8"/>
  <c r="R74" i="8"/>
  <c r="V74" i="8" s="1"/>
  <c r="Z73" i="8"/>
  <c r="Y73" i="8"/>
  <c r="X73" i="8"/>
  <c r="W73" i="8"/>
  <c r="AA73" i="8" s="1"/>
  <c r="U73" i="8"/>
  <c r="T73" i="8"/>
  <c r="S73" i="8"/>
  <c r="R73" i="8"/>
  <c r="V73" i="8" s="1"/>
  <c r="Z72" i="8"/>
  <c r="Y72" i="8"/>
  <c r="X72" i="8"/>
  <c r="W72" i="8"/>
  <c r="AA72" i="8" s="1"/>
  <c r="U72" i="8"/>
  <c r="T72" i="8"/>
  <c r="S72" i="8"/>
  <c r="R72" i="8"/>
  <c r="Z71" i="8"/>
  <c r="Y71" i="8"/>
  <c r="X71" i="8"/>
  <c r="W71" i="8"/>
  <c r="AA71" i="8" s="1"/>
  <c r="U71" i="8"/>
  <c r="T71" i="8"/>
  <c r="S71" i="8"/>
  <c r="R71" i="8"/>
  <c r="V71" i="8" s="1"/>
  <c r="Z70" i="8"/>
  <c r="Y70" i="8"/>
  <c r="X70" i="8"/>
  <c r="W70" i="8"/>
  <c r="AA70" i="8" s="1"/>
  <c r="U70" i="8"/>
  <c r="T70" i="8"/>
  <c r="S70" i="8"/>
  <c r="R70" i="8"/>
  <c r="V70" i="8" s="1"/>
  <c r="Z69" i="8"/>
  <c r="Y69" i="8"/>
  <c r="X69" i="8"/>
  <c r="W69" i="8"/>
  <c r="U69" i="8"/>
  <c r="T69" i="8"/>
  <c r="S69" i="8"/>
  <c r="R69" i="8"/>
  <c r="V69" i="8" s="1"/>
  <c r="Z68" i="8"/>
  <c r="Y68" i="8"/>
  <c r="X68" i="8"/>
  <c r="W68" i="8"/>
  <c r="AA68" i="8" s="1"/>
  <c r="U68" i="8"/>
  <c r="T68" i="8"/>
  <c r="S68" i="8"/>
  <c r="R68" i="8"/>
  <c r="V68" i="8" s="1"/>
  <c r="Z67" i="8"/>
  <c r="Y67" i="8"/>
  <c r="X67" i="8"/>
  <c r="W67" i="8"/>
  <c r="AA67" i="8" s="1"/>
  <c r="U67" i="8"/>
  <c r="T67" i="8"/>
  <c r="S67" i="8"/>
  <c r="R67" i="8"/>
  <c r="V67" i="8" s="1"/>
  <c r="Z66" i="8"/>
  <c r="Y66" i="8"/>
  <c r="X66" i="8"/>
  <c r="W66" i="8"/>
  <c r="AA66" i="8" s="1"/>
  <c r="U66" i="8"/>
  <c r="T66" i="8"/>
  <c r="S66" i="8"/>
  <c r="R66" i="8"/>
  <c r="V66" i="8" s="1"/>
  <c r="Z65" i="8"/>
  <c r="Y65" i="8"/>
  <c r="X65" i="8"/>
  <c r="W65" i="8"/>
  <c r="U65" i="8"/>
  <c r="T65" i="8"/>
  <c r="S65" i="8"/>
  <c r="R65" i="8"/>
  <c r="V65" i="8" s="1"/>
  <c r="Z64" i="8"/>
  <c r="Y64" i="8"/>
  <c r="X64" i="8"/>
  <c r="W64" i="8"/>
  <c r="AA64" i="8" s="1"/>
  <c r="U64" i="8"/>
  <c r="T64" i="8"/>
  <c r="S64" i="8"/>
  <c r="R64" i="8"/>
  <c r="Z63" i="8"/>
  <c r="Y63" i="8"/>
  <c r="X63" i="8"/>
  <c r="W63" i="8"/>
  <c r="AA63" i="8" s="1"/>
  <c r="U63" i="8"/>
  <c r="T63" i="8"/>
  <c r="S63" i="8"/>
  <c r="R63" i="8"/>
  <c r="V63" i="8" s="1"/>
  <c r="Z62" i="8"/>
  <c r="Y62" i="8"/>
  <c r="X62" i="8"/>
  <c r="W62" i="8"/>
  <c r="AA62" i="8" s="1"/>
  <c r="U62" i="8"/>
  <c r="T62" i="8"/>
  <c r="S62" i="8"/>
  <c r="R62" i="8"/>
  <c r="V62" i="8" s="1"/>
  <c r="Z61" i="8"/>
  <c r="Y61" i="8"/>
  <c r="X61" i="8"/>
  <c r="W61" i="8"/>
  <c r="U61" i="8"/>
  <c r="T61" i="8"/>
  <c r="S61" i="8"/>
  <c r="R61" i="8"/>
  <c r="V61" i="8" s="1"/>
  <c r="Z60" i="8"/>
  <c r="Y60" i="8"/>
  <c r="X60" i="8"/>
  <c r="W60" i="8"/>
  <c r="AA60" i="8" s="1"/>
  <c r="U60" i="8"/>
  <c r="T60" i="8"/>
  <c r="S60" i="8"/>
  <c r="R60" i="8"/>
  <c r="Z59" i="8"/>
  <c r="Y59" i="8"/>
  <c r="X59" i="8"/>
  <c r="W59" i="8"/>
  <c r="AA59" i="8" s="1"/>
  <c r="U59" i="8"/>
  <c r="T59" i="8"/>
  <c r="S59" i="8"/>
  <c r="R59" i="8"/>
  <c r="V59" i="8" s="1"/>
  <c r="Z58" i="8"/>
  <c r="Y58" i="8"/>
  <c r="X58" i="8"/>
  <c r="W58" i="8"/>
  <c r="AA58" i="8" s="1"/>
  <c r="U58" i="8"/>
  <c r="T58" i="8"/>
  <c r="S58" i="8"/>
  <c r="R58" i="8"/>
  <c r="V58" i="8" s="1"/>
  <c r="Z57" i="8"/>
  <c r="Y57" i="8"/>
  <c r="X57" i="8"/>
  <c r="W57" i="8"/>
  <c r="AA57" i="8" s="1"/>
  <c r="U57" i="8"/>
  <c r="T57" i="8"/>
  <c r="S57" i="8"/>
  <c r="R57" i="8"/>
  <c r="V57" i="8" s="1"/>
  <c r="Z56" i="8"/>
  <c r="Y56" i="8"/>
  <c r="X56" i="8"/>
  <c r="W56" i="8"/>
  <c r="AA56" i="8" s="1"/>
  <c r="U56" i="8"/>
  <c r="T56" i="8"/>
  <c r="S56" i="8"/>
  <c r="R56" i="8"/>
  <c r="Z55" i="8"/>
  <c r="Y55" i="8"/>
  <c r="X55" i="8"/>
  <c r="W55" i="8"/>
  <c r="AA55" i="8" s="1"/>
  <c r="U55" i="8"/>
  <c r="T55" i="8"/>
  <c r="S55" i="8"/>
  <c r="R55" i="8"/>
  <c r="V55" i="8" s="1"/>
  <c r="Z54" i="8"/>
  <c r="Y54" i="8"/>
  <c r="X54" i="8"/>
  <c r="W54" i="8"/>
  <c r="AA54" i="8" s="1"/>
  <c r="U54" i="8"/>
  <c r="T54" i="8"/>
  <c r="S54" i="8"/>
  <c r="R54" i="8"/>
  <c r="V54" i="8" s="1"/>
  <c r="Z53" i="8"/>
  <c r="Y53" i="8"/>
  <c r="X53" i="8"/>
  <c r="W53" i="8"/>
  <c r="U53" i="8"/>
  <c r="T53" i="8"/>
  <c r="S53" i="8"/>
  <c r="R53" i="8"/>
  <c r="V53" i="8" s="1"/>
  <c r="Z52" i="8"/>
  <c r="Y52" i="8"/>
  <c r="X52" i="8"/>
  <c r="W52" i="8"/>
  <c r="AA52" i="8" s="1"/>
  <c r="U52" i="8"/>
  <c r="T52" i="8"/>
  <c r="S52" i="8"/>
  <c r="R52" i="8"/>
  <c r="V52" i="8" s="1"/>
  <c r="Z51" i="8"/>
  <c r="Y51" i="8"/>
  <c r="X51" i="8"/>
  <c r="W51" i="8"/>
  <c r="AA51" i="8" s="1"/>
  <c r="U51" i="8"/>
  <c r="T51" i="8"/>
  <c r="S51" i="8"/>
  <c r="R51" i="8"/>
  <c r="V51" i="8" s="1"/>
  <c r="Z50" i="8"/>
  <c r="Y50" i="8"/>
  <c r="X50" i="8"/>
  <c r="W50" i="8"/>
  <c r="AA50" i="8" s="1"/>
  <c r="U50" i="8"/>
  <c r="T50" i="8"/>
  <c r="S50" i="8"/>
  <c r="R50" i="8"/>
  <c r="V50" i="8" s="1"/>
  <c r="Z49" i="8"/>
  <c r="Y49" i="8"/>
  <c r="X49" i="8"/>
  <c r="W49" i="8"/>
  <c r="U49" i="8"/>
  <c r="T49" i="8"/>
  <c r="S49" i="8"/>
  <c r="R49" i="8"/>
  <c r="V49" i="8" s="1"/>
  <c r="Z48" i="8"/>
  <c r="Y48" i="8"/>
  <c r="X48" i="8"/>
  <c r="W48" i="8"/>
  <c r="AA48" i="8" s="1"/>
  <c r="U48" i="8"/>
  <c r="T48" i="8"/>
  <c r="S48" i="8"/>
  <c r="R48" i="8"/>
  <c r="Z47" i="8"/>
  <c r="Y47" i="8"/>
  <c r="X47" i="8"/>
  <c r="W47" i="8"/>
  <c r="AA47" i="8" s="1"/>
  <c r="U47" i="8"/>
  <c r="T47" i="8"/>
  <c r="S47" i="8"/>
  <c r="R47" i="8"/>
  <c r="V47" i="8" s="1"/>
  <c r="Z46" i="8"/>
  <c r="Y46" i="8"/>
  <c r="X46" i="8"/>
  <c r="W46" i="8"/>
  <c r="AA46" i="8" s="1"/>
  <c r="U46" i="8"/>
  <c r="T46" i="8"/>
  <c r="S46" i="8"/>
  <c r="R46" i="8"/>
  <c r="V46" i="8" s="1"/>
  <c r="Z45" i="8"/>
  <c r="Y45" i="8"/>
  <c r="X45" i="8"/>
  <c r="W45" i="8"/>
  <c r="U45" i="8"/>
  <c r="T45" i="8"/>
  <c r="S45" i="8"/>
  <c r="R45" i="8"/>
  <c r="V45" i="8" s="1"/>
  <c r="Z44" i="8"/>
  <c r="Y44" i="8"/>
  <c r="X44" i="8"/>
  <c r="W44" i="8"/>
  <c r="AA44" i="8" s="1"/>
  <c r="U44" i="8"/>
  <c r="T44" i="8"/>
  <c r="S44" i="8"/>
  <c r="R44" i="8"/>
  <c r="Z43" i="8"/>
  <c r="Y43" i="8"/>
  <c r="X43" i="8"/>
  <c r="W43" i="8"/>
  <c r="AA43" i="8" s="1"/>
  <c r="U43" i="8"/>
  <c r="T43" i="8"/>
  <c r="S43" i="8"/>
  <c r="R43" i="8"/>
  <c r="V43" i="8" s="1"/>
  <c r="Z42" i="8"/>
  <c r="Y42" i="8"/>
  <c r="X42" i="8"/>
  <c r="W42" i="8"/>
  <c r="AA42" i="8" s="1"/>
  <c r="U42" i="8"/>
  <c r="T42" i="8"/>
  <c r="S42" i="8"/>
  <c r="R42" i="8"/>
  <c r="V42" i="8" s="1"/>
  <c r="Z41" i="8"/>
  <c r="Y41" i="8"/>
  <c r="X41" i="8"/>
  <c r="W41" i="8"/>
  <c r="U41" i="8"/>
  <c r="T41" i="8"/>
  <c r="S41" i="8"/>
  <c r="R41" i="8"/>
  <c r="Z40" i="8"/>
  <c r="Y40" i="8"/>
  <c r="X40" i="8"/>
  <c r="W40" i="8"/>
  <c r="AA40" i="8" s="1"/>
  <c r="U40" i="8"/>
  <c r="T40" i="8"/>
  <c r="S40" i="8"/>
  <c r="R40" i="8"/>
  <c r="V40" i="8" s="1"/>
  <c r="Z39" i="8"/>
  <c r="Y39" i="8"/>
  <c r="X39" i="8"/>
  <c r="W39" i="8"/>
  <c r="U39" i="8"/>
  <c r="T39" i="8"/>
  <c r="S39" i="8"/>
  <c r="R39" i="8"/>
  <c r="V39" i="8" s="1"/>
  <c r="Z38" i="8"/>
  <c r="Y38" i="8"/>
  <c r="X38" i="8"/>
  <c r="W38" i="8"/>
  <c r="U38" i="8"/>
  <c r="T38" i="8"/>
  <c r="S38" i="8"/>
  <c r="R38" i="8"/>
  <c r="Z37" i="8"/>
  <c r="Y37" i="8"/>
  <c r="X37" i="8"/>
  <c r="W37" i="8"/>
  <c r="AA37" i="8" s="1"/>
  <c r="U37" i="8"/>
  <c r="T37" i="8"/>
  <c r="S37" i="8"/>
  <c r="R37" i="8"/>
  <c r="Z36" i="8"/>
  <c r="Y36" i="8"/>
  <c r="X36" i="8"/>
  <c r="W36" i="8"/>
  <c r="AA36" i="8" s="1"/>
  <c r="U36" i="8"/>
  <c r="T36" i="8"/>
  <c r="S36" i="8"/>
  <c r="R36" i="8"/>
  <c r="V36" i="8" s="1"/>
  <c r="Z35" i="8"/>
  <c r="Y35" i="8"/>
  <c r="X35" i="8"/>
  <c r="W35" i="8"/>
  <c r="U35" i="8"/>
  <c r="T35" i="8"/>
  <c r="S35" i="8"/>
  <c r="R35" i="8"/>
  <c r="V35" i="8" s="1"/>
  <c r="X34" i="8"/>
  <c r="W34" i="8"/>
  <c r="AA34" i="8" s="1"/>
  <c r="S34" i="8"/>
  <c r="V34" i="8" s="1"/>
  <c r="AB34" i="8" s="1"/>
  <c r="R34" i="8"/>
  <c r="X33" i="8"/>
  <c r="W33" i="8"/>
  <c r="AA33" i="8" s="1"/>
  <c r="S33" i="8"/>
  <c r="R33" i="8"/>
  <c r="X32" i="8"/>
  <c r="AA32" i="8" s="1"/>
  <c r="W32" i="8"/>
  <c r="S32" i="8"/>
  <c r="R32" i="8"/>
  <c r="X31" i="8"/>
  <c r="W31" i="8"/>
  <c r="S31" i="8"/>
  <c r="R31" i="8"/>
  <c r="V31" i="8" s="1"/>
  <c r="X30" i="8"/>
  <c r="W30" i="8"/>
  <c r="S30" i="8"/>
  <c r="R30" i="8"/>
  <c r="V30" i="8" s="1"/>
  <c r="X29" i="8"/>
  <c r="W29" i="8"/>
  <c r="S29" i="8"/>
  <c r="R29" i="8"/>
  <c r="X28" i="8"/>
  <c r="AA28" i="8" s="1"/>
  <c r="W28" i="8"/>
  <c r="S28" i="8"/>
  <c r="R28" i="8"/>
  <c r="V28" i="8" s="1"/>
  <c r="AB28" i="8" s="1"/>
  <c r="X27" i="8"/>
  <c r="W27" i="8"/>
  <c r="S27" i="8"/>
  <c r="R27" i="8"/>
  <c r="X26" i="8"/>
  <c r="W26" i="8"/>
  <c r="AA26" i="8" s="1"/>
  <c r="V26" i="8"/>
  <c r="AB26" i="8" s="1"/>
  <c r="S26" i="8"/>
  <c r="R26" i="8"/>
  <c r="X25" i="8"/>
  <c r="AA25" i="8" s="1"/>
  <c r="W25" i="8"/>
  <c r="S25" i="8"/>
  <c r="R25" i="8"/>
  <c r="V25" i="8" s="1"/>
  <c r="X24" i="8"/>
  <c r="W24" i="8"/>
  <c r="AA24" i="8" s="1"/>
  <c r="S24" i="8"/>
  <c r="R24" i="8"/>
  <c r="X23" i="8"/>
  <c r="W23" i="8"/>
  <c r="AA23" i="8" s="1"/>
  <c r="S23" i="8"/>
  <c r="R23" i="8"/>
  <c r="V23" i="8" s="1"/>
  <c r="X22" i="8"/>
  <c r="W22" i="8"/>
  <c r="S22" i="8"/>
  <c r="R22" i="8"/>
  <c r="V22" i="8" s="1"/>
  <c r="AA21" i="8"/>
  <c r="X21" i="8"/>
  <c r="W21" i="8"/>
  <c r="S21" i="8"/>
  <c r="R21" i="8"/>
  <c r="X20" i="8"/>
  <c r="AA20" i="8" s="1"/>
  <c r="W20" i="8"/>
  <c r="S20" i="8"/>
  <c r="R20" i="8"/>
  <c r="V20" i="8" s="1"/>
  <c r="X19" i="8"/>
  <c r="W19" i="8"/>
  <c r="AA19" i="8" s="1"/>
  <c r="S19" i="8"/>
  <c r="R19" i="8"/>
  <c r="X18" i="8"/>
  <c r="W18" i="8"/>
  <c r="S18" i="8"/>
  <c r="R18" i="8"/>
  <c r="V18" i="8" s="1"/>
  <c r="X17" i="8"/>
  <c r="W17" i="8"/>
  <c r="AA17" i="8" s="1"/>
  <c r="S17" i="8"/>
  <c r="V17" i="8" s="1"/>
  <c r="R17" i="8"/>
  <c r="X16" i="8"/>
  <c r="W16" i="8"/>
  <c r="AA16" i="8" s="1"/>
  <c r="S16" i="8"/>
  <c r="R16" i="8"/>
  <c r="X15" i="8"/>
  <c r="W15" i="8"/>
  <c r="S15" i="8"/>
  <c r="R15" i="8"/>
  <c r="X14" i="8"/>
  <c r="W14" i="8"/>
  <c r="AA14" i="8" s="1"/>
  <c r="S14" i="8"/>
  <c r="R14" i="8"/>
  <c r="V14" i="8" s="1"/>
  <c r="X13" i="8"/>
  <c r="W13" i="8"/>
  <c r="AA13" i="8" s="1"/>
  <c r="S13" i="8"/>
  <c r="R13" i="8"/>
  <c r="V13" i="8" s="1"/>
  <c r="AB13" i="8" s="1"/>
  <c r="AA12" i="8"/>
  <c r="X12" i="8"/>
  <c r="W12" i="8"/>
  <c r="S12" i="8"/>
  <c r="R12" i="8"/>
  <c r="X11" i="8"/>
  <c r="W11" i="8"/>
  <c r="S11" i="8"/>
  <c r="R11" i="8"/>
  <c r="V11" i="8" s="1"/>
  <c r="X10" i="8"/>
  <c r="W10" i="8"/>
  <c r="AA10" i="8" s="1"/>
  <c r="S10" i="8"/>
  <c r="R10" i="8"/>
  <c r="V10" i="8" s="1"/>
  <c r="X9" i="8"/>
  <c r="W9" i="8"/>
  <c r="AA9" i="8" s="1"/>
  <c r="S9" i="8"/>
  <c r="V9" i="8" s="1"/>
  <c r="R9" i="8"/>
  <c r="X8" i="8"/>
  <c r="W8" i="8"/>
  <c r="AA8" i="8" s="1"/>
  <c r="S8" i="8"/>
  <c r="R8" i="8"/>
  <c r="X7" i="8"/>
  <c r="W7" i="8"/>
  <c r="S7" i="8"/>
  <c r="R7" i="8"/>
  <c r="V7" i="8" s="1"/>
  <c r="X6" i="8"/>
  <c r="W6" i="8"/>
  <c r="AA6" i="8" s="1"/>
  <c r="S6" i="8"/>
  <c r="R6" i="8"/>
  <c r="V6" i="8" s="1"/>
  <c r="X5" i="8"/>
  <c r="W5" i="8"/>
  <c r="AA5" i="8" s="1"/>
  <c r="S5" i="8"/>
  <c r="R5" i="8"/>
  <c r="V5" i="8" s="1"/>
  <c r="AB5" i="8" s="1"/>
  <c r="AA4" i="8"/>
  <c r="X4" i="8"/>
  <c r="W4" i="8"/>
  <c r="S4" i="8"/>
  <c r="R4" i="8"/>
  <c r="X3" i="8"/>
  <c r="W3" i="8"/>
  <c r="S3" i="8"/>
  <c r="R3" i="8"/>
  <c r="V3" i="8" s="1"/>
  <c r="BQ124" i="8" l="1"/>
  <c r="BQ18" i="8"/>
  <c r="BQ100" i="8"/>
  <c r="BQ31" i="8"/>
  <c r="BQ87" i="8"/>
  <c r="BQ56" i="8"/>
  <c r="BQ10" i="8"/>
  <c r="BQ49" i="8"/>
  <c r="BQ126" i="8"/>
  <c r="BQ66" i="8"/>
  <c r="BQ26" i="8"/>
  <c r="BQ14" i="8"/>
  <c r="BQ79" i="8"/>
  <c r="BQ73" i="8"/>
  <c r="BQ99" i="8"/>
  <c r="BQ123" i="8"/>
  <c r="BQ135" i="8"/>
  <c r="BQ98" i="8"/>
  <c r="BQ121" i="8"/>
  <c r="BQ41" i="8"/>
  <c r="BQ111" i="8"/>
  <c r="BQ55" i="8"/>
  <c r="BQ92" i="8"/>
  <c r="BQ75" i="8"/>
  <c r="BQ129" i="8"/>
  <c r="BQ106" i="8"/>
  <c r="BQ39" i="8"/>
  <c r="BQ52" i="8"/>
  <c r="BQ21" i="8"/>
  <c r="BQ5" i="8"/>
  <c r="BQ35" i="8"/>
  <c r="BQ69" i="8"/>
  <c r="BQ3" i="8"/>
  <c r="BQ29" i="8"/>
  <c r="BQ9" i="8"/>
  <c r="BQ64" i="8"/>
  <c r="BQ25" i="8"/>
  <c r="BQ102" i="8"/>
  <c r="BQ110" i="8"/>
  <c r="BQ61" i="8"/>
  <c r="BQ142" i="8"/>
  <c r="BQ134" i="8"/>
  <c r="BQ81" i="8"/>
  <c r="BQ38" i="8"/>
  <c r="BQ40" i="8"/>
  <c r="BQ85" i="8"/>
  <c r="BQ93" i="8"/>
  <c r="BQ96" i="8"/>
  <c r="BQ63" i="8"/>
  <c r="BQ133" i="8"/>
  <c r="BQ103" i="8"/>
  <c r="BQ131" i="8"/>
  <c r="BQ13" i="8"/>
  <c r="BQ130" i="8"/>
  <c r="BQ34" i="8"/>
  <c r="BQ116" i="8"/>
  <c r="BQ37" i="8"/>
  <c r="BQ6" i="8"/>
  <c r="BQ71" i="8"/>
  <c r="BQ115" i="8"/>
  <c r="BQ17" i="8"/>
  <c r="BQ42" i="8"/>
  <c r="BQ108" i="8"/>
  <c r="BQ45" i="8"/>
  <c r="BQ119" i="8"/>
  <c r="BQ58" i="8"/>
  <c r="BQ60" i="8"/>
  <c r="BQ90" i="8"/>
  <c r="BQ114" i="8"/>
  <c r="BQ112" i="8"/>
  <c r="BQ94" i="8"/>
  <c r="BQ50" i="8"/>
  <c r="BQ128" i="8"/>
  <c r="BQ132" i="8"/>
  <c r="BQ76" i="8"/>
  <c r="BQ78" i="8"/>
  <c r="BQ89" i="8"/>
  <c r="BQ91" i="8"/>
  <c r="BQ70" i="8"/>
  <c r="BQ104" i="8"/>
  <c r="BQ59" i="8"/>
  <c r="BQ139" i="8"/>
  <c r="BQ67" i="8"/>
  <c r="BQ140" i="8"/>
  <c r="BQ51" i="8"/>
  <c r="BQ83" i="8"/>
  <c r="BQ80" i="8"/>
  <c r="BQ57" i="8"/>
  <c r="AB25" i="8"/>
  <c r="AA15" i="8"/>
  <c r="BQ122" i="8"/>
  <c r="BQ82" i="8"/>
  <c r="BQ4" i="8"/>
  <c r="BQ77" i="8"/>
  <c r="AB7" i="8"/>
  <c r="AB14" i="8"/>
  <c r="AB23" i="8"/>
  <c r="V29" i="8"/>
  <c r="BQ74" i="8"/>
  <c r="BQ120" i="8"/>
  <c r="AA3" i="8"/>
  <c r="V16" i="8"/>
  <c r="AB16" i="8" s="1"/>
  <c r="AA27" i="8"/>
  <c r="AA29" i="8"/>
  <c r="AA31" i="8"/>
  <c r="V33" i="8"/>
  <c r="AB33" i="8" s="1"/>
  <c r="BQ118" i="8"/>
  <c r="BQ48" i="8"/>
  <c r="V21" i="8"/>
  <c r="AB21" i="8" s="1"/>
  <c r="AB43" i="8"/>
  <c r="AB46" i="8"/>
  <c r="AB51" i="8"/>
  <c r="AB55" i="8"/>
  <c r="AB59" i="8"/>
  <c r="AB63" i="8"/>
  <c r="AB67" i="8"/>
  <c r="AB71" i="8"/>
  <c r="AB74" i="8"/>
  <c r="AB79" i="8"/>
  <c r="AB83" i="8"/>
  <c r="AB86" i="8"/>
  <c r="AB90" i="8"/>
  <c r="AB95" i="8"/>
  <c r="AB98" i="8"/>
  <c r="AB100" i="8"/>
  <c r="AB102" i="8"/>
  <c r="AB106" i="8"/>
  <c r="AB111" i="8"/>
  <c r="AB115" i="8"/>
  <c r="AB119" i="8"/>
  <c r="AB122" i="8"/>
  <c r="AB127" i="8"/>
  <c r="AB130" i="8"/>
  <c r="AB132" i="8"/>
  <c r="AB134" i="8"/>
  <c r="AB137" i="8"/>
  <c r="AB139" i="8"/>
  <c r="AB142" i="8"/>
  <c r="AB146" i="8"/>
  <c r="AB148" i="8"/>
  <c r="AB150" i="8"/>
  <c r="AB153" i="8"/>
  <c r="AB155" i="8"/>
  <c r="BQ105" i="8"/>
  <c r="BQ101" i="8"/>
  <c r="AB6" i="8"/>
  <c r="V15" i="8"/>
  <c r="AB15" i="8" s="1"/>
  <c r="AA18" i="8"/>
  <c r="AB18" i="8" s="1"/>
  <c r="V32" i="8"/>
  <c r="AB32" i="8" s="1"/>
  <c r="BQ137" i="8"/>
  <c r="BQ33" i="8"/>
  <c r="BQ113" i="8"/>
  <c r="BQ62" i="8"/>
  <c r="BQ15" i="8"/>
  <c r="V12" i="8"/>
  <c r="AB12" i="8" s="1"/>
  <c r="AB36" i="8"/>
  <c r="AB40" i="8"/>
  <c r="AB42" i="8"/>
  <c r="AB47" i="8"/>
  <c r="AB50" i="8"/>
  <c r="AB54" i="8"/>
  <c r="AB57" i="8"/>
  <c r="AB58" i="8"/>
  <c r="AB62" i="8"/>
  <c r="AB66" i="8"/>
  <c r="AB70" i="8"/>
  <c r="AB73" i="8"/>
  <c r="AB75" i="8"/>
  <c r="AB78" i="8"/>
  <c r="AB82" i="8"/>
  <c r="AB87" i="8"/>
  <c r="AB89" i="8"/>
  <c r="AB99" i="8"/>
  <c r="AB103" i="8"/>
  <c r="AB105" i="8"/>
  <c r="AB107" i="8"/>
  <c r="AB110" i="8"/>
  <c r="AB114" i="8"/>
  <c r="AB116" i="8"/>
  <c r="AB118" i="8"/>
  <c r="AB121" i="8"/>
  <c r="AB123" i="8"/>
  <c r="AB126" i="8"/>
  <c r="AB131" i="8"/>
  <c r="AB135" i="8"/>
  <c r="AB138" i="8"/>
  <c r="AB143" i="8"/>
  <c r="AB147" i="8"/>
  <c r="AB151" i="8"/>
  <c r="AB154" i="8"/>
  <c r="BQ7" i="8"/>
  <c r="V4" i="8"/>
  <c r="AB4" i="8" s="1"/>
  <c r="AA7" i="8"/>
  <c r="BQ23" i="8"/>
  <c r="V8" i="8"/>
  <c r="AB8" i="8" s="1"/>
  <c r="AA11" i="8"/>
  <c r="AB11" i="8" s="1"/>
  <c r="V24" i="8"/>
  <c r="AB24" i="8" s="1"/>
  <c r="BQ136" i="8"/>
  <c r="BQ138" i="8"/>
  <c r="BQ84" i="8"/>
  <c r="BQ68" i="8"/>
  <c r="BQ36" i="8"/>
  <c r="BQ54" i="8"/>
  <c r="BQ12" i="8"/>
  <c r="BQ107" i="8"/>
  <c r="BQ97" i="8"/>
  <c r="BQ141" i="8"/>
  <c r="BQ88" i="8"/>
  <c r="BQ8" i="8"/>
  <c r="BQ117" i="8"/>
  <c r="BQ109" i="8"/>
  <c r="BQ24" i="8"/>
  <c r="BQ53" i="8"/>
  <c r="BQ72" i="8"/>
  <c r="AB10" i="8"/>
  <c r="AB20" i="8"/>
  <c r="AB39" i="8"/>
  <c r="AB3" i="8"/>
  <c r="AB9" i="8"/>
  <c r="AB17" i="8"/>
  <c r="AB52" i="8"/>
  <c r="AB84" i="8"/>
  <c r="AB68" i="8"/>
  <c r="AA22" i="8"/>
  <c r="AB22" i="8" s="1"/>
  <c r="V27" i="8"/>
  <c r="V37" i="8"/>
  <c r="AB37" i="8" s="1"/>
  <c r="AA39" i="8"/>
  <c r="AB94" i="8"/>
  <c r="AB31" i="8"/>
  <c r="AB91" i="8"/>
  <c r="V19" i="8"/>
  <c r="AB19" i="8" s="1"/>
  <c r="AA30" i="8"/>
  <c r="AB30" i="8" s="1"/>
  <c r="AA35" i="8"/>
  <c r="AB35" i="8" s="1"/>
  <c r="V38" i="8"/>
  <c r="AA38" i="8"/>
  <c r="V41" i="8"/>
  <c r="AA41" i="8"/>
  <c r="V44" i="8"/>
  <c r="AB44" i="8" s="1"/>
  <c r="AA49" i="8"/>
  <c r="AB49" i="8" s="1"/>
  <c r="V60" i="8"/>
  <c r="AB60" i="8" s="1"/>
  <c r="AA65" i="8"/>
  <c r="AB65" i="8" s="1"/>
  <c r="V76" i="8"/>
  <c r="AB76" i="8" s="1"/>
  <c r="AA81" i="8"/>
  <c r="AB81" i="8" s="1"/>
  <c r="V92" i="8"/>
  <c r="AB92" i="8" s="1"/>
  <c r="AA97" i="8"/>
  <c r="AB97" i="8" s="1"/>
  <c r="V108" i="8"/>
  <c r="AB108" i="8" s="1"/>
  <c r="AA113" i="8"/>
  <c r="AB113" i="8" s="1"/>
  <c r="V124" i="8"/>
  <c r="AB124" i="8" s="1"/>
  <c r="AA129" i="8"/>
  <c r="AB129" i="8" s="1"/>
  <c r="V140" i="8"/>
  <c r="AB140" i="8" s="1"/>
  <c r="AA145" i="8"/>
  <c r="AB145" i="8" s="1"/>
  <c r="V48" i="8"/>
  <c r="AB48" i="8" s="1"/>
  <c r="AA53" i="8"/>
  <c r="AB53" i="8" s="1"/>
  <c r="V64" i="8"/>
  <c r="AB64" i="8" s="1"/>
  <c r="AA69" i="8"/>
  <c r="AB69" i="8" s="1"/>
  <c r="V80" i="8"/>
  <c r="AB80" i="8" s="1"/>
  <c r="AA85" i="8"/>
  <c r="AB85" i="8" s="1"/>
  <c r="V96" i="8"/>
  <c r="AB96" i="8" s="1"/>
  <c r="AA101" i="8"/>
  <c r="AB101" i="8" s="1"/>
  <c r="V112" i="8"/>
  <c r="AB112" i="8" s="1"/>
  <c r="AA117" i="8"/>
  <c r="AB117" i="8" s="1"/>
  <c r="V128" i="8"/>
  <c r="AB128" i="8" s="1"/>
  <c r="AA133" i="8"/>
  <c r="AB133" i="8" s="1"/>
  <c r="V144" i="8"/>
  <c r="AB144" i="8" s="1"/>
  <c r="AA149" i="8"/>
  <c r="AB149" i="8" s="1"/>
  <c r="AA45" i="8"/>
  <c r="AB45" i="8" s="1"/>
  <c r="V56" i="8"/>
  <c r="AB56" i="8" s="1"/>
  <c r="AA61" i="8"/>
  <c r="AB61" i="8" s="1"/>
  <c r="V72" i="8"/>
  <c r="AB72" i="8" s="1"/>
  <c r="AA77" i="8"/>
  <c r="AB77" i="8" s="1"/>
  <c r="V88" i="8"/>
  <c r="AB88" i="8" s="1"/>
  <c r="AA93" i="8"/>
  <c r="AB93" i="8" s="1"/>
  <c r="V104" i="8"/>
  <c r="AB104" i="8" s="1"/>
  <c r="AA109" i="8"/>
  <c r="AB109" i="8" s="1"/>
  <c r="V120" i="8"/>
  <c r="AB120" i="8" s="1"/>
  <c r="AA125" i="8"/>
  <c r="AB125" i="8" s="1"/>
  <c r="V136" i="8"/>
  <c r="AB136" i="8" s="1"/>
  <c r="AA141" i="8"/>
  <c r="AB141" i="8" s="1"/>
  <c r="V152" i="8"/>
  <c r="AB152" i="8" s="1"/>
  <c r="AB41" i="8" l="1"/>
  <c r="AB29" i="8"/>
  <c r="AB27" i="8"/>
  <c r="AB38" i="8"/>
  <c r="J91" i="5" l="1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92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O93" i="3" l="1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M5" i="3" l="1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M78" i="3"/>
  <c r="N78" i="3" s="1"/>
  <c r="M79" i="3"/>
  <c r="N79" i="3" s="1"/>
  <c r="M80" i="3"/>
  <c r="N80" i="3" s="1"/>
  <c r="M81" i="3"/>
  <c r="N81" i="3" s="1"/>
  <c r="M82" i="3"/>
  <c r="N82" i="3" s="1"/>
  <c r="M83" i="3"/>
  <c r="N83" i="3" s="1"/>
  <c r="M84" i="3"/>
  <c r="N84" i="3" s="1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4" i="3"/>
  <c r="N4" i="3" s="1"/>
</calcChain>
</file>

<file path=xl/sharedStrings.xml><?xml version="1.0" encoding="utf-8"?>
<sst xmlns="http://schemas.openxmlformats.org/spreadsheetml/2006/main" count="147" uniqueCount="62">
  <si>
    <t>issueDate</t>
  </si>
  <si>
    <t>WAC</t>
  </si>
  <si>
    <t>FNCK</t>
  </si>
  <si>
    <t>FNCL</t>
  </si>
  <si>
    <t>issueAmount1</t>
  </si>
  <si>
    <t>Diff</t>
  </si>
  <si>
    <t>CK-CL</t>
  </si>
  <si>
    <t>Mkt Share</t>
  </si>
  <si>
    <t>originationMonth</t>
  </si>
  <si>
    <t>cnt</t>
  </si>
  <si>
    <t>bal</t>
  </si>
  <si>
    <t>pct_owner</t>
  </si>
  <si>
    <t>incentive</t>
  </si>
  <si>
    <t>burnout</t>
  </si>
  <si>
    <t>wala</t>
  </si>
  <si>
    <t>wacls</t>
  </si>
  <si>
    <t>ccltv</t>
  </si>
  <si>
    <t>fico_score</t>
  </si>
  <si>
    <t>wac</t>
  </si>
  <si>
    <t>dti</t>
  </si>
  <si>
    <t>hpa_2yr</t>
  </si>
  <si>
    <t>credit_availability</t>
  </si>
  <si>
    <t>media_refi</t>
  </si>
  <si>
    <t>smm</t>
  </si>
  <si>
    <t>Jumbo Conforming LLPA</t>
  </si>
  <si>
    <t>Conforming LLPA</t>
  </si>
  <si>
    <t>Amount (M)</t>
  </si>
  <si>
    <t>FGT6</t>
  </si>
  <si>
    <t>FNCL Jumbo</t>
  </si>
  <si>
    <t>FGLMC Jumbo</t>
  </si>
  <si>
    <t>TBA Jumbo</t>
  </si>
  <si>
    <t>Specified Jumbo</t>
  </si>
  <si>
    <t>TBA Share of Jumbo</t>
  </si>
  <si>
    <t>TBA Share of Jumbo - MA</t>
  </si>
  <si>
    <t>asof</t>
  </si>
  <si>
    <t xml:space="preserve">FNM </t>
  </si>
  <si>
    <t>&gt;417</t>
  </si>
  <si>
    <t>FNM</t>
  </si>
  <si>
    <t>&lt;= 417</t>
  </si>
  <si>
    <t>FHL</t>
  </si>
  <si>
    <t>&gt; 417</t>
  </si>
  <si>
    <t>Amount</t>
  </si>
  <si>
    <t>Large Loan Size</t>
  </si>
  <si>
    <t>Small Loan Size</t>
  </si>
  <si>
    <t>calcOrigMonth_LL</t>
  </si>
  <si>
    <t>FNCLWAC</t>
  </si>
  <si>
    <t>FNCLAmount</t>
  </si>
  <si>
    <t>CL</t>
  </si>
  <si>
    <t>FNCKWAC</t>
  </si>
  <si>
    <t>FNCKAmount</t>
  </si>
  <si>
    <t>CK</t>
  </si>
  <si>
    <t>Using pool level issue date</t>
  </si>
  <si>
    <t>Using loan level calcOrigMonth_LL</t>
  </si>
  <si>
    <t>MtgRate</t>
  </si>
  <si>
    <t>JumboRate</t>
  </si>
  <si>
    <t>MA_WAC_Spread</t>
  </si>
  <si>
    <t>cov_WAC</t>
  </si>
  <si>
    <t>jum_WAC</t>
  </si>
  <si>
    <t>Spread</t>
  </si>
  <si>
    <t>asOf</t>
  </si>
  <si>
    <t>asOf_lag1</t>
  </si>
  <si>
    <t>asOf_lag2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</si>
</sst>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8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3" fontId="0" fillId="0" borderId="0" xfId="2" applyFont="1"/>
    <xf numFmtId="43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2" applyNumberFormat="1" applyFont="1"/>
    <xf numFmtId="165" fontId="0" fillId="0" borderId="0" xfId="0" applyNumberFormat="1"/>
    <xf numFmtId="2" fontId="0" fillId="0" borderId="0" xfId="0" applyNumberFormat="1"/>
    <xf numFmtId="0" fontId="0" fillId="0" borderId="0" xfId="0" applyNumberFormat="1"/>
    <xf numFmtId="166" fontId="0" fillId="0" borderId="0" xfId="1" applyNumberFormat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8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'WAC Differences'!$AG$3</c:f>
              <c:strCache>
                <c:ptCount val="1"/>
                <c:pt idx="0">
                  <c:v>Mkt Share</c:v>
                </c:pt>
              </c:strCache>
            </c:strRef>
          </c:tx>
          <c:invertIfNegative val="0"/>
          <c:cat>
            <c:numRef>
              <c:f>'WAC Differences'!$AE$6:$AE$160</c:f>
              <c:numCache>
                <c:formatCode>m/d/yyyy</c:formatCode>
                <c:ptCount val="15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39539</c:v>
                </c:pt>
                <c:pt idx="63">
                  <c:v>39569</c:v>
                </c:pt>
                <c:pt idx="64">
                  <c:v>39600</c:v>
                </c:pt>
                <c:pt idx="65">
                  <c:v>39630</c:v>
                </c:pt>
                <c:pt idx="66">
                  <c:v>39661</c:v>
                </c:pt>
                <c:pt idx="67">
                  <c:v>39692</c:v>
                </c:pt>
                <c:pt idx="68">
                  <c:v>39722</c:v>
                </c:pt>
                <c:pt idx="69">
                  <c:v>39753</c:v>
                </c:pt>
                <c:pt idx="70">
                  <c:v>39783</c:v>
                </c:pt>
                <c:pt idx="71">
                  <c:v>39814</c:v>
                </c:pt>
                <c:pt idx="72">
                  <c:v>39845</c:v>
                </c:pt>
                <c:pt idx="73">
                  <c:v>39873</c:v>
                </c:pt>
                <c:pt idx="74">
                  <c:v>39904</c:v>
                </c:pt>
                <c:pt idx="75">
                  <c:v>39934</c:v>
                </c:pt>
                <c:pt idx="76">
                  <c:v>39965</c:v>
                </c:pt>
                <c:pt idx="77">
                  <c:v>39995</c:v>
                </c:pt>
                <c:pt idx="78">
                  <c:v>40026</c:v>
                </c:pt>
                <c:pt idx="79">
                  <c:v>40057</c:v>
                </c:pt>
                <c:pt idx="80">
                  <c:v>40087</c:v>
                </c:pt>
                <c:pt idx="81">
                  <c:v>40118</c:v>
                </c:pt>
                <c:pt idx="82">
                  <c:v>40148</c:v>
                </c:pt>
                <c:pt idx="83">
                  <c:v>40179</c:v>
                </c:pt>
                <c:pt idx="84">
                  <c:v>40210</c:v>
                </c:pt>
                <c:pt idx="85">
                  <c:v>40238</c:v>
                </c:pt>
                <c:pt idx="86">
                  <c:v>40269</c:v>
                </c:pt>
                <c:pt idx="87">
                  <c:v>40299</c:v>
                </c:pt>
                <c:pt idx="88">
                  <c:v>40330</c:v>
                </c:pt>
                <c:pt idx="89">
                  <c:v>40360</c:v>
                </c:pt>
                <c:pt idx="90">
                  <c:v>40391</c:v>
                </c:pt>
                <c:pt idx="91">
                  <c:v>40422</c:v>
                </c:pt>
                <c:pt idx="92">
                  <c:v>40452</c:v>
                </c:pt>
                <c:pt idx="93">
                  <c:v>40483</c:v>
                </c:pt>
                <c:pt idx="94">
                  <c:v>40513</c:v>
                </c:pt>
                <c:pt idx="95">
                  <c:v>40544</c:v>
                </c:pt>
                <c:pt idx="96">
                  <c:v>40575</c:v>
                </c:pt>
                <c:pt idx="97">
                  <c:v>40603</c:v>
                </c:pt>
                <c:pt idx="98">
                  <c:v>40634</c:v>
                </c:pt>
                <c:pt idx="99">
                  <c:v>40664</c:v>
                </c:pt>
                <c:pt idx="100">
                  <c:v>40695</c:v>
                </c:pt>
                <c:pt idx="101">
                  <c:v>40725</c:v>
                </c:pt>
                <c:pt idx="102">
                  <c:v>40756</c:v>
                </c:pt>
                <c:pt idx="103">
                  <c:v>40787</c:v>
                </c:pt>
                <c:pt idx="104">
                  <c:v>40817</c:v>
                </c:pt>
                <c:pt idx="105">
                  <c:v>40848</c:v>
                </c:pt>
                <c:pt idx="106">
                  <c:v>40878</c:v>
                </c:pt>
                <c:pt idx="107">
                  <c:v>40909</c:v>
                </c:pt>
                <c:pt idx="108">
                  <c:v>40940</c:v>
                </c:pt>
                <c:pt idx="109">
                  <c:v>40969</c:v>
                </c:pt>
                <c:pt idx="110">
                  <c:v>41000</c:v>
                </c:pt>
                <c:pt idx="111">
                  <c:v>41030</c:v>
                </c:pt>
                <c:pt idx="112">
                  <c:v>41061</c:v>
                </c:pt>
                <c:pt idx="113">
                  <c:v>41091</c:v>
                </c:pt>
                <c:pt idx="114">
                  <c:v>41122</c:v>
                </c:pt>
                <c:pt idx="115">
                  <c:v>41153</c:v>
                </c:pt>
                <c:pt idx="116">
                  <c:v>41183</c:v>
                </c:pt>
                <c:pt idx="117">
                  <c:v>41214</c:v>
                </c:pt>
                <c:pt idx="118">
                  <c:v>41244</c:v>
                </c:pt>
                <c:pt idx="119">
                  <c:v>41275</c:v>
                </c:pt>
                <c:pt idx="120">
                  <c:v>41306</c:v>
                </c:pt>
                <c:pt idx="121">
                  <c:v>41334</c:v>
                </c:pt>
                <c:pt idx="122">
                  <c:v>41365</c:v>
                </c:pt>
                <c:pt idx="123">
                  <c:v>41395</c:v>
                </c:pt>
                <c:pt idx="124">
                  <c:v>41426</c:v>
                </c:pt>
                <c:pt idx="125">
                  <c:v>41456</c:v>
                </c:pt>
                <c:pt idx="126">
                  <c:v>41487</c:v>
                </c:pt>
                <c:pt idx="127">
                  <c:v>41518</c:v>
                </c:pt>
                <c:pt idx="128">
                  <c:v>41548</c:v>
                </c:pt>
                <c:pt idx="129">
                  <c:v>41579</c:v>
                </c:pt>
                <c:pt idx="130">
                  <c:v>41609</c:v>
                </c:pt>
                <c:pt idx="131">
                  <c:v>41640</c:v>
                </c:pt>
                <c:pt idx="132">
                  <c:v>41671</c:v>
                </c:pt>
                <c:pt idx="133">
                  <c:v>41699</c:v>
                </c:pt>
                <c:pt idx="134">
                  <c:v>41730</c:v>
                </c:pt>
                <c:pt idx="135">
                  <c:v>41760</c:v>
                </c:pt>
                <c:pt idx="136">
                  <c:v>41791</c:v>
                </c:pt>
                <c:pt idx="137">
                  <c:v>41821</c:v>
                </c:pt>
                <c:pt idx="138">
                  <c:v>41852</c:v>
                </c:pt>
                <c:pt idx="139">
                  <c:v>41883</c:v>
                </c:pt>
                <c:pt idx="140">
                  <c:v>41913</c:v>
                </c:pt>
                <c:pt idx="141">
                  <c:v>41944</c:v>
                </c:pt>
                <c:pt idx="142">
                  <c:v>41974</c:v>
                </c:pt>
                <c:pt idx="143">
                  <c:v>42005</c:v>
                </c:pt>
                <c:pt idx="144">
                  <c:v>42036</c:v>
                </c:pt>
                <c:pt idx="145">
                  <c:v>42064</c:v>
                </c:pt>
                <c:pt idx="146">
                  <c:v>42095</c:v>
                </c:pt>
                <c:pt idx="147">
                  <c:v>42125</c:v>
                </c:pt>
                <c:pt idx="148">
                  <c:v>42156</c:v>
                </c:pt>
                <c:pt idx="149">
                  <c:v>42186</c:v>
                </c:pt>
                <c:pt idx="150">
                  <c:v>42217</c:v>
                </c:pt>
                <c:pt idx="151">
                  <c:v>42248</c:v>
                </c:pt>
                <c:pt idx="152">
                  <c:v>42278</c:v>
                </c:pt>
                <c:pt idx="153">
                  <c:v>42309</c:v>
                </c:pt>
              </c:numCache>
            </c:numRef>
          </c:cat>
          <c:val>
            <c:numRef>
              <c:f>'WAC Differences'!$AG$6:$AG$160</c:f>
              <c:numCache>
                <c:formatCode>0.0%</c:formatCode>
                <c:ptCount val="155"/>
                <c:pt idx="0">
                  <c:v>2.316520118366285E-3</c:v>
                </c:pt>
                <c:pt idx="1">
                  <c:v>8.8320347891563712E-3</c:v>
                </c:pt>
                <c:pt idx="2">
                  <c:v>8.6278321037965375E-3</c:v>
                </c:pt>
                <c:pt idx="3">
                  <c:v>1.1127150839419118E-2</c:v>
                </c:pt>
                <c:pt idx="4">
                  <c:v>8.85227967567093E-3</c:v>
                </c:pt>
                <c:pt idx="5">
                  <c:v>1.9225773857966467E-2</c:v>
                </c:pt>
                <c:pt idx="6">
                  <c:v>1.6779899690336053E-2</c:v>
                </c:pt>
                <c:pt idx="7">
                  <c:v>1.6212990804190124E-2</c:v>
                </c:pt>
                <c:pt idx="8">
                  <c:v>8.2484939650148241E-3</c:v>
                </c:pt>
                <c:pt idx="9">
                  <c:v>4.2365768389323478E-3</c:v>
                </c:pt>
                <c:pt idx="10">
                  <c:v>6.0714135529984867E-3</c:v>
                </c:pt>
                <c:pt idx="11">
                  <c:v>5.7553107592275519E-3</c:v>
                </c:pt>
                <c:pt idx="12">
                  <c:v>9.5865667097476369E-3</c:v>
                </c:pt>
                <c:pt idx="13">
                  <c:v>9.6845311345253315E-3</c:v>
                </c:pt>
                <c:pt idx="14">
                  <c:v>5.8385389868883374E-3</c:v>
                </c:pt>
                <c:pt idx="15">
                  <c:v>3.1646673542558624E-3</c:v>
                </c:pt>
                <c:pt idx="16">
                  <c:v>1.1637578084421668E-3</c:v>
                </c:pt>
                <c:pt idx="17">
                  <c:v>1.4020470750008758E-3</c:v>
                </c:pt>
                <c:pt idx="18">
                  <c:v>1.4415775616071385E-3</c:v>
                </c:pt>
                <c:pt idx="19">
                  <c:v>1.7695949925048493E-3</c:v>
                </c:pt>
                <c:pt idx="20">
                  <c:v>1.5530876218078616E-3</c:v>
                </c:pt>
                <c:pt idx="21">
                  <c:v>3.199809092083106E-3</c:v>
                </c:pt>
                <c:pt idx="22">
                  <c:v>7.7648033204492338E-3</c:v>
                </c:pt>
                <c:pt idx="23">
                  <c:v>6.1658705223360559E-3</c:v>
                </c:pt>
                <c:pt idx="24">
                  <c:v>2.1665922277987228E-3</c:v>
                </c:pt>
                <c:pt idx="25">
                  <c:v>2.7530138670098046E-3</c:v>
                </c:pt>
                <c:pt idx="26">
                  <c:v>3.3458658684404571E-3</c:v>
                </c:pt>
                <c:pt idx="27">
                  <c:v>4.3342914235338769E-3</c:v>
                </c:pt>
                <c:pt idx="28">
                  <c:v>3.5486146467901638E-3</c:v>
                </c:pt>
                <c:pt idx="29">
                  <c:v>4.0772771005517803E-3</c:v>
                </c:pt>
                <c:pt idx="30">
                  <c:v>5.2814632977998292E-3</c:v>
                </c:pt>
                <c:pt idx="31">
                  <c:v>2.6350752722577205E-3</c:v>
                </c:pt>
                <c:pt idx="32">
                  <c:v>3.5861169345260523E-3</c:v>
                </c:pt>
                <c:pt idx="33">
                  <c:v>5.4255321241753118E-3</c:v>
                </c:pt>
                <c:pt idx="34">
                  <c:v>4.8173924702497838E-3</c:v>
                </c:pt>
                <c:pt idx="35">
                  <c:v>3.4595805174907437E-3</c:v>
                </c:pt>
                <c:pt idx="36">
                  <c:v>3.6076035447759349E-3</c:v>
                </c:pt>
                <c:pt idx="37">
                  <c:v>3.6495721892807276E-3</c:v>
                </c:pt>
                <c:pt idx="38">
                  <c:v>2.6464529303920226E-3</c:v>
                </c:pt>
                <c:pt idx="39">
                  <c:v>1.7812199378656117E-3</c:v>
                </c:pt>
                <c:pt idx="40">
                  <c:v>1.6586819905800114E-3</c:v>
                </c:pt>
                <c:pt idx="41">
                  <c:v>1.9573217635328191E-3</c:v>
                </c:pt>
                <c:pt idx="42">
                  <c:v>5.2496014023932578E-4</c:v>
                </c:pt>
                <c:pt idx="43">
                  <c:v>4.7727753404676289E-4</c:v>
                </c:pt>
                <c:pt idx="44">
                  <c:v>6.1641587379920697E-4</c:v>
                </c:pt>
                <c:pt idx="45">
                  <c:v>2.1599846177965508E-4</c:v>
                </c:pt>
                <c:pt idx="46">
                  <c:v>2.6996321028483026E-4</c:v>
                </c:pt>
                <c:pt idx="47">
                  <c:v>9.7558451254045229E-5</c:v>
                </c:pt>
                <c:pt idx="48">
                  <c:v>3.0018057391984317E-4</c:v>
                </c:pt>
                <c:pt idx="49">
                  <c:v>9.9810374559964175E-5</c:v>
                </c:pt>
                <c:pt idx="50">
                  <c:v>1.6778596131370317E-4</c:v>
                </c:pt>
                <c:pt idx="51">
                  <c:v>4.8883251725462783E-4</c:v>
                </c:pt>
                <c:pt idx="52">
                  <c:v>4.5395838979033897E-4</c:v>
                </c:pt>
                <c:pt idx="53">
                  <c:v>1.9312174433757488E-4</c:v>
                </c:pt>
                <c:pt idx="54">
                  <c:v>4.5006151916309367E-4</c:v>
                </c:pt>
                <c:pt idx="55">
                  <c:v>1.5923143265113404E-4</c:v>
                </c:pt>
                <c:pt idx="56">
                  <c:v>3.1858170860754766E-4</c:v>
                </c:pt>
                <c:pt idx="57">
                  <c:v>3.3111066836259028E-4</c:v>
                </c:pt>
                <c:pt idx="58">
                  <c:v>1.7119990617340381E-4</c:v>
                </c:pt>
                <c:pt idx="59">
                  <c:v>1.0878027954788243E-4</c:v>
                </c:pt>
                <c:pt idx="60">
                  <c:v>7.9712390881461461E-5</c:v>
                </c:pt>
                <c:pt idx="61">
                  <c:v>1.3093833382103967E-4</c:v>
                </c:pt>
                <c:pt idx="62">
                  <c:v>2.9240970717721055E-4</c:v>
                </c:pt>
                <c:pt idx="63">
                  <c:v>1.1906157793088352E-3</c:v>
                </c:pt>
                <c:pt idx="64">
                  <c:v>7.264277709996091E-3</c:v>
                </c:pt>
                <c:pt idx="65">
                  <c:v>2.3760789808540649E-2</c:v>
                </c:pt>
                <c:pt idx="66">
                  <c:v>2.5241519435109591E-2</c:v>
                </c:pt>
                <c:pt idx="67">
                  <c:v>2.8497861298467882E-2</c:v>
                </c:pt>
                <c:pt idx="68">
                  <c:v>2.9484259880086412E-2</c:v>
                </c:pt>
                <c:pt idx="69">
                  <c:v>2.998265889285831E-2</c:v>
                </c:pt>
                <c:pt idx="70">
                  <c:v>3.2962192804083003E-2</c:v>
                </c:pt>
                <c:pt idx="71">
                  <c:v>2.2103511973780941E-2</c:v>
                </c:pt>
                <c:pt idx="72">
                  <c:v>2.9563491992065918E-3</c:v>
                </c:pt>
                <c:pt idx="73">
                  <c:v>5.506836981739603E-3</c:v>
                </c:pt>
                <c:pt idx="74">
                  <c:v>6.2610142326265904E-3</c:v>
                </c:pt>
                <c:pt idx="75">
                  <c:v>4.9939105123114006E-3</c:v>
                </c:pt>
                <c:pt idx="76">
                  <c:v>5.733366294461281E-3</c:v>
                </c:pt>
                <c:pt idx="77">
                  <c:v>1.7011543661111399E-2</c:v>
                </c:pt>
                <c:pt idx="78">
                  <c:v>3.906438475033102E-2</c:v>
                </c:pt>
                <c:pt idx="79">
                  <c:v>4.346456411466141E-2</c:v>
                </c:pt>
                <c:pt idx="80">
                  <c:v>4.1148313502119165E-2</c:v>
                </c:pt>
                <c:pt idx="81">
                  <c:v>3.8228826491841859E-2</c:v>
                </c:pt>
                <c:pt idx="82">
                  <c:v>3.8331628948213375E-2</c:v>
                </c:pt>
                <c:pt idx="83">
                  <c:v>4.1211696431625776E-2</c:v>
                </c:pt>
                <c:pt idx="84">
                  <c:v>4.2574406050203017E-2</c:v>
                </c:pt>
                <c:pt idx="85">
                  <c:v>4.3081938079710683E-2</c:v>
                </c:pt>
                <c:pt idx="86">
                  <c:v>3.6541514071052245E-2</c:v>
                </c:pt>
                <c:pt idx="87">
                  <c:v>3.8451943668974004E-2</c:v>
                </c:pt>
                <c:pt idx="88">
                  <c:v>4.05056485945181E-2</c:v>
                </c:pt>
                <c:pt idx="89">
                  <c:v>6.3346913116188813E-2</c:v>
                </c:pt>
                <c:pt idx="90">
                  <c:v>6.7896197053409116E-2</c:v>
                </c:pt>
                <c:pt idx="91">
                  <c:v>6.4998796149752014E-2</c:v>
                </c:pt>
                <c:pt idx="92">
                  <c:v>7.2353968374556085E-2</c:v>
                </c:pt>
                <c:pt idx="93">
                  <c:v>7.7236716393744312E-2</c:v>
                </c:pt>
                <c:pt idx="94">
                  <c:v>7.7046398656787848E-2</c:v>
                </c:pt>
                <c:pt idx="95">
                  <c:v>8.0612975349618962E-2</c:v>
                </c:pt>
                <c:pt idx="96">
                  <c:v>5.9643495388042339E-2</c:v>
                </c:pt>
                <c:pt idx="97">
                  <c:v>4.4401945449372426E-2</c:v>
                </c:pt>
                <c:pt idx="98">
                  <c:v>4.3051020021491512E-2</c:v>
                </c:pt>
                <c:pt idx="99">
                  <c:v>3.6827663070241871E-2</c:v>
                </c:pt>
                <c:pt idx="100">
                  <c:v>4.6852398654862057E-2</c:v>
                </c:pt>
                <c:pt idx="101">
                  <c:v>7.0468288027997678E-2</c:v>
                </c:pt>
                <c:pt idx="102">
                  <c:v>7.6364495353087133E-2</c:v>
                </c:pt>
                <c:pt idx="103">
                  <c:v>9.7383379860769018E-2</c:v>
                </c:pt>
                <c:pt idx="104">
                  <c:v>0.17611140616670101</c:v>
                </c:pt>
                <c:pt idx="105">
                  <c:v>4.7690171222730671E-2</c:v>
                </c:pt>
                <c:pt idx="106">
                  <c:v>3.846700893665074E-2</c:v>
                </c:pt>
                <c:pt idx="107">
                  <c:v>3.928596020556703E-2</c:v>
                </c:pt>
                <c:pt idx="108">
                  <c:v>4.1689442664813045E-2</c:v>
                </c:pt>
                <c:pt idx="109">
                  <c:v>4.4213135475993516E-2</c:v>
                </c:pt>
                <c:pt idx="110">
                  <c:v>3.8071269476624925E-2</c:v>
                </c:pt>
                <c:pt idx="111">
                  <c:v>4.7076762648239054E-2</c:v>
                </c:pt>
                <c:pt idx="112">
                  <c:v>6.0572544651347038E-2</c:v>
                </c:pt>
                <c:pt idx="113">
                  <c:v>7.4635015558076806E-2</c:v>
                </c:pt>
                <c:pt idx="114">
                  <c:v>7.5359983326815441E-2</c:v>
                </c:pt>
                <c:pt idx="115">
                  <c:v>5.7185300735442153E-2</c:v>
                </c:pt>
                <c:pt idx="116">
                  <c:v>5.3108924870826892E-2</c:v>
                </c:pt>
                <c:pt idx="117">
                  <c:v>5.9181999717704929E-2</c:v>
                </c:pt>
                <c:pt idx="118">
                  <c:v>5.3667158400688295E-2</c:v>
                </c:pt>
                <c:pt idx="119">
                  <c:v>5.611950035876969E-2</c:v>
                </c:pt>
                <c:pt idx="120">
                  <c:v>5.039766860980005E-2</c:v>
                </c:pt>
                <c:pt idx="121">
                  <c:v>5.5906800942955893E-2</c:v>
                </c:pt>
                <c:pt idx="122">
                  <c:v>4.2988863294573777E-2</c:v>
                </c:pt>
                <c:pt idx="123">
                  <c:v>4.8738386408467567E-2</c:v>
                </c:pt>
                <c:pt idx="124">
                  <c:v>5.19009466225702E-2</c:v>
                </c:pt>
                <c:pt idx="125">
                  <c:v>3.8702412449656151E-2</c:v>
                </c:pt>
                <c:pt idx="126">
                  <c:v>3.4308327504970433E-2</c:v>
                </c:pt>
                <c:pt idx="127">
                  <c:v>2.5886006609915631E-2</c:v>
                </c:pt>
                <c:pt idx="128">
                  <c:v>2.9750604547375256E-2</c:v>
                </c:pt>
                <c:pt idx="129">
                  <c:v>2.9779674684444757E-2</c:v>
                </c:pt>
                <c:pt idx="130">
                  <c:v>2.6999164919282701E-2</c:v>
                </c:pt>
                <c:pt idx="131">
                  <c:v>2.1986067292345847E-2</c:v>
                </c:pt>
                <c:pt idx="132">
                  <c:v>1.8510876768771417E-2</c:v>
                </c:pt>
                <c:pt idx="133">
                  <c:v>1.8155423443992239E-2</c:v>
                </c:pt>
                <c:pt idx="134">
                  <c:v>2.052238594107782E-2</c:v>
                </c:pt>
                <c:pt idx="135">
                  <c:v>1.8910901676965009E-2</c:v>
                </c:pt>
                <c:pt idx="136">
                  <c:v>1.9909671064847558E-2</c:v>
                </c:pt>
                <c:pt idx="137">
                  <c:v>2.4766068785646397E-2</c:v>
                </c:pt>
                <c:pt idx="138">
                  <c:v>2.4940837405510955E-2</c:v>
                </c:pt>
                <c:pt idx="139">
                  <c:v>2.3129748577789187E-2</c:v>
                </c:pt>
                <c:pt idx="140">
                  <c:v>2.4360362205848658E-2</c:v>
                </c:pt>
                <c:pt idx="141">
                  <c:v>2.5094555105683446E-2</c:v>
                </c:pt>
                <c:pt idx="142">
                  <c:v>3.3498622552091406E-2</c:v>
                </c:pt>
                <c:pt idx="143">
                  <c:v>3.255403391144427E-2</c:v>
                </c:pt>
                <c:pt idx="144">
                  <c:v>3.2823559847638649E-2</c:v>
                </c:pt>
                <c:pt idx="145">
                  <c:v>3.9906170558949829E-2</c:v>
                </c:pt>
                <c:pt idx="146">
                  <c:v>2.9748279384100799E-2</c:v>
                </c:pt>
                <c:pt idx="147">
                  <c:v>2.2979148674187818E-2</c:v>
                </c:pt>
                <c:pt idx="148">
                  <c:v>2.4041246825149337E-2</c:v>
                </c:pt>
                <c:pt idx="149">
                  <c:v>2.6612039330209288E-2</c:v>
                </c:pt>
                <c:pt idx="150">
                  <c:v>2.5153542764221663E-2</c:v>
                </c:pt>
                <c:pt idx="151">
                  <c:v>2.3609466326946701E-2</c:v>
                </c:pt>
                <c:pt idx="152">
                  <c:v>2.1489854059797038E-2</c:v>
                </c:pt>
                <c:pt idx="153">
                  <c:v>2.0831562012787103E-2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907456"/>
        <c:axId val="247884416"/>
      </c:barChart>
      <c:lineChart>
        <c:grouping val="standard"/>
        <c:varyColors val="0"/>
        <c:ser>
          <c:idx val="0"/>
          <c:order val="0"/>
          <c:tx>
            <c:strRef>
              <c:f>'WAC Differences'!$AF$3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'WAC Differences'!$AE$6:$AE$160</c:f>
              <c:numCache>
                <c:formatCode>m/d/yyyy</c:formatCode>
                <c:ptCount val="155"/>
                <c:pt idx="0">
                  <c:v>37438</c:v>
                </c:pt>
                <c:pt idx="1">
                  <c:v>37469</c:v>
                </c:pt>
                <c:pt idx="2">
                  <c:v>37500</c:v>
                </c:pt>
                <c:pt idx="3">
                  <c:v>37530</c:v>
                </c:pt>
                <c:pt idx="4">
                  <c:v>37561</c:v>
                </c:pt>
                <c:pt idx="5">
                  <c:v>37591</c:v>
                </c:pt>
                <c:pt idx="6">
                  <c:v>37622</c:v>
                </c:pt>
                <c:pt idx="7">
                  <c:v>37653</c:v>
                </c:pt>
                <c:pt idx="8">
                  <c:v>37681</c:v>
                </c:pt>
                <c:pt idx="9">
                  <c:v>37712</c:v>
                </c:pt>
                <c:pt idx="10">
                  <c:v>37742</c:v>
                </c:pt>
                <c:pt idx="11">
                  <c:v>37773</c:v>
                </c:pt>
                <c:pt idx="12">
                  <c:v>37803</c:v>
                </c:pt>
                <c:pt idx="13">
                  <c:v>37834</c:v>
                </c:pt>
                <c:pt idx="14">
                  <c:v>37865</c:v>
                </c:pt>
                <c:pt idx="15">
                  <c:v>37895</c:v>
                </c:pt>
                <c:pt idx="16">
                  <c:v>37926</c:v>
                </c:pt>
                <c:pt idx="17">
                  <c:v>37956</c:v>
                </c:pt>
                <c:pt idx="18">
                  <c:v>37987</c:v>
                </c:pt>
                <c:pt idx="19">
                  <c:v>38018</c:v>
                </c:pt>
                <c:pt idx="20">
                  <c:v>38047</c:v>
                </c:pt>
                <c:pt idx="21">
                  <c:v>38078</c:v>
                </c:pt>
                <c:pt idx="22">
                  <c:v>38108</c:v>
                </c:pt>
                <c:pt idx="23">
                  <c:v>38139</c:v>
                </c:pt>
                <c:pt idx="24">
                  <c:v>38169</c:v>
                </c:pt>
                <c:pt idx="25">
                  <c:v>38200</c:v>
                </c:pt>
                <c:pt idx="26">
                  <c:v>38231</c:v>
                </c:pt>
                <c:pt idx="27">
                  <c:v>38261</c:v>
                </c:pt>
                <c:pt idx="28">
                  <c:v>38292</c:v>
                </c:pt>
                <c:pt idx="29">
                  <c:v>38322</c:v>
                </c:pt>
                <c:pt idx="30">
                  <c:v>38353</c:v>
                </c:pt>
                <c:pt idx="31">
                  <c:v>38384</c:v>
                </c:pt>
                <c:pt idx="32">
                  <c:v>38412</c:v>
                </c:pt>
                <c:pt idx="33">
                  <c:v>38443</c:v>
                </c:pt>
                <c:pt idx="34">
                  <c:v>38473</c:v>
                </c:pt>
                <c:pt idx="35">
                  <c:v>38504</c:v>
                </c:pt>
                <c:pt idx="36">
                  <c:v>38534</c:v>
                </c:pt>
                <c:pt idx="37">
                  <c:v>38565</c:v>
                </c:pt>
                <c:pt idx="38">
                  <c:v>38596</c:v>
                </c:pt>
                <c:pt idx="39">
                  <c:v>38626</c:v>
                </c:pt>
                <c:pt idx="40">
                  <c:v>38657</c:v>
                </c:pt>
                <c:pt idx="41">
                  <c:v>38687</c:v>
                </c:pt>
                <c:pt idx="42">
                  <c:v>38718</c:v>
                </c:pt>
                <c:pt idx="43">
                  <c:v>38749</c:v>
                </c:pt>
                <c:pt idx="44">
                  <c:v>38777</c:v>
                </c:pt>
                <c:pt idx="45">
                  <c:v>38808</c:v>
                </c:pt>
                <c:pt idx="46">
                  <c:v>38838</c:v>
                </c:pt>
                <c:pt idx="47">
                  <c:v>38899</c:v>
                </c:pt>
                <c:pt idx="48">
                  <c:v>38930</c:v>
                </c:pt>
                <c:pt idx="49">
                  <c:v>38961</c:v>
                </c:pt>
                <c:pt idx="50">
                  <c:v>38991</c:v>
                </c:pt>
                <c:pt idx="51">
                  <c:v>39022</c:v>
                </c:pt>
                <c:pt idx="52">
                  <c:v>39052</c:v>
                </c:pt>
                <c:pt idx="53">
                  <c:v>39083</c:v>
                </c:pt>
                <c:pt idx="54">
                  <c:v>39114</c:v>
                </c:pt>
                <c:pt idx="55">
                  <c:v>39142</c:v>
                </c:pt>
                <c:pt idx="56">
                  <c:v>39173</c:v>
                </c:pt>
                <c:pt idx="57">
                  <c:v>39203</c:v>
                </c:pt>
                <c:pt idx="58">
                  <c:v>39234</c:v>
                </c:pt>
                <c:pt idx="59">
                  <c:v>39264</c:v>
                </c:pt>
                <c:pt idx="60">
                  <c:v>39295</c:v>
                </c:pt>
                <c:pt idx="61">
                  <c:v>39326</c:v>
                </c:pt>
                <c:pt idx="62">
                  <c:v>39539</c:v>
                </c:pt>
                <c:pt idx="63">
                  <c:v>39569</c:v>
                </c:pt>
                <c:pt idx="64">
                  <c:v>39600</c:v>
                </c:pt>
                <c:pt idx="65">
                  <c:v>39630</c:v>
                </c:pt>
                <c:pt idx="66">
                  <c:v>39661</c:v>
                </c:pt>
                <c:pt idx="67">
                  <c:v>39692</c:v>
                </c:pt>
                <c:pt idx="68">
                  <c:v>39722</c:v>
                </c:pt>
                <c:pt idx="69">
                  <c:v>39753</c:v>
                </c:pt>
                <c:pt idx="70">
                  <c:v>39783</c:v>
                </c:pt>
                <c:pt idx="71">
                  <c:v>39814</c:v>
                </c:pt>
                <c:pt idx="72">
                  <c:v>39845</c:v>
                </c:pt>
                <c:pt idx="73">
                  <c:v>39873</c:v>
                </c:pt>
                <c:pt idx="74">
                  <c:v>39904</c:v>
                </c:pt>
                <c:pt idx="75">
                  <c:v>39934</c:v>
                </c:pt>
                <c:pt idx="76">
                  <c:v>39965</c:v>
                </c:pt>
                <c:pt idx="77">
                  <c:v>39995</c:v>
                </c:pt>
                <c:pt idx="78">
                  <c:v>40026</c:v>
                </c:pt>
                <c:pt idx="79">
                  <c:v>40057</c:v>
                </c:pt>
                <c:pt idx="80">
                  <c:v>40087</c:v>
                </c:pt>
                <c:pt idx="81">
                  <c:v>40118</c:v>
                </c:pt>
                <c:pt idx="82">
                  <c:v>40148</c:v>
                </c:pt>
                <c:pt idx="83">
                  <c:v>40179</c:v>
                </c:pt>
                <c:pt idx="84">
                  <c:v>40210</c:v>
                </c:pt>
                <c:pt idx="85">
                  <c:v>40238</c:v>
                </c:pt>
                <c:pt idx="86">
                  <c:v>40269</c:v>
                </c:pt>
                <c:pt idx="87">
                  <c:v>40299</c:v>
                </c:pt>
                <c:pt idx="88">
                  <c:v>40330</c:v>
                </c:pt>
                <c:pt idx="89">
                  <c:v>40360</c:v>
                </c:pt>
                <c:pt idx="90">
                  <c:v>40391</c:v>
                </c:pt>
                <c:pt idx="91">
                  <c:v>40422</c:v>
                </c:pt>
                <c:pt idx="92">
                  <c:v>40452</c:v>
                </c:pt>
                <c:pt idx="93">
                  <c:v>40483</c:v>
                </c:pt>
                <c:pt idx="94">
                  <c:v>40513</c:v>
                </c:pt>
                <c:pt idx="95">
                  <c:v>40544</c:v>
                </c:pt>
                <c:pt idx="96">
                  <c:v>40575</c:v>
                </c:pt>
                <c:pt idx="97">
                  <c:v>40603</c:v>
                </c:pt>
                <c:pt idx="98">
                  <c:v>40634</c:v>
                </c:pt>
                <c:pt idx="99">
                  <c:v>40664</c:v>
                </c:pt>
                <c:pt idx="100">
                  <c:v>40695</c:v>
                </c:pt>
                <c:pt idx="101">
                  <c:v>40725</c:v>
                </c:pt>
                <c:pt idx="102">
                  <c:v>40756</c:v>
                </c:pt>
                <c:pt idx="103">
                  <c:v>40787</c:v>
                </c:pt>
                <c:pt idx="104">
                  <c:v>40817</c:v>
                </c:pt>
                <c:pt idx="105">
                  <c:v>40848</c:v>
                </c:pt>
                <c:pt idx="106">
                  <c:v>40878</c:v>
                </c:pt>
                <c:pt idx="107">
                  <c:v>40909</c:v>
                </c:pt>
                <c:pt idx="108">
                  <c:v>40940</c:v>
                </c:pt>
                <c:pt idx="109">
                  <c:v>40969</c:v>
                </c:pt>
                <c:pt idx="110">
                  <c:v>41000</c:v>
                </c:pt>
                <c:pt idx="111">
                  <c:v>41030</c:v>
                </c:pt>
                <c:pt idx="112">
                  <c:v>41061</c:v>
                </c:pt>
                <c:pt idx="113">
                  <c:v>41091</c:v>
                </c:pt>
                <c:pt idx="114">
                  <c:v>41122</c:v>
                </c:pt>
                <c:pt idx="115">
                  <c:v>41153</c:v>
                </c:pt>
                <c:pt idx="116">
                  <c:v>41183</c:v>
                </c:pt>
                <c:pt idx="117">
                  <c:v>41214</c:v>
                </c:pt>
                <c:pt idx="118">
                  <c:v>41244</c:v>
                </c:pt>
                <c:pt idx="119">
                  <c:v>41275</c:v>
                </c:pt>
                <c:pt idx="120">
                  <c:v>41306</c:v>
                </c:pt>
                <c:pt idx="121">
                  <c:v>41334</c:v>
                </c:pt>
                <c:pt idx="122">
                  <c:v>41365</c:v>
                </c:pt>
                <c:pt idx="123">
                  <c:v>41395</c:v>
                </c:pt>
                <c:pt idx="124">
                  <c:v>41426</c:v>
                </c:pt>
                <c:pt idx="125">
                  <c:v>41456</c:v>
                </c:pt>
                <c:pt idx="126">
                  <c:v>41487</c:v>
                </c:pt>
                <c:pt idx="127">
                  <c:v>41518</c:v>
                </c:pt>
                <c:pt idx="128">
                  <c:v>41548</c:v>
                </c:pt>
                <c:pt idx="129">
                  <c:v>41579</c:v>
                </c:pt>
                <c:pt idx="130">
                  <c:v>41609</c:v>
                </c:pt>
                <c:pt idx="131">
                  <c:v>41640</c:v>
                </c:pt>
                <c:pt idx="132">
                  <c:v>41671</c:v>
                </c:pt>
                <c:pt idx="133">
                  <c:v>41699</c:v>
                </c:pt>
                <c:pt idx="134">
                  <c:v>41730</c:v>
                </c:pt>
                <c:pt idx="135">
                  <c:v>41760</c:v>
                </c:pt>
                <c:pt idx="136">
                  <c:v>41791</c:v>
                </c:pt>
                <c:pt idx="137">
                  <c:v>41821</c:v>
                </c:pt>
                <c:pt idx="138">
                  <c:v>41852</c:v>
                </c:pt>
                <c:pt idx="139">
                  <c:v>41883</c:v>
                </c:pt>
                <c:pt idx="140">
                  <c:v>41913</c:v>
                </c:pt>
                <c:pt idx="141">
                  <c:v>41944</c:v>
                </c:pt>
                <c:pt idx="142">
                  <c:v>41974</c:v>
                </c:pt>
                <c:pt idx="143">
                  <c:v>42005</c:v>
                </c:pt>
                <c:pt idx="144">
                  <c:v>42036</c:v>
                </c:pt>
                <c:pt idx="145">
                  <c:v>42064</c:v>
                </c:pt>
                <c:pt idx="146">
                  <c:v>42095</c:v>
                </c:pt>
                <c:pt idx="147">
                  <c:v>42125</c:v>
                </c:pt>
                <c:pt idx="148">
                  <c:v>42156</c:v>
                </c:pt>
                <c:pt idx="149">
                  <c:v>42186</c:v>
                </c:pt>
                <c:pt idx="150">
                  <c:v>42217</c:v>
                </c:pt>
                <c:pt idx="151">
                  <c:v>42248</c:v>
                </c:pt>
                <c:pt idx="152">
                  <c:v>42278</c:v>
                </c:pt>
                <c:pt idx="153">
                  <c:v>42309</c:v>
                </c:pt>
              </c:numCache>
            </c:numRef>
          </c:cat>
          <c:val>
            <c:numRef>
              <c:f>'WAC Differences'!$AF$6:$AF$160</c:f>
              <c:numCache>
                <c:formatCode>0.00</c:formatCode>
                <c:ptCount val="155"/>
                <c:pt idx="0">
                  <c:v>34.090476676774003</c:v>
                </c:pt>
                <c:pt idx="1">
                  <c:v>6.6664013347520701</c:v>
                </c:pt>
                <c:pt idx="2">
                  <c:v>-2.5836431430089846</c:v>
                </c:pt>
                <c:pt idx="3">
                  <c:v>20.367684133849018</c:v>
                </c:pt>
                <c:pt idx="4">
                  <c:v>7.9149967012909883</c:v>
                </c:pt>
                <c:pt idx="5">
                  <c:v>8.7027313584750132</c:v>
                </c:pt>
                <c:pt idx="6">
                  <c:v>3.7573604669070448</c:v>
                </c:pt>
                <c:pt idx="7">
                  <c:v>1.5371668902769642</c:v>
                </c:pt>
                <c:pt idx="8">
                  <c:v>3.2919599077490425</c:v>
                </c:pt>
                <c:pt idx="9">
                  <c:v>-1.4179862451969782</c:v>
                </c:pt>
                <c:pt idx="10">
                  <c:v>0.86887986817298923</c:v>
                </c:pt>
                <c:pt idx="11">
                  <c:v>0.60327016278600709</c:v>
                </c:pt>
                <c:pt idx="12">
                  <c:v>11.38522396652597</c:v>
                </c:pt>
                <c:pt idx="13">
                  <c:v>13.486834512578039</c:v>
                </c:pt>
                <c:pt idx="14">
                  <c:v>-5.6574651954020005</c:v>
                </c:pt>
                <c:pt idx="15">
                  <c:v>-27.18107195247601</c:v>
                </c:pt>
                <c:pt idx="16">
                  <c:v>-19.63467872384399</c:v>
                </c:pt>
                <c:pt idx="17">
                  <c:v>19.028479773288964</c:v>
                </c:pt>
                <c:pt idx="18">
                  <c:v>2.7015319836021234E-2</c:v>
                </c:pt>
                <c:pt idx="19">
                  <c:v>-8.4534878766629795</c:v>
                </c:pt>
                <c:pt idx="20">
                  <c:v>-20.252650493361024</c:v>
                </c:pt>
                <c:pt idx="21">
                  <c:v>-6.0828506678129557</c:v>
                </c:pt>
                <c:pt idx="22">
                  <c:v>-10.988021626860967</c:v>
                </c:pt>
                <c:pt idx="23">
                  <c:v>-24.256321020767047</c:v>
                </c:pt>
                <c:pt idx="24">
                  <c:v>-30.204627367058023</c:v>
                </c:pt>
                <c:pt idx="25">
                  <c:v>-2.8214799267439972</c:v>
                </c:pt>
                <c:pt idx="26">
                  <c:v>-9.3370501670809958</c:v>
                </c:pt>
                <c:pt idx="27">
                  <c:v>-5.8172017569179779</c:v>
                </c:pt>
                <c:pt idx="28">
                  <c:v>-4.1657383571879869</c:v>
                </c:pt>
                <c:pt idx="29">
                  <c:v>-6.5184258846589849</c:v>
                </c:pt>
                <c:pt idx="30">
                  <c:v>-12.975465608247028</c:v>
                </c:pt>
                <c:pt idx="31">
                  <c:v>-17.164436380287995</c:v>
                </c:pt>
                <c:pt idx="32">
                  <c:v>-4.1377184104840481</c:v>
                </c:pt>
                <c:pt idx="33">
                  <c:v>-8.9785361760860383</c:v>
                </c:pt>
                <c:pt idx="34">
                  <c:v>-16.416144923211995</c:v>
                </c:pt>
                <c:pt idx="35">
                  <c:v>-12.144633272543981</c:v>
                </c:pt>
                <c:pt idx="36">
                  <c:v>-5.7209644505349821</c:v>
                </c:pt>
                <c:pt idx="37">
                  <c:v>-0.1943335956640091</c:v>
                </c:pt>
                <c:pt idx="38">
                  <c:v>-11.979102266952957</c:v>
                </c:pt>
                <c:pt idx="39">
                  <c:v>-20.297327818625011</c:v>
                </c:pt>
                <c:pt idx="40">
                  <c:v>-17.748794613649022</c:v>
                </c:pt>
                <c:pt idx="41">
                  <c:v>-26.291332930260936</c:v>
                </c:pt>
                <c:pt idx="42">
                  <c:v>-18.066778655654936</c:v>
                </c:pt>
                <c:pt idx="43">
                  <c:v>-25.880590514873969</c:v>
                </c:pt>
                <c:pt idx="44">
                  <c:v>-30.899978306490983</c:v>
                </c:pt>
                <c:pt idx="45">
                  <c:v>-3.0886462734240006</c:v>
                </c:pt>
                <c:pt idx="46">
                  <c:v>-17.721166079634987</c:v>
                </c:pt>
                <c:pt idx="47">
                  <c:v>-40.564982046161987</c:v>
                </c:pt>
                <c:pt idx="48">
                  <c:v>-105.84572929512302</c:v>
                </c:pt>
                <c:pt idx="49">
                  <c:v>-43.200968787048041</c:v>
                </c:pt>
                <c:pt idx="50">
                  <c:v>-26.794153275080035</c:v>
                </c:pt>
                <c:pt idx="51">
                  <c:v>-14.061274622777997</c:v>
                </c:pt>
                <c:pt idx="52">
                  <c:v>-16.992911199623961</c:v>
                </c:pt>
                <c:pt idx="53">
                  <c:v>-3.4046595012959813E-2</c:v>
                </c:pt>
                <c:pt idx="54">
                  <c:v>-32.432367528894005</c:v>
                </c:pt>
                <c:pt idx="55">
                  <c:v>-15.946241914136028</c:v>
                </c:pt>
                <c:pt idx="56">
                  <c:v>-17.01791773936705</c:v>
                </c:pt>
                <c:pt idx="57">
                  <c:v>-8.7476033495559768</c:v>
                </c:pt>
                <c:pt idx="58">
                  <c:v>-38.92241183233498</c:v>
                </c:pt>
                <c:pt idx="59">
                  <c:v>-34.917986632431933</c:v>
                </c:pt>
                <c:pt idx="60">
                  <c:v>-81.736301428166939</c:v>
                </c:pt>
                <c:pt idx="61">
                  <c:v>-95.973730732591989</c:v>
                </c:pt>
                <c:pt idx="62">
                  <c:v>10.480910498184937</c:v>
                </c:pt>
                <c:pt idx="63">
                  <c:v>15.186685404085942</c:v>
                </c:pt>
                <c:pt idx="64">
                  <c:v>-1.0881222852529682</c:v>
                </c:pt>
                <c:pt idx="65">
                  <c:v>-11.248240186777014</c:v>
                </c:pt>
                <c:pt idx="66">
                  <c:v>-12.299816778949957</c:v>
                </c:pt>
                <c:pt idx="67">
                  <c:v>-8.2385639834349433</c:v>
                </c:pt>
                <c:pt idx="68">
                  <c:v>-16.328668087387932</c:v>
                </c:pt>
                <c:pt idx="69">
                  <c:v>-9.5118103111280661</c:v>
                </c:pt>
                <c:pt idx="70">
                  <c:v>-6.4732358774439724</c:v>
                </c:pt>
                <c:pt idx="71">
                  <c:v>23.764947434217998</c:v>
                </c:pt>
                <c:pt idx="72">
                  <c:v>30.888030750020956</c:v>
                </c:pt>
                <c:pt idx="73">
                  <c:v>12.867992892716007</c:v>
                </c:pt>
                <c:pt idx="74">
                  <c:v>19.172714092967968</c:v>
                </c:pt>
                <c:pt idx="75">
                  <c:v>40.595019497357043</c:v>
                </c:pt>
                <c:pt idx="76">
                  <c:v>29.678871633807979</c:v>
                </c:pt>
                <c:pt idx="77">
                  <c:v>18.968286913683929</c:v>
                </c:pt>
                <c:pt idx="78">
                  <c:v>5.2885036873300706</c:v>
                </c:pt>
                <c:pt idx="79">
                  <c:v>4.4846290264429989</c:v>
                </c:pt>
                <c:pt idx="80">
                  <c:v>9.4393885643699882</c:v>
                </c:pt>
                <c:pt idx="81">
                  <c:v>10.061988415271017</c:v>
                </c:pt>
                <c:pt idx="82">
                  <c:v>7.8371094684869469</c:v>
                </c:pt>
                <c:pt idx="83">
                  <c:v>6.4116026243690172</c:v>
                </c:pt>
                <c:pt idx="84">
                  <c:v>1.1718839357779842</c:v>
                </c:pt>
                <c:pt idx="85">
                  <c:v>2.2198631410149439</c:v>
                </c:pt>
                <c:pt idx="86">
                  <c:v>3.4106705308220242</c:v>
                </c:pt>
                <c:pt idx="87">
                  <c:v>0.16293620148193355</c:v>
                </c:pt>
                <c:pt idx="88">
                  <c:v>-1.3593423637059843</c:v>
                </c:pt>
                <c:pt idx="89">
                  <c:v>-3.2562245121780187</c:v>
                </c:pt>
                <c:pt idx="90">
                  <c:v>3.3004057057040015</c:v>
                </c:pt>
                <c:pt idx="91">
                  <c:v>6.2889014480710159</c:v>
                </c:pt>
                <c:pt idx="92">
                  <c:v>5.2770063285310087</c:v>
                </c:pt>
                <c:pt idx="93">
                  <c:v>4.2612116538149891</c:v>
                </c:pt>
                <c:pt idx="94">
                  <c:v>5.1289590905289728</c:v>
                </c:pt>
                <c:pt idx="95">
                  <c:v>-3.7979725680240328</c:v>
                </c:pt>
                <c:pt idx="96">
                  <c:v>-13.301196586897035</c:v>
                </c:pt>
                <c:pt idx="97">
                  <c:v>-16.306481500602032</c:v>
                </c:pt>
                <c:pt idx="98">
                  <c:v>-18.749058099826055</c:v>
                </c:pt>
                <c:pt idx="99">
                  <c:v>-15.349527122830953</c:v>
                </c:pt>
                <c:pt idx="100">
                  <c:v>-14.490117519224999</c:v>
                </c:pt>
                <c:pt idx="101">
                  <c:v>-10.127426508994031</c:v>
                </c:pt>
                <c:pt idx="102">
                  <c:v>-10.055864691190042</c:v>
                </c:pt>
                <c:pt idx="103">
                  <c:v>-13.753350372422002</c:v>
                </c:pt>
                <c:pt idx="104">
                  <c:v>-3.7516433422119633</c:v>
                </c:pt>
                <c:pt idx="105">
                  <c:v>5.6904932803799824</c:v>
                </c:pt>
                <c:pt idx="106">
                  <c:v>8.0670424263519891</c:v>
                </c:pt>
                <c:pt idx="107">
                  <c:v>8.0713815996969807</c:v>
                </c:pt>
                <c:pt idx="108">
                  <c:v>5.3501836432810812</c:v>
                </c:pt>
                <c:pt idx="109">
                  <c:v>7.9534939633489898</c:v>
                </c:pt>
                <c:pt idx="110">
                  <c:v>3.0753396828189672</c:v>
                </c:pt>
                <c:pt idx="111">
                  <c:v>-1.6149605580339177</c:v>
                </c:pt>
                <c:pt idx="112">
                  <c:v>-4.4881008382399834</c:v>
                </c:pt>
                <c:pt idx="113">
                  <c:v>1.4058562688110232</c:v>
                </c:pt>
                <c:pt idx="114">
                  <c:v>7.0431604852919882</c:v>
                </c:pt>
                <c:pt idx="115">
                  <c:v>8.5909994554989932</c:v>
                </c:pt>
                <c:pt idx="116">
                  <c:v>4.2478265933590276</c:v>
                </c:pt>
                <c:pt idx="117">
                  <c:v>2.9196023292960227</c:v>
                </c:pt>
                <c:pt idx="118">
                  <c:v>4.2566759886780048</c:v>
                </c:pt>
                <c:pt idx="119">
                  <c:v>7.1579988453349674</c:v>
                </c:pt>
                <c:pt idx="120">
                  <c:v>5.6183426770050282</c:v>
                </c:pt>
                <c:pt idx="121">
                  <c:v>1.7326606831639779</c:v>
                </c:pt>
                <c:pt idx="122">
                  <c:v>4.3001785174360041</c:v>
                </c:pt>
                <c:pt idx="123">
                  <c:v>2.2478633541640036</c:v>
                </c:pt>
                <c:pt idx="124">
                  <c:v>-2.2142150429130147</c:v>
                </c:pt>
                <c:pt idx="125">
                  <c:v>-2.8000237383339677</c:v>
                </c:pt>
                <c:pt idx="126">
                  <c:v>-1.6820110599209848</c:v>
                </c:pt>
                <c:pt idx="127">
                  <c:v>-6.1679295819209834</c:v>
                </c:pt>
                <c:pt idx="128">
                  <c:v>-3.1152257398200156</c:v>
                </c:pt>
                <c:pt idx="129">
                  <c:v>-8.0517899368349966</c:v>
                </c:pt>
                <c:pt idx="130">
                  <c:v>-7.2463311822669851</c:v>
                </c:pt>
                <c:pt idx="131">
                  <c:v>-5.2606427027980018</c:v>
                </c:pt>
                <c:pt idx="132">
                  <c:v>-8.194620791343965</c:v>
                </c:pt>
                <c:pt idx="133">
                  <c:v>-12.411261408821961</c:v>
                </c:pt>
                <c:pt idx="134">
                  <c:v>-9.5492871052689665</c:v>
                </c:pt>
                <c:pt idx="135">
                  <c:v>-9.5429848156000752</c:v>
                </c:pt>
                <c:pt idx="136">
                  <c:v>-9.9668993959070029</c:v>
                </c:pt>
                <c:pt idx="137">
                  <c:v>-8.7959801658120007</c:v>
                </c:pt>
                <c:pt idx="138">
                  <c:v>-11.666095400420051</c:v>
                </c:pt>
                <c:pt idx="139">
                  <c:v>-9.8434970092720064</c:v>
                </c:pt>
                <c:pt idx="140">
                  <c:v>-11.417951984626029</c:v>
                </c:pt>
                <c:pt idx="141">
                  <c:v>-15.303335980233967</c:v>
                </c:pt>
                <c:pt idx="142">
                  <c:v>-16.632670618403012</c:v>
                </c:pt>
                <c:pt idx="143">
                  <c:v>-15.397170402256943</c:v>
                </c:pt>
                <c:pt idx="144">
                  <c:v>-15.562402202850034</c:v>
                </c:pt>
                <c:pt idx="145">
                  <c:v>-7.8352890895689864</c:v>
                </c:pt>
                <c:pt idx="146">
                  <c:v>-5.3139056187260003</c:v>
                </c:pt>
                <c:pt idx="147">
                  <c:v>-6.4727338286029834</c:v>
                </c:pt>
                <c:pt idx="148">
                  <c:v>-6.8806574113329688</c:v>
                </c:pt>
                <c:pt idx="149">
                  <c:v>-11.608038396695974</c:v>
                </c:pt>
                <c:pt idx="150">
                  <c:v>-13.537982805866999</c:v>
                </c:pt>
                <c:pt idx="151">
                  <c:v>-9.9941795321419669</c:v>
                </c:pt>
                <c:pt idx="152">
                  <c:v>-14.298785079723952</c:v>
                </c:pt>
                <c:pt idx="153">
                  <c:v>-18.217383223777972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857920"/>
        <c:axId val="247882112"/>
      </c:lineChart>
      <c:dateAx>
        <c:axId val="247857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247882112"/>
        <c:crosses val="autoZero"/>
        <c:auto val="1"/>
        <c:lblOffset val="100"/>
        <c:baseTimeUnit val="months"/>
      </c:dateAx>
      <c:valAx>
        <c:axId val="2478821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47857920"/>
        <c:crosses val="autoZero"/>
        <c:crossBetween val="between"/>
      </c:valAx>
      <c:valAx>
        <c:axId val="24788441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247907456"/>
        <c:crosses val="max"/>
        <c:crossBetween val="between"/>
      </c:valAx>
      <c:dateAx>
        <c:axId val="2479074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7884416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 = </a:t>
            </a:r>
            <a:r>
              <a:rPr lang="en-US" sz="1800" b="1" i="0" baseline="0">
                <a:effectLst/>
              </a:rPr>
              <a:t>Rate(Large) - Rate(Small)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'Rate Differences - Credit'!$BG$2</c:f>
              <c:strCache>
                <c:ptCount val="1"/>
                <c:pt idx="0">
                  <c:v>WAC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Credit'!$BG$3:$BG$142</c:f>
            </c:numRef>
          </c:val>
          <c:smooth val="0"/>
        </c:ser>
        <c:ser>
          <c:idx val="1"/>
          <c:order val="1"/>
          <c:tx>
            <c:strRef>
              <c:f>'Rate Differences - Credit'!$BH$2</c:f>
              <c:strCache>
                <c:ptCount val="1"/>
                <c:pt idx="0">
                  <c:v>Amount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Credit'!$BH$3:$BH$142</c:f>
            </c:numRef>
          </c:val>
          <c:smooth val="0"/>
        </c:ser>
        <c:ser>
          <c:idx val="2"/>
          <c:order val="2"/>
          <c:tx>
            <c:strRef>
              <c:f>'Rate Differences - Credit'!$BI$2</c:f>
              <c:strCache>
                <c:ptCount val="1"/>
                <c:pt idx="0">
                  <c:v>WAC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Credit'!$BI$3:$BI$142</c:f>
            </c:numRef>
          </c:val>
          <c:smooth val="0"/>
        </c:ser>
        <c:ser>
          <c:idx val="3"/>
          <c:order val="3"/>
          <c:tx>
            <c:strRef>
              <c:f>'Rate Differences - Credit'!$BJ$2</c:f>
              <c:strCache>
                <c:ptCount val="1"/>
                <c:pt idx="0">
                  <c:v>Amount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Credit'!$BJ$3:$BJ$142</c:f>
            </c:numRef>
          </c:val>
          <c:smooth val="0"/>
        </c:ser>
        <c:ser>
          <c:idx val="5"/>
          <c:order val="4"/>
          <c:tx>
            <c:strRef>
              <c:f>'Rate Differences - Credit'!$BL$2</c:f>
              <c:strCache>
                <c:ptCount val="1"/>
                <c:pt idx="0">
                  <c:v>WAC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Credit'!$BL$3:$BL$142</c:f>
            </c:numRef>
          </c:val>
          <c:smooth val="0"/>
        </c:ser>
        <c:ser>
          <c:idx val="6"/>
          <c:order val="5"/>
          <c:tx>
            <c:strRef>
              <c:f>'Rate Differences - Credit'!$BM$2</c:f>
              <c:strCache>
                <c:ptCount val="1"/>
                <c:pt idx="0">
                  <c:v>Amount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Credit'!$BM$3:$BM$142</c:f>
            </c:numRef>
          </c:val>
          <c:smooth val="0"/>
        </c:ser>
        <c:ser>
          <c:idx val="7"/>
          <c:order val="6"/>
          <c:tx>
            <c:strRef>
              <c:f>'Rate Differences - Credit'!$BN$2</c:f>
              <c:strCache>
                <c:ptCount val="1"/>
                <c:pt idx="0">
                  <c:v>WAC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Credit'!$BN$3:$BN$142</c:f>
            </c:numRef>
          </c:val>
          <c:smooth val="0"/>
        </c:ser>
        <c:ser>
          <c:idx val="8"/>
          <c:order val="7"/>
          <c:tx>
            <c:strRef>
              <c:f>'Rate Differences - Credit'!$BO$2</c:f>
              <c:strCache>
                <c:ptCount val="1"/>
                <c:pt idx="0">
                  <c:v>Amount</c:v>
                </c:pt>
              </c:strCache>
            </c:strRef>
          </c:tx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Credit'!$BO$3:$BO$142</c:f>
            </c:numRef>
          </c:val>
          <c:smooth val="0"/>
        </c:ser>
        <c:ser>
          <c:idx val="10"/>
          <c:order val="8"/>
          <c:tx>
            <c:strRef>
              <c:f>'Rate Differences - Credit'!$BQ$2</c:f>
              <c:strCache>
                <c:ptCount val="1"/>
                <c:pt idx="0">
                  <c:v>Diff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'Rate Differences - Credit'!$BF$3:$BF$142</c:f>
              <c:numCache>
                <c:formatCode>m/d/yyyy</c:formatCode>
                <c:ptCount val="140"/>
                <c:pt idx="0">
                  <c:v>37561</c:v>
                </c:pt>
                <c:pt idx="1">
                  <c:v>37591</c:v>
                </c:pt>
                <c:pt idx="2">
                  <c:v>37622</c:v>
                </c:pt>
                <c:pt idx="3">
                  <c:v>37653</c:v>
                </c:pt>
                <c:pt idx="4">
                  <c:v>37681</c:v>
                </c:pt>
                <c:pt idx="5">
                  <c:v>37742</c:v>
                </c:pt>
                <c:pt idx="6">
                  <c:v>37834</c:v>
                </c:pt>
                <c:pt idx="7">
                  <c:v>37987</c:v>
                </c:pt>
                <c:pt idx="8">
                  <c:v>38018</c:v>
                </c:pt>
                <c:pt idx="9">
                  <c:v>38078</c:v>
                </c:pt>
                <c:pt idx="10">
                  <c:v>38108</c:v>
                </c:pt>
                <c:pt idx="11">
                  <c:v>38139</c:v>
                </c:pt>
                <c:pt idx="12">
                  <c:v>38169</c:v>
                </c:pt>
                <c:pt idx="13">
                  <c:v>38200</c:v>
                </c:pt>
                <c:pt idx="14">
                  <c:v>38261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38534</c:v>
                </c:pt>
                <c:pt idx="22">
                  <c:v>38565</c:v>
                </c:pt>
                <c:pt idx="23">
                  <c:v>38596</c:v>
                </c:pt>
                <c:pt idx="24">
                  <c:v>38626</c:v>
                </c:pt>
                <c:pt idx="25">
                  <c:v>38657</c:v>
                </c:pt>
                <c:pt idx="26">
                  <c:v>38687</c:v>
                </c:pt>
                <c:pt idx="27">
                  <c:v>38718</c:v>
                </c:pt>
                <c:pt idx="28">
                  <c:v>38749</c:v>
                </c:pt>
                <c:pt idx="29">
                  <c:v>38777</c:v>
                </c:pt>
                <c:pt idx="30">
                  <c:v>38808</c:v>
                </c:pt>
                <c:pt idx="31">
                  <c:v>38838</c:v>
                </c:pt>
                <c:pt idx="32">
                  <c:v>38869</c:v>
                </c:pt>
                <c:pt idx="33">
                  <c:v>38899</c:v>
                </c:pt>
                <c:pt idx="34">
                  <c:v>38930</c:v>
                </c:pt>
                <c:pt idx="35">
                  <c:v>38961</c:v>
                </c:pt>
                <c:pt idx="36">
                  <c:v>38991</c:v>
                </c:pt>
                <c:pt idx="37">
                  <c:v>39022</c:v>
                </c:pt>
                <c:pt idx="38">
                  <c:v>39052</c:v>
                </c:pt>
                <c:pt idx="39">
                  <c:v>39083</c:v>
                </c:pt>
                <c:pt idx="40">
                  <c:v>39114</c:v>
                </c:pt>
                <c:pt idx="41">
                  <c:v>39142</c:v>
                </c:pt>
                <c:pt idx="42">
                  <c:v>39173</c:v>
                </c:pt>
                <c:pt idx="43">
                  <c:v>39203</c:v>
                </c:pt>
                <c:pt idx="44">
                  <c:v>39234</c:v>
                </c:pt>
                <c:pt idx="45">
                  <c:v>39264</c:v>
                </c:pt>
                <c:pt idx="46">
                  <c:v>39295</c:v>
                </c:pt>
                <c:pt idx="47">
                  <c:v>39326</c:v>
                </c:pt>
                <c:pt idx="48">
                  <c:v>39356</c:v>
                </c:pt>
                <c:pt idx="49">
                  <c:v>39387</c:v>
                </c:pt>
                <c:pt idx="50">
                  <c:v>39417</c:v>
                </c:pt>
                <c:pt idx="51">
                  <c:v>39448</c:v>
                </c:pt>
                <c:pt idx="52">
                  <c:v>39479</c:v>
                </c:pt>
                <c:pt idx="53">
                  <c:v>39508</c:v>
                </c:pt>
                <c:pt idx="54">
                  <c:v>39539</c:v>
                </c:pt>
                <c:pt idx="55">
                  <c:v>39569</c:v>
                </c:pt>
                <c:pt idx="56">
                  <c:v>39600</c:v>
                </c:pt>
                <c:pt idx="57">
                  <c:v>39630</c:v>
                </c:pt>
                <c:pt idx="58">
                  <c:v>39661</c:v>
                </c:pt>
                <c:pt idx="59">
                  <c:v>39692</c:v>
                </c:pt>
                <c:pt idx="60">
                  <c:v>39722</c:v>
                </c:pt>
                <c:pt idx="61">
                  <c:v>39753</c:v>
                </c:pt>
                <c:pt idx="62">
                  <c:v>39783</c:v>
                </c:pt>
                <c:pt idx="63">
                  <c:v>39814</c:v>
                </c:pt>
                <c:pt idx="64">
                  <c:v>39845</c:v>
                </c:pt>
                <c:pt idx="65">
                  <c:v>39873</c:v>
                </c:pt>
                <c:pt idx="66">
                  <c:v>39904</c:v>
                </c:pt>
                <c:pt idx="67">
                  <c:v>39934</c:v>
                </c:pt>
                <c:pt idx="68">
                  <c:v>39965</c:v>
                </c:pt>
                <c:pt idx="69">
                  <c:v>39995</c:v>
                </c:pt>
                <c:pt idx="70">
                  <c:v>40026</c:v>
                </c:pt>
                <c:pt idx="71">
                  <c:v>40057</c:v>
                </c:pt>
                <c:pt idx="72">
                  <c:v>40087</c:v>
                </c:pt>
                <c:pt idx="73">
                  <c:v>40118</c:v>
                </c:pt>
                <c:pt idx="74">
                  <c:v>40148</c:v>
                </c:pt>
                <c:pt idx="75">
                  <c:v>40179</c:v>
                </c:pt>
                <c:pt idx="76">
                  <c:v>40210</c:v>
                </c:pt>
                <c:pt idx="77">
                  <c:v>40238</c:v>
                </c:pt>
                <c:pt idx="78">
                  <c:v>40269</c:v>
                </c:pt>
                <c:pt idx="79">
                  <c:v>40299</c:v>
                </c:pt>
                <c:pt idx="80">
                  <c:v>40330</c:v>
                </c:pt>
                <c:pt idx="81">
                  <c:v>40360</c:v>
                </c:pt>
                <c:pt idx="82">
                  <c:v>40391</c:v>
                </c:pt>
                <c:pt idx="83">
                  <c:v>40422</c:v>
                </c:pt>
                <c:pt idx="84">
                  <c:v>40452</c:v>
                </c:pt>
                <c:pt idx="85">
                  <c:v>40483</c:v>
                </c:pt>
                <c:pt idx="86">
                  <c:v>40513</c:v>
                </c:pt>
                <c:pt idx="87">
                  <c:v>40544</c:v>
                </c:pt>
                <c:pt idx="88">
                  <c:v>40575</c:v>
                </c:pt>
                <c:pt idx="89">
                  <c:v>40603</c:v>
                </c:pt>
                <c:pt idx="90">
                  <c:v>40634</c:v>
                </c:pt>
                <c:pt idx="91">
                  <c:v>40664</c:v>
                </c:pt>
                <c:pt idx="92">
                  <c:v>40695</c:v>
                </c:pt>
                <c:pt idx="93">
                  <c:v>40725</c:v>
                </c:pt>
                <c:pt idx="94">
                  <c:v>40756</c:v>
                </c:pt>
                <c:pt idx="95">
                  <c:v>40787</c:v>
                </c:pt>
                <c:pt idx="96">
                  <c:v>40817</c:v>
                </c:pt>
                <c:pt idx="97">
                  <c:v>40848</c:v>
                </c:pt>
                <c:pt idx="98">
                  <c:v>40878</c:v>
                </c:pt>
                <c:pt idx="99">
                  <c:v>40909</c:v>
                </c:pt>
                <c:pt idx="100">
                  <c:v>40940</c:v>
                </c:pt>
                <c:pt idx="101">
                  <c:v>40969</c:v>
                </c:pt>
                <c:pt idx="102">
                  <c:v>41000</c:v>
                </c:pt>
                <c:pt idx="103">
                  <c:v>41030</c:v>
                </c:pt>
                <c:pt idx="104">
                  <c:v>41061</c:v>
                </c:pt>
                <c:pt idx="105">
                  <c:v>41091</c:v>
                </c:pt>
                <c:pt idx="106">
                  <c:v>41122</c:v>
                </c:pt>
                <c:pt idx="107">
                  <c:v>41153</c:v>
                </c:pt>
                <c:pt idx="108">
                  <c:v>41183</c:v>
                </c:pt>
                <c:pt idx="109">
                  <c:v>41214</c:v>
                </c:pt>
                <c:pt idx="110">
                  <c:v>41244</c:v>
                </c:pt>
                <c:pt idx="111">
                  <c:v>41275</c:v>
                </c:pt>
                <c:pt idx="112">
                  <c:v>41306</c:v>
                </c:pt>
                <c:pt idx="113">
                  <c:v>41334</c:v>
                </c:pt>
                <c:pt idx="114">
                  <c:v>41365</c:v>
                </c:pt>
                <c:pt idx="115">
                  <c:v>41395</c:v>
                </c:pt>
                <c:pt idx="116">
                  <c:v>41426</c:v>
                </c:pt>
                <c:pt idx="117">
                  <c:v>41456</c:v>
                </c:pt>
                <c:pt idx="118">
                  <c:v>41487</c:v>
                </c:pt>
                <c:pt idx="119">
                  <c:v>41518</c:v>
                </c:pt>
                <c:pt idx="120">
                  <c:v>41548</c:v>
                </c:pt>
                <c:pt idx="121">
                  <c:v>41579</c:v>
                </c:pt>
                <c:pt idx="122">
                  <c:v>41609</c:v>
                </c:pt>
                <c:pt idx="123">
                  <c:v>41640</c:v>
                </c:pt>
                <c:pt idx="124">
                  <c:v>41671</c:v>
                </c:pt>
                <c:pt idx="125">
                  <c:v>41699</c:v>
                </c:pt>
                <c:pt idx="126">
                  <c:v>41730</c:v>
                </c:pt>
                <c:pt idx="127">
                  <c:v>41760</c:v>
                </c:pt>
                <c:pt idx="128">
                  <c:v>41791</c:v>
                </c:pt>
                <c:pt idx="129">
                  <c:v>41821</c:v>
                </c:pt>
                <c:pt idx="130">
                  <c:v>41852</c:v>
                </c:pt>
                <c:pt idx="131">
                  <c:v>41883</c:v>
                </c:pt>
                <c:pt idx="132">
                  <c:v>41913</c:v>
                </c:pt>
                <c:pt idx="133">
                  <c:v>41944</c:v>
                </c:pt>
                <c:pt idx="134">
                  <c:v>41974</c:v>
                </c:pt>
                <c:pt idx="135">
                  <c:v>42005</c:v>
                </c:pt>
                <c:pt idx="136">
                  <c:v>42036</c:v>
                </c:pt>
                <c:pt idx="137">
                  <c:v>42064</c:v>
                </c:pt>
                <c:pt idx="138">
                  <c:v>42095</c:v>
                </c:pt>
                <c:pt idx="139">
                  <c:v>42125</c:v>
                </c:pt>
              </c:numCache>
            </c:numRef>
          </c:cat>
          <c:val>
            <c:numRef>
              <c:f>'Rate Differences - Credit'!$BQ$3:$BQ$142</c:f>
              <c:numCache>
                <c:formatCode>_(* #,##0_);_(* \(#,##0\);_(* "-"??_);_(@_)</c:formatCode>
                <c:ptCount val="140"/>
                <c:pt idx="0">
                  <c:v>6.146821279472281</c:v>
                </c:pt>
                <c:pt idx="1">
                  <c:v>11.61716610415775</c:v>
                </c:pt>
                <c:pt idx="2">
                  <c:v>3.6045426907267419</c:v>
                </c:pt>
                <c:pt idx="3">
                  <c:v>2.4179740710079223</c:v>
                </c:pt>
                <c:pt idx="4">
                  <c:v>12.957245845139109</c:v>
                </c:pt>
                <c:pt idx="5">
                  <c:v>-9.2765067371670895</c:v>
                </c:pt>
                <c:pt idx="6">
                  <c:v>-9.5938908582576587</c:v>
                </c:pt>
                <c:pt idx="7">
                  <c:v>-20.115672514440064</c:v>
                </c:pt>
                <c:pt idx="8">
                  <c:v>-26.513798087504892</c:v>
                </c:pt>
                <c:pt idx="9">
                  <c:v>-5.9277136594340973</c:v>
                </c:pt>
                <c:pt idx="10">
                  <c:v>-4.2999958677204297</c:v>
                </c:pt>
                <c:pt idx="11">
                  <c:v>-16.775329467530842</c:v>
                </c:pt>
                <c:pt idx="12">
                  <c:v>-7.8079167248422898</c:v>
                </c:pt>
                <c:pt idx="13">
                  <c:v>-13.638750023915502</c:v>
                </c:pt>
                <c:pt idx="14">
                  <c:v>-3.9865866536453076</c:v>
                </c:pt>
                <c:pt idx="15">
                  <c:v>-10.464958234665112</c:v>
                </c:pt>
                <c:pt idx="16">
                  <c:v>-15.990760623238831</c:v>
                </c:pt>
                <c:pt idx="17">
                  <c:v>-19.607118738867246</c:v>
                </c:pt>
                <c:pt idx="18">
                  <c:v>-14.805591415854913</c:v>
                </c:pt>
                <c:pt idx="19">
                  <c:v>-23.415957012034383</c:v>
                </c:pt>
                <c:pt idx="20">
                  <c:v>-25.005725099916543</c:v>
                </c:pt>
                <c:pt idx="21">
                  <c:v>-17.230825014117279</c:v>
                </c:pt>
                <c:pt idx="22">
                  <c:v>-24.920192509857486</c:v>
                </c:pt>
                <c:pt idx="23">
                  <c:v>-20.705380255699346</c:v>
                </c:pt>
                <c:pt idx="24">
                  <c:v>-22.860881108050002</c:v>
                </c:pt>
                <c:pt idx="25">
                  <c:v>-24.917515217230424</c:v>
                </c:pt>
                <c:pt idx="26">
                  <c:v>-18.450520111938395</c:v>
                </c:pt>
                <c:pt idx="27">
                  <c:v>-20.655441715773293</c:v>
                </c:pt>
                <c:pt idx="28">
                  <c:v>-29.478988305924503</c:v>
                </c:pt>
                <c:pt idx="29">
                  <c:v>-29.467740278191812</c:v>
                </c:pt>
                <c:pt idx="30">
                  <c:v>-26.463608144830708</c:v>
                </c:pt>
                <c:pt idx="31">
                  <c:v>-29.182711571172071</c:v>
                </c:pt>
                <c:pt idx="32">
                  <c:v>-27.56441566037946</c:v>
                </c:pt>
                <c:pt idx="33">
                  <c:v>-25.247080476384465</c:v>
                </c:pt>
                <c:pt idx="34">
                  <c:v>-27.629278476105501</c:v>
                </c:pt>
                <c:pt idx="35">
                  <c:v>-23.856399649410953</c:v>
                </c:pt>
                <c:pt idx="36">
                  <c:v>-27.232230825134796</c:v>
                </c:pt>
                <c:pt idx="37">
                  <c:v>-22.001356146482198</c:v>
                </c:pt>
                <c:pt idx="38">
                  <c:v>-21.391906707009234</c:v>
                </c:pt>
                <c:pt idx="39">
                  <c:v>-27.802950529900627</c:v>
                </c:pt>
                <c:pt idx="40">
                  <c:v>-19.527211312052906</c:v>
                </c:pt>
                <c:pt idx="41">
                  <c:v>-28.717165847188308</c:v>
                </c:pt>
                <c:pt idx="42">
                  <c:v>-29.672555833230163</c:v>
                </c:pt>
                <c:pt idx="43">
                  <c:v>-25.989035051866871</c:v>
                </c:pt>
                <c:pt idx="44">
                  <c:v>-20.137804395572356</c:v>
                </c:pt>
                <c:pt idx="45">
                  <c:v>-16.179331959962884</c:v>
                </c:pt>
                <c:pt idx="46">
                  <c:v>-16.405438427706542</c:v>
                </c:pt>
                <c:pt idx="47">
                  <c:v>-11.726546615472166</c:v>
                </c:pt>
                <c:pt idx="48">
                  <c:v>14.364957296250402</c:v>
                </c:pt>
                <c:pt idx="49">
                  <c:v>4.5306489011089468</c:v>
                </c:pt>
                <c:pt idx="50">
                  <c:v>-2.7587176968382643</c:v>
                </c:pt>
                <c:pt idx="51">
                  <c:v>-2.1848751786440523</c:v>
                </c:pt>
                <c:pt idx="52">
                  <c:v>-2.7825227496668603</c:v>
                </c:pt>
                <c:pt idx="53">
                  <c:v>-4.6531150400987542</c:v>
                </c:pt>
                <c:pt idx="54">
                  <c:v>-5.1735225357769643</c:v>
                </c:pt>
                <c:pt idx="55">
                  <c:v>-10.767552628575938</c:v>
                </c:pt>
                <c:pt idx="56">
                  <c:v>2.6286713681683338</c:v>
                </c:pt>
                <c:pt idx="57">
                  <c:v>6.1202558646106908</c:v>
                </c:pt>
                <c:pt idx="58">
                  <c:v>5.2337760007672429</c:v>
                </c:pt>
                <c:pt idx="59">
                  <c:v>1.3004255762409933</c:v>
                </c:pt>
                <c:pt idx="60">
                  <c:v>6.0181873745297487</c:v>
                </c:pt>
                <c:pt idx="61">
                  <c:v>4.6349108644347048</c:v>
                </c:pt>
                <c:pt idx="62">
                  <c:v>3.7353543867482131</c:v>
                </c:pt>
                <c:pt idx="63">
                  <c:v>2.8482242445301509</c:v>
                </c:pt>
                <c:pt idx="64">
                  <c:v>-0.548724684742119</c:v>
                </c:pt>
                <c:pt idx="65">
                  <c:v>0.56755223910416319</c:v>
                </c:pt>
                <c:pt idx="66">
                  <c:v>3.8376802504012986</c:v>
                </c:pt>
                <c:pt idx="67">
                  <c:v>4.9845210174747301</c:v>
                </c:pt>
                <c:pt idx="68">
                  <c:v>5.3292955747168413</c:v>
                </c:pt>
                <c:pt idx="69">
                  <c:v>4.9938432134066346</c:v>
                </c:pt>
                <c:pt idx="70">
                  <c:v>1.9863286440731542</c:v>
                </c:pt>
                <c:pt idx="71">
                  <c:v>3.5136205967967626</c:v>
                </c:pt>
                <c:pt idx="72">
                  <c:v>2.6402805553995101</c:v>
                </c:pt>
                <c:pt idx="73">
                  <c:v>0.80229131277977928</c:v>
                </c:pt>
                <c:pt idx="74">
                  <c:v>1.6848157521777374</c:v>
                </c:pt>
                <c:pt idx="75">
                  <c:v>4.4761395510131585</c:v>
                </c:pt>
                <c:pt idx="76">
                  <c:v>7.3792172481066842</c:v>
                </c:pt>
                <c:pt idx="77">
                  <c:v>7.2115016270085874</c:v>
                </c:pt>
                <c:pt idx="78">
                  <c:v>5.5989660256360096</c:v>
                </c:pt>
                <c:pt idx="79">
                  <c:v>6.5491265524556752</c:v>
                </c:pt>
                <c:pt idx="80">
                  <c:v>3.1298616673461233</c:v>
                </c:pt>
                <c:pt idx="81">
                  <c:v>-3.4901051939328021</c:v>
                </c:pt>
                <c:pt idx="82">
                  <c:v>-2.9210981543395853</c:v>
                </c:pt>
                <c:pt idx="83">
                  <c:v>-3.9390493807297311</c:v>
                </c:pt>
                <c:pt idx="84">
                  <c:v>-2.0259148310695529</c:v>
                </c:pt>
                <c:pt idx="85">
                  <c:v>-3.8250200059309236</c:v>
                </c:pt>
                <c:pt idx="86">
                  <c:v>-2.6736492468363515</c:v>
                </c:pt>
                <c:pt idx="87">
                  <c:v>-1.6955255925977575</c:v>
                </c:pt>
                <c:pt idx="88">
                  <c:v>-5.5725712751089951</c:v>
                </c:pt>
                <c:pt idx="89">
                  <c:v>3.0410404454419115</c:v>
                </c:pt>
                <c:pt idx="90">
                  <c:v>5.7095443205168017</c:v>
                </c:pt>
                <c:pt idx="91">
                  <c:v>6.3664370386800506</c:v>
                </c:pt>
                <c:pt idx="92">
                  <c:v>6.670276589096602</c:v>
                </c:pt>
                <c:pt idx="93">
                  <c:v>4.75896006802774</c:v>
                </c:pt>
                <c:pt idx="94">
                  <c:v>4.2751135714452104</c:v>
                </c:pt>
                <c:pt idx="95">
                  <c:v>3.6579370540674283</c:v>
                </c:pt>
                <c:pt idx="96">
                  <c:v>2.7518906745811478</c:v>
                </c:pt>
                <c:pt idx="97">
                  <c:v>1.5410658788317377</c:v>
                </c:pt>
                <c:pt idx="98">
                  <c:v>3.6251295263198369</c:v>
                </c:pt>
                <c:pt idx="99">
                  <c:v>6.2321475123973347</c:v>
                </c:pt>
                <c:pt idx="100">
                  <c:v>6.9963774966702363</c:v>
                </c:pt>
                <c:pt idx="101">
                  <c:v>5.8720086152168172</c:v>
                </c:pt>
                <c:pt idx="102">
                  <c:v>3.5795906730530458</c:v>
                </c:pt>
                <c:pt idx="103">
                  <c:v>6.2665402555343253</c:v>
                </c:pt>
                <c:pt idx="104">
                  <c:v>6.7326769076952786</c:v>
                </c:pt>
                <c:pt idx="105">
                  <c:v>7.1456599611089189</c:v>
                </c:pt>
                <c:pt idx="106">
                  <c:v>6.1323911729056935</c:v>
                </c:pt>
                <c:pt idx="107">
                  <c:v>5.1358801428170953</c:v>
                </c:pt>
                <c:pt idx="108">
                  <c:v>2.0242584236472627</c:v>
                </c:pt>
                <c:pt idx="109">
                  <c:v>1.3015332237453769</c:v>
                </c:pt>
                <c:pt idx="110">
                  <c:v>4.1265982451317296</c:v>
                </c:pt>
                <c:pt idx="111">
                  <c:v>6.1785572234793307</c:v>
                </c:pt>
                <c:pt idx="112">
                  <c:v>4.2950685312765913</c:v>
                </c:pt>
                <c:pt idx="113">
                  <c:v>3.1513794883951007</c:v>
                </c:pt>
                <c:pt idx="114">
                  <c:v>-1.4164933455208306</c:v>
                </c:pt>
                <c:pt idx="115">
                  <c:v>-0.71546657779890666</c:v>
                </c:pt>
                <c:pt idx="116">
                  <c:v>2.5608707344913384</c:v>
                </c:pt>
                <c:pt idx="117">
                  <c:v>1.2053498017250419</c:v>
                </c:pt>
                <c:pt idx="118">
                  <c:v>-3.9541930749947163</c:v>
                </c:pt>
                <c:pt idx="119">
                  <c:v>-1.5436892399614877</c:v>
                </c:pt>
                <c:pt idx="120">
                  <c:v>-1.3156625986632697</c:v>
                </c:pt>
                <c:pt idx="121">
                  <c:v>-3.1778867930333021</c:v>
                </c:pt>
                <c:pt idx="122">
                  <c:v>-2.6246523043300662</c:v>
                </c:pt>
                <c:pt idx="123">
                  <c:v>-1.6678106219086608</c:v>
                </c:pt>
                <c:pt idx="124">
                  <c:v>-1.0361904184662762</c:v>
                </c:pt>
                <c:pt idx="125">
                  <c:v>-2.0603593436394618</c:v>
                </c:pt>
                <c:pt idx="126">
                  <c:v>-2.555258941709404</c:v>
                </c:pt>
                <c:pt idx="127">
                  <c:v>-3.700761794272811</c:v>
                </c:pt>
                <c:pt idx="128">
                  <c:v>-2.7777953120954102</c:v>
                </c:pt>
                <c:pt idx="129">
                  <c:v>-3.5664810861945284</c:v>
                </c:pt>
                <c:pt idx="130">
                  <c:v>-0.31855060291161585</c:v>
                </c:pt>
                <c:pt idx="131">
                  <c:v>2.108981446890823</c:v>
                </c:pt>
                <c:pt idx="132">
                  <c:v>0.40845554737156675</c:v>
                </c:pt>
                <c:pt idx="133">
                  <c:v>1.296191896222787</c:v>
                </c:pt>
                <c:pt idx="134">
                  <c:v>3.2685303061561477</c:v>
                </c:pt>
                <c:pt idx="135">
                  <c:v>3.0001759660539307</c:v>
                </c:pt>
                <c:pt idx="136">
                  <c:v>-0.80480243232887716</c:v>
                </c:pt>
                <c:pt idx="137">
                  <c:v>-2.4925230437046864</c:v>
                </c:pt>
                <c:pt idx="138">
                  <c:v>-3.9090536311768176</c:v>
                </c:pt>
                <c:pt idx="139">
                  <c:v>-5.7512319489945618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783552"/>
        <c:axId val="265812608"/>
      </c:lineChart>
      <c:dateAx>
        <c:axId val="265783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265812608"/>
        <c:crosses val="autoZero"/>
        <c:auto val="1"/>
        <c:lblOffset val="100"/>
        <c:baseTimeUnit val="months"/>
      </c:dateAx>
      <c:valAx>
        <c:axId val="2658126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6578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'LLPA Differences'!$E$1</c:f>
              <c:strCache>
                <c:ptCount val="1"/>
                <c:pt idx="0">
                  <c:v>Jumbo Conforming LLPA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'LLPA Differences'!$A$2:$A$92</c:f>
              <c:numCache>
                <c:formatCode>m/d/yyyy</c:formatCode>
                <c:ptCount val="91"/>
                <c:pt idx="0">
                  <c:v>39630</c:v>
                </c:pt>
                <c:pt idx="1">
                  <c:v>39661</c:v>
                </c:pt>
                <c:pt idx="2">
                  <c:v>39692</c:v>
                </c:pt>
                <c:pt idx="3">
                  <c:v>39722</c:v>
                </c:pt>
                <c:pt idx="4">
                  <c:v>39753</c:v>
                </c:pt>
                <c:pt idx="5">
                  <c:v>39783</c:v>
                </c:pt>
                <c:pt idx="6">
                  <c:v>39814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'LLPA Differences'!$E$2:$E$92</c:f>
              <c:numCache>
                <c:formatCode>General</c:formatCode>
                <c:ptCount val="91"/>
                <c:pt idx="0">
                  <c:v>0.1135</c:v>
                </c:pt>
                <c:pt idx="1">
                  <c:v>0.1082</c:v>
                </c:pt>
                <c:pt idx="2">
                  <c:v>0.1047</c:v>
                </c:pt>
                <c:pt idx="3">
                  <c:v>0.10730000000000001</c:v>
                </c:pt>
                <c:pt idx="4">
                  <c:v>0.1079</c:v>
                </c:pt>
                <c:pt idx="5">
                  <c:v>0.111</c:v>
                </c:pt>
                <c:pt idx="6">
                  <c:v>0.1119</c:v>
                </c:pt>
                <c:pt idx="7">
                  <c:v>0.1158</c:v>
                </c:pt>
                <c:pt idx="8">
                  <c:v>0.1163</c:v>
                </c:pt>
                <c:pt idx="9">
                  <c:v>0.1159</c:v>
                </c:pt>
                <c:pt idx="10">
                  <c:v>0.1158</c:v>
                </c:pt>
                <c:pt idx="11">
                  <c:v>0.1159</c:v>
                </c:pt>
                <c:pt idx="12">
                  <c:v>0.1157</c:v>
                </c:pt>
                <c:pt idx="13">
                  <c:v>0.11609999999999999</c:v>
                </c:pt>
                <c:pt idx="14">
                  <c:v>0.1143</c:v>
                </c:pt>
                <c:pt idx="15">
                  <c:v>0.1149</c:v>
                </c:pt>
                <c:pt idx="16">
                  <c:v>0.1153</c:v>
                </c:pt>
                <c:pt idx="17">
                  <c:v>0.11550000000000001</c:v>
                </c:pt>
                <c:pt idx="18">
                  <c:v>0.11600000000000001</c:v>
                </c:pt>
                <c:pt idx="19">
                  <c:v>0.1178</c:v>
                </c:pt>
                <c:pt idx="20">
                  <c:v>0.1182</c:v>
                </c:pt>
                <c:pt idx="21">
                  <c:v>0.1162</c:v>
                </c:pt>
                <c:pt idx="22">
                  <c:v>0.1157</c:v>
                </c:pt>
                <c:pt idx="23">
                  <c:v>0.115</c:v>
                </c:pt>
                <c:pt idx="24">
                  <c:v>0.1168</c:v>
                </c:pt>
                <c:pt idx="25">
                  <c:v>0.1183</c:v>
                </c:pt>
                <c:pt idx="26">
                  <c:v>0.11890000000000001</c:v>
                </c:pt>
                <c:pt idx="27">
                  <c:v>0.1216</c:v>
                </c:pt>
                <c:pt idx="28">
                  <c:v>0.12379999999999999</c:v>
                </c:pt>
                <c:pt idx="29">
                  <c:v>0.1244</c:v>
                </c:pt>
                <c:pt idx="30">
                  <c:v>0.1275</c:v>
                </c:pt>
                <c:pt idx="31">
                  <c:v>0.1273</c:v>
                </c:pt>
                <c:pt idx="32">
                  <c:v>0.1198</c:v>
                </c:pt>
                <c:pt idx="33">
                  <c:v>0.1163</c:v>
                </c:pt>
                <c:pt idx="34">
                  <c:v>0.1152</c:v>
                </c:pt>
                <c:pt idx="35">
                  <c:v>0.11269999999999999</c:v>
                </c:pt>
                <c:pt idx="36">
                  <c:v>0.1123</c:v>
                </c:pt>
                <c:pt idx="37">
                  <c:v>0.11219999999999999</c:v>
                </c:pt>
                <c:pt idx="38">
                  <c:v>0.1125</c:v>
                </c:pt>
                <c:pt idx="39">
                  <c:v>0.11600000000000001</c:v>
                </c:pt>
                <c:pt idx="40">
                  <c:v>0.1179</c:v>
                </c:pt>
                <c:pt idx="41">
                  <c:v>0.11849999999999999</c:v>
                </c:pt>
                <c:pt idx="42">
                  <c:v>0.11600000000000001</c:v>
                </c:pt>
                <c:pt idx="43">
                  <c:v>0.11219999999999999</c:v>
                </c:pt>
                <c:pt idx="44">
                  <c:v>0.1094</c:v>
                </c:pt>
                <c:pt idx="45">
                  <c:v>0.1042</c:v>
                </c:pt>
                <c:pt idx="46">
                  <c:v>9.9400000000000002E-2</c:v>
                </c:pt>
                <c:pt idx="47">
                  <c:v>9.5399999999999999E-2</c:v>
                </c:pt>
                <c:pt idx="48">
                  <c:v>9.06E-2</c:v>
                </c:pt>
                <c:pt idx="49">
                  <c:v>8.9800000000000005E-2</c:v>
                </c:pt>
                <c:pt idx="50">
                  <c:v>9.0399999999999994E-2</c:v>
                </c:pt>
                <c:pt idx="51">
                  <c:v>9.0300000000000005E-2</c:v>
                </c:pt>
                <c:pt idx="52">
                  <c:v>8.8800000000000004E-2</c:v>
                </c:pt>
                <c:pt idx="53">
                  <c:v>8.6599999999999996E-2</c:v>
                </c:pt>
                <c:pt idx="54">
                  <c:v>8.4400000000000003E-2</c:v>
                </c:pt>
                <c:pt idx="55">
                  <c:v>8.3000000000000004E-2</c:v>
                </c:pt>
                <c:pt idx="56">
                  <c:v>8.2299999999999998E-2</c:v>
                </c:pt>
                <c:pt idx="57">
                  <c:v>7.8399999999999997E-2</c:v>
                </c:pt>
                <c:pt idx="58">
                  <c:v>7.51E-2</c:v>
                </c:pt>
                <c:pt idx="59">
                  <c:v>7.1999999999999995E-2</c:v>
                </c:pt>
                <c:pt idx="60">
                  <c:v>7.1300000000000002E-2</c:v>
                </c:pt>
                <c:pt idx="61">
                  <c:v>7.1499999999999994E-2</c:v>
                </c:pt>
                <c:pt idx="62">
                  <c:v>6.9900000000000004E-2</c:v>
                </c:pt>
                <c:pt idx="63">
                  <c:v>7.2499999999999995E-2</c:v>
                </c:pt>
                <c:pt idx="64">
                  <c:v>7.3599999999999999E-2</c:v>
                </c:pt>
                <c:pt idx="65">
                  <c:v>9.2299999999999993E-2</c:v>
                </c:pt>
                <c:pt idx="66">
                  <c:v>9.3799999999999994E-2</c:v>
                </c:pt>
                <c:pt idx="67">
                  <c:v>8.2000000000000003E-2</c:v>
                </c:pt>
                <c:pt idx="68">
                  <c:v>8.2199999999999995E-2</c:v>
                </c:pt>
                <c:pt idx="69">
                  <c:v>7.7299999999999994E-2</c:v>
                </c:pt>
                <c:pt idx="70">
                  <c:v>7.6600000000000001E-2</c:v>
                </c:pt>
                <c:pt idx="71">
                  <c:v>7.6499999999999999E-2</c:v>
                </c:pt>
                <c:pt idx="72">
                  <c:v>7.7100000000000002E-2</c:v>
                </c:pt>
                <c:pt idx="73">
                  <c:v>7.8600000000000003E-2</c:v>
                </c:pt>
                <c:pt idx="74">
                  <c:v>8.0399999999999999E-2</c:v>
                </c:pt>
                <c:pt idx="75">
                  <c:v>8.3099999999999993E-2</c:v>
                </c:pt>
                <c:pt idx="76">
                  <c:v>8.5099999999999995E-2</c:v>
                </c:pt>
                <c:pt idx="77">
                  <c:v>8.7599999999999997E-2</c:v>
                </c:pt>
                <c:pt idx="78">
                  <c:v>7.3599999999999999E-2</c:v>
                </c:pt>
                <c:pt idx="79">
                  <c:v>7.51E-2</c:v>
                </c:pt>
                <c:pt idx="80">
                  <c:v>7.6399999999999996E-2</c:v>
                </c:pt>
                <c:pt idx="81">
                  <c:v>7.7399999999999997E-2</c:v>
                </c:pt>
                <c:pt idx="82">
                  <c:v>7.7899999999999997E-2</c:v>
                </c:pt>
                <c:pt idx="83">
                  <c:v>7.8200000000000006E-2</c:v>
                </c:pt>
                <c:pt idx="84">
                  <c:v>7.9299999999999995E-2</c:v>
                </c:pt>
                <c:pt idx="85">
                  <c:v>8.0699999999999994E-2</c:v>
                </c:pt>
                <c:pt idx="86">
                  <c:v>0.1371</c:v>
                </c:pt>
                <c:pt idx="87">
                  <c:v>0.1386</c:v>
                </c:pt>
                <c:pt idx="88">
                  <c:v>0.1396</c:v>
                </c:pt>
                <c:pt idx="89">
                  <c:v>0.1482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'LLPA Differences'!$R$1</c:f>
              <c:strCache>
                <c:ptCount val="1"/>
                <c:pt idx="0">
                  <c:v>Conforming LLPA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'LLPA Differences'!$A$2:$A$92</c:f>
              <c:numCache>
                <c:formatCode>m/d/yyyy</c:formatCode>
                <c:ptCount val="91"/>
                <c:pt idx="0">
                  <c:v>39630</c:v>
                </c:pt>
                <c:pt idx="1">
                  <c:v>39661</c:v>
                </c:pt>
                <c:pt idx="2">
                  <c:v>39692</c:v>
                </c:pt>
                <c:pt idx="3">
                  <c:v>39722</c:v>
                </c:pt>
                <c:pt idx="4">
                  <c:v>39753</c:v>
                </c:pt>
                <c:pt idx="5">
                  <c:v>39783</c:v>
                </c:pt>
                <c:pt idx="6">
                  <c:v>39814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'LLPA Differences'!$R$2:$R$92</c:f>
              <c:numCache>
                <c:formatCode>General</c:formatCode>
                <c:ptCount val="91"/>
                <c:pt idx="0">
                  <c:v>0.14030000000000001</c:v>
                </c:pt>
                <c:pt idx="1">
                  <c:v>0.1399</c:v>
                </c:pt>
                <c:pt idx="2">
                  <c:v>0.1404</c:v>
                </c:pt>
                <c:pt idx="3">
                  <c:v>0.1416</c:v>
                </c:pt>
                <c:pt idx="4">
                  <c:v>0.14280000000000001</c:v>
                </c:pt>
                <c:pt idx="5">
                  <c:v>0.1439</c:v>
                </c:pt>
                <c:pt idx="6">
                  <c:v>0.14360000000000001</c:v>
                </c:pt>
                <c:pt idx="7">
                  <c:v>0.14360000000000001</c:v>
                </c:pt>
                <c:pt idx="8">
                  <c:v>0.14380000000000001</c:v>
                </c:pt>
                <c:pt idx="9">
                  <c:v>0.14269999999999999</c:v>
                </c:pt>
                <c:pt idx="10">
                  <c:v>0.13850000000000001</c:v>
                </c:pt>
                <c:pt idx="11">
                  <c:v>0.1363</c:v>
                </c:pt>
                <c:pt idx="12">
                  <c:v>0.13400000000000001</c:v>
                </c:pt>
                <c:pt idx="13">
                  <c:v>0.13239999999999999</c:v>
                </c:pt>
                <c:pt idx="14">
                  <c:v>0.1341</c:v>
                </c:pt>
                <c:pt idx="15">
                  <c:v>0.13600000000000001</c:v>
                </c:pt>
                <c:pt idx="16">
                  <c:v>0.13750000000000001</c:v>
                </c:pt>
                <c:pt idx="17">
                  <c:v>0.13950000000000001</c:v>
                </c:pt>
                <c:pt idx="18">
                  <c:v>0.1416</c:v>
                </c:pt>
                <c:pt idx="19">
                  <c:v>0.14449999999999999</c:v>
                </c:pt>
                <c:pt idx="20">
                  <c:v>0.1482</c:v>
                </c:pt>
                <c:pt idx="21">
                  <c:v>0.14610000000000001</c:v>
                </c:pt>
                <c:pt idx="22">
                  <c:v>0.1452</c:v>
                </c:pt>
                <c:pt idx="23">
                  <c:v>0.1447</c:v>
                </c:pt>
                <c:pt idx="24">
                  <c:v>0.1474</c:v>
                </c:pt>
                <c:pt idx="25">
                  <c:v>0.1515</c:v>
                </c:pt>
                <c:pt idx="26">
                  <c:v>0.15509999999999999</c:v>
                </c:pt>
                <c:pt idx="27">
                  <c:v>0.1598</c:v>
                </c:pt>
                <c:pt idx="28">
                  <c:v>0.16420000000000001</c:v>
                </c:pt>
                <c:pt idx="29">
                  <c:v>0.16889999999999999</c:v>
                </c:pt>
                <c:pt idx="30">
                  <c:v>0.1754</c:v>
                </c:pt>
                <c:pt idx="31">
                  <c:v>0.1825</c:v>
                </c:pt>
                <c:pt idx="32">
                  <c:v>0.19040000000000001</c:v>
                </c:pt>
                <c:pt idx="33">
                  <c:v>0.1875</c:v>
                </c:pt>
                <c:pt idx="34">
                  <c:v>0.18529999999999999</c:v>
                </c:pt>
                <c:pt idx="35">
                  <c:v>0.1827</c:v>
                </c:pt>
                <c:pt idx="36">
                  <c:v>0.18190000000000001</c:v>
                </c:pt>
                <c:pt idx="37">
                  <c:v>0.18099999999999999</c:v>
                </c:pt>
                <c:pt idx="38">
                  <c:v>0.18</c:v>
                </c:pt>
                <c:pt idx="39">
                  <c:v>0.18329999999999999</c:v>
                </c:pt>
                <c:pt idx="40">
                  <c:v>0.1865</c:v>
                </c:pt>
                <c:pt idx="41">
                  <c:v>0.1905</c:v>
                </c:pt>
                <c:pt idx="42">
                  <c:v>0.19120000000000001</c:v>
                </c:pt>
                <c:pt idx="43">
                  <c:v>0.1928</c:v>
                </c:pt>
                <c:pt idx="44">
                  <c:v>0.19400000000000001</c:v>
                </c:pt>
                <c:pt idx="45">
                  <c:v>0.18579999999999999</c:v>
                </c:pt>
                <c:pt idx="46">
                  <c:v>0.17810000000000001</c:v>
                </c:pt>
                <c:pt idx="47">
                  <c:v>0.1709</c:v>
                </c:pt>
                <c:pt idx="48">
                  <c:v>0.17</c:v>
                </c:pt>
                <c:pt idx="49">
                  <c:v>0.16900000000000001</c:v>
                </c:pt>
                <c:pt idx="50">
                  <c:v>0.16789999999999999</c:v>
                </c:pt>
                <c:pt idx="51">
                  <c:v>0.16969999999999999</c:v>
                </c:pt>
                <c:pt idx="52">
                  <c:v>0.1706</c:v>
                </c:pt>
                <c:pt idx="53">
                  <c:v>0.1734</c:v>
                </c:pt>
                <c:pt idx="54">
                  <c:v>0.1721</c:v>
                </c:pt>
                <c:pt idx="55">
                  <c:v>0.1724</c:v>
                </c:pt>
                <c:pt idx="56">
                  <c:v>0.17219999999999999</c:v>
                </c:pt>
                <c:pt idx="57">
                  <c:v>0.16500000000000001</c:v>
                </c:pt>
                <c:pt idx="58">
                  <c:v>0.1593</c:v>
                </c:pt>
                <c:pt idx="59">
                  <c:v>0.1547</c:v>
                </c:pt>
                <c:pt idx="60">
                  <c:v>0.15490000000000001</c:v>
                </c:pt>
                <c:pt idx="61">
                  <c:v>0.1532</c:v>
                </c:pt>
                <c:pt idx="62">
                  <c:v>0.15160000000000001</c:v>
                </c:pt>
                <c:pt idx="63">
                  <c:v>0.1545</c:v>
                </c:pt>
                <c:pt idx="64">
                  <c:v>0.15670000000000001</c:v>
                </c:pt>
                <c:pt idx="65">
                  <c:v>0.18820000000000001</c:v>
                </c:pt>
                <c:pt idx="66">
                  <c:v>0.18870000000000001</c:v>
                </c:pt>
                <c:pt idx="67">
                  <c:v>0.1948</c:v>
                </c:pt>
                <c:pt idx="68">
                  <c:v>0.19600000000000001</c:v>
                </c:pt>
                <c:pt idx="69">
                  <c:v>0.19589999999999999</c:v>
                </c:pt>
                <c:pt idx="70">
                  <c:v>0.1933</c:v>
                </c:pt>
                <c:pt idx="71">
                  <c:v>0.1913</c:v>
                </c:pt>
                <c:pt idx="72">
                  <c:v>0.19170000000000001</c:v>
                </c:pt>
                <c:pt idx="73">
                  <c:v>0.193</c:v>
                </c:pt>
                <c:pt idx="74">
                  <c:v>0.19389999999999999</c:v>
                </c:pt>
                <c:pt idx="75">
                  <c:v>0.19589999999999999</c:v>
                </c:pt>
                <c:pt idx="76">
                  <c:v>0.1983</c:v>
                </c:pt>
                <c:pt idx="77">
                  <c:v>0.19939999999999999</c:v>
                </c:pt>
                <c:pt idx="78">
                  <c:v>0.16400000000000001</c:v>
                </c:pt>
                <c:pt idx="79">
                  <c:v>0.16470000000000001</c:v>
                </c:pt>
                <c:pt idx="80">
                  <c:v>0.16539999999999999</c:v>
                </c:pt>
                <c:pt idx="81">
                  <c:v>0.16309999999999999</c:v>
                </c:pt>
                <c:pt idx="82">
                  <c:v>0.1618</c:v>
                </c:pt>
                <c:pt idx="83">
                  <c:v>0.16039999999999999</c:v>
                </c:pt>
                <c:pt idx="84">
                  <c:v>0.1608</c:v>
                </c:pt>
                <c:pt idx="85">
                  <c:v>0.1615</c:v>
                </c:pt>
                <c:pt idx="86">
                  <c:v>0.15440000000000001</c:v>
                </c:pt>
                <c:pt idx="87">
                  <c:v>0.15529999999999999</c:v>
                </c:pt>
                <c:pt idx="88">
                  <c:v>0.1565</c:v>
                </c:pt>
                <c:pt idx="89">
                  <c:v>0.1348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599488"/>
        <c:axId val="375693312"/>
      </c:lineChart>
      <c:dateAx>
        <c:axId val="375599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93312"/>
        <c:crosses val="autoZero"/>
        <c:auto val="1"/>
        <c:lblOffset val="100"/>
        <c:baseTimeUnit val="months"/>
      </c:dateAx>
      <c:valAx>
        <c:axId val="3756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9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0"/>
          <c:tx>
            <c:strRef>
              <c:f>Issuance!$I$2</c:f>
              <c:strCache>
                <c:ptCount val="1"/>
                <c:pt idx="0">
                  <c:v>TBA Share of Jumbo</c:v>
                </c:pt>
              </c:strCache>
            </c:strRef>
          </c:tx>
          <c:marker>
            <c:symbol val="none"/>
          </c:marker>
          <c:cat>
            <c:numRef>
              <c:f>Issuance!$B$3:$B$92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Issuance!$I$3:$I$92</c:f>
              <c:numCache>
                <c:formatCode>0%</c:formatCode>
                <c:ptCount val="90"/>
                <c:pt idx="0">
                  <c:v>0.81152940224084558</c:v>
                </c:pt>
                <c:pt idx="1">
                  <c:v>0.67326924257355591</c:v>
                </c:pt>
                <c:pt idx="2">
                  <c:v>0.48727993484670984</c:v>
                </c:pt>
                <c:pt idx="3">
                  <c:v>0.5668296676234611</c:v>
                </c:pt>
                <c:pt idx="4">
                  <c:v>0.69265506662382681</c:v>
                </c:pt>
                <c:pt idx="5">
                  <c:v>0.57970342202929859</c:v>
                </c:pt>
                <c:pt idx="6">
                  <c:v>0.75578484470211826</c:v>
                </c:pt>
                <c:pt idx="7">
                  <c:v>0.94265940803048287</c:v>
                </c:pt>
                <c:pt idx="8">
                  <c:v>0.97039015780037552</c:v>
                </c:pt>
                <c:pt idx="9">
                  <c:v>0.9692819752132269</c:v>
                </c:pt>
                <c:pt idx="10">
                  <c:v>0.88134850001936738</c:v>
                </c:pt>
                <c:pt idx="11">
                  <c:v>0.95592107970207263</c:v>
                </c:pt>
                <c:pt idx="12">
                  <c:v>0.91427253461165725</c:v>
                </c:pt>
                <c:pt idx="13">
                  <c:v>0.87493577258513489</c:v>
                </c:pt>
                <c:pt idx="14">
                  <c:v>0.77504932803482174</c:v>
                </c:pt>
                <c:pt idx="15">
                  <c:v>0.67782694531442478</c:v>
                </c:pt>
                <c:pt idx="16">
                  <c:v>0.76713813534167308</c:v>
                </c:pt>
                <c:pt idx="17">
                  <c:v>0.81191657371366999</c:v>
                </c:pt>
                <c:pt idx="18">
                  <c:v>0.77239943006190526</c:v>
                </c:pt>
                <c:pt idx="19">
                  <c:v>0.78356308463963764</c:v>
                </c:pt>
                <c:pt idx="20">
                  <c:v>0.79328578684150264</c:v>
                </c:pt>
                <c:pt idx="21">
                  <c:v>0.79117160951261567</c:v>
                </c:pt>
                <c:pt idx="22">
                  <c:v>0.78429548891446887</c:v>
                </c:pt>
                <c:pt idx="23">
                  <c:v>0.83209874091734215</c:v>
                </c:pt>
                <c:pt idx="24">
                  <c:v>0.69943629202373281</c:v>
                </c:pt>
                <c:pt idx="25">
                  <c:v>0.6545925675431975</c:v>
                </c:pt>
                <c:pt idx="26">
                  <c:v>0.65280093698241803</c:v>
                </c:pt>
                <c:pt idx="27">
                  <c:v>0.61157127140158951</c:v>
                </c:pt>
                <c:pt idx="28">
                  <c:v>0.59345327487566435</c:v>
                </c:pt>
                <c:pt idx="29">
                  <c:v>0.53152113119108313</c:v>
                </c:pt>
                <c:pt idx="30">
                  <c:v>0.51596551000826407</c:v>
                </c:pt>
                <c:pt idx="31">
                  <c:v>0.49412871827781496</c:v>
                </c:pt>
                <c:pt idx="32">
                  <c:v>0.56702025510941734</c:v>
                </c:pt>
                <c:pt idx="33">
                  <c:v>0.54363219493693171</c:v>
                </c:pt>
                <c:pt idx="34">
                  <c:v>0.51010535335399143</c:v>
                </c:pt>
                <c:pt idx="35">
                  <c:v>0.49290568176074984</c:v>
                </c:pt>
                <c:pt idx="36">
                  <c:v>0.44600911881164601</c:v>
                </c:pt>
                <c:pt idx="37">
                  <c:v>0.48835820805351088</c:v>
                </c:pt>
                <c:pt idx="38">
                  <c:v>0.43865311362633991</c:v>
                </c:pt>
                <c:pt idx="39">
                  <c:v>0.36966572049832164</c:v>
                </c:pt>
                <c:pt idx="40">
                  <c:v>0.38848743038825828</c:v>
                </c:pt>
                <c:pt idx="41">
                  <c:v>0.61790192220427309</c:v>
                </c:pt>
                <c:pt idx="42">
                  <c:v>0.54205917740341047</c:v>
                </c:pt>
                <c:pt idx="43">
                  <c:v>0.6176703873542424</c:v>
                </c:pt>
                <c:pt idx="44">
                  <c:v>0.55865731475366442</c:v>
                </c:pt>
                <c:pt idx="45">
                  <c:v>0.64545290151758983</c:v>
                </c:pt>
                <c:pt idx="46">
                  <c:v>0.59765791153961467</c:v>
                </c:pt>
                <c:pt idx="47">
                  <c:v>0.53381791456267214</c:v>
                </c:pt>
                <c:pt idx="48">
                  <c:v>0.49802376560439537</c:v>
                </c:pt>
                <c:pt idx="49">
                  <c:v>0.51661004479920392</c:v>
                </c:pt>
                <c:pt idx="50">
                  <c:v>0.51141143235420061</c:v>
                </c:pt>
                <c:pt idx="51">
                  <c:v>0.52610917330733464</c:v>
                </c:pt>
                <c:pt idx="52">
                  <c:v>0.54825725730571206</c:v>
                </c:pt>
                <c:pt idx="53">
                  <c:v>0.67719507767577714</c:v>
                </c:pt>
                <c:pt idx="54">
                  <c:v>0.50785132949202838</c:v>
                </c:pt>
                <c:pt idx="55">
                  <c:v>0.63431886951196292</c:v>
                </c:pt>
                <c:pt idx="56">
                  <c:v>0.58284397268873589</c:v>
                </c:pt>
                <c:pt idx="57">
                  <c:v>0.62207337399926277</c:v>
                </c:pt>
                <c:pt idx="58">
                  <c:v>0.64259378346484575</c:v>
                </c:pt>
                <c:pt idx="59">
                  <c:v>0.61484598595082107</c:v>
                </c:pt>
                <c:pt idx="60">
                  <c:v>0.6700251670071351</c:v>
                </c:pt>
                <c:pt idx="61">
                  <c:v>0.67936950884835845</c:v>
                </c:pt>
                <c:pt idx="62">
                  <c:v>0.71776274743220547</c:v>
                </c:pt>
                <c:pt idx="63">
                  <c:v>0.71039878654782773</c:v>
                </c:pt>
                <c:pt idx="64">
                  <c:v>0.70761582607796825</c:v>
                </c:pt>
                <c:pt idx="65">
                  <c:v>0.7089302663107232</c:v>
                </c:pt>
                <c:pt idx="66">
                  <c:v>0.75686308617788522</c:v>
                </c:pt>
                <c:pt idx="67">
                  <c:v>0.79295259247278227</c:v>
                </c:pt>
                <c:pt idx="68">
                  <c:v>0.76630262331587196</c:v>
                </c:pt>
                <c:pt idx="69">
                  <c:v>0.77525613938221749</c:v>
                </c:pt>
                <c:pt idx="70">
                  <c:v>0.75878391177619575</c:v>
                </c:pt>
                <c:pt idx="71">
                  <c:v>0.78820293876918956</c:v>
                </c:pt>
                <c:pt idx="72">
                  <c:v>0.73725834946180591</c:v>
                </c:pt>
                <c:pt idx="73">
                  <c:v>0.78526659120774389</c:v>
                </c:pt>
                <c:pt idx="74">
                  <c:v>0.7339798906164835</c:v>
                </c:pt>
                <c:pt idx="75">
                  <c:v>0.77300455277135904</c:v>
                </c:pt>
                <c:pt idx="76">
                  <c:v>0.72051975014707892</c:v>
                </c:pt>
                <c:pt idx="77">
                  <c:v>0.72927785018136615</c:v>
                </c:pt>
                <c:pt idx="78">
                  <c:v>0.72692893919963308</c:v>
                </c:pt>
                <c:pt idx="79">
                  <c:v>0.66560190918131146</c:v>
                </c:pt>
                <c:pt idx="80">
                  <c:v>0.66939001089356454</c:v>
                </c:pt>
                <c:pt idx="81">
                  <c:v>0.71768643641311214</c:v>
                </c:pt>
                <c:pt idx="82">
                  <c:v>0.69865209808982753</c:v>
                </c:pt>
                <c:pt idx="83">
                  <c:v>0.61894514819599866</c:v>
                </c:pt>
                <c:pt idx="84">
                  <c:v>0.68337513429636554</c:v>
                </c:pt>
                <c:pt idx="85">
                  <c:v>0.66307314154550301</c:v>
                </c:pt>
                <c:pt idx="86">
                  <c:v>0.77631499688667527</c:v>
                </c:pt>
                <c:pt idx="87">
                  <c:v>0.77544988153247507</c:v>
                </c:pt>
                <c:pt idx="88">
                  <c:v>0.74226732821585761</c:v>
                </c:pt>
                <c:pt idx="89">
                  <c:v>0.8417481478822203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814144"/>
        <c:axId val="433102848"/>
      </c:lineChart>
      <c:dateAx>
        <c:axId val="389814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3102848"/>
        <c:crosses val="autoZero"/>
        <c:auto val="1"/>
        <c:lblOffset val="100"/>
        <c:baseTimeUnit val="months"/>
      </c:dateAx>
      <c:valAx>
        <c:axId val="433102848"/>
        <c:scaling>
          <c:orientation val="minMax"/>
          <c:max val="1"/>
          <c:min val="0.30000000000000004"/>
        </c:scaling>
        <c:delete val="0"/>
        <c:axPos val="l"/>
        <c:majorGridlines>
          <c:spPr>
            <a:ln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ash"/>
            </a:ln>
          </c:spPr>
        </c:majorGridlines>
        <c:numFmt formatCode="0%" sourceLinked="1"/>
        <c:majorTickMark val="out"/>
        <c:minorTickMark val="none"/>
        <c:tickLblPos val="nextTo"/>
        <c:crossAx val="389814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'Rate Differences'!$B$1</c:f>
              <c:strCache>
                <c:ptCount val="1"/>
                <c:pt idx="0">
                  <c:v>MtgRate</c:v>
                </c:pt>
              </c:strCache>
            </c:strRef>
          </c:tx>
          <c:marker>
            <c:symbol val="none"/>
          </c:marker>
          <c:cat>
            <c:numRef>
              <c:f>'Rate Differences'!$A$2:$A$88</c:f>
              <c:numCache>
                <c:formatCode>m/d/yyyy</c:formatCode>
                <c:ptCount val="87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40210</c:v>
                </c:pt>
                <c:pt idx="7">
                  <c:v>40238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'Rate Differences'!$B$2:$B$88</c:f>
              <c:numCache>
                <c:formatCode>0.000</c:formatCode>
                <c:ptCount val="87"/>
                <c:pt idx="0">
                  <c:v>5.9562499999999998</c:v>
                </c:pt>
                <c:pt idx="1">
                  <c:v>6.1050000000000004</c:v>
                </c:pt>
                <c:pt idx="2">
                  <c:v>6.0125000000000002</c:v>
                </c:pt>
                <c:pt idx="3">
                  <c:v>5.2159999999999904</c:v>
                </c:pt>
                <c:pt idx="4">
                  <c:v>4.9662499999999996</c:v>
                </c:pt>
                <c:pt idx="5">
                  <c:v>5.0612500000000002</c:v>
                </c:pt>
                <c:pt idx="6">
                  <c:v>4.9149999999999903</c:v>
                </c:pt>
                <c:pt idx="7">
                  <c:v>4.91</c:v>
                </c:pt>
                <c:pt idx="8">
                  <c:v>4.1749999999999998</c:v>
                </c:pt>
                <c:pt idx="9">
                  <c:v>4.2562499999999996</c:v>
                </c:pt>
                <c:pt idx="10">
                  <c:v>4.6489999999999903</c:v>
                </c:pt>
                <c:pt idx="11">
                  <c:v>4.6987500000000004</c:v>
                </c:pt>
                <c:pt idx="12">
                  <c:v>4.8775000000000004</c:v>
                </c:pt>
                <c:pt idx="13">
                  <c:v>4.7610000000000001</c:v>
                </c:pt>
                <c:pt idx="14">
                  <c:v>4.75875</c:v>
                </c:pt>
                <c:pt idx="15">
                  <c:v>4.5625</c:v>
                </c:pt>
                <c:pt idx="16">
                  <c:v>4.4349999999999996</c:v>
                </c:pt>
                <c:pt idx="17">
                  <c:v>4.4762499999999896</c:v>
                </c:pt>
                <c:pt idx="18">
                  <c:v>4.1900000000000004</c:v>
                </c:pt>
                <c:pt idx="19">
                  <c:v>4.0025000000000004</c:v>
                </c:pt>
                <c:pt idx="20">
                  <c:v>4.0175000000000001</c:v>
                </c:pt>
                <c:pt idx="21">
                  <c:v>3.919</c:v>
                </c:pt>
                <c:pt idx="22">
                  <c:v>3.8787500000000001</c:v>
                </c:pt>
                <c:pt idx="23">
                  <c:v>3.8525</c:v>
                </c:pt>
                <c:pt idx="24">
                  <c:v>3.8420000000000001</c:v>
                </c:pt>
                <c:pt idx="25">
                  <c:v>3.9112499999999999</c:v>
                </c:pt>
                <c:pt idx="26">
                  <c:v>3.8412500000000001</c:v>
                </c:pt>
                <c:pt idx="27">
                  <c:v>3.738</c:v>
                </c:pt>
                <c:pt idx="28">
                  <c:v>3.6</c:v>
                </c:pt>
                <c:pt idx="29">
                  <c:v>3.4812500000000002</c:v>
                </c:pt>
                <c:pt idx="30">
                  <c:v>3.512</c:v>
                </c:pt>
                <c:pt idx="31">
                  <c:v>3.4037500000000001</c:v>
                </c:pt>
                <c:pt idx="32">
                  <c:v>3.3039999999999998</c:v>
                </c:pt>
                <c:pt idx="33">
                  <c:v>3.2737500000000002</c:v>
                </c:pt>
                <c:pt idx="34">
                  <c:v>3.27</c:v>
                </c:pt>
                <c:pt idx="35">
                  <c:v>3.339</c:v>
                </c:pt>
                <c:pt idx="36">
                  <c:v>3.4824999999999999</c:v>
                </c:pt>
                <c:pt idx="37">
                  <c:v>3.50875</c:v>
                </c:pt>
                <c:pt idx="38">
                  <c:v>3.3887499999999999</c:v>
                </c:pt>
                <c:pt idx="39">
                  <c:v>3.4660000000000002</c:v>
                </c:pt>
                <c:pt idx="40">
                  <c:v>4.0075000000000003</c:v>
                </c:pt>
                <c:pt idx="41">
                  <c:v>4.3090000000000002</c:v>
                </c:pt>
                <c:pt idx="42">
                  <c:v>4.4037499999999996</c:v>
                </c:pt>
                <c:pt idx="43">
                  <c:v>4.4212499999999997</c:v>
                </c:pt>
                <c:pt idx="44">
                  <c:v>4.1219999999999999</c:v>
                </c:pt>
                <c:pt idx="45">
                  <c:v>4.1862499999999896</c:v>
                </c:pt>
                <c:pt idx="46">
                  <c:v>4.37</c:v>
                </c:pt>
                <c:pt idx="47">
                  <c:v>4.3620000000000001</c:v>
                </c:pt>
                <c:pt idx="48">
                  <c:v>4.2274999999999903</c:v>
                </c:pt>
                <c:pt idx="49">
                  <c:v>4.2487500000000002</c:v>
                </c:pt>
                <c:pt idx="50">
                  <c:v>4.2479999999999896</c:v>
                </c:pt>
                <c:pt idx="51">
                  <c:v>4.0674999999999999</c:v>
                </c:pt>
                <c:pt idx="52">
                  <c:v>4.05</c:v>
                </c:pt>
                <c:pt idx="53">
                  <c:v>4.03</c:v>
                </c:pt>
                <c:pt idx="54">
                  <c:v>4.00875</c:v>
                </c:pt>
                <c:pt idx="55">
                  <c:v>4.0374999999999996</c:v>
                </c:pt>
                <c:pt idx="56">
                  <c:v>3.9060000000000001</c:v>
                </c:pt>
                <c:pt idx="57">
                  <c:v>3.8725000000000001</c:v>
                </c:pt>
                <c:pt idx="58">
                  <c:v>3.754</c:v>
                </c:pt>
                <c:pt idx="59">
                  <c:v>3.5762499999999999</c:v>
                </c:pt>
                <c:pt idx="60">
                  <c:v>3.61625</c:v>
                </c:pt>
                <c:pt idx="61">
                  <c:v>3.67</c:v>
                </c:pt>
                <c:pt idx="62">
                  <c:v>3.577</c:v>
                </c:pt>
                <c:pt idx="63">
                  <c:v>3.7462499999999999</c:v>
                </c:pt>
                <c:pt idx="64">
                  <c:v>3.895</c:v>
                </c:pt>
                <c:pt idx="65">
                  <c:v>3.9460000000000002</c:v>
                </c:pt>
                <c:pt idx="66">
                  <c:v>3.8050000000000002</c:v>
                </c:pt>
                <c:pt idx="67">
                  <c:v>3.7869999999999999</c:v>
                </c:pt>
                <c:pt idx="68">
                  <c:v>3.6825000000000001</c:v>
                </c:pt>
                <c:pt idx="69">
                  <c:v>3.8487499999999999</c:v>
                </c:pt>
                <c:pt idx="70">
                  <c:v>3.8639999999999999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'Rate Differences'!$C$1</c:f>
              <c:strCache>
                <c:ptCount val="1"/>
                <c:pt idx="0">
                  <c:v>JumboRate</c:v>
                </c:pt>
              </c:strCache>
            </c:strRef>
          </c:tx>
          <c:marker>
            <c:symbol val="none"/>
          </c:marker>
          <c:cat>
            <c:numRef>
              <c:f>'Rate Differences'!$A$2:$A$88</c:f>
              <c:numCache>
                <c:formatCode>m/d/yyyy</c:formatCode>
                <c:ptCount val="87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40210</c:v>
                </c:pt>
                <c:pt idx="7">
                  <c:v>40238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'Rate Differences'!$C$2:$C$88</c:f>
              <c:numCache>
                <c:formatCode>General</c:formatCode>
                <c:ptCount val="87"/>
                <c:pt idx="0">
                  <c:v>6.0701556241898498</c:v>
                </c:pt>
                <c:pt idx="1">
                  <c:v>6.1743564958295796</c:v>
                </c:pt>
                <c:pt idx="2">
                  <c:v>6.0276198967576997</c:v>
                </c:pt>
                <c:pt idx="3">
                  <c:v>5.2012873773903197</c:v>
                </c:pt>
                <c:pt idx="4">
                  <c:v>4.9956328615200496</c:v>
                </c:pt>
                <c:pt idx="5">
                  <c:v>5.1343797053094704</c:v>
                </c:pt>
                <c:pt idx="6">
                  <c:v>4.9562004955520802</c:v>
                </c:pt>
                <c:pt idx="7">
                  <c:v>4.96152014487636</c:v>
                </c:pt>
                <c:pt idx="8">
                  <c:v>4.2005629410036098</c:v>
                </c:pt>
                <c:pt idx="9">
                  <c:v>4.2884528249242804</c:v>
                </c:pt>
                <c:pt idx="10">
                  <c:v>4.69174952015549</c:v>
                </c:pt>
                <c:pt idx="11">
                  <c:v>4.7419676111626403</c:v>
                </c:pt>
                <c:pt idx="12">
                  <c:v>4.9049883753929597</c:v>
                </c:pt>
                <c:pt idx="13">
                  <c:v>4.7625747614495504</c:v>
                </c:pt>
                <c:pt idx="14">
                  <c:v>4.7352885476024502</c:v>
                </c:pt>
                <c:pt idx="15">
                  <c:v>4.5187503422341004</c:v>
                </c:pt>
                <c:pt idx="16">
                  <c:v>4.3671109392398604</c:v>
                </c:pt>
                <c:pt idx="17">
                  <c:v>4.39981863181813</c:v>
                </c:pt>
                <c:pt idx="18">
                  <c:v>4.1169985573780803</c:v>
                </c:pt>
                <c:pt idx="19">
                  <c:v>3.93087711892086</c:v>
                </c:pt>
                <c:pt idx="20">
                  <c:v>3.9615919890013802</c:v>
                </c:pt>
                <c:pt idx="21">
                  <c:v>3.8848485719571899</c:v>
                </c:pt>
                <c:pt idx="22">
                  <c:v>3.8712191150512498</c:v>
                </c:pt>
                <c:pt idx="23">
                  <c:v>3.8684499925404401</c:v>
                </c:pt>
                <c:pt idx="24">
                  <c:v>3.87264266862246</c:v>
                </c:pt>
                <c:pt idx="25">
                  <c:v>3.9630497817230901</c:v>
                </c:pt>
                <c:pt idx="26">
                  <c:v>3.89498719377616</c:v>
                </c:pt>
                <c:pt idx="27">
                  <c:v>3.78012643392836</c:v>
                </c:pt>
                <c:pt idx="28">
                  <c:v>3.62376692879484</c:v>
                </c:pt>
                <c:pt idx="29">
                  <c:v>3.4926958388865699</c:v>
                </c:pt>
                <c:pt idx="30">
                  <c:v>3.5256671752050401</c:v>
                </c:pt>
                <c:pt idx="31">
                  <c:v>3.42175407432822</c:v>
                </c:pt>
                <c:pt idx="32">
                  <c:v>3.32453128560143</c:v>
                </c:pt>
                <c:pt idx="33">
                  <c:v>3.2946303041713998</c:v>
                </c:pt>
                <c:pt idx="34">
                  <c:v>3.2990100202592498</c:v>
                </c:pt>
                <c:pt idx="35">
                  <c:v>3.3743234714662198</c:v>
                </c:pt>
                <c:pt idx="36">
                  <c:v>3.5155598827533501</c:v>
                </c:pt>
                <c:pt idx="37">
                  <c:v>3.5372736993257701</c:v>
                </c:pt>
                <c:pt idx="38">
                  <c:v>3.42024688986286</c:v>
                </c:pt>
                <c:pt idx="39">
                  <c:v>3.5004916140910498</c:v>
                </c:pt>
                <c:pt idx="40">
                  <c:v>4.0356089504141801</c:v>
                </c:pt>
                <c:pt idx="41">
                  <c:v>4.3286208817887104</c:v>
                </c:pt>
                <c:pt idx="42">
                  <c:v>4.4210966635330502</c:v>
                </c:pt>
                <c:pt idx="43">
                  <c:v>4.4305903133144202</c:v>
                </c:pt>
                <c:pt idx="44">
                  <c:v>4.1258068140376096</c:v>
                </c:pt>
                <c:pt idx="45">
                  <c:v>4.1789123292416201</c:v>
                </c:pt>
                <c:pt idx="46">
                  <c:v>4.35803447860944</c:v>
                </c:pt>
                <c:pt idx="47">
                  <c:v>4.34988874469094</c:v>
                </c:pt>
                <c:pt idx="48">
                  <c:v>4.2103195355000098</c:v>
                </c:pt>
                <c:pt idx="49">
                  <c:v>4.2224833869413603</c:v>
                </c:pt>
                <c:pt idx="50">
                  <c:v>4.21265653102909</c:v>
                </c:pt>
                <c:pt idx="51">
                  <c:v>4.0322859109291098</c:v>
                </c:pt>
                <c:pt idx="52">
                  <c:v>4.0136950262723996</c:v>
                </c:pt>
                <c:pt idx="53">
                  <c:v>3.98727874406163</c:v>
                </c:pt>
                <c:pt idx="54">
                  <c:v>3.9591714118632302</c:v>
                </c:pt>
                <c:pt idx="55">
                  <c:v>3.9930767549636501</c:v>
                </c:pt>
                <c:pt idx="56">
                  <c:v>3.8633744151622098</c:v>
                </c:pt>
                <c:pt idx="57">
                  <c:v>3.8296698639792601</c:v>
                </c:pt>
                <c:pt idx="58">
                  <c:v>3.7075156358786798</c:v>
                </c:pt>
                <c:pt idx="59">
                  <c:v>3.5273912373690899</c:v>
                </c:pt>
                <c:pt idx="60">
                  <c:v>3.5676426154928298</c:v>
                </c:pt>
                <c:pt idx="61">
                  <c:v>3.6245627798622899</c:v>
                </c:pt>
                <c:pt idx="62">
                  <c:v>3.5366175135594098</c:v>
                </c:pt>
                <c:pt idx="63">
                  <c:v>3.7156837887303</c:v>
                </c:pt>
                <c:pt idx="64">
                  <c:v>3.8747657381329601</c:v>
                </c:pt>
                <c:pt idx="65">
                  <c:v>3.9348461821090202</c:v>
                </c:pt>
                <c:pt idx="66">
                  <c:v>3.8014654348039998</c:v>
                </c:pt>
                <c:pt idx="67">
                  <c:v>3.78289494464555</c:v>
                </c:pt>
                <c:pt idx="68">
                  <c:v>3.6683704409794902</c:v>
                </c:pt>
                <c:pt idx="69">
                  <c:v>3.8221859984552502</c:v>
                </c:pt>
                <c:pt idx="70">
                  <c:v>3.82267100221708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692096"/>
        <c:axId val="448996480"/>
      </c:lineChart>
      <c:dateAx>
        <c:axId val="440692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8996480"/>
        <c:crosses val="autoZero"/>
        <c:auto val="1"/>
        <c:lblOffset val="100"/>
        <c:baseTimeUnit val="months"/>
      </c:dateAx>
      <c:valAx>
        <c:axId val="448996480"/>
        <c:scaling>
          <c:orientation val="minMax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#,##0.00" sourceLinked="0"/>
        <c:majorTickMark val="out"/>
        <c:minorTickMark val="none"/>
        <c:tickLblPos val="nextTo"/>
        <c:crossAx val="4406920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'Rate Differences'!$D$1</c:f>
              <c:strCache>
                <c:ptCount val="1"/>
                <c:pt idx="0">
                  <c:v>MA_WAC_Spread</c:v>
                </c:pt>
              </c:strCache>
            </c:strRef>
          </c:tx>
          <c:marker>
            <c:symbol val="none"/>
          </c:marker>
          <c:cat>
            <c:numRef>
              <c:f>'Rate Differences'!$A$2:$A$88</c:f>
              <c:numCache>
                <c:formatCode>m/d/yyyy</c:formatCode>
                <c:ptCount val="87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40210</c:v>
                </c:pt>
                <c:pt idx="7">
                  <c:v>40238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'Rate Differences'!$D$2:$D$88</c:f>
              <c:numCache>
                <c:formatCode>0.000</c:formatCode>
                <c:ptCount val="87"/>
                <c:pt idx="0">
                  <c:v>0.113905624189857</c:v>
                </c:pt>
                <c:pt idx="1">
                  <c:v>6.9356495829580006E-2</c:v>
                </c:pt>
                <c:pt idx="2">
                  <c:v>1.5119896757704801E-2</c:v>
                </c:pt>
                <c:pt idx="3">
                  <c:v>-1.4712622609676001E-2</c:v>
                </c:pt>
                <c:pt idx="4">
                  <c:v>2.93828615200529E-2</c:v>
                </c:pt>
                <c:pt idx="5">
                  <c:v>7.3129705309477294E-2</c:v>
                </c:pt>
                <c:pt idx="6">
                  <c:v>4.1200495552083799E-2</c:v>
                </c:pt>
                <c:pt idx="7">
                  <c:v>5.1520144876367302E-2</c:v>
                </c:pt>
                <c:pt idx="8">
                  <c:v>2.55629410036122E-2</c:v>
                </c:pt>
                <c:pt idx="9">
                  <c:v>3.2202824924286597E-2</c:v>
                </c:pt>
                <c:pt idx="10">
                  <c:v>4.2749520155496101E-2</c:v>
                </c:pt>
                <c:pt idx="11">
                  <c:v>4.3217611162640397E-2</c:v>
                </c:pt>
                <c:pt idx="12">
                  <c:v>2.74883753929639E-2</c:v>
                </c:pt>
                <c:pt idx="13">
                  <c:v>1.5747614495583799E-3</c:v>
                </c:pt>
                <c:pt idx="14">
                  <c:v>-2.3461452397546299E-2</c:v>
                </c:pt>
                <c:pt idx="15">
                  <c:v>-4.3749657765895802E-2</c:v>
                </c:pt>
                <c:pt idx="16">
                  <c:v>-6.7889060760132694E-2</c:v>
                </c:pt>
                <c:pt idx="17">
                  <c:v>-7.6431368181867895E-2</c:v>
                </c:pt>
                <c:pt idx="18">
                  <c:v>-7.3001442621915796E-2</c:v>
                </c:pt>
                <c:pt idx="19">
                  <c:v>-7.1622881079136794E-2</c:v>
                </c:pt>
                <c:pt idx="20">
                  <c:v>-5.5908010998611903E-2</c:v>
                </c:pt>
                <c:pt idx="21">
                  <c:v>-3.4151428042800802E-2</c:v>
                </c:pt>
                <c:pt idx="22">
                  <c:v>-7.5308849487471501E-3</c:v>
                </c:pt>
                <c:pt idx="23">
                  <c:v>1.5949992540439401E-2</c:v>
                </c:pt>
                <c:pt idx="24">
                  <c:v>3.0642668622464501E-2</c:v>
                </c:pt>
                <c:pt idx="25">
                  <c:v>5.1799781723099098E-2</c:v>
                </c:pt>
                <c:pt idx="26">
                  <c:v>5.37371937761612E-2</c:v>
                </c:pt>
                <c:pt idx="27">
                  <c:v>4.2126433928359297E-2</c:v>
                </c:pt>
                <c:pt idx="28">
                  <c:v>2.3766928794845599E-2</c:v>
                </c:pt>
                <c:pt idx="29">
                  <c:v>1.14458388865703E-2</c:v>
                </c:pt>
                <c:pt idx="30">
                  <c:v>1.3667175205044801E-2</c:v>
                </c:pt>
                <c:pt idx="31">
                  <c:v>1.8004074328229199E-2</c:v>
                </c:pt>
                <c:pt idx="32">
                  <c:v>2.0531285601439499E-2</c:v>
                </c:pt>
                <c:pt idx="33">
                  <c:v>2.08803041714067E-2</c:v>
                </c:pt>
                <c:pt idx="34">
                  <c:v>2.9010020259250799E-2</c:v>
                </c:pt>
                <c:pt idx="35">
                  <c:v>3.5323471466228301E-2</c:v>
                </c:pt>
                <c:pt idx="36">
                  <c:v>3.3059882753356702E-2</c:v>
                </c:pt>
                <c:pt idx="37">
                  <c:v>2.8523699325777301E-2</c:v>
                </c:pt>
                <c:pt idx="38">
                  <c:v>3.1496889862868097E-2</c:v>
                </c:pt>
                <c:pt idx="39">
                  <c:v>3.4491614091056E-2</c:v>
                </c:pt>
                <c:pt idx="40">
                  <c:v>2.8108950414181901E-2</c:v>
                </c:pt>
                <c:pt idx="41">
                  <c:v>1.9620881788709101E-2</c:v>
                </c:pt>
                <c:pt idx="42">
                  <c:v>1.7346663533050401E-2</c:v>
                </c:pt>
                <c:pt idx="43">
                  <c:v>9.34031331442833E-3</c:v>
                </c:pt>
                <c:pt idx="44">
                  <c:v>3.8068140376138499E-3</c:v>
                </c:pt>
                <c:pt idx="45">
                  <c:v>-7.3376707583757304E-3</c:v>
                </c:pt>
                <c:pt idx="46">
                  <c:v>-1.1965521390558599E-2</c:v>
                </c:pt>
                <c:pt idx="47">
                  <c:v>-1.2111255309052099E-2</c:v>
                </c:pt>
                <c:pt idx="48">
                  <c:v>-1.7180464499981701E-2</c:v>
                </c:pt>
                <c:pt idx="49">
                  <c:v>-2.62666130586365E-2</c:v>
                </c:pt>
                <c:pt idx="50">
                  <c:v>-3.53434689709025E-2</c:v>
                </c:pt>
                <c:pt idx="51">
                  <c:v>-3.52140890708834E-2</c:v>
                </c:pt>
                <c:pt idx="52">
                  <c:v>-3.6304973727599103E-2</c:v>
                </c:pt>
                <c:pt idx="53">
                  <c:v>-4.2721255938367599E-2</c:v>
                </c:pt>
                <c:pt idx="54">
                  <c:v>-4.9578588136765203E-2</c:v>
                </c:pt>
                <c:pt idx="55">
                  <c:v>-4.4423245036342901E-2</c:v>
                </c:pt>
                <c:pt idx="56">
                  <c:v>-4.2625584837784697E-2</c:v>
                </c:pt>
                <c:pt idx="57">
                  <c:v>-4.2830136020732899E-2</c:v>
                </c:pt>
                <c:pt idx="58">
                  <c:v>-4.6484364121316998E-2</c:v>
                </c:pt>
                <c:pt idx="59">
                  <c:v>-4.8858762630903399E-2</c:v>
                </c:pt>
                <c:pt idx="60">
                  <c:v>-4.8607384507161303E-2</c:v>
                </c:pt>
                <c:pt idx="61">
                  <c:v>-4.54372201377026E-2</c:v>
                </c:pt>
                <c:pt idx="62">
                  <c:v>-4.0382486440589102E-2</c:v>
                </c:pt>
                <c:pt idx="63">
                  <c:v>-3.0566211269692199E-2</c:v>
                </c:pt>
                <c:pt idx="64">
                  <c:v>-2.02342618670396E-2</c:v>
                </c:pt>
                <c:pt idx="65">
                  <c:v>-1.11538178909721E-2</c:v>
                </c:pt>
                <c:pt idx="66">
                  <c:v>-3.5345651959935299E-3</c:v>
                </c:pt>
                <c:pt idx="67">
                  <c:v>-4.1050553544473203E-3</c:v>
                </c:pt>
                <c:pt idx="68">
                  <c:v>-1.41295590205007E-2</c:v>
                </c:pt>
                <c:pt idx="69">
                  <c:v>-2.65640015447497E-2</c:v>
                </c:pt>
                <c:pt idx="70">
                  <c:v>-4.1328997782915697E-2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'Rate Differences'!$E$1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'Rate Differences'!$A$2:$A$88</c:f>
              <c:numCache>
                <c:formatCode>m/d/yyyy</c:formatCode>
                <c:ptCount val="87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40210</c:v>
                </c:pt>
                <c:pt idx="7">
                  <c:v>40238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'Rate Differences'!$E$2:$E$88</c:f>
              <c:numCache>
                <c:formatCode>General</c:formatCode>
                <c:ptCount val="87"/>
                <c:pt idx="0">
                  <c:v>0.11390562418985715</c:v>
                </c:pt>
                <c:pt idx="1">
                  <c:v>6.9356495829580048E-2</c:v>
                </c:pt>
                <c:pt idx="2">
                  <c:v>1.5119896757704856E-2</c:v>
                </c:pt>
                <c:pt idx="3">
                  <c:v>-1.4712622609676077E-2</c:v>
                </c:pt>
                <c:pt idx="4">
                  <c:v>2.9382861520052858E-2</c:v>
                </c:pt>
                <c:pt idx="5">
                  <c:v>7.3129705309477128E-2</c:v>
                </c:pt>
                <c:pt idx="6">
                  <c:v>9.9277941760562968E-2</c:v>
                </c:pt>
                <c:pt idx="7">
                  <c:v>0.16462157392325005</c:v>
                </c:pt>
                <c:pt idx="8">
                  <c:v>0.18756755287463009</c:v>
                </c:pt>
                <c:pt idx="9">
                  <c:v>0.18795972329920396</c:v>
                </c:pt>
                <c:pt idx="10">
                  <c:v>0.15595782285560281</c:v>
                </c:pt>
                <c:pt idx="11">
                  <c:v>0.12924272008363613</c:v>
                </c:pt>
                <c:pt idx="12">
                  <c:v>0.11333346095093237</c:v>
                </c:pt>
                <c:pt idx="13">
                  <c:v>6.4121135814383709E-2</c:v>
                </c:pt>
                <c:pt idx="14">
                  <c:v>4.1200495552083834E-2</c:v>
                </c:pt>
                <c:pt idx="15">
                  <c:v>5.1520144876367364E-2</c:v>
                </c:pt>
                <c:pt idx="16">
                  <c:v>4.8023845971587799E-2</c:v>
                </c:pt>
                <c:pt idx="17">
                  <c:v>3.3353369944277046E-2</c:v>
                </c:pt>
                <c:pt idx="18">
                  <c:v>1.9278187927306852E-2</c:v>
                </c:pt>
                <c:pt idx="19">
                  <c:v>1.1355765722416681E-2</c:v>
                </c:pt>
                <c:pt idx="20">
                  <c:v>1.987802263549136E-2</c:v>
                </c:pt>
                <c:pt idx="21">
                  <c:v>2.5562941003612265E-2</c:v>
                </c:pt>
                <c:pt idx="22">
                  <c:v>3.2202824924286659E-2</c:v>
                </c:pt>
                <c:pt idx="23">
                  <c:v>4.2749520155496122E-2</c:v>
                </c:pt>
                <c:pt idx="24">
                  <c:v>4.3217611162640425E-2</c:v>
                </c:pt>
                <c:pt idx="25">
                  <c:v>2.7488375392963966E-2</c:v>
                </c:pt>
                <c:pt idx="26">
                  <c:v>1.5747614495583821E-3</c:v>
                </c:pt>
                <c:pt idx="27">
                  <c:v>-2.3461452397546389E-2</c:v>
                </c:pt>
                <c:pt idx="28">
                  <c:v>-4.3749657765895837E-2</c:v>
                </c:pt>
                <c:pt idx="29">
                  <c:v>-6.7889060760132666E-2</c:v>
                </c:pt>
                <c:pt idx="30">
                  <c:v>-7.6431368181867868E-2</c:v>
                </c:pt>
                <c:pt idx="31">
                  <c:v>-7.3001442621915755E-2</c:v>
                </c:pt>
                <c:pt idx="32">
                  <c:v>-7.1622881079136794E-2</c:v>
                </c:pt>
                <c:pt idx="33">
                  <c:v>-5.5908010998611944E-2</c:v>
                </c:pt>
                <c:pt idx="34">
                  <c:v>-3.4151428042800865E-2</c:v>
                </c:pt>
                <c:pt idx="35">
                  <c:v>-7.5308849487471406E-3</c:v>
                </c:pt>
                <c:pt idx="36">
                  <c:v>1.5949992540439408E-2</c:v>
                </c:pt>
                <c:pt idx="37">
                  <c:v>3.0642668622464578E-2</c:v>
                </c:pt>
                <c:pt idx="38">
                  <c:v>5.179978172309907E-2</c:v>
                </c:pt>
                <c:pt idx="39">
                  <c:v>5.3737193776161207E-2</c:v>
                </c:pt>
                <c:pt idx="40">
                  <c:v>4.2126433928359304E-2</c:v>
                </c:pt>
                <c:pt idx="41">
                  <c:v>2.3766928794845665E-2</c:v>
                </c:pt>
                <c:pt idx="42">
                  <c:v>1.1445838886570315E-2</c:v>
                </c:pt>
                <c:pt idx="43">
                  <c:v>1.3667175205044865E-2</c:v>
                </c:pt>
                <c:pt idx="44">
                  <c:v>1.8004074328229164E-2</c:v>
                </c:pt>
                <c:pt idx="45">
                  <c:v>2.0531285601439481E-2</c:v>
                </c:pt>
                <c:pt idx="46">
                  <c:v>2.0880304171406763E-2</c:v>
                </c:pt>
                <c:pt idx="47">
                  <c:v>2.9010020259250775E-2</c:v>
                </c:pt>
                <c:pt idx="48">
                  <c:v>3.5323471466228273E-2</c:v>
                </c:pt>
                <c:pt idx="49">
                  <c:v>3.3059882753356674E-2</c:v>
                </c:pt>
                <c:pt idx="50">
                  <c:v>2.8523699325777269E-2</c:v>
                </c:pt>
                <c:pt idx="51">
                  <c:v>3.1496889862868062E-2</c:v>
                </c:pt>
                <c:pt idx="52">
                  <c:v>3.4491614091056021E-2</c:v>
                </c:pt>
                <c:pt idx="53">
                  <c:v>2.8108950414181866E-2</c:v>
                </c:pt>
                <c:pt idx="54">
                  <c:v>1.9620881788709108E-2</c:v>
                </c:pt>
                <c:pt idx="55">
                  <c:v>1.734666353305039E-2</c:v>
                </c:pt>
                <c:pt idx="56">
                  <c:v>9.340313314428323E-3</c:v>
                </c:pt>
                <c:pt idx="57">
                  <c:v>3.8068140376138564E-3</c:v>
                </c:pt>
                <c:pt idx="58">
                  <c:v>-7.3376707583757105E-3</c:v>
                </c:pt>
                <c:pt idx="59">
                  <c:v>-1.1965521390558643E-2</c:v>
                </c:pt>
                <c:pt idx="60">
                  <c:v>-1.2111255309052152E-2</c:v>
                </c:pt>
                <c:pt idx="61">
                  <c:v>-1.7180464499981719E-2</c:v>
                </c:pt>
                <c:pt idx="62">
                  <c:v>-2.6266613058636489E-2</c:v>
                </c:pt>
                <c:pt idx="63">
                  <c:v>-3.5343468970902486E-2</c:v>
                </c:pt>
                <c:pt idx="64">
                  <c:v>-3.5214089070883386E-2</c:v>
                </c:pt>
                <c:pt idx="65">
                  <c:v>-3.6304973727599055E-2</c:v>
                </c:pt>
                <c:pt idx="66">
                  <c:v>-4.272125593836764E-2</c:v>
                </c:pt>
                <c:pt idx="67">
                  <c:v>-4.9578588136765238E-2</c:v>
                </c:pt>
                <c:pt idx="68">
                  <c:v>-4.442324503634288E-2</c:v>
                </c:pt>
                <c:pt idx="69">
                  <c:v>-4.2625584837784676E-2</c:v>
                </c:pt>
                <c:pt idx="70">
                  <c:v>-4.2830136020732927E-2</c:v>
                </c:pt>
                <c:pt idx="71">
                  <c:v>-4.6484364121317068E-2</c:v>
                </c:pt>
                <c:pt idx="72">
                  <c:v>-4.8858762630903364E-2</c:v>
                </c:pt>
                <c:pt idx="73">
                  <c:v>-4.8607384507161337E-2</c:v>
                </c:pt>
                <c:pt idx="74">
                  <c:v>-4.5437220137702634E-2</c:v>
                </c:pt>
                <c:pt idx="75">
                  <c:v>-4.0382486440589081E-2</c:v>
                </c:pt>
                <c:pt idx="76">
                  <c:v>-3.0566211269692247E-2</c:v>
                </c:pt>
                <c:pt idx="77">
                  <c:v>-2.0234261867039628E-2</c:v>
                </c:pt>
                <c:pt idx="78">
                  <c:v>-1.1153817890972167E-2</c:v>
                </c:pt>
                <c:pt idx="79">
                  <c:v>-3.534565195993523E-3</c:v>
                </c:pt>
                <c:pt idx="80">
                  <c:v>-4.1050553544473073E-3</c:v>
                </c:pt>
                <c:pt idx="81">
                  <c:v>-1.4129559020500731E-2</c:v>
                </c:pt>
                <c:pt idx="82">
                  <c:v>-2.6564001544749732E-2</c:v>
                </c:pt>
                <c:pt idx="83">
                  <c:v>-4.1328997782915579E-2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840448"/>
        <c:axId val="644846336"/>
      </c:lineChart>
      <c:dateAx>
        <c:axId val="644840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44846336"/>
        <c:crosses val="autoZero"/>
        <c:auto val="1"/>
        <c:lblOffset val="100"/>
        <c:baseTimeUnit val="months"/>
      </c:dateAx>
      <c:valAx>
        <c:axId val="64484633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6448404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'Rate Differences'!$Q$1</c:f>
              <c:strCache>
                <c:ptCount val="1"/>
                <c:pt idx="0">
                  <c:v>cov_WAC</c:v>
                </c:pt>
              </c:strCache>
            </c:strRef>
          </c:tx>
          <c:marker>
            <c:symbol val="none"/>
          </c:marker>
          <c:cat>
            <c:numRef>
              <c:f>'Rate Differences'!$P$9:$P$92</c:f>
              <c:numCache>
                <c:formatCode>m/d/yyyy</c:formatCode>
                <c:ptCount val="84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39904</c:v>
                </c:pt>
                <c:pt idx="7">
                  <c:v>39934</c:v>
                </c:pt>
                <c:pt idx="8">
                  <c:v>39995</c:v>
                </c:pt>
                <c:pt idx="9">
                  <c:v>40057</c:v>
                </c:pt>
                <c:pt idx="10">
                  <c:v>40087</c:v>
                </c:pt>
                <c:pt idx="11">
                  <c:v>40118</c:v>
                </c:pt>
                <c:pt idx="12">
                  <c:v>40148</c:v>
                </c:pt>
                <c:pt idx="13">
                  <c:v>40179</c:v>
                </c:pt>
                <c:pt idx="14">
                  <c:v>40210</c:v>
                </c:pt>
                <c:pt idx="15">
                  <c:v>40238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</c:numCache>
            </c:numRef>
          </c:cat>
          <c:val>
            <c:numRef>
              <c:f>'Rate Differences'!$Q$9:$Q$92</c:f>
              <c:numCache>
                <c:formatCode>0.000</c:formatCode>
                <c:ptCount val="84"/>
                <c:pt idx="0">
                  <c:v>6.5490096781125997</c:v>
                </c:pt>
                <c:pt idx="1">
                  <c:v>6.2767550847350098</c:v>
                </c:pt>
                <c:pt idx="2">
                  <c:v>6.0843538241089599</c:v>
                </c:pt>
                <c:pt idx="3">
                  <c:v>6.2010146059014399</c:v>
                </c:pt>
                <c:pt idx="4">
                  <c:v>5.4941045666696304</c:v>
                </c:pt>
                <c:pt idx="5">
                  <c:v>4.9851842740583603</c:v>
                </c:pt>
                <c:pt idx="6">
                  <c:v>4.9349450542595203</c:v>
                </c:pt>
                <c:pt idx="7">
                  <c:v>4.8527841317032001</c:v>
                </c:pt>
                <c:pt idx="8">
                  <c:v>4.9107224837791001</c:v>
                </c:pt>
                <c:pt idx="9">
                  <c:v>5.2008485285435002</c:v>
                </c:pt>
                <c:pt idx="10">
                  <c:v>5.20666140443097</c:v>
                </c:pt>
                <c:pt idx="11">
                  <c:v>5.1040732087801297</c:v>
                </c:pt>
                <c:pt idx="12">
                  <c:v>5.0785057267615601</c:v>
                </c:pt>
                <c:pt idx="13">
                  <c:v>5.03520168394558</c:v>
                </c:pt>
                <c:pt idx="14">
                  <c:v>5.0797235582395697</c:v>
                </c:pt>
                <c:pt idx="15">
                  <c:v>5.1449206086791897</c:v>
                </c:pt>
                <c:pt idx="16">
                  <c:v>5.16162244105253</c:v>
                </c:pt>
                <c:pt idx="17">
                  <c:v>5.18193026331718</c:v>
                </c:pt>
                <c:pt idx="18">
                  <c:v>5.0356139676405398</c:v>
                </c:pt>
                <c:pt idx="19">
                  <c:v>4.8717388386204297</c:v>
                </c:pt>
                <c:pt idx="20">
                  <c:v>4.7084595420125499</c:v>
                </c:pt>
                <c:pt idx="21">
                  <c:v>4.5849374666031899</c:v>
                </c:pt>
                <c:pt idx="22">
                  <c:v>4.5146059346933898</c:v>
                </c:pt>
                <c:pt idx="23">
                  <c:v>4.4360544202188699</c:v>
                </c:pt>
                <c:pt idx="24">
                  <c:v>4.5145333943469703</c:v>
                </c:pt>
                <c:pt idx="25">
                  <c:v>4.7437274210884901</c:v>
                </c:pt>
                <c:pt idx="26">
                  <c:v>4.9099129368095698</c:v>
                </c:pt>
                <c:pt idx="27">
                  <c:v>5.0581254328550598</c:v>
                </c:pt>
                <c:pt idx="28">
                  <c:v>5.0707047706003303</c:v>
                </c:pt>
                <c:pt idx="29">
                  <c:v>5.0282686971469799</c:v>
                </c:pt>
                <c:pt idx="30">
                  <c:v>4.8561517796547102</c:v>
                </c:pt>
                <c:pt idx="31">
                  <c:v>4.7805422367337602</c:v>
                </c:pt>
                <c:pt idx="32">
                  <c:v>4.6741572068506896</c:v>
                </c:pt>
                <c:pt idx="33">
                  <c:v>4.4204600731891901</c:v>
                </c:pt>
                <c:pt idx="34">
                  <c:v>4.28105375257711</c:v>
                </c:pt>
                <c:pt idx="35">
                  <c:v>4.2449824706395098</c:v>
                </c:pt>
                <c:pt idx="36">
                  <c:v>4.2328555439995901</c:v>
                </c:pt>
                <c:pt idx="37">
                  <c:v>4.1717587416729902</c:v>
                </c:pt>
                <c:pt idx="38">
                  <c:v>4.1085066318223804</c:v>
                </c:pt>
                <c:pt idx="39">
                  <c:v>4.0984376826363196</c:v>
                </c:pt>
                <c:pt idx="40">
                  <c:v>4.1538613990018103</c:v>
                </c:pt>
                <c:pt idx="41">
                  <c:v>4.1184812648829601</c:v>
                </c:pt>
                <c:pt idx="42">
                  <c:v>3.9947052840373001</c:v>
                </c:pt>
                <c:pt idx="43">
                  <c:v>3.8890006468645701</c:v>
                </c:pt>
                <c:pt idx="44">
                  <c:v>3.79105006966304</c:v>
                </c:pt>
                <c:pt idx="45">
                  <c:v>3.7716070830820398</c:v>
                </c:pt>
                <c:pt idx="46">
                  <c:v>3.69531358228816</c:v>
                </c:pt>
                <c:pt idx="47">
                  <c:v>3.6259246818445998</c:v>
                </c:pt>
                <c:pt idx="48">
                  <c:v>3.6071261641563699</c:v>
                </c:pt>
                <c:pt idx="49">
                  <c:v>3.61990716427426</c:v>
                </c:pt>
                <c:pt idx="50">
                  <c:v>3.6950426024999001</c:v>
                </c:pt>
                <c:pt idx="51">
                  <c:v>3.7846433714665402</c:v>
                </c:pt>
                <c:pt idx="52">
                  <c:v>3.8183808931639698</c:v>
                </c:pt>
                <c:pt idx="53">
                  <c:v>3.7516011945633401</c:v>
                </c:pt>
                <c:pt idx="54">
                  <c:v>3.8634281106647199</c:v>
                </c:pt>
                <c:pt idx="55">
                  <c:v>4.2312321278867202</c:v>
                </c:pt>
                <c:pt idx="56">
                  <c:v>4.5444803765281296</c:v>
                </c:pt>
                <c:pt idx="57">
                  <c:v>4.6970968463227596</c:v>
                </c:pt>
                <c:pt idx="58">
                  <c:v>4.6582283109218201</c:v>
                </c:pt>
                <c:pt idx="59">
                  <c:v>4.5264742830929299</c:v>
                </c:pt>
                <c:pt idx="60">
                  <c:v>4.5690117850196801</c:v>
                </c:pt>
                <c:pt idx="61">
                  <c:v>4.7092044061097802</c:v>
                </c:pt>
                <c:pt idx="62">
                  <c:v>4.6750999377738003</c:v>
                </c:pt>
                <c:pt idx="63">
                  <c:v>4.6178909577581004</c:v>
                </c:pt>
                <c:pt idx="64">
                  <c:v>4.6366121089402696</c:v>
                </c:pt>
                <c:pt idx="65">
                  <c:v>4.5845787891758301</c:v>
                </c:pt>
                <c:pt idx="66">
                  <c:v>4.4652647588713199</c:v>
                </c:pt>
                <c:pt idx="67">
                  <c:v>4.4335058706054298</c:v>
                </c:pt>
                <c:pt idx="68">
                  <c:v>4.43083705740922</c:v>
                </c:pt>
                <c:pt idx="69">
                  <c:v>4.4255704003366603</c:v>
                </c:pt>
                <c:pt idx="70">
                  <c:v>4.4160870169099402</c:v>
                </c:pt>
                <c:pt idx="71">
                  <c:v>4.2987060695633703</c:v>
                </c:pt>
                <c:pt idx="72">
                  <c:v>4.2651183153229804</c:v>
                </c:pt>
                <c:pt idx="73">
                  <c:v>4.1488948725699704</c:v>
                </c:pt>
                <c:pt idx="74">
                  <c:v>3.9674795773785299</c:v>
                </c:pt>
                <c:pt idx="75">
                  <c:v>3.9970208450192</c:v>
                </c:pt>
                <c:pt idx="76">
                  <c:v>4.0390502253857701</c:v>
                </c:pt>
                <c:pt idx="77">
                  <c:v>4.0110583302025598</c:v>
                </c:pt>
                <c:pt idx="78">
                  <c:v>4.1229709108355097</c:v>
                </c:pt>
                <c:pt idx="79">
                  <c:v>4.2749969186172896</c:v>
                </c:pt>
                <c:pt idx="80">
                  <c:v>4.3000665311189499</c:v>
                </c:pt>
                <c:pt idx="81">
                  <c:v>4.2397877007292504</c:v>
                </c:pt>
                <c:pt idx="82">
                  <c:v>4.19427410493127</c:v>
                </c:pt>
                <c:pt idx="83">
                  <c:v>4.15119589335771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'Rate Differences'!$R$1</c:f>
              <c:strCache>
                <c:ptCount val="1"/>
                <c:pt idx="0">
                  <c:v>jum_WAC</c:v>
                </c:pt>
              </c:strCache>
            </c:strRef>
          </c:tx>
          <c:marker>
            <c:symbol val="none"/>
          </c:marker>
          <c:cat>
            <c:numRef>
              <c:f>'Rate Differences'!$P$9:$P$92</c:f>
              <c:numCache>
                <c:formatCode>m/d/yyyy</c:formatCode>
                <c:ptCount val="84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39904</c:v>
                </c:pt>
                <c:pt idx="7">
                  <c:v>39934</c:v>
                </c:pt>
                <c:pt idx="8">
                  <c:v>39995</c:v>
                </c:pt>
                <c:pt idx="9">
                  <c:v>40057</c:v>
                </c:pt>
                <c:pt idx="10">
                  <c:v>40087</c:v>
                </c:pt>
                <c:pt idx="11">
                  <c:v>40118</c:v>
                </c:pt>
                <c:pt idx="12">
                  <c:v>40148</c:v>
                </c:pt>
                <c:pt idx="13">
                  <c:v>40179</c:v>
                </c:pt>
                <c:pt idx="14">
                  <c:v>40210</c:v>
                </c:pt>
                <c:pt idx="15">
                  <c:v>40238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</c:numCache>
            </c:numRef>
          </c:cat>
          <c:val>
            <c:numRef>
              <c:f>'Rate Differences'!$R$9:$R$92</c:f>
              <c:numCache>
                <c:formatCode>0.000</c:formatCode>
                <c:ptCount val="84"/>
                <c:pt idx="0">
                  <c:v>6.5595698707767198</c:v>
                </c:pt>
                <c:pt idx="1">
                  <c:v>6.2497606202947997</c:v>
                </c:pt>
                <c:pt idx="2">
                  <c:v>6.0919313367807799</c:v>
                </c:pt>
                <c:pt idx="3">
                  <c:v>6.1653243088523402</c:v>
                </c:pt>
                <c:pt idx="4">
                  <c:v>5.7248146894533001</c:v>
                </c:pt>
                <c:pt idx="5">
                  <c:v>5.2377994392849301</c:v>
                </c:pt>
                <c:pt idx="6">
                  <c:v>5.1023946656301504</c:v>
                </c:pt>
                <c:pt idx="7">
                  <c:v>5.2178514602391104</c:v>
                </c:pt>
                <c:pt idx="8">
                  <c:v>5.0559758701591901</c:v>
                </c:pt>
                <c:pt idx="9">
                  <c:v>5.16751125404185</c:v>
                </c:pt>
                <c:pt idx="10">
                  <c:v>5.2453601245530299</c:v>
                </c:pt>
                <c:pt idx="11">
                  <c:v>5.1963977573748998</c:v>
                </c:pt>
                <c:pt idx="12">
                  <c:v>5.1504997833359596</c:v>
                </c:pt>
                <c:pt idx="13">
                  <c:v>5.1049950616622004</c:v>
                </c:pt>
                <c:pt idx="14">
                  <c:v>5.0874531030458696</c:v>
                </c:pt>
                <c:pt idx="15">
                  <c:v>5.1735012301232404</c:v>
                </c:pt>
                <c:pt idx="16">
                  <c:v>5.1793433677459202</c:v>
                </c:pt>
                <c:pt idx="17">
                  <c:v>5.18623195574808</c:v>
                </c:pt>
                <c:pt idx="18">
                  <c:v>5.0231569321131202</c:v>
                </c:pt>
                <c:pt idx="19">
                  <c:v>4.8939976831076999</c:v>
                </c:pt>
                <c:pt idx="20">
                  <c:v>4.7673226282972898</c:v>
                </c:pt>
                <c:pt idx="21">
                  <c:v>4.6476275982559603</c:v>
                </c:pt>
                <c:pt idx="22">
                  <c:v>4.5721661649108301</c:v>
                </c:pt>
                <c:pt idx="23">
                  <c:v>4.5036362840370199</c:v>
                </c:pt>
                <c:pt idx="24">
                  <c:v>4.5048849048624096</c:v>
                </c:pt>
                <c:pt idx="25">
                  <c:v>4.6716108509577099</c:v>
                </c:pt>
                <c:pt idx="26">
                  <c:v>4.8132943394338898</c:v>
                </c:pt>
                <c:pt idx="27">
                  <c:v>4.9705982814252003</c:v>
                </c:pt>
                <c:pt idx="28">
                  <c:v>5.0065357686076704</c:v>
                </c:pt>
                <c:pt idx="29">
                  <c:v>4.9510141429997203</c:v>
                </c:pt>
                <c:pt idx="30">
                  <c:v>4.7952494456397403</c:v>
                </c:pt>
                <c:pt idx="31">
                  <c:v>4.7290052199626897</c:v>
                </c:pt>
                <c:pt idx="32">
                  <c:v>4.5858099787316799</c:v>
                </c:pt>
                <c:pt idx="33">
                  <c:v>4.4272221422424902</c:v>
                </c:pt>
                <c:pt idx="34">
                  <c:v>4.34742424831932</c:v>
                </c:pt>
                <c:pt idx="35">
                  <c:v>4.3274511750565701</c:v>
                </c:pt>
                <c:pt idx="36">
                  <c:v>4.3128384749197402</c:v>
                </c:pt>
                <c:pt idx="37">
                  <c:v>4.2083777813940699</c:v>
                </c:pt>
                <c:pt idx="38">
                  <c:v>4.1471020823071703</c:v>
                </c:pt>
                <c:pt idx="39">
                  <c:v>4.1168242240079902</c:v>
                </c:pt>
                <c:pt idx="40">
                  <c:v>4.1505673356572101</c:v>
                </c:pt>
                <c:pt idx="41">
                  <c:v>4.0907929384989403</c:v>
                </c:pt>
                <c:pt idx="42">
                  <c:v>4.0007616755077997</c:v>
                </c:pt>
                <c:pt idx="43">
                  <c:v>3.9389477044965</c:v>
                </c:pt>
                <c:pt idx="44">
                  <c:v>3.8556669148869398</c:v>
                </c:pt>
                <c:pt idx="45">
                  <c:v>3.8051568920929801</c:v>
                </c:pt>
                <c:pt idx="46">
                  <c:v>3.6941136303633599</c:v>
                </c:pt>
                <c:pt idx="47">
                  <c:v>3.6470146519876399</c:v>
                </c:pt>
                <c:pt idx="48">
                  <c:v>3.6510632628687398</c:v>
                </c:pt>
                <c:pt idx="49">
                  <c:v>3.6562726896289601</c:v>
                </c:pt>
                <c:pt idx="50">
                  <c:v>3.7324423471583299</c:v>
                </c:pt>
                <c:pt idx="51">
                  <c:v>3.8360323237000098</c:v>
                </c:pt>
                <c:pt idx="52">
                  <c:v>3.8351492866082899</c:v>
                </c:pt>
                <c:pt idx="53">
                  <c:v>3.73439518264514</c:v>
                </c:pt>
                <c:pt idx="54">
                  <c:v>3.8564367976242502</c:v>
                </c:pt>
                <c:pt idx="55">
                  <c:v>4.2539523437074598</c:v>
                </c:pt>
                <c:pt idx="56">
                  <c:v>4.5338420198748199</c:v>
                </c:pt>
                <c:pt idx="57">
                  <c:v>4.71528480289534</c:v>
                </c:pt>
                <c:pt idx="58">
                  <c:v>4.6081297955902096</c:v>
                </c:pt>
                <c:pt idx="59">
                  <c:v>4.4815011673816301</c:v>
                </c:pt>
                <c:pt idx="60">
                  <c:v>4.5611460684682497</c:v>
                </c:pt>
                <c:pt idx="61">
                  <c:v>4.7015093667849497</c:v>
                </c:pt>
                <c:pt idx="62">
                  <c:v>4.6099446897685601</c:v>
                </c:pt>
                <c:pt idx="63">
                  <c:v>4.5816177788571002</c:v>
                </c:pt>
                <c:pt idx="64">
                  <c:v>4.5872898730087703</c:v>
                </c:pt>
                <c:pt idx="65">
                  <c:v>4.5330603655242401</c:v>
                </c:pt>
                <c:pt idx="66">
                  <c:v>4.4189013490552904</c:v>
                </c:pt>
                <c:pt idx="67">
                  <c:v>4.3846668380902196</c:v>
                </c:pt>
                <c:pt idx="68">
                  <c:v>4.3966138680065203</c:v>
                </c:pt>
                <c:pt idx="69">
                  <c:v>4.4000831826270099</c:v>
                </c:pt>
                <c:pt idx="70">
                  <c:v>4.3655374738807504</c:v>
                </c:pt>
                <c:pt idx="71">
                  <c:v>4.2252622773082704</c:v>
                </c:pt>
                <c:pt idx="72">
                  <c:v>4.2045085144494196</c:v>
                </c:pt>
                <c:pt idx="73">
                  <c:v>4.1015641087972101</c:v>
                </c:pt>
                <c:pt idx="74">
                  <c:v>3.9522773741925801</c:v>
                </c:pt>
                <c:pt idx="75">
                  <c:v>4.00186202949223</c:v>
                </c:pt>
                <c:pt idx="76">
                  <c:v>4.0473983333819596</c:v>
                </c:pt>
                <c:pt idx="77">
                  <c:v>3.99960623436337</c:v>
                </c:pt>
                <c:pt idx="78">
                  <c:v>4.1168437738183599</c:v>
                </c:pt>
                <c:pt idx="79">
                  <c:v>4.2733816710143904</c:v>
                </c:pt>
                <c:pt idx="80">
                  <c:v>4.2814413869822703</c:v>
                </c:pt>
                <c:pt idx="81">
                  <c:v>4.1844818632059599</c:v>
                </c:pt>
                <c:pt idx="82">
                  <c:v>4.1280155577819704</c:v>
                </c:pt>
                <c:pt idx="83">
                  <c:v>4.0511538200895298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951872"/>
        <c:axId val="667953408"/>
      </c:lineChart>
      <c:dateAx>
        <c:axId val="667951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67953408"/>
        <c:crosses val="autoZero"/>
        <c:auto val="1"/>
        <c:lblOffset val="100"/>
        <c:baseTimeUnit val="months"/>
      </c:dateAx>
      <c:valAx>
        <c:axId val="66795340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66795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'Rate Differences'!$S$1</c:f>
              <c:strCache>
                <c:ptCount val="1"/>
                <c:pt idx="0">
                  <c:v>Spread</c:v>
                </c:pt>
              </c:strCache>
            </c:strRef>
          </c:tx>
          <c:marker>
            <c:symbol val="none"/>
          </c:marker>
          <c:cat>
            <c:numRef>
              <c:f>'Rate Differences'!$P$9:$P$92</c:f>
              <c:numCache>
                <c:formatCode>m/d/yyyy</c:formatCode>
                <c:ptCount val="84"/>
                <c:pt idx="0">
                  <c:v>39692</c:v>
                </c:pt>
                <c:pt idx="1">
                  <c:v>39722</c:v>
                </c:pt>
                <c:pt idx="2">
                  <c:v>39753</c:v>
                </c:pt>
                <c:pt idx="3">
                  <c:v>39783</c:v>
                </c:pt>
                <c:pt idx="4">
                  <c:v>39814</c:v>
                </c:pt>
                <c:pt idx="5">
                  <c:v>39845</c:v>
                </c:pt>
                <c:pt idx="6">
                  <c:v>39904</c:v>
                </c:pt>
                <c:pt idx="7">
                  <c:v>39934</c:v>
                </c:pt>
                <c:pt idx="8">
                  <c:v>39995</c:v>
                </c:pt>
                <c:pt idx="9">
                  <c:v>40057</c:v>
                </c:pt>
                <c:pt idx="10">
                  <c:v>40087</c:v>
                </c:pt>
                <c:pt idx="11">
                  <c:v>40118</c:v>
                </c:pt>
                <c:pt idx="12">
                  <c:v>40148</c:v>
                </c:pt>
                <c:pt idx="13">
                  <c:v>40179</c:v>
                </c:pt>
                <c:pt idx="14">
                  <c:v>40210</c:v>
                </c:pt>
                <c:pt idx="15">
                  <c:v>40238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</c:numCache>
            </c:numRef>
          </c:cat>
          <c:val>
            <c:numRef>
              <c:f>'Rate Differences'!$S$9:$S$92</c:f>
              <c:numCache>
                <c:formatCode>0.000</c:formatCode>
                <c:ptCount val="84"/>
                <c:pt idx="0">
                  <c:v>1.0560192664111999E-2</c:v>
                </c:pt>
                <c:pt idx="1">
                  <c:v>-2.69944644402135E-2</c:v>
                </c:pt>
                <c:pt idx="2">
                  <c:v>7.5775126718178598E-3</c:v>
                </c:pt>
                <c:pt idx="3">
                  <c:v>-3.56902970490936E-2</c:v>
                </c:pt>
                <c:pt idx="4">
                  <c:v>0.230710122783675</c:v>
                </c:pt>
                <c:pt idx="5">
                  <c:v>0.25261516522656502</c:v>
                </c:pt>
                <c:pt idx="6">
                  <c:v>0.167449611370627</c:v>
                </c:pt>
                <c:pt idx="7">
                  <c:v>0.36506732853590901</c:v>
                </c:pt>
                <c:pt idx="8">
                  <c:v>0.14525338638009799</c:v>
                </c:pt>
                <c:pt idx="9">
                  <c:v>-3.3337274501650201E-2</c:v>
                </c:pt>
                <c:pt idx="10">
                  <c:v>3.8698720122068E-2</c:v>
                </c:pt>
                <c:pt idx="11">
                  <c:v>9.2324548594764994E-2</c:v>
                </c:pt>
                <c:pt idx="12">
                  <c:v>7.19940565744044E-2</c:v>
                </c:pt>
                <c:pt idx="13">
                  <c:v>6.9793377716617006E-2</c:v>
                </c:pt>
                <c:pt idx="14">
                  <c:v>7.7295448062988104E-3</c:v>
                </c:pt>
                <c:pt idx="15">
                  <c:v>2.8580621444051001E-2</c:v>
                </c:pt>
                <c:pt idx="16">
                  <c:v>1.77209266933906E-2</c:v>
                </c:pt>
                <c:pt idx="17">
                  <c:v>4.30169243090047E-3</c:v>
                </c:pt>
                <c:pt idx="18">
                  <c:v>-1.2457035527416799E-2</c:v>
                </c:pt>
                <c:pt idx="19">
                  <c:v>2.2258844487276001E-2</c:v>
                </c:pt>
                <c:pt idx="20">
                  <c:v>5.8863086284746902E-2</c:v>
                </c:pt>
                <c:pt idx="21">
                  <c:v>6.2690131652776399E-2</c:v>
                </c:pt>
                <c:pt idx="22">
                  <c:v>5.7560230217437003E-2</c:v>
                </c:pt>
                <c:pt idx="23">
                  <c:v>6.7581863818157201E-2</c:v>
                </c:pt>
                <c:pt idx="24">
                  <c:v>-9.6484894845509199E-3</c:v>
                </c:pt>
                <c:pt idx="25">
                  <c:v>-7.2116570130782806E-2</c:v>
                </c:pt>
                <c:pt idx="26">
                  <c:v>-9.6618597375686593E-2</c:v>
                </c:pt>
                <c:pt idx="27">
                  <c:v>-8.7527151429852207E-2</c:v>
                </c:pt>
                <c:pt idx="28">
                  <c:v>-6.4169001992659694E-2</c:v>
                </c:pt>
                <c:pt idx="29">
                  <c:v>-7.7254554147263704E-2</c:v>
                </c:pt>
                <c:pt idx="30">
                  <c:v>-6.0902334014962201E-2</c:v>
                </c:pt>
                <c:pt idx="31">
                  <c:v>-5.1537016771070102E-2</c:v>
                </c:pt>
                <c:pt idx="32">
                  <c:v>-8.8347228119012897E-2</c:v>
                </c:pt>
                <c:pt idx="33">
                  <c:v>6.7620690532969596E-3</c:v>
                </c:pt>
                <c:pt idx="34">
                  <c:v>6.6370495742206798E-2</c:v>
                </c:pt>
                <c:pt idx="35">
                  <c:v>8.24687044170586E-2</c:v>
                </c:pt>
                <c:pt idx="36">
                  <c:v>7.9982930920157097E-2</c:v>
                </c:pt>
                <c:pt idx="37">
                  <c:v>3.6619039721080902E-2</c:v>
                </c:pt>
                <c:pt idx="38">
                  <c:v>3.8595450484794097E-2</c:v>
                </c:pt>
                <c:pt idx="39">
                  <c:v>1.8386541371669701E-2</c:v>
                </c:pt>
                <c:pt idx="40">
                  <c:v>-3.2940633446045201E-3</c:v>
                </c:pt>
                <c:pt idx="41">
                  <c:v>-2.7688326384023298E-2</c:v>
                </c:pt>
                <c:pt idx="42">
                  <c:v>6.0563914705050103E-3</c:v>
                </c:pt>
                <c:pt idx="43">
                  <c:v>4.99470576319282E-2</c:v>
                </c:pt>
                <c:pt idx="44">
                  <c:v>6.4616845223899905E-2</c:v>
                </c:pt>
                <c:pt idx="45">
                  <c:v>3.3549809010931603E-2</c:v>
                </c:pt>
                <c:pt idx="46">
                  <c:v>-1.1999519248008599E-3</c:v>
                </c:pt>
                <c:pt idx="47">
                  <c:v>2.1089970143040801E-2</c:v>
                </c:pt>
                <c:pt idx="48">
                  <c:v>4.3937098712369997E-2</c:v>
                </c:pt>
                <c:pt idx="49">
                  <c:v>3.63655253546986E-2</c:v>
                </c:pt>
                <c:pt idx="50">
                  <c:v>3.7399744658423502E-2</c:v>
                </c:pt>
                <c:pt idx="51">
                  <c:v>5.1388952233476302E-2</c:v>
                </c:pt>
                <c:pt idx="52">
                  <c:v>1.6768393444326901E-2</c:v>
                </c:pt>
                <c:pt idx="53">
                  <c:v>-1.72060119182041E-2</c:v>
                </c:pt>
                <c:pt idx="54">
                  <c:v>-6.9913130404665597E-3</c:v>
                </c:pt>
                <c:pt idx="55">
                  <c:v>2.2720215820746299E-2</c:v>
                </c:pt>
                <c:pt idx="56">
                  <c:v>-1.06383566533089E-2</c:v>
                </c:pt>
                <c:pt idx="57">
                  <c:v>1.8187956572589498E-2</c:v>
                </c:pt>
                <c:pt idx="58">
                  <c:v>-5.0098515331610499E-2</c:v>
                </c:pt>
                <c:pt idx="59">
                  <c:v>-4.4973115711301699E-2</c:v>
                </c:pt>
                <c:pt idx="60">
                  <c:v>-7.8657165514276102E-3</c:v>
                </c:pt>
                <c:pt idx="61">
                  <c:v>-7.6950393248311003E-3</c:v>
                </c:pt>
                <c:pt idx="62">
                  <c:v>-6.5155248005237504E-2</c:v>
                </c:pt>
                <c:pt idx="63">
                  <c:v>-3.6273178901006502E-2</c:v>
                </c:pt>
                <c:pt idx="64">
                  <c:v>-4.93222359314959E-2</c:v>
                </c:pt>
                <c:pt idx="65">
                  <c:v>-5.1518423651595702E-2</c:v>
                </c:pt>
                <c:pt idx="66">
                  <c:v>-4.6363409816039099E-2</c:v>
                </c:pt>
                <c:pt idx="67">
                  <c:v>-4.88390325152167E-2</c:v>
                </c:pt>
                <c:pt idx="68">
                  <c:v>-3.4223189402703399E-2</c:v>
                </c:pt>
                <c:pt idx="69">
                  <c:v>-2.5487217709657301E-2</c:v>
                </c:pt>
                <c:pt idx="70">
                  <c:v>-5.0549543029185302E-2</c:v>
                </c:pt>
                <c:pt idx="71">
                  <c:v>-7.3443792255100601E-2</c:v>
                </c:pt>
                <c:pt idx="72">
                  <c:v>-6.0609800873556899E-2</c:v>
                </c:pt>
                <c:pt idx="73">
                  <c:v>-4.7330763772764503E-2</c:v>
                </c:pt>
                <c:pt idx="74">
                  <c:v>-1.52022031859512E-2</c:v>
                </c:pt>
                <c:pt idx="75">
                  <c:v>4.8411844730240402E-3</c:v>
                </c:pt>
                <c:pt idx="76">
                  <c:v>8.3481079961956906E-3</c:v>
                </c:pt>
                <c:pt idx="77">
                  <c:v>-1.1452095839184899E-2</c:v>
                </c:pt>
                <c:pt idx="78">
                  <c:v>-6.1271370171521403E-3</c:v>
                </c:pt>
                <c:pt idx="79">
                  <c:v>-1.6152476028926299E-3</c:v>
                </c:pt>
                <c:pt idx="80">
                  <c:v>-1.8625144136673901E-2</c:v>
                </c:pt>
                <c:pt idx="81">
                  <c:v>-5.53058375232965E-2</c:v>
                </c:pt>
                <c:pt idx="82">
                  <c:v>-6.6258547149298297E-2</c:v>
                </c:pt>
                <c:pt idx="83">
                  <c:v>-0.10004207326818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673984"/>
        <c:axId val="675675520"/>
      </c:lineChart>
      <c:dateAx>
        <c:axId val="675673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75675520"/>
        <c:crosses val="autoZero"/>
        <c:auto val="1"/>
        <c:lblOffset val="100"/>
        <c:baseTimeUnit val="months"/>
      </c:dateAx>
      <c:valAx>
        <c:axId val="67567552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675673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209550</xdr:colOff>
      <xdr:row>19</xdr:row>
      <xdr:rowOff>85725</xdr:rowOff>
    </xdr:from>
    <xdr:to>
      <xdr:col>46</xdr:col>
      <xdr:colOff>19050</xdr:colOff>
      <xdr:row>56</xdr:row>
      <xdr:rowOff>85725</xdr:rowOff>
    </xdr:to>
    <xdr:sp macro="" textlink="">
      <xdr:nvSpPr>
        <xdr:cNvPr id="6" name="TextBox 5"/>
        <xdr:cNvSpPr txBox="1"/>
      </xdr:nvSpPr>
      <xdr:spPr>
        <a:xfrm>
          <a:off x="11344275" y="3705225"/>
          <a:ext cx="6515100" cy="704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 compare loan level note rates among FNCL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FNCK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according to Tickets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 not controlling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FICO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--p.issueDate,</a:t>
          </a:r>
        </a:p>
        <a:p>
          <a:r>
            <a:rPr lang="en-US" sz="1100"/>
            <a:t>    l.calcOrigMonth_LL,</a:t>
          </a:r>
        </a:p>
        <a:p>
          <a:r>
            <a:rPr lang="en-US" sz="1100"/>
            <a:t>    FNCLWAC = sum(l.origNoteRate * l.originalLoanAmount) / sum(l.originalLoanAmount),</a:t>
          </a:r>
        </a:p>
        <a:p>
          <a:r>
            <a:rPr lang="en-US" sz="1100"/>
            <a:t>    FNCLAmount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fnm.sec p, fnm.Cello_Loan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    and p.collateralType = 'LOAN' </a:t>
          </a:r>
        </a:p>
        <a:p>
          <a:r>
            <a:rPr lang="en-US" sz="1100"/>
            <a:t>    and l.marketTicker in ('FNCL')</a:t>
          </a:r>
        </a:p>
        <a:p>
          <a:r>
            <a:rPr lang="en-US" sz="1100"/>
            <a:t>    and l.marketTicker = p.marketTicker</a:t>
          </a:r>
        </a:p>
        <a:p>
          <a:r>
            <a:rPr lang="en-US" sz="1100"/>
            <a:t>--    and l.cs &gt; 740</a:t>
          </a:r>
        </a:p>
        <a:p>
          <a:r>
            <a:rPr lang="en-US" sz="1100"/>
            <a:t>group by l.calcOrigMonth_LL</a:t>
          </a:r>
        </a:p>
        <a:p>
          <a:r>
            <a:rPr lang="en-US" sz="1100"/>
            <a:t>order by l.calcOrigMonth_LL</a:t>
          </a:r>
        </a:p>
        <a:p>
          <a:r>
            <a:rPr lang="en-US" sz="1100"/>
            <a:t>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select l.calcOrigMonth_LL,</a:t>
          </a:r>
        </a:p>
        <a:p>
          <a:r>
            <a:rPr lang="en-US" sz="1100"/>
            <a:t>    FNCKWAC = sum(l.origNoteRate * l.originalLoanAmount) / sum(l.originalLoanAmount),</a:t>
          </a:r>
        </a:p>
        <a:p>
          <a:r>
            <a:rPr lang="en-US" sz="1100"/>
            <a:t>    FNCKAmount = sum(l.originalLoanAmount)</a:t>
          </a:r>
        </a:p>
        <a:p>
          <a:r>
            <a:rPr lang="en-US" sz="1100"/>
            <a:t>--into #WAC_FNCK</a:t>
          </a:r>
        </a:p>
        <a:p>
          <a:r>
            <a:rPr lang="en-US" sz="1100"/>
            <a:t>from fnm.sec p, fnm.Cello_Loan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    and p.collateralType = 'LOAN' </a:t>
          </a:r>
        </a:p>
        <a:p>
          <a:r>
            <a:rPr lang="en-US" sz="1100"/>
            <a:t>    and l.marketTicker in ('FNCK')</a:t>
          </a:r>
        </a:p>
        <a:p>
          <a:r>
            <a:rPr lang="en-US" sz="1100"/>
            <a:t>    and l.marketTicker = p.marketTicker</a:t>
          </a:r>
        </a:p>
        <a:p>
          <a:r>
            <a:rPr lang="en-US" sz="1100"/>
            <a:t>--    and l.cs &gt; 740</a:t>
          </a:r>
        </a:p>
        <a:p>
          <a:r>
            <a:rPr lang="en-US" sz="1100"/>
            <a:t>group by l.calcOrigMonth_LL</a:t>
          </a:r>
        </a:p>
        <a:p>
          <a:r>
            <a:rPr lang="en-US" sz="1100"/>
            <a:t>order by l.calcOrigMonth_LL</a:t>
          </a:r>
        </a:p>
        <a:p>
          <a:r>
            <a:rPr lang="en-US" sz="1100"/>
            <a:t>;</a:t>
          </a:r>
        </a:p>
      </xdr:txBody>
    </xdr:sp>
    <xdr:clientData/>
  </xdr:twoCellAnchor>
  <xdr:twoCellAnchor>
    <xdr:from>
      <xdr:col>35</xdr:col>
      <xdr:colOff>204787</xdr:colOff>
      <xdr:row>3</xdr:row>
      <xdr:rowOff>138112</xdr:rowOff>
    </xdr:from>
    <xdr:to>
      <xdr:col>46</xdr:col>
      <xdr:colOff>85725</xdr:colOff>
      <xdr:row>18</xdr:row>
      <xdr:rowOff>23812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104775</xdr:colOff>
      <xdr:row>21</xdr:row>
      <xdr:rowOff>123824</xdr:rowOff>
    </xdr:from>
    <xdr:to>
      <xdr:col>39</xdr:col>
      <xdr:colOff>104775</xdr:colOff>
      <xdr:row>61</xdr:row>
      <xdr:rowOff>9525</xdr:rowOff>
    </xdr:to>
    <xdr:sp macro="" textlink="">
      <xdr:nvSpPr>
        <xdr:cNvPr id="3" name="TextBox 2"/>
        <xdr:cNvSpPr txBox="1"/>
      </xdr:nvSpPr>
      <xdr:spPr>
        <a:xfrm>
          <a:off x="714375" y="4124324"/>
          <a:ext cx="6096000" cy="7505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-----------------------------------------------------------------</a:t>
          </a:r>
        </a:p>
        <a:p>
          <a:r>
            <a:rPr lang="en-US" sz="1100"/>
            <a:t>--  compare loan level note rates among FNCL, FGLMC, FNCK and FGT6 by the cutoff. &lt;= 417K vs &gt; 417K.</a:t>
          </a:r>
        </a:p>
        <a:p>
          <a:r>
            <a:rPr lang="en-US" sz="1100"/>
            <a:t>--  not controlling</a:t>
          </a:r>
          <a:r>
            <a:rPr lang="en-US" sz="1100" baseline="0"/>
            <a:t> FICO</a:t>
          </a:r>
          <a:endParaRPr lang="en-US" sz="1100"/>
        </a:p>
        <a:p>
          <a:r>
            <a:rPr lang="en-US" sz="1100"/>
            <a:t>-----------------------------------------------------------------</a:t>
          </a:r>
        </a:p>
        <a:p>
          <a:r>
            <a:rPr lang="en-US" sz="1100"/>
            <a:t>  </a:t>
          </a:r>
        </a:p>
        <a:p>
          <a:r>
            <a:rPr lang="en-US" sz="1100"/>
            <a:t> </a:t>
          </a:r>
        </a:p>
        <a:p>
          <a:r>
            <a:rPr lang="en-US" sz="1100"/>
            <a:t>select l.calcOrigMonth_LL,</a:t>
          </a:r>
        </a:p>
        <a:p>
          <a:r>
            <a:rPr lang="en-US" sz="1100"/>
            <a:t>WAC = sum(l.origNoteRate * l.originalLoanAmount) / sum(l.originalLoanAmount),</a:t>
          </a:r>
        </a:p>
        <a:p>
          <a:r>
            <a:rPr lang="en-US" sz="1100"/>
            <a:t>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fnm.sec p, fnm.Cello_Loan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and p.collateralType = 'LOAN' </a:t>
          </a:r>
        </a:p>
        <a:p>
          <a:r>
            <a:rPr lang="en-US" sz="1100"/>
            <a:t>and l.marketTicker in ('FNCL', 'FNCK')</a:t>
          </a:r>
        </a:p>
        <a:p>
          <a:r>
            <a:rPr lang="en-US" sz="1100"/>
            <a:t>and l.marketTicker = p.marketTicker</a:t>
          </a:r>
        </a:p>
        <a:p>
          <a:r>
            <a:rPr lang="en-US" sz="1100"/>
            <a:t>and l.originalLoanAmount &gt; 417000</a:t>
          </a:r>
        </a:p>
        <a:p>
          <a:r>
            <a:rPr lang="en-US" sz="1100"/>
            <a:t>and l.numUnits = 1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group by l.calcOrigMonth_LL</a:t>
          </a:r>
        </a:p>
        <a:p>
          <a:r>
            <a:rPr lang="en-US" sz="1100"/>
            <a:t>order by l.calcOrigMonth_LL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select l.calcOrigMonth_LL,</a:t>
          </a:r>
        </a:p>
        <a:p>
          <a:r>
            <a:rPr lang="en-US" sz="1100"/>
            <a:t>WAC = sum(l.origNoteRate * l.originalLoanAmount) / sum(l.originalLoanAmount),</a:t>
          </a:r>
        </a:p>
        <a:p>
          <a:r>
            <a:rPr lang="en-US" sz="1100"/>
            <a:t>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fhl.sec p, fhl.Cello_Loan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and p.collateralType = 'LOAN' </a:t>
          </a:r>
        </a:p>
        <a:p>
          <a:r>
            <a:rPr lang="en-US" sz="1100"/>
            <a:t>and l.marketTicker in ('FGT6','FGLMC')</a:t>
          </a:r>
        </a:p>
        <a:p>
          <a:r>
            <a:rPr lang="en-US" sz="1100"/>
            <a:t>and l.marketTicker = p.marketTicker</a:t>
          </a:r>
        </a:p>
        <a:p>
          <a:r>
            <a:rPr lang="en-US" sz="1100"/>
            <a:t>and l.originalLoanAmount &lt;= 417000</a:t>
          </a:r>
        </a:p>
        <a:p>
          <a:r>
            <a:rPr lang="en-US" sz="1100"/>
            <a:t>and l.numUnits = 1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group by l.calcOrigMonth_LL</a:t>
          </a:r>
        </a:p>
        <a:p>
          <a:r>
            <a:rPr lang="en-US" sz="1100"/>
            <a:t>order by l.calcOrigMonth_LL</a:t>
          </a:r>
        </a:p>
        <a:p>
          <a:r>
            <a:rPr lang="en-US" sz="1100"/>
            <a:t>;</a:t>
          </a:r>
        </a:p>
      </xdr:txBody>
    </xdr:sp>
    <xdr:clientData/>
  </xdr:twoCellAnchor>
  <xdr:twoCellAnchor>
    <xdr:from>
      <xdr:col>29</xdr:col>
      <xdr:colOff>80962</xdr:colOff>
      <xdr:row>6</xdr:row>
      <xdr:rowOff>33337</xdr:rowOff>
    </xdr:from>
    <xdr:to>
      <xdr:col>39</xdr:col>
      <xdr:colOff>0</xdr:colOff>
      <xdr:row>20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857249</xdr:colOff>
      <xdr:row>5</xdr:row>
      <xdr:rowOff>38100</xdr:rowOff>
    </xdr:from>
    <xdr:to>
      <xdr:col>18</xdr:col>
      <xdr:colOff>228600</xdr:colOff>
      <xdr:row>44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4</xdr:row>
      <xdr:rowOff>47625</xdr:rowOff>
    </xdr:from>
    <xdr:to>
      <xdr:col>18</xdr:col>
      <xdr:colOff>476250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185737</xdr:rowOff>
    </xdr:from>
    <xdr:to>
      <xdr:col>13</xdr:col>
      <xdr:colOff>19050</xdr:colOff>
      <xdr:row>17</xdr:row>
      <xdr:rowOff>71437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223837</xdr:colOff>
      <xdr:row>21</xdr:row>
      <xdr:rowOff>71437</xdr:rowOff>
    </xdr:from>
    <xdr:to>
      <xdr:col>12</xdr:col>
      <xdr:colOff>528637</xdr:colOff>
      <xdr:row>35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223837</xdr:colOff>
      <xdr:row>2</xdr:row>
      <xdr:rowOff>119062</xdr:rowOff>
    </xdr:from>
    <xdr:to>
      <xdr:col>29</xdr:col>
      <xdr:colOff>528637</xdr:colOff>
      <xdr:row>17</xdr:row>
      <xdr:rowOff>4762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271462</xdr:colOff>
      <xdr:row>22</xdr:row>
      <xdr:rowOff>4762</xdr:rowOff>
    </xdr:from>
    <xdr:to>
      <xdr:col>29</xdr:col>
      <xdr:colOff>576262</xdr:colOff>
      <xdr:row>36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/>
  </sheetPr>
  <dimension ref="A1:AG416"/>
  <sheetViews>
    <sheetView topLeftCell="R1" workbookViewId="0">
      <selection activeCell="AI26" sqref="AI26"/>
    </sheetView>
  </sheetViews>
  <sheetFormatPr defaultRowHeight="15" x14ac:dyDescent="0.25"/>
  <cols>
    <col min="1" max="1" width="9.7109375" hidden="1" customWidth="1"/>
    <col min="2" max="4" width="9.140625" hidden="1" customWidth="1"/>
    <col min="5" max="5" width="10.7109375" hidden="1" customWidth="1"/>
    <col min="6" max="10" width="9.140625" hidden="1" customWidth="1"/>
    <col min="11" max="11" width="9.7109375" hidden="1" customWidth="1"/>
    <col min="12" max="14" width="9.140625" hidden="1" customWidth="1"/>
    <col min="15" max="15" width="12" hidden="1" customWidth="1"/>
    <col min="16" max="17" width="9.140625" hidden="1" customWidth="1"/>
    <col min="31" max="31" width="9.7109375" bestFit="1" customWidth="1"/>
    <col min="33" max="33" width="11" style="15" customWidth="1"/>
  </cols>
  <sheetData>
    <row r="1" spans="1:33" x14ac:dyDescent="0.25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S1" s="18" t="s">
        <v>52</v>
      </c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x14ac:dyDescent="0.25">
      <c r="A2" t="s">
        <v>2</v>
      </c>
      <c r="E2" t="s">
        <v>3</v>
      </c>
      <c r="N2" t="s">
        <v>6</v>
      </c>
      <c r="S2" t="s">
        <v>50</v>
      </c>
      <c r="W2" t="s">
        <v>47</v>
      </c>
      <c r="AB2" t="s">
        <v>6</v>
      </c>
      <c r="AF2" t="s">
        <v>6</v>
      </c>
    </row>
    <row r="3" spans="1:33" x14ac:dyDescent="0.25">
      <c r="A3" t="s">
        <v>0</v>
      </c>
      <c r="B3" t="s">
        <v>1</v>
      </c>
      <c r="C3" t="s">
        <v>4</v>
      </c>
      <c r="E3" t="s">
        <v>0</v>
      </c>
      <c r="F3" t="s">
        <v>1</v>
      </c>
      <c r="G3" t="s">
        <v>4</v>
      </c>
      <c r="K3" t="s">
        <v>0</v>
      </c>
      <c r="L3" t="s">
        <v>2</v>
      </c>
      <c r="M3" t="s">
        <v>3</v>
      </c>
      <c r="N3" t="s">
        <v>5</v>
      </c>
      <c r="O3" t="s">
        <v>7</v>
      </c>
      <c r="S3" t="s">
        <v>44</v>
      </c>
      <c r="T3" t="s">
        <v>48</v>
      </c>
      <c r="U3" t="s">
        <v>49</v>
      </c>
      <c r="W3" t="s">
        <v>44</v>
      </c>
      <c r="X3" t="s">
        <v>45</v>
      </c>
      <c r="Y3" t="s">
        <v>46</v>
      </c>
      <c r="AB3" t="s">
        <v>44</v>
      </c>
      <c r="AC3" t="s">
        <v>48</v>
      </c>
      <c r="AD3" t="s">
        <v>45</v>
      </c>
      <c r="AF3" t="s">
        <v>5</v>
      </c>
      <c r="AG3" t="s">
        <v>7</v>
      </c>
    </row>
    <row r="4" spans="1:33" x14ac:dyDescent="0.25">
      <c r="A4" s="1">
        <v>39569</v>
      </c>
      <c r="B4">
        <v>6.2993169893947298</v>
      </c>
      <c r="C4">
        <v>1161378160</v>
      </c>
      <c r="E4" s="1">
        <v>29891</v>
      </c>
      <c r="F4">
        <v>10.5179143862369</v>
      </c>
      <c r="G4">
        <v>89799701650.919998</v>
      </c>
      <c r="K4" s="1">
        <v>39569</v>
      </c>
      <c r="L4">
        <v>6.2993169893947298</v>
      </c>
      <c r="M4">
        <f t="shared" ref="M4:M35" si="0">VLOOKUP(K4,E:G,2,0)</f>
        <v>6.01405192058363</v>
      </c>
      <c r="N4">
        <f>(L4-M4)*100</f>
        <v>28.526506881109981</v>
      </c>
      <c r="O4" s="2">
        <f t="shared" ref="O4:O35" si="1">C4/VLOOKUP(K4,E:G,3,0)</f>
        <v>2.9165871398595167E-4</v>
      </c>
      <c r="S4">
        <v>199803</v>
      </c>
      <c r="T4">
        <v>7.375</v>
      </c>
      <c r="U4">
        <v>418500</v>
      </c>
      <c r="W4">
        <v>198302</v>
      </c>
      <c r="X4">
        <v>8.5</v>
      </c>
      <c r="Y4">
        <v>60000</v>
      </c>
      <c r="AB4">
        <v>199803</v>
      </c>
      <c r="AC4">
        <f>VLOOKUP(AB4,S:T,2,0)</f>
        <v>7.375</v>
      </c>
      <c r="AD4">
        <f t="shared" ref="AD4:AD35" si="2">VLOOKUP(AB4,W:X,2,0)</f>
        <v>7.3383819115506004</v>
      </c>
      <c r="AE4" s="1">
        <f>DATEVALUE(INT(AB4/100)&amp;"/"&amp;MOD(AB4,100)&amp;"/1")</f>
        <v>35855</v>
      </c>
      <c r="AF4" s="14">
        <f>(AC4-AD4)*100</f>
        <v>3.6618088449399622</v>
      </c>
      <c r="AG4" s="16">
        <f>U4/VLOOKUP(AB4,W:Y,3,0)</f>
        <v>1.7877821155528155E-2</v>
      </c>
    </row>
    <row r="5" spans="1:33" x14ac:dyDescent="0.25">
      <c r="A5" s="1">
        <v>39600</v>
      </c>
      <c r="B5">
        <v>6.1448270312832296</v>
      </c>
      <c r="C5">
        <v>35713732492</v>
      </c>
      <c r="E5" s="1">
        <v>29921</v>
      </c>
      <c r="F5">
        <v>12.6252429750883</v>
      </c>
      <c r="G5">
        <v>13422202227.719999</v>
      </c>
      <c r="K5" s="1">
        <v>39600</v>
      </c>
      <c r="L5">
        <v>6.1448270312832296</v>
      </c>
      <c r="M5">
        <f t="shared" si="0"/>
        <v>5.99401149130503</v>
      </c>
      <c r="N5">
        <f t="shared" ref="N5:N68" si="3">(L5-M5)*100</f>
        <v>15.081553997819963</v>
      </c>
      <c r="O5" s="2">
        <f t="shared" si="1"/>
        <v>1.0583837708653275E-2</v>
      </c>
      <c r="S5">
        <v>200205</v>
      </c>
      <c r="T5">
        <v>7.75</v>
      </c>
      <c r="U5">
        <v>520000</v>
      </c>
      <c r="W5">
        <v>198307</v>
      </c>
      <c r="X5">
        <v>8.75</v>
      </c>
      <c r="Y5">
        <v>70600</v>
      </c>
      <c r="AB5">
        <v>200205</v>
      </c>
      <c r="AC5">
        <f t="shared" ref="AC5:AC68" si="4">VLOOKUP(AB5,S:T,2,0)</f>
        <v>7.75</v>
      </c>
      <c r="AD5">
        <f t="shared" si="2"/>
        <v>6.9520789684435602</v>
      </c>
      <c r="AE5" s="1">
        <f t="shared" ref="AE5:AE68" si="5">DATEVALUE(INT(AB5/100)&amp;"/"&amp;MOD(AB5,100)&amp;"/1")</f>
        <v>37377</v>
      </c>
      <c r="AF5" s="14">
        <f t="shared" ref="AF5:AF68" si="6">(AC5-AD5)*100</f>
        <v>79.792103155643986</v>
      </c>
      <c r="AG5" s="16">
        <f t="shared" ref="AG5:AG68" si="7">U5/VLOOKUP(AB5,W:Y,3,0)</f>
        <v>3.2989310155293215E-3</v>
      </c>
    </row>
    <row r="6" spans="1:33" x14ac:dyDescent="0.25">
      <c r="A6" s="1">
        <v>39630</v>
      </c>
      <c r="B6">
        <v>6.0746575060433798</v>
      </c>
      <c r="C6">
        <v>149039315115</v>
      </c>
      <c r="E6" s="1">
        <v>29952</v>
      </c>
      <c r="F6">
        <v>9.7391655989883095</v>
      </c>
      <c r="G6">
        <v>60262819312.580002</v>
      </c>
      <c r="K6" s="1">
        <v>39630</v>
      </c>
      <c r="L6">
        <v>6.0746575060433798</v>
      </c>
      <c r="M6">
        <f t="shared" si="0"/>
        <v>6.1169393500164198</v>
      </c>
      <c r="N6">
        <f t="shared" si="3"/>
        <v>-4.2281843973039912</v>
      </c>
      <c r="O6" s="2">
        <f t="shared" si="1"/>
        <v>6.4944641105330547E-2</v>
      </c>
      <c r="S6">
        <v>200207</v>
      </c>
      <c r="T6">
        <v>7.125</v>
      </c>
      <c r="U6">
        <v>449509.3</v>
      </c>
      <c r="W6">
        <v>198312</v>
      </c>
      <c r="X6">
        <v>10.9</v>
      </c>
      <c r="Y6">
        <v>42700</v>
      </c>
      <c r="AB6">
        <v>200207</v>
      </c>
      <c r="AC6">
        <f t="shared" si="4"/>
        <v>7.125</v>
      </c>
      <c r="AD6">
        <f t="shared" si="2"/>
        <v>6.7840952332322599</v>
      </c>
      <c r="AE6" s="1">
        <f t="shared" si="5"/>
        <v>37438</v>
      </c>
      <c r="AF6" s="14">
        <f t="shared" si="6"/>
        <v>34.090476676774003</v>
      </c>
      <c r="AG6" s="16">
        <f t="shared" si="7"/>
        <v>2.316520118366285E-3</v>
      </c>
    </row>
    <row r="7" spans="1:33" x14ac:dyDescent="0.25">
      <c r="A7" s="1">
        <v>39661</v>
      </c>
      <c r="B7">
        <v>6.2552582149466804</v>
      </c>
      <c r="C7">
        <v>172002858607</v>
      </c>
      <c r="E7" s="1">
        <v>29983</v>
      </c>
      <c r="F7">
        <v>10.266598374498599</v>
      </c>
      <c r="G7">
        <v>69871323420.710007</v>
      </c>
      <c r="K7" s="1">
        <v>39661</v>
      </c>
      <c r="L7">
        <v>6.2552582149466804</v>
      </c>
      <c r="M7">
        <f t="shared" si="0"/>
        <v>6.3342756758093897</v>
      </c>
      <c r="N7">
        <f t="shared" si="3"/>
        <v>-7.9017460862709221</v>
      </c>
      <c r="O7" s="2">
        <f t="shared" si="1"/>
        <v>9.2590993222294665E-2</v>
      </c>
      <c r="S7">
        <v>200208</v>
      </c>
      <c r="T7">
        <v>6.7207010721042604</v>
      </c>
      <c r="U7">
        <v>2378500</v>
      </c>
      <c r="W7">
        <v>198401</v>
      </c>
      <c r="X7">
        <v>10.9</v>
      </c>
      <c r="Y7">
        <v>33250</v>
      </c>
      <c r="AB7">
        <v>200208</v>
      </c>
      <c r="AC7">
        <f t="shared" si="4"/>
        <v>6.7207010721042604</v>
      </c>
      <c r="AD7">
        <f t="shared" si="2"/>
        <v>6.6540370587567397</v>
      </c>
      <c r="AE7" s="1">
        <f t="shared" si="5"/>
        <v>37469</v>
      </c>
      <c r="AF7" s="14">
        <f t="shared" si="6"/>
        <v>6.6664013347520701</v>
      </c>
      <c r="AG7" s="16">
        <f t="shared" si="7"/>
        <v>8.8320347891563712E-3</v>
      </c>
    </row>
    <row r="8" spans="1:33" x14ac:dyDescent="0.25">
      <c r="A8" s="1">
        <v>39692</v>
      </c>
      <c r="B8">
        <v>6.3763621045402203</v>
      </c>
      <c r="C8">
        <v>198709500499</v>
      </c>
      <c r="E8" s="1">
        <v>30011</v>
      </c>
      <c r="F8">
        <v>9.6542115078759192</v>
      </c>
      <c r="G8">
        <v>139375008429.89999</v>
      </c>
      <c r="K8" s="1">
        <v>39692</v>
      </c>
      <c r="L8">
        <v>6.3763621045402203</v>
      </c>
      <c r="M8">
        <f t="shared" si="0"/>
        <v>6.4530924466433497</v>
      </c>
      <c r="N8">
        <f t="shared" si="3"/>
        <v>-7.6730342103129345</v>
      </c>
      <c r="O8" s="2">
        <f t="shared" si="1"/>
        <v>8.3133750535719697E-2</v>
      </c>
      <c r="S8">
        <v>200209</v>
      </c>
      <c r="T8">
        <v>6.4549842837898499</v>
      </c>
      <c r="U8">
        <v>3340500</v>
      </c>
      <c r="W8">
        <v>198405</v>
      </c>
      <c r="X8">
        <v>9.2031579896678597</v>
      </c>
      <c r="Y8">
        <v>166325.75</v>
      </c>
      <c r="AB8">
        <v>200209</v>
      </c>
      <c r="AC8">
        <f t="shared" si="4"/>
        <v>6.4549842837898499</v>
      </c>
      <c r="AD8">
        <f t="shared" si="2"/>
        <v>6.4808207152199397</v>
      </c>
      <c r="AE8" s="1">
        <f t="shared" si="5"/>
        <v>37500</v>
      </c>
      <c r="AF8" s="14">
        <f t="shared" si="6"/>
        <v>-2.5836431430089846</v>
      </c>
      <c r="AG8" s="16">
        <f t="shared" si="7"/>
        <v>8.6278321037965375E-3</v>
      </c>
    </row>
    <row r="9" spans="1:33" x14ac:dyDescent="0.25">
      <c r="A9" s="1">
        <v>39722</v>
      </c>
      <c r="B9">
        <v>6.3160939264723099</v>
      </c>
      <c r="C9">
        <v>111855954373</v>
      </c>
      <c r="E9" s="1">
        <v>30042</v>
      </c>
      <c r="F9">
        <v>9.6723304089128597</v>
      </c>
      <c r="G9">
        <v>103912813271.2</v>
      </c>
      <c r="K9" s="1">
        <v>39722</v>
      </c>
      <c r="L9">
        <v>6.3160939264723099</v>
      </c>
      <c r="M9">
        <f t="shared" si="0"/>
        <v>6.3436343243934701</v>
      </c>
      <c r="N9">
        <f t="shared" si="3"/>
        <v>-2.7540397921160142</v>
      </c>
      <c r="O9" s="2">
        <f t="shared" si="1"/>
        <v>6.1816447022908318E-2</v>
      </c>
      <c r="S9">
        <v>200210</v>
      </c>
      <c r="T9">
        <v>6.4914357576467498</v>
      </c>
      <c r="U9">
        <v>6598348.4199999999</v>
      </c>
      <c r="W9">
        <v>198406</v>
      </c>
      <c r="X9">
        <v>9.5</v>
      </c>
      <c r="Y9">
        <v>55435</v>
      </c>
      <c r="AB9">
        <v>200210</v>
      </c>
      <c r="AC9">
        <f t="shared" si="4"/>
        <v>6.4914357576467498</v>
      </c>
      <c r="AD9">
        <f t="shared" si="2"/>
        <v>6.2877589163082597</v>
      </c>
      <c r="AE9" s="1">
        <f t="shared" si="5"/>
        <v>37530</v>
      </c>
      <c r="AF9" s="14">
        <f t="shared" si="6"/>
        <v>20.367684133849018</v>
      </c>
      <c r="AG9" s="16">
        <f t="shared" si="7"/>
        <v>1.1127150839419118E-2</v>
      </c>
    </row>
    <row r="10" spans="1:33" x14ac:dyDescent="0.25">
      <c r="A10" s="1">
        <v>39783</v>
      </c>
      <c r="B10">
        <v>6.61508899457022</v>
      </c>
      <c r="C10">
        <v>965831396</v>
      </c>
      <c r="E10" s="1">
        <v>30072</v>
      </c>
      <c r="F10">
        <v>9.6530214683803202</v>
      </c>
      <c r="G10">
        <v>109087546221.67999</v>
      </c>
      <c r="K10" s="1">
        <v>39783</v>
      </c>
      <c r="L10">
        <v>6.61508899457022</v>
      </c>
      <c r="M10">
        <f t="shared" si="0"/>
        <v>5.97504083742629</v>
      </c>
      <c r="N10">
        <f t="shared" si="3"/>
        <v>64.004815714393004</v>
      </c>
      <c r="O10" s="2">
        <f t="shared" si="1"/>
        <v>3.5490679374334898E-4</v>
      </c>
      <c r="S10">
        <v>200211</v>
      </c>
      <c r="T10">
        <v>6.2133982931926202</v>
      </c>
      <c r="U10">
        <v>8845052</v>
      </c>
      <c r="W10">
        <v>198407</v>
      </c>
      <c r="X10">
        <v>7.54</v>
      </c>
      <c r="Y10">
        <v>51118.62</v>
      </c>
      <c r="AB10">
        <v>200211</v>
      </c>
      <c r="AC10">
        <f t="shared" si="4"/>
        <v>6.2133982931926202</v>
      </c>
      <c r="AD10">
        <f t="shared" si="2"/>
        <v>6.1342483261797103</v>
      </c>
      <c r="AE10" s="1">
        <f t="shared" si="5"/>
        <v>37561</v>
      </c>
      <c r="AF10" s="14">
        <f t="shared" si="6"/>
        <v>7.9149967012909883</v>
      </c>
      <c r="AG10" s="16">
        <f t="shared" si="7"/>
        <v>8.85227967567093E-3</v>
      </c>
    </row>
    <row r="11" spans="1:33" x14ac:dyDescent="0.25">
      <c r="A11" s="1">
        <v>39845</v>
      </c>
      <c r="B11">
        <v>5.5408758457515797</v>
      </c>
      <c r="C11">
        <v>44994601171</v>
      </c>
      <c r="E11" s="1">
        <v>30086</v>
      </c>
      <c r="F11">
        <v>8.83</v>
      </c>
      <c r="G11">
        <v>496615826.51999998</v>
      </c>
      <c r="K11" s="1">
        <v>39845</v>
      </c>
      <c r="L11">
        <v>5.5408758457515797</v>
      </c>
      <c r="M11">
        <f t="shared" si="0"/>
        <v>5.0640383435435696</v>
      </c>
      <c r="N11">
        <f t="shared" si="3"/>
        <v>47.683750220801002</v>
      </c>
      <c r="O11" s="2">
        <f t="shared" si="1"/>
        <v>1.5250839249050558E-2</v>
      </c>
      <c r="S11">
        <v>200212</v>
      </c>
      <c r="T11">
        <v>6.1991776936793901</v>
      </c>
      <c r="U11">
        <v>19037492</v>
      </c>
      <c r="W11">
        <v>198408</v>
      </c>
      <c r="X11">
        <v>9</v>
      </c>
      <c r="Y11">
        <v>45000</v>
      </c>
      <c r="AB11">
        <v>200212</v>
      </c>
      <c r="AC11">
        <f t="shared" si="4"/>
        <v>6.1991776936793901</v>
      </c>
      <c r="AD11">
        <f t="shared" si="2"/>
        <v>6.11215038009464</v>
      </c>
      <c r="AE11" s="1">
        <f t="shared" si="5"/>
        <v>37591</v>
      </c>
      <c r="AF11" s="14">
        <f t="shared" si="6"/>
        <v>8.7027313584750132</v>
      </c>
      <c r="AG11" s="16">
        <f t="shared" si="7"/>
        <v>1.9225773857966467E-2</v>
      </c>
    </row>
    <row r="12" spans="1:33" x14ac:dyDescent="0.25">
      <c r="A12" s="1">
        <v>39873</v>
      </c>
      <c r="B12">
        <v>5.3354414409587303</v>
      </c>
      <c r="C12">
        <v>47649314668</v>
      </c>
      <c r="E12" s="1">
        <v>30103</v>
      </c>
      <c r="F12">
        <v>9.6148224263757491</v>
      </c>
      <c r="G12">
        <v>41110765665.68</v>
      </c>
      <c r="K12" s="1">
        <v>39873</v>
      </c>
      <c r="L12">
        <v>5.3354414409587303</v>
      </c>
      <c r="M12">
        <f t="shared" si="0"/>
        <v>4.9906923259199898</v>
      </c>
      <c r="N12">
        <f t="shared" si="3"/>
        <v>34.474911503874054</v>
      </c>
      <c r="O12" s="2">
        <f t="shared" si="1"/>
        <v>8.139954075242194E-3</v>
      </c>
      <c r="S12">
        <v>200301</v>
      </c>
      <c r="T12">
        <v>6.1294732621766403</v>
      </c>
      <c r="U12">
        <v>18878310.82</v>
      </c>
      <c r="W12">
        <v>198410</v>
      </c>
      <c r="X12">
        <v>12.7250537304267</v>
      </c>
      <c r="Y12">
        <v>162850</v>
      </c>
      <c r="AB12">
        <v>200301</v>
      </c>
      <c r="AC12">
        <f t="shared" si="4"/>
        <v>6.1294732621766403</v>
      </c>
      <c r="AD12">
        <f t="shared" si="2"/>
        <v>6.0918996575075699</v>
      </c>
      <c r="AE12" s="1">
        <f t="shared" si="5"/>
        <v>37622</v>
      </c>
      <c r="AF12" s="14">
        <f t="shared" si="6"/>
        <v>3.7573604669070448</v>
      </c>
      <c r="AG12" s="16">
        <f t="shared" si="7"/>
        <v>1.6779899690336053E-2</v>
      </c>
    </row>
    <row r="13" spans="1:33" x14ac:dyDescent="0.25">
      <c r="A13" s="1">
        <v>39904</v>
      </c>
      <c r="B13">
        <v>5.0985473440799298</v>
      </c>
      <c r="C13">
        <v>36818027973</v>
      </c>
      <c r="E13" s="1">
        <v>30133</v>
      </c>
      <c r="F13">
        <v>10.904000557948899</v>
      </c>
      <c r="G13">
        <v>76841925304.800003</v>
      </c>
      <c r="K13" s="1">
        <v>39904</v>
      </c>
      <c r="L13">
        <v>5.0985473440799298</v>
      </c>
      <c r="M13">
        <f t="shared" si="0"/>
        <v>4.9396221365250499</v>
      </c>
      <c r="N13">
        <f t="shared" si="3"/>
        <v>15.892520755487993</v>
      </c>
      <c r="O13" s="2">
        <f t="shared" si="1"/>
        <v>1.0957839710351944E-2</v>
      </c>
      <c r="S13">
        <v>200302</v>
      </c>
      <c r="T13">
        <v>6.0640863252701598</v>
      </c>
      <c r="U13">
        <v>23921054.82</v>
      </c>
      <c r="W13">
        <v>198411</v>
      </c>
      <c r="X13">
        <v>11.632258417140299</v>
      </c>
      <c r="Y13">
        <v>114350</v>
      </c>
      <c r="AB13">
        <v>200302</v>
      </c>
      <c r="AC13">
        <f t="shared" si="4"/>
        <v>6.0640863252701598</v>
      </c>
      <c r="AD13">
        <f t="shared" si="2"/>
        <v>6.0487146563673901</v>
      </c>
      <c r="AE13" s="1">
        <f t="shared" si="5"/>
        <v>37653</v>
      </c>
      <c r="AF13" s="14">
        <f t="shared" si="6"/>
        <v>1.5371668902769642</v>
      </c>
      <c r="AG13" s="16">
        <f t="shared" si="7"/>
        <v>1.6212990804190124E-2</v>
      </c>
    </row>
    <row r="14" spans="1:33" x14ac:dyDescent="0.25">
      <c r="A14" s="1">
        <v>39934</v>
      </c>
      <c r="B14">
        <v>5.94871326378503</v>
      </c>
      <c r="C14">
        <v>524521902921</v>
      </c>
      <c r="E14" s="1">
        <v>30164</v>
      </c>
      <c r="F14">
        <v>10.3635999599176</v>
      </c>
      <c r="G14">
        <v>109291018119.82001</v>
      </c>
      <c r="K14" s="1">
        <v>39934</v>
      </c>
      <c r="L14">
        <v>5.94871326378503</v>
      </c>
      <c r="M14">
        <f t="shared" si="0"/>
        <v>5.42981062692051</v>
      </c>
      <c r="N14">
        <f t="shared" si="3"/>
        <v>51.890263686452002</v>
      </c>
      <c r="O14" s="2">
        <f t="shared" si="1"/>
        <v>6.5335356111700729E-2</v>
      </c>
      <c r="S14">
        <v>200303</v>
      </c>
      <c r="T14">
        <v>6.0056332686978902</v>
      </c>
      <c r="U14">
        <v>31542615.98</v>
      </c>
      <c r="W14">
        <v>198412</v>
      </c>
      <c r="X14">
        <v>11.875</v>
      </c>
      <c r="Y14">
        <v>91150</v>
      </c>
      <c r="AB14">
        <v>200303</v>
      </c>
      <c r="AC14">
        <f t="shared" si="4"/>
        <v>6.0056332686978902</v>
      </c>
      <c r="AD14">
        <f t="shared" si="2"/>
        <v>5.9727136696203997</v>
      </c>
      <c r="AE14" s="1">
        <f t="shared" si="5"/>
        <v>37681</v>
      </c>
      <c r="AF14" s="14">
        <f t="shared" si="6"/>
        <v>3.2919599077490425</v>
      </c>
      <c r="AG14" s="16">
        <f t="shared" si="7"/>
        <v>8.2484939650148241E-3</v>
      </c>
    </row>
    <row r="15" spans="1:33" x14ac:dyDescent="0.25">
      <c r="A15" s="1">
        <v>39965</v>
      </c>
      <c r="B15">
        <v>6.0411523126401399</v>
      </c>
      <c r="C15">
        <v>170048580527</v>
      </c>
      <c r="E15" s="1">
        <v>30195</v>
      </c>
      <c r="F15">
        <v>9.9629691462418801</v>
      </c>
      <c r="G15">
        <v>141219916281.39001</v>
      </c>
      <c r="K15" s="1">
        <v>39965</v>
      </c>
      <c r="L15">
        <v>6.0411523126401399</v>
      </c>
      <c r="M15">
        <f t="shared" si="0"/>
        <v>5.0709089851056302</v>
      </c>
      <c r="N15">
        <f t="shared" si="3"/>
        <v>97.024332753450977</v>
      </c>
      <c r="O15" s="2">
        <f t="shared" si="1"/>
        <v>2.4668686175981558E-2</v>
      </c>
      <c r="S15">
        <v>200304</v>
      </c>
      <c r="T15">
        <v>5.8454160145022298</v>
      </c>
      <c r="U15">
        <v>41542098.43</v>
      </c>
      <c r="W15">
        <v>198504</v>
      </c>
      <c r="X15">
        <v>9.4323717948717896</v>
      </c>
      <c r="Y15">
        <v>62400</v>
      </c>
      <c r="AB15">
        <v>200304</v>
      </c>
      <c r="AC15">
        <f t="shared" si="4"/>
        <v>5.8454160145022298</v>
      </c>
      <c r="AD15">
        <f t="shared" si="2"/>
        <v>5.8595958769541996</v>
      </c>
      <c r="AE15" s="1">
        <f t="shared" si="5"/>
        <v>37712</v>
      </c>
      <c r="AF15" s="14">
        <f t="shared" si="6"/>
        <v>-1.4179862451969782</v>
      </c>
      <c r="AG15" s="16">
        <f t="shared" si="7"/>
        <v>4.2365768389323478E-3</v>
      </c>
    </row>
    <row r="16" spans="1:33" x14ac:dyDescent="0.25">
      <c r="A16" s="1">
        <v>39995</v>
      </c>
      <c r="B16">
        <v>5.25258091814261</v>
      </c>
      <c r="C16">
        <v>119670314273</v>
      </c>
      <c r="E16" s="1">
        <v>30225</v>
      </c>
      <c r="F16">
        <v>12.161604994205501</v>
      </c>
      <c r="G16">
        <v>312855254512.21002</v>
      </c>
      <c r="K16" s="1">
        <v>39995</v>
      </c>
      <c r="L16">
        <v>5.25258091814261</v>
      </c>
      <c r="M16">
        <f t="shared" si="0"/>
        <v>4.8743901246381203</v>
      </c>
      <c r="N16">
        <f t="shared" si="3"/>
        <v>37.819079350448973</v>
      </c>
      <c r="O16" s="2">
        <f t="shared" si="1"/>
        <v>2.5640931383379272E-2</v>
      </c>
      <c r="S16">
        <v>200305</v>
      </c>
      <c r="T16">
        <v>5.8380381315467096</v>
      </c>
      <c r="U16">
        <v>72355192.680000007</v>
      </c>
      <c r="W16">
        <v>198508</v>
      </c>
      <c r="X16">
        <v>10.125</v>
      </c>
      <c r="Y16">
        <v>32300</v>
      </c>
      <c r="AB16">
        <v>200305</v>
      </c>
      <c r="AC16">
        <f t="shared" si="4"/>
        <v>5.8380381315467096</v>
      </c>
      <c r="AD16">
        <f t="shared" si="2"/>
        <v>5.8293493328649797</v>
      </c>
      <c r="AE16" s="1">
        <f t="shared" si="5"/>
        <v>37742</v>
      </c>
      <c r="AF16" s="14">
        <f t="shared" si="6"/>
        <v>0.86887986817298923</v>
      </c>
      <c r="AG16" s="16">
        <f t="shared" si="7"/>
        <v>6.0714135529984867E-3</v>
      </c>
    </row>
    <row r="17" spans="1:33" x14ac:dyDescent="0.25">
      <c r="A17" s="1">
        <v>40026</v>
      </c>
      <c r="B17">
        <v>5.3019297697116299</v>
      </c>
      <c r="C17">
        <v>171046032353</v>
      </c>
      <c r="E17" s="1">
        <v>30235</v>
      </c>
      <c r="F17">
        <v>8.64</v>
      </c>
      <c r="G17">
        <v>2383513538.7199998</v>
      </c>
      <c r="K17" s="1">
        <v>40026</v>
      </c>
      <c r="L17">
        <v>5.3019297697116299</v>
      </c>
      <c r="M17">
        <f t="shared" si="0"/>
        <v>5.0117457844567896</v>
      </c>
      <c r="N17">
        <f t="shared" si="3"/>
        <v>29.018398525484024</v>
      </c>
      <c r="O17" s="2">
        <f t="shared" si="1"/>
        <v>5.0619804086324681E-2</v>
      </c>
      <c r="S17">
        <v>200306</v>
      </c>
      <c r="T17">
        <v>5.74895329955576</v>
      </c>
      <c r="U17">
        <v>69686941.379999995</v>
      </c>
      <c r="W17">
        <v>198511</v>
      </c>
      <c r="X17">
        <v>9.8000000000000007</v>
      </c>
      <c r="Y17">
        <v>31900</v>
      </c>
      <c r="AB17">
        <v>200306</v>
      </c>
      <c r="AC17">
        <f t="shared" si="4"/>
        <v>5.74895329955576</v>
      </c>
      <c r="AD17">
        <f t="shared" si="2"/>
        <v>5.7429205979278999</v>
      </c>
      <c r="AE17" s="1">
        <f t="shared" si="5"/>
        <v>37773</v>
      </c>
      <c r="AF17" s="14">
        <f t="shared" si="6"/>
        <v>0.60327016278600709</v>
      </c>
      <c r="AG17" s="16">
        <f t="shared" si="7"/>
        <v>5.7553107592275519E-3</v>
      </c>
    </row>
    <row r="18" spans="1:33" x14ac:dyDescent="0.25">
      <c r="A18" s="1">
        <v>40057</v>
      </c>
      <c r="B18">
        <v>5.3079660068142296</v>
      </c>
      <c r="C18">
        <v>278101063847</v>
      </c>
      <c r="E18" s="1">
        <v>30256</v>
      </c>
      <c r="F18">
        <v>11.026192923441</v>
      </c>
      <c r="G18">
        <v>182795013796.57999</v>
      </c>
      <c r="K18" s="1">
        <v>40057</v>
      </c>
      <c r="L18">
        <v>5.3079660068142296</v>
      </c>
      <c r="M18">
        <f t="shared" si="0"/>
        <v>5.2754165130291399</v>
      </c>
      <c r="N18">
        <f t="shared" si="3"/>
        <v>3.2549493785089645</v>
      </c>
      <c r="O18" s="2">
        <f t="shared" si="1"/>
        <v>8.6720315539991488E-2</v>
      </c>
      <c r="S18">
        <v>200307</v>
      </c>
      <c r="T18">
        <v>5.5802253692785797</v>
      </c>
      <c r="U18">
        <v>163443363.18000001</v>
      </c>
      <c r="W18">
        <v>198512</v>
      </c>
      <c r="X18">
        <v>11.154397473275001</v>
      </c>
      <c r="Y18">
        <v>102900</v>
      </c>
      <c r="AB18">
        <v>200307</v>
      </c>
      <c r="AC18">
        <f t="shared" si="4"/>
        <v>5.5802253692785797</v>
      </c>
      <c r="AD18">
        <f t="shared" si="2"/>
        <v>5.46637312961332</v>
      </c>
      <c r="AE18" s="1">
        <f t="shared" si="5"/>
        <v>37803</v>
      </c>
      <c r="AF18" s="14">
        <f t="shared" si="6"/>
        <v>11.38522396652597</v>
      </c>
      <c r="AG18" s="16">
        <f t="shared" si="7"/>
        <v>9.5865667097476369E-3</v>
      </c>
    </row>
    <row r="19" spans="1:33" x14ac:dyDescent="0.25">
      <c r="A19" s="1">
        <v>40087</v>
      </c>
      <c r="B19">
        <v>5.1737070860492098</v>
      </c>
      <c r="C19">
        <v>345111931532</v>
      </c>
      <c r="E19" s="1">
        <v>30286</v>
      </c>
      <c r="F19">
        <v>9.6085636843857198</v>
      </c>
      <c r="G19">
        <v>281333198895.69</v>
      </c>
      <c r="K19" s="1">
        <v>40087</v>
      </c>
      <c r="L19">
        <v>5.1737070860492098</v>
      </c>
      <c r="M19">
        <f t="shared" si="0"/>
        <v>5.1437375107246996</v>
      </c>
      <c r="N19">
        <f t="shared" si="3"/>
        <v>2.9969575324510167</v>
      </c>
      <c r="O19" s="2">
        <f t="shared" si="1"/>
        <v>0.19388769396695821</v>
      </c>
      <c r="S19">
        <v>200308</v>
      </c>
      <c r="T19">
        <v>5.5369370711854504</v>
      </c>
      <c r="U19">
        <v>185061546.52000001</v>
      </c>
      <c r="W19">
        <v>198602</v>
      </c>
      <c r="X19">
        <v>10.356714628297301</v>
      </c>
      <c r="Y19">
        <v>83400</v>
      </c>
      <c r="AB19">
        <v>200308</v>
      </c>
      <c r="AC19">
        <f t="shared" si="4"/>
        <v>5.5369370711854504</v>
      </c>
      <c r="AD19">
        <f t="shared" si="2"/>
        <v>5.40206872605967</v>
      </c>
      <c r="AE19" s="1">
        <f t="shared" si="5"/>
        <v>37834</v>
      </c>
      <c r="AF19" s="14">
        <f t="shared" si="6"/>
        <v>13.486834512578039</v>
      </c>
      <c r="AG19" s="16">
        <f t="shared" si="7"/>
        <v>9.6845311345253315E-3</v>
      </c>
    </row>
    <row r="20" spans="1:33" x14ac:dyDescent="0.25">
      <c r="A20" s="1">
        <v>40118</v>
      </c>
      <c r="B20">
        <v>5.4206972136522804</v>
      </c>
      <c r="C20">
        <v>226250741009</v>
      </c>
      <c r="E20" s="1">
        <v>30317</v>
      </c>
      <c r="F20">
        <v>13.315437321258299</v>
      </c>
      <c r="G20">
        <v>119941101682.64999</v>
      </c>
      <c r="K20" s="1">
        <v>40118</v>
      </c>
      <c r="L20">
        <v>5.4206972136522804</v>
      </c>
      <c r="M20">
        <f t="shared" si="0"/>
        <v>5.1227940946666299</v>
      </c>
      <c r="N20">
        <f t="shared" si="3"/>
        <v>29.790311898565047</v>
      </c>
      <c r="O20" s="2">
        <f t="shared" si="1"/>
        <v>0.12281276126308358</v>
      </c>
      <c r="S20">
        <v>200309</v>
      </c>
      <c r="T20">
        <v>5.5314763873093202</v>
      </c>
      <c r="U20">
        <v>77809684</v>
      </c>
      <c r="W20">
        <v>198603</v>
      </c>
      <c r="X20">
        <v>9.375</v>
      </c>
      <c r="Y20">
        <v>60000</v>
      </c>
      <c r="AB20">
        <v>200309</v>
      </c>
      <c r="AC20">
        <f t="shared" si="4"/>
        <v>5.5314763873093202</v>
      </c>
      <c r="AD20">
        <f t="shared" si="2"/>
        <v>5.5880510392633402</v>
      </c>
      <c r="AE20" s="1">
        <f t="shared" si="5"/>
        <v>37865</v>
      </c>
      <c r="AF20" s="14">
        <f t="shared" si="6"/>
        <v>-5.6574651954020005</v>
      </c>
      <c r="AG20" s="16">
        <f t="shared" si="7"/>
        <v>5.8385389868883374E-3</v>
      </c>
    </row>
    <row r="21" spans="1:33" x14ac:dyDescent="0.25">
      <c r="A21" s="1">
        <v>40148</v>
      </c>
      <c r="B21">
        <v>5.3051625635030302</v>
      </c>
      <c r="C21">
        <v>206304228919</v>
      </c>
      <c r="E21" s="1">
        <v>30348</v>
      </c>
      <c r="F21">
        <v>12.700890162097</v>
      </c>
      <c r="G21">
        <v>189355031841.60001</v>
      </c>
      <c r="K21" s="1">
        <v>40148</v>
      </c>
      <c r="L21">
        <v>5.3051625635030302</v>
      </c>
      <c r="M21">
        <f t="shared" si="0"/>
        <v>5.0644022910284301</v>
      </c>
      <c r="N21">
        <f t="shared" si="3"/>
        <v>24.076027247460008</v>
      </c>
      <c r="O21" s="2">
        <f t="shared" si="1"/>
        <v>8.9618259017496912E-2</v>
      </c>
      <c r="S21">
        <v>200310</v>
      </c>
      <c r="T21">
        <v>5.60712210627098</v>
      </c>
      <c r="U21">
        <v>24005876</v>
      </c>
      <c r="W21">
        <v>198604</v>
      </c>
      <c r="X21">
        <v>9.4773442909467391</v>
      </c>
      <c r="Y21">
        <v>141433.17000000001</v>
      </c>
      <c r="AB21">
        <v>200310</v>
      </c>
      <c r="AC21">
        <f t="shared" si="4"/>
        <v>5.60712210627098</v>
      </c>
      <c r="AD21">
        <f t="shared" si="2"/>
        <v>5.8789328257957401</v>
      </c>
      <c r="AE21" s="1">
        <f t="shared" si="5"/>
        <v>37895</v>
      </c>
      <c r="AF21" s="14">
        <f t="shared" si="6"/>
        <v>-27.18107195247601</v>
      </c>
      <c r="AG21" s="16">
        <f t="shared" si="7"/>
        <v>3.1646673542558624E-3</v>
      </c>
    </row>
    <row r="22" spans="1:33" x14ac:dyDescent="0.25">
      <c r="A22" s="1">
        <v>40179</v>
      </c>
      <c r="B22">
        <v>5.2422195151643001</v>
      </c>
      <c r="C22">
        <v>186317286888</v>
      </c>
      <c r="E22" s="1">
        <v>30371</v>
      </c>
      <c r="F22">
        <v>10.119999999999999</v>
      </c>
      <c r="G22">
        <v>245978661.88</v>
      </c>
      <c r="K22" s="1">
        <v>40179</v>
      </c>
      <c r="L22">
        <v>5.2422195151643001</v>
      </c>
      <c r="M22">
        <f t="shared" si="0"/>
        <v>5.050735856298</v>
      </c>
      <c r="N22">
        <f t="shared" si="3"/>
        <v>19.148365886630003</v>
      </c>
      <c r="O22" s="2">
        <f t="shared" si="1"/>
        <v>0.10271581239762505</v>
      </c>
      <c r="S22">
        <v>200311</v>
      </c>
      <c r="T22">
        <v>5.7488468648701598</v>
      </c>
      <c r="U22">
        <v>7108707.2000000002</v>
      </c>
      <c r="W22">
        <v>198605</v>
      </c>
      <c r="X22">
        <v>9.9893007582139806</v>
      </c>
      <c r="Y22">
        <v>118700</v>
      </c>
      <c r="AB22">
        <v>200311</v>
      </c>
      <c r="AC22">
        <f t="shared" si="4"/>
        <v>5.7488468648701598</v>
      </c>
      <c r="AD22">
        <f t="shared" si="2"/>
        <v>5.9451936521085997</v>
      </c>
      <c r="AE22" s="1">
        <f t="shared" si="5"/>
        <v>37926</v>
      </c>
      <c r="AF22" s="14">
        <f t="shared" si="6"/>
        <v>-19.63467872384399</v>
      </c>
      <c r="AG22" s="16">
        <f t="shared" si="7"/>
        <v>1.1637578084421668E-3</v>
      </c>
    </row>
    <row r="23" spans="1:33" x14ac:dyDescent="0.25">
      <c r="A23" s="1">
        <v>40210</v>
      </c>
      <c r="B23">
        <v>5.2274340202475598</v>
      </c>
      <c r="C23">
        <v>178121476717</v>
      </c>
      <c r="E23" s="1">
        <v>30376</v>
      </c>
      <c r="F23">
        <v>12.913322290927599</v>
      </c>
      <c r="G23">
        <v>228346573908.38</v>
      </c>
      <c r="K23" s="1">
        <v>40210</v>
      </c>
      <c r="L23">
        <v>5.2274340202475598</v>
      </c>
      <c r="M23">
        <f t="shared" si="0"/>
        <v>5.0377067030616098</v>
      </c>
      <c r="N23">
        <f t="shared" si="3"/>
        <v>18.972731718594993</v>
      </c>
      <c r="O23" s="2">
        <f t="shared" si="1"/>
        <v>9.7957271276644484E-2</v>
      </c>
      <c r="S23">
        <v>200312</v>
      </c>
      <c r="T23">
        <v>6.17591061998945</v>
      </c>
      <c r="U23">
        <v>6563660</v>
      </c>
      <c r="W23">
        <v>198606</v>
      </c>
      <c r="X23">
        <v>10.8200169768813</v>
      </c>
      <c r="Y23">
        <v>208948.86</v>
      </c>
      <c r="AB23">
        <v>200312</v>
      </c>
      <c r="AC23">
        <f t="shared" si="4"/>
        <v>6.17591061998945</v>
      </c>
      <c r="AD23">
        <f t="shared" si="2"/>
        <v>5.9856258222565604</v>
      </c>
      <c r="AE23" s="1">
        <f t="shared" si="5"/>
        <v>37956</v>
      </c>
      <c r="AF23" s="14">
        <f t="shared" si="6"/>
        <v>19.028479773288964</v>
      </c>
      <c r="AG23" s="16">
        <f t="shared" si="7"/>
        <v>1.4020470750008758E-3</v>
      </c>
    </row>
    <row r="24" spans="1:33" x14ac:dyDescent="0.25">
      <c r="A24" s="1">
        <v>40238</v>
      </c>
      <c r="B24">
        <v>5.2833886604944702</v>
      </c>
      <c r="C24">
        <v>184995232695</v>
      </c>
      <c r="E24" s="1">
        <v>30407</v>
      </c>
      <c r="F24">
        <v>11.159818312327101</v>
      </c>
      <c r="G24">
        <v>67252070306.57</v>
      </c>
      <c r="K24" s="1">
        <v>40238</v>
      </c>
      <c r="L24">
        <v>5.2833886604944702</v>
      </c>
      <c r="M24">
        <f t="shared" si="0"/>
        <v>5.1055540771484802</v>
      </c>
      <c r="N24">
        <f t="shared" si="3"/>
        <v>17.783458334599</v>
      </c>
      <c r="O24" s="2">
        <f t="shared" si="1"/>
        <v>0.12330188931480089</v>
      </c>
      <c r="S24">
        <v>200401</v>
      </c>
      <c r="T24">
        <v>5.9630934832876603</v>
      </c>
      <c r="U24">
        <v>7109720</v>
      </c>
      <c r="W24">
        <v>198607</v>
      </c>
      <c r="X24">
        <v>9.9706361934543093</v>
      </c>
      <c r="Y24">
        <v>521901</v>
      </c>
      <c r="AB24">
        <v>200401</v>
      </c>
      <c r="AC24">
        <f t="shared" si="4"/>
        <v>5.9630934832876603</v>
      </c>
      <c r="AD24">
        <f t="shared" si="2"/>
        <v>5.9628233300893001</v>
      </c>
      <c r="AE24" s="1">
        <f t="shared" si="5"/>
        <v>37987</v>
      </c>
      <c r="AF24" s="14">
        <f t="shared" si="6"/>
        <v>2.7015319836021234E-2</v>
      </c>
      <c r="AG24" s="16">
        <f t="shared" si="7"/>
        <v>1.4415775616071385E-3</v>
      </c>
    </row>
    <row r="25" spans="1:33" x14ac:dyDescent="0.25">
      <c r="A25" s="1">
        <v>40269</v>
      </c>
      <c r="B25">
        <v>5.1830298059280802</v>
      </c>
      <c r="C25">
        <v>124266801177</v>
      </c>
      <c r="E25" s="1">
        <v>30437</v>
      </c>
      <c r="F25">
        <v>11.296044621406301</v>
      </c>
      <c r="G25">
        <v>121726047270.32001</v>
      </c>
      <c r="K25" s="1">
        <v>40269</v>
      </c>
      <c r="L25">
        <v>5.1830298059280802</v>
      </c>
      <c r="M25">
        <f t="shared" si="0"/>
        <v>5.1108375047646097</v>
      </c>
      <c r="N25">
        <f t="shared" si="3"/>
        <v>7.2192301163470418</v>
      </c>
      <c r="O25" s="2">
        <f t="shared" si="1"/>
        <v>8.0616790293127405E-2</v>
      </c>
      <c r="S25">
        <v>200402</v>
      </c>
      <c r="T25">
        <v>5.8016808145396199</v>
      </c>
      <c r="U25">
        <v>7679361.6699999999</v>
      </c>
      <c r="W25">
        <v>198608</v>
      </c>
      <c r="X25">
        <v>8.8843283582089505</v>
      </c>
      <c r="Y25">
        <v>214400</v>
      </c>
      <c r="AB25">
        <v>200402</v>
      </c>
      <c r="AC25">
        <f t="shared" si="4"/>
        <v>5.8016808145396199</v>
      </c>
      <c r="AD25">
        <f t="shared" si="2"/>
        <v>5.8862156933062497</v>
      </c>
      <c r="AE25" s="1">
        <f t="shared" si="5"/>
        <v>38018</v>
      </c>
      <c r="AF25" s="14">
        <f t="shared" si="6"/>
        <v>-8.4534878766629795</v>
      </c>
      <c r="AG25" s="16">
        <f t="shared" si="7"/>
        <v>1.7695949925048493E-3</v>
      </c>
    </row>
    <row r="26" spans="1:33" x14ac:dyDescent="0.25">
      <c r="A26" s="1">
        <v>40299</v>
      </c>
      <c r="B26">
        <v>5.2037674446010502</v>
      </c>
      <c r="C26">
        <v>120588519601</v>
      </c>
      <c r="E26" s="1">
        <v>30468</v>
      </c>
      <c r="F26">
        <v>11.045234610827301</v>
      </c>
      <c r="G26">
        <v>84113899145.259995</v>
      </c>
      <c r="K26" s="1">
        <v>40299</v>
      </c>
      <c r="L26">
        <v>5.2037674446010502</v>
      </c>
      <c r="M26">
        <f t="shared" si="0"/>
        <v>5.1452044317440198</v>
      </c>
      <c r="N26">
        <f t="shared" si="3"/>
        <v>5.8563012857030472</v>
      </c>
      <c r="O26" s="2">
        <f t="shared" si="1"/>
        <v>8.4148722824238742E-2</v>
      </c>
      <c r="S26">
        <v>200403</v>
      </c>
      <c r="T26">
        <v>5.5755494480614596</v>
      </c>
      <c r="U26">
        <v>8806070.2899999991</v>
      </c>
      <c r="W26">
        <v>198609</v>
      </c>
      <c r="X26">
        <v>9.7078123207525504</v>
      </c>
      <c r="Y26">
        <v>435850</v>
      </c>
      <c r="AB26">
        <v>200403</v>
      </c>
      <c r="AC26">
        <f t="shared" si="4"/>
        <v>5.5755494480614596</v>
      </c>
      <c r="AD26">
        <f t="shared" si="2"/>
        <v>5.7780759529950698</v>
      </c>
      <c r="AE26" s="1">
        <f t="shared" si="5"/>
        <v>38047</v>
      </c>
      <c r="AF26" s="14">
        <f t="shared" si="6"/>
        <v>-20.252650493361024</v>
      </c>
      <c r="AG26" s="16">
        <f t="shared" si="7"/>
        <v>1.5530876218078616E-3</v>
      </c>
    </row>
    <row r="27" spans="1:33" x14ac:dyDescent="0.25">
      <c r="A27" s="1">
        <v>40330</v>
      </c>
      <c r="B27">
        <v>5.2268019319845598</v>
      </c>
      <c r="C27">
        <v>107215134264</v>
      </c>
      <c r="E27" s="1">
        <v>30498</v>
      </c>
      <c r="F27">
        <v>13.5119453234167</v>
      </c>
      <c r="G27">
        <v>216246089360.32999</v>
      </c>
      <c r="K27" s="1">
        <v>40330</v>
      </c>
      <c r="L27">
        <v>5.2268019319845598</v>
      </c>
      <c r="M27">
        <f t="shared" si="0"/>
        <v>5.1800008223351597</v>
      </c>
      <c r="N27">
        <f t="shared" si="3"/>
        <v>4.6801109649400097</v>
      </c>
      <c r="O27" s="2">
        <f t="shared" si="1"/>
        <v>6.4072806140162031E-2</v>
      </c>
      <c r="S27">
        <v>200404</v>
      </c>
      <c r="T27">
        <v>5.60382192358552</v>
      </c>
      <c r="U27">
        <v>25409371.440000001</v>
      </c>
      <c r="W27">
        <v>198610</v>
      </c>
      <c r="X27">
        <v>9.2805851063829703</v>
      </c>
      <c r="Y27">
        <v>394800</v>
      </c>
      <c r="AB27">
        <v>200404</v>
      </c>
      <c r="AC27">
        <f t="shared" si="4"/>
        <v>5.60382192358552</v>
      </c>
      <c r="AD27">
        <f t="shared" si="2"/>
        <v>5.6646504302636496</v>
      </c>
      <c r="AE27" s="1">
        <f t="shared" si="5"/>
        <v>38078</v>
      </c>
      <c r="AF27" s="14">
        <f t="shared" si="6"/>
        <v>-6.0828506678129557</v>
      </c>
      <c r="AG27" s="16">
        <f t="shared" si="7"/>
        <v>3.199809092083106E-3</v>
      </c>
    </row>
    <row r="28" spans="1:33" x14ac:dyDescent="0.25">
      <c r="A28" s="1">
        <v>40360</v>
      </c>
      <c r="B28">
        <v>5.0358254105692204</v>
      </c>
      <c r="C28">
        <v>214501705334</v>
      </c>
      <c r="E28" s="1">
        <v>30529</v>
      </c>
      <c r="F28">
        <v>12.079785894420599</v>
      </c>
      <c r="G28">
        <v>90626883920.149994</v>
      </c>
      <c r="K28" s="1">
        <v>40360</v>
      </c>
      <c r="L28">
        <v>5.0358254105692204</v>
      </c>
      <c r="M28">
        <f t="shared" si="0"/>
        <v>5.05893153166061</v>
      </c>
      <c r="N28">
        <f t="shared" si="3"/>
        <v>-2.3106121091389653</v>
      </c>
      <c r="O28" s="2">
        <f t="shared" si="1"/>
        <v>0.13968968264700857</v>
      </c>
      <c r="S28">
        <v>200405</v>
      </c>
      <c r="T28">
        <v>5.4914899765299801</v>
      </c>
      <c r="U28">
        <v>67498498.920000002</v>
      </c>
      <c r="W28">
        <v>198611</v>
      </c>
      <c r="X28">
        <v>9.8493644550843502</v>
      </c>
      <c r="Y28">
        <v>438600</v>
      </c>
      <c r="AB28">
        <v>200405</v>
      </c>
      <c r="AC28">
        <f t="shared" si="4"/>
        <v>5.4914899765299801</v>
      </c>
      <c r="AD28">
        <f t="shared" si="2"/>
        <v>5.6013701927985897</v>
      </c>
      <c r="AE28" s="1">
        <f t="shared" si="5"/>
        <v>38108</v>
      </c>
      <c r="AF28" s="14">
        <f t="shared" si="6"/>
        <v>-10.988021626860967</v>
      </c>
      <c r="AG28" s="16">
        <f t="shared" si="7"/>
        <v>7.7648033204492338E-3</v>
      </c>
    </row>
    <row r="29" spans="1:33" x14ac:dyDescent="0.25">
      <c r="A29" s="1">
        <v>40391</v>
      </c>
      <c r="B29">
        <v>4.9350697557393897</v>
      </c>
      <c r="C29">
        <v>213292955017</v>
      </c>
      <c r="E29" s="1">
        <v>30560</v>
      </c>
      <c r="F29">
        <v>13.295479426976801</v>
      </c>
      <c r="G29">
        <v>91109612049.279999</v>
      </c>
      <c r="K29" s="1">
        <v>40391</v>
      </c>
      <c r="L29">
        <v>4.9350697557393897</v>
      </c>
      <c r="M29">
        <f t="shared" si="0"/>
        <v>4.8752305579968596</v>
      </c>
      <c r="N29">
        <f t="shared" si="3"/>
        <v>5.9839197742530104</v>
      </c>
      <c r="O29" s="2">
        <f t="shared" si="1"/>
        <v>0.12714417739454253</v>
      </c>
      <c r="S29">
        <v>200406</v>
      </c>
      <c r="T29">
        <v>5.6533499366850197</v>
      </c>
      <c r="U29">
        <v>34094622</v>
      </c>
      <c r="W29">
        <v>198612</v>
      </c>
      <c r="X29">
        <v>9.76576292559899</v>
      </c>
      <c r="Y29">
        <v>198250</v>
      </c>
      <c r="AB29">
        <v>200406</v>
      </c>
      <c r="AC29">
        <f t="shared" si="4"/>
        <v>5.6533499366850197</v>
      </c>
      <c r="AD29">
        <f t="shared" si="2"/>
        <v>5.8959131468926902</v>
      </c>
      <c r="AE29" s="1">
        <f t="shared" si="5"/>
        <v>38139</v>
      </c>
      <c r="AF29" s="14">
        <f t="shared" si="6"/>
        <v>-24.256321020767047</v>
      </c>
      <c r="AG29" s="16">
        <f t="shared" si="7"/>
        <v>6.1658705223360559E-3</v>
      </c>
    </row>
    <row r="30" spans="1:33" x14ac:dyDescent="0.25">
      <c r="A30" s="1">
        <v>40422</v>
      </c>
      <c r="B30">
        <v>4.8004870789717398</v>
      </c>
      <c r="C30">
        <v>284906181934</v>
      </c>
      <c r="E30" s="1">
        <v>30590</v>
      </c>
      <c r="F30">
        <v>14.121399745802099</v>
      </c>
      <c r="G30">
        <v>67562584562.410004</v>
      </c>
      <c r="K30" s="1">
        <v>40422</v>
      </c>
      <c r="L30">
        <v>4.8004870789717398</v>
      </c>
      <c r="M30">
        <f t="shared" si="0"/>
        <v>4.7222358319862998</v>
      </c>
      <c r="N30">
        <f t="shared" si="3"/>
        <v>7.8251246985439948</v>
      </c>
      <c r="O30" s="2">
        <f t="shared" si="1"/>
        <v>0.11188284220550029</v>
      </c>
      <c r="S30">
        <v>200407</v>
      </c>
      <c r="T30">
        <v>5.9557269712808401</v>
      </c>
      <c r="U30">
        <v>8451675</v>
      </c>
      <c r="W30">
        <v>198701</v>
      </c>
      <c r="X30">
        <v>9.1308851896835002</v>
      </c>
      <c r="Y30">
        <v>699850</v>
      </c>
      <c r="AB30">
        <v>200407</v>
      </c>
      <c r="AC30">
        <f t="shared" si="4"/>
        <v>5.9557269712808401</v>
      </c>
      <c r="AD30">
        <f t="shared" si="2"/>
        <v>6.2577732449514203</v>
      </c>
      <c r="AE30" s="1">
        <f t="shared" si="5"/>
        <v>38169</v>
      </c>
      <c r="AF30" s="14">
        <f t="shared" si="6"/>
        <v>-30.204627367058023</v>
      </c>
      <c r="AG30" s="16">
        <f t="shared" si="7"/>
        <v>2.1665922277987228E-3</v>
      </c>
    </row>
    <row r="31" spans="1:33" x14ac:dyDescent="0.25">
      <c r="A31" s="1">
        <v>40452</v>
      </c>
      <c r="B31">
        <v>4.7051352128635102</v>
      </c>
      <c r="C31">
        <v>259043209502</v>
      </c>
      <c r="E31" s="1">
        <v>30621</v>
      </c>
      <c r="F31">
        <v>11.96675076162</v>
      </c>
      <c r="G31">
        <v>26913527381.119999</v>
      </c>
      <c r="K31" s="1">
        <v>40452</v>
      </c>
      <c r="L31">
        <v>4.7051352128635102</v>
      </c>
      <c r="M31">
        <f t="shared" si="0"/>
        <v>4.6074743369174298</v>
      </c>
      <c r="N31">
        <f t="shared" si="3"/>
        <v>9.7660875946080417</v>
      </c>
      <c r="O31" s="2">
        <f t="shared" si="1"/>
        <v>0.10726848859242477</v>
      </c>
      <c r="S31">
        <v>200408</v>
      </c>
      <c r="T31">
        <v>6.2593337604532602</v>
      </c>
      <c r="U31">
        <v>10363990</v>
      </c>
      <c r="W31">
        <v>198702</v>
      </c>
      <c r="X31">
        <v>9.1215889464594095</v>
      </c>
      <c r="Y31">
        <v>579000</v>
      </c>
      <c r="AB31">
        <v>200408</v>
      </c>
      <c r="AC31">
        <f t="shared" si="4"/>
        <v>6.2593337604532602</v>
      </c>
      <c r="AD31">
        <f t="shared" si="2"/>
        <v>6.2875485597207001</v>
      </c>
      <c r="AE31" s="1">
        <f t="shared" si="5"/>
        <v>38200</v>
      </c>
      <c r="AF31" s="14">
        <f t="shared" si="6"/>
        <v>-2.8214799267439972</v>
      </c>
      <c r="AG31" s="16">
        <f t="shared" si="7"/>
        <v>2.7530138670098046E-3</v>
      </c>
    </row>
    <row r="32" spans="1:33" x14ac:dyDescent="0.25">
      <c r="A32" s="1">
        <v>40483</v>
      </c>
      <c r="B32">
        <v>4.6083655391721301</v>
      </c>
      <c r="C32">
        <v>270042704820</v>
      </c>
      <c r="E32" s="1">
        <v>30651</v>
      </c>
      <c r="F32">
        <v>12.045695030108501</v>
      </c>
      <c r="G32">
        <v>114944558444.25999</v>
      </c>
      <c r="K32" s="1">
        <v>40483</v>
      </c>
      <c r="L32">
        <v>4.6083655391721301</v>
      </c>
      <c r="M32">
        <f t="shared" si="0"/>
        <v>4.5383501216630604</v>
      </c>
      <c r="N32">
        <f t="shared" si="3"/>
        <v>7.00154175090697</v>
      </c>
      <c r="O32" s="2">
        <f t="shared" si="1"/>
        <v>0.11528515040528932</v>
      </c>
      <c r="S32">
        <v>200409</v>
      </c>
      <c r="T32">
        <v>6.0367759784840498</v>
      </c>
      <c r="U32">
        <v>15472105.460000001</v>
      </c>
      <c r="W32">
        <v>198703</v>
      </c>
      <c r="X32">
        <v>9.3998684156482604</v>
      </c>
      <c r="Y32">
        <v>199643.8</v>
      </c>
      <c r="AB32">
        <v>200409</v>
      </c>
      <c r="AC32">
        <f t="shared" si="4"/>
        <v>6.0367759784840498</v>
      </c>
      <c r="AD32">
        <f t="shared" si="2"/>
        <v>6.1301464801548597</v>
      </c>
      <c r="AE32" s="1">
        <f t="shared" si="5"/>
        <v>38231</v>
      </c>
      <c r="AF32" s="14">
        <f t="shared" si="6"/>
        <v>-9.3370501670809958</v>
      </c>
      <c r="AG32" s="16">
        <f t="shared" si="7"/>
        <v>3.3458658684404571E-3</v>
      </c>
    </row>
    <row r="33" spans="1:33" x14ac:dyDescent="0.25">
      <c r="A33" s="1">
        <v>40513</v>
      </c>
      <c r="B33">
        <v>4.5304927831705797</v>
      </c>
      <c r="C33">
        <v>303437367355</v>
      </c>
      <c r="E33" s="1">
        <v>30682</v>
      </c>
      <c r="F33">
        <v>12.1035179420682</v>
      </c>
      <c r="G33">
        <v>19376271209.099998</v>
      </c>
      <c r="K33" s="1">
        <v>40513</v>
      </c>
      <c r="L33">
        <v>4.5304927831705797</v>
      </c>
      <c r="M33">
        <f t="shared" si="0"/>
        <v>4.4591751002379896</v>
      </c>
      <c r="N33">
        <f t="shared" si="3"/>
        <v>7.131768293259011</v>
      </c>
      <c r="O33" s="2">
        <f t="shared" si="1"/>
        <v>0.11547432300014933</v>
      </c>
      <c r="S33">
        <v>200410</v>
      </c>
      <c r="T33">
        <v>5.9227913358731001</v>
      </c>
      <c r="U33">
        <v>21358144.239999998</v>
      </c>
      <c r="W33">
        <v>198704</v>
      </c>
      <c r="X33">
        <v>8.6057037768994196</v>
      </c>
      <c r="Y33">
        <v>364320</v>
      </c>
      <c r="AB33">
        <v>200410</v>
      </c>
      <c r="AC33">
        <f t="shared" si="4"/>
        <v>5.9227913358731001</v>
      </c>
      <c r="AD33">
        <f t="shared" si="2"/>
        <v>5.9809633534422799</v>
      </c>
      <c r="AE33" s="1">
        <f t="shared" si="5"/>
        <v>38261</v>
      </c>
      <c r="AF33" s="14">
        <f t="shared" si="6"/>
        <v>-5.8172017569179779</v>
      </c>
      <c r="AG33" s="16">
        <f t="shared" si="7"/>
        <v>4.3342914235338769E-3</v>
      </c>
    </row>
    <row r="34" spans="1:33" x14ac:dyDescent="0.25">
      <c r="A34" s="1">
        <v>40544</v>
      </c>
      <c r="B34">
        <v>4.4915021240579902</v>
      </c>
      <c r="C34">
        <v>252293748284</v>
      </c>
      <c r="E34" s="1">
        <v>30713</v>
      </c>
      <c r="F34">
        <v>13.094667924702099</v>
      </c>
      <c r="G34">
        <v>88791033224.399994</v>
      </c>
      <c r="K34" s="1">
        <v>40544</v>
      </c>
      <c r="L34">
        <v>4.4915021240579902</v>
      </c>
      <c r="M34">
        <f t="shared" si="0"/>
        <v>4.4811424452986204</v>
      </c>
      <c r="N34">
        <f t="shared" si="3"/>
        <v>1.0359678759369828</v>
      </c>
      <c r="O34" s="2">
        <f t="shared" si="1"/>
        <v>0.12575351130932561</v>
      </c>
      <c r="S34">
        <v>200411</v>
      </c>
      <c r="T34">
        <v>5.8496055126769502</v>
      </c>
      <c r="U34">
        <v>19959450</v>
      </c>
      <c r="W34">
        <v>198705</v>
      </c>
      <c r="X34">
        <v>9.5283503652612698</v>
      </c>
      <c r="Y34">
        <v>686358</v>
      </c>
      <c r="AB34">
        <v>200411</v>
      </c>
      <c r="AC34">
        <f t="shared" si="4"/>
        <v>5.8496055126769502</v>
      </c>
      <c r="AD34">
        <f t="shared" si="2"/>
        <v>5.89126289624883</v>
      </c>
      <c r="AE34" s="1">
        <f t="shared" si="5"/>
        <v>38292</v>
      </c>
      <c r="AF34" s="14">
        <f t="shared" si="6"/>
        <v>-4.1657383571879869</v>
      </c>
      <c r="AG34" s="16">
        <f t="shared" si="7"/>
        <v>3.5486146467901638E-3</v>
      </c>
    </row>
    <row r="35" spans="1:33" x14ac:dyDescent="0.25">
      <c r="A35" s="1">
        <v>40575</v>
      </c>
      <c r="B35">
        <v>4.57399460783272</v>
      </c>
      <c r="C35">
        <v>161419412118</v>
      </c>
      <c r="E35" s="1">
        <v>30742</v>
      </c>
      <c r="F35">
        <v>10.8744331962166</v>
      </c>
      <c r="G35">
        <v>148366976515.25</v>
      </c>
      <c r="K35" s="1">
        <v>40575</v>
      </c>
      <c r="L35">
        <v>4.57399460783272</v>
      </c>
      <c r="M35">
        <f t="shared" si="0"/>
        <v>4.6316240644640896</v>
      </c>
      <c r="N35">
        <f t="shared" si="3"/>
        <v>-5.7629456631369536</v>
      </c>
      <c r="O35" s="2">
        <f t="shared" si="1"/>
        <v>9.9747275006174391E-2</v>
      </c>
      <c r="S35">
        <v>200412</v>
      </c>
      <c r="T35">
        <v>5.7805590793260802</v>
      </c>
      <c r="U35">
        <v>22427050</v>
      </c>
      <c r="W35">
        <v>198706</v>
      </c>
      <c r="X35">
        <v>9.5187760300742692</v>
      </c>
      <c r="Y35">
        <v>858142</v>
      </c>
      <c r="AB35">
        <v>200412</v>
      </c>
      <c r="AC35">
        <f t="shared" si="4"/>
        <v>5.7805590793260802</v>
      </c>
      <c r="AD35">
        <f t="shared" si="2"/>
        <v>5.84574333817267</v>
      </c>
      <c r="AE35" s="1">
        <f t="shared" si="5"/>
        <v>38322</v>
      </c>
      <c r="AF35" s="14">
        <f t="shared" si="6"/>
        <v>-6.5184258846589849</v>
      </c>
      <c r="AG35" s="16">
        <f t="shared" si="7"/>
        <v>4.0772771005517803E-3</v>
      </c>
    </row>
    <row r="36" spans="1:33" x14ac:dyDescent="0.25">
      <c r="A36" s="1">
        <v>40603</v>
      </c>
      <c r="B36">
        <v>4.7881749717719098</v>
      </c>
      <c r="C36">
        <v>127794337003</v>
      </c>
      <c r="E36" s="1">
        <v>30773</v>
      </c>
      <c r="F36">
        <v>13.203144965820099</v>
      </c>
      <c r="G36">
        <v>69221318448.639999</v>
      </c>
      <c r="K36" s="1">
        <v>40603</v>
      </c>
      <c r="L36">
        <v>4.7881749717719098</v>
      </c>
      <c r="M36">
        <f t="shared" ref="M36:M67" si="8">VLOOKUP(K36,E:G,2,0)</f>
        <v>4.88809460608927</v>
      </c>
      <c r="N36">
        <f t="shared" si="3"/>
        <v>-9.9919634317360284</v>
      </c>
      <c r="O36" s="2">
        <f t="shared" ref="O36:O67" si="9">C36/VLOOKUP(K36,E:G,3,0)</f>
        <v>7.1708042263663854E-2</v>
      </c>
      <c r="S36">
        <v>200501</v>
      </c>
      <c r="T36">
        <v>5.7212664854265096</v>
      </c>
      <c r="U36">
        <v>29055739</v>
      </c>
      <c r="W36">
        <v>198707</v>
      </c>
      <c r="X36">
        <v>8.96414283440925</v>
      </c>
      <c r="Y36">
        <v>898607</v>
      </c>
      <c r="AB36">
        <v>200501</v>
      </c>
      <c r="AC36">
        <f t="shared" si="4"/>
        <v>5.7212664854265096</v>
      </c>
      <c r="AD36">
        <f t="shared" ref="AD36:AD67" si="10">VLOOKUP(AB36,W:X,2,0)</f>
        <v>5.8510211415089799</v>
      </c>
      <c r="AE36" s="1">
        <f t="shared" si="5"/>
        <v>38353</v>
      </c>
      <c r="AF36" s="14">
        <f t="shared" si="6"/>
        <v>-12.975465608247028</v>
      </c>
      <c r="AG36" s="16">
        <f t="shared" si="7"/>
        <v>5.2814632977998292E-3</v>
      </c>
    </row>
    <row r="37" spans="1:33" x14ac:dyDescent="0.25">
      <c r="A37" s="1">
        <v>40634</v>
      </c>
      <c r="B37">
        <v>4.8920397527883601</v>
      </c>
      <c r="C37">
        <v>75973260747</v>
      </c>
      <c r="E37" s="1">
        <v>30803</v>
      </c>
      <c r="F37">
        <v>11.0532404395185</v>
      </c>
      <c r="G37">
        <v>42309688282.870003</v>
      </c>
      <c r="K37" s="1">
        <v>40634</v>
      </c>
      <c r="L37">
        <v>4.8920397527883601</v>
      </c>
      <c r="M37">
        <f t="shared" si="8"/>
        <v>5.0196274076255598</v>
      </c>
      <c r="N37">
        <f t="shared" si="3"/>
        <v>-12.758765483719969</v>
      </c>
      <c r="O37" s="2">
        <f t="shared" si="9"/>
        <v>7.5750445158143109E-2</v>
      </c>
      <c r="S37">
        <v>200502</v>
      </c>
      <c r="T37">
        <v>5.6671492495301798</v>
      </c>
      <c r="U37">
        <v>12079100</v>
      </c>
      <c r="W37">
        <v>198708</v>
      </c>
      <c r="X37">
        <v>9.2797427652733102</v>
      </c>
      <c r="Y37">
        <v>217700</v>
      </c>
      <c r="AB37">
        <v>200502</v>
      </c>
      <c r="AC37">
        <f t="shared" si="4"/>
        <v>5.6671492495301798</v>
      </c>
      <c r="AD37">
        <f t="shared" si="10"/>
        <v>5.8387936133330598</v>
      </c>
      <c r="AE37" s="1">
        <f t="shared" si="5"/>
        <v>38384</v>
      </c>
      <c r="AF37" s="14">
        <f t="shared" si="6"/>
        <v>-17.164436380287995</v>
      </c>
      <c r="AG37" s="16">
        <f t="shared" si="7"/>
        <v>2.6350752722577205E-3</v>
      </c>
    </row>
    <row r="38" spans="1:33" x14ac:dyDescent="0.25">
      <c r="A38" s="1">
        <v>40664</v>
      </c>
      <c r="B38">
        <v>4.9487228635947798</v>
      </c>
      <c r="C38">
        <v>63730036359</v>
      </c>
      <c r="E38" s="1">
        <v>30834</v>
      </c>
      <c r="F38">
        <v>10.303243551774299</v>
      </c>
      <c r="G38">
        <v>40958301453.290001</v>
      </c>
      <c r="K38" s="1">
        <v>40664</v>
      </c>
      <c r="L38">
        <v>4.9487228635947798</v>
      </c>
      <c r="M38">
        <f t="shared" si="8"/>
        <v>5.0696587978699199</v>
      </c>
      <c r="N38">
        <f t="shared" si="3"/>
        <v>-12.093593427514016</v>
      </c>
      <c r="O38" s="2">
        <f t="shared" si="9"/>
        <v>6.7986387631479739E-2</v>
      </c>
      <c r="S38">
        <v>200503</v>
      </c>
      <c r="T38">
        <v>5.7148394065067496</v>
      </c>
      <c r="U38">
        <v>19134476.359999999</v>
      </c>
      <c r="W38">
        <v>198709</v>
      </c>
      <c r="X38">
        <v>9.9706777914742499</v>
      </c>
      <c r="Y38">
        <v>543530</v>
      </c>
      <c r="AB38">
        <v>200503</v>
      </c>
      <c r="AC38">
        <f t="shared" si="4"/>
        <v>5.7148394065067496</v>
      </c>
      <c r="AD38">
        <f t="shared" si="10"/>
        <v>5.7562165906115901</v>
      </c>
      <c r="AE38" s="1">
        <f t="shared" si="5"/>
        <v>38412</v>
      </c>
      <c r="AF38" s="14">
        <f t="shared" si="6"/>
        <v>-4.1377184104840481</v>
      </c>
      <c r="AG38" s="16">
        <f t="shared" si="7"/>
        <v>3.5861169345260523E-3</v>
      </c>
    </row>
    <row r="39" spans="1:33" x14ac:dyDescent="0.25">
      <c r="A39" s="1">
        <v>40695</v>
      </c>
      <c r="B39">
        <v>4.9220140046788998</v>
      </c>
      <c r="C39">
        <v>78213378772</v>
      </c>
      <c r="E39" s="1">
        <v>30864</v>
      </c>
      <c r="F39">
        <v>10.0937931757038</v>
      </c>
      <c r="G39">
        <v>42584719595.449997</v>
      </c>
      <c r="K39" s="1">
        <v>40695</v>
      </c>
      <c r="L39">
        <v>4.9220140046788998</v>
      </c>
      <c r="M39">
        <f t="shared" si="8"/>
        <v>5.0513520909684004</v>
      </c>
      <c r="N39">
        <f t="shared" si="3"/>
        <v>-12.933808628950061</v>
      </c>
      <c r="O39" s="2">
        <f t="shared" si="9"/>
        <v>7.3976690219158731E-2</v>
      </c>
      <c r="S39">
        <v>200504</v>
      </c>
      <c r="T39">
        <v>5.7147740114519898</v>
      </c>
      <c r="U39">
        <v>37032850</v>
      </c>
      <c r="W39">
        <v>198710</v>
      </c>
      <c r="X39">
        <v>9.5681259222823396</v>
      </c>
      <c r="Y39">
        <v>254125</v>
      </c>
      <c r="AB39">
        <v>200504</v>
      </c>
      <c r="AC39">
        <f t="shared" si="4"/>
        <v>5.7147740114519898</v>
      </c>
      <c r="AD39">
        <f t="shared" si="10"/>
        <v>5.8045593732128502</v>
      </c>
      <c r="AE39" s="1">
        <f t="shared" si="5"/>
        <v>38443</v>
      </c>
      <c r="AF39" s="14">
        <f t="shared" si="6"/>
        <v>-8.9785361760860383</v>
      </c>
      <c r="AG39" s="16">
        <f t="shared" si="7"/>
        <v>5.4255321241753118E-3</v>
      </c>
    </row>
    <row r="40" spans="1:33" x14ac:dyDescent="0.25">
      <c r="A40" s="1">
        <v>40725</v>
      </c>
      <c r="B40">
        <v>4.8272303918235604</v>
      </c>
      <c r="C40">
        <v>92925559857</v>
      </c>
      <c r="E40" s="1">
        <v>30895</v>
      </c>
      <c r="F40">
        <v>11.4752391405216</v>
      </c>
      <c r="G40">
        <v>154901376153.48999</v>
      </c>
      <c r="K40" s="1">
        <v>40725</v>
      </c>
      <c r="L40">
        <v>4.8272303918235604</v>
      </c>
      <c r="M40">
        <f t="shared" si="8"/>
        <v>4.9059141374806101</v>
      </c>
      <c r="N40">
        <f t="shared" si="3"/>
        <v>-7.868374565704972</v>
      </c>
      <c r="O40" s="2">
        <f t="shared" si="9"/>
        <v>0.11598394825001339</v>
      </c>
      <c r="S40">
        <v>200505</v>
      </c>
      <c r="T40">
        <v>5.8460753554260698</v>
      </c>
      <c r="U40">
        <v>27303568</v>
      </c>
      <c r="W40">
        <v>198711</v>
      </c>
      <c r="X40">
        <v>9.3871201966041102</v>
      </c>
      <c r="Y40">
        <v>223800</v>
      </c>
      <c r="AB40">
        <v>200505</v>
      </c>
      <c r="AC40">
        <f t="shared" si="4"/>
        <v>5.8460753554260698</v>
      </c>
      <c r="AD40">
        <f t="shared" si="10"/>
        <v>6.0102368046581898</v>
      </c>
      <c r="AE40" s="1">
        <f t="shared" si="5"/>
        <v>38473</v>
      </c>
      <c r="AF40" s="14">
        <f t="shared" si="6"/>
        <v>-16.416144923211995</v>
      </c>
      <c r="AG40" s="16">
        <f t="shared" si="7"/>
        <v>4.8173924702497838E-3</v>
      </c>
    </row>
    <row r="41" spans="1:33" x14ac:dyDescent="0.25">
      <c r="A41" s="1">
        <v>40756</v>
      </c>
      <c r="B41">
        <v>4.7115447718514103</v>
      </c>
      <c r="C41">
        <v>114898772416</v>
      </c>
      <c r="E41" s="1">
        <v>30926</v>
      </c>
      <c r="F41">
        <v>11.174353099961699</v>
      </c>
      <c r="G41">
        <v>112099730457.38</v>
      </c>
      <c r="K41" s="1">
        <v>40756</v>
      </c>
      <c r="L41">
        <v>4.7115447718514103</v>
      </c>
      <c r="M41">
        <f t="shared" si="8"/>
        <v>4.8611814894636298</v>
      </c>
      <c r="N41">
        <f t="shared" si="3"/>
        <v>-14.963671761221953</v>
      </c>
      <c r="O41" s="2">
        <f t="shared" si="9"/>
        <v>0.1103454584128272</v>
      </c>
      <c r="S41">
        <v>200506</v>
      </c>
      <c r="T41">
        <v>5.8290261499348999</v>
      </c>
      <c r="U41">
        <v>24441514</v>
      </c>
      <c r="W41">
        <v>198712</v>
      </c>
      <c r="X41">
        <v>9.5532511210762294</v>
      </c>
      <c r="Y41">
        <v>200700</v>
      </c>
      <c r="AB41">
        <v>200506</v>
      </c>
      <c r="AC41">
        <f t="shared" si="4"/>
        <v>5.8290261499348999</v>
      </c>
      <c r="AD41">
        <f t="shared" si="10"/>
        <v>5.9504724826603397</v>
      </c>
      <c r="AE41" s="1">
        <f t="shared" si="5"/>
        <v>38504</v>
      </c>
      <c r="AF41" s="14">
        <f t="shared" si="6"/>
        <v>-12.144633272543981</v>
      </c>
      <c r="AG41" s="16">
        <f t="shared" si="7"/>
        <v>3.4595805174907437E-3</v>
      </c>
    </row>
    <row r="42" spans="1:33" x14ac:dyDescent="0.25">
      <c r="A42" s="1">
        <v>40787</v>
      </c>
      <c r="B42">
        <v>4.64086255441822</v>
      </c>
      <c r="C42">
        <v>143232759522</v>
      </c>
      <c r="E42" s="1">
        <v>30956</v>
      </c>
      <c r="F42">
        <v>11.7172935541232</v>
      </c>
      <c r="G42">
        <v>90787703579.160004</v>
      </c>
      <c r="K42" s="1">
        <v>40787</v>
      </c>
      <c r="L42">
        <v>4.64086255441822</v>
      </c>
      <c r="M42">
        <f t="shared" si="8"/>
        <v>4.7117533524514803</v>
      </c>
      <c r="N42">
        <f t="shared" si="3"/>
        <v>-7.0890798033260261</v>
      </c>
      <c r="O42" s="2">
        <f t="shared" si="9"/>
        <v>0.11974209374914661</v>
      </c>
      <c r="S42">
        <v>200507</v>
      </c>
      <c r="T42">
        <v>5.7490682138599798</v>
      </c>
      <c r="U42">
        <v>34436550</v>
      </c>
      <c r="W42">
        <v>198801</v>
      </c>
      <c r="X42">
        <v>9.7365414307771392</v>
      </c>
      <c r="Y42">
        <v>194300</v>
      </c>
      <c r="AB42">
        <v>200507</v>
      </c>
      <c r="AC42">
        <f t="shared" si="4"/>
        <v>5.7490682138599798</v>
      </c>
      <c r="AD42">
        <f t="shared" si="10"/>
        <v>5.8062778583653296</v>
      </c>
      <c r="AE42" s="1">
        <f t="shared" si="5"/>
        <v>38534</v>
      </c>
      <c r="AF42" s="14">
        <f t="shared" si="6"/>
        <v>-5.7209644505349821</v>
      </c>
      <c r="AG42" s="16">
        <f t="shared" si="7"/>
        <v>3.6076035447759349E-3</v>
      </c>
    </row>
    <row r="43" spans="1:33" x14ac:dyDescent="0.25">
      <c r="A43" s="1">
        <v>40817</v>
      </c>
      <c r="B43">
        <v>4.4423498001928898</v>
      </c>
      <c r="C43">
        <v>220448045824</v>
      </c>
      <c r="E43" s="1">
        <v>30987</v>
      </c>
      <c r="F43">
        <v>11.816920606891699</v>
      </c>
      <c r="G43">
        <v>78531676591.820007</v>
      </c>
      <c r="K43" s="1">
        <v>40817</v>
      </c>
      <c r="L43">
        <v>4.4423498001928898</v>
      </c>
      <c r="M43">
        <f t="shared" si="8"/>
        <v>4.4792574645229504</v>
      </c>
      <c r="N43">
        <f t="shared" si="3"/>
        <v>-3.6907664330060541</v>
      </c>
      <c r="O43" s="2">
        <f t="shared" si="9"/>
        <v>0.19177279735194777</v>
      </c>
      <c r="S43">
        <v>200508</v>
      </c>
      <c r="T43">
        <v>5.7485444281664497</v>
      </c>
      <c r="U43">
        <v>36139147.369999997</v>
      </c>
      <c r="W43">
        <v>198802</v>
      </c>
      <c r="X43">
        <v>9.9185385656292198</v>
      </c>
      <c r="Y43">
        <v>147800</v>
      </c>
      <c r="AB43">
        <v>200508</v>
      </c>
      <c r="AC43">
        <f t="shared" si="4"/>
        <v>5.7485444281664497</v>
      </c>
      <c r="AD43">
        <f t="shared" si="10"/>
        <v>5.7504877641230898</v>
      </c>
      <c r="AE43" s="1">
        <f t="shared" si="5"/>
        <v>38565</v>
      </c>
      <c r="AF43" s="14">
        <f t="shared" si="6"/>
        <v>-0.1943335956640091</v>
      </c>
      <c r="AG43" s="16">
        <f t="shared" si="7"/>
        <v>3.6495721892807276E-3</v>
      </c>
    </row>
    <row r="44" spans="1:33" x14ac:dyDescent="0.25">
      <c r="A44" s="1">
        <v>40848</v>
      </c>
      <c r="B44">
        <v>4.3965564312482099</v>
      </c>
      <c r="C44">
        <v>220777302650</v>
      </c>
      <c r="E44" s="1">
        <v>31017</v>
      </c>
      <c r="F44">
        <v>11.573794212343801</v>
      </c>
      <c r="G44">
        <v>135677523627.03</v>
      </c>
      <c r="K44" s="1">
        <v>40848</v>
      </c>
      <c r="L44">
        <v>4.3965564312482099</v>
      </c>
      <c r="M44">
        <f t="shared" si="8"/>
        <v>4.3486808527347698</v>
      </c>
      <c r="N44">
        <f t="shared" si="3"/>
        <v>4.7875578513440153</v>
      </c>
      <c r="O44" s="2">
        <f t="shared" si="9"/>
        <v>0.14820120215482879</v>
      </c>
      <c r="S44">
        <v>200509</v>
      </c>
      <c r="T44">
        <v>5.7508905394205501</v>
      </c>
      <c r="U44">
        <v>25518749.620000001</v>
      </c>
      <c r="W44">
        <v>198803</v>
      </c>
      <c r="X44">
        <v>9.1075734447827408</v>
      </c>
      <c r="Y44">
        <v>122507</v>
      </c>
      <c r="AB44">
        <v>200509</v>
      </c>
      <c r="AC44">
        <f t="shared" si="4"/>
        <v>5.7508905394205501</v>
      </c>
      <c r="AD44">
        <f t="shared" si="10"/>
        <v>5.8706815620900796</v>
      </c>
      <c r="AE44" s="1">
        <f t="shared" si="5"/>
        <v>38596</v>
      </c>
      <c r="AF44" s="14">
        <f t="shared" si="6"/>
        <v>-11.979102266952957</v>
      </c>
      <c r="AG44" s="16">
        <f t="shared" si="7"/>
        <v>2.6464529303920226E-3</v>
      </c>
    </row>
    <row r="45" spans="1:33" x14ac:dyDescent="0.25">
      <c r="A45" s="1">
        <v>40878</v>
      </c>
      <c r="B45">
        <v>4.3703571463322097</v>
      </c>
      <c r="C45">
        <v>100506758496</v>
      </c>
      <c r="E45" s="1">
        <v>31048</v>
      </c>
      <c r="F45">
        <v>12.0765656385746</v>
      </c>
      <c r="G45">
        <v>78253083893.910004</v>
      </c>
      <c r="K45" s="1">
        <v>40878</v>
      </c>
      <c r="L45">
        <v>4.3703571463322097</v>
      </c>
      <c r="M45">
        <f t="shared" si="8"/>
        <v>4.2956191820380196</v>
      </c>
      <c r="N45">
        <f t="shared" si="3"/>
        <v>7.4737964294190107</v>
      </c>
      <c r="O45" s="2">
        <f t="shared" si="9"/>
        <v>4.7502048406932021E-2</v>
      </c>
      <c r="S45">
        <v>200510</v>
      </c>
      <c r="T45">
        <v>5.7083726149812897</v>
      </c>
      <c r="U45">
        <v>15096108</v>
      </c>
      <c r="W45">
        <v>198804</v>
      </c>
      <c r="X45">
        <v>9.2290232083652093</v>
      </c>
      <c r="Y45">
        <v>392100</v>
      </c>
      <c r="AB45">
        <v>200510</v>
      </c>
      <c r="AC45">
        <f t="shared" si="4"/>
        <v>5.7083726149812897</v>
      </c>
      <c r="AD45">
        <f t="shared" si="10"/>
        <v>5.9113458931675398</v>
      </c>
      <c r="AE45" s="1">
        <f t="shared" si="5"/>
        <v>38626</v>
      </c>
      <c r="AF45" s="14">
        <f t="shared" si="6"/>
        <v>-20.297327818625011</v>
      </c>
      <c r="AG45" s="16">
        <f t="shared" si="7"/>
        <v>1.7812199378656117E-3</v>
      </c>
    </row>
    <row r="46" spans="1:33" x14ac:dyDescent="0.25">
      <c r="A46" s="1">
        <v>40909</v>
      </c>
      <c r="B46">
        <v>4.3304920959802304</v>
      </c>
      <c r="C46">
        <v>69075948179</v>
      </c>
      <c r="E46" s="1">
        <v>31079</v>
      </c>
      <c r="F46">
        <v>12.4239794695923</v>
      </c>
      <c r="G46">
        <v>79587024050.229996</v>
      </c>
      <c r="K46" s="1">
        <v>40909</v>
      </c>
      <c r="L46">
        <v>4.3304920959802304</v>
      </c>
      <c r="M46">
        <f t="shared" si="8"/>
        <v>4.2662558375731203</v>
      </c>
      <c r="N46">
        <f t="shared" si="3"/>
        <v>6.4236258407110114</v>
      </c>
      <c r="O46" s="2">
        <f t="shared" si="9"/>
        <v>4.6978842036904625E-2</v>
      </c>
      <c r="S46">
        <v>200511</v>
      </c>
      <c r="T46">
        <v>5.80283275804201</v>
      </c>
      <c r="U46">
        <v>12990520</v>
      </c>
      <c r="W46">
        <v>198805</v>
      </c>
      <c r="X46">
        <v>9.3491479918908507</v>
      </c>
      <c r="Y46">
        <v>456275</v>
      </c>
      <c r="AB46">
        <v>200511</v>
      </c>
      <c r="AC46">
        <f t="shared" si="4"/>
        <v>5.80283275804201</v>
      </c>
      <c r="AD46">
        <f t="shared" si="10"/>
        <v>5.9803207041785003</v>
      </c>
      <c r="AE46" s="1">
        <f t="shared" si="5"/>
        <v>38657</v>
      </c>
      <c r="AF46" s="14">
        <f t="shared" si="6"/>
        <v>-17.748794613649022</v>
      </c>
      <c r="AG46" s="16">
        <f t="shared" si="7"/>
        <v>1.6586819905800114E-3</v>
      </c>
    </row>
    <row r="47" spans="1:33" x14ac:dyDescent="0.25">
      <c r="A47" s="1">
        <v>40940</v>
      </c>
      <c r="B47">
        <v>4.2820606026268901</v>
      </c>
      <c r="C47">
        <v>67151065098</v>
      </c>
      <c r="E47" s="1">
        <v>31107</v>
      </c>
      <c r="F47">
        <v>11.2705623798789</v>
      </c>
      <c r="G47">
        <v>106849956470.94</v>
      </c>
      <c r="K47" s="1">
        <v>40940</v>
      </c>
      <c r="L47">
        <v>4.2820606026268901</v>
      </c>
      <c r="M47">
        <f t="shared" si="8"/>
        <v>4.1988423421672696</v>
      </c>
      <c r="N47">
        <f t="shared" si="3"/>
        <v>8.3218260459620552</v>
      </c>
      <c r="O47" s="2">
        <f t="shared" si="9"/>
        <v>4.5112761341461208E-2</v>
      </c>
      <c r="S47">
        <v>200512</v>
      </c>
      <c r="T47">
        <v>5.9493117335137402</v>
      </c>
      <c r="U47">
        <v>11854420</v>
      </c>
      <c r="W47">
        <v>198806</v>
      </c>
      <c r="X47">
        <v>9.3717602591792595</v>
      </c>
      <c r="Y47">
        <v>254650</v>
      </c>
      <c r="AB47">
        <v>200512</v>
      </c>
      <c r="AC47">
        <f t="shared" si="4"/>
        <v>5.9493117335137402</v>
      </c>
      <c r="AD47">
        <f t="shared" si="10"/>
        <v>6.2122250628163496</v>
      </c>
      <c r="AE47" s="1">
        <f t="shared" si="5"/>
        <v>38687</v>
      </c>
      <c r="AF47" s="14">
        <f t="shared" si="6"/>
        <v>-26.291332930260936</v>
      </c>
      <c r="AG47" s="16">
        <f t="shared" si="7"/>
        <v>1.9573217635328191E-3</v>
      </c>
    </row>
    <row r="48" spans="1:33" x14ac:dyDescent="0.25">
      <c r="A48" s="1">
        <v>40969</v>
      </c>
      <c r="B48">
        <v>4.2005100835491902</v>
      </c>
      <c r="C48">
        <v>123026084745</v>
      </c>
      <c r="E48" s="1">
        <v>31138</v>
      </c>
      <c r="F48">
        <v>10.61693063455</v>
      </c>
      <c r="G48">
        <v>105321312299.2</v>
      </c>
      <c r="K48" s="1">
        <v>40969</v>
      </c>
      <c r="L48">
        <v>4.2005100835491902</v>
      </c>
      <c r="M48">
        <f t="shared" si="8"/>
        <v>4.1335475127368202</v>
      </c>
      <c r="N48">
        <f t="shared" si="3"/>
        <v>6.6962570812370004</v>
      </c>
      <c r="O48" s="2">
        <f t="shared" si="9"/>
        <v>4.9814105840484242E-2</v>
      </c>
      <c r="S48">
        <v>200601</v>
      </c>
      <c r="T48">
        <v>6.2124410410335704</v>
      </c>
      <c r="U48">
        <v>2681950</v>
      </c>
      <c r="W48">
        <v>198807</v>
      </c>
      <c r="X48">
        <v>9.7409746316732004</v>
      </c>
      <c r="Y48">
        <v>587386</v>
      </c>
      <c r="AB48">
        <v>200601</v>
      </c>
      <c r="AC48">
        <f t="shared" si="4"/>
        <v>6.2124410410335704</v>
      </c>
      <c r="AD48">
        <f t="shared" si="10"/>
        <v>6.3931088275901198</v>
      </c>
      <c r="AE48" s="1">
        <f t="shared" si="5"/>
        <v>38718</v>
      </c>
      <c r="AF48" s="14">
        <f t="shared" si="6"/>
        <v>-18.066778655654936</v>
      </c>
      <c r="AG48" s="16">
        <f t="shared" si="7"/>
        <v>5.2496014023932578E-4</v>
      </c>
    </row>
    <row r="49" spans="1:33" x14ac:dyDescent="0.25">
      <c r="A49" s="1">
        <v>41000</v>
      </c>
      <c r="B49">
        <v>4.1349457633603803</v>
      </c>
      <c r="C49">
        <v>37449262054</v>
      </c>
      <c r="E49" s="1">
        <v>31168</v>
      </c>
      <c r="F49">
        <v>11.994248682287701</v>
      </c>
      <c r="G49">
        <v>61486148501.959999</v>
      </c>
      <c r="K49" s="1">
        <v>41000</v>
      </c>
      <c r="L49">
        <v>4.1349457633603803</v>
      </c>
      <c r="M49">
        <f t="shared" si="8"/>
        <v>4.1068821031480702</v>
      </c>
      <c r="N49">
        <f t="shared" si="3"/>
        <v>2.8063660212310104</v>
      </c>
      <c r="O49" s="2">
        <f t="shared" si="9"/>
        <v>3.11783018031998E-2</v>
      </c>
      <c r="S49">
        <v>200602</v>
      </c>
      <c r="T49">
        <v>6.1046671671671602</v>
      </c>
      <c r="U49">
        <v>1998000</v>
      </c>
      <c r="W49">
        <v>198808</v>
      </c>
      <c r="X49">
        <v>9.8284711334157606</v>
      </c>
      <c r="Y49">
        <v>905043</v>
      </c>
      <c r="AB49">
        <v>200602</v>
      </c>
      <c r="AC49">
        <f t="shared" si="4"/>
        <v>6.1046671671671602</v>
      </c>
      <c r="AD49">
        <f t="shared" si="10"/>
        <v>6.3634730723158999</v>
      </c>
      <c r="AE49" s="1">
        <f t="shared" si="5"/>
        <v>38749</v>
      </c>
      <c r="AF49" s="14">
        <f t="shared" si="6"/>
        <v>-25.880590514873969</v>
      </c>
      <c r="AG49" s="16">
        <f t="shared" si="7"/>
        <v>4.7727753404676289E-4</v>
      </c>
    </row>
    <row r="50" spans="1:33" x14ac:dyDescent="0.25">
      <c r="A50" s="1">
        <v>41030</v>
      </c>
      <c r="B50">
        <v>4.1709410121458896</v>
      </c>
      <c r="C50">
        <v>68716926962</v>
      </c>
      <c r="E50" s="1">
        <v>31199</v>
      </c>
      <c r="F50">
        <v>11.7747473724872</v>
      </c>
      <c r="G50">
        <v>108537784011.88</v>
      </c>
      <c r="K50" s="1">
        <v>41030</v>
      </c>
      <c r="L50">
        <v>4.1709410121458896</v>
      </c>
      <c r="M50">
        <f t="shared" si="8"/>
        <v>4.1950483108655101</v>
      </c>
      <c r="N50">
        <f t="shared" si="3"/>
        <v>-2.4107298719620474</v>
      </c>
      <c r="O50" s="2">
        <f t="shared" si="9"/>
        <v>3.8173350457004866E-2</v>
      </c>
      <c r="S50">
        <v>200603</v>
      </c>
      <c r="T50">
        <v>6.0287415848388601</v>
      </c>
      <c r="U50">
        <v>3064666.51</v>
      </c>
      <c r="W50">
        <v>198809</v>
      </c>
      <c r="X50">
        <v>9.9253183998829204</v>
      </c>
      <c r="Y50">
        <v>1579051.46</v>
      </c>
      <c r="AB50">
        <v>200603</v>
      </c>
      <c r="AC50">
        <f t="shared" si="4"/>
        <v>6.0287415848388601</v>
      </c>
      <c r="AD50">
        <f t="shared" si="10"/>
        <v>6.33774136790377</v>
      </c>
      <c r="AE50" s="1">
        <f t="shared" si="5"/>
        <v>38777</v>
      </c>
      <c r="AF50" s="14">
        <f t="shared" si="6"/>
        <v>-30.899978306490983</v>
      </c>
      <c r="AG50" s="16">
        <f t="shared" si="7"/>
        <v>6.1641587379920697E-4</v>
      </c>
    </row>
    <row r="51" spans="1:33" x14ac:dyDescent="0.25">
      <c r="A51" s="1">
        <v>41061</v>
      </c>
      <c r="B51">
        <v>4.1056670559846502</v>
      </c>
      <c r="C51">
        <v>80978812202</v>
      </c>
      <c r="E51" s="1">
        <v>31229</v>
      </c>
      <c r="F51">
        <v>11.949329454656301</v>
      </c>
      <c r="G51">
        <v>148990251149.54001</v>
      </c>
      <c r="K51" s="1">
        <v>41061</v>
      </c>
      <c r="L51">
        <v>4.1056670559846502</v>
      </c>
      <c r="M51">
        <f t="shared" si="8"/>
        <v>4.1647582079834304</v>
      </c>
      <c r="N51">
        <f t="shared" si="3"/>
        <v>-5.9091151998780234</v>
      </c>
      <c r="O51" s="2">
        <f t="shared" si="9"/>
        <v>5.8878731880906053E-2</v>
      </c>
      <c r="S51">
        <v>200604</v>
      </c>
      <c r="T51">
        <v>6.3748124531132699</v>
      </c>
      <c r="U51">
        <v>1333000</v>
      </c>
      <c r="W51">
        <v>198810</v>
      </c>
      <c r="X51">
        <v>10</v>
      </c>
      <c r="Y51">
        <v>803155</v>
      </c>
      <c r="AB51">
        <v>200604</v>
      </c>
      <c r="AC51">
        <f t="shared" si="4"/>
        <v>6.3748124531132699</v>
      </c>
      <c r="AD51">
        <f t="shared" si="10"/>
        <v>6.4056989158475099</v>
      </c>
      <c r="AE51" s="1">
        <f t="shared" si="5"/>
        <v>38808</v>
      </c>
      <c r="AF51" s="14">
        <f t="shared" si="6"/>
        <v>-3.0886462734240006</v>
      </c>
      <c r="AG51" s="16">
        <f t="shared" si="7"/>
        <v>2.1599846177965508E-4</v>
      </c>
    </row>
    <row r="52" spans="1:33" x14ac:dyDescent="0.25">
      <c r="A52" s="1">
        <v>41091</v>
      </c>
      <c r="B52">
        <v>4.0249987787435701</v>
      </c>
      <c r="C52">
        <v>108606372064</v>
      </c>
      <c r="E52" s="1">
        <v>31260</v>
      </c>
      <c r="F52">
        <v>11.2761012446426</v>
      </c>
      <c r="G52">
        <v>179756517369.60001</v>
      </c>
      <c r="K52" s="1">
        <v>41091</v>
      </c>
      <c r="L52">
        <v>4.0249987787435701</v>
      </c>
      <c r="M52">
        <f t="shared" si="8"/>
        <v>4.0279854150544798</v>
      </c>
      <c r="N52">
        <f t="shared" si="3"/>
        <v>-0.29866363109096739</v>
      </c>
      <c r="O52" s="2">
        <f t="shared" si="9"/>
        <v>6.7486381490393876E-2</v>
      </c>
      <c r="S52">
        <v>200605</v>
      </c>
      <c r="T52">
        <v>6.3281675749318804</v>
      </c>
      <c r="U52">
        <v>1468000</v>
      </c>
      <c r="W52">
        <v>198811</v>
      </c>
      <c r="X52">
        <v>9.7936414465453208</v>
      </c>
      <c r="Y52">
        <v>1167520.42</v>
      </c>
      <c r="AB52">
        <v>200605</v>
      </c>
      <c r="AC52">
        <f t="shared" si="4"/>
        <v>6.3281675749318804</v>
      </c>
      <c r="AD52">
        <f t="shared" si="10"/>
        <v>6.5053792357282303</v>
      </c>
      <c r="AE52" s="1">
        <f t="shared" si="5"/>
        <v>38838</v>
      </c>
      <c r="AF52" s="14">
        <f t="shared" si="6"/>
        <v>-17.721166079634987</v>
      </c>
      <c r="AG52" s="16">
        <f t="shared" si="7"/>
        <v>2.6996321028483026E-4</v>
      </c>
    </row>
    <row r="53" spans="1:33" x14ac:dyDescent="0.25">
      <c r="A53" s="1">
        <v>41122</v>
      </c>
      <c r="B53">
        <v>3.9681743278952499</v>
      </c>
      <c r="C53">
        <v>123674283664</v>
      </c>
      <c r="E53" s="1">
        <v>31291</v>
      </c>
      <c r="F53">
        <v>11.3846229772897</v>
      </c>
      <c r="G53">
        <v>223752476761.26999</v>
      </c>
      <c r="K53" s="1">
        <v>41122</v>
      </c>
      <c r="L53">
        <v>3.9681743278952499</v>
      </c>
      <c r="M53">
        <f t="shared" si="8"/>
        <v>3.9086468707572299</v>
      </c>
      <c r="N53">
        <f t="shared" si="3"/>
        <v>5.952745713801999</v>
      </c>
      <c r="O53" s="2">
        <f t="shared" si="9"/>
        <v>7.0083696565919618E-2</v>
      </c>
      <c r="S53">
        <v>200607</v>
      </c>
      <c r="T53">
        <v>6.375</v>
      </c>
      <c r="U53">
        <v>499900</v>
      </c>
      <c r="W53">
        <v>198812</v>
      </c>
      <c r="X53">
        <v>9.7452702745690107</v>
      </c>
      <c r="Y53">
        <v>1414617</v>
      </c>
      <c r="AB53">
        <v>200607</v>
      </c>
      <c r="AC53">
        <f t="shared" si="4"/>
        <v>6.375</v>
      </c>
      <c r="AD53">
        <f t="shared" si="10"/>
        <v>6.7806498204616199</v>
      </c>
      <c r="AE53" s="1">
        <f t="shared" si="5"/>
        <v>38899</v>
      </c>
      <c r="AF53" s="14">
        <f t="shared" si="6"/>
        <v>-40.564982046161987</v>
      </c>
      <c r="AG53" s="16">
        <f t="shared" si="7"/>
        <v>9.7558451254045229E-5</v>
      </c>
    </row>
    <row r="54" spans="1:33" x14ac:dyDescent="0.25">
      <c r="A54" s="1">
        <v>41153</v>
      </c>
      <c r="B54">
        <v>3.9138608575900999</v>
      </c>
      <c r="C54">
        <v>113620801610</v>
      </c>
      <c r="E54" s="1">
        <v>31321</v>
      </c>
      <c r="F54">
        <v>11.521316095427901</v>
      </c>
      <c r="G54">
        <v>170614969182.22</v>
      </c>
      <c r="K54" s="1">
        <v>41153</v>
      </c>
      <c r="L54">
        <v>3.9138608575900999</v>
      </c>
      <c r="M54">
        <f t="shared" si="8"/>
        <v>3.8525924938607199</v>
      </c>
      <c r="N54">
        <f t="shared" si="3"/>
        <v>6.1268363729380049</v>
      </c>
      <c r="O54" s="2">
        <f t="shared" si="9"/>
        <v>6.057320211684613E-2</v>
      </c>
      <c r="S54">
        <v>200608</v>
      </c>
      <c r="T54">
        <v>5.82925885445355</v>
      </c>
      <c r="U54">
        <v>1335739.1200000001</v>
      </c>
      <c r="W54">
        <v>198901</v>
      </c>
      <c r="X54">
        <v>9.8921423937627502</v>
      </c>
      <c r="Y54">
        <v>849349</v>
      </c>
      <c r="AB54">
        <v>200608</v>
      </c>
      <c r="AC54">
        <f t="shared" si="4"/>
        <v>5.82925885445355</v>
      </c>
      <c r="AD54">
        <f t="shared" si="10"/>
        <v>6.8877161474047801</v>
      </c>
      <c r="AE54" s="1">
        <f t="shared" si="5"/>
        <v>38930</v>
      </c>
      <c r="AF54" s="14">
        <f t="shared" si="6"/>
        <v>-105.84572929512302</v>
      </c>
      <c r="AG54" s="16">
        <f t="shared" si="7"/>
        <v>3.0018057391984317E-4</v>
      </c>
    </row>
    <row r="55" spans="1:33" x14ac:dyDescent="0.25">
      <c r="A55" s="1">
        <v>41183</v>
      </c>
      <c r="B55">
        <v>3.8298094011821702</v>
      </c>
      <c r="C55">
        <v>77537800226</v>
      </c>
      <c r="E55" s="1">
        <v>31352</v>
      </c>
      <c r="F55">
        <v>11.706504079639201</v>
      </c>
      <c r="G55">
        <v>164035870467.01999</v>
      </c>
      <c r="K55" s="1">
        <v>41183</v>
      </c>
      <c r="L55">
        <v>3.8298094011821702</v>
      </c>
      <c r="M55">
        <f t="shared" si="8"/>
        <v>3.7877571784770701</v>
      </c>
      <c r="N55">
        <f t="shared" si="3"/>
        <v>4.2052222705100117</v>
      </c>
      <c r="O55" s="2">
        <f t="shared" si="9"/>
        <v>6.2290784501129584E-2</v>
      </c>
      <c r="S55">
        <v>200609</v>
      </c>
      <c r="T55">
        <v>6.375</v>
      </c>
      <c r="U55">
        <v>543439.41</v>
      </c>
      <c r="W55">
        <v>198902</v>
      </c>
      <c r="X55">
        <v>9.7193178989295408</v>
      </c>
      <c r="Y55">
        <v>120510</v>
      </c>
      <c r="AB55">
        <v>200609</v>
      </c>
      <c r="AC55">
        <f t="shared" si="4"/>
        <v>6.375</v>
      </c>
      <c r="AD55">
        <f t="shared" si="10"/>
        <v>6.8070096878704804</v>
      </c>
      <c r="AE55" s="1">
        <f t="shared" si="5"/>
        <v>38961</v>
      </c>
      <c r="AF55" s="14">
        <f t="shared" si="6"/>
        <v>-43.200968787048041</v>
      </c>
      <c r="AG55" s="16">
        <f t="shared" si="7"/>
        <v>9.9810374559964175E-5</v>
      </c>
    </row>
    <row r="56" spans="1:33" x14ac:dyDescent="0.25">
      <c r="A56" s="1">
        <v>41214</v>
      </c>
      <c r="B56">
        <v>3.7393841468248099</v>
      </c>
      <c r="C56">
        <v>136999096894</v>
      </c>
      <c r="E56" s="1">
        <v>31382</v>
      </c>
      <c r="F56">
        <v>10.884865485068699</v>
      </c>
      <c r="G56">
        <v>237239539541.25</v>
      </c>
      <c r="K56" s="1">
        <v>41214</v>
      </c>
      <c r="L56">
        <v>3.7393841468248099</v>
      </c>
      <c r="M56">
        <f t="shared" si="8"/>
        <v>3.6987217336749101</v>
      </c>
      <c r="N56">
        <f t="shared" si="3"/>
        <v>4.0662413149899823</v>
      </c>
      <c r="O56" s="2">
        <f t="shared" si="9"/>
        <v>5.8328897495237605E-2</v>
      </c>
      <c r="S56">
        <v>200610</v>
      </c>
      <c r="T56">
        <v>6.3640583554376597</v>
      </c>
      <c r="U56">
        <v>942500</v>
      </c>
      <c r="W56">
        <v>198903</v>
      </c>
      <c r="X56">
        <v>10.1729028191611</v>
      </c>
      <c r="Y56">
        <v>218150</v>
      </c>
      <c r="AB56">
        <v>200610</v>
      </c>
      <c r="AC56">
        <f t="shared" si="4"/>
        <v>6.3640583554376597</v>
      </c>
      <c r="AD56">
        <f t="shared" si="10"/>
        <v>6.6319998881884601</v>
      </c>
      <c r="AE56" s="1">
        <f t="shared" si="5"/>
        <v>38991</v>
      </c>
      <c r="AF56" s="14">
        <f t="shared" si="6"/>
        <v>-26.794153275080035</v>
      </c>
      <c r="AG56" s="16">
        <f t="shared" si="7"/>
        <v>1.6778596131370317E-4</v>
      </c>
    </row>
    <row r="57" spans="1:33" x14ac:dyDescent="0.25">
      <c r="A57" s="1">
        <v>41244</v>
      </c>
      <c r="B57">
        <v>3.6469091265269999</v>
      </c>
      <c r="C57">
        <v>43732884384</v>
      </c>
      <c r="E57" s="1">
        <v>31413</v>
      </c>
      <c r="F57">
        <v>10.414737220422399</v>
      </c>
      <c r="G57">
        <v>201569387062.73999</v>
      </c>
      <c r="K57" s="1">
        <v>41244</v>
      </c>
      <c r="L57">
        <v>3.6469091265269999</v>
      </c>
      <c r="M57">
        <f t="shared" si="8"/>
        <v>3.6250487711041499</v>
      </c>
      <c r="N57">
        <f t="shared" si="3"/>
        <v>2.1860355422850031</v>
      </c>
      <c r="O57" s="2">
        <f t="shared" si="9"/>
        <v>3.2757091383272104E-2</v>
      </c>
      <c r="S57">
        <v>200611</v>
      </c>
      <c r="T57">
        <v>6.3745763709031902</v>
      </c>
      <c r="U57">
        <v>3093508</v>
      </c>
      <c r="W57">
        <v>198904</v>
      </c>
      <c r="X57">
        <v>9.8773029798417706</v>
      </c>
      <c r="Y57">
        <v>187963</v>
      </c>
      <c r="AB57">
        <v>200611</v>
      </c>
      <c r="AC57">
        <f t="shared" si="4"/>
        <v>6.3745763709031902</v>
      </c>
      <c r="AD57">
        <f t="shared" si="10"/>
        <v>6.5151891171309702</v>
      </c>
      <c r="AE57" s="1">
        <f t="shared" si="5"/>
        <v>39022</v>
      </c>
      <c r="AF57" s="14">
        <f t="shared" si="6"/>
        <v>-14.061274622777997</v>
      </c>
      <c r="AG57" s="16">
        <f t="shared" si="7"/>
        <v>4.8883251725462783E-4</v>
      </c>
    </row>
    <row r="58" spans="1:33" x14ac:dyDescent="0.25">
      <c r="A58" s="1">
        <v>41275</v>
      </c>
      <c r="B58">
        <v>3.6630548639343501</v>
      </c>
      <c r="C58">
        <v>112072454380</v>
      </c>
      <c r="E58" s="1">
        <v>31444</v>
      </c>
      <c r="F58">
        <v>11.3066295838749</v>
      </c>
      <c r="G58">
        <v>124033332998.59</v>
      </c>
      <c r="K58" s="1">
        <v>41275</v>
      </c>
      <c r="L58">
        <v>3.6630548639343501</v>
      </c>
      <c r="M58">
        <f t="shared" si="8"/>
        <v>3.6027244047903801</v>
      </c>
      <c r="N58">
        <f t="shared" si="3"/>
        <v>6.033045914396995</v>
      </c>
      <c r="O58" s="2">
        <f t="shared" si="9"/>
        <v>6.558295534343514E-2</v>
      </c>
      <c r="S58">
        <v>200612</v>
      </c>
      <c r="T58">
        <v>6.2887341550616203</v>
      </c>
      <c r="U58">
        <v>2799790</v>
      </c>
      <c r="W58">
        <v>198905</v>
      </c>
      <c r="X58">
        <v>9.9413291796469299</v>
      </c>
      <c r="Y58">
        <v>192600</v>
      </c>
      <c r="AB58">
        <v>200612</v>
      </c>
      <c r="AC58">
        <f t="shared" si="4"/>
        <v>6.2887341550616203</v>
      </c>
      <c r="AD58">
        <f t="shared" si="10"/>
        <v>6.4586632670578599</v>
      </c>
      <c r="AE58" s="1">
        <f t="shared" si="5"/>
        <v>39052</v>
      </c>
      <c r="AF58" s="14">
        <f t="shared" si="6"/>
        <v>-16.992911199623961</v>
      </c>
      <c r="AG58" s="16">
        <f t="shared" si="7"/>
        <v>4.5395838979033897E-4</v>
      </c>
    </row>
    <row r="59" spans="1:33" x14ac:dyDescent="0.25">
      <c r="A59" s="1">
        <v>41306</v>
      </c>
      <c r="B59">
        <v>3.6573033588281398</v>
      </c>
      <c r="C59">
        <v>64194569788</v>
      </c>
      <c r="E59" s="1">
        <v>31472</v>
      </c>
      <c r="F59">
        <v>10.757928721751901</v>
      </c>
      <c r="G59">
        <v>168688439060.48999</v>
      </c>
      <c r="K59" s="1">
        <v>41306</v>
      </c>
      <c r="L59">
        <v>3.6573033588281398</v>
      </c>
      <c r="M59">
        <f t="shared" si="8"/>
        <v>3.6001485420462198</v>
      </c>
      <c r="N59">
        <f t="shared" si="3"/>
        <v>5.7154816781920026</v>
      </c>
      <c r="O59" s="2">
        <f t="shared" si="9"/>
        <v>3.9851926171040795E-2</v>
      </c>
      <c r="S59">
        <v>200701</v>
      </c>
      <c r="T59">
        <v>6.28663885999344</v>
      </c>
      <c r="U59">
        <v>1391992</v>
      </c>
      <c r="W59">
        <v>198906</v>
      </c>
      <c r="X59">
        <v>9.9076306036681405</v>
      </c>
      <c r="Y59">
        <v>221529</v>
      </c>
      <c r="AB59">
        <v>200701</v>
      </c>
      <c r="AC59">
        <f t="shared" si="4"/>
        <v>6.28663885999344</v>
      </c>
      <c r="AD59">
        <f t="shared" si="10"/>
        <v>6.2869793259435696</v>
      </c>
      <c r="AE59" s="1">
        <f t="shared" si="5"/>
        <v>39083</v>
      </c>
      <c r="AF59" s="14">
        <f t="shared" si="6"/>
        <v>-3.4046595012959813E-2</v>
      </c>
      <c r="AG59" s="16">
        <f t="shared" si="7"/>
        <v>1.9312174433757488E-4</v>
      </c>
    </row>
    <row r="60" spans="1:33" x14ac:dyDescent="0.25">
      <c r="A60" s="1">
        <v>41334</v>
      </c>
      <c r="B60">
        <v>3.7374103519442601</v>
      </c>
      <c r="C60">
        <v>69807369148</v>
      </c>
      <c r="E60" s="1">
        <v>31503</v>
      </c>
      <c r="F60">
        <v>10.562571440027</v>
      </c>
      <c r="G60">
        <v>197751664615.92001</v>
      </c>
      <c r="K60" s="1">
        <v>41334</v>
      </c>
      <c r="L60">
        <v>3.7374103519442601</v>
      </c>
      <c r="M60">
        <f t="shared" si="8"/>
        <v>3.6900046384013798</v>
      </c>
      <c r="N60">
        <f t="shared" si="3"/>
        <v>4.7405713542880257</v>
      </c>
      <c r="O60" s="2">
        <f t="shared" si="9"/>
        <v>5.6369696008458016E-2</v>
      </c>
      <c r="S60">
        <v>200702</v>
      </c>
      <c r="T60">
        <v>5.9683871514535101</v>
      </c>
      <c r="U60">
        <v>2949750</v>
      </c>
      <c r="W60">
        <v>198907</v>
      </c>
      <c r="X60">
        <v>9.8988335877448108</v>
      </c>
      <c r="Y60">
        <v>957766</v>
      </c>
      <c r="AB60">
        <v>200702</v>
      </c>
      <c r="AC60">
        <f t="shared" si="4"/>
        <v>5.9683871514535101</v>
      </c>
      <c r="AD60">
        <f t="shared" si="10"/>
        <v>6.2927108267424501</v>
      </c>
      <c r="AE60" s="1">
        <f t="shared" si="5"/>
        <v>39114</v>
      </c>
      <c r="AF60" s="14">
        <f t="shared" si="6"/>
        <v>-32.432367528894005</v>
      </c>
      <c r="AG60" s="16">
        <f t="shared" si="7"/>
        <v>4.5006151916309367E-4</v>
      </c>
    </row>
    <row r="61" spans="1:33" x14ac:dyDescent="0.25">
      <c r="A61" s="1">
        <v>41365</v>
      </c>
      <c r="B61">
        <v>3.7627008845457102</v>
      </c>
      <c r="C61">
        <v>72682942124</v>
      </c>
      <c r="E61" s="1">
        <v>31533</v>
      </c>
      <c r="F61">
        <v>10.180275219139</v>
      </c>
      <c r="G61">
        <v>310150201129.26001</v>
      </c>
      <c r="K61" s="1">
        <v>41365</v>
      </c>
      <c r="L61">
        <v>3.7627008845457102</v>
      </c>
      <c r="M61">
        <f t="shared" si="8"/>
        <v>3.78392164962702</v>
      </c>
      <c r="N61">
        <f t="shared" si="3"/>
        <v>-2.1220765081309878</v>
      </c>
      <c r="O61" s="2">
        <f t="shared" si="9"/>
        <v>5.3573421455493431E-2</v>
      </c>
      <c r="S61">
        <v>200703</v>
      </c>
      <c r="T61">
        <v>6.2279631474103496</v>
      </c>
      <c r="U61">
        <v>1004000</v>
      </c>
      <c r="W61">
        <v>198908</v>
      </c>
      <c r="X61">
        <v>9.5436121794066509</v>
      </c>
      <c r="Y61">
        <v>1950407</v>
      </c>
      <c r="AB61">
        <v>200703</v>
      </c>
      <c r="AC61">
        <f t="shared" si="4"/>
        <v>6.2279631474103496</v>
      </c>
      <c r="AD61">
        <f t="shared" si="10"/>
        <v>6.3874255665517099</v>
      </c>
      <c r="AE61" s="1">
        <f t="shared" si="5"/>
        <v>39142</v>
      </c>
      <c r="AF61" s="14">
        <f t="shared" si="6"/>
        <v>-15.946241914136028</v>
      </c>
      <c r="AG61" s="16">
        <f t="shared" si="7"/>
        <v>1.5923143265113404E-4</v>
      </c>
    </row>
    <row r="62" spans="1:33" x14ac:dyDescent="0.25">
      <c r="A62" s="1">
        <v>41395</v>
      </c>
      <c r="B62">
        <v>3.8286783849430699</v>
      </c>
      <c r="C62">
        <v>62595392975</v>
      </c>
      <c r="E62" s="1">
        <v>31564</v>
      </c>
      <c r="F62">
        <v>10.3292222793189</v>
      </c>
      <c r="G62">
        <v>593470829793</v>
      </c>
      <c r="K62" s="1">
        <v>41395</v>
      </c>
      <c r="L62">
        <v>3.8286783849430699</v>
      </c>
      <c r="M62">
        <f t="shared" si="8"/>
        <v>3.8002777092854898</v>
      </c>
      <c r="N62">
        <f t="shared" si="3"/>
        <v>2.8400675657580088</v>
      </c>
      <c r="O62" s="2">
        <f t="shared" si="9"/>
        <v>4.4413837811272519E-2</v>
      </c>
      <c r="S62">
        <v>200704</v>
      </c>
      <c r="T62">
        <v>6.1655029150283696</v>
      </c>
      <c r="U62">
        <v>2581450</v>
      </c>
      <c r="W62">
        <v>198909</v>
      </c>
      <c r="X62">
        <v>9.2383400050143702</v>
      </c>
      <c r="Y62">
        <v>2708213</v>
      </c>
      <c r="AB62">
        <v>200704</v>
      </c>
      <c r="AC62">
        <f t="shared" si="4"/>
        <v>6.1655029150283696</v>
      </c>
      <c r="AD62">
        <f t="shared" si="10"/>
        <v>6.3356820924220401</v>
      </c>
      <c r="AE62" s="1">
        <f t="shared" si="5"/>
        <v>39173</v>
      </c>
      <c r="AF62" s="14">
        <f t="shared" si="6"/>
        <v>-17.01791773936705</v>
      </c>
      <c r="AG62" s="16">
        <f t="shared" si="7"/>
        <v>3.1858170860754766E-4</v>
      </c>
    </row>
    <row r="63" spans="1:33" x14ac:dyDescent="0.25">
      <c r="A63" s="1">
        <v>41426</v>
      </c>
      <c r="B63">
        <v>3.7511989689374801</v>
      </c>
      <c r="C63">
        <v>72554817210</v>
      </c>
      <c r="E63" s="1">
        <v>31594</v>
      </c>
      <c r="F63">
        <v>9.98151500046297</v>
      </c>
      <c r="G63">
        <v>522215041801</v>
      </c>
      <c r="K63" s="1">
        <v>41426</v>
      </c>
      <c r="L63">
        <v>3.7511989689374801</v>
      </c>
      <c r="M63">
        <f t="shared" si="8"/>
        <v>3.7830909447369798</v>
      </c>
      <c r="N63">
        <f t="shared" si="3"/>
        <v>-3.1891975799499761</v>
      </c>
      <c r="O63" s="2">
        <f t="shared" si="9"/>
        <v>5.9075810216759131E-2</v>
      </c>
      <c r="S63">
        <v>200705</v>
      </c>
      <c r="T63">
        <v>6.2461044520547899</v>
      </c>
      <c r="U63">
        <v>2920000</v>
      </c>
      <c r="W63">
        <v>198910</v>
      </c>
      <c r="X63">
        <v>9.3395083593277093</v>
      </c>
      <c r="Y63">
        <v>1852003</v>
      </c>
      <c r="AB63">
        <v>200705</v>
      </c>
      <c r="AC63">
        <f t="shared" si="4"/>
        <v>6.2461044520547899</v>
      </c>
      <c r="AD63">
        <f t="shared" si="10"/>
        <v>6.3335804855503497</v>
      </c>
      <c r="AE63" s="1">
        <f t="shared" si="5"/>
        <v>39203</v>
      </c>
      <c r="AF63" s="14">
        <f t="shared" si="6"/>
        <v>-8.7476033495559768</v>
      </c>
      <c r="AG63" s="16">
        <f t="shared" si="7"/>
        <v>3.3111066836259028E-4</v>
      </c>
    </row>
    <row r="64" spans="1:33" x14ac:dyDescent="0.25">
      <c r="A64" s="1">
        <v>41456</v>
      </c>
      <c r="B64">
        <v>3.8247008277566401</v>
      </c>
      <c r="C64">
        <v>54672712202</v>
      </c>
      <c r="E64" s="1">
        <v>31625</v>
      </c>
      <c r="F64">
        <v>10.0989940565526</v>
      </c>
      <c r="G64">
        <v>494301486101</v>
      </c>
      <c r="K64" s="1">
        <v>41456</v>
      </c>
      <c r="L64">
        <v>3.8247008277566401</v>
      </c>
      <c r="M64">
        <f t="shared" si="8"/>
        <v>3.8522809178064001</v>
      </c>
      <c r="N64">
        <f t="shared" si="3"/>
        <v>-2.7580090049760031</v>
      </c>
      <c r="O64" s="2">
        <f t="shared" si="9"/>
        <v>4.1505470991041966E-2</v>
      </c>
      <c r="S64">
        <v>200706</v>
      </c>
      <c r="T64">
        <v>5.9902427781192298</v>
      </c>
      <c r="U64">
        <v>1627000</v>
      </c>
      <c r="W64">
        <v>198911</v>
      </c>
      <c r="X64">
        <v>9.2816596349525007</v>
      </c>
      <c r="Y64">
        <v>1551305</v>
      </c>
      <c r="AB64">
        <v>200706</v>
      </c>
      <c r="AC64">
        <f t="shared" si="4"/>
        <v>5.9902427781192298</v>
      </c>
      <c r="AD64">
        <f t="shared" si="10"/>
        <v>6.3794668964425796</v>
      </c>
      <c r="AE64" s="1">
        <f t="shared" si="5"/>
        <v>39234</v>
      </c>
      <c r="AF64" s="14">
        <f t="shared" si="6"/>
        <v>-38.92241183233498</v>
      </c>
      <c r="AG64" s="16">
        <f t="shared" si="7"/>
        <v>1.7119990617340381E-4</v>
      </c>
    </row>
    <row r="65" spans="1:33" x14ac:dyDescent="0.25">
      <c r="A65" s="1">
        <v>41487</v>
      </c>
      <c r="B65">
        <v>4.1181097567553602</v>
      </c>
      <c r="C65">
        <v>44426807861</v>
      </c>
      <c r="E65" s="1">
        <v>31656</v>
      </c>
      <c r="F65">
        <v>10.070040994590901</v>
      </c>
      <c r="G65">
        <v>1099085400765</v>
      </c>
      <c r="K65" s="1">
        <v>41487</v>
      </c>
      <c r="L65">
        <v>4.1181097567553602</v>
      </c>
      <c r="M65">
        <f t="shared" si="8"/>
        <v>4.1579401434403396</v>
      </c>
      <c r="N65">
        <f t="shared" si="3"/>
        <v>-3.9830386684979402</v>
      </c>
      <c r="O65" s="2">
        <f t="shared" si="9"/>
        <v>3.9097590282544954E-2</v>
      </c>
      <c r="S65">
        <v>200707</v>
      </c>
      <c r="T65">
        <v>6.2011417308074304</v>
      </c>
      <c r="U65">
        <v>878342.77</v>
      </c>
      <c r="W65">
        <v>198912</v>
      </c>
      <c r="X65">
        <v>9.2491646108698795</v>
      </c>
      <c r="Y65">
        <v>1715069</v>
      </c>
      <c r="AB65">
        <v>200707</v>
      </c>
      <c r="AC65">
        <f t="shared" si="4"/>
        <v>6.2011417308074304</v>
      </c>
      <c r="AD65">
        <f t="shared" si="10"/>
        <v>6.5503215971317497</v>
      </c>
      <c r="AE65" s="1">
        <f t="shared" si="5"/>
        <v>39264</v>
      </c>
      <c r="AF65" s="14">
        <f t="shared" si="6"/>
        <v>-34.917986632431933</v>
      </c>
      <c r="AG65" s="16">
        <f t="shared" si="7"/>
        <v>1.0878027954788243E-4</v>
      </c>
    </row>
    <row r="66" spans="1:33" x14ac:dyDescent="0.25">
      <c r="A66" s="1">
        <v>41518</v>
      </c>
      <c r="B66">
        <v>4.3725375979349703</v>
      </c>
      <c r="C66">
        <v>25842813921</v>
      </c>
      <c r="E66" s="1">
        <v>31686</v>
      </c>
      <c r="F66">
        <v>10.0552243404069</v>
      </c>
      <c r="G66">
        <v>415593688730</v>
      </c>
      <c r="K66" s="1">
        <v>41518</v>
      </c>
      <c r="L66">
        <v>4.3725375979349703</v>
      </c>
      <c r="M66">
        <f t="shared" si="8"/>
        <v>4.4621782771519998</v>
      </c>
      <c r="N66">
        <f t="shared" si="3"/>
        <v>-8.9640679217029451</v>
      </c>
      <c r="O66" s="2">
        <f t="shared" si="9"/>
        <v>2.8184905638979525E-2</v>
      </c>
      <c r="S66">
        <v>200708</v>
      </c>
      <c r="T66">
        <v>5.99</v>
      </c>
      <c r="U66">
        <v>506500</v>
      </c>
      <c r="W66">
        <v>199001</v>
      </c>
      <c r="X66">
        <v>9.1979293780856093</v>
      </c>
      <c r="Y66">
        <v>2060975</v>
      </c>
      <c r="AB66">
        <v>200708</v>
      </c>
      <c r="AC66">
        <f t="shared" si="4"/>
        <v>5.99</v>
      </c>
      <c r="AD66">
        <f t="shared" si="10"/>
        <v>6.8073630142816697</v>
      </c>
      <c r="AE66" s="1">
        <f t="shared" si="5"/>
        <v>39295</v>
      </c>
      <c r="AF66" s="14">
        <f t="shared" si="6"/>
        <v>-81.736301428166939</v>
      </c>
      <c r="AG66" s="16">
        <f t="shared" si="7"/>
        <v>7.9712390881461461E-5</v>
      </c>
    </row>
    <row r="67" spans="1:33" x14ac:dyDescent="0.25">
      <c r="A67" s="1">
        <v>41548</v>
      </c>
      <c r="B67">
        <v>4.6377010048072602</v>
      </c>
      <c r="C67">
        <v>21868109772</v>
      </c>
      <c r="E67" s="1">
        <v>31717</v>
      </c>
      <c r="F67">
        <v>9.9708493277937595</v>
      </c>
      <c r="G67">
        <v>438686823457</v>
      </c>
      <c r="K67" s="1">
        <v>41548</v>
      </c>
      <c r="L67">
        <v>4.6377010048072602</v>
      </c>
      <c r="M67">
        <f t="shared" si="8"/>
        <v>4.6608916850134898</v>
      </c>
      <c r="N67">
        <f t="shared" si="3"/>
        <v>-2.3190680206229608</v>
      </c>
      <c r="O67" s="2">
        <f t="shared" si="9"/>
        <v>2.7027325398194746E-2</v>
      </c>
      <c r="S67">
        <v>200709</v>
      </c>
      <c r="T67">
        <v>5.8733688062334899</v>
      </c>
      <c r="U67">
        <v>885150.82</v>
      </c>
      <c r="W67">
        <v>199002</v>
      </c>
      <c r="X67">
        <v>9.2730170475928908</v>
      </c>
      <c r="Y67">
        <v>1966260</v>
      </c>
      <c r="AB67">
        <v>200709</v>
      </c>
      <c r="AC67">
        <f t="shared" si="4"/>
        <v>5.8733688062334899</v>
      </c>
      <c r="AD67">
        <f t="shared" si="10"/>
        <v>6.8331061135594098</v>
      </c>
      <c r="AE67" s="1">
        <f t="shared" si="5"/>
        <v>39326</v>
      </c>
      <c r="AF67" s="14">
        <f t="shared" si="6"/>
        <v>-95.973730732591989</v>
      </c>
      <c r="AG67" s="16">
        <f t="shared" si="7"/>
        <v>1.3093833382103967E-4</v>
      </c>
    </row>
    <row r="68" spans="1:33" x14ac:dyDescent="0.25">
      <c r="A68" s="1">
        <v>41579</v>
      </c>
      <c r="B68">
        <v>4.6261168959492096</v>
      </c>
      <c r="C68">
        <v>19335574921</v>
      </c>
      <c r="E68" s="1">
        <v>31747</v>
      </c>
      <c r="F68">
        <v>9.7450574447159397</v>
      </c>
      <c r="G68">
        <v>421876475032</v>
      </c>
      <c r="K68" s="1">
        <v>41579</v>
      </c>
      <c r="L68">
        <v>4.6261168959492096</v>
      </c>
      <c r="M68">
        <f t="shared" ref="M68:M93" si="11">VLOOKUP(K68,E:G,2,0)</f>
        <v>4.6564026185456502</v>
      </c>
      <c r="N68">
        <f t="shared" si="3"/>
        <v>-3.0285722596440579</v>
      </c>
      <c r="O68" s="2">
        <f t="shared" ref="O68:O93" si="12">C68/VLOOKUP(K68,E:G,3,0)</f>
        <v>2.9951467012610311E-2</v>
      </c>
      <c r="S68">
        <v>200804</v>
      </c>
      <c r="T68">
        <v>6.1206778889899898</v>
      </c>
      <c r="U68">
        <v>2747500</v>
      </c>
      <c r="W68">
        <v>199003</v>
      </c>
      <c r="X68">
        <v>9.0199719197585804</v>
      </c>
      <c r="Y68">
        <v>1645285</v>
      </c>
      <c r="AB68">
        <v>200804</v>
      </c>
      <c r="AC68">
        <f t="shared" si="4"/>
        <v>6.1206778889899898</v>
      </c>
      <c r="AD68">
        <f t="shared" ref="AD68:AD99" si="13">VLOOKUP(AB68,W:X,2,0)</f>
        <v>6.0158687840081404</v>
      </c>
      <c r="AE68" s="1">
        <f t="shared" si="5"/>
        <v>39539</v>
      </c>
      <c r="AF68" s="14">
        <f t="shared" si="6"/>
        <v>10.480910498184937</v>
      </c>
      <c r="AG68" s="16">
        <f t="shared" si="7"/>
        <v>2.9240970717721055E-4</v>
      </c>
    </row>
    <row r="69" spans="1:33" x14ac:dyDescent="0.25">
      <c r="A69" s="1">
        <v>41609</v>
      </c>
      <c r="B69">
        <v>4.5166229545902503</v>
      </c>
      <c r="C69">
        <v>15549308472</v>
      </c>
      <c r="E69" s="1">
        <v>31778</v>
      </c>
      <c r="F69">
        <v>9.6791983365754106</v>
      </c>
      <c r="G69">
        <v>559887156050</v>
      </c>
      <c r="K69" s="1">
        <v>41609</v>
      </c>
      <c r="L69">
        <v>4.5166229545902503</v>
      </c>
      <c r="M69">
        <f t="shared" si="11"/>
        <v>4.5811645646110204</v>
      </c>
      <c r="N69">
        <f t="shared" ref="N69:N93" si="14">(L69-M69)*100</f>
        <v>-6.4541610020770079</v>
      </c>
      <c r="O69" s="2">
        <f t="shared" si="12"/>
        <v>2.8139244206623254E-2</v>
      </c>
      <c r="S69">
        <v>200805</v>
      </c>
      <c r="T69">
        <v>6.1684063617796898</v>
      </c>
      <c r="U69">
        <v>10882175</v>
      </c>
      <c r="W69">
        <v>199004</v>
      </c>
      <c r="X69">
        <v>8.8983783607891898</v>
      </c>
      <c r="Y69">
        <v>2446528.7799999998</v>
      </c>
      <c r="AB69">
        <v>200805</v>
      </c>
      <c r="AC69">
        <f t="shared" ref="AC69:AC132" si="15">VLOOKUP(AB69,S:T,2,0)</f>
        <v>6.1684063617796898</v>
      </c>
      <c r="AD69">
        <f t="shared" si="13"/>
        <v>6.0165395077388304</v>
      </c>
      <c r="AE69" s="1">
        <f t="shared" ref="AE69:AE132" si="16">DATEVALUE(INT(AB69/100)&amp;"/"&amp;MOD(AB69,100)&amp;"/1")</f>
        <v>39569</v>
      </c>
      <c r="AF69" s="14">
        <f t="shared" ref="AF69:AF132" si="17">(AC69-AD69)*100</f>
        <v>15.186685404085942</v>
      </c>
      <c r="AG69" s="16">
        <f t="shared" ref="AG69:AG132" si="18">U69/VLOOKUP(AB69,W:Y,3,0)</f>
        <v>1.1906157793088352E-3</v>
      </c>
    </row>
    <row r="70" spans="1:33" x14ac:dyDescent="0.25">
      <c r="A70" s="1">
        <v>41640</v>
      </c>
      <c r="B70">
        <v>4.5358987960019004</v>
      </c>
      <c r="C70">
        <v>9028775120</v>
      </c>
      <c r="E70" s="1">
        <v>31809</v>
      </c>
      <c r="F70">
        <v>9.5086546707449902</v>
      </c>
      <c r="G70">
        <v>504687757719</v>
      </c>
      <c r="K70" s="1">
        <v>41640</v>
      </c>
      <c r="L70">
        <v>4.5358987960019004</v>
      </c>
      <c r="M70">
        <f t="shared" si="11"/>
        <v>4.6077438047237802</v>
      </c>
      <c r="N70">
        <f t="shared" si="14"/>
        <v>-7.1845008721879822</v>
      </c>
      <c r="O70" s="2">
        <f t="shared" si="12"/>
        <v>2.2170581957836197E-2</v>
      </c>
      <c r="S70">
        <v>200806</v>
      </c>
      <c r="T70">
        <v>6.06868355513227</v>
      </c>
      <c r="U70">
        <v>56426480</v>
      </c>
      <c r="W70">
        <v>199005</v>
      </c>
      <c r="X70">
        <v>9.4646551644586001</v>
      </c>
      <c r="Y70">
        <v>2600776</v>
      </c>
      <c r="AB70">
        <v>200806</v>
      </c>
      <c r="AC70">
        <f t="shared" si="15"/>
        <v>6.06868355513227</v>
      </c>
      <c r="AD70">
        <f t="shared" si="13"/>
        <v>6.0795647779847997</v>
      </c>
      <c r="AE70" s="1">
        <f t="shared" si="16"/>
        <v>39600</v>
      </c>
      <c r="AF70" s="14">
        <f t="shared" si="17"/>
        <v>-1.0881222852529682</v>
      </c>
      <c r="AG70" s="16">
        <f t="shared" si="18"/>
        <v>7.264277709996091E-3</v>
      </c>
    </row>
    <row r="71" spans="1:33" x14ac:dyDescent="0.25">
      <c r="A71" s="1">
        <v>41671</v>
      </c>
      <c r="B71">
        <v>4.6829117389245498</v>
      </c>
      <c r="C71">
        <v>7971365820</v>
      </c>
      <c r="E71" s="1">
        <v>31837</v>
      </c>
      <c r="F71">
        <v>9.2973291557103099</v>
      </c>
      <c r="G71">
        <v>584459371528</v>
      </c>
      <c r="K71" s="1">
        <v>41671</v>
      </c>
      <c r="L71">
        <v>4.6829117389245498</v>
      </c>
      <c r="M71">
        <f t="shared" si="11"/>
        <v>4.6775584423655499</v>
      </c>
      <c r="N71">
        <f t="shared" si="14"/>
        <v>0.53532965589999648</v>
      </c>
      <c r="O71" s="2">
        <f t="shared" si="12"/>
        <v>2.0310582416310088E-2</v>
      </c>
      <c r="S71">
        <v>200807</v>
      </c>
      <c r="T71">
        <v>6.12238481294815</v>
      </c>
      <c r="U71">
        <v>137971584</v>
      </c>
      <c r="W71">
        <v>199006</v>
      </c>
      <c r="X71">
        <v>9.6111385802518701</v>
      </c>
      <c r="Y71">
        <v>2238876</v>
      </c>
      <c r="AB71">
        <v>200807</v>
      </c>
      <c r="AC71">
        <f t="shared" si="15"/>
        <v>6.12238481294815</v>
      </c>
      <c r="AD71">
        <f t="shared" si="13"/>
        <v>6.2348672148159201</v>
      </c>
      <c r="AE71" s="1">
        <f t="shared" si="16"/>
        <v>39630</v>
      </c>
      <c r="AF71" s="14">
        <f t="shared" si="17"/>
        <v>-11.248240186777014</v>
      </c>
      <c r="AG71" s="16">
        <f t="shared" si="18"/>
        <v>2.3760789808540649E-2</v>
      </c>
    </row>
    <row r="72" spans="1:33" x14ac:dyDescent="0.25">
      <c r="A72" s="1">
        <v>41699</v>
      </c>
      <c r="B72">
        <v>4.6516147860401098</v>
      </c>
      <c r="C72">
        <v>4828687155</v>
      </c>
      <c r="E72" s="1">
        <v>31868</v>
      </c>
      <c r="F72">
        <v>9.3336192316251996</v>
      </c>
      <c r="G72">
        <v>1016683989204</v>
      </c>
      <c r="K72" s="1">
        <v>41699</v>
      </c>
      <c r="L72">
        <v>4.6516147860401098</v>
      </c>
      <c r="M72">
        <f t="shared" si="11"/>
        <v>4.6946958624217601</v>
      </c>
      <c r="N72">
        <f t="shared" si="14"/>
        <v>-4.3081076381650263</v>
      </c>
      <c r="O72" s="2">
        <f t="shared" si="12"/>
        <v>1.4979353778191594E-2</v>
      </c>
      <c r="S72">
        <v>200808</v>
      </c>
      <c r="T72">
        <v>6.3712429341526402</v>
      </c>
      <c r="U72">
        <v>104231837</v>
      </c>
      <c r="W72">
        <v>199007</v>
      </c>
      <c r="X72">
        <v>9.3726764644357896</v>
      </c>
      <c r="Y72">
        <v>1448493</v>
      </c>
      <c r="AB72">
        <v>200808</v>
      </c>
      <c r="AC72">
        <f t="shared" si="15"/>
        <v>6.3712429341526402</v>
      </c>
      <c r="AD72">
        <f t="shared" si="13"/>
        <v>6.4942411019421398</v>
      </c>
      <c r="AE72" s="1">
        <f t="shared" si="16"/>
        <v>39661</v>
      </c>
      <c r="AF72" s="14">
        <f t="shared" si="17"/>
        <v>-12.299816778949957</v>
      </c>
      <c r="AG72" s="16">
        <f t="shared" si="18"/>
        <v>2.5241519435109591E-2</v>
      </c>
    </row>
    <row r="73" spans="1:33" x14ac:dyDescent="0.25">
      <c r="A73" s="1">
        <v>41730</v>
      </c>
      <c r="B73">
        <v>4.5888709313498204</v>
      </c>
      <c r="C73">
        <v>5551415212</v>
      </c>
      <c r="E73" s="1">
        <v>31898</v>
      </c>
      <c r="F73">
        <v>9.1241331176059806</v>
      </c>
      <c r="G73">
        <v>884604932461</v>
      </c>
      <c r="K73" s="1">
        <v>41730</v>
      </c>
      <c r="L73">
        <v>4.5888709313498204</v>
      </c>
      <c r="M73">
        <f t="shared" si="11"/>
        <v>4.6366804995907298</v>
      </c>
      <c r="N73">
        <f t="shared" si="14"/>
        <v>-4.7809568240909428</v>
      </c>
      <c r="O73" s="2">
        <f t="shared" si="12"/>
        <v>1.5303886589454318E-2</v>
      </c>
      <c r="S73">
        <v>200809</v>
      </c>
      <c r="T73">
        <v>6.5308778601776103</v>
      </c>
      <c r="U73">
        <v>101426175</v>
      </c>
      <c r="W73">
        <v>199008</v>
      </c>
      <c r="X73">
        <v>9.6545346409542692</v>
      </c>
      <c r="Y73">
        <v>1133254</v>
      </c>
      <c r="AB73">
        <v>200809</v>
      </c>
      <c r="AC73">
        <f t="shared" si="15"/>
        <v>6.5308778601776103</v>
      </c>
      <c r="AD73">
        <f t="shared" si="13"/>
        <v>6.6132635000119597</v>
      </c>
      <c r="AE73" s="1">
        <f t="shared" si="16"/>
        <v>39692</v>
      </c>
      <c r="AF73" s="14">
        <f t="shared" si="17"/>
        <v>-8.2385639834349433</v>
      </c>
      <c r="AG73" s="16">
        <f t="shared" si="18"/>
        <v>2.8497861298467882E-2</v>
      </c>
    </row>
    <row r="74" spans="1:33" x14ac:dyDescent="0.25">
      <c r="A74" s="1">
        <v>41760</v>
      </c>
      <c r="B74">
        <v>4.5857503385038596</v>
      </c>
      <c r="C74">
        <v>6416089252</v>
      </c>
      <c r="E74" s="1">
        <v>31929</v>
      </c>
      <c r="F74">
        <v>9.2746505892850895</v>
      </c>
      <c r="G74">
        <v>737601199461</v>
      </c>
      <c r="K74" s="1">
        <v>41760</v>
      </c>
      <c r="L74">
        <v>4.5857503385038596</v>
      </c>
      <c r="M74">
        <f t="shared" si="11"/>
        <v>4.6428241107123496</v>
      </c>
      <c r="N74">
        <f t="shared" si="14"/>
        <v>-5.707377220848997</v>
      </c>
      <c r="O74" s="2">
        <f t="shared" si="12"/>
        <v>1.8572409158052878E-2</v>
      </c>
      <c r="S74">
        <v>200810</v>
      </c>
      <c r="T74">
        <v>6.1722232717241203</v>
      </c>
      <c r="U74">
        <v>112312538</v>
      </c>
      <c r="W74">
        <v>199009</v>
      </c>
      <c r="X74">
        <v>9.619191502184</v>
      </c>
      <c r="Y74">
        <v>2107365</v>
      </c>
      <c r="AB74">
        <v>200810</v>
      </c>
      <c r="AC74">
        <f t="shared" si="15"/>
        <v>6.1722232717241203</v>
      </c>
      <c r="AD74">
        <f t="shared" si="13"/>
        <v>6.3355099525979996</v>
      </c>
      <c r="AE74" s="1">
        <f t="shared" si="16"/>
        <v>39722</v>
      </c>
      <c r="AF74" s="14">
        <f t="shared" si="17"/>
        <v>-16.328668087387932</v>
      </c>
      <c r="AG74" s="16">
        <f t="shared" si="18"/>
        <v>2.9484259880086412E-2</v>
      </c>
    </row>
    <row r="75" spans="1:33" x14ac:dyDescent="0.25">
      <c r="A75" s="1">
        <v>41791</v>
      </c>
      <c r="B75">
        <v>4.5417801890084304</v>
      </c>
      <c r="C75">
        <v>5755164048</v>
      </c>
      <c r="E75" s="1">
        <v>31959</v>
      </c>
      <c r="F75">
        <v>9.7244484574652592</v>
      </c>
      <c r="G75">
        <v>712631244656</v>
      </c>
      <c r="K75" s="1">
        <v>41791</v>
      </c>
      <c r="L75">
        <v>4.5417801890084304</v>
      </c>
      <c r="M75">
        <f t="shared" si="11"/>
        <v>4.5988964730096296</v>
      </c>
      <c r="N75">
        <f t="shared" si="14"/>
        <v>-5.7116284001199169</v>
      </c>
      <c r="O75" s="2">
        <f t="shared" si="12"/>
        <v>1.4926694347252236E-2</v>
      </c>
      <c r="S75">
        <v>200811</v>
      </c>
      <c r="T75">
        <v>6.0298101406899196</v>
      </c>
      <c r="U75">
        <v>135898998</v>
      </c>
      <c r="W75">
        <v>199010</v>
      </c>
      <c r="X75">
        <v>9.5357140748602909</v>
      </c>
      <c r="Y75">
        <v>1524413</v>
      </c>
      <c r="AB75">
        <v>200811</v>
      </c>
      <c r="AC75">
        <f t="shared" si="15"/>
        <v>6.0298101406899196</v>
      </c>
      <c r="AD75">
        <f t="shared" si="13"/>
        <v>6.1249282438012003</v>
      </c>
      <c r="AE75" s="1">
        <f t="shared" si="16"/>
        <v>39753</v>
      </c>
      <c r="AF75" s="14">
        <f t="shared" si="17"/>
        <v>-9.5118103111280661</v>
      </c>
      <c r="AG75" s="16">
        <f t="shared" si="18"/>
        <v>2.998265889285831E-2</v>
      </c>
    </row>
    <row r="76" spans="1:33" x14ac:dyDescent="0.25">
      <c r="A76" s="1">
        <v>41821</v>
      </c>
      <c r="B76">
        <v>4.4287287355081997</v>
      </c>
      <c r="C76">
        <v>9556424834</v>
      </c>
      <c r="E76" s="1">
        <v>31990</v>
      </c>
      <c r="F76">
        <v>10.066640424822999</v>
      </c>
      <c r="G76">
        <v>432425211568</v>
      </c>
      <c r="K76" s="1">
        <v>41821</v>
      </c>
      <c r="L76">
        <v>4.4287287355081997</v>
      </c>
      <c r="M76">
        <f t="shared" si="11"/>
        <v>4.5200335295564997</v>
      </c>
      <c r="N76">
        <f t="shared" si="14"/>
        <v>-9.1304794048300053</v>
      </c>
      <c r="O76" s="2">
        <f t="shared" si="12"/>
        <v>2.2695480917624123E-2</v>
      </c>
      <c r="S76">
        <v>200812</v>
      </c>
      <c r="T76">
        <v>6.08930982737626</v>
      </c>
      <c r="U76">
        <v>110758377.5</v>
      </c>
      <c r="W76">
        <v>199011</v>
      </c>
      <c r="X76">
        <v>9.6983642481319201</v>
      </c>
      <c r="Y76">
        <v>1235762</v>
      </c>
      <c r="AB76">
        <v>200812</v>
      </c>
      <c r="AC76">
        <f t="shared" si="15"/>
        <v>6.08930982737626</v>
      </c>
      <c r="AD76">
        <f t="shared" si="13"/>
        <v>6.1540421861506998</v>
      </c>
      <c r="AE76" s="1">
        <f t="shared" si="16"/>
        <v>39783</v>
      </c>
      <c r="AF76" s="14">
        <f t="shared" si="17"/>
        <v>-6.4732358774439724</v>
      </c>
      <c r="AG76" s="16">
        <f t="shared" si="18"/>
        <v>3.2962192804083003E-2</v>
      </c>
    </row>
    <row r="77" spans="1:33" x14ac:dyDescent="0.25">
      <c r="A77" s="1">
        <v>41852</v>
      </c>
      <c r="B77">
        <v>4.3955978354090197</v>
      </c>
      <c r="C77">
        <v>7190404190</v>
      </c>
      <c r="E77" s="1">
        <v>32021</v>
      </c>
      <c r="F77">
        <v>10.235150739928899</v>
      </c>
      <c r="G77">
        <v>489153118413</v>
      </c>
      <c r="K77" s="1">
        <v>41852</v>
      </c>
      <c r="L77">
        <v>4.3955978354090197</v>
      </c>
      <c r="M77">
        <f t="shared" si="11"/>
        <v>4.4681995477488003</v>
      </c>
      <c r="N77">
        <f t="shared" si="14"/>
        <v>-7.2601712339780633</v>
      </c>
      <c r="O77" s="2">
        <f t="shared" si="12"/>
        <v>1.9106390175511863E-2</v>
      </c>
      <c r="S77">
        <v>200901</v>
      </c>
      <c r="T77">
        <v>5.6457283403384402</v>
      </c>
      <c r="U77">
        <v>145704562</v>
      </c>
      <c r="W77">
        <v>199012</v>
      </c>
      <c r="X77">
        <v>9.5613720630504506</v>
      </c>
      <c r="Y77">
        <v>1486619</v>
      </c>
      <c r="AB77">
        <v>200901</v>
      </c>
      <c r="AC77">
        <f t="shared" si="15"/>
        <v>5.6457283403384402</v>
      </c>
      <c r="AD77">
        <f t="shared" si="13"/>
        <v>5.4080788659962602</v>
      </c>
      <c r="AE77" s="1">
        <f t="shared" si="16"/>
        <v>39814</v>
      </c>
      <c r="AF77" s="14">
        <f t="shared" si="17"/>
        <v>23.764947434217998</v>
      </c>
      <c r="AG77" s="16">
        <f t="shared" si="18"/>
        <v>2.2103511973780941E-2</v>
      </c>
    </row>
    <row r="78" spans="1:33" x14ac:dyDescent="0.25">
      <c r="A78" s="1">
        <v>41883</v>
      </c>
      <c r="B78">
        <v>4.4317024593860097</v>
      </c>
      <c r="C78">
        <v>11193961575</v>
      </c>
      <c r="E78" s="1">
        <v>32051</v>
      </c>
      <c r="F78">
        <v>10.3912629014162</v>
      </c>
      <c r="G78">
        <v>396307150156</v>
      </c>
      <c r="K78" s="1">
        <v>41883</v>
      </c>
      <c r="L78">
        <v>4.4317024593860097</v>
      </c>
      <c r="M78">
        <f t="shared" si="11"/>
        <v>4.4355356568817097</v>
      </c>
      <c r="N78">
        <f t="shared" si="14"/>
        <v>-0.38331974956999915</v>
      </c>
      <c r="O78" s="2">
        <f t="shared" si="12"/>
        <v>2.7283775412606494E-2</v>
      </c>
      <c r="S78">
        <v>200902</v>
      </c>
      <c r="T78">
        <v>5.2388604279057196</v>
      </c>
      <c r="U78">
        <v>50393503.920000002</v>
      </c>
      <c r="W78">
        <v>199101</v>
      </c>
      <c r="X78">
        <v>8.3059706383536493</v>
      </c>
      <c r="Y78">
        <v>381450</v>
      </c>
      <c r="AB78">
        <v>200902</v>
      </c>
      <c r="AC78">
        <f t="shared" si="15"/>
        <v>5.2388604279057196</v>
      </c>
      <c r="AD78">
        <f t="shared" si="13"/>
        <v>4.92998012040551</v>
      </c>
      <c r="AE78" s="1">
        <f t="shared" si="16"/>
        <v>39845</v>
      </c>
      <c r="AF78" s="14">
        <f t="shared" si="17"/>
        <v>30.888030750020956</v>
      </c>
      <c r="AG78" s="16">
        <f t="shared" si="18"/>
        <v>2.9563491992065918E-3</v>
      </c>
    </row>
    <row r="79" spans="1:33" x14ac:dyDescent="0.25">
      <c r="A79" s="1">
        <v>41913</v>
      </c>
      <c r="B79">
        <v>4.3594237575960699</v>
      </c>
      <c r="C79">
        <v>7587676558</v>
      </c>
      <c r="E79" s="1">
        <v>32082</v>
      </c>
      <c r="F79">
        <v>10.4873919070914</v>
      </c>
      <c r="G79">
        <v>314959351627</v>
      </c>
      <c r="K79" s="1">
        <v>41913</v>
      </c>
      <c r="L79">
        <v>4.3594237575960699</v>
      </c>
      <c r="M79">
        <f t="shared" si="11"/>
        <v>4.4756207173094804</v>
      </c>
      <c r="N79">
        <f t="shared" si="14"/>
        <v>-11.619695971341049</v>
      </c>
      <c r="O79" s="2">
        <f t="shared" si="12"/>
        <v>1.9456325502446078E-2</v>
      </c>
      <c r="S79">
        <v>200903</v>
      </c>
      <c r="T79">
        <v>5.0159041015529402</v>
      </c>
      <c r="U79">
        <v>112812880</v>
      </c>
      <c r="W79">
        <v>199102</v>
      </c>
      <c r="X79">
        <v>8.8570376202067003</v>
      </c>
      <c r="Y79">
        <v>272419.28999999998</v>
      </c>
      <c r="AB79">
        <v>200903</v>
      </c>
      <c r="AC79">
        <f t="shared" si="15"/>
        <v>5.0159041015529402</v>
      </c>
      <c r="AD79">
        <f t="shared" si="13"/>
        <v>4.8872241726257801</v>
      </c>
      <c r="AE79" s="1">
        <f t="shared" si="16"/>
        <v>39873</v>
      </c>
      <c r="AF79" s="14">
        <f t="shared" si="17"/>
        <v>12.867992892716007</v>
      </c>
      <c r="AG79" s="16">
        <f t="shared" si="18"/>
        <v>5.506836981739603E-3</v>
      </c>
    </row>
    <row r="80" spans="1:33" x14ac:dyDescent="0.25">
      <c r="A80" s="1">
        <v>41944</v>
      </c>
      <c r="B80">
        <v>4.3466391693390198</v>
      </c>
      <c r="C80">
        <v>7141513626</v>
      </c>
      <c r="E80" s="1">
        <v>32112</v>
      </c>
      <c r="F80">
        <v>9.8122379892677891</v>
      </c>
      <c r="G80">
        <v>428339791756</v>
      </c>
      <c r="K80" s="1">
        <v>41944</v>
      </c>
      <c r="L80">
        <v>4.3466391693390198</v>
      </c>
      <c r="M80">
        <f t="shared" si="11"/>
        <v>4.4883370685343502</v>
      </c>
      <c r="N80">
        <f t="shared" si="14"/>
        <v>-14.169789919533038</v>
      </c>
      <c r="O80" s="2">
        <f t="shared" si="12"/>
        <v>2.5615777783813829E-2</v>
      </c>
      <c r="S80">
        <v>200904</v>
      </c>
      <c r="T80">
        <v>5.1034595170602097</v>
      </c>
      <c r="U80">
        <v>133572965.52</v>
      </c>
      <c r="W80">
        <v>199103</v>
      </c>
      <c r="X80">
        <v>8.2345609392932797</v>
      </c>
      <c r="Y80">
        <v>427811</v>
      </c>
      <c r="AB80">
        <v>200904</v>
      </c>
      <c r="AC80">
        <f t="shared" si="15"/>
        <v>5.1034595170602097</v>
      </c>
      <c r="AD80">
        <f t="shared" si="13"/>
        <v>4.91173237613053</v>
      </c>
      <c r="AE80" s="1">
        <f t="shared" si="16"/>
        <v>39904</v>
      </c>
      <c r="AF80" s="14">
        <f t="shared" si="17"/>
        <v>19.172714092967968</v>
      </c>
      <c r="AG80" s="16">
        <f t="shared" si="18"/>
        <v>6.2610142326265904E-3</v>
      </c>
    </row>
    <row r="81" spans="1:33" x14ac:dyDescent="0.25">
      <c r="A81" s="1">
        <v>41974</v>
      </c>
      <c r="B81">
        <v>4.2734385976748097</v>
      </c>
      <c r="C81">
        <v>9135015902</v>
      </c>
      <c r="E81" s="1">
        <v>32143</v>
      </c>
      <c r="F81">
        <v>10.6321869063318</v>
      </c>
      <c r="G81">
        <v>152084807905</v>
      </c>
      <c r="K81" s="1">
        <v>41974</v>
      </c>
      <c r="L81">
        <v>4.2734385976748097</v>
      </c>
      <c r="M81">
        <f t="shared" si="11"/>
        <v>4.3629145938798297</v>
      </c>
      <c r="N81">
        <f t="shared" si="14"/>
        <v>-8.9475996205020003</v>
      </c>
      <c r="O81" s="2">
        <f t="shared" si="12"/>
        <v>2.5004838925815627E-2</v>
      </c>
      <c r="S81">
        <v>200905</v>
      </c>
      <c r="T81">
        <v>5.2192129169568604</v>
      </c>
      <c r="U81">
        <v>135986540.09</v>
      </c>
      <c r="W81">
        <v>199104</v>
      </c>
      <c r="X81">
        <v>8.83226059108366</v>
      </c>
      <c r="Y81">
        <v>596601.84</v>
      </c>
      <c r="AB81">
        <v>200905</v>
      </c>
      <c r="AC81">
        <f t="shared" si="15"/>
        <v>5.2192129169568604</v>
      </c>
      <c r="AD81">
        <f t="shared" si="13"/>
        <v>4.81326272198329</v>
      </c>
      <c r="AE81" s="1">
        <f t="shared" si="16"/>
        <v>39934</v>
      </c>
      <c r="AF81" s="14">
        <f t="shared" si="17"/>
        <v>40.595019497357043</v>
      </c>
      <c r="AG81" s="16">
        <f t="shared" si="18"/>
        <v>4.9939105123114006E-3</v>
      </c>
    </row>
    <row r="82" spans="1:33" x14ac:dyDescent="0.25">
      <c r="A82" s="1">
        <v>42005</v>
      </c>
      <c r="B82">
        <v>4.2115290009692004</v>
      </c>
      <c r="C82">
        <v>7341781821</v>
      </c>
      <c r="E82" s="1">
        <v>32174</v>
      </c>
      <c r="F82">
        <v>10.6164956916028</v>
      </c>
      <c r="G82">
        <v>325710109638</v>
      </c>
      <c r="K82" s="1">
        <v>42005</v>
      </c>
      <c r="L82">
        <v>4.2115290009692004</v>
      </c>
      <c r="M82">
        <f t="shared" si="11"/>
        <v>4.3011500305881896</v>
      </c>
      <c r="N82">
        <f t="shared" si="14"/>
        <v>-8.9621029618989212</v>
      </c>
      <c r="O82" s="2">
        <f t="shared" si="12"/>
        <v>2.6127057963396365E-2</v>
      </c>
      <c r="S82">
        <v>200906</v>
      </c>
      <c r="T82">
        <v>5.08295357181282</v>
      </c>
      <c r="U82">
        <v>212244759.05000001</v>
      </c>
      <c r="W82">
        <v>199105</v>
      </c>
      <c r="X82">
        <v>8.60219435477517</v>
      </c>
      <c r="Y82">
        <v>2056322</v>
      </c>
      <c r="AB82">
        <v>200906</v>
      </c>
      <c r="AC82">
        <f t="shared" si="15"/>
        <v>5.08295357181282</v>
      </c>
      <c r="AD82">
        <f t="shared" si="13"/>
        <v>4.7861648554747402</v>
      </c>
      <c r="AE82" s="1">
        <f t="shared" si="16"/>
        <v>39965</v>
      </c>
      <c r="AF82" s="14">
        <f t="shared" si="17"/>
        <v>29.678871633807979</v>
      </c>
      <c r="AG82" s="16">
        <f t="shared" si="18"/>
        <v>5.733366294461281E-3</v>
      </c>
    </row>
    <row r="83" spans="1:33" x14ac:dyDescent="0.25">
      <c r="A83" s="1">
        <v>42036</v>
      </c>
      <c r="B83">
        <v>4.05603288397357</v>
      </c>
      <c r="C83">
        <v>8211282600</v>
      </c>
      <c r="E83" s="1">
        <v>32203</v>
      </c>
      <c r="F83">
        <v>9.9337165983576998</v>
      </c>
      <c r="G83">
        <v>439466748109</v>
      </c>
      <c r="K83" s="1">
        <v>42036</v>
      </c>
      <c r="L83">
        <v>4.05603288397357</v>
      </c>
      <c r="M83">
        <f t="shared" si="11"/>
        <v>4.2096690729955704</v>
      </c>
      <c r="N83">
        <f t="shared" si="14"/>
        <v>-15.363618902200038</v>
      </c>
      <c r="O83" s="2">
        <f t="shared" si="12"/>
        <v>3.3560735280295476E-2</v>
      </c>
      <c r="S83">
        <v>200907</v>
      </c>
      <c r="T83">
        <v>5.0559987887486697</v>
      </c>
      <c r="U83">
        <v>559191983.63</v>
      </c>
      <c r="W83">
        <v>199106</v>
      </c>
      <c r="X83">
        <v>8.8349546779687103</v>
      </c>
      <c r="Y83">
        <v>2078680</v>
      </c>
      <c r="AB83">
        <v>200907</v>
      </c>
      <c r="AC83">
        <f t="shared" si="15"/>
        <v>5.0559987887486697</v>
      </c>
      <c r="AD83">
        <f t="shared" si="13"/>
        <v>4.8663159196118304</v>
      </c>
      <c r="AE83" s="1">
        <f t="shared" si="16"/>
        <v>39995</v>
      </c>
      <c r="AF83" s="14">
        <f t="shared" si="17"/>
        <v>18.968286913683929</v>
      </c>
      <c r="AG83" s="16">
        <f t="shared" si="18"/>
        <v>1.7011543661111399E-2</v>
      </c>
    </row>
    <row r="84" spans="1:33" x14ac:dyDescent="0.25">
      <c r="A84" s="1">
        <v>42064</v>
      </c>
      <c r="B84">
        <v>3.9601078610645701</v>
      </c>
      <c r="C84">
        <v>9108242199</v>
      </c>
      <c r="E84" s="1">
        <v>32234</v>
      </c>
      <c r="F84">
        <v>9.9773990565931197</v>
      </c>
      <c r="G84">
        <v>478179551443</v>
      </c>
      <c r="K84" s="1">
        <v>42064</v>
      </c>
      <c r="L84">
        <v>3.9601078610645701</v>
      </c>
      <c r="M84">
        <f t="shared" si="11"/>
        <v>4.0329850466226498</v>
      </c>
      <c r="N84">
        <f t="shared" si="14"/>
        <v>-7.2877185558079649</v>
      </c>
      <c r="O84" s="2">
        <f t="shared" si="12"/>
        <v>3.2710942586512019E-2</v>
      </c>
      <c r="S84">
        <v>200908</v>
      </c>
      <c r="T84">
        <v>5.0689893756758604</v>
      </c>
      <c r="U84">
        <v>855501596.49000001</v>
      </c>
      <c r="W84">
        <v>199107</v>
      </c>
      <c r="X84">
        <v>8.8263592517463305</v>
      </c>
      <c r="Y84">
        <v>2675884</v>
      </c>
      <c r="AB84">
        <v>200908</v>
      </c>
      <c r="AC84">
        <f t="shared" si="15"/>
        <v>5.0689893756758604</v>
      </c>
      <c r="AD84">
        <f t="shared" si="13"/>
        <v>5.0161043388025597</v>
      </c>
      <c r="AE84" s="1">
        <f t="shared" si="16"/>
        <v>40026</v>
      </c>
      <c r="AF84" s="14">
        <f t="shared" si="17"/>
        <v>5.2885036873300706</v>
      </c>
      <c r="AG84" s="16">
        <f t="shared" si="18"/>
        <v>3.906438475033102E-2</v>
      </c>
    </row>
    <row r="85" spans="1:33" x14ac:dyDescent="0.25">
      <c r="A85" s="1">
        <v>42095</v>
      </c>
      <c r="B85">
        <v>3.9694244775480398</v>
      </c>
      <c r="C85">
        <v>8664975872</v>
      </c>
      <c r="E85" s="1">
        <v>32264</v>
      </c>
      <c r="F85">
        <v>9.9117348740687596</v>
      </c>
      <c r="G85">
        <v>394017316378</v>
      </c>
      <c r="K85" s="1">
        <v>42095</v>
      </c>
      <c r="L85">
        <v>3.9694244775480398</v>
      </c>
      <c r="M85">
        <f t="shared" si="11"/>
        <v>4.0070633221616401</v>
      </c>
      <c r="N85">
        <f t="shared" si="14"/>
        <v>-3.7638844613600231</v>
      </c>
      <c r="O85" s="2">
        <f t="shared" si="12"/>
        <v>3.2920895192787715E-2</v>
      </c>
      <c r="S85">
        <v>200909</v>
      </c>
      <c r="T85">
        <v>5.1673010809952</v>
      </c>
      <c r="U85">
        <v>703979384.20000005</v>
      </c>
      <c r="W85">
        <v>199108</v>
      </c>
      <c r="X85">
        <v>9.1278245117774404</v>
      </c>
      <c r="Y85">
        <v>419276</v>
      </c>
      <c r="AB85">
        <v>200909</v>
      </c>
      <c r="AC85">
        <f t="shared" si="15"/>
        <v>5.1673010809952</v>
      </c>
      <c r="AD85">
        <f t="shared" si="13"/>
        <v>5.12245479073077</v>
      </c>
      <c r="AE85" s="1">
        <f t="shared" si="16"/>
        <v>40057</v>
      </c>
      <c r="AF85" s="14">
        <f t="shared" si="17"/>
        <v>4.4846290264429989</v>
      </c>
      <c r="AG85" s="16">
        <f t="shared" si="18"/>
        <v>4.346456411466141E-2</v>
      </c>
    </row>
    <row r="86" spans="1:33" x14ac:dyDescent="0.25">
      <c r="A86" s="1">
        <v>42125</v>
      </c>
      <c r="B86">
        <v>3.9935501846671202</v>
      </c>
      <c r="C86">
        <v>5381318019</v>
      </c>
      <c r="E86" s="1">
        <v>32295</v>
      </c>
      <c r="F86">
        <v>10.0699639447422</v>
      </c>
      <c r="G86">
        <v>446603895882</v>
      </c>
      <c r="K86" s="1">
        <v>42125</v>
      </c>
      <c r="L86">
        <v>3.9935501846671202</v>
      </c>
      <c r="M86">
        <f t="shared" si="11"/>
        <v>4.0535036903429402</v>
      </c>
      <c r="N86">
        <f t="shared" si="14"/>
        <v>-5.9953505675820029</v>
      </c>
      <c r="O86" s="2">
        <f t="shared" si="12"/>
        <v>2.5247300078463802E-2</v>
      </c>
      <c r="S86">
        <v>200910</v>
      </c>
      <c r="T86">
        <v>5.2442170609608096</v>
      </c>
      <c r="U86">
        <v>558981114.54999995</v>
      </c>
      <c r="W86">
        <v>199109</v>
      </c>
      <c r="X86">
        <v>8.4875827894546898</v>
      </c>
      <c r="Y86">
        <v>424374.7</v>
      </c>
      <c r="AB86">
        <v>200910</v>
      </c>
      <c r="AC86">
        <f t="shared" si="15"/>
        <v>5.2442170609608096</v>
      </c>
      <c r="AD86">
        <f t="shared" si="13"/>
        <v>5.1498231753171098</v>
      </c>
      <c r="AE86" s="1">
        <f t="shared" si="16"/>
        <v>40087</v>
      </c>
      <c r="AF86" s="14">
        <f t="shared" si="17"/>
        <v>9.4393885643699882</v>
      </c>
      <c r="AG86" s="16">
        <f t="shared" si="18"/>
        <v>4.1148313502119165E-2</v>
      </c>
    </row>
    <row r="87" spans="1:33" x14ac:dyDescent="0.25">
      <c r="A87" s="1">
        <v>42156</v>
      </c>
      <c r="B87">
        <v>3.9466098859248802</v>
      </c>
      <c r="C87">
        <v>9656455976</v>
      </c>
      <c r="E87" s="1">
        <v>32325</v>
      </c>
      <c r="F87">
        <v>10.1782457012529</v>
      </c>
      <c r="G87">
        <v>613279851694</v>
      </c>
      <c r="K87" s="1">
        <v>42156</v>
      </c>
      <c r="L87">
        <v>3.9466098859248802</v>
      </c>
      <c r="M87">
        <f t="shared" si="11"/>
        <v>4.0389687442882796</v>
      </c>
      <c r="N87">
        <f t="shared" si="14"/>
        <v>-9.235885836339941</v>
      </c>
      <c r="O87" s="2">
        <f t="shared" si="12"/>
        <v>5.2812628619025921E-2</v>
      </c>
      <c r="S87">
        <v>200911</v>
      </c>
      <c r="T87">
        <v>5.1974592632695797</v>
      </c>
      <c r="U87">
        <v>564683640.89999998</v>
      </c>
      <c r="W87">
        <v>199110</v>
      </c>
      <c r="X87">
        <v>8.89316002355066</v>
      </c>
      <c r="Y87">
        <v>495952</v>
      </c>
      <c r="AB87">
        <v>200911</v>
      </c>
      <c r="AC87">
        <f t="shared" si="15"/>
        <v>5.1974592632695797</v>
      </c>
      <c r="AD87">
        <f t="shared" si="13"/>
        <v>5.0968393791168696</v>
      </c>
      <c r="AE87" s="1">
        <f t="shared" si="16"/>
        <v>40118</v>
      </c>
      <c r="AF87" s="14">
        <f t="shared" si="17"/>
        <v>10.061988415271017</v>
      </c>
      <c r="AG87" s="16">
        <f t="shared" si="18"/>
        <v>3.8228826491841859E-2</v>
      </c>
    </row>
    <row r="88" spans="1:33" x14ac:dyDescent="0.25">
      <c r="A88" s="1">
        <v>42186</v>
      </c>
      <c r="B88">
        <v>4.0549893147499896</v>
      </c>
      <c r="C88">
        <v>4293685220</v>
      </c>
      <c r="E88" s="1">
        <v>32356</v>
      </c>
      <c r="F88">
        <v>10.1830225303666</v>
      </c>
      <c r="G88">
        <v>357328576291</v>
      </c>
      <c r="K88" s="1">
        <v>42186</v>
      </c>
      <c r="L88">
        <v>4.0549893147499896</v>
      </c>
      <c r="M88">
        <f t="shared" si="11"/>
        <v>4.1103325603782999</v>
      </c>
      <c r="N88">
        <f t="shared" si="14"/>
        <v>-5.5343245628310278</v>
      </c>
      <c r="O88" s="2">
        <f t="shared" si="12"/>
        <v>2.5687590443477702E-2</v>
      </c>
      <c r="S88">
        <v>200912</v>
      </c>
      <c r="T88">
        <v>5.1520423070809898</v>
      </c>
      <c r="U88">
        <v>606315010.74000001</v>
      </c>
      <c r="W88">
        <v>199111</v>
      </c>
      <c r="X88">
        <v>9.0305304073275892</v>
      </c>
      <c r="Y88">
        <v>1356844</v>
      </c>
      <c r="AB88">
        <v>200912</v>
      </c>
      <c r="AC88">
        <f t="shared" si="15"/>
        <v>5.1520423070809898</v>
      </c>
      <c r="AD88">
        <f t="shared" si="13"/>
        <v>5.0736712123961203</v>
      </c>
      <c r="AE88" s="1">
        <f t="shared" si="16"/>
        <v>40148</v>
      </c>
      <c r="AF88" s="14">
        <f t="shared" si="17"/>
        <v>7.8371094684869469</v>
      </c>
      <c r="AG88" s="16">
        <f t="shared" si="18"/>
        <v>3.8331628948213375E-2</v>
      </c>
    </row>
    <row r="89" spans="1:33" x14ac:dyDescent="0.25">
      <c r="A89" s="1">
        <v>42217</v>
      </c>
      <c r="B89">
        <v>4.0696513008361999</v>
      </c>
      <c r="C89">
        <v>3683574764</v>
      </c>
      <c r="E89" s="1">
        <v>32387</v>
      </c>
      <c r="F89">
        <v>10.3163324115934</v>
      </c>
      <c r="G89">
        <v>366817308038</v>
      </c>
      <c r="K89" s="1">
        <v>42217</v>
      </c>
      <c r="L89">
        <v>4.0696513008361999</v>
      </c>
      <c r="M89">
        <f t="shared" si="11"/>
        <v>4.2555873644735902</v>
      </c>
      <c r="N89">
        <f t="shared" si="14"/>
        <v>-18.593606363739035</v>
      </c>
      <c r="O89" s="2">
        <f t="shared" si="12"/>
        <v>3.2841933586379102E-2</v>
      </c>
      <c r="S89">
        <v>201001</v>
      </c>
      <c r="T89">
        <v>5.1041343366001701</v>
      </c>
      <c r="U89">
        <v>709057598.74000001</v>
      </c>
      <c r="W89">
        <v>199112</v>
      </c>
      <c r="X89">
        <v>8.8753349495040599</v>
      </c>
      <c r="Y89">
        <v>1559391.77</v>
      </c>
      <c r="AB89">
        <v>201001</v>
      </c>
      <c r="AC89">
        <f t="shared" si="15"/>
        <v>5.1041343366001701</v>
      </c>
      <c r="AD89">
        <f t="shared" si="13"/>
        <v>5.04001831035648</v>
      </c>
      <c r="AE89" s="1">
        <f t="shared" si="16"/>
        <v>40179</v>
      </c>
      <c r="AF89" s="14">
        <f t="shared" si="17"/>
        <v>6.4116026243690172</v>
      </c>
      <c r="AG89" s="16">
        <f t="shared" si="18"/>
        <v>4.1211696431625776E-2</v>
      </c>
    </row>
    <row r="90" spans="1:33" x14ac:dyDescent="0.25">
      <c r="A90" s="1">
        <v>42248</v>
      </c>
      <c r="B90">
        <v>4.1661401988232196</v>
      </c>
      <c r="C90">
        <v>1938949142</v>
      </c>
      <c r="E90" s="1">
        <v>32417</v>
      </c>
      <c r="F90">
        <v>10.407167186236601</v>
      </c>
      <c r="G90">
        <v>454960939412</v>
      </c>
      <c r="K90" s="1">
        <v>42248</v>
      </c>
      <c r="L90">
        <v>4.1661401988232196</v>
      </c>
      <c r="M90">
        <f t="shared" si="11"/>
        <v>4.2691977508419399</v>
      </c>
      <c r="N90">
        <f t="shared" si="14"/>
        <v>-10.305755201872024</v>
      </c>
      <c r="O90" s="2">
        <f t="shared" si="12"/>
        <v>1.9307365695388944E-2</v>
      </c>
      <c r="S90">
        <v>201002</v>
      </c>
      <c r="T90">
        <v>5.0860619857473397</v>
      </c>
      <c r="U90">
        <v>590037337.38</v>
      </c>
      <c r="W90">
        <v>199201</v>
      </c>
      <c r="X90">
        <v>8.3197737565005294</v>
      </c>
      <c r="Y90">
        <v>803780</v>
      </c>
      <c r="AB90">
        <v>201002</v>
      </c>
      <c r="AC90">
        <f t="shared" si="15"/>
        <v>5.0860619857473397</v>
      </c>
      <c r="AD90">
        <f t="shared" si="13"/>
        <v>5.0743431463895599</v>
      </c>
      <c r="AE90" s="1">
        <f t="shared" si="16"/>
        <v>40210</v>
      </c>
      <c r="AF90" s="14">
        <f t="shared" si="17"/>
        <v>1.1718839357779842</v>
      </c>
      <c r="AG90" s="16">
        <f t="shared" si="18"/>
        <v>4.2574406050203017E-2</v>
      </c>
    </row>
    <row r="91" spans="1:33" x14ac:dyDescent="0.25">
      <c r="A91" s="1">
        <v>42278</v>
      </c>
      <c r="B91">
        <v>4.1537853390636101</v>
      </c>
      <c r="C91">
        <v>1225724328</v>
      </c>
      <c r="E91" s="1">
        <v>32448</v>
      </c>
      <c r="F91">
        <v>10.2772126285615</v>
      </c>
      <c r="G91">
        <v>514891497061</v>
      </c>
      <c r="K91" s="1">
        <v>42278</v>
      </c>
      <c r="L91">
        <v>4.1537853390636101</v>
      </c>
      <c r="M91">
        <f t="shared" si="11"/>
        <v>4.2544941345304697</v>
      </c>
      <c r="N91">
        <f t="shared" si="14"/>
        <v>-10.070879546685951</v>
      </c>
      <c r="O91" s="2">
        <f t="shared" si="12"/>
        <v>2.0052139326341676E-2</v>
      </c>
      <c r="S91">
        <v>201003</v>
      </c>
      <c r="T91">
        <v>5.1743190022576497</v>
      </c>
      <c r="U91">
        <v>452969306.45999998</v>
      </c>
      <c r="W91">
        <v>199202</v>
      </c>
      <c r="X91">
        <v>8.3654516892901807</v>
      </c>
      <c r="Y91">
        <v>678159.98</v>
      </c>
      <c r="AB91">
        <v>201003</v>
      </c>
      <c r="AC91">
        <f t="shared" si="15"/>
        <v>5.1743190022576497</v>
      </c>
      <c r="AD91">
        <f t="shared" si="13"/>
        <v>5.1521203708475003</v>
      </c>
      <c r="AE91" s="1">
        <f t="shared" si="16"/>
        <v>40238</v>
      </c>
      <c r="AF91" s="14">
        <f t="shared" si="17"/>
        <v>2.2198631410149439</v>
      </c>
      <c r="AG91" s="16">
        <f t="shared" si="18"/>
        <v>4.3081938079710683E-2</v>
      </c>
    </row>
    <row r="92" spans="1:33" x14ac:dyDescent="0.25">
      <c r="A92" s="1">
        <v>42309</v>
      </c>
      <c r="B92">
        <v>4.0864136001973099</v>
      </c>
      <c r="C92">
        <v>626259208</v>
      </c>
      <c r="E92" s="1">
        <v>32478</v>
      </c>
      <c r="F92">
        <v>10.1102380492813</v>
      </c>
      <c r="G92">
        <v>544774286207</v>
      </c>
      <c r="K92" s="1">
        <v>42309</v>
      </c>
      <c r="L92">
        <v>4.0864136001973099</v>
      </c>
      <c r="M92">
        <f t="shared" si="11"/>
        <v>4.2217044865697799</v>
      </c>
      <c r="N92">
        <f t="shared" si="14"/>
        <v>-13.529088637247</v>
      </c>
      <c r="O92" s="2">
        <f t="shared" si="12"/>
        <v>3.2346047248457382E-2</v>
      </c>
      <c r="S92">
        <v>201004</v>
      </c>
      <c r="T92">
        <v>5.1842820862317298</v>
      </c>
      <c r="U92">
        <v>536160041.27999997</v>
      </c>
      <c r="W92">
        <v>199203</v>
      </c>
      <c r="X92">
        <v>8.5794263765713907</v>
      </c>
      <c r="Y92">
        <v>879598.4</v>
      </c>
      <c r="AB92">
        <v>201004</v>
      </c>
      <c r="AC92">
        <f t="shared" si="15"/>
        <v>5.1842820862317298</v>
      </c>
      <c r="AD92">
        <f t="shared" si="13"/>
        <v>5.1501753809235096</v>
      </c>
      <c r="AE92" s="1">
        <f t="shared" si="16"/>
        <v>40269</v>
      </c>
      <c r="AF92" s="14">
        <f t="shared" si="17"/>
        <v>3.4106705308220242</v>
      </c>
      <c r="AG92" s="16">
        <f t="shared" si="18"/>
        <v>3.6541514071052245E-2</v>
      </c>
    </row>
    <row r="93" spans="1:33" x14ac:dyDescent="0.25">
      <c r="A93" s="1">
        <v>42339</v>
      </c>
      <c r="B93">
        <v>4.1293286560685303</v>
      </c>
      <c r="C93">
        <v>51527836</v>
      </c>
      <c r="E93" s="1">
        <v>32509</v>
      </c>
      <c r="F93">
        <v>10.2305985697029</v>
      </c>
      <c r="G93">
        <v>531738717456</v>
      </c>
      <c r="K93" s="1">
        <v>42339</v>
      </c>
      <c r="L93">
        <v>4.1293286560685303</v>
      </c>
      <c r="M93">
        <f t="shared" si="11"/>
        <v>4.1798344701624197</v>
      </c>
      <c r="N93">
        <f t="shared" si="14"/>
        <v>-5.0505814093889434</v>
      </c>
      <c r="O93" s="2">
        <f t="shared" si="12"/>
        <v>5.4609199851666877E-3</v>
      </c>
      <c r="S93">
        <v>201005</v>
      </c>
      <c r="T93">
        <v>5.1754863278627896</v>
      </c>
      <c r="U93">
        <v>523245005</v>
      </c>
      <c r="W93">
        <v>199204</v>
      </c>
      <c r="X93">
        <v>8.4008056523921297</v>
      </c>
      <c r="Y93">
        <v>1122928.46</v>
      </c>
      <c r="AB93">
        <v>201005</v>
      </c>
      <c r="AC93">
        <f t="shared" si="15"/>
        <v>5.1754863278627896</v>
      </c>
      <c r="AD93">
        <f t="shared" si="13"/>
        <v>5.1738569658479703</v>
      </c>
      <c r="AE93" s="1">
        <f t="shared" si="16"/>
        <v>40299</v>
      </c>
      <c r="AF93" s="14">
        <f t="shared" si="17"/>
        <v>0.16293620148193355</v>
      </c>
      <c r="AG93" s="16">
        <f t="shared" si="18"/>
        <v>3.8451943668974004E-2</v>
      </c>
    </row>
    <row r="94" spans="1:33" x14ac:dyDescent="0.25">
      <c r="E94" s="1">
        <v>32540</v>
      </c>
      <c r="F94">
        <v>10.3711125474792</v>
      </c>
      <c r="G94">
        <v>457673159860</v>
      </c>
      <c r="S94">
        <v>201006</v>
      </c>
      <c r="T94">
        <v>5.1818456321506101</v>
      </c>
      <c r="U94">
        <v>490505175.42000002</v>
      </c>
      <c r="W94">
        <v>199205</v>
      </c>
      <c r="X94">
        <v>8.2257724891090405</v>
      </c>
      <c r="Y94">
        <v>847852.73</v>
      </c>
      <c r="AB94">
        <v>201006</v>
      </c>
      <c r="AC94">
        <f t="shared" si="15"/>
        <v>5.1818456321506101</v>
      </c>
      <c r="AD94">
        <f t="shared" si="13"/>
        <v>5.19543905578767</v>
      </c>
      <c r="AE94" s="1">
        <f t="shared" si="16"/>
        <v>40330</v>
      </c>
      <c r="AF94" s="14">
        <f t="shared" si="17"/>
        <v>-1.3593423637059843</v>
      </c>
      <c r="AG94" s="16">
        <f t="shared" si="18"/>
        <v>4.05056485945181E-2</v>
      </c>
    </row>
    <row r="95" spans="1:33" x14ac:dyDescent="0.25">
      <c r="E95" s="1">
        <v>32568</v>
      </c>
      <c r="F95">
        <v>10.543022408973499</v>
      </c>
      <c r="G95">
        <v>391904063422</v>
      </c>
      <c r="S95">
        <v>201007</v>
      </c>
      <c r="T95">
        <v>5.0182634171783498</v>
      </c>
      <c r="U95">
        <v>982518688.85000002</v>
      </c>
      <c r="W95">
        <v>199206</v>
      </c>
      <c r="X95">
        <v>8.8042607822289298</v>
      </c>
      <c r="Y95">
        <v>974623.62</v>
      </c>
      <c r="AB95">
        <v>201007</v>
      </c>
      <c r="AC95">
        <f t="shared" si="15"/>
        <v>5.0182634171783498</v>
      </c>
      <c r="AD95">
        <f t="shared" si="13"/>
        <v>5.05082566230013</v>
      </c>
      <c r="AE95" s="1">
        <f t="shared" si="16"/>
        <v>40360</v>
      </c>
      <c r="AF95" s="14">
        <f t="shared" si="17"/>
        <v>-3.2562245121780187</v>
      </c>
      <c r="AG95" s="16">
        <f t="shared" si="18"/>
        <v>6.3346913116188813E-2</v>
      </c>
    </row>
    <row r="96" spans="1:33" x14ac:dyDescent="0.25">
      <c r="E96" s="1">
        <v>32599</v>
      </c>
      <c r="F96">
        <v>10.477661989757999</v>
      </c>
      <c r="G96">
        <v>336057672745</v>
      </c>
      <c r="S96">
        <v>201008</v>
      </c>
      <c r="T96">
        <v>4.8908690092361997</v>
      </c>
      <c r="U96">
        <v>1260062113.5899999</v>
      </c>
      <c r="W96">
        <v>199207</v>
      </c>
      <c r="X96">
        <v>8.6720294165490408</v>
      </c>
      <c r="Y96">
        <v>1819353.45</v>
      </c>
      <c r="AB96">
        <v>201008</v>
      </c>
      <c r="AC96">
        <f t="shared" si="15"/>
        <v>4.8908690092361997</v>
      </c>
      <c r="AD96">
        <f t="shared" si="13"/>
        <v>4.8578649521791597</v>
      </c>
      <c r="AE96" s="1">
        <f t="shared" si="16"/>
        <v>40391</v>
      </c>
      <c r="AF96" s="14">
        <f t="shared" si="17"/>
        <v>3.3004057057040015</v>
      </c>
      <c r="AG96" s="16">
        <f t="shared" si="18"/>
        <v>6.7896197053409116E-2</v>
      </c>
    </row>
    <row r="97" spans="5:33" x14ac:dyDescent="0.25">
      <c r="E97" s="1">
        <v>32629</v>
      </c>
      <c r="F97">
        <v>10.6560419489971</v>
      </c>
      <c r="G97">
        <v>362916754943</v>
      </c>
      <c r="S97">
        <v>201009</v>
      </c>
      <c r="T97">
        <v>4.7616592657262302</v>
      </c>
      <c r="U97">
        <v>1726325947.47</v>
      </c>
      <c r="W97">
        <v>199208</v>
      </c>
      <c r="X97">
        <v>8.4708832774787393</v>
      </c>
      <c r="Y97">
        <v>1827730.91</v>
      </c>
      <c r="AB97">
        <v>201009</v>
      </c>
      <c r="AC97">
        <f t="shared" si="15"/>
        <v>4.7616592657262302</v>
      </c>
      <c r="AD97">
        <f t="shared" si="13"/>
        <v>4.6987702512455201</v>
      </c>
      <c r="AE97" s="1">
        <f t="shared" si="16"/>
        <v>40422</v>
      </c>
      <c r="AF97" s="14">
        <f t="shared" si="17"/>
        <v>6.2889014480710159</v>
      </c>
      <c r="AG97" s="16">
        <f t="shared" si="18"/>
        <v>6.4998796149752014E-2</v>
      </c>
    </row>
    <row r="98" spans="5:33" x14ac:dyDescent="0.25">
      <c r="E98" s="1">
        <v>32660</v>
      </c>
      <c r="F98">
        <v>10.7464747784829</v>
      </c>
      <c r="G98">
        <v>503529757559</v>
      </c>
      <c r="S98">
        <v>201010</v>
      </c>
      <c r="T98">
        <v>4.6342551263670098</v>
      </c>
      <c r="U98">
        <v>2147303110.52</v>
      </c>
      <c r="W98">
        <v>199209</v>
      </c>
      <c r="X98">
        <v>8.19820966316904</v>
      </c>
      <c r="Y98">
        <v>3094974.73</v>
      </c>
      <c r="AB98">
        <v>201010</v>
      </c>
      <c r="AC98">
        <f t="shared" si="15"/>
        <v>4.6342551263670098</v>
      </c>
      <c r="AD98">
        <f t="shared" si="13"/>
        <v>4.5814850630816997</v>
      </c>
      <c r="AE98" s="1">
        <f t="shared" si="16"/>
        <v>40452</v>
      </c>
      <c r="AF98" s="14">
        <f t="shared" si="17"/>
        <v>5.2770063285310087</v>
      </c>
      <c r="AG98" s="16">
        <f t="shared" si="18"/>
        <v>7.2353968374556085E-2</v>
      </c>
    </row>
    <row r="99" spans="5:33" x14ac:dyDescent="0.25">
      <c r="E99" s="1">
        <v>32690</v>
      </c>
      <c r="F99">
        <v>10.608008949016799</v>
      </c>
      <c r="G99">
        <v>559445046338</v>
      </c>
      <c r="S99">
        <v>201011</v>
      </c>
      <c r="T99">
        <v>4.5580910931442098</v>
      </c>
      <c r="U99">
        <v>2358805421.4299998</v>
      </c>
      <c r="W99">
        <v>199210</v>
      </c>
      <c r="X99">
        <v>7.7882477190741604</v>
      </c>
      <c r="Y99">
        <v>5163020.79</v>
      </c>
      <c r="AB99">
        <v>201011</v>
      </c>
      <c r="AC99">
        <f t="shared" si="15"/>
        <v>4.5580910931442098</v>
      </c>
      <c r="AD99">
        <f t="shared" si="13"/>
        <v>4.5154789766060599</v>
      </c>
      <c r="AE99" s="1">
        <f t="shared" si="16"/>
        <v>40483</v>
      </c>
      <c r="AF99" s="14">
        <f t="shared" si="17"/>
        <v>4.2612116538149891</v>
      </c>
      <c r="AG99" s="16">
        <f t="shared" si="18"/>
        <v>7.7236716393744312E-2</v>
      </c>
    </row>
    <row r="100" spans="5:33" x14ac:dyDescent="0.25">
      <c r="E100" s="1">
        <v>32721</v>
      </c>
      <c r="F100">
        <v>10.242439177813701</v>
      </c>
      <c r="G100">
        <v>653227969075</v>
      </c>
      <c r="S100">
        <v>201012</v>
      </c>
      <c r="T100">
        <v>4.4864947121731298</v>
      </c>
      <c r="U100">
        <v>2441657178.6199999</v>
      </c>
      <c r="W100">
        <v>199211</v>
      </c>
      <c r="X100">
        <v>7.9227007172558599</v>
      </c>
      <c r="Y100">
        <v>2900203.56</v>
      </c>
      <c r="AB100">
        <v>201012</v>
      </c>
      <c r="AC100">
        <f t="shared" si="15"/>
        <v>4.4864947121731298</v>
      </c>
      <c r="AD100">
        <f t="shared" ref="AD100:AD131" si="19">VLOOKUP(AB100,W:X,2,0)</f>
        <v>4.4352051212678401</v>
      </c>
      <c r="AE100" s="1">
        <f t="shared" si="16"/>
        <v>40513</v>
      </c>
      <c r="AF100" s="14">
        <f t="shared" si="17"/>
        <v>5.1289590905289728</v>
      </c>
      <c r="AG100" s="16">
        <f t="shared" si="18"/>
        <v>7.7046398656787848E-2</v>
      </c>
    </row>
    <row r="101" spans="5:33" x14ac:dyDescent="0.25">
      <c r="E101" s="1">
        <v>32752</v>
      </c>
      <c r="F101">
        <v>10.0068247822985</v>
      </c>
      <c r="G101">
        <v>871811656909</v>
      </c>
      <c r="S101">
        <v>201101</v>
      </c>
      <c r="T101">
        <v>4.47563023708254</v>
      </c>
      <c r="U101">
        <v>2323675746.2399998</v>
      </c>
      <c r="W101">
        <v>199212</v>
      </c>
      <c r="X101">
        <v>8.0246923834102208</v>
      </c>
      <c r="Y101">
        <v>3267756.14</v>
      </c>
      <c r="AB101">
        <v>201101</v>
      </c>
      <c r="AC101">
        <f t="shared" si="15"/>
        <v>4.47563023708254</v>
      </c>
      <c r="AD101">
        <f t="shared" si="19"/>
        <v>4.5136099627627804</v>
      </c>
      <c r="AE101" s="1">
        <f t="shared" si="16"/>
        <v>40544</v>
      </c>
      <c r="AF101" s="14">
        <f t="shared" si="17"/>
        <v>-3.7979725680240328</v>
      </c>
      <c r="AG101" s="16">
        <f t="shared" si="18"/>
        <v>8.0612975349618962E-2</v>
      </c>
    </row>
    <row r="102" spans="5:33" x14ac:dyDescent="0.25">
      <c r="E102" s="1">
        <v>32782</v>
      </c>
      <c r="F102">
        <v>9.9354067690270504</v>
      </c>
      <c r="G102">
        <v>862150992305</v>
      </c>
      <c r="S102">
        <v>201102</v>
      </c>
      <c r="T102">
        <v>4.5968151619883999</v>
      </c>
      <c r="U102">
        <v>1181486292.5599999</v>
      </c>
      <c r="W102">
        <v>199301</v>
      </c>
      <c r="X102">
        <v>7.6262030033881603</v>
      </c>
      <c r="Y102">
        <v>2402185.67</v>
      </c>
      <c r="AB102">
        <v>201102</v>
      </c>
      <c r="AC102">
        <f t="shared" si="15"/>
        <v>4.5968151619883999</v>
      </c>
      <c r="AD102">
        <f t="shared" si="19"/>
        <v>4.7298271278573703</v>
      </c>
      <c r="AE102" s="1">
        <f t="shared" si="16"/>
        <v>40575</v>
      </c>
      <c r="AF102" s="14">
        <f t="shared" si="17"/>
        <v>-13.301196586897035</v>
      </c>
      <c r="AG102" s="16">
        <f t="shared" si="18"/>
        <v>5.9643495388042339E-2</v>
      </c>
    </row>
    <row r="103" spans="5:33" x14ac:dyDescent="0.25">
      <c r="E103" s="1">
        <v>32813</v>
      </c>
      <c r="F103">
        <v>9.9648791118197</v>
      </c>
      <c r="G103">
        <v>1214779703446</v>
      </c>
      <c r="S103">
        <v>201103</v>
      </c>
      <c r="T103">
        <v>4.7415192894781697</v>
      </c>
      <c r="U103">
        <v>703494359.79999995</v>
      </c>
      <c r="W103">
        <v>199302</v>
      </c>
      <c r="X103">
        <v>7.6062296413806303</v>
      </c>
      <c r="Y103">
        <v>925670.58</v>
      </c>
      <c r="AB103">
        <v>201103</v>
      </c>
      <c r="AC103">
        <f t="shared" si="15"/>
        <v>4.7415192894781697</v>
      </c>
      <c r="AD103">
        <f t="shared" si="19"/>
        <v>4.90458410448419</v>
      </c>
      <c r="AE103" s="1">
        <f t="shared" si="16"/>
        <v>40603</v>
      </c>
      <c r="AF103" s="14">
        <f t="shared" si="17"/>
        <v>-16.306481500602032</v>
      </c>
      <c r="AG103" s="16">
        <f t="shared" si="18"/>
        <v>4.4401945449372426E-2</v>
      </c>
    </row>
    <row r="104" spans="5:33" x14ac:dyDescent="0.25">
      <c r="E104" s="1">
        <v>32843</v>
      </c>
      <c r="F104">
        <v>9.9697027160936003</v>
      </c>
      <c r="G104">
        <v>1270191337114</v>
      </c>
      <c r="S104">
        <v>201104</v>
      </c>
      <c r="T104">
        <v>4.8940229986875199</v>
      </c>
      <c r="U104">
        <v>647768652.94000006</v>
      </c>
      <c r="W104">
        <v>199303</v>
      </c>
      <c r="X104">
        <v>8.1178802091372706</v>
      </c>
      <c r="Y104">
        <v>2539576</v>
      </c>
      <c r="AB104">
        <v>201104</v>
      </c>
      <c r="AC104">
        <f t="shared" si="15"/>
        <v>4.8940229986875199</v>
      </c>
      <c r="AD104">
        <f t="shared" si="19"/>
        <v>5.0815135796857804</v>
      </c>
      <c r="AE104" s="1">
        <f t="shared" si="16"/>
        <v>40634</v>
      </c>
      <c r="AF104" s="14">
        <f t="shared" si="17"/>
        <v>-18.749058099826055</v>
      </c>
      <c r="AG104" s="16">
        <f t="shared" si="18"/>
        <v>4.3051020021491512E-2</v>
      </c>
    </row>
    <row r="105" spans="5:33" x14ac:dyDescent="0.25">
      <c r="E105" s="1">
        <v>32874</v>
      </c>
      <c r="F105">
        <v>9.8695633545496104</v>
      </c>
      <c r="G105">
        <v>1201163707111</v>
      </c>
      <c r="S105">
        <v>201105</v>
      </c>
      <c r="T105">
        <v>4.9540184296431704</v>
      </c>
      <c r="U105">
        <v>466243221.19999999</v>
      </c>
      <c r="W105">
        <v>199304</v>
      </c>
      <c r="X105">
        <v>7.7459398382067999</v>
      </c>
      <c r="Y105">
        <v>3542225.7</v>
      </c>
      <c r="AB105">
        <v>201105</v>
      </c>
      <c r="AC105">
        <f t="shared" si="15"/>
        <v>4.9540184296431704</v>
      </c>
      <c r="AD105">
        <f t="shared" si="19"/>
        <v>5.1075137008714799</v>
      </c>
      <c r="AE105" s="1">
        <f t="shared" si="16"/>
        <v>40664</v>
      </c>
      <c r="AF105" s="14">
        <f t="shared" si="17"/>
        <v>-15.349527122830953</v>
      </c>
      <c r="AG105" s="16">
        <f t="shared" si="18"/>
        <v>3.6827663070241871E-2</v>
      </c>
    </row>
    <row r="106" spans="5:33" x14ac:dyDescent="0.25">
      <c r="E106" s="1">
        <v>32905</v>
      </c>
      <c r="F106">
        <v>9.7938581512429295</v>
      </c>
      <c r="G106">
        <v>1108581827013</v>
      </c>
      <c r="S106">
        <v>201106</v>
      </c>
      <c r="T106">
        <v>4.9170969259854704</v>
      </c>
      <c r="U106">
        <v>598720691</v>
      </c>
      <c r="W106">
        <v>199305</v>
      </c>
      <c r="X106">
        <v>7.4837495139064396</v>
      </c>
      <c r="Y106">
        <v>5650712.6600000001</v>
      </c>
      <c r="AB106">
        <v>201106</v>
      </c>
      <c r="AC106">
        <f t="shared" si="15"/>
        <v>4.9170969259854704</v>
      </c>
      <c r="AD106">
        <f t="shared" si="19"/>
        <v>5.0619981011777204</v>
      </c>
      <c r="AE106" s="1">
        <f t="shared" si="16"/>
        <v>40695</v>
      </c>
      <c r="AF106" s="14">
        <f t="shared" si="17"/>
        <v>-14.490117519224999</v>
      </c>
      <c r="AG106" s="16">
        <f t="shared" si="18"/>
        <v>4.6852398654862057E-2</v>
      </c>
    </row>
    <row r="107" spans="5:33" x14ac:dyDescent="0.25">
      <c r="E107" s="1">
        <v>32933</v>
      </c>
      <c r="F107">
        <v>9.8580733740653699</v>
      </c>
      <c r="G107">
        <v>1043534640113</v>
      </c>
      <c r="S107">
        <v>201107</v>
      </c>
      <c r="T107">
        <v>4.7945049438696099</v>
      </c>
      <c r="U107">
        <v>1048324854.8</v>
      </c>
      <c r="W107">
        <v>199306</v>
      </c>
      <c r="X107">
        <v>7.4711750423427903</v>
      </c>
      <c r="Y107">
        <v>7302641.6900000004</v>
      </c>
      <c r="AB107">
        <v>201107</v>
      </c>
      <c r="AC107">
        <f t="shared" si="15"/>
        <v>4.7945049438696099</v>
      </c>
      <c r="AD107">
        <f t="shared" si="19"/>
        <v>4.8957792089595502</v>
      </c>
      <c r="AE107" s="1">
        <f t="shared" si="16"/>
        <v>40725</v>
      </c>
      <c r="AF107" s="14">
        <f t="shared" si="17"/>
        <v>-10.127426508994031</v>
      </c>
      <c r="AG107" s="16">
        <f t="shared" si="18"/>
        <v>7.0468288027997678E-2</v>
      </c>
    </row>
    <row r="108" spans="5:33" x14ac:dyDescent="0.25">
      <c r="E108" s="1">
        <v>32964</v>
      </c>
      <c r="F108">
        <v>10.034175890681899</v>
      </c>
      <c r="G108">
        <v>1010938259502</v>
      </c>
      <c r="S108">
        <v>201108</v>
      </c>
      <c r="T108">
        <v>4.7158395407707596</v>
      </c>
      <c r="U108">
        <v>1152703290.0599999</v>
      </c>
      <c r="W108">
        <v>199307</v>
      </c>
      <c r="X108">
        <v>7.4761553384200798</v>
      </c>
      <c r="Y108">
        <v>9900896.1799999997</v>
      </c>
      <c r="AB108">
        <v>201108</v>
      </c>
      <c r="AC108">
        <f t="shared" si="15"/>
        <v>4.7158395407707596</v>
      </c>
      <c r="AD108">
        <f t="shared" si="19"/>
        <v>4.81639818768266</v>
      </c>
      <c r="AE108" s="1">
        <f t="shared" si="16"/>
        <v>40756</v>
      </c>
      <c r="AF108" s="14">
        <f t="shared" si="17"/>
        <v>-10.055864691190042</v>
      </c>
      <c r="AG108" s="16">
        <f t="shared" si="18"/>
        <v>7.6364495353087133E-2</v>
      </c>
    </row>
    <row r="109" spans="5:33" x14ac:dyDescent="0.25">
      <c r="E109" s="1">
        <v>32994</v>
      </c>
      <c r="F109">
        <v>10.1485118859334</v>
      </c>
      <c r="G109">
        <v>804398739818</v>
      </c>
      <c r="S109">
        <v>201109</v>
      </c>
      <c r="T109">
        <v>4.5707770098831197</v>
      </c>
      <c r="U109">
        <v>1725525720.4200001</v>
      </c>
      <c r="W109">
        <v>199308</v>
      </c>
      <c r="X109">
        <v>7.3234565634960296</v>
      </c>
      <c r="Y109">
        <v>13446772.800000001</v>
      </c>
      <c r="AB109">
        <v>201109</v>
      </c>
      <c r="AC109">
        <f t="shared" si="15"/>
        <v>4.5707770098831197</v>
      </c>
      <c r="AD109">
        <f t="shared" si="19"/>
        <v>4.7083105136073398</v>
      </c>
      <c r="AE109" s="1">
        <f t="shared" si="16"/>
        <v>40787</v>
      </c>
      <c r="AF109" s="14">
        <f t="shared" si="17"/>
        <v>-13.753350372422002</v>
      </c>
      <c r="AG109" s="16">
        <f t="shared" si="18"/>
        <v>9.7383379860769018E-2</v>
      </c>
    </row>
    <row r="110" spans="5:33" x14ac:dyDescent="0.25">
      <c r="E110" s="1">
        <v>33025</v>
      </c>
      <c r="F110">
        <v>10.2729130928945</v>
      </c>
      <c r="G110">
        <v>990381336520</v>
      </c>
      <c r="S110">
        <v>201110</v>
      </c>
      <c r="T110">
        <v>4.4243208543696602</v>
      </c>
      <c r="U110">
        <v>3969363223.9299998</v>
      </c>
      <c r="W110">
        <v>199309</v>
      </c>
      <c r="X110">
        <v>7.19984765255123</v>
      </c>
      <c r="Y110">
        <v>15069228.390000001</v>
      </c>
      <c r="AB110">
        <v>201110</v>
      </c>
      <c r="AC110">
        <f t="shared" si="15"/>
        <v>4.4243208543696602</v>
      </c>
      <c r="AD110">
        <f t="shared" si="19"/>
        <v>4.4618372877917798</v>
      </c>
      <c r="AE110" s="1">
        <f t="shared" si="16"/>
        <v>40817</v>
      </c>
      <c r="AF110" s="14">
        <f t="shared" si="17"/>
        <v>-3.7516433422119633</v>
      </c>
      <c r="AG110" s="16">
        <f t="shared" si="18"/>
        <v>0.17611140616670101</v>
      </c>
    </row>
    <row r="111" spans="5:33" x14ac:dyDescent="0.25">
      <c r="E111" s="1">
        <v>33055</v>
      </c>
      <c r="F111">
        <v>10.260974642576899</v>
      </c>
      <c r="G111">
        <v>867909032560</v>
      </c>
      <c r="S111">
        <v>201111</v>
      </c>
      <c r="T111">
        <v>4.3563393157004198</v>
      </c>
      <c r="U111">
        <v>1460188311.75</v>
      </c>
      <c r="W111">
        <v>199310</v>
      </c>
      <c r="X111">
        <v>7.0674819598653702</v>
      </c>
      <c r="Y111">
        <v>27460654.280000001</v>
      </c>
      <c r="AB111">
        <v>201111</v>
      </c>
      <c r="AC111">
        <f t="shared" si="15"/>
        <v>4.3563393157004198</v>
      </c>
      <c r="AD111">
        <f t="shared" si="19"/>
        <v>4.2994343828966199</v>
      </c>
      <c r="AE111" s="1">
        <f t="shared" si="16"/>
        <v>40848</v>
      </c>
      <c r="AF111" s="14">
        <f t="shared" si="17"/>
        <v>5.6904932803799824</v>
      </c>
      <c r="AG111" s="16">
        <f t="shared" si="18"/>
        <v>4.7690171222730671E-2</v>
      </c>
    </row>
    <row r="112" spans="5:33" x14ac:dyDescent="0.25">
      <c r="E112" s="1">
        <v>33086</v>
      </c>
      <c r="F112">
        <v>10.1180928074867</v>
      </c>
      <c r="G112">
        <v>1228195369157</v>
      </c>
      <c r="S112">
        <v>201112</v>
      </c>
      <c r="T112">
        <v>4.3389666338238397</v>
      </c>
      <c r="U112">
        <v>1271524634.03</v>
      </c>
      <c r="W112">
        <v>199311</v>
      </c>
      <c r="X112">
        <v>7.0155032702339097</v>
      </c>
      <c r="Y112">
        <v>29244703.16</v>
      </c>
      <c r="AB112">
        <v>201112</v>
      </c>
      <c r="AC112">
        <f t="shared" si="15"/>
        <v>4.3389666338238397</v>
      </c>
      <c r="AD112">
        <f t="shared" si="19"/>
        <v>4.2582962095603198</v>
      </c>
      <c r="AE112" s="1">
        <f t="shared" si="16"/>
        <v>40878</v>
      </c>
      <c r="AF112" s="14">
        <f t="shared" si="17"/>
        <v>8.0670424263519891</v>
      </c>
      <c r="AG112" s="16">
        <f t="shared" si="18"/>
        <v>3.846700893665074E-2</v>
      </c>
    </row>
    <row r="113" spans="5:33" x14ac:dyDescent="0.25">
      <c r="E113" s="1">
        <v>33117</v>
      </c>
      <c r="F113">
        <v>9.9946331665506598</v>
      </c>
      <c r="G113">
        <v>1035706847012</v>
      </c>
      <c r="S113">
        <v>201201</v>
      </c>
      <c r="T113">
        <v>4.3332844849659597</v>
      </c>
      <c r="U113">
        <v>1290387821.2</v>
      </c>
      <c r="W113">
        <v>199312</v>
      </c>
      <c r="X113">
        <v>7.0080483154494502</v>
      </c>
      <c r="Y113">
        <v>30252196.690000001</v>
      </c>
      <c r="AB113">
        <v>201201</v>
      </c>
      <c r="AC113">
        <f t="shared" si="15"/>
        <v>4.3332844849659597</v>
      </c>
      <c r="AD113">
        <f t="shared" si="19"/>
        <v>4.2525706689689899</v>
      </c>
      <c r="AE113" s="1">
        <f t="shared" si="16"/>
        <v>40909</v>
      </c>
      <c r="AF113" s="14">
        <f t="shared" si="17"/>
        <v>8.0713815996969807</v>
      </c>
      <c r="AG113" s="16">
        <f t="shared" si="18"/>
        <v>3.928596020556703E-2</v>
      </c>
    </row>
    <row r="114" spans="5:33" x14ac:dyDescent="0.25">
      <c r="E114" s="1">
        <v>33147</v>
      </c>
      <c r="F114">
        <v>10.0698062769108</v>
      </c>
      <c r="G114">
        <v>1056511289251</v>
      </c>
      <c r="S114">
        <v>201202</v>
      </c>
      <c r="T114">
        <v>4.2363936129311304</v>
      </c>
      <c r="U114">
        <v>1423355059.1300001</v>
      </c>
      <c r="W114">
        <v>199401</v>
      </c>
      <c r="X114">
        <v>7.0626808127267999</v>
      </c>
      <c r="Y114">
        <v>28604806.289999999</v>
      </c>
      <c r="AB114">
        <v>201202</v>
      </c>
      <c r="AC114">
        <f t="shared" si="15"/>
        <v>4.2363936129311304</v>
      </c>
      <c r="AD114">
        <f t="shared" si="19"/>
        <v>4.1828917764983196</v>
      </c>
      <c r="AE114" s="1">
        <f t="shared" si="16"/>
        <v>40940</v>
      </c>
      <c r="AF114" s="14">
        <f t="shared" si="17"/>
        <v>5.3501836432810812</v>
      </c>
      <c r="AG114" s="16">
        <f t="shared" si="18"/>
        <v>4.1689442664813045E-2</v>
      </c>
    </row>
    <row r="115" spans="5:33" x14ac:dyDescent="0.25">
      <c r="E115" s="1">
        <v>33178</v>
      </c>
      <c r="F115">
        <v>10.052010895545401</v>
      </c>
      <c r="G115">
        <v>895891099316</v>
      </c>
      <c r="S115">
        <v>201203</v>
      </c>
      <c r="T115">
        <v>4.1942341896178696</v>
      </c>
      <c r="U115">
        <v>1775215216.1300001</v>
      </c>
      <c r="W115">
        <v>199402</v>
      </c>
      <c r="X115">
        <v>7.2037656142564597</v>
      </c>
      <c r="Y115">
        <v>20702035.23</v>
      </c>
      <c r="AB115">
        <v>201203</v>
      </c>
      <c r="AC115">
        <f t="shared" si="15"/>
        <v>4.1942341896178696</v>
      </c>
      <c r="AD115">
        <f t="shared" si="19"/>
        <v>4.1146992499843797</v>
      </c>
      <c r="AE115" s="1">
        <f t="shared" si="16"/>
        <v>40969</v>
      </c>
      <c r="AF115" s="14">
        <f t="shared" si="17"/>
        <v>7.9534939633489898</v>
      </c>
      <c r="AG115" s="16">
        <f t="shared" si="18"/>
        <v>4.4213135475993516E-2</v>
      </c>
    </row>
    <row r="116" spans="5:33" x14ac:dyDescent="0.25">
      <c r="E116" s="1">
        <v>33208</v>
      </c>
      <c r="F116">
        <v>10.1078106527756</v>
      </c>
      <c r="G116">
        <v>794767938545</v>
      </c>
      <c r="S116">
        <v>201204</v>
      </c>
      <c r="T116">
        <v>4.1370672292386796</v>
      </c>
      <c r="U116">
        <v>1564052525.6199999</v>
      </c>
      <c r="W116">
        <v>199403</v>
      </c>
      <c r="X116">
        <v>7.2444442548317403</v>
      </c>
      <c r="Y116">
        <v>17384267.02</v>
      </c>
      <c r="AB116">
        <v>201204</v>
      </c>
      <c r="AC116">
        <f t="shared" si="15"/>
        <v>4.1370672292386796</v>
      </c>
      <c r="AD116">
        <f t="shared" si="19"/>
        <v>4.10631383241049</v>
      </c>
      <c r="AE116" s="1">
        <f t="shared" si="16"/>
        <v>41000</v>
      </c>
      <c r="AF116" s="14">
        <f t="shared" si="17"/>
        <v>3.0753396828189672</v>
      </c>
      <c r="AG116" s="16">
        <f t="shared" si="18"/>
        <v>3.8071269476624925E-2</v>
      </c>
    </row>
    <row r="117" spans="5:33" x14ac:dyDescent="0.25">
      <c r="E117" s="1">
        <v>33239</v>
      </c>
      <c r="F117">
        <v>10.051682548381001</v>
      </c>
      <c r="G117">
        <v>508973260450</v>
      </c>
      <c r="S117">
        <v>201205</v>
      </c>
      <c r="T117">
        <v>4.1517235653330804</v>
      </c>
      <c r="U117">
        <v>1662097902.5599999</v>
      </c>
      <c r="W117">
        <v>199404</v>
      </c>
      <c r="X117">
        <v>7.2202601759574998</v>
      </c>
      <c r="Y117">
        <v>16910691.68</v>
      </c>
      <c r="AB117">
        <v>201205</v>
      </c>
      <c r="AC117">
        <f t="shared" si="15"/>
        <v>4.1517235653330804</v>
      </c>
      <c r="AD117">
        <f t="shared" si="19"/>
        <v>4.1678731709134196</v>
      </c>
      <c r="AE117" s="1">
        <f t="shared" si="16"/>
        <v>41030</v>
      </c>
      <c r="AF117" s="14">
        <f t="shared" si="17"/>
        <v>-1.6149605580339177</v>
      </c>
      <c r="AG117" s="16">
        <f t="shared" si="18"/>
        <v>4.7076762648239054E-2</v>
      </c>
    </row>
    <row r="118" spans="5:33" x14ac:dyDescent="0.25">
      <c r="E118" s="1">
        <v>33270</v>
      </c>
      <c r="F118">
        <v>9.8754542203805205</v>
      </c>
      <c r="G118">
        <v>659600464375</v>
      </c>
      <c r="S118">
        <v>201206</v>
      </c>
      <c r="T118">
        <v>4.09352566743366</v>
      </c>
      <c r="U118">
        <v>2125443533.6800001</v>
      </c>
      <c r="W118">
        <v>199405</v>
      </c>
      <c r="X118">
        <v>7.2819274559720499</v>
      </c>
      <c r="Y118">
        <v>8993435</v>
      </c>
      <c r="AB118">
        <v>201206</v>
      </c>
      <c r="AC118">
        <f t="shared" si="15"/>
        <v>4.09352566743366</v>
      </c>
      <c r="AD118">
        <f t="shared" si="19"/>
        <v>4.1384066758160598</v>
      </c>
      <c r="AE118" s="1">
        <f t="shared" si="16"/>
        <v>41061</v>
      </c>
      <c r="AF118" s="14">
        <f t="shared" si="17"/>
        <v>-4.4881008382399834</v>
      </c>
      <c r="AG118" s="16">
        <f t="shared" si="18"/>
        <v>6.0572544651347038E-2</v>
      </c>
    </row>
    <row r="119" spans="5:33" x14ac:dyDescent="0.25">
      <c r="E119" s="1">
        <v>33298</v>
      </c>
      <c r="F119">
        <v>9.6853402291324908</v>
      </c>
      <c r="G119">
        <v>695218708214</v>
      </c>
      <c r="S119">
        <v>201207</v>
      </c>
      <c r="T119">
        <v>4.0132154968509601</v>
      </c>
      <c r="U119">
        <v>3033749788.6100001</v>
      </c>
      <c r="W119">
        <v>199406</v>
      </c>
      <c r="X119">
        <v>7.5352067081573697</v>
      </c>
      <c r="Y119">
        <v>5554014</v>
      </c>
      <c r="AB119">
        <v>201207</v>
      </c>
      <c r="AC119">
        <f t="shared" si="15"/>
        <v>4.0132154968509601</v>
      </c>
      <c r="AD119">
        <f t="shared" si="19"/>
        <v>3.9991569341628499</v>
      </c>
      <c r="AE119" s="1">
        <f t="shared" si="16"/>
        <v>41091</v>
      </c>
      <c r="AF119" s="14">
        <f t="shared" si="17"/>
        <v>1.4058562688110232</v>
      </c>
      <c r="AG119" s="16">
        <f t="shared" si="18"/>
        <v>7.4635015558076806E-2</v>
      </c>
    </row>
    <row r="120" spans="5:33" x14ac:dyDescent="0.25">
      <c r="E120" s="1">
        <v>33329</v>
      </c>
      <c r="F120">
        <v>9.5894198437986695</v>
      </c>
      <c r="G120">
        <v>834629669420</v>
      </c>
      <c r="S120">
        <v>201208</v>
      </c>
      <c r="T120">
        <v>3.9577944505537799</v>
      </c>
      <c r="U120">
        <v>3187739728.3800001</v>
      </c>
      <c r="W120">
        <v>199407</v>
      </c>
      <c r="X120">
        <v>7.5298767381224998</v>
      </c>
      <c r="Y120">
        <v>4014461</v>
      </c>
      <c r="AB120">
        <v>201208</v>
      </c>
      <c r="AC120">
        <f t="shared" si="15"/>
        <v>3.9577944505537799</v>
      </c>
      <c r="AD120">
        <f t="shared" si="19"/>
        <v>3.88736284570086</v>
      </c>
      <c r="AE120" s="1">
        <f t="shared" si="16"/>
        <v>41122</v>
      </c>
      <c r="AF120" s="14">
        <f t="shared" si="17"/>
        <v>7.0431604852919882</v>
      </c>
      <c r="AG120" s="16">
        <f t="shared" si="18"/>
        <v>7.5359983326815441E-2</v>
      </c>
    </row>
    <row r="121" spans="5:33" x14ac:dyDescent="0.25">
      <c r="E121" s="1">
        <v>33359</v>
      </c>
      <c r="F121">
        <v>9.5052637142141005</v>
      </c>
      <c r="G121">
        <v>1098631435097</v>
      </c>
      <c r="S121">
        <v>201209</v>
      </c>
      <c r="T121">
        <v>3.8761283786503</v>
      </c>
      <c r="U121">
        <v>2768038245.77</v>
      </c>
      <c r="W121">
        <v>199408</v>
      </c>
      <c r="X121">
        <v>7.6532009865653796</v>
      </c>
      <c r="Y121">
        <v>4096016.41</v>
      </c>
      <c r="AB121">
        <v>201209</v>
      </c>
      <c r="AC121">
        <f t="shared" si="15"/>
        <v>3.8761283786503</v>
      </c>
      <c r="AD121">
        <f t="shared" si="19"/>
        <v>3.7902183840953101</v>
      </c>
      <c r="AE121" s="1">
        <f t="shared" si="16"/>
        <v>41153</v>
      </c>
      <c r="AF121" s="14">
        <f t="shared" si="17"/>
        <v>8.5909994554989932</v>
      </c>
      <c r="AG121" s="16">
        <f t="shared" si="18"/>
        <v>5.7185300735442153E-2</v>
      </c>
    </row>
    <row r="122" spans="5:33" x14ac:dyDescent="0.25">
      <c r="E122" s="1">
        <v>33390</v>
      </c>
      <c r="F122">
        <v>9.4592539053643101</v>
      </c>
      <c r="G122">
        <v>1404820308399</v>
      </c>
      <c r="S122">
        <v>201210</v>
      </c>
      <c r="T122">
        <v>3.8170066122378001</v>
      </c>
      <c r="U122">
        <v>2195965634.8099999</v>
      </c>
      <c r="W122">
        <v>199409</v>
      </c>
      <c r="X122">
        <v>7.8736680305803004</v>
      </c>
      <c r="Y122">
        <v>3614845.19</v>
      </c>
      <c r="AB122">
        <v>201210</v>
      </c>
      <c r="AC122">
        <f t="shared" si="15"/>
        <v>3.8170066122378001</v>
      </c>
      <c r="AD122">
        <f t="shared" si="19"/>
        <v>3.7745283463042099</v>
      </c>
      <c r="AE122" s="1">
        <f t="shared" si="16"/>
        <v>41183</v>
      </c>
      <c r="AF122" s="14">
        <f t="shared" si="17"/>
        <v>4.2478265933590276</v>
      </c>
      <c r="AG122" s="16">
        <f t="shared" si="18"/>
        <v>5.3108924870826892E-2</v>
      </c>
    </row>
    <row r="123" spans="5:33" x14ac:dyDescent="0.25">
      <c r="E123" s="1">
        <v>33420</v>
      </c>
      <c r="F123">
        <v>9.5490803510352897</v>
      </c>
      <c r="G123">
        <v>1188725423183</v>
      </c>
      <c r="S123">
        <v>201211</v>
      </c>
      <c r="T123">
        <v>3.7114922897158902</v>
      </c>
      <c r="U123">
        <v>2864099111.0100002</v>
      </c>
      <c r="W123">
        <v>199410</v>
      </c>
      <c r="X123">
        <v>7.6081864015859004</v>
      </c>
      <c r="Y123">
        <v>2623100</v>
      </c>
      <c r="AB123">
        <v>201211</v>
      </c>
      <c r="AC123">
        <f t="shared" si="15"/>
        <v>3.7114922897158902</v>
      </c>
      <c r="AD123">
        <f t="shared" si="19"/>
        <v>3.68229626642293</v>
      </c>
      <c r="AE123" s="1">
        <f t="shared" si="16"/>
        <v>41214</v>
      </c>
      <c r="AF123" s="14">
        <f t="shared" si="17"/>
        <v>2.9196023292960227</v>
      </c>
      <c r="AG123" s="16">
        <f t="shared" si="18"/>
        <v>5.9181999717704929E-2</v>
      </c>
    </row>
    <row r="124" spans="5:33" x14ac:dyDescent="0.25">
      <c r="E124" s="1">
        <v>33451</v>
      </c>
      <c r="F124">
        <v>9.6120834009917093</v>
      </c>
      <c r="G124">
        <v>1479249783966</v>
      </c>
      <c r="S124">
        <v>201212</v>
      </c>
      <c r="T124">
        <v>3.65275722742436</v>
      </c>
      <c r="U124">
        <v>2575374737.3899999</v>
      </c>
      <c r="W124">
        <v>199411</v>
      </c>
      <c r="X124">
        <v>7.7262759132632501</v>
      </c>
      <c r="Y124">
        <v>2567177.64</v>
      </c>
      <c r="AB124">
        <v>201212</v>
      </c>
      <c r="AC124">
        <f t="shared" si="15"/>
        <v>3.65275722742436</v>
      </c>
      <c r="AD124">
        <f t="shared" si="19"/>
        <v>3.61019046753758</v>
      </c>
      <c r="AE124" s="1">
        <f t="shared" si="16"/>
        <v>41244</v>
      </c>
      <c r="AF124" s="14">
        <f t="shared" si="17"/>
        <v>4.2566759886780048</v>
      </c>
      <c r="AG124" s="16">
        <f t="shared" si="18"/>
        <v>5.3667158400688295E-2</v>
      </c>
    </row>
    <row r="125" spans="5:33" x14ac:dyDescent="0.25">
      <c r="E125" s="1">
        <v>33482</v>
      </c>
      <c r="F125">
        <v>9.5467414031969593</v>
      </c>
      <c r="G125">
        <v>1335483688351</v>
      </c>
      <c r="S125">
        <v>201301</v>
      </c>
      <c r="T125">
        <v>3.6639493353170698</v>
      </c>
      <c r="U125">
        <v>2699577929.5599999</v>
      </c>
      <c r="W125">
        <v>199412</v>
      </c>
      <c r="X125">
        <v>8.0554512256951707</v>
      </c>
      <c r="Y125">
        <v>3140014</v>
      </c>
      <c r="AB125">
        <v>201301</v>
      </c>
      <c r="AC125">
        <f t="shared" si="15"/>
        <v>3.6639493353170698</v>
      </c>
      <c r="AD125">
        <f t="shared" si="19"/>
        <v>3.5923693468637201</v>
      </c>
      <c r="AE125" s="1">
        <f t="shared" si="16"/>
        <v>41275</v>
      </c>
      <c r="AF125" s="14">
        <f t="shared" si="17"/>
        <v>7.1579988453349674</v>
      </c>
      <c r="AG125" s="16">
        <f t="shared" si="18"/>
        <v>5.611950035876969E-2</v>
      </c>
    </row>
    <row r="126" spans="5:33" x14ac:dyDescent="0.25">
      <c r="E126" s="1">
        <v>33512</v>
      </c>
      <c r="F126">
        <v>9.4485240256801308</v>
      </c>
      <c r="G126">
        <v>1302753565990</v>
      </c>
      <c r="S126">
        <v>201302</v>
      </c>
      <c r="T126">
        <v>3.6729370670516102</v>
      </c>
      <c r="U126">
        <v>2189021307.6399999</v>
      </c>
      <c r="W126">
        <v>199501</v>
      </c>
      <c r="X126">
        <v>8.5812183048898305</v>
      </c>
      <c r="Y126">
        <v>2824371</v>
      </c>
      <c r="AB126">
        <v>201302</v>
      </c>
      <c r="AC126">
        <f t="shared" si="15"/>
        <v>3.6729370670516102</v>
      </c>
      <c r="AD126">
        <f t="shared" si="19"/>
        <v>3.6167536402815599</v>
      </c>
      <c r="AE126" s="1">
        <f t="shared" si="16"/>
        <v>41306</v>
      </c>
      <c r="AF126" s="14">
        <f t="shared" si="17"/>
        <v>5.6183426770050282</v>
      </c>
      <c r="AG126" s="16">
        <f t="shared" si="18"/>
        <v>5.039766860980005E-2</v>
      </c>
    </row>
    <row r="127" spans="5:33" x14ac:dyDescent="0.25">
      <c r="E127" s="1">
        <v>33543</v>
      </c>
      <c r="F127">
        <v>9.2407893624921709</v>
      </c>
      <c r="G127">
        <v>1357648939952</v>
      </c>
      <c r="S127">
        <v>201303</v>
      </c>
      <c r="T127">
        <v>3.7274716105461798</v>
      </c>
      <c r="U127">
        <v>2006440737.72</v>
      </c>
      <c r="W127">
        <v>199502</v>
      </c>
      <c r="X127">
        <v>8.1682122738216201</v>
      </c>
      <c r="Y127">
        <v>1194770.5</v>
      </c>
      <c r="AB127">
        <v>201303</v>
      </c>
      <c r="AC127">
        <f t="shared" si="15"/>
        <v>3.7274716105461798</v>
      </c>
      <c r="AD127">
        <f t="shared" si="19"/>
        <v>3.71014500371454</v>
      </c>
      <c r="AE127" s="1">
        <f t="shared" si="16"/>
        <v>41334</v>
      </c>
      <c r="AF127" s="14">
        <f t="shared" si="17"/>
        <v>1.7326606831639779</v>
      </c>
      <c r="AG127" s="16">
        <f t="shared" si="18"/>
        <v>5.5906800942955893E-2</v>
      </c>
    </row>
    <row r="128" spans="5:33" x14ac:dyDescent="0.25">
      <c r="E128" s="1">
        <v>33573</v>
      </c>
      <c r="F128">
        <v>9.0157122425973597</v>
      </c>
      <c r="G128">
        <v>1429771646573</v>
      </c>
      <c r="S128">
        <v>201304</v>
      </c>
      <c r="T128">
        <v>3.8249846620260599</v>
      </c>
      <c r="U128">
        <v>1864300784.98</v>
      </c>
      <c r="W128">
        <v>199503</v>
      </c>
      <c r="X128">
        <v>8.4120668154559493</v>
      </c>
      <c r="Y128">
        <v>871442.68</v>
      </c>
      <c r="AB128">
        <v>201304</v>
      </c>
      <c r="AC128">
        <f t="shared" si="15"/>
        <v>3.8249846620260599</v>
      </c>
      <c r="AD128">
        <f t="shared" si="19"/>
        <v>3.7819828768516999</v>
      </c>
      <c r="AE128" s="1">
        <f t="shared" si="16"/>
        <v>41365</v>
      </c>
      <c r="AF128" s="14">
        <f t="shared" si="17"/>
        <v>4.3001785174360041</v>
      </c>
      <c r="AG128" s="16">
        <f t="shared" si="18"/>
        <v>4.2988863294573777E-2</v>
      </c>
    </row>
    <row r="129" spans="5:33" x14ac:dyDescent="0.25">
      <c r="E129" s="1">
        <v>33604</v>
      </c>
      <c r="F129">
        <v>8.8243246887023901</v>
      </c>
      <c r="G129">
        <v>1345337044760</v>
      </c>
      <c r="S129">
        <v>201305</v>
      </c>
      <c r="T129">
        <v>3.8307474780276398</v>
      </c>
      <c r="U129">
        <v>2119063743.6400001</v>
      </c>
      <c r="W129">
        <v>199504</v>
      </c>
      <c r="X129">
        <v>8.7332035430268196</v>
      </c>
      <c r="Y129">
        <v>2132414</v>
      </c>
      <c r="AB129">
        <v>201305</v>
      </c>
      <c r="AC129">
        <f t="shared" si="15"/>
        <v>3.8307474780276398</v>
      </c>
      <c r="AD129">
        <f t="shared" si="19"/>
        <v>3.8082688444859998</v>
      </c>
      <c r="AE129" s="1">
        <f t="shared" si="16"/>
        <v>41395</v>
      </c>
      <c r="AF129" s="14">
        <f t="shared" si="17"/>
        <v>2.2478633541640036</v>
      </c>
      <c r="AG129" s="16">
        <f t="shared" si="18"/>
        <v>4.8738386408467567E-2</v>
      </c>
    </row>
    <row r="130" spans="5:33" x14ac:dyDescent="0.25">
      <c r="E130" s="1">
        <v>33635</v>
      </c>
      <c r="F130">
        <v>8.6491747279706903</v>
      </c>
      <c r="G130">
        <v>1478889749010</v>
      </c>
      <c r="S130">
        <v>201306</v>
      </c>
      <c r="T130">
        <v>3.7314665786497998</v>
      </c>
      <c r="U130">
        <v>2319345220.1500001</v>
      </c>
      <c r="W130">
        <v>199505</v>
      </c>
      <c r="X130">
        <v>8.4714680245601901</v>
      </c>
      <c r="Y130">
        <v>2590777.5</v>
      </c>
      <c r="AB130">
        <v>201306</v>
      </c>
      <c r="AC130">
        <f t="shared" si="15"/>
        <v>3.7314665786497998</v>
      </c>
      <c r="AD130">
        <f t="shared" si="19"/>
        <v>3.75360872907893</v>
      </c>
      <c r="AE130" s="1">
        <f t="shared" si="16"/>
        <v>41426</v>
      </c>
      <c r="AF130" s="14">
        <f t="shared" si="17"/>
        <v>-2.2142150429130147</v>
      </c>
      <c r="AG130" s="16">
        <f t="shared" si="18"/>
        <v>5.19009466225702E-2</v>
      </c>
    </row>
    <row r="131" spans="5:33" x14ac:dyDescent="0.25">
      <c r="E131" s="1">
        <v>33664</v>
      </c>
      <c r="F131">
        <v>8.6709365069427005</v>
      </c>
      <c r="G131">
        <v>2002492075573</v>
      </c>
      <c r="S131">
        <v>201307</v>
      </c>
      <c r="T131">
        <v>3.8614799070860601</v>
      </c>
      <c r="U131">
        <v>1686942512.27</v>
      </c>
      <c r="W131">
        <v>199506</v>
      </c>
      <c r="X131">
        <v>8.2353424963222999</v>
      </c>
      <c r="Y131">
        <v>4275097</v>
      </c>
      <c r="AB131">
        <v>201307</v>
      </c>
      <c r="AC131">
        <f t="shared" si="15"/>
        <v>3.8614799070860601</v>
      </c>
      <c r="AD131">
        <f t="shared" si="19"/>
        <v>3.8894801444693998</v>
      </c>
      <c r="AE131" s="1">
        <f t="shared" si="16"/>
        <v>41456</v>
      </c>
      <c r="AF131" s="14">
        <f t="shared" si="17"/>
        <v>-2.8000237383339677</v>
      </c>
      <c r="AG131" s="16">
        <f t="shared" si="18"/>
        <v>3.8702412449656151E-2</v>
      </c>
    </row>
    <row r="132" spans="5:33" x14ac:dyDescent="0.25">
      <c r="E132" s="1">
        <v>33695</v>
      </c>
      <c r="F132">
        <v>8.69719287736865</v>
      </c>
      <c r="G132">
        <v>1828282892523</v>
      </c>
      <c r="S132">
        <v>201308</v>
      </c>
      <c r="T132">
        <v>4.2457866051615802</v>
      </c>
      <c r="U132">
        <v>1349263274.8699999</v>
      </c>
      <c r="W132">
        <v>199507</v>
      </c>
      <c r="X132">
        <v>7.6639803832328797</v>
      </c>
      <c r="Y132">
        <v>5055777</v>
      </c>
      <c r="AB132">
        <v>201308</v>
      </c>
      <c r="AC132">
        <f t="shared" si="15"/>
        <v>4.2457866051615802</v>
      </c>
      <c r="AD132">
        <f t="shared" ref="AD132:AD155" si="20">VLOOKUP(AB132,W:X,2,0)</f>
        <v>4.2626067157607901</v>
      </c>
      <c r="AE132" s="1">
        <f t="shared" si="16"/>
        <v>41487</v>
      </c>
      <c r="AF132" s="14">
        <f t="shared" si="17"/>
        <v>-1.6820110599209848</v>
      </c>
      <c r="AG132" s="16">
        <f t="shared" si="18"/>
        <v>3.4308327504970433E-2</v>
      </c>
    </row>
    <row r="133" spans="5:33" x14ac:dyDescent="0.25">
      <c r="E133" s="1">
        <v>33725</v>
      </c>
      <c r="F133">
        <v>8.7995773044139796</v>
      </c>
      <c r="G133">
        <v>2063981353784</v>
      </c>
      <c r="S133">
        <v>201309</v>
      </c>
      <c r="T133">
        <v>4.5090794043436802</v>
      </c>
      <c r="U133">
        <v>881642202.45000005</v>
      </c>
      <c r="W133">
        <v>199508</v>
      </c>
      <c r="X133">
        <v>7.41482613292726</v>
      </c>
      <c r="Y133">
        <v>8119852.0099999998</v>
      </c>
      <c r="AB133">
        <v>201309</v>
      </c>
      <c r="AC133">
        <f t="shared" ref="AC133:AC155" si="21">VLOOKUP(AB133,S:T,2,0)</f>
        <v>4.5090794043436802</v>
      </c>
      <c r="AD133">
        <f t="shared" si="20"/>
        <v>4.57075870016289</v>
      </c>
      <c r="AE133" s="1">
        <f t="shared" ref="AE133:AE159" si="22">DATEVALUE(INT(AB133/100)&amp;"/"&amp;MOD(AB133,100)&amp;"/1")</f>
        <v>41518</v>
      </c>
      <c r="AF133" s="14">
        <f t="shared" ref="AF133:AF159" si="23">(AC133-AD133)*100</f>
        <v>-6.1679295819209834</v>
      </c>
      <c r="AG133" s="16">
        <f t="shared" ref="AG133:AG159" si="24">U133/VLOOKUP(AB133,W:Y,3,0)</f>
        <v>2.5886006609915631E-2</v>
      </c>
    </row>
    <row r="134" spans="5:33" x14ac:dyDescent="0.25">
      <c r="E134" s="1">
        <v>33756</v>
      </c>
      <c r="F134">
        <v>8.8658213215270294</v>
      </c>
      <c r="G134">
        <v>1901794020794</v>
      </c>
      <c r="S134">
        <v>201310</v>
      </c>
      <c r="T134">
        <v>4.68668946973456</v>
      </c>
      <c r="U134">
        <v>815861446.75999999</v>
      </c>
      <c r="W134">
        <v>199509</v>
      </c>
      <c r="X134">
        <v>7.4385023252178399</v>
      </c>
      <c r="Y134">
        <v>10002030.6</v>
      </c>
      <c r="AB134">
        <v>201310</v>
      </c>
      <c r="AC134">
        <f t="shared" si="21"/>
        <v>4.68668946973456</v>
      </c>
      <c r="AD134">
        <f t="shared" si="20"/>
        <v>4.7178417271327602</v>
      </c>
      <c r="AE134" s="1">
        <f t="shared" si="22"/>
        <v>41548</v>
      </c>
      <c r="AF134" s="14">
        <f t="shared" si="23"/>
        <v>-3.1152257398200156</v>
      </c>
      <c r="AG134" s="16">
        <f t="shared" si="24"/>
        <v>2.9750604547375256E-2</v>
      </c>
    </row>
    <row r="135" spans="5:33" x14ac:dyDescent="0.25">
      <c r="E135" s="1">
        <v>33786</v>
      </c>
      <c r="F135">
        <v>8.7560934009515492</v>
      </c>
      <c r="G135">
        <v>1542001389264</v>
      </c>
      <c r="S135">
        <v>201311</v>
      </c>
      <c r="T135">
        <v>4.5951114505808004</v>
      </c>
      <c r="U135">
        <v>755486894.23000002</v>
      </c>
      <c r="W135">
        <v>199510</v>
      </c>
      <c r="X135">
        <v>7.4974630542442497</v>
      </c>
      <c r="Y135">
        <v>7799665.1900000004</v>
      </c>
      <c r="AB135">
        <v>201311</v>
      </c>
      <c r="AC135">
        <f t="shared" si="21"/>
        <v>4.5951114505808004</v>
      </c>
      <c r="AD135">
        <f t="shared" si="20"/>
        <v>4.6756293499491504</v>
      </c>
      <c r="AE135" s="1">
        <f t="shared" si="22"/>
        <v>41579</v>
      </c>
      <c r="AF135" s="14">
        <f t="shared" si="23"/>
        <v>-8.0517899368349966</v>
      </c>
      <c r="AG135" s="16">
        <f t="shared" si="24"/>
        <v>2.9779674684444757E-2</v>
      </c>
    </row>
    <row r="136" spans="5:33" x14ac:dyDescent="0.25">
      <c r="E136" s="1">
        <v>33817</v>
      </c>
      <c r="F136">
        <v>8.6570007858819</v>
      </c>
      <c r="G136">
        <v>1683251247774</v>
      </c>
      <c r="S136">
        <v>201312</v>
      </c>
      <c r="T136">
        <v>4.4818045104313899</v>
      </c>
      <c r="U136">
        <v>574317135.95000005</v>
      </c>
      <c r="W136">
        <v>199511</v>
      </c>
      <c r="X136">
        <v>7.34913058773851</v>
      </c>
      <c r="Y136">
        <v>9422152.5999999996</v>
      </c>
      <c r="AB136">
        <v>201312</v>
      </c>
      <c r="AC136">
        <f t="shared" si="21"/>
        <v>4.4818045104313899</v>
      </c>
      <c r="AD136">
        <f t="shared" si="20"/>
        <v>4.5542678222540598</v>
      </c>
      <c r="AE136" s="1">
        <f t="shared" si="22"/>
        <v>41609</v>
      </c>
      <c r="AF136" s="14">
        <f t="shared" si="23"/>
        <v>-7.2463311822669851</v>
      </c>
      <c r="AG136" s="16">
        <f t="shared" si="24"/>
        <v>2.6999164919282701E-2</v>
      </c>
    </row>
    <row r="137" spans="5:33" x14ac:dyDescent="0.25">
      <c r="E137" s="1">
        <v>33848</v>
      </c>
      <c r="F137">
        <v>8.3404719132522498</v>
      </c>
      <c r="G137">
        <v>1779311108533</v>
      </c>
      <c r="S137">
        <v>201401</v>
      </c>
      <c r="T137">
        <v>4.5395329917331804</v>
      </c>
      <c r="U137">
        <v>456456729.56</v>
      </c>
      <c r="W137">
        <v>199512</v>
      </c>
      <c r="X137">
        <v>7.3299109660790203</v>
      </c>
      <c r="Y137">
        <v>11016050.84</v>
      </c>
      <c r="AB137">
        <v>201401</v>
      </c>
      <c r="AC137">
        <f t="shared" si="21"/>
        <v>4.5395329917331804</v>
      </c>
      <c r="AD137">
        <f t="shared" si="20"/>
        <v>4.5921394187611604</v>
      </c>
      <c r="AE137" s="1">
        <f t="shared" si="22"/>
        <v>41640</v>
      </c>
      <c r="AF137" s="14">
        <f t="shared" si="23"/>
        <v>-5.2606427027980018</v>
      </c>
      <c r="AG137" s="16">
        <f t="shared" si="24"/>
        <v>2.1986067292345847E-2</v>
      </c>
    </row>
    <row r="138" spans="5:33" x14ac:dyDescent="0.25">
      <c r="E138" s="1">
        <v>33878</v>
      </c>
      <c r="F138">
        <v>8.2209021690210005</v>
      </c>
      <c r="G138">
        <v>2297529251705</v>
      </c>
      <c r="S138">
        <v>201402</v>
      </c>
      <c r="T138">
        <v>4.65528770310463</v>
      </c>
      <c r="U138">
        <v>285570780</v>
      </c>
      <c r="W138">
        <v>199601</v>
      </c>
      <c r="X138">
        <v>7.4313258021521102</v>
      </c>
      <c r="Y138">
        <v>9986447.1699999999</v>
      </c>
      <c r="AB138">
        <v>201402</v>
      </c>
      <c r="AC138">
        <f t="shared" si="21"/>
        <v>4.65528770310463</v>
      </c>
      <c r="AD138">
        <f t="shared" si="20"/>
        <v>4.7372339110180697</v>
      </c>
      <c r="AE138" s="1">
        <f t="shared" si="22"/>
        <v>41671</v>
      </c>
      <c r="AF138" s="14">
        <f t="shared" si="23"/>
        <v>-8.194620791343965</v>
      </c>
      <c r="AG138" s="16">
        <f t="shared" si="24"/>
        <v>1.8510876768771417E-2</v>
      </c>
    </row>
    <row r="139" spans="5:33" x14ac:dyDescent="0.25">
      <c r="E139" s="1">
        <v>33909</v>
      </c>
      <c r="F139">
        <v>8.0936953861579202</v>
      </c>
      <c r="G139">
        <v>2280962312571</v>
      </c>
      <c r="S139">
        <v>201403</v>
      </c>
      <c r="T139">
        <v>4.5766913128322004</v>
      </c>
      <c r="U139">
        <v>271258626</v>
      </c>
      <c r="W139">
        <v>199602</v>
      </c>
      <c r="X139">
        <v>7.2884822354768897</v>
      </c>
      <c r="Y139">
        <v>10092870.15</v>
      </c>
      <c r="AB139">
        <v>201403</v>
      </c>
      <c r="AC139">
        <f t="shared" si="21"/>
        <v>4.5766913128322004</v>
      </c>
      <c r="AD139">
        <f t="shared" si="20"/>
        <v>4.70080392692042</v>
      </c>
      <c r="AE139" s="1">
        <f t="shared" si="22"/>
        <v>41699</v>
      </c>
      <c r="AF139" s="14">
        <f t="shared" si="23"/>
        <v>-12.411261408821961</v>
      </c>
      <c r="AG139" s="16">
        <f t="shared" si="24"/>
        <v>1.8155423443992239E-2</v>
      </c>
    </row>
    <row r="140" spans="5:33" x14ac:dyDescent="0.25">
      <c r="E140" s="1">
        <v>33939</v>
      </c>
      <c r="F140">
        <v>8.1655339898418404</v>
      </c>
      <c r="G140">
        <v>2132063531907</v>
      </c>
      <c r="S140">
        <v>201404</v>
      </c>
      <c r="T140">
        <v>4.5454646911422003</v>
      </c>
      <c r="U140">
        <v>376533463</v>
      </c>
      <c r="W140">
        <v>199603</v>
      </c>
      <c r="X140">
        <v>7.3144099644219001</v>
      </c>
      <c r="Y140">
        <v>12137826.880000001</v>
      </c>
      <c r="AB140">
        <v>201404</v>
      </c>
      <c r="AC140">
        <f t="shared" si="21"/>
        <v>4.5454646911422003</v>
      </c>
      <c r="AD140">
        <f t="shared" si="20"/>
        <v>4.64095756219489</v>
      </c>
      <c r="AE140" s="1">
        <f t="shared" si="22"/>
        <v>41730</v>
      </c>
      <c r="AF140" s="14">
        <f t="shared" si="23"/>
        <v>-9.5492871052689665</v>
      </c>
      <c r="AG140" s="16">
        <f t="shared" si="24"/>
        <v>2.052238594107782E-2</v>
      </c>
    </row>
    <row r="141" spans="5:33" x14ac:dyDescent="0.25">
      <c r="E141" s="1">
        <v>33970</v>
      </c>
      <c r="F141">
        <v>8.2664721652611508</v>
      </c>
      <c r="G141">
        <v>2154579460463</v>
      </c>
      <c r="S141">
        <v>201405</v>
      </c>
      <c r="T141">
        <v>4.5622788610802996</v>
      </c>
      <c r="U141">
        <v>371331717.58999997</v>
      </c>
      <c r="W141">
        <v>199604</v>
      </c>
      <c r="X141">
        <v>7.13936273655405</v>
      </c>
      <c r="Y141">
        <v>11817336.609999999</v>
      </c>
      <c r="AB141">
        <v>201405</v>
      </c>
      <c r="AC141">
        <f t="shared" si="21"/>
        <v>4.5622788610802996</v>
      </c>
      <c r="AD141">
        <f t="shared" si="20"/>
        <v>4.6577087092363003</v>
      </c>
      <c r="AE141" s="1">
        <f t="shared" si="22"/>
        <v>41760</v>
      </c>
      <c r="AF141" s="14">
        <f t="shared" si="23"/>
        <v>-9.5429848156000752</v>
      </c>
      <c r="AG141" s="16">
        <f t="shared" si="24"/>
        <v>1.8910901676965009E-2</v>
      </c>
    </row>
    <row r="142" spans="5:33" x14ac:dyDescent="0.25">
      <c r="E142" s="1">
        <v>34001</v>
      </c>
      <c r="F142">
        <v>8.3268184290669396</v>
      </c>
      <c r="G142">
        <v>1541913057718</v>
      </c>
      <c r="S142">
        <v>201406</v>
      </c>
      <c r="T142">
        <v>4.5028684034744497</v>
      </c>
      <c r="U142">
        <v>448545487.99000001</v>
      </c>
      <c r="W142">
        <v>199605</v>
      </c>
      <c r="X142">
        <v>7.0467239610298096</v>
      </c>
      <c r="Y142">
        <v>9279014.6199999992</v>
      </c>
      <c r="AB142">
        <v>201406</v>
      </c>
      <c r="AC142">
        <f t="shared" si="21"/>
        <v>4.5028684034744497</v>
      </c>
      <c r="AD142">
        <f t="shared" si="20"/>
        <v>4.6025373974335198</v>
      </c>
      <c r="AE142" s="1">
        <f t="shared" si="22"/>
        <v>41791</v>
      </c>
      <c r="AF142" s="14">
        <f t="shared" si="23"/>
        <v>-9.9668993959070029</v>
      </c>
      <c r="AG142" s="16">
        <f t="shared" si="24"/>
        <v>1.9909671064847558E-2</v>
      </c>
    </row>
    <row r="143" spans="5:33" x14ac:dyDescent="0.25">
      <c r="E143" s="1">
        <v>34029</v>
      </c>
      <c r="F143">
        <v>8.1665393174351895</v>
      </c>
      <c r="G143">
        <v>1208429390262</v>
      </c>
      <c r="S143">
        <v>201407</v>
      </c>
      <c r="T143">
        <v>4.3966381041912603</v>
      </c>
      <c r="U143">
        <v>630896019.44000006</v>
      </c>
      <c r="W143">
        <v>199606</v>
      </c>
      <c r="X143">
        <v>7.38441467646647</v>
      </c>
      <c r="Y143">
        <v>7306677</v>
      </c>
      <c r="AB143">
        <v>201407</v>
      </c>
      <c r="AC143">
        <f t="shared" si="21"/>
        <v>4.3966381041912603</v>
      </c>
      <c r="AD143">
        <f t="shared" si="20"/>
        <v>4.4845979058493803</v>
      </c>
      <c r="AE143" s="1">
        <f t="shared" si="22"/>
        <v>41821</v>
      </c>
      <c r="AF143" s="14">
        <f t="shared" si="23"/>
        <v>-8.7959801658120007</v>
      </c>
      <c r="AG143" s="16">
        <f t="shared" si="24"/>
        <v>2.4766068785646397E-2</v>
      </c>
    </row>
    <row r="144" spans="5:33" x14ac:dyDescent="0.25">
      <c r="E144" s="1">
        <v>34060</v>
      </c>
      <c r="F144">
        <v>7.9382402880982799</v>
      </c>
      <c r="G144">
        <v>1646867830484</v>
      </c>
      <c r="S144">
        <v>201408</v>
      </c>
      <c r="T144">
        <v>4.3392133769117498</v>
      </c>
      <c r="U144">
        <v>637390586.02999997</v>
      </c>
      <c r="W144">
        <v>199607</v>
      </c>
      <c r="X144">
        <v>7.6254315419479797</v>
      </c>
      <c r="Y144">
        <v>6922675.7999999998</v>
      </c>
      <c r="AB144">
        <v>201408</v>
      </c>
      <c r="AC144">
        <f t="shared" si="21"/>
        <v>4.3392133769117498</v>
      </c>
      <c r="AD144">
        <f t="shared" si="20"/>
        <v>4.4558743309159503</v>
      </c>
      <c r="AE144" s="1">
        <f t="shared" si="22"/>
        <v>41852</v>
      </c>
      <c r="AF144" s="14">
        <f t="shared" si="23"/>
        <v>-11.666095400420051</v>
      </c>
      <c r="AG144" s="16">
        <f t="shared" si="24"/>
        <v>2.4940837405510955E-2</v>
      </c>
    </row>
    <row r="145" spans="5:33" x14ac:dyDescent="0.25">
      <c r="E145" s="1">
        <v>34090</v>
      </c>
      <c r="F145">
        <v>7.7243951985175201</v>
      </c>
      <c r="G145">
        <v>2198866088395</v>
      </c>
      <c r="S145">
        <v>201409</v>
      </c>
      <c r="T145">
        <v>4.3574498796582501</v>
      </c>
      <c r="U145">
        <v>578128512.64999998</v>
      </c>
      <c r="W145">
        <v>199608</v>
      </c>
      <c r="X145">
        <v>7.8053582073724801</v>
      </c>
      <c r="Y145">
        <v>7249962.5899999999</v>
      </c>
      <c r="AB145">
        <v>201409</v>
      </c>
      <c r="AC145">
        <f t="shared" si="21"/>
        <v>4.3574498796582501</v>
      </c>
      <c r="AD145">
        <f t="shared" si="20"/>
        <v>4.4558848497509702</v>
      </c>
      <c r="AE145" s="1">
        <f t="shared" si="22"/>
        <v>41883</v>
      </c>
      <c r="AF145" s="14">
        <f t="shared" si="23"/>
        <v>-9.8434970092720064</v>
      </c>
      <c r="AG145" s="16">
        <f t="shared" si="24"/>
        <v>2.3129748577789187E-2</v>
      </c>
    </row>
    <row r="146" spans="5:33" x14ac:dyDescent="0.25">
      <c r="E146" s="1">
        <v>34121</v>
      </c>
      <c r="F146">
        <v>7.6360701086689797</v>
      </c>
      <c r="G146">
        <v>2357059572301</v>
      </c>
      <c r="S146">
        <v>201410</v>
      </c>
      <c r="T146">
        <v>4.3362845839792596</v>
      </c>
      <c r="U146">
        <v>591355266.11000001</v>
      </c>
      <c r="W146">
        <v>199609</v>
      </c>
      <c r="X146">
        <v>7.8267384640406696</v>
      </c>
      <c r="Y146">
        <v>5700674.1399999997</v>
      </c>
      <c r="AB146">
        <v>201410</v>
      </c>
      <c r="AC146">
        <f t="shared" si="21"/>
        <v>4.3362845839792596</v>
      </c>
      <c r="AD146">
        <f t="shared" si="20"/>
        <v>4.4504641038255199</v>
      </c>
      <c r="AE146" s="1">
        <f t="shared" si="22"/>
        <v>41913</v>
      </c>
      <c r="AF146" s="14">
        <f t="shared" si="23"/>
        <v>-11.417951984626029</v>
      </c>
      <c r="AG146" s="16">
        <f t="shared" si="24"/>
        <v>2.4360362205848658E-2</v>
      </c>
    </row>
    <row r="147" spans="5:33" x14ac:dyDescent="0.25">
      <c r="E147" s="1">
        <v>34151</v>
      </c>
      <c r="F147">
        <v>7.6221514273945301</v>
      </c>
      <c r="G147">
        <v>2547868562473</v>
      </c>
      <c r="S147">
        <v>201411</v>
      </c>
      <c r="T147">
        <v>4.2815610343721904</v>
      </c>
      <c r="U147">
        <v>637301064.71000004</v>
      </c>
      <c r="W147">
        <v>199610</v>
      </c>
      <c r="X147">
        <v>7.9420242213836403</v>
      </c>
      <c r="Y147">
        <v>5216754</v>
      </c>
      <c r="AB147">
        <v>201411</v>
      </c>
      <c r="AC147">
        <f t="shared" si="21"/>
        <v>4.2815610343721904</v>
      </c>
      <c r="AD147">
        <f t="shared" si="20"/>
        <v>4.4345943941745301</v>
      </c>
      <c r="AE147" s="1">
        <f t="shared" si="22"/>
        <v>41944</v>
      </c>
      <c r="AF147" s="14">
        <f t="shared" si="23"/>
        <v>-15.303335980233967</v>
      </c>
      <c r="AG147" s="16">
        <f t="shared" si="24"/>
        <v>2.5094555105683446E-2</v>
      </c>
    </row>
    <row r="148" spans="5:33" x14ac:dyDescent="0.25">
      <c r="E148" s="1">
        <v>34182</v>
      </c>
      <c r="F148">
        <v>7.6064419744098704</v>
      </c>
      <c r="G148">
        <v>2399919891246</v>
      </c>
      <c r="S148">
        <v>201412</v>
      </c>
      <c r="T148">
        <v>4.1508168186296297</v>
      </c>
      <c r="U148">
        <v>809799452.40999997</v>
      </c>
      <c r="W148">
        <v>199611</v>
      </c>
      <c r="X148">
        <v>8.1142905181924405</v>
      </c>
      <c r="Y148">
        <v>5478428</v>
      </c>
      <c r="AB148">
        <v>201412</v>
      </c>
      <c r="AC148">
        <f t="shared" si="21"/>
        <v>4.1508168186296297</v>
      </c>
      <c r="AD148">
        <f t="shared" si="20"/>
        <v>4.3171435248136598</v>
      </c>
      <c r="AE148" s="1">
        <f t="shared" si="22"/>
        <v>41974</v>
      </c>
      <c r="AF148" s="14">
        <f t="shared" si="23"/>
        <v>-16.632670618403012</v>
      </c>
      <c r="AG148" s="16">
        <f t="shared" si="24"/>
        <v>3.3498622552091406E-2</v>
      </c>
    </row>
    <row r="149" spans="5:33" x14ac:dyDescent="0.25">
      <c r="E149" s="1">
        <v>34213</v>
      </c>
      <c r="F149">
        <v>7.45576100893995</v>
      </c>
      <c r="G149">
        <v>3432768572182</v>
      </c>
      <c r="S149">
        <v>201501</v>
      </c>
      <c r="T149">
        <v>4.1297243711199503</v>
      </c>
      <c r="U149">
        <v>898928945.54999995</v>
      </c>
      <c r="W149">
        <v>199612</v>
      </c>
      <c r="X149">
        <v>7.9838591801687997</v>
      </c>
      <c r="Y149">
        <v>7295819</v>
      </c>
      <c r="AB149">
        <v>201501</v>
      </c>
      <c r="AC149">
        <f t="shared" si="21"/>
        <v>4.1297243711199503</v>
      </c>
      <c r="AD149">
        <f t="shared" si="20"/>
        <v>4.2836960751425197</v>
      </c>
      <c r="AE149" s="1">
        <f t="shared" si="22"/>
        <v>42005</v>
      </c>
      <c r="AF149" s="14">
        <f t="shared" si="23"/>
        <v>-15.397170402256943</v>
      </c>
      <c r="AG149" s="16">
        <f t="shared" si="24"/>
        <v>3.255403391144427E-2</v>
      </c>
    </row>
    <row r="150" spans="5:33" x14ac:dyDescent="0.25">
      <c r="E150" s="1">
        <v>34243</v>
      </c>
      <c r="F150">
        <v>7.2802731458255101</v>
      </c>
      <c r="G150">
        <v>3531900869157</v>
      </c>
      <c r="S150">
        <v>201502</v>
      </c>
      <c r="T150">
        <v>4.0085010197119599</v>
      </c>
      <c r="U150">
        <v>734928533.48000002</v>
      </c>
      <c r="W150">
        <v>199701</v>
      </c>
      <c r="X150">
        <v>7.8455291094199504</v>
      </c>
      <c r="Y150">
        <v>9931374.1199999992</v>
      </c>
      <c r="AB150">
        <v>201502</v>
      </c>
      <c r="AC150">
        <f t="shared" si="21"/>
        <v>4.0085010197119599</v>
      </c>
      <c r="AD150">
        <f t="shared" si="20"/>
        <v>4.1641250417404603</v>
      </c>
      <c r="AE150" s="1">
        <f t="shared" si="22"/>
        <v>42036</v>
      </c>
      <c r="AF150" s="14">
        <f t="shared" si="23"/>
        <v>-15.562402202850034</v>
      </c>
      <c r="AG150" s="16">
        <f t="shared" si="24"/>
        <v>3.2823559847638649E-2</v>
      </c>
    </row>
    <row r="151" spans="5:33" x14ac:dyDescent="0.25">
      <c r="E151" s="1">
        <v>34274</v>
      </c>
      <c r="F151">
        <v>7.1784790852592</v>
      </c>
      <c r="G151">
        <v>2756085894889</v>
      </c>
      <c r="S151">
        <v>201503</v>
      </c>
      <c r="T151">
        <v>3.9208917562012799</v>
      </c>
      <c r="U151">
        <v>1149204855.5699999</v>
      </c>
      <c r="W151">
        <v>199702</v>
      </c>
      <c r="X151">
        <v>7.9355056976115197</v>
      </c>
      <c r="Y151">
        <v>8041001</v>
      </c>
      <c r="AB151">
        <v>201503</v>
      </c>
      <c r="AC151">
        <f t="shared" si="21"/>
        <v>3.9208917562012799</v>
      </c>
      <c r="AD151">
        <f t="shared" si="20"/>
        <v>3.9992446470969698</v>
      </c>
      <c r="AE151" s="1">
        <f t="shared" si="22"/>
        <v>42064</v>
      </c>
      <c r="AF151" s="14">
        <f t="shared" si="23"/>
        <v>-7.8352890895689864</v>
      </c>
      <c r="AG151" s="16">
        <f t="shared" si="24"/>
        <v>3.9906170558949829E-2</v>
      </c>
    </row>
    <row r="152" spans="5:33" x14ac:dyDescent="0.25">
      <c r="E152" s="1">
        <v>34304</v>
      </c>
      <c r="F152">
        <v>7.11707739154234</v>
      </c>
      <c r="G152">
        <v>2846465559187</v>
      </c>
      <c r="S152">
        <v>201504</v>
      </c>
      <c r="T152">
        <v>3.9614714482995002</v>
      </c>
      <c r="U152">
        <v>1022471811.45</v>
      </c>
      <c r="W152">
        <v>199703</v>
      </c>
      <c r="X152">
        <v>8.1482143681128107</v>
      </c>
      <c r="Y152">
        <v>7295120.0599999996</v>
      </c>
      <c r="AB152">
        <v>201504</v>
      </c>
      <c r="AC152">
        <f t="shared" si="21"/>
        <v>3.9614714482995002</v>
      </c>
      <c r="AD152">
        <f t="shared" si="20"/>
        <v>4.0146105044867602</v>
      </c>
      <c r="AE152" s="1">
        <f t="shared" si="22"/>
        <v>42095</v>
      </c>
      <c r="AF152" s="14">
        <f t="shared" si="23"/>
        <v>-5.3139056187260003</v>
      </c>
      <c r="AG152" s="16">
        <f t="shared" si="24"/>
        <v>2.9748279384100799E-2</v>
      </c>
    </row>
    <row r="153" spans="5:33" x14ac:dyDescent="0.25">
      <c r="E153" s="1">
        <v>34335</v>
      </c>
      <c r="F153">
        <v>7.1784030897462499</v>
      </c>
      <c r="G153">
        <v>3166367704916</v>
      </c>
      <c r="S153">
        <v>201505</v>
      </c>
      <c r="T153">
        <v>3.9912314470170802</v>
      </c>
      <c r="U153">
        <v>692214746.33000004</v>
      </c>
      <c r="W153">
        <v>199704</v>
      </c>
      <c r="X153">
        <v>8.2352610876895795</v>
      </c>
      <c r="Y153">
        <v>8710212.2799999993</v>
      </c>
      <c r="AB153">
        <v>201505</v>
      </c>
      <c r="AC153">
        <f t="shared" si="21"/>
        <v>3.9912314470170802</v>
      </c>
      <c r="AD153">
        <f t="shared" si="20"/>
        <v>4.05595878530311</v>
      </c>
      <c r="AE153" s="1">
        <f t="shared" si="22"/>
        <v>42125</v>
      </c>
      <c r="AF153" s="14">
        <f t="shared" si="23"/>
        <v>-6.4727338286029834</v>
      </c>
      <c r="AG153" s="16">
        <f t="shared" si="24"/>
        <v>2.2979148674187818E-2</v>
      </c>
    </row>
    <row r="154" spans="5:33" x14ac:dyDescent="0.25">
      <c r="E154" s="1">
        <v>34366</v>
      </c>
      <c r="F154">
        <v>7.3124343494853701</v>
      </c>
      <c r="G154">
        <v>2697934997987</v>
      </c>
      <c r="S154">
        <v>201506</v>
      </c>
      <c r="T154">
        <v>3.9539256402734901</v>
      </c>
      <c r="U154">
        <v>754979290.76999998</v>
      </c>
      <c r="W154">
        <v>199705</v>
      </c>
      <c r="X154">
        <v>8.2197788504529505</v>
      </c>
      <c r="Y154">
        <v>6906616</v>
      </c>
      <c r="AB154">
        <v>201506</v>
      </c>
      <c r="AC154">
        <f t="shared" si="21"/>
        <v>3.9539256402734901</v>
      </c>
      <c r="AD154">
        <f t="shared" si="20"/>
        <v>4.0227322143868198</v>
      </c>
      <c r="AE154" s="1">
        <f t="shared" si="22"/>
        <v>42156</v>
      </c>
      <c r="AF154" s="14">
        <f t="shared" si="23"/>
        <v>-6.8806574113329688</v>
      </c>
      <c r="AG154" s="16">
        <f t="shared" si="24"/>
        <v>2.4041246825149337E-2</v>
      </c>
    </row>
    <row r="155" spans="5:33" x14ac:dyDescent="0.25">
      <c r="E155" s="1">
        <v>34394</v>
      </c>
      <c r="F155">
        <v>7.2995634040485902</v>
      </c>
      <c r="G155">
        <v>1914539692302</v>
      </c>
      <c r="S155">
        <v>201507</v>
      </c>
      <c r="T155">
        <v>4.0179398841428604</v>
      </c>
      <c r="U155">
        <v>918443375.03999996</v>
      </c>
      <c r="W155">
        <v>199706</v>
      </c>
      <c r="X155">
        <v>8.2400112360485203</v>
      </c>
      <c r="Y155">
        <v>8331590.04</v>
      </c>
      <c r="AB155">
        <v>201507</v>
      </c>
      <c r="AC155">
        <f t="shared" si="21"/>
        <v>4.0179398841428604</v>
      </c>
      <c r="AD155">
        <f t="shared" si="20"/>
        <v>4.1340202681098202</v>
      </c>
      <c r="AE155" s="1">
        <f t="shared" si="22"/>
        <v>42186</v>
      </c>
      <c r="AF155" s="14">
        <f t="shared" si="23"/>
        <v>-11.608038396695974</v>
      </c>
      <c r="AG155" s="16">
        <f t="shared" si="24"/>
        <v>2.6612039330209288E-2</v>
      </c>
    </row>
    <row r="156" spans="5:33" x14ac:dyDescent="0.25">
      <c r="E156" s="1">
        <v>34425</v>
      </c>
      <c r="F156">
        <v>7.3789785280127598</v>
      </c>
      <c r="G156">
        <v>1885998819167</v>
      </c>
      <c r="S156">
        <v>201508</v>
      </c>
      <c r="T156">
        <v>4.1550043663441496</v>
      </c>
      <c r="U156">
        <v>772354372</v>
      </c>
      <c r="W156">
        <v>199707</v>
      </c>
      <c r="X156">
        <v>8.1760793132464595</v>
      </c>
      <c r="Y156">
        <v>8794098.7300000004</v>
      </c>
      <c r="AB156">
        <v>201508</v>
      </c>
      <c r="AC156">
        <f t="shared" ref="AC156:AC159" si="25">VLOOKUP(AB156,S:T,2,0)</f>
        <v>4.1550043663441496</v>
      </c>
      <c r="AD156">
        <f t="shared" ref="AD156:AD159" si="26">VLOOKUP(AB156,W:X,2,0)</f>
        <v>4.2903841944028196</v>
      </c>
      <c r="AE156" s="1">
        <f t="shared" si="22"/>
        <v>42217</v>
      </c>
      <c r="AF156" s="14">
        <f t="shared" si="23"/>
        <v>-13.537982805866999</v>
      </c>
      <c r="AG156" s="16">
        <f t="shared" si="24"/>
        <v>2.5153542764221663E-2</v>
      </c>
    </row>
    <row r="157" spans="5:33" x14ac:dyDescent="0.25">
      <c r="E157" s="1">
        <v>34455</v>
      </c>
      <c r="F157">
        <v>7.6349973409426397</v>
      </c>
      <c r="G157">
        <v>1602339835694</v>
      </c>
      <c r="S157">
        <v>201509</v>
      </c>
      <c r="T157">
        <v>4.2140178690291901</v>
      </c>
      <c r="U157">
        <v>670179553</v>
      </c>
      <c r="W157">
        <v>199708</v>
      </c>
      <c r="X157">
        <v>8.0157529161843399</v>
      </c>
      <c r="Y157">
        <v>12123751.74</v>
      </c>
      <c r="AB157">
        <v>201509</v>
      </c>
      <c r="AC157">
        <f t="shared" si="25"/>
        <v>4.2140178690291901</v>
      </c>
      <c r="AD157">
        <f t="shared" si="26"/>
        <v>4.3139596643506097</v>
      </c>
      <c r="AE157" s="1">
        <f t="shared" si="22"/>
        <v>42248</v>
      </c>
      <c r="AF157" s="14">
        <f t="shared" si="23"/>
        <v>-9.9941795321419669</v>
      </c>
      <c r="AG157" s="16">
        <f t="shared" si="24"/>
        <v>2.3609466326946701E-2</v>
      </c>
    </row>
    <row r="158" spans="5:33" x14ac:dyDescent="0.25">
      <c r="E158" s="1">
        <v>34486</v>
      </c>
      <c r="F158">
        <v>8.1227113507907394</v>
      </c>
      <c r="G158">
        <v>1163295440842</v>
      </c>
      <c r="S158">
        <v>201510</v>
      </c>
      <c r="T158">
        <v>4.1082582732955304</v>
      </c>
      <c r="U158">
        <v>584179784</v>
      </c>
      <c r="W158">
        <v>199709</v>
      </c>
      <c r="X158">
        <v>7.6676572309489703</v>
      </c>
      <c r="Y158">
        <v>12628584.34</v>
      </c>
      <c r="AB158">
        <v>201510</v>
      </c>
      <c r="AC158">
        <f t="shared" si="25"/>
        <v>4.1082582732955304</v>
      </c>
      <c r="AD158">
        <f t="shared" si="26"/>
        <v>4.2512461240927699</v>
      </c>
      <c r="AE158" s="1">
        <f t="shared" si="22"/>
        <v>42278</v>
      </c>
      <c r="AF158" s="14">
        <f t="shared" si="23"/>
        <v>-14.298785079723952</v>
      </c>
      <c r="AG158" s="16">
        <f t="shared" si="24"/>
        <v>2.1489854059797038E-2</v>
      </c>
    </row>
    <row r="159" spans="5:33" x14ac:dyDescent="0.25">
      <c r="E159" s="1">
        <v>34516</v>
      </c>
      <c r="F159">
        <v>8.4775906768648603</v>
      </c>
      <c r="G159">
        <v>986597311153</v>
      </c>
      <c r="S159">
        <v>201511</v>
      </c>
      <c r="T159">
        <v>4.01673018483429</v>
      </c>
      <c r="U159">
        <v>509382902.41000003</v>
      </c>
      <c r="W159">
        <v>199710</v>
      </c>
      <c r="X159">
        <v>7.80708734392742</v>
      </c>
      <c r="Y159">
        <v>16946125.09</v>
      </c>
      <c r="AB159">
        <v>201511</v>
      </c>
      <c r="AC159">
        <f t="shared" si="25"/>
        <v>4.01673018483429</v>
      </c>
      <c r="AD159">
        <f t="shared" si="26"/>
        <v>4.1989040170720697</v>
      </c>
      <c r="AE159" s="1">
        <f t="shared" si="22"/>
        <v>42309</v>
      </c>
      <c r="AF159" s="14">
        <f t="shared" si="23"/>
        <v>-18.217383223777972</v>
      </c>
      <c r="AG159" s="16">
        <f t="shared" si="24"/>
        <v>2.0831562012787103E-2</v>
      </c>
    </row>
    <row r="160" spans="5:33" x14ac:dyDescent="0.25">
      <c r="E160" s="1">
        <v>34547</v>
      </c>
      <c r="F160">
        <v>8.5893803871905199</v>
      </c>
      <c r="G160">
        <v>783069980814</v>
      </c>
      <c r="S160">
        <v>201512</v>
      </c>
      <c r="T160">
        <v>3.7609486405230199</v>
      </c>
      <c r="U160">
        <v>143116878</v>
      </c>
      <c r="W160">
        <v>199711</v>
      </c>
      <c r="X160">
        <v>7.7094815831958901</v>
      </c>
      <c r="Y160">
        <v>15690350.960000001</v>
      </c>
      <c r="AE160" s="1"/>
      <c r="AF160" s="14"/>
      <c r="AG160" s="16"/>
    </row>
    <row r="161" spans="5:33" x14ac:dyDescent="0.25">
      <c r="E161" s="1">
        <v>34578</v>
      </c>
      <c r="F161">
        <v>8.6653177983101894</v>
      </c>
      <c r="G161">
        <v>814776376647</v>
      </c>
      <c r="W161">
        <v>199712</v>
      </c>
      <c r="X161">
        <v>7.67919414872211</v>
      </c>
      <c r="Y161">
        <v>17388390.370000001</v>
      </c>
      <c r="AE161" s="1"/>
      <c r="AF161" s="14"/>
      <c r="AG161" s="16"/>
    </row>
    <row r="162" spans="5:33" x14ac:dyDescent="0.25">
      <c r="E162" s="1">
        <v>34608</v>
      </c>
      <c r="F162">
        <v>8.7318931201138295</v>
      </c>
      <c r="G162">
        <v>764579816780</v>
      </c>
      <c r="W162">
        <v>199801</v>
      </c>
      <c r="X162">
        <v>7.6700677120468699</v>
      </c>
      <c r="Y162">
        <v>21218058.18</v>
      </c>
      <c r="AE162" s="1"/>
      <c r="AF162" s="14"/>
      <c r="AG162" s="16"/>
    </row>
    <row r="163" spans="5:33" x14ac:dyDescent="0.25">
      <c r="E163" s="1">
        <v>34639</v>
      </c>
      <c r="F163">
        <v>8.8767889246037601</v>
      </c>
      <c r="G163">
        <v>881251050834</v>
      </c>
      <c r="W163">
        <v>199802</v>
      </c>
      <c r="X163">
        <v>7.3920610706913896</v>
      </c>
      <c r="Y163">
        <v>17900750.18</v>
      </c>
      <c r="AE163" s="1"/>
      <c r="AF163" s="14"/>
      <c r="AG163" s="16"/>
    </row>
    <row r="164" spans="5:33" x14ac:dyDescent="0.25">
      <c r="E164" s="1">
        <v>34669</v>
      </c>
      <c r="F164">
        <v>8.9693276255042491</v>
      </c>
      <c r="G164">
        <v>858967640923</v>
      </c>
      <c r="W164">
        <v>199803</v>
      </c>
      <c r="X164">
        <v>7.3383819115506004</v>
      </c>
      <c r="Y164">
        <v>23408892.859999999</v>
      </c>
      <c r="AE164" s="1"/>
      <c r="AF164" s="14"/>
      <c r="AG164" s="16"/>
    </row>
    <row r="165" spans="5:33" x14ac:dyDescent="0.25">
      <c r="E165" s="1">
        <v>34700</v>
      </c>
      <c r="F165">
        <v>9.2680436581706793</v>
      </c>
      <c r="G165">
        <v>532490402210</v>
      </c>
      <c r="W165">
        <v>199804</v>
      </c>
      <c r="X165">
        <v>7.2948537058742504</v>
      </c>
      <c r="Y165">
        <v>29732055.390000001</v>
      </c>
      <c r="AE165" s="1"/>
      <c r="AF165" s="14"/>
      <c r="AG165" s="16"/>
    </row>
    <row r="166" spans="5:33" x14ac:dyDescent="0.25">
      <c r="E166" s="1">
        <v>34731</v>
      </c>
      <c r="F166">
        <v>9.2949159179788197</v>
      </c>
      <c r="G166">
        <v>450680603345</v>
      </c>
      <c r="W166">
        <v>199805</v>
      </c>
      <c r="X166">
        <v>7.3530634866154001</v>
      </c>
      <c r="Y166">
        <v>30487028.449999999</v>
      </c>
      <c r="AE166" s="1"/>
      <c r="AF166" s="14"/>
      <c r="AG166" s="16"/>
    </row>
    <row r="167" spans="5:33" x14ac:dyDescent="0.25">
      <c r="E167" s="1">
        <v>34759</v>
      </c>
      <c r="F167">
        <v>9.00940430141506</v>
      </c>
      <c r="G167">
        <v>396618038242</v>
      </c>
      <c r="W167">
        <v>199806</v>
      </c>
      <c r="X167">
        <v>7.2941348491627203</v>
      </c>
      <c r="Y167">
        <v>27171898.629999999</v>
      </c>
      <c r="AE167" s="1"/>
      <c r="AF167" s="14"/>
      <c r="AG167" s="16"/>
    </row>
    <row r="168" spans="5:33" x14ac:dyDescent="0.25">
      <c r="E168" s="1">
        <v>34790</v>
      </c>
      <c r="F168">
        <v>9.0783826900079294</v>
      </c>
      <c r="G168">
        <v>513492654076</v>
      </c>
      <c r="W168">
        <v>199807</v>
      </c>
      <c r="X168">
        <v>7.2642135634878802</v>
      </c>
      <c r="Y168">
        <v>39041774.990000002</v>
      </c>
      <c r="AE168" s="1"/>
      <c r="AF168" s="14"/>
      <c r="AG168" s="16"/>
    </row>
    <row r="169" spans="5:33" x14ac:dyDescent="0.25">
      <c r="E169" s="1">
        <v>34820</v>
      </c>
      <c r="F169">
        <v>8.8181758668752703</v>
      </c>
      <c r="G169">
        <v>717658553729</v>
      </c>
      <c r="W169">
        <v>199808</v>
      </c>
      <c r="X169">
        <v>7.2814359992479298</v>
      </c>
      <c r="Y169">
        <v>42709729.68</v>
      </c>
      <c r="AE169" s="1"/>
      <c r="AF169" s="14"/>
      <c r="AG169" s="16"/>
    </row>
    <row r="170" spans="5:33" x14ac:dyDescent="0.25">
      <c r="E170" s="1">
        <v>34851</v>
      </c>
      <c r="F170">
        <v>8.5354555043561504</v>
      </c>
      <c r="G170">
        <v>1129307921633</v>
      </c>
      <c r="W170">
        <v>199809</v>
      </c>
      <c r="X170">
        <v>7.2610180450387798</v>
      </c>
      <c r="Y170">
        <v>43247375.039999999</v>
      </c>
      <c r="AE170" s="1"/>
      <c r="AF170" s="14"/>
      <c r="AG170" s="16"/>
    </row>
    <row r="171" spans="5:33" x14ac:dyDescent="0.25">
      <c r="E171" s="1">
        <v>34881</v>
      </c>
      <c r="F171">
        <v>8.1913882672338492</v>
      </c>
      <c r="G171">
        <v>1528169400550</v>
      </c>
      <c r="W171">
        <v>199810</v>
      </c>
      <c r="X171">
        <v>7.1593196984670104</v>
      </c>
      <c r="Y171">
        <v>43727661.57</v>
      </c>
      <c r="AE171" s="1"/>
      <c r="AF171" s="14"/>
      <c r="AG171" s="16"/>
    </row>
    <row r="172" spans="5:33" x14ac:dyDescent="0.25">
      <c r="E172" s="1">
        <v>34912</v>
      </c>
      <c r="F172">
        <v>7.92737775571148</v>
      </c>
      <c r="G172">
        <v>1651075811791</v>
      </c>
      <c r="W172">
        <v>199811</v>
      </c>
      <c r="X172">
        <v>6.94996408350426</v>
      </c>
      <c r="Y172">
        <v>51216836.789999999</v>
      </c>
      <c r="AE172" s="1"/>
      <c r="AF172" s="14"/>
      <c r="AG172" s="16"/>
    </row>
    <row r="173" spans="5:33" x14ac:dyDescent="0.25">
      <c r="E173" s="1">
        <v>34943</v>
      </c>
      <c r="F173">
        <v>7.9223613445476904</v>
      </c>
      <c r="G173">
        <v>1649078454206</v>
      </c>
      <c r="W173">
        <v>199812</v>
      </c>
      <c r="X173">
        <v>6.8264782292364998</v>
      </c>
      <c r="Y173">
        <v>44544354.640000001</v>
      </c>
      <c r="AE173" s="1"/>
      <c r="AF173" s="14"/>
      <c r="AG173" s="16"/>
    </row>
    <row r="174" spans="5:33" x14ac:dyDescent="0.25">
      <c r="E174" s="1">
        <v>34973</v>
      </c>
      <c r="F174">
        <v>7.9795421719538204</v>
      </c>
      <c r="G174">
        <v>1623728618457</v>
      </c>
      <c r="W174">
        <v>199901</v>
      </c>
      <c r="X174">
        <v>6.8965973082284702</v>
      </c>
      <c r="Y174">
        <v>49478647.289999999</v>
      </c>
      <c r="AE174" s="1"/>
      <c r="AF174" s="14"/>
      <c r="AG174" s="16"/>
    </row>
    <row r="175" spans="5:33" x14ac:dyDescent="0.25">
      <c r="E175" s="1">
        <v>35004</v>
      </c>
      <c r="F175">
        <v>7.9245659312810002</v>
      </c>
      <c r="G175">
        <v>1837722872738</v>
      </c>
      <c r="W175">
        <v>199902</v>
      </c>
      <c r="X175">
        <v>6.9611957860732598</v>
      </c>
      <c r="Y175">
        <v>41516867.030000001</v>
      </c>
      <c r="AE175" s="1"/>
      <c r="AF175" s="14"/>
      <c r="AG175" s="16"/>
    </row>
    <row r="176" spans="5:33" x14ac:dyDescent="0.25">
      <c r="E176" s="1">
        <v>35034</v>
      </c>
      <c r="F176">
        <v>7.78000007339622</v>
      </c>
      <c r="G176">
        <v>1853297831892</v>
      </c>
      <c r="W176">
        <v>199903</v>
      </c>
      <c r="X176">
        <v>7.0443514431951701</v>
      </c>
      <c r="Y176">
        <v>46314513.82</v>
      </c>
      <c r="AE176" s="1"/>
      <c r="AF176" s="14"/>
      <c r="AG176" s="16"/>
    </row>
    <row r="177" spans="5:33" x14ac:dyDescent="0.25">
      <c r="E177" s="1">
        <v>35065</v>
      </c>
      <c r="F177">
        <v>7.6944452786878097</v>
      </c>
      <c r="G177">
        <v>1712836039046</v>
      </c>
      <c r="W177">
        <v>199904</v>
      </c>
      <c r="X177">
        <v>6.9492303836623304</v>
      </c>
      <c r="Y177">
        <v>45726572.289999999</v>
      </c>
      <c r="AE177" s="1"/>
      <c r="AF177" s="14"/>
      <c r="AG177" s="16"/>
    </row>
    <row r="178" spans="5:33" x14ac:dyDescent="0.25">
      <c r="E178" s="1">
        <v>35096</v>
      </c>
      <c r="F178">
        <v>7.5579415959063203</v>
      </c>
      <c r="G178">
        <v>1836450207894</v>
      </c>
      <c r="W178">
        <v>199905</v>
      </c>
      <c r="X178">
        <v>7.0176976380899596</v>
      </c>
      <c r="Y178">
        <v>43588572.939999998</v>
      </c>
      <c r="AE178" s="1"/>
      <c r="AF178" s="14"/>
      <c r="AG178" s="16"/>
    </row>
    <row r="179" spans="5:33" x14ac:dyDescent="0.25">
      <c r="E179" s="1">
        <v>35125</v>
      </c>
      <c r="F179">
        <v>7.4284731719948098</v>
      </c>
      <c r="G179">
        <v>1855129982345</v>
      </c>
      <c r="W179">
        <v>199906</v>
      </c>
      <c r="X179">
        <v>6.9745683074998501</v>
      </c>
      <c r="Y179">
        <v>39596781.259999998</v>
      </c>
      <c r="AE179" s="1"/>
      <c r="AF179" s="14"/>
      <c r="AG179" s="16"/>
    </row>
    <row r="180" spans="5:33" x14ac:dyDescent="0.25">
      <c r="E180" s="1">
        <v>35156</v>
      </c>
      <c r="F180">
        <v>7.5245545118500701</v>
      </c>
      <c r="G180">
        <v>1967638777589</v>
      </c>
      <c r="W180">
        <v>199907</v>
      </c>
      <c r="X180">
        <v>7.0538561025882203</v>
      </c>
      <c r="Y180">
        <v>34813601.149999999</v>
      </c>
      <c r="AE180" s="1"/>
      <c r="AF180" s="14"/>
      <c r="AG180" s="16"/>
    </row>
    <row r="181" spans="5:33" x14ac:dyDescent="0.25">
      <c r="E181" s="1">
        <v>35186</v>
      </c>
      <c r="F181">
        <v>7.7763396275646004</v>
      </c>
      <c r="G181">
        <v>1863925152680</v>
      </c>
      <c r="W181">
        <v>199908</v>
      </c>
      <c r="X181">
        <v>7.3744262722408296</v>
      </c>
      <c r="Y181">
        <v>23582696.120000001</v>
      </c>
      <c r="AE181" s="1"/>
      <c r="AF181" s="14"/>
      <c r="AG181" s="16"/>
    </row>
    <row r="182" spans="5:33" x14ac:dyDescent="0.25">
      <c r="E182" s="1">
        <v>35217</v>
      </c>
      <c r="F182">
        <v>8.0357948798059393</v>
      </c>
      <c r="G182">
        <v>1799721095014</v>
      </c>
      <c r="W182">
        <v>199909</v>
      </c>
      <c r="X182">
        <v>7.4616896768610701</v>
      </c>
      <c r="Y182">
        <v>23211048.280000001</v>
      </c>
      <c r="AE182" s="1"/>
      <c r="AF182" s="14"/>
      <c r="AG182" s="16"/>
    </row>
    <row r="183" spans="5:33" x14ac:dyDescent="0.25">
      <c r="E183" s="1">
        <v>35247</v>
      </c>
      <c r="F183">
        <v>8.1827658030687491</v>
      </c>
      <c r="G183">
        <v>1386654766571</v>
      </c>
      <c r="W183">
        <v>199910</v>
      </c>
      <c r="X183">
        <v>7.68258604147137</v>
      </c>
      <c r="Y183">
        <v>25328577.489999998</v>
      </c>
      <c r="AE183" s="1"/>
      <c r="AF183" s="14"/>
      <c r="AG183" s="16"/>
    </row>
    <row r="184" spans="5:33" x14ac:dyDescent="0.25">
      <c r="E184" s="1">
        <v>35278</v>
      </c>
      <c r="F184">
        <v>8.3468522128644391</v>
      </c>
      <c r="G184">
        <v>1132637002731</v>
      </c>
      <c r="W184">
        <v>199911</v>
      </c>
      <c r="X184">
        <v>7.7350445410860198</v>
      </c>
      <c r="Y184">
        <v>25236847.600000001</v>
      </c>
      <c r="AE184" s="1"/>
      <c r="AF184" s="14"/>
      <c r="AG184" s="16"/>
    </row>
    <row r="185" spans="5:33" x14ac:dyDescent="0.25">
      <c r="E185" s="1">
        <v>35309</v>
      </c>
      <c r="F185">
        <v>8.3888340643160593</v>
      </c>
      <c r="G185">
        <v>1510337580491</v>
      </c>
      <c r="W185">
        <v>199912</v>
      </c>
      <c r="X185">
        <v>7.6229455874599701</v>
      </c>
      <c r="Y185">
        <v>23283447.149999999</v>
      </c>
      <c r="AE185" s="1"/>
      <c r="AF185" s="14"/>
      <c r="AG185" s="16"/>
    </row>
    <row r="186" spans="5:33" x14ac:dyDescent="0.25">
      <c r="E186" s="1">
        <v>35339</v>
      </c>
      <c r="F186">
        <v>8.3029761386891998</v>
      </c>
      <c r="G186">
        <v>1117653011659</v>
      </c>
      <c r="W186">
        <v>200001</v>
      </c>
      <c r="X186">
        <v>7.5909967781164296</v>
      </c>
      <c r="Y186">
        <v>26213852.329999998</v>
      </c>
      <c r="AE186" s="1"/>
      <c r="AF186" s="14"/>
      <c r="AG186" s="16"/>
    </row>
    <row r="187" spans="5:33" x14ac:dyDescent="0.25">
      <c r="E187" s="1">
        <v>35370</v>
      </c>
      <c r="F187">
        <v>8.3117543512762104</v>
      </c>
      <c r="G187">
        <v>993680464103</v>
      </c>
      <c r="W187">
        <v>200002</v>
      </c>
      <c r="X187">
        <v>7.7440546748069901</v>
      </c>
      <c r="Y187">
        <v>16597811.859999999</v>
      </c>
      <c r="AE187" s="1"/>
      <c r="AF187" s="14"/>
      <c r="AG187" s="16"/>
    </row>
    <row r="188" spans="5:33" x14ac:dyDescent="0.25">
      <c r="E188" s="1">
        <v>35400</v>
      </c>
      <c r="F188">
        <v>8.1507331806927095</v>
      </c>
      <c r="G188">
        <v>1098712156519</v>
      </c>
      <c r="W188">
        <v>200003</v>
      </c>
      <c r="X188">
        <v>8.00552465824763</v>
      </c>
      <c r="Y188">
        <v>12855713.619999999</v>
      </c>
      <c r="AE188" s="1"/>
      <c r="AF188" s="14"/>
      <c r="AG188" s="16"/>
    </row>
    <row r="189" spans="5:33" x14ac:dyDescent="0.25">
      <c r="E189" s="1">
        <v>35431</v>
      </c>
      <c r="F189">
        <v>7.9846056649362298</v>
      </c>
      <c r="G189">
        <v>1025312293612</v>
      </c>
      <c r="W189">
        <v>200004</v>
      </c>
      <c r="X189">
        <v>7.9821021593939996</v>
      </c>
      <c r="Y189">
        <v>16460203.16</v>
      </c>
      <c r="AE189" s="1"/>
      <c r="AF189" s="14"/>
      <c r="AG189" s="16"/>
    </row>
    <row r="190" spans="5:33" x14ac:dyDescent="0.25">
      <c r="E190" s="1">
        <v>35462</v>
      </c>
      <c r="F190">
        <v>7.9404190953595402</v>
      </c>
      <c r="G190">
        <v>1195296221260</v>
      </c>
      <c r="W190">
        <v>200005</v>
      </c>
      <c r="X190">
        <v>8.0551659341236697</v>
      </c>
      <c r="Y190">
        <v>15534432.960000001</v>
      </c>
      <c r="AE190" s="1"/>
      <c r="AF190" s="14"/>
      <c r="AG190" s="16"/>
    </row>
    <row r="191" spans="5:33" x14ac:dyDescent="0.25">
      <c r="E191" s="1">
        <v>35490</v>
      </c>
      <c r="F191">
        <v>7.9683998404156302</v>
      </c>
      <c r="G191">
        <v>1075764763614</v>
      </c>
      <c r="W191">
        <v>200006</v>
      </c>
      <c r="X191">
        <v>8.0984784863755408</v>
      </c>
      <c r="Y191">
        <v>14462655.08</v>
      </c>
      <c r="AE191" s="1"/>
      <c r="AF191" s="14"/>
      <c r="AG191" s="16"/>
    </row>
    <row r="192" spans="5:33" x14ac:dyDescent="0.25">
      <c r="E192" s="1">
        <v>35521</v>
      </c>
      <c r="F192">
        <v>7.9762754821961401</v>
      </c>
      <c r="G192">
        <v>1059202189509</v>
      </c>
      <c r="W192">
        <v>200007</v>
      </c>
      <c r="X192">
        <v>8.0791985027812796</v>
      </c>
      <c r="Y192">
        <v>14428370.279999999</v>
      </c>
      <c r="AE192" s="1"/>
      <c r="AF192" s="14"/>
      <c r="AG192" s="16"/>
    </row>
    <row r="193" spans="5:33" x14ac:dyDescent="0.25">
      <c r="E193" s="1">
        <v>35551</v>
      </c>
      <c r="F193">
        <v>8.0815907361800505</v>
      </c>
      <c r="G193">
        <v>1247131012873</v>
      </c>
      <c r="W193">
        <v>200008</v>
      </c>
      <c r="X193">
        <v>8.0655541216729105</v>
      </c>
      <c r="Y193">
        <v>15395809.02</v>
      </c>
      <c r="AE193" s="1"/>
      <c r="AF193" s="14"/>
      <c r="AG193" s="16"/>
    </row>
    <row r="194" spans="5:33" x14ac:dyDescent="0.25">
      <c r="E194" s="1">
        <v>35582</v>
      </c>
      <c r="F194">
        <v>8.1874711419734201</v>
      </c>
      <c r="G194">
        <v>966422825011</v>
      </c>
      <c r="W194">
        <v>200009</v>
      </c>
      <c r="X194">
        <v>7.9337920470784802</v>
      </c>
      <c r="Y194">
        <v>20310236.899999999</v>
      </c>
      <c r="AE194" s="1"/>
      <c r="AF194" s="14"/>
      <c r="AG194" s="16"/>
    </row>
    <row r="195" spans="5:33" x14ac:dyDescent="0.25">
      <c r="E195" s="1">
        <v>35612</v>
      </c>
      <c r="F195">
        <v>8.1278234293375604</v>
      </c>
      <c r="G195">
        <v>1178250564576</v>
      </c>
      <c r="W195">
        <v>200010</v>
      </c>
      <c r="X195">
        <v>7.91337237391547</v>
      </c>
      <c r="Y195">
        <v>26316060.800000001</v>
      </c>
      <c r="AE195" s="1"/>
      <c r="AF195" s="14"/>
      <c r="AG195" s="16"/>
    </row>
    <row r="196" spans="5:33" x14ac:dyDescent="0.25">
      <c r="E196" s="1">
        <v>35643</v>
      </c>
      <c r="F196">
        <v>7.9786541377001301</v>
      </c>
      <c r="G196">
        <v>1648701109332</v>
      </c>
      <c r="W196">
        <v>200011</v>
      </c>
      <c r="X196">
        <v>7.7862814597460597</v>
      </c>
      <c r="Y196">
        <v>25525792.34</v>
      </c>
      <c r="AE196" s="1"/>
      <c r="AF196" s="14"/>
      <c r="AG196" s="16"/>
    </row>
    <row r="197" spans="5:33" x14ac:dyDescent="0.25">
      <c r="E197" s="1">
        <v>35674</v>
      </c>
      <c r="F197">
        <v>7.7887246889486796</v>
      </c>
      <c r="G197">
        <v>1517922345107</v>
      </c>
      <c r="W197">
        <v>200012</v>
      </c>
      <c r="X197">
        <v>7.70782905373615</v>
      </c>
      <c r="Y197">
        <v>26238171.16</v>
      </c>
      <c r="AE197" s="1"/>
      <c r="AF197" s="14"/>
      <c r="AG197" s="16"/>
    </row>
    <row r="198" spans="5:33" x14ac:dyDescent="0.25">
      <c r="E198" s="1">
        <v>35704</v>
      </c>
      <c r="F198">
        <v>7.7223457495717902</v>
      </c>
      <c r="G198">
        <v>1766179956993</v>
      </c>
      <c r="W198">
        <v>200101</v>
      </c>
      <c r="X198">
        <v>7.5736098648702797</v>
      </c>
      <c r="Y198">
        <v>34084734.640000001</v>
      </c>
      <c r="AE198" s="1"/>
      <c r="AF198" s="14"/>
      <c r="AG198" s="16"/>
    </row>
    <row r="199" spans="5:33" x14ac:dyDescent="0.25">
      <c r="E199" s="1">
        <v>35735</v>
      </c>
      <c r="F199">
        <v>7.6768362110462096</v>
      </c>
      <c r="G199">
        <v>1878982668038</v>
      </c>
      <c r="W199">
        <v>200102</v>
      </c>
      <c r="X199">
        <v>7.2527513367400998</v>
      </c>
      <c r="Y199">
        <v>38798198.07</v>
      </c>
      <c r="AE199" s="1"/>
      <c r="AF199" s="14"/>
      <c r="AG199" s="16"/>
    </row>
    <row r="200" spans="5:33" x14ac:dyDescent="0.25">
      <c r="E200" s="1">
        <v>35765</v>
      </c>
      <c r="F200">
        <v>7.5847437536532798</v>
      </c>
      <c r="G200">
        <v>1963247940546</v>
      </c>
      <c r="W200">
        <v>200103</v>
      </c>
      <c r="X200">
        <v>7.01611539079473</v>
      </c>
      <c r="Y200">
        <v>57924662.409999996</v>
      </c>
      <c r="AE200" s="1"/>
      <c r="AF200" s="14"/>
      <c r="AG200" s="16"/>
    </row>
    <row r="201" spans="5:33" x14ac:dyDescent="0.25">
      <c r="E201" s="1">
        <v>35796</v>
      </c>
      <c r="F201">
        <v>7.4909035462270896</v>
      </c>
      <c r="G201">
        <v>2031711562645</v>
      </c>
      <c r="W201">
        <v>200104</v>
      </c>
      <c r="X201">
        <v>7.0284818824420396</v>
      </c>
      <c r="Y201">
        <v>79313955.760000005</v>
      </c>
      <c r="AE201" s="1"/>
      <c r="AF201" s="14"/>
      <c r="AG201" s="16"/>
    </row>
    <row r="202" spans="5:33" x14ac:dyDescent="0.25">
      <c r="E202" s="1">
        <v>35827</v>
      </c>
      <c r="F202">
        <v>7.3931227544763898</v>
      </c>
      <c r="G202">
        <v>2144503090724</v>
      </c>
      <c r="W202">
        <v>200105</v>
      </c>
      <c r="X202">
        <v>7.0218544111687704</v>
      </c>
      <c r="Y202">
        <v>109081143.36</v>
      </c>
      <c r="AE202" s="1"/>
      <c r="AF202" s="14"/>
      <c r="AG202" s="16"/>
    </row>
    <row r="203" spans="5:33" x14ac:dyDescent="0.25">
      <c r="E203" s="1">
        <v>35855</v>
      </c>
      <c r="F203">
        <v>7.2460055208118197</v>
      </c>
      <c r="G203">
        <v>2890559386711</v>
      </c>
      <c r="W203">
        <v>200106</v>
      </c>
      <c r="X203">
        <v>7.1070377286851398</v>
      </c>
      <c r="Y203">
        <v>105183646.19</v>
      </c>
      <c r="AE203" s="1"/>
      <c r="AF203" s="14"/>
      <c r="AG203" s="16"/>
    </row>
    <row r="204" spans="5:33" x14ac:dyDescent="0.25">
      <c r="E204" s="1">
        <v>35886</v>
      </c>
      <c r="F204">
        <v>7.2647313248394099</v>
      </c>
      <c r="G204">
        <v>3785867984990</v>
      </c>
      <c r="W204">
        <v>200107</v>
      </c>
      <c r="X204">
        <v>7.12642373514967</v>
      </c>
      <c r="Y204">
        <v>99147166.719999999</v>
      </c>
      <c r="AE204" s="1"/>
      <c r="AF204" s="14"/>
      <c r="AG204" s="16"/>
    </row>
    <row r="205" spans="5:33" x14ac:dyDescent="0.25">
      <c r="E205" s="1">
        <v>35916</v>
      </c>
      <c r="F205">
        <v>7.2104071094827002</v>
      </c>
      <c r="G205">
        <v>3438451176031</v>
      </c>
      <c r="W205">
        <v>200108</v>
      </c>
      <c r="X205">
        <v>7.1738511545196602</v>
      </c>
      <c r="Y205">
        <v>101534772.95</v>
      </c>
      <c r="AE205" s="1"/>
      <c r="AF205" s="14"/>
      <c r="AG205" s="16"/>
    </row>
    <row r="206" spans="5:33" x14ac:dyDescent="0.25">
      <c r="E206" s="1">
        <v>35947</v>
      </c>
      <c r="F206">
        <v>7.23087668871635</v>
      </c>
      <c r="G206">
        <v>3425275682011</v>
      </c>
      <c r="W206">
        <v>200109</v>
      </c>
      <c r="X206">
        <v>7.0446695503616397</v>
      </c>
      <c r="Y206">
        <v>112480543.89</v>
      </c>
      <c r="AE206" s="1"/>
      <c r="AF206" s="14"/>
      <c r="AG206" s="16"/>
    </row>
    <row r="207" spans="5:33" x14ac:dyDescent="0.25">
      <c r="E207" s="1">
        <v>35977</v>
      </c>
      <c r="F207">
        <v>7.2342719401884601</v>
      </c>
      <c r="G207">
        <v>3867962412037</v>
      </c>
      <c r="W207">
        <v>200110</v>
      </c>
      <c r="X207">
        <v>6.9896460318258402</v>
      </c>
      <c r="Y207">
        <v>128632459.98999999</v>
      </c>
      <c r="AE207" s="1"/>
      <c r="AF207" s="14"/>
      <c r="AG207" s="16"/>
    </row>
    <row r="208" spans="5:33" x14ac:dyDescent="0.25">
      <c r="E208" s="1">
        <v>36008</v>
      </c>
      <c r="F208">
        <v>7.1577309934321303</v>
      </c>
      <c r="G208">
        <v>3556685304297</v>
      </c>
      <c r="W208">
        <v>200111</v>
      </c>
      <c r="X208">
        <v>6.7261518759586298</v>
      </c>
      <c r="Y208">
        <v>184279265.41</v>
      </c>
      <c r="AE208" s="1"/>
      <c r="AF208" s="14"/>
      <c r="AG208" s="16"/>
    </row>
    <row r="209" spans="5:33" x14ac:dyDescent="0.25">
      <c r="E209" s="1">
        <v>36039</v>
      </c>
      <c r="F209">
        <v>7.1184885542994296</v>
      </c>
      <c r="G209">
        <v>3824829229768</v>
      </c>
      <c r="W209">
        <v>200112</v>
      </c>
      <c r="X209">
        <v>6.6078526494373202</v>
      </c>
      <c r="Y209">
        <v>217789989.84999999</v>
      </c>
      <c r="AE209" s="1"/>
      <c r="AF209" s="14"/>
      <c r="AG209" s="16"/>
    </row>
    <row r="210" spans="5:33" x14ac:dyDescent="0.25">
      <c r="E210" s="1">
        <v>36069</v>
      </c>
      <c r="F210">
        <v>7.0417713741794197</v>
      </c>
      <c r="G210">
        <v>3722493812266</v>
      </c>
      <c r="W210">
        <v>200201</v>
      </c>
      <c r="X210">
        <v>6.73086868443961</v>
      </c>
      <c r="Y210">
        <v>213732768.28999999</v>
      </c>
      <c r="AE210" s="1"/>
      <c r="AF210" s="14"/>
      <c r="AG210" s="16"/>
    </row>
    <row r="211" spans="5:33" x14ac:dyDescent="0.25">
      <c r="E211" s="1">
        <v>36100</v>
      </c>
      <c r="F211">
        <v>6.8945395505057503</v>
      </c>
      <c r="G211">
        <v>4031119434334</v>
      </c>
      <c r="W211">
        <v>200202</v>
      </c>
      <c r="X211">
        <v>6.8250435429516401</v>
      </c>
      <c r="Y211">
        <v>182231313.00999999</v>
      </c>
      <c r="AE211" s="1"/>
      <c r="AF211" s="14"/>
      <c r="AG211" s="16"/>
    </row>
    <row r="212" spans="5:33" x14ac:dyDescent="0.25">
      <c r="E212" s="1">
        <v>36130</v>
      </c>
      <c r="F212">
        <v>6.8154451923109098</v>
      </c>
      <c r="G212">
        <v>5147896500313</v>
      </c>
      <c r="W212">
        <v>200203</v>
      </c>
      <c r="X212">
        <v>6.85942716851648</v>
      </c>
      <c r="Y212">
        <v>158466359.84999999</v>
      </c>
      <c r="AE212" s="1"/>
      <c r="AF212" s="14"/>
      <c r="AG212" s="16"/>
    </row>
    <row r="213" spans="5:33" x14ac:dyDescent="0.25">
      <c r="E213" s="1">
        <v>36161</v>
      </c>
      <c r="F213">
        <v>6.8282885659673296</v>
      </c>
      <c r="G213">
        <v>5051367493962</v>
      </c>
      <c r="W213">
        <v>200204</v>
      </c>
      <c r="X213">
        <v>6.8822551314716902</v>
      </c>
      <c r="Y213">
        <v>185398525.65000001</v>
      </c>
      <c r="AE213" s="1"/>
      <c r="AF213" s="14"/>
      <c r="AG213" s="16"/>
    </row>
    <row r="214" spans="5:33" x14ac:dyDescent="0.25">
      <c r="E214" s="1">
        <v>36192</v>
      </c>
      <c r="F214">
        <v>6.8416132774849796</v>
      </c>
      <c r="G214">
        <v>4377629732773</v>
      </c>
      <c r="W214">
        <v>200205</v>
      </c>
      <c r="X214">
        <v>6.9520789684435602</v>
      </c>
      <c r="Y214">
        <v>157626818.37</v>
      </c>
      <c r="AE214" s="1"/>
      <c r="AF214" s="14"/>
      <c r="AG214" s="16"/>
    </row>
    <row r="215" spans="5:33" x14ac:dyDescent="0.25">
      <c r="E215" s="1">
        <v>36220</v>
      </c>
      <c r="F215">
        <v>6.8830975850576204</v>
      </c>
      <c r="G215">
        <v>3880510370773</v>
      </c>
      <c r="W215">
        <v>200206</v>
      </c>
      <c r="X215">
        <v>6.9110637432168396</v>
      </c>
      <c r="Y215">
        <v>164634628.90000001</v>
      </c>
      <c r="AE215" s="1"/>
      <c r="AF215" s="14"/>
      <c r="AG215" s="16"/>
    </row>
    <row r="216" spans="5:33" x14ac:dyDescent="0.25">
      <c r="E216" s="1">
        <v>36251</v>
      </c>
      <c r="F216">
        <v>6.9224298260595596</v>
      </c>
      <c r="G216">
        <v>3506332849582</v>
      </c>
      <c r="W216">
        <v>200207</v>
      </c>
      <c r="X216">
        <v>6.7840952332322599</v>
      </c>
      <c r="Y216">
        <v>194045066.31999999</v>
      </c>
      <c r="AE216" s="1"/>
      <c r="AF216" s="14"/>
      <c r="AG216" s="16"/>
    </row>
    <row r="217" spans="5:33" x14ac:dyDescent="0.25">
      <c r="E217" s="1">
        <v>36281</v>
      </c>
      <c r="F217">
        <v>7.0051364236946201</v>
      </c>
      <c r="G217">
        <v>3119416221235</v>
      </c>
      <c r="W217">
        <v>200208</v>
      </c>
      <c r="X217">
        <v>6.6540370587567397</v>
      </c>
      <c r="Y217">
        <v>269303739.94</v>
      </c>
      <c r="AE217" s="1"/>
      <c r="AF217" s="14"/>
      <c r="AG217" s="16"/>
    </row>
    <row r="218" spans="5:33" x14ac:dyDescent="0.25">
      <c r="E218" s="1">
        <v>36312</v>
      </c>
      <c r="F218">
        <v>7.0651825753538198</v>
      </c>
      <c r="G218">
        <v>3259154999664</v>
      </c>
      <c r="W218">
        <v>200209</v>
      </c>
      <c r="X218">
        <v>6.4808207152199397</v>
      </c>
      <c r="Y218">
        <v>387177214.37</v>
      </c>
      <c r="AE218" s="1"/>
      <c r="AF218" s="14"/>
      <c r="AG218" s="16"/>
    </row>
    <row r="219" spans="5:33" x14ac:dyDescent="0.25">
      <c r="E219" s="1">
        <v>36342</v>
      </c>
      <c r="F219">
        <v>7.2021939361664202</v>
      </c>
      <c r="G219">
        <v>2900621452855</v>
      </c>
      <c r="W219">
        <v>200210</v>
      </c>
      <c r="X219">
        <v>6.2877589163082597</v>
      </c>
      <c r="Y219">
        <v>592995324.25</v>
      </c>
      <c r="AE219" s="1"/>
      <c r="AF219" s="14"/>
      <c r="AG219" s="16"/>
    </row>
    <row r="220" spans="5:33" x14ac:dyDescent="0.25">
      <c r="E220" s="1">
        <v>36373</v>
      </c>
      <c r="F220">
        <v>7.4875607147055501</v>
      </c>
      <c r="G220">
        <v>2690406603208</v>
      </c>
      <c r="W220">
        <v>200211</v>
      </c>
      <c r="X220">
        <v>6.1342483261797103</v>
      </c>
      <c r="Y220">
        <v>999183523.79999995</v>
      </c>
      <c r="AE220" s="1"/>
      <c r="AF220" s="14"/>
      <c r="AG220" s="16"/>
    </row>
    <row r="221" spans="5:33" x14ac:dyDescent="0.25">
      <c r="E221" s="1">
        <v>36404</v>
      </c>
      <c r="F221">
        <v>7.70428021295288</v>
      </c>
      <c r="G221">
        <v>2523819356884</v>
      </c>
      <c r="W221">
        <v>200212</v>
      </c>
      <c r="X221">
        <v>6.11215038009464</v>
      </c>
      <c r="Y221">
        <v>990206799.50999999</v>
      </c>
      <c r="AE221" s="1"/>
      <c r="AF221" s="14"/>
      <c r="AG221" s="16"/>
    </row>
    <row r="222" spans="5:33" x14ac:dyDescent="0.25">
      <c r="E222" s="1">
        <v>36434</v>
      </c>
      <c r="F222">
        <v>7.74334622937553</v>
      </c>
      <c r="G222">
        <v>2316928809007</v>
      </c>
      <c r="W222">
        <v>200301</v>
      </c>
      <c r="X222">
        <v>6.0918996575075699</v>
      </c>
      <c r="Y222">
        <v>1125055046.1199999</v>
      </c>
      <c r="AE222" s="1"/>
      <c r="AF222" s="14"/>
      <c r="AG222" s="16"/>
    </row>
    <row r="223" spans="5:33" x14ac:dyDescent="0.25">
      <c r="E223" s="1">
        <v>36465</v>
      </c>
      <c r="F223">
        <v>7.8781784605253202</v>
      </c>
      <c r="G223">
        <v>1698274197033</v>
      </c>
      <c r="W223">
        <v>200302</v>
      </c>
      <c r="X223">
        <v>6.0487146563673901</v>
      </c>
      <c r="Y223">
        <v>1475425176.5699999</v>
      </c>
      <c r="AE223" s="1"/>
      <c r="AF223" s="14"/>
      <c r="AG223" s="16"/>
    </row>
    <row r="224" spans="5:33" x14ac:dyDescent="0.25">
      <c r="E224" s="1">
        <v>36495</v>
      </c>
      <c r="F224">
        <v>7.8466879944455901</v>
      </c>
      <c r="G224">
        <v>1800577009234</v>
      </c>
      <c r="W224">
        <v>200303</v>
      </c>
      <c r="X224">
        <v>5.9727136696203997</v>
      </c>
      <c r="Y224">
        <v>3824045469.8499999</v>
      </c>
      <c r="AE224" s="1"/>
      <c r="AF224" s="14"/>
      <c r="AG224" s="16"/>
    </row>
    <row r="225" spans="5:33" x14ac:dyDescent="0.25">
      <c r="E225" s="1">
        <v>36526</v>
      </c>
      <c r="F225">
        <v>7.9030095696804397</v>
      </c>
      <c r="G225">
        <v>1671884999722</v>
      </c>
      <c r="W225">
        <v>200304</v>
      </c>
      <c r="X225">
        <v>5.8595958769541996</v>
      </c>
      <c r="Y225">
        <v>9805581253.2999992</v>
      </c>
      <c r="AE225" s="1"/>
      <c r="AF225" s="14"/>
      <c r="AG225" s="16"/>
    </row>
    <row r="226" spans="5:33" x14ac:dyDescent="0.25">
      <c r="E226" s="1">
        <v>36557</v>
      </c>
      <c r="F226">
        <v>8.0661131100309706</v>
      </c>
      <c r="G226">
        <v>1446197189730</v>
      </c>
      <c r="W226">
        <v>200305</v>
      </c>
      <c r="X226">
        <v>5.8293493328649797</v>
      </c>
      <c r="Y226">
        <v>11917355332.23</v>
      </c>
      <c r="AE226" s="1"/>
      <c r="AF226" s="14"/>
      <c r="AG226" s="16"/>
    </row>
    <row r="227" spans="5:33" x14ac:dyDescent="0.25">
      <c r="E227" s="1">
        <v>36586</v>
      </c>
      <c r="F227">
        <v>8.2931734337918908</v>
      </c>
      <c r="G227">
        <v>1114750572483</v>
      </c>
      <c r="W227">
        <v>200306</v>
      </c>
      <c r="X227">
        <v>5.7429205979278999</v>
      </c>
      <c r="Y227">
        <v>12108284729.59</v>
      </c>
      <c r="AE227" s="1"/>
      <c r="AF227" s="14"/>
      <c r="AG227" s="16"/>
    </row>
    <row r="228" spans="5:33" x14ac:dyDescent="0.25">
      <c r="E228" s="1">
        <v>36617</v>
      </c>
      <c r="F228">
        <v>8.3610676822195895</v>
      </c>
      <c r="G228">
        <v>1414220424678</v>
      </c>
      <c r="W228">
        <v>200307</v>
      </c>
      <c r="X228">
        <v>5.46637312961332</v>
      </c>
      <c r="Y228">
        <v>17049207305.24</v>
      </c>
      <c r="AE228" s="1"/>
      <c r="AF228" s="14"/>
      <c r="AG228" s="16"/>
    </row>
    <row r="229" spans="5:33" x14ac:dyDescent="0.25">
      <c r="E229" s="1">
        <v>36647</v>
      </c>
      <c r="F229">
        <v>8.3441228093543298</v>
      </c>
      <c r="G229">
        <v>1439056285202</v>
      </c>
      <c r="W229">
        <v>200308</v>
      </c>
      <c r="X229">
        <v>5.40206872605967</v>
      </c>
      <c r="Y229">
        <v>19108983589.330002</v>
      </c>
      <c r="AE229" s="1"/>
      <c r="AF229" s="14"/>
      <c r="AG229" s="16"/>
    </row>
    <row r="230" spans="5:33" x14ac:dyDescent="0.25">
      <c r="E230" s="1">
        <v>36678</v>
      </c>
      <c r="F230">
        <v>8.3388826805236391</v>
      </c>
      <c r="G230">
        <v>1628253294422</v>
      </c>
      <c r="W230">
        <v>200309</v>
      </c>
      <c r="X230">
        <v>5.5880510392633402</v>
      </c>
      <c r="Y230">
        <v>13326910066.84</v>
      </c>
      <c r="AE230" s="1"/>
      <c r="AF230" s="14"/>
      <c r="AG230" s="16"/>
    </row>
    <row r="231" spans="5:33" x14ac:dyDescent="0.25">
      <c r="E231" s="1">
        <v>36708</v>
      </c>
      <c r="F231">
        <v>8.4678443359047808</v>
      </c>
      <c r="G231">
        <v>1621989452469</v>
      </c>
      <c r="W231">
        <v>200310</v>
      </c>
      <c r="X231">
        <v>5.8789328257957401</v>
      </c>
      <c r="Y231">
        <v>7585592200.6199999</v>
      </c>
      <c r="AE231" s="1"/>
      <c r="AF231" s="14"/>
      <c r="AG231" s="16"/>
    </row>
    <row r="232" spans="5:33" x14ac:dyDescent="0.25">
      <c r="E232" s="1">
        <v>36739</v>
      </c>
      <c r="F232">
        <v>8.3555634630630493</v>
      </c>
      <c r="G232">
        <v>2028933012998</v>
      </c>
      <c r="W232">
        <v>200311</v>
      </c>
      <c r="X232">
        <v>5.9451936521085997</v>
      </c>
      <c r="Y232">
        <v>6108407736.0699997</v>
      </c>
      <c r="AE232" s="1"/>
      <c r="AF232" s="14"/>
      <c r="AG232" s="16"/>
    </row>
    <row r="233" spans="5:33" x14ac:dyDescent="0.25">
      <c r="E233" s="1">
        <v>36770</v>
      </c>
      <c r="F233">
        <v>8.2000072545969491</v>
      </c>
      <c r="G233">
        <v>2204094871732</v>
      </c>
      <c r="W233">
        <v>200312</v>
      </c>
      <c r="X233">
        <v>5.9856258222565604</v>
      </c>
      <c r="Y233">
        <v>4681483323.2299995</v>
      </c>
      <c r="AE233" s="1"/>
      <c r="AF233" s="14"/>
      <c r="AG233" s="16"/>
    </row>
    <row r="234" spans="5:33" x14ac:dyDescent="0.25">
      <c r="E234" s="1">
        <v>36800</v>
      </c>
      <c r="F234">
        <v>8.1672264842345008</v>
      </c>
      <c r="G234">
        <v>2406913002576</v>
      </c>
      <c r="W234">
        <v>200401</v>
      </c>
      <c r="X234">
        <v>5.9628233300893001</v>
      </c>
      <c r="Y234">
        <v>4931902513.8500004</v>
      </c>
      <c r="AE234" s="1"/>
      <c r="AF234" s="14"/>
      <c r="AG234" s="16"/>
    </row>
    <row r="235" spans="5:33" x14ac:dyDescent="0.25">
      <c r="E235" s="1">
        <v>36831</v>
      </c>
      <c r="F235">
        <v>8.0389528123051601</v>
      </c>
      <c r="G235">
        <v>2478302394538</v>
      </c>
      <c r="W235">
        <v>200402</v>
      </c>
      <c r="X235">
        <v>5.8862156933062497</v>
      </c>
      <c r="Y235">
        <v>4339615393.6499996</v>
      </c>
      <c r="AE235" s="1"/>
      <c r="AF235" s="14"/>
      <c r="AG235" s="16"/>
    </row>
    <row r="236" spans="5:33" x14ac:dyDescent="0.25">
      <c r="E236" s="1">
        <v>36861</v>
      </c>
      <c r="F236">
        <v>7.9349971852374104</v>
      </c>
      <c r="G236">
        <v>2668899889692</v>
      </c>
      <c r="W236">
        <v>200403</v>
      </c>
      <c r="X236">
        <v>5.7780759529950698</v>
      </c>
      <c r="Y236">
        <v>5670040869.7799997</v>
      </c>
      <c r="AE236" s="1"/>
      <c r="AF236" s="14"/>
      <c r="AG236" s="16"/>
    </row>
    <row r="237" spans="5:33" x14ac:dyDescent="0.25">
      <c r="E237" s="1">
        <v>36892</v>
      </c>
      <c r="F237">
        <v>7.8785109984434003</v>
      </c>
      <c r="G237">
        <v>2821773181794</v>
      </c>
      <c r="W237">
        <v>200404</v>
      </c>
      <c r="X237">
        <v>5.6646504302636496</v>
      </c>
      <c r="Y237">
        <v>7940902319.1000004</v>
      </c>
      <c r="AE237" s="1"/>
      <c r="AF237" s="14"/>
      <c r="AG237" s="16"/>
    </row>
    <row r="238" spans="5:33" x14ac:dyDescent="0.25">
      <c r="E238" s="1">
        <v>36923</v>
      </c>
      <c r="F238">
        <v>7.5245163419388597</v>
      </c>
      <c r="G238">
        <v>3259347803432</v>
      </c>
      <c r="W238">
        <v>200405</v>
      </c>
      <c r="X238">
        <v>5.6013701927985897</v>
      </c>
      <c r="Y238">
        <v>8692879411.6700001</v>
      </c>
      <c r="AE238" s="1"/>
      <c r="AF238" s="14"/>
      <c r="AG238" s="16"/>
    </row>
    <row r="239" spans="5:33" x14ac:dyDescent="0.25">
      <c r="E239" s="1">
        <v>36951</v>
      </c>
      <c r="F239">
        <v>7.2723791378426803</v>
      </c>
      <c r="G239">
        <v>4084508475606</v>
      </c>
      <c r="W239">
        <v>200406</v>
      </c>
      <c r="X239">
        <v>5.8959131468926902</v>
      </c>
      <c r="Y239">
        <v>5529571514.1099997</v>
      </c>
      <c r="AE239" s="1"/>
      <c r="AF239" s="14"/>
      <c r="AG239" s="16"/>
    </row>
    <row r="240" spans="5:33" x14ac:dyDescent="0.25">
      <c r="E240" s="1">
        <v>36982</v>
      </c>
      <c r="F240">
        <v>7.1370162490197702</v>
      </c>
      <c r="G240">
        <v>5310059699492</v>
      </c>
      <c r="W240">
        <v>200407</v>
      </c>
      <c r="X240">
        <v>6.2577732449514203</v>
      </c>
      <c r="Y240">
        <v>3900907098.0500002</v>
      </c>
      <c r="AE240" s="1"/>
      <c r="AF240" s="14"/>
      <c r="AG240" s="16"/>
    </row>
    <row r="241" spans="5:33" x14ac:dyDescent="0.25">
      <c r="E241" s="1">
        <v>37012</v>
      </c>
      <c r="F241">
        <v>7.1366411596878097</v>
      </c>
      <c r="G241">
        <v>5571287524904</v>
      </c>
      <c r="W241">
        <v>200408</v>
      </c>
      <c r="X241">
        <v>6.2875485597207001</v>
      </c>
      <c r="Y241">
        <v>3764597819.21</v>
      </c>
      <c r="AE241" s="1"/>
      <c r="AF241" s="14"/>
      <c r="AG241" s="16"/>
    </row>
    <row r="242" spans="5:33" x14ac:dyDescent="0.25">
      <c r="E242" s="1">
        <v>37043</v>
      </c>
      <c r="F242">
        <v>7.1479734370066303</v>
      </c>
      <c r="G242">
        <v>5534102918210</v>
      </c>
      <c r="W242">
        <v>200409</v>
      </c>
      <c r="X242">
        <v>6.1301464801548597</v>
      </c>
      <c r="Y242">
        <v>4624245581.9700003</v>
      </c>
      <c r="AE242" s="1"/>
      <c r="AF242" s="14"/>
      <c r="AG242" s="16"/>
    </row>
    <row r="243" spans="5:33" x14ac:dyDescent="0.25">
      <c r="E243" s="1">
        <v>37073</v>
      </c>
      <c r="F243">
        <v>7.2353335344377498</v>
      </c>
      <c r="G243">
        <v>5349164552644</v>
      </c>
      <c r="W243">
        <v>200410</v>
      </c>
      <c r="X243">
        <v>5.9809633534422799</v>
      </c>
      <c r="Y243">
        <v>4927713010.7200003</v>
      </c>
      <c r="AE243" s="1"/>
      <c r="AF243" s="14"/>
      <c r="AG243" s="16"/>
    </row>
    <row r="244" spans="5:33" x14ac:dyDescent="0.25">
      <c r="E244" s="1">
        <v>37104</v>
      </c>
      <c r="F244">
        <v>7.28672914636181</v>
      </c>
      <c r="G244">
        <v>5160370927436</v>
      </c>
      <c r="W244">
        <v>200411</v>
      </c>
      <c r="X244">
        <v>5.89126289624883</v>
      </c>
      <c r="Y244">
        <v>5624575217.8400002</v>
      </c>
      <c r="AE244" s="1"/>
      <c r="AF244" s="14"/>
      <c r="AG244" s="16"/>
    </row>
    <row r="245" spans="5:33" x14ac:dyDescent="0.25">
      <c r="E245" s="1">
        <v>37135</v>
      </c>
      <c r="F245">
        <v>7.2007141322394901</v>
      </c>
      <c r="G245">
        <v>4794979280210</v>
      </c>
      <c r="W245">
        <v>200412</v>
      </c>
      <c r="X245">
        <v>5.84574333817267</v>
      </c>
      <c r="Y245">
        <v>5500496887.2399998</v>
      </c>
      <c r="AE245" s="1"/>
      <c r="AF245" s="14"/>
      <c r="AG245" s="16"/>
    </row>
    <row r="246" spans="5:33" x14ac:dyDescent="0.25">
      <c r="E246" s="1">
        <v>37165</v>
      </c>
      <c r="F246">
        <v>7.0953312492452802</v>
      </c>
      <c r="G246">
        <v>4346696837039</v>
      </c>
      <c r="W246">
        <v>200501</v>
      </c>
      <c r="X246">
        <v>5.8510211415089799</v>
      </c>
      <c r="Y246">
        <v>5501456199.1000004</v>
      </c>
      <c r="AE246" s="1"/>
      <c r="AF246" s="14"/>
      <c r="AG246" s="16"/>
    </row>
    <row r="247" spans="5:33" x14ac:dyDescent="0.25">
      <c r="E247" s="1">
        <v>37196</v>
      </c>
      <c r="F247">
        <v>6.9399469254852102</v>
      </c>
      <c r="G247">
        <v>6043418612459</v>
      </c>
      <c r="W247">
        <v>200502</v>
      </c>
      <c r="X247">
        <v>5.8387936133330598</v>
      </c>
      <c r="Y247">
        <v>4583967724.6300001</v>
      </c>
      <c r="AE247" s="1"/>
      <c r="AF247" s="14"/>
      <c r="AG247" s="16"/>
    </row>
    <row r="248" spans="5:33" x14ac:dyDescent="0.25">
      <c r="E248" s="1">
        <v>37226</v>
      </c>
      <c r="F248">
        <v>6.7628708082724103</v>
      </c>
      <c r="G248">
        <v>7021076205790</v>
      </c>
      <c r="W248">
        <v>200503</v>
      </c>
      <c r="X248">
        <v>5.7562165906115901</v>
      </c>
      <c r="Y248">
        <v>5335708988.1199999</v>
      </c>
      <c r="AE248" s="1"/>
      <c r="AF248" s="14"/>
      <c r="AG248" s="16"/>
    </row>
    <row r="249" spans="5:33" x14ac:dyDescent="0.25">
      <c r="E249" s="1">
        <v>37257</v>
      </c>
      <c r="F249">
        <v>6.7336675817513001</v>
      </c>
      <c r="G249">
        <v>5937744414705</v>
      </c>
      <c r="W249">
        <v>200504</v>
      </c>
      <c r="X249">
        <v>5.8045593732128502</v>
      </c>
      <c r="Y249">
        <v>6825662285.7299995</v>
      </c>
      <c r="AE249" s="1"/>
      <c r="AF249" s="14"/>
      <c r="AG249" s="16"/>
    </row>
    <row r="250" spans="5:33" x14ac:dyDescent="0.25">
      <c r="E250" s="1">
        <v>37288</v>
      </c>
      <c r="F250">
        <v>6.9137112271769601</v>
      </c>
      <c r="G250">
        <v>5744953452057</v>
      </c>
      <c r="W250">
        <v>200505</v>
      </c>
      <c r="X250">
        <v>6.0102368046581898</v>
      </c>
      <c r="Y250">
        <v>5667706787.1499996</v>
      </c>
      <c r="AE250" s="1"/>
      <c r="AF250" s="14"/>
      <c r="AG250" s="16"/>
    </row>
    <row r="251" spans="5:33" x14ac:dyDescent="0.25">
      <c r="E251" s="1">
        <v>37316</v>
      </c>
      <c r="F251">
        <v>6.99881089689758</v>
      </c>
      <c r="G251">
        <v>5088217846639</v>
      </c>
      <c r="W251">
        <v>200506</v>
      </c>
      <c r="X251">
        <v>5.9504724826603397</v>
      </c>
      <c r="Y251">
        <v>7064877916.9700003</v>
      </c>
      <c r="AE251" s="1"/>
      <c r="AF251" s="14"/>
      <c r="AG251" s="16"/>
    </row>
    <row r="252" spans="5:33" x14ac:dyDescent="0.25">
      <c r="E252" s="1">
        <v>37347</v>
      </c>
      <c r="F252">
        <v>7.0004308608154497</v>
      </c>
      <c r="G252">
        <v>4523614193379</v>
      </c>
      <c r="W252">
        <v>200507</v>
      </c>
      <c r="X252">
        <v>5.8062778583653296</v>
      </c>
      <c r="Y252">
        <v>9545547223.4099998</v>
      </c>
      <c r="AE252" s="1"/>
      <c r="AF252" s="14"/>
      <c r="AG252" s="16"/>
    </row>
    <row r="253" spans="5:33" x14ac:dyDescent="0.25">
      <c r="E253" s="1">
        <v>37377</v>
      </c>
      <c r="F253">
        <v>7.0650396557010202</v>
      </c>
      <c r="G253">
        <v>4257892090533</v>
      </c>
      <c r="W253">
        <v>200508</v>
      </c>
      <c r="X253">
        <v>5.7504877641230898</v>
      </c>
      <c r="Y253">
        <v>9902296898.2900009</v>
      </c>
      <c r="AE253" s="1"/>
      <c r="AF253" s="14"/>
      <c r="AG253" s="16"/>
    </row>
    <row r="254" spans="5:33" x14ac:dyDescent="0.25">
      <c r="E254" s="1">
        <v>37408</v>
      </c>
      <c r="F254">
        <v>7.0807650528940496</v>
      </c>
      <c r="G254">
        <v>4188965143984</v>
      </c>
      <c r="W254">
        <v>200509</v>
      </c>
      <c r="X254">
        <v>5.8706815620900796</v>
      </c>
      <c r="Y254">
        <v>9642623651.8099995</v>
      </c>
      <c r="AE254" s="1"/>
      <c r="AF254" s="14"/>
      <c r="AG254" s="16"/>
    </row>
    <row r="255" spans="5:33" x14ac:dyDescent="0.25">
      <c r="E255" s="1">
        <v>37438</v>
      </c>
      <c r="F255">
        <v>6.9845903132043698</v>
      </c>
      <c r="G255">
        <v>4126177338013</v>
      </c>
      <c r="W255">
        <v>200510</v>
      </c>
      <c r="X255">
        <v>5.9113458931675398</v>
      </c>
      <c r="Y255">
        <v>8475151035.0200005</v>
      </c>
      <c r="AE255" s="1"/>
      <c r="AF255" s="14"/>
      <c r="AG255" s="16"/>
    </row>
    <row r="256" spans="5:33" x14ac:dyDescent="0.25">
      <c r="E256" s="1">
        <v>37469</v>
      </c>
      <c r="F256">
        <v>6.8736063123659301</v>
      </c>
      <c r="G256">
        <v>5150448520299</v>
      </c>
      <c r="W256">
        <v>200511</v>
      </c>
      <c r="X256">
        <v>5.9803207041785003</v>
      </c>
      <c r="Y256">
        <v>7831832788.79</v>
      </c>
      <c r="AE256" s="1"/>
      <c r="AF256" s="14"/>
      <c r="AG256" s="16"/>
    </row>
    <row r="257" spans="5:33" x14ac:dyDescent="0.25">
      <c r="E257" s="1">
        <v>37500</v>
      </c>
      <c r="F257">
        <v>6.6276140399636896</v>
      </c>
      <c r="G257">
        <v>6025626649540</v>
      </c>
      <c r="W257">
        <v>200512</v>
      </c>
      <c r="X257">
        <v>6.2122250628163496</v>
      </c>
      <c r="Y257">
        <v>6056449287.4200001</v>
      </c>
      <c r="AE257" s="1"/>
      <c r="AF257" s="14"/>
      <c r="AG257" s="16"/>
    </row>
    <row r="258" spans="5:33" x14ac:dyDescent="0.25">
      <c r="E258" s="1">
        <v>37530</v>
      </c>
      <c r="F258">
        <v>6.5385297374603901</v>
      </c>
      <c r="G258">
        <v>8074064715835</v>
      </c>
      <c r="W258">
        <v>200601</v>
      </c>
      <c r="X258">
        <v>6.3931088275901198</v>
      </c>
      <c r="Y258">
        <v>5108864072.5699997</v>
      </c>
      <c r="AE258" s="1"/>
      <c r="AF258" s="14"/>
      <c r="AG258" s="16"/>
    </row>
    <row r="259" spans="5:33" x14ac:dyDescent="0.25">
      <c r="E259" s="1">
        <v>37561</v>
      </c>
      <c r="F259">
        <v>6.3024719750972196</v>
      </c>
      <c r="G259">
        <v>7822406828964</v>
      </c>
      <c r="W259">
        <v>200602</v>
      </c>
      <c r="X259">
        <v>6.3634730723158999</v>
      </c>
      <c r="Y259">
        <v>4186243553.2199998</v>
      </c>
      <c r="AE259" s="1"/>
      <c r="AF259" s="14"/>
      <c r="AG259" s="16"/>
    </row>
    <row r="260" spans="5:33" x14ac:dyDescent="0.25">
      <c r="E260" s="1">
        <v>37591</v>
      </c>
      <c r="F260">
        <v>6.2413559802188496</v>
      </c>
      <c r="G260">
        <v>8255618539222</v>
      </c>
      <c r="W260">
        <v>200603</v>
      </c>
      <c r="X260">
        <v>6.33774136790377</v>
      </c>
      <c r="Y260">
        <v>4971751442.9200001</v>
      </c>
      <c r="AE260" s="1"/>
      <c r="AF260" s="14"/>
      <c r="AG260" s="16"/>
    </row>
    <row r="261" spans="5:33" x14ac:dyDescent="0.25">
      <c r="E261" s="1">
        <v>37622</v>
      </c>
      <c r="F261">
        <v>6.1705036869099796</v>
      </c>
      <c r="G261">
        <v>9433001600860</v>
      </c>
      <c r="W261">
        <v>200604</v>
      </c>
      <c r="X261">
        <v>6.4056989158475099</v>
      </c>
      <c r="Y261">
        <v>6171340244.8199997</v>
      </c>
      <c r="AE261" s="1"/>
      <c r="AF261" s="14"/>
      <c r="AG261" s="16"/>
    </row>
    <row r="262" spans="5:33" x14ac:dyDescent="0.25">
      <c r="E262" s="1">
        <v>37653</v>
      </c>
      <c r="F262">
        <v>6.1528942142731102</v>
      </c>
      <c r="G262">
        <v>8428775553894</v>
      </c>
      <c r="W262">
        <v>200605</v>
      </c>
      <c r="X262">
        <v>6.5053792357282303</v>
      </c>
      <c r="Y262">
        <v>5437777978.8999996</v>
      </c>
      <c r="AE262" s="1"/>
      <c r="AF262" s="14"/>
      <c r="AG262" s="16"/>
    </row>
    <row r="263" spans="5:33" x14ac:dyDescent="0.25">
      <c r="E263" s="1">
        <v>37681</v>
      </c>
      <c r="F263">
        <v>6.0769265302637798</v>
      </c>
      <c r="G263">
        <v>8344411638971</v>
      </c>
      <c r="W263">
        <v>200606</v>
      </c>
      <c r="X263">
        <v>6.6738882320111204</v>
      </c>
      <c r="Y263">
        <v>5435570805.9399996</v>
      </c>
      <c r="AE263" s="1"/>
      <c r="AF263" s="14"/>
      <c r="AG263" s="16"/>
    </row>
    <row r="264" spans="5:33" x14ac:dyDescent="0.25">
      <c r="E264" s="1">
        <v>37712</v>
      </c>
      <c r="F264">
        <v>6.0038280676107201</v>
      </c>
      <c r="G264">
        <v>10417709719477</v>
      </c>
      <c r="W264">
        <v>200607</v>
      </c>
      <c r="X264">
        <v>6.7806498204616199</v>
      </c>
      <c r="Y264">
        <v>5124107584.4700003</v>
      </c>
      <c r="AE264" s="1"/>
      <c r="AF264" s="14"/>
      <c r="AG264" s="16"/>
    </row>
    <row r="265" spans="5:33" x14ac:dyDescent="0.25">
      <c r="E265" s="1">
        <v>37742</v>
      </c>
      <c r="F265">
        <v>5.9151342956627797</v>
      </c>
      <c r="G265">
        <v>9302167994747</v>
      </c>
      <c r="W265">
        <v>200608</v>
      </c>
      <c r="X265">
        <v>6.8877161474047801</v>
      </c>
      <c r="Y265">
        <v>4449785349.3900003</v>
      </c>
      <c r="AE265" s="1"/>
      <c r="AF265" s="14"/>
      <c r="AG265" s="16"/>
    </row>
    <row r="266" spans="5:33" x14ac:dyDescent="0.25">
      <c r="E266" s="1">
        <v>37773</v>
      </c>
      <c r="F266">
        <v>5.8534721334995901</v>
      </c>
      <c r="G266">
        <v>10308588051938</v>
      </c>
      <c r="W266">
        <v>200609</v>
      </c>
      <c r="X266">
        <v>6.8070096878704804</v>
      </c>
      <c r="Y266">
        <v>5444718671.7399998</v>
      </c>
      <c r="AE266" s="1"/>
      <c r="AF266" s="14"/>
      <c r="AG266" s="16"/>
    </row>
    <row r="267" spans="5:33" x14ac:dyDescent="0.25">
      <c r="E267" s="1">
        <v>37803</v>
      </c>
      <c r="F267">
        <v>5.6603740150939901</v>
      </c>
      <c r="G267">
        <v>10293974214992</v>
      </c>
      <c r="W267">
        <v>200610</v>
      </c>
      <c r="X267">
        <v>6.6319998881884601</v>
      </c>
      <c r="Y267">
        <v>5617275680.3999996</v>
      </c>
      <c r="AE267" s="1"/>
      <c r="AF267" s="14"/>
      <c r="AG267" s="16"/>
    </row>
    <row r="268" spans="5:33" x14ac:dyDescent="0.25">
      <c r="E268" s="1">
        <v>37834</v>
      </c>
      <c r="F268">
        <v>5.5145795665700001</v>
      </c>
      <c r="G268">
        <v>9876679371502</v>
      </c>
      <c r="W268">
        <v>200611</v>
      </c>
      <c r="X268">
        <v>6.5151891171309702</v>
      </c>
      <c r="Y268">
        <v>6328359695.4099998</v>
      </c>
      <c r="AE268" s="1"/>
      <c r="AF268" s="14"/>
      <c r="AG268" s="16"/>
    </row>
    <row r="269" spans="5:33" x14ac:dyDescent="0.25">
      <c r="E269" s="1">
        <v>37865</v>
      </c>
      <c r="F269">
        <v>5.5967363788878197</v>
      </c>
      <c r="G269">
        <v>10199199457358</v>
      </c>
      <c r="W269">
        <v>200612</v>
      </c>
      <c r="X269">
        <v>6.4586632670578599</v>
      </c>
      <c r="Y269">
        <v>6167503592.7700005</v>
      </c>
      <c r="AE269" s="1"/>
      <c r="AF269" s="14"/>
      <c r="AG269" s="16"/>
    </row>
    <row r="270" spans="5:33" x14ac:dyDescent="0.25">
      <c r="E270" s="1">
        <v>37895</v>
      </c>
      <c r="F270">
        <v>5.8726656362200398</v>
      </c>
      <c r="G270">
        <v>6693001905300</v>
      </c>
      <c r="W270">
        <v>200701</v>
      </c>
      <c r="X270">
        <v>6.2869793259435696</v>
      </c>
      <c r="Y270">
        <v>7207847074.7799997</v>
      </c>
      <c r="AE270" s="1"/>
      <c r="AF270" s="14"/>
      <c r="AG270" s="16"/>
    </row>
    <row r="271" spans="5:33" x14ac:dyDescent="0.25">
      <c r="E271" s="1">
        <v>37926</v>
      </c>
      <c r="F271">
        <v>5.9913739582844698</v>
      </c>
      <c r="G271">
        <v>5255696347579</v>
      </c>
      <c r="W271">
        <v>200702</v>
      </c>
      <c r="X271">
        <v>6.2927108267424501</v>
      </c>
      <c r="Y271">
        <v>6554103993.3500004</v>
      </c>
      <c r="AE271" s="1"/>
      <c r="AF271" s="14"/>
      <c r="AG271" s="16"/>
    </row>
    <row r="272" spans="5:33" x14ac:dyDescent="0.25">
      <c r="E272" s="1">
        <v>37956</v>
      </c>
      <c r="F272">
        <v>6.0066656690185596</v>
      </c>
      <c r="G272">
        <v>4983856207174</v>
      </c>
      <c r="W272">
        <v>200703</v>
      </c>
      <c r="X272">
        <v>6.3874255665517099</v>
      </c>
      <c r="Y272">
        <v>6305287739.2600002</v>
      </c>
      <c r="AE272" s="1"/>
      <c r="AF272" s="14"/>
      <c r="AG272" s="16"/>
    </row>
    <row r="273" spans="5:33" x14ac:dyDescent="0.25">
      <c r="E273" s="1">
        <v>37987</v>
      </c>
      <c r="F273">
        <v>6.0917821941161199</v>
      </c>
      <c r="G273">
        <v>3969683031641</v>
      </c>
      <c r="W273">
        <v>200704</v>
      </c>
      <c r="X273">
        <v>6.3356820924220401</v>
      </c>
      <c r="Y273">
        <v>8102944802.71</v>
      </c>
      <c r="AE273" s="1"/>
      <c r="AF273" s="14"/>
      <c r="AG273" s="16"/>
    </row>
    <row r="274" spans="5:33" x14ac:dyDescent="0.25">
      <c r="E274" s="1">
        <v>38018</v>
      </c>
      <c r="F274">
        <v>5.9560033513794499</v>
      </c>
      <c r="G274">
        <v>3766947514244</v>
      </c>
      <c r="W274">
        <v>200705</v>
      </c>
      <c r="X274">
        <v>6.3335804855503497</v>
      </c>
      <c r="Y274">
        <v>8818803738.4599991</v>
      </c>
      <c r="AE274" s="1"/>
      <c r="AF274" s="14"/>
      <c r="AG274" s="16"/>
    </row>
    <row r="275" spans="5:33" x14ac:dyDescent="0.25">
      <c r="E275" s="1">
        <v>38047</v>
      </c>
      <c r="F275">
        <v>5.9113820384416496</v>
      </c>
      <c r="G275">
        <v>3520929370194</v>
      </c>
      <c r="W275">
        <v>200706</v>
      </c>
      <c r="X275">
        <v>6.3794668964425796</v>
      </c>
      <c r="Y275">
        <v>9503509881.3199997</v>
      </c>
      <c r="AE275" s="1"/>
      <c r="AF275" s="14"/>
      <c r="AG275" s="16"/>
    </row>
    <row r="276" spans="5:33" x14ac:dyDescent="0.25">
      <c r="E276" s="1">
        <v>38078</v>
      </c>
      <c r="F276">
        <v>5.7492501181113997</v>
      </c>
      <c r="G276">
        <v>4557341551781</v>
      </c>
      <c r="W276">
        <v>200707</v>
      </c>
      <c r="X276">
        <v>6.5503215971317497</v>
      </c>
      <c r="Y276">
        <v>8074466931.4200001</v>
      </c>
      <c r="AE276" s="1"/>
      <c r="AF276" s="14"/>
      <c r="AG276" s="16"/>
    </row>
    <row r="277" spans="5:33" x14ac:dyDescent="0.25">
      <c r="E277" s="1">
        <v>38108</v>
      </c>
      <c r="F277">
        <v>5.6580341958842197</v>
      </c>
      <c r="G277">
        <v>4098542902112</v>
      </c>
      <c r="W277">
        <v>200708</v>
      </c>
      <c r="X277">
        <v>6.8073630142816697</v>
      </c>
      <c r="Y277">
        <v>6354093691.0699997</v>
      </c>
      <c r="AE277" s="1"/>
      <c r="AF277" s="14"/>
      <c r="AG277" s="16"/>
    </row>
    <row r="278" spans="5:33" x14ac:dyDescent="0.25">
      <c r="E278" s="1">
        <v>38139</v>
      </c>
      <c r="F278">
        <v>5.8758211372756897</v>
      </c>
      <c r="G278">
        <v>4063151456293</v>
      </c>
      <c r="W278">
        <v>200709</v>
      </c>
      <c r="X278">
        <v>6.8331061135594098</v>
      </c>
      <c r="Y278">
        <v>6760058679.3000002</v>
      </c>
      <c r="AE278" s="1"/>
      <c r="AF278" s="14"/>
      <c r="AG278" s="16"/>
    </row>
    <row r="279" spans="5:33" x14ac:dyDescent="0.25">
      <c r="E279" s="1">
        <v>38169</v>
      </c>
      <c r="F279">
        <v>6.1998359885384602</v>
      </c>
      <c r="G279">
        <v>3155579473974</v>
      </c>
      <c r="W279">
        <v>200710</v>
      </c>
      <c r="X279">
        <v>6.6803956005559897</v>
      </c>
      <c r="Y279">
        <v>6987382485.5900002</v>
      </c>
      <c r="AE279" s="1"/>
      <c r="AF279" s="14"/>
      <c r="AG279" s="16"/>
    </row>
    <row r="280" spans="5:33" x14ac:dyDescent="0.25">
      <c r="E280" s="1">
        <v>38200</v>
      </c>
      <c r="F280">
        <v>6.3182436028222497</v>
      </c>
      <c r="G280">
        <v>2726330394420</v>
      </c>
      <c r="W280">
        <v>200711</v>
      </c>
      <c r="X280">
        <v>6.5830992449429298</v>
      </c>
      <c r="Y280">
        <v>8326981629.8500004</v>
      </c>
      <c r="AE280" s="1"/>
      <c r="AF280" s="14"/>
      <c r="AG280" s="16"/>
    </row>
    <row r="281" spans="5:33" x14ac:dyDescent="0.25">
      <c r="E281" s="1">
        <v>38231</v>
      </c>
      <c r="F281">
        <v>6.2053551957756001</v>
      </c>
      <c r="G281">
        <v>3123269566693</v>
      </c>
      <c r="W281">
        <v>200712</v>
      </c>
      <c r="X281">
        <v>6.4860263547603996</v>
      </c>
      <c r="Y281">
        <v>8286081092.1800003</v>
      </c>
      <c r="AE281" s="1"/>
      <c r="AF281" s="14"/>
      <c r="AG281" s="16"/>
    </row>
    <row r="282" spans="5:33" x14ac:dyDescent="0.25">
      <c r="E282" s="1">
        <v>38261</v>
      </c>
      <c r="F282">
        <v>6.0848018224368099</v>
      </c>
      <c r="G282">
        <v>2607689116488</v>
      </c>
      <c r="W282">
        <v>200801</v>
      </c>
      <c r="X282">
        <v>6.3115745063631596</v>
      </c>
      <c r="Y282">
        <v>8974292016.6800003</v>
      </c>
      <c r="AE282" s="1"/>
      <c r="AF282" s="14"/>
      <c r="AG282" s="16"/>
    </row>
    <row r="283" spans="5:33" x14ac:dyDescent="0.25">
      <c r="E283" s="1">
        <v>38292</v>
      </c>
      <c r="F283">
        <v>5.9731747397904904</v>
      </c>
      <c r="G283">
        <v>2730943249326</v>
      </c>
      <c r="W283">
        <v>200802</v>
      </c>
      <c r="X283">
        <v>6.0994463276204902</v>
      </c>
      <c r="Y283">
        <v>9230961762.8999996</v>
      </c>
      <c r="AE283" s="1"/>
      <c r="AF283" s="14"/>
      <c r="AG283" s="16"/>
    </row>
    <row r="284" spans="5:33" x14ac:dyDescent="0.25">
      <c r="E284" s="1">
        <v>38322</v>
      </c>
      <c r="F284">
        <v>5.9118781098890301</v>
      </c>
      <c r="G284">
        <v>2866205635090</v>
      </c>
      <c r="W284">
        <v>200803</v>
      </c>
      <c r="X284">
        <v>5.8224362079861303</v>
      </c>
      <c r="Y284">
        <v>12158455287.49</v>
      </c>
      <c r="AE284" s="1"/>
      <c r="AF284" s="14"/>
      <c r="AG284" s="16"/>
    </row>
    <row r="285" spans="5:33" x14ac:dyDescent="0.25">
      <c r="E285" s="1">
        <v>38353</v>
      </c>
      <c r="F285">
        <v>5.8858995314577003</v>
      </c>
      <c r="G285">
        <v>2875218379610</v>
      </c>
      <c r="W285">
        <v>200804</v>
      </c>
      <c r="X285">
        <v>6.0158687840081404</v>
      </c>
      <c r="Y285">
        <v>9396062895.8700008</v>
      </c>
      <c r="AE285" s="1"/>
      <c r="AF285" s="14"/>
      <c r="AG285" s="16"/>
    </row>
    <row r="286" spans="5:33" x14ac:dyDescent="0.25">
      <c r="E286" s="1">
        <v>38384</v>
      </c>
      <c r="F286">
        <v>5.9088657529264097</v>
      </c>
      <c r="G286">
        <v>2464809692938</v>
      </c>
      <c r="W286">
        <v>200805</v>
      </c>
      <c r="X286">
        <v>6.0165395077388304</v>
      </c>
      <c r="Y286">
        <v>9139955298.0200005</v>
      </c>
      <c r="AE286" s="1"/>
      <c r="AF286" s="14"/>
      <c r="AG286" s="16"/>
    </row>
    <row r="287" spans="5:33" x14ac:dyDescent="0.25">
      <c r="E287" s="1">
        <v>38412</v>
      </c>
      <c r="F287">
        <v>5.8258059537488398</v>
      </c>
      <c r="G287">
        <v>2554869956305</v>
      </c>
      <c r="W287">
        <v>200806</v>
      </c>
      <c r="X287">
        <v>6.0795647779847997</v>
      </c>
      <c r="Y287">
        <v>7767665589.4300003</v>
      </c>
      <c r="AE287" s="1"/>
      <c r="AF287" s="14"/>
      <c r="AG287" s="16"/>
    </row>
    <row r="288" spans="5:33" x14ac:dyDescent="0.25">
      <c r="E288" s="1">
        <v>38443</v>
      </c>
      <c r="F288">
        <v>5.80184848399474</v>
      </c>
      <c r="G288">
        <v>2985237213174</v>
      </c>
      <c r="W288">
        <v>200807</v>
      </c>
      <c r="X288">
        <v>6.2348672148159201</v>
      </c>
      <c r="Y288">
        <v>5806691827.6599998</v>
      </c>
      <c r="AE288" s="1"/>
      <c r="AF288" s="14"/>
      <c r="AG288" s="16"/>
    </row>
    <row r="289" spans="5:33" x14ac:dyDescent="0.25">
      <c r="E289" s="1">
        <v>38473</v>
      </c>
      <c r="F289">
        <v>5.9604269928074096</v>
      </c>
      <c r="G289">
        <v>2942768450279</v>
      </c>
      <c r="W289">
        <v>200808</v>
      </c>
      <c r="X289">
        <v>6.4942411019421398</v>
      </c>
      <c r="Y289">
        <v>4129380454.6100001</v>
      </c>
      <c r="AE289" s="1"/>
      <c r="AF289" s="14"/>
      <c r="AG289" s="16"/>
    </row>
    <row r="290" spans="5:33" x14ac:dyDescent="0.25">
      <c r="E290" s="1">
        <v>38504</v>
      </c>
      <c r="F290">
        <v>6.0066090785120201</v>
      </c>
      <c r="G290">
        <v>3028826248737</v>
      </c>
      <c r="W290">
        <v>200809</v>
      </c>
      <c r="X290">
        <v>6.6132635000119597</v>
      </c>
      <c r="Y290">
        <v>3559080238.96</v>
      </c>
      <c r="AE290" s="1"/>
      <c r="AF290" s="14"/>
      <c r="AG290" s="16"/>
    </row>
    <row r="291" spans="5:33" x14ac:dyDescent="0.25">
      <c r="E291" s="1">
        <v>38534</v>
      </c>
      <c r="F291">
        <v>5.8913162151740996</v>
      </c>
      <c r="G291">
        <v>3785543920191</v>
      </c>
      <c r="W291">
        <v>200810</v>
      </c>
      <c r="X291">
        <v>6.3355099525979996</v>
      </c>
      <c r="Y291">
        <v>3809237147.4400001</v>
      </c>
      <c r="AE291" s="1"/>
      <c r="AF291" s="14"/>
      <c r="AG291" s="16"/>
    </row>
    <row r="292" spans="5:33" x14ac:dyDescent="0.25">
      <c r="E292" s="1">
        <v>38565</v>
      </c>
      <c r="F292">
        <v>5.8170059166993697</v>
      </c>
      <c r="G292">
        <v>4180264840393</v>
      </c>
      <c r="W292">
        <v>200811</v>
      </c>
      <c r="X292">
        <v>6.1249282438012003</v>
      </c>
      <c r="Y292">
        <v>4532586602.3299999</v>
      </c>
      <c r="AE292" s="1"/>
      <c r="AF292" s="14"/>
      <c r="AG292" s="16"/>
    </row>
    <row r="293" spans="5:33" x14ac:dyDescent="0.25">
      <c r="E293" s="1">
        <v>38596</v>
      </c>
      <c r="F293">
        <v>5.8568781243443899</v>
      </c>
      <c r="G293">
        <v>4507448589615</v>
      </c>
      <c r="W293">
        <v>200812</v>
      </c>
      <c r="X293">
        <v>6.1540421861506998</v>
      </c>
      <c r="Y293">
        <v>3360164117.6700001</v>
      </c>
      <c r="AE293" s="1"/>
      <c r="AF293" s="14"/>
      <c r="AG293" s="16"/>
    </row>
    <row r="294" spans="5:33" x14ac:dyDescent="0.25">
      <c r="E294" s="1">
        <v>38626</v>
      </c>
      <c r="F294">
        <v>5.9096617247824703</v>
      </c>
      <c r="G294">
        <v>3591244588130</v>
      </c>
      <c r="W294">
        <v>200901</v>
      </c>
      <c r="X294">
        <v>5.4080788659962602</v>
      </c>
      <c r="Y294">
        <v>6591919065.75</v>
      </c>
      <c r="AE294" s="1"/>
      <c r="AF294" s="14"/>
      <c r="AG294" s="16"/>
    </row>
    <row r="295" spans="5:33" x14ac:dyDescent="0.25">
      <c r="E295" s="1">
        <v>38657</v>
      </c>
      <c r="F295">
        <v>5.9603654028825002</v>
      </c>
      <c r="G295">
        <v>3520332406150</v>
      </c>
      <c r="W295">
        <v>200902</v>
      </c>
      <c r="X295">
        <v>4.92998012040551</v>
      </c>
      <c r="Y295">
        <v>17045856400.700001</v>
      </c>
      <c r="AE295" s="1"/>
      <c r="AF295" s="14"/>
      <c r="AG295" s="16"/>
    </row>
    <row r="296" spans="5:33" x14ac:dyDescent="0.25">
      <c r="E296" s="1">
        <v>38687</v>
      </c>
      <c r="F296">
        <v>6.1007116550291096</v>
      </c>
      <c r="G296">
        <v>3169277580598</v>
      </c>
      <c r="W296">
        <v>200903</v>
      </c>
      <c r="X296">
        <v>4.8872241726257801</v>
      </c>
      <c r="Y296">
        <v>20485966876.099998</v>
      </c>
      <c r="AE296" s="1"/>
      <c r="AF296" s="14"/>
      <c r="AG296" s="16"/>
    </row>
    <row r="297" spans="5:33" x14ac:dyDescent="0.25">
      <c r="E297" s="1">
        <v>38718</v>
      </c>
      <c r="F297">
        <v>6.3011652273028096</v>
      </c>
      <c r="G297">
        <v>3060788909877</v>
      </c>
      <c r="W297">
        <v>200904</v>
      </c>
      <c r="X297">
        <v>4.91173237613053</v>
      </c>
      <c r="Y297">
        <v>21334077923.66</v>
      </c>
      <c r="AE297" s="1"/>
      <c r="AF297" s="14"/>
      <c r="AG297" s="16"/>
    </row>
    <row r="298" spans="5:33" x14ac:dyDescent="0.25">
      <c r="E298" s="1">
        <v>38749</v>
      </c>
      <c r="F298">
        <v>6.3526727308006397</v>
      </c>
      <c r="G298">
        <v>2595581054684</v>
      </c>
      <c r="W298">
        <v>200905</v>
      </c>
      <c r="X298">
        <v>4.81326272198329</v>
      </c>
      <c r="Y298">
        <v>27230471942.73</v>
      </c>
      <c r="AE298" s="1"/>
      <c r="AF298" s="14"/>
      <c r="AG298" s="16"/>
    </row>
    <row r="299" spans="5:33" x14ac:dyDescent="0.25">
      <c r="E299" s="1">
        <v>38777</v>
      </c>
      <c r="F299">
        <v>6.3675892083988002</v>
      </c>
      <c r="G299">
        <v>2677359268545</v>
      </c>
      <c r="W299">
        <v>200906</v>
      </c>
      <c r="X299">
        <v>4.7861648554747402</v>
      </c>
      <c r="Y299">
        <v>37019221893.260002</v>
      </c>
      <c r="AE299" s="1"/>
      <c r="AF299" s="14"/>
      <c r="AG299" s="16"/>
    </row>
    <row r="300" spans="5:33" x14ac:dyDescent="0.25">
      <c r="E300" s="1">
        <v>38808</v>
      </c>
      <c r="F300">
        <v>6.3185857794163702</v>
      </c>
      <c r="G300">
        <v>3237758980491</v>
      </c>
      <c r="W300">
        <v>200907</v>
      </c>
      <c r="X300">
        <v>4.8663159196118304</v>
      </c>
      <c r="Y300">
        <v>32871325187.75</v>
      </c>
      <c r="AE300" s="1"/>
      <c r="AF300" s="14"/>
      <c r="AG300" s="16"/>
    </row>
    <row r="301" spans="5:33" x14ac:dyDescent="0.25">
      <c r="E301" s="1">
        <v>38838</v>
      </c>
      <c r="F301">
        <v>6.4588297907741596</v>
      </c>
      <c r="G301">
        <v>2971092864006</v>
      </c>
      <c r="W301">
        <v>200908</v>
      </c>
      <c r="X301">
        <v>5.0161043388025597</v>
      </c>
      <c r="Y301">
        <v>21899784214.130001</v>
      </c>
      <c r="AE301" s="1"/>
      <c r="AF301" s="14"/>
      <c r="AG301" s="16"/>
    </row>
    <row r="302" spans="5:33" x14ac:dyDescent="0.25">
      <c r="E302" s="1">
        <v>38869</v>
      </c>
      <c r="F302">
        <v>6.5712380848291199</v>
      </c>
      <c r="G302">
        <v>3189473098271</v>
      </c>
      <c r="W302">
        <v>200909</v>
      </c>
      <c r="X302">
        <v>5.12245479073077</v>
      </c>
      <c r="Y302">
        <v>16196628185.27</v>
      </c>
      <c r="AE302" s="1"/>
      <c r="AF302" s="14"/>
      <c r="AG302" s="16"/>
    </row>
    <row r="303" spans="5:33" x14ac:dyDescent="0.25">
      <c r="E303" s="1">
        <v>38899</v>
      </c>
      <c r="F303">
        <v>6.7168334256992202</v>
      </c>
      <c r="G303">
        <v>2807865658165</v>
      </c>
      <c r="W303">
        <v>200910</v>
      </c>
      <c r="X303">
        <v>5.1498231753171098</v>
      </c>
      <c r="Y303">
        <v>13584544953.98</v>
      </c>
      <c r="AE303" s="1"/>
      <c r="AF303" s="14"/>
      <c r="AG303" s="16"/>
    </row>
    <row r="304" spans="5:33" x14ac:dyDescent="0.25">
      <c r="E304" s="1">
        <v>38930</v>
      </c>
      <c r="F304">
        <v>6.7860694522311498</v>
      </c>
      <c r="G304">
        <v>3015811008506</v>
      </c>
      <c r="W304">
        <v>200911</v>
      </c>
      <c r="X304">
        <v>5.0968393791168696</v>
      </c>
      <c r="Y304">
        <v>14771147657.92</v>
      </c>
      <c r="AE304" s="1"/>
      <c r="AF304" s="14"/>
      <c r="AG304" s="16"/>
    </row>
    <row r="305" spans="5:33" x14ac:dyDescent="0.25">
      <c r="E305" s="1">
        <v>38961</v>
      </c>
      <c r="F305">
        <v>6.7647898744997503</v>
      </c>
      <c r="G305">
        <v>3034143617572</v>
      </c>
      <c r="W305">
        <v>200912</v>
      </c>
      <c r="X305">
        <v>5.0736712123961203</v>
      </c>
      <c r="Y305">
        <v>15817616610.01</v>
      </c>
      <c r="AE305" s="1"/>
      <c r="AF305" s="14"/>
      <c r="AG305" s="16"/>
    </row>
    <row r="306" spans="5:33" x14ac:dyDescent="0.25">
      <c r="E306" s="1">
        <v>38991</v>
      </c>
      <c r="F306">
        <v>6.64346808126915</v>
      </c>
      <c r="G306">
        <v>3568404060211</v>
      </c>
      <c r="W306">
        <v>201001</v>
      </c>
      <c r="X306">
        <v>5.04001831035648</v>
      </c>
      <c r="Y306">
        <v>17205251424.59</v>
      </c>
      <c r="AE306" s="1"/>
      <c r="AF306" s="14"/>
      <c r="AG306" s="16"/>
    </row>
    <row r="307" spans="5:33" x14ac:dyDescent="0.25">
      <c r="E307" s="1">
        <v>39022</v>
      </c>
      <c r="F307">
        <v>6.5695492930460899</v>
      </c>
      <c r="G307">
        <v>2921742607107</v>
      </c>
      <c r="W307">
        <v>201002</v>
      </c>
      <c r="X307">
        <v>5.0743431463895599</v>
      </c>
      <c r="Y307">
        <v>13858968148.24</v>
      </c>
      <c r="AE307" s="1"/>
      <c r="AF307" s="14"/>
      <c r="AG307" s="16"/>
    </row>
    <row r="308" spans="5:33" x14ac:dyDescent="0.25">
      <c r="E308" s="1">
        <v>39052</v>
      </c>
      <c r="F308">
        <v>6.4795278978801498</v>
      </c>
      <c r="G308">
        <v>3055502165254</v>
      </c>
      <c r="W308">
        <v>201003</v>
      </c>
      <c r="X308">
        <v>5.1521203708475003</v>
      </c>
      <c r="Y308">
        <v>10514134847.459999</v>
      </c>
      <c r="AE308" s="1"/>
      <c r="AF308" s="14"/>
      <c r="AG308" s="16"/>
    </row>
    <row r="309" spans="5:33" x14ac:dyDescent="0.25">
      <c r="E309" s="1">
        <v>39083</v>
      </c>
      <c r="F309">
        <v>6.3554527647282697</v>
      </c>
      <c r="G309">
        <v>3137209348617</v>
      </c>
      <c r="W309">
        <v>201004</v>
      </c>
      <c r="X309">
        <v>5.1501753809235096</v>
      </c>
      <c r="Y309">
        <v>14672627966.030001</v>
      </c>
      <c r="AE309" s="1"/>
      <c r="AF309" s="14"/>
      <c r="AG309" s="16"/>
    </row>
    <row r="310" spans="5:33" x14ac:dyDescent="0.25">
      <c r="E310" s="1">
        <v>39114</v>
      </c>
      <c r="F310">
        <v>6.3073412405361999</v>
      </c>
      <c r="G310">
        <v>3131078981720</v>
      </c>
      <c r="W310">
        <v>201005</v>
      </c>
      <c r="X310">
        <v>5.1738569658479703</v>
      </c>
      <c r="Y310">
        <v>13607764785.690001</v>
      </c>
      <c r="AE310" s="1"/>
      <c r="AF310" s="14"/>
      <c r="AG310" s="16"/>
    </row>
    <row r="311" spans="5:33" x14ac:dyDescent="0.25">
      <c r="E311" s="1">
        <v>39142</v>
      </c>
      <c r="F311">
        <v>6.3419220142383796</v>
      </c>
      <c r="G311">
        <v>3112718940458</v>
      </c>
      <c r="W311">
        <v>201006</v>
      </c>
      <c r="X311">
        <v>5.19543905578767</v>
      </c>
      <c r="Y311">
        <v>12109549962.530001</v>
      </c>
      <c r="AE311" s="1"/>
      <c r="AF311" s="14"/>
      <c r="AG311" s="16"/>
    </row>
    <row r="312" spans="5:33" x14ac:dyDescent="0.25">
      <c r="E312" s="1">
        <v>39173</v>
      </c>
      <c r="F312">
        <v>6.3676971284775501</v>
      </c>
      <c r="G312">
        <v>3191572234535</v>
      </c>
      <c r="W312">
        <v>201007</v>
      </c>
      <c r="X312">
        <v>5.05082566230013</v>
      </c>
      <c r="Y312">
        <v>15510127337.190001</v>
      </c>
      <c r="AE312" s="1"/>
      <c r="AF312" s="14"/>
      <c r="AG312" s="16"/>
    </row>
    <row r="313" spans="5:33" x14ac:dyDescent="0.25">
      <c r="E313" s="1">
        <v>39203</v>
      </c>
      <c r="F313">
        <v>6.3076348182725299</v>
      </c>
      <c r="G313">
        <v>3856719035971</v>
      </c>
      <c r="W313">
        <v>201008</v>
      </c>
      <c r="X313">
        <v>4.8578649521791597</v>
      </c>
      <c r="Y313">
        <v>18558655245.43</v>
      </c>
      <c r="AE313" s="1"/>
      <c r="AF313" s="14"/>
      <c r="AG313" s="16"/>
    </row>
    <row r="314" spans="5:33" x14ac:dyDescent="0.25">
      <c r="E314" s="1">
        <v>39234</v>
      </c>
      <c r="F314">
        <v>6.3557357019159699</v>
      </c>
      <c r="G314">
        <v>3889111715202</v>
      </c>
      <c r="W314">
        <v>201009</v>
      </c>
      <c r="X314">
        <v>4.6987702512455201</v>
      </c>
      <c r="Y314">
        <v>26559352630.049999</v>
      </c>
      <c r="AE314" s="1"/>
      <c r="AF314" s="14"/>
      <c r="AG314" s="16"/>
    </row>
    <row r="315" spans="5:33" x14ac:dyDescent="0.25">
      <c r="E315" s="1">
        <v>39264</v>
      </c>
      <c r="F315">
        <v>6.4829232128582799</v>
      </c>
      <c r="G315">
        <v>4084273817272</v>
      </c>
      <c r="W315">
        <v>201010</v>
      </c>
      <c r="X315">
        <v>4.5814850630816997</v>
      </c>
      <c r="Y315">
        <v>29677751735.799999</v>
      </c>
      <c r="AE315" s="1"/>
      <c r="AF315" s="14"/>
      <c r="AG315" s="16"/>
    </row>
    <row r="316" spans="5:33" x14ac:dyDescent="0.25">
      <c r="E316" s="1">
        <v>39295</v>
      </c>
      <c r="F316">
        <v>6.6636103279297796</v>
      </c>
      <c r="G316">
        <v>3714558081268</v>
      </c>
      <c r="W316">
        <v>201011</v>
      </c>
      <c r="X316">
        <v>4.5154789766060599</v>
      </c>
      <c r="Y316">
        <v>30539949541.68</v>
      </c>
      <c r="AE316" s="1"/>
      <c r="AF316" s="14"/>
      <c r="AG316" s="16"/>
    </row>
    <row r="317" spans="5:33" x14ac:dyDescent="0.25">
      <c r="E317" s="1">
        <v>39326</v>
      </c>
      <c r="F317">
        <v>6.7744809910883204</v>
      </c>
      <c r="G317">
        <v>3876808778490</v>
      </c>
      <c r="W317">
        <v>201012</v>
      </c>
      <c r="X317">
        <v>4.4352051212678401</v>
      </c>
      <c r="Y317">
        <v>31690737285.419998</v>
      </c>
      <c r="AE317" s="1"/>
      <c r="AF317" s="14"/>
      <c r="AG317" s="16"/>
    </row>
    <row r="318" spans="5:33" x14ac:dyDescent="0.25">
      <c r="E318" s="1">
        <v>39356</v>
      </c>
      <c r="F318">
        <v>6.7681198640857296</v>
      </c>
      <c r="G318">
        <v>3557431795143</v>
      </c>
      <c r="W318">
        <v>201101</v>
      </c>
      <c r="X318">
        <v>4.5136099627627804</v>
      </c>
      <c r="Y318">
        <v>28825083507.490002</v>
      </c>
      <c r="AE318" s="1"/>
      <c r="AF318" s="14"/>
      <c r="AG318" s="16"/>
    </row>
    <row r="319" spans="5:33" x14ac:dyDescent="0.25">
      <c r="E319" s="1">
        <v>39387</v>
      </c>
      <c r="F319">
        <v>6.6043001141836797</v>
      </c>
      <c r="G319">
        <v>3990107436049</v>
      </c>
      <c r="W319">
        <v>201102</v>
      </c>
      <c r="X319">
        <v>4.7298271278573703</v>
      </c>
      <c r="Y319">
        <v>19809139033.07</v>
      </c>
      <c r="AE319" s="1"/>
      <c r="AF319" s="14"/>
      <c r="AG319" s="16"/>
    </row>
    <row r="320" spans="5:33" x14ac:dyDescent="0.25">
      <c r="E320" s="1">
        <v>39417</v>
      </c>
      <c r="F320">
        <v>6.5082446299218102</v>
      </c>
      <c r="G320">
        <v>4513626671991</v>
      </c>
      <c r="W320">
        <v>201103</v>
      </c>
      <c r="X320">
        <v>4.90458410448419</v>
      </c>
      <c r="Y320">
        <v>15843773345.52</v>
      </c>
      <c r="AE320" s="1"/>
      <c r="AF320" s="14"/>
      <c r="AG320" s="16"/>
    </row>
    <row r="321" spans="5:33" x14ac:dyDescent="0.25">
      <c r="E321" s="1">
        <v>39448</v>
      </c>
      <c r="F321">
        <v>6.3946131436056097</v>
      </c>
      <c r="G321">
        <v>3702505354521</v>
      </c>
      <c r="W321">
        <v>201104</v>
      </c>
      <c r="X321">
        <v>5.0815135796857804</v>
      </c>
      <c r="Y321">
        <v>15046534382.15</v>
      </c>
      <c r="AE321" s="1"/>
      <c r="AF321" s="14"/>
      <c r="AG321" s="16"/>
    </row>
    <row r="322" spans="5:33" x14ac:dyDescent="0.25">
      <c r="E322" s="1">
        <v>39479</v>
      </c>
      <c r="F322">
        <v>6.1492485814107702</v>
      </c>
      <c r="G322">
        <v>5148036930751</v>
      </c>
      <c r="W322">
        <v>201105</v>
      </c>
      <c r="X322">
        <v>5.1075137008714799</v>
      </c>
      <c r="Y322">
        <v>12660135950.27</v>
      </c>
      <c r="AE322" s="1"/>
      <c r="AF322" s="14"/>
      <c r="AG322" s="16"/>
    </row>
    <row r="323" spans="5:33" x14ac:dyDescent="0.25">
      <c r="E323" s="1">
        <v>39508</v>
      </c>
      <c r="F323">
        <v>5.8900228475064198</v>
      </c>
      <c r="G323">
        <v>3221534741698</v>
      </c>
      <c r="W323">
        <v>201106</v>
      </c>
      <c r="X323">
        <v>5.0619981011777204</v>
      </c>
      <c r="Y323">
        <v>12778869560.35</v>
      </c>
      <c r="AE323" s="1"/>
      <c r="AF323" s="14"/>
      <c r="AG323" s="16"/>
    </row>
    <row r="324" spans="5:33" x14ac:dyDescent="0.25">
      <c r="E324" s="1">
        <v>39539</v>
      </c>
      <c r="F324">
        <v>5.9361640313333499</v>
      </c>
      <c r="G324">
        <v>3522205248690</v>
      </c>
      <c r="W324">
        <v>201107</v>
      </c>
      <c r="X324">
        <v>4.8957792089595502</v>
      </c>
      <c r="Y324">
        <v>14876547793.860001</v>
      </c>
      <c r="AE324" s="1"/>
      <c r="AF324" s="14"/>
      <c r="AG324" s="16"/>
    </row>
    <row r="325" spans="5:33" x14ac:dyDescent="0.25">
      <c r="E325" s="1">
        <v>39569</v>
      </c>
      <c r="F325">
        <v>6.01405192058363</v>
      </c>
      <c r="G325">
        <v>3981976551045</v>
      </c>
      <c r="W325">
        <v>201108</v>
      </c>
      <c r="X325">
        <v>4.81639818768266</v>
      </c>
      <c r="Y325">
        <v>15094754240.57</v>
      </c>
      <c r="AE325" s="1"/>
      <c r="AF325" s="14"/>
      <c r="AG325" s="16"/>
    </row>
    <row r="326" spans="5:33" x14ac:dyDescent="0.25">
      <c r="E326" s="1">
        <v>39600</v>
      </c>
      <c r="F326">
        <v>5.99401149130503</v>
      </c>
      <c r="G326">
        <v>3374365090916</v>
      </c>
      <c r="W326">
        <v>201109</v>
      </c>
      <c r="X326">
        <v>4.7083105136073398</v>
      </c>
      <c r="Y326">
        <v>17718893335.669998</v>
      </c>
      <c r="AE326" s="1"/>
      <c r="AF326" s="14"/>
      <c r="AG326" s="16"/>
    </row>
    <row r="327" spans="5:33" x14ac:dyDescent="0.25">
      <c r="E327" s="1">
        <v>39630</v>
      </c>
      <c r="F327">
        <v>6.1169393500164198</v>
      </c>
      <c r="G327">
        <v>2294867021796</v>
      </c>
      <c r="W327">
        <v>201110</v>
      </c>
      <c r="X327">
        <v>4.4618372877917798</v>
      </c>
      <c r="Y327">
        <v>22538933226.009998</v>
      </c>
      <c r="AE327" s="1"/>
      <c r="AF327" s="14"/>
      <c r="AG327" s="16"/>
    </row>
    <row r="328" spans="5:33" x14ac:dyDescent="0.25">
      <c r="E328" s="1">
        <v>39661</v>
      </c>
      <c r="F328">
        <v>6.3342756758093897</v>
      </c>
      <c r="G328">
        <v>1857662960738</v>
      </c>
      <c r="W328">
        <v>201111</v>
      </c>
      <c r="X328">
        <v>4.2994343828966199</v>
      </c>
      <c r="Y328">
        <v>30618223300.779999</v>
      </c>
      <c r="AE328" s="1"/>
      <c r="AF328" s="14"/>
      <c r="AG328" s="16"/>
    </row>
    <row r="329" spans="5:33" x14ac:dyDescent="0.25">
      <c r="E329" s="1">
        <v>39692</v>
      </c>
      <c r="F329">
        <v>6.4530924466433497</v>
      </c>
      <c r="G329">
        <v>2390238612098</v>
      </c>
      <c r="W329">
        <v>201112</v>
      </c>
      <c r="X329">
        <v>4.2582962095603198</v>
      </c>
      <c r="Y329">
        <v>33054939003.029999</v>
      </c>
      <c r="AE329" s="1"/>
      <c r="AF329" s="14"/>
      <c r="AG329" s="16"/>
    </row>
    <row r="330" spans="5:33" x14ac:dyDescent="0.25">
      <c r="E330" s="1">
        <v>39722</v>
      </c>
      <c r="F330">
        <v>6.3436343243934701</v>
      </c>
      <c r="G330">
        <v>1809485335376</v>
      </c>
      <c r="W330">
        <v>201201</v>
      </c>
      <c r="X330">
        <v>4.2525706689689899</v>
      </c>
      <c r="Y330">
        <v>32846029839.869999</v>
      </c>
      <c r="AE330" s="1"/>
      <c r="AF330" s="14"/>
      <c r="AG330" s="16"/>
    </row>
    <row r="331" spans="5:33" x14ac:dyDescent="0.25">
      <c r="E331" s="1">
        <v>39753</v>
      </c>
      <c r="F331">
        <v>6.1366264480720503</v>
      </c>
      <c r="G331">
        <v>1622186684376</v>
      </c>
      <c r="W331">
        <v>201202</v>
      </c>
      <c r="X331">
        <v>4.1828917764983196</v>
      </c>
      <c r="Y331">
        <v>34141858661.290001</v>
      </c>
      <c r="AE331" s="1"/>
      <c r="AF331" s="14"/>
      <c r="AG331" s="16"/>
    </row>
    <row r="332" spans="5:33" x14ac:dyDescent="0.25">
      <c r="E332" s="1">
        <v>39783</v>
      </c>
      <c r="F332">
        <v>5.97504083742629</v>
      </c>
      <c r="G332">
        <v>2721366322163</v>
      </c>
      <c r="W332">
        <v>201203</v>
      </c>
      <c r="X332">
        <v>4.1146992499843797</v>
      </c>
      <c r="Y332">
        <v>40151307909.25</v>
      </c>
      <c r="AE332" s="1"/>
      <c r="AF332" s="14"/>
      <c r="AG332" s="16"/>
    </row>
    <row r="333" spans="5:33" x14ac:dyDescent="0.25">
      <c r="E333" s="1">
        <v>39814</v>
      </c>
      <c r="F333">
        <v>5.7062395868050197</v>
      </c>
      <c r="G333">
        <v>1501541796854</v>
      </c>
      <c r="W333">
        <v>201204</v>
      </c>
      <c r="X333">
        <v>4.10631383241049</v>
      </c>
      <c r="Y333">
        <v>41082226758.43</v>
      </c>
      <c r="AE333" s="1"/>
      <c r="AF333" s="14"/>
      <c r="AG333" s="16"/>
    </row>
    <row r="334" spans="5:33" x14ac:dyDescent="0.25">
      <c r="E334" s="1">
        <v>39845</v>
      </c>
      <c r="F334">
        <v>5.0640383435435696</v>
      </c>
      <c r="G334">
        <v>2950303287329</v>
      </c>
      <c r="W334">
        <v>201205</v>
      </c>
      <c r="X334">
        <v>4.1678731709134196</v>
      </c>
      <c r="Y334">
        <v>35306121514.330002</v>
      </c>
      <c r="AE334" s="1"/>
      <c r="AF334" s="14"/>
      <c r="AG334" s="16"/>
    </row>
    <row r="335" spans="5:33" x14ac:dyDescent="0.25">
      <c r="E335" s="1">
        <v>39873</v>
      </c>
      <c r="F335">
        <v>4.9906923259199898</v>
      </c>
      <c r="G335">
        <v>5853757186779</v>
      </c>
      <c r="W335">
        <v>201206</v>
      </c>
      <c r="X335">
        <v>4.1384066758160598</v>
      </c>
      <c r="Y335">
        <v>35089223111.129997</v>
      </c>
      <c r="AE335" s="1"/>
      <c r="AF335" s="14"/>
      <c r="AG335" s="16"/>
    </row>
    <row r="336" spans="5:33" x14ac:dyDescent="0.25">
      <c r="E336" s="1">
        <v>39904</v>
      </c>
      <c r="F336">
        <v>4.9396221365250499</v>
      </c>
      <c r="G336">
        <v>3359971394564</v>
      </c>
      <c r="W336">
        <v>201207</v>
      </c>
      <c r="X336">
        <v>3.9991569341628499</v>
      </c>
      <c r="Y336">
        <v>40647808082.110001</v>
      </c>
      <c r="AE336" s="1"/>
      <c r="AF336" s="14"/>
      <c r="AG336" s="16"/>
    </row>
    <row r="337" spans="5:33" x14ac:dyDescent="0.25">
      <c r="E337" s="1">
        <v>39934</v>
      </c>
      <c r="F337">
        <v>5.42981062692051</v>
      </c>
      <c r="G337">
        <v>8028147914649</v>
      </c>
      <c r="W337">
        <v>201208</v>
      </c>
      <c r="X337">
        <v>3.88736284570086</v>
      </c>
      <c r="Y337">
        <v>42300164990.160004</v>
      </c>
      <c r="AE337" s="1"/>
      <c r="AF337" s="14"/>
      <c r="AG337" s="16"/>
    </row>
    <row r="338" spans="5:33" x14ac:dyDescent="0.25">
      <c r="E338" s="1">
        <v>39965</v>
      </c>
      <c r="F338">
        <v>5.0709089851056302</v>
      </c>
      <c r="G338">
        <v>6893297004709</v>
      </c>
      <c r="W338">
        <v>201209</v>
      </c>
      <c r="X338">
        <v>3.7902183840953101</v>
      </c>
      <c r="Y338">
        <v>48404716075.129997</v>
      </c>
      <c r="AE338" s="1"/>
      <c r="AF338" s="14"/>
      <c r="AG338" s="16"/>
    </row>
    <row r="339" spans="5:33" x14ac:dyDescent="0.25">
      <c r="E339" s="1">
        <v>39995</v>
      </c>
      <c r="F339">
        <v>4.8743901246381203</v>
      </c>
      <c r="G339">
        <v>4667159413350</v>
      </c>
      <c r="W339">
        <v>201210</v>
      </c>
      <c r="X339">
        <v>3.7745283463042099</v>
      </c>
      <c r="Y339">
        <v>41348335334.43</v>
      </c>
      <c r="AE339" s="1"/>
      <c r="AF339" s="14"/>
      <c r="AG339" s="16"/>
    </row>
    <row r="340" spans="5:33" x14ac:dyDescent="0.25">
      <c r="E340" s="1">
        <v>40026</v>
      </c>
      <c r="F340">
        <v>5.0117457844567896</v>
      </c>
      <c r="G340">
        <v>3379033867087</v>
      </c>
      <c r="W340">
        <v>201211</v>
      </c>
      <c r="X340">
        <v>3.68229626642293</v>
      </c>
      <c r="Y340">
        <v>48394767406.839996</v>
      </c>
      <c r="AE340" s="1"/>
      <c r="AF340" s="14"/>
      <c r="AG340" s="16"/>
    </row>
    <row r="341" spans="5:33" x14ac:dyDescent="0.25">
      <c r="E341" s="1">
        <v>40057</v>
      </c>
      <c r="F341">
        <v>5.2754165130291399</v>
      </c>
      <c r="G341">
        <v>3206873292784</v>
      </c>
      <c r="W341">
        <v>201212</v>
      </c>
      <c r="X341">
        <v>3.61019046753758</v>
      </c>
      <c r="Y341">
        <v>47987909442.900002</v>
      </c>
      <c r="AE341" s="1"/>
      <c r="AF341" s="14"/>
      <c r="AG341" s="16"/>
    </row>
    <row r="342" spans="5:33" x14ac:dyDescent="0.25">
      <c r="E342" s="1">
        <v>40087</v>
      </c>
      <c r="F342">
        <v>5.1437375107246996</v>
      </c>
      <c r="G342">
        <v>1779957894547</v>
      </c>
      <c r="W342">
        <v>201301</v>
      </c>
      <c r="X342">
        <v>3.5923693468637201</v>
      </c>
      <c r="Y342">
        <v>48104097725.419998</v>
      </c>
      <c r="AE342" s="1"/>
      <c r="AF342" s="14"/>
      <c r="AG342" s="16"/>
    </row>
    <row r="343" spans="5:33" x14ac:dyDescent="0.25">
      <c r="E343" s="1">
        <v>40118</v>
      </c>
      <c r="F343">
        <v>5.1227940946666299</v>
      </c>
      <c r="G343">
        <v>1842241300351</v>
      </c>
      <c r="W343">
        <v>201302</v>
      </c>
      <c r="X343">
        <v>3.6167536402815599</v>
      </c>
      <c r="Y343">
        <v>43434971656.889999</v>
      </c>
      <c r="AE343" s="1"/>
      <c r="AF343" s="14"/>
      <c r="AG343" s="16"/>
    </row>
    <row r="344" spans="5:33" x14ac:dyDescent="0.25">
      <c r="E344" s="1">
        <v>40148</v>
      </c>
      <c r="F344">
        <v>5.0644022910284301</v>
      </c>
      <c r="G344">
        <v>2302033438060</v>
      </c>
      <c r="W344">
        <v>201303</v>
      </c>
      <c r="X344">
        <v>3.71014500371454</v>
      </c>
      <c r="Y344">
        <v>35889027879.940002</v>
      </c>
      <c r="AE344" s="1"/>
      <c r="AF344" s="14"/>
      <c r="AG344" s="16"/>
    </row>
    <row r="345" spans="5:33" x14ac:dyDescent="0.25">
      <c r="E345" s="1">
        <v>40179</v>
      </c>
      <c r="F345">
        <v>5.050735856298</v>
      </c>
      <c r="G345">
        <v>1813910463627</v>
      </c>
      <c r="W345">
        <v>201304</v>
      </c>
      <c r="X345">
        <v>3.7819828768516999</v>
      </c>
      <c r="Y345">
        <v>43367063981.32</v>
      </c>
      <c r="AE345" s="1"/>
      <c r="AF345" s="14"/>
      <c r="AG345" s="16"/>
    </row>
    <row r="346" spans="5:33" x14ac:dyDescent="0.25">
      <c r="E346" s="1">
        <v>40210</v>
      </c>
      <c r="F346">
        <v>5.0377067030616098</v>
      </c>
      <c r="G346">
        <v>1818358906854</v>
      </c>
      <c r="W346">
        <v>201305</v>
      </c>
      <c r="X346">
        <v>3.8082688444859998</v>
      </c>
      <c r="Y346">
        <v>43478331963.650002</v>
      </c>
      <c r="AE346" s="1"/>
      <c r="AF346" s="14"/>
      <c r="AG346" s="16"/>
    </row>
    <row r="347" spans="5:33" x14ac:dyDescent="0.25">
      <c r="E347" s="1">
        <v>40238</v>
      </c>
      <c r="F347">
        <v>5.1055540771484802</v>
      </c>
      <c r="G347">
        <v>1500343861096</v>
      </c>
      <c r="W347">
        <v>201306</v>
      </c>
      <c r="X347">
        <v>3.75360872907893</v>
      </c>
      <c r="Y347">
        <v>44687917486.68</v>
      </c>
      <c r="AE347" s="1"/>
      <c r="AF347" s="14"/>
      <c r="AG347" s="16"/>
    </row>
    <row r="348" spans="5:33" x14ac:dyDescent="0.25">
      <c r="E348" s="1">
        <v>40269</v>
      </c>
      <c r="F348">
        <v>5.1108375047646097</v>
      </c>
      <c r="G348">
        <v>1541450617485</v>
      </c>
      <c r="W348">
        <v>201307</v>
      </c>
      <c r="X348">
        <v>3.8894801444693998</v>
      </c>
      <c r="Y348">
        <v>43587528670.580002</v>
      </c>
      <c r="AE348" s="1"/>
      <c r="AF348" s="14"/>
      <c r="AG348" s="16"/>
    </row>
    <row r="349" spans="5:33" x14ac:dyDescent="0.25">
      <c r="E349" s="1">
        <v>40299</v>
      </c>
      <c r="F349">
        <v>5.1452044317440198</v>
      </c>
      <c r="G349">
        <v>1433040402204</v>
      </c>
      <c r="W349">
        <v>201308</v>
      </c>
      <c r="X349">
        <v>4.2626067157607901</v>
      </c>
      <c r="Y349">
        <v>39327573594.910004</v>
      </c>
      <c r="AE349" s="1"/>
      <c r="AF349" s="14"/>
      <c r="AG349" s="16"/>
    </row>
    <row r="350" spans="5:33" x14ac:dyDescent="0.25">
      <c r="E350" s="1">
        <v>40330</v>
      </c>
      <c r="F350">
        <v>5.1800008223351597</v>
      </c>
      <c r="G350">
        <v>1673332896166</v>
      </c>
      <c r="W350">
        <v>201309</v>
      </c>
      <c r="X350">
        <v>4.57075870016289</v>
      </c>
      <c r="Y350">
        <v>34058640860.900002</v>
      </c>
      <c r="AE350" s="1"/>
      <c r="AF350" s="14"/>
      <c r="AG350" s="16"/>
    </row>
    <row r="351" spans="5:33" x14ac:dyDescent="0.25">
      <c r="E351" s="1">
        <v>40360</v>
      </c>
      <c r="F351">
        <v>5.05893153166061</v>
      </c>
      <c r="G351">
        <v>1535558684574</v>
      </c>
      <c r="W351">
        <v>201310</v>
      </c>
      <c r="X351">
        <v>4.7178417271327602</v>
      </c>
      <c r="Y351">
        <v>27423356908.959999</v>
      </c>
      <c r="AE351" s="1"/>
      <c r="AF351" s="14"/>
      <c r="AG351" s="16"/>
    </row>
    <row r="352" spans="5:33" x14ac:dyDescent="0.25">
      <c r="E352" s="1">
        <v>40391</v>
      </c>
      <c r="F352">
        <v>4.8752305579968596</v>
      </c>
      <c r="G352">
        <v>1677567619594</v>
      </c>
      <c r="W352">
        <v>201311</v>
      </c>
      <c r="X352">
        <v>4.6756293499491504</v>
      </c>
      <c r="Y352">
        <v>25369212465.73</v>
      </c>
      <c r="AE352" s="1"/>
      <c r="AF352" s="14"/>
      <c r="AG352" s="16"/>
    </row>
    <row r="353" spans="5:33" x14ac:dyDescent="0.25">
      <c r="E353" s="1">
        <v>40422</v>
      </c>
      <c r="F353">
        <v>4.7222358319862998</v>
      </c>
      <c r="G353">
        <v>2546468934090</v>
      </c>
      <c r="W353">
        <v>201312</v>
      </c>
      <c r="X353">
        <v>4.5542678222540598</v>
      </c>
      <c r="Y353">
        <v>21271662944.650002</v>
      </c>
      <c r="AE353" s="1"/>
      <c r="AF353" s="14"/>
      <c r="AG353" s="16"/>
    </row>
    <row r="354" spans="5:33" x14ac:dyDescent="0.25">
      <c r="E354" s="1">
        <v>40452</v>
      </c>
      <c r="F354">
        <v>4.6074743369174298</v>
      </c>
      <c r="G354">
        <v>2414905000538</v>
      </c>
      <c r="W354">
        <v>201401</v>
      </c>
      <c r="X354">
        <v>4.5921394187611604</v>
      </c>
      <c r="Y354">
        <v>20761181319.540001</v>
      </c>
      <c r="AE354" s="1"/>
      <c r="AF354" s="14"/>
      <c r="AG354" s="16"/>
    </row>
    <row r="355" spans="5:33" x14ac:dyDescent="0.25">
      <c r="E355" s="1">
        <v>40483</v>
      </c>
      <c r="F355">
        <v>4.5383501216630604</v>
      </c>
      <c r="G355">
        <v>2342389317884</v>
      </c>
      <c r="W355">
        <v>201402</v>
      </c>
      <c r="X355">
        <v>4.7372339110180697</v>
      </c>
      <c r="Y355">
        <v>15427188218.43</v>
      </c>
      <c r="AE355" s="1"/>
      <c r="AF355" s="14"/>
      <c r="AG355" s="16"/>
    </row>
    <row r="356" spans="5:33" x14ac:dyDescent="0.25">
      <c r="E356" s="1">
        <v>40513</v>
      </c>
      <c r="F356">
        <v>4.4591751002379896</v>
      </c>
      <c r="G356">
        <v>2627747532710</v>
      </c>
      <c r="W356">
        <v>201403</v>
      </c>
      <c r="X356">
        <v>4.70080392692042</v>
      </c>
      <c r="Y356">
        <v>14940914313.389999</v>
      </c>
      <c r="AE356" s="1"/>
      <c r="AF356" s="14"/>
      <c r="AG356" s="16"/>
    </row>
    <row r="357" spans="5:33" x14ac:dyDescent="0.25">
      <c r="E357" s="1">
        <v>40544</v>
      </c>
      <c r="F357">
        <v>4.4811424452986204</v>
      </c>
      <c r="G357">
        <v>2006256093028</v>
      </c>
      <c r="W357">
        <v>201404</v>
      </c>
      <c r="X357">
        <v>4.64095756219489</v>
      </c>
      <c r="Y357">
        <v>18347450636.639999</v>
      </c>
      <c r="AE357" s="1"/>
      <c r="AF357" s="14"/>
      <c r="AG357" s="16"/>
    </row>
    <row r="358" spans="5:33" x14ac:dyDescent="0.25">
      <c r="E358" s="1">
        <v>40575</v>
      </c>
      <c r="F358">
        <v>4.6316240644640896</v>
      </c>
      <c r="G358">
        <v>1618283929140</v>
      </c>
      <c r="W358">
        <v>201405</v>
      </c>
      <c r="X358">
        <v>4.6577087092363003</v>
      </c>
      <c r="Y358">
        <v>19635854700.799999</v>
      </c>
      <c r="AE358" s="1"/>
      <c r="AF358" s="14"/>
      <c r="AG358" s="16"/>
    </row>
    <row r="359" spans="5:33" x14ac:dyDescent="0.25">
      <c r="E359" s="1">
        <v>40603</v>
      </c>
      <c r="F359">
        <v>4.88809460608927</v>
      </c>
      <c r="G359">
        <v>1782147900972</v>
      </c>
      <c r="W359">
        <v>201406</v>
      </c>
      <c r="X359">
        <v>4.6025373974335198</v>
      </c>
      <c r="Y359">
        <v>22529025543.869999</v>
      </c>
      <c r="AE359" s="1"/>
      <c r="AF359" s="14"/>
      <c r="AG359" s="16"/>
    </row>
    <row r="360" spans="5:33" x14ac:dyDescent="0.25">
      <c r="E360" s="1">
        <v>40634</v>
      </c>
      <c r="F360">
        <v>5.0196274076255598</v>
      </c>
      <c r="G360">
        <v>1002941442633</v>
      </c>
      <c r="W360">
        <v>201407</v>
      </c>
      <c r="X360">
        <v>4.4845979058493803</v>
      </c>
      <c r="Y360">
        <v>25474209286.119999</v>
      </c>
      <c r="AE360" s="1"/>
      <c r="AF360" s="14"/>
      <c r="AG360" s="16"/>
    </row>
    <row r="361" spans="5:33" x14ac:dyDescent="0.25">
      <c r="E361" s="1">
        <v>40664</v>
      </c>
      <c r="F361">
        <v>5.0696587978699199</v>
      </c>
      <c r="G361">
        <v>937394066360</v>
      </c>
      <c r="W361">
        <v>201408</v>
      </c>
      <c r="X361">
        <v>4.4558743309159503</v>
      </c>
      <c r="Y361">
        <v>25556102053.299999</v>
      </c>
      <c r="AE361" s="1"/>
      <c r="AF361" s="14"/>
      <c r="AG361" s="16"/>
    </row>
    <row r="362" spans="5:33" x14ac:dyDescent="0.25">
      <c r="E362" s="1">
        <v>40695</v>
      </c>
      <c r="F362">
        <v>5.0513520909684004</v>
      </c>
      <c r="G362">
        <v>1057270588077</v>
      </c>
      <c r="W362">
        <v>201409</v>
      </c>
      <c r="X362">
        <v>4.4558848497509702</v>
      </c>
      <c r="Y362">
        <v>24995019323.52</v>
      </c>
      <c r="AE362" s="1"/>
      <c r="AF362" s="14"/>
      <c r="AG362" s="16"/>
    </row>
    <row r="363" spans="5:33" x14ac:dyDescent="0.25">
      <c r="E363" s="1">
        <v>40725</v>
      </c>
      <c r="F363">
        <v>4.9059141374806101</v>
      </c>
      <c r="G363">
        <v>801193279407</v>
      </c>
      <c r="W363">
        <v>201410</v>
      </c>
      <c r="X363">
        <v>4.4504641038255199</v>
      </c>
      <c r="Y363">
        <v>24275306791.950001</v>
      </c>
      <c r="AE363" s="1"/>
      <c r="AF363" s="14"/>
      <c r="AG363" s="16"/>
    </row>
    <row r="364" spans="5:33" x14ac:dyDescent="0.25">
      <c r="E364" s="1">
        <v>40756</v>
      </c>
      <c r="F364">
        <v>4.8611814894636298</v>
      </c>
      <c r="G364">
        <v>1041264172252</v>
      </c>
      <c r="W364">
        <v>201411</v>
      </c>
      <c r="X364">
        <v>4.4345943941745301</v>
      </c>
      <c r="Y364">
        <v>25395989768.540001</v>
      </c>
      <c r="AE364" s="1"/>
      <c r="AF364" s="14"/>
      <c r="AG364" s="16"/>
    </row>
    <row r="365" spans="5:33" x14ac:dyDescent="0.25">
      <c r="E365" s="1">
        <v>40787</v>
      </c>
      <c r="F365">
        <v>4.7117533524514803</v>
      </c>
      <c r="G365">
        <v>1196177175773</v>
      </c>
      <c r="W365">
        <v>201412</v>
      </c>
      <c r="X365">
        <v>4.3171435248136598</v>
      </c>
      <c r="Y365">
        <v>24174111969.849998</v>
      </c>
      <c r="AE365" s="1"/>
      <c r="AF365" s="14"/>
      <c r="AG365" s="16"/>
    </row>
    <row r="366" spans="5:33" x14ac:dyDescent="0.25">
      <c r="E366" s="1">
        <v>40817</v>
      </c>
      <c r="F366">
        <v>4.4792574645229504</v>
      </c>
      <c r="G366">
        <v>1149527195035</v>
      </c>
      <c r="W366">
        <v>201501</v>
      </c>
      <c r="X366">
        <v>4.2836960751425197</v>
      </c>
      <c r="Y366">
        <v>27613442561.23</v>
      </c>
      <c r="AE366" s="1"/>
      <c r="AF366" s="14"/>
      <c r="AG366" s="16"/>
    </row>
    <row r="367" spans="5:33" x14ac:dyDescent="0.25">
      <c r="E367" s="1">
        <v>40848</v>
      </c>
      <c r="F367">
        <v>4.3486808527347698</v>
      </c>
      <c r="G367">
        <v>1489713304885</v>
      </c>
      <c r="W367">
        <v>201502</v>
      </c>
      <c r="X367">
        <v>4.1641250417404603</v>
      </c>
      <c r="Y367">
        <v>22390275061.310001</v>
      </c>
      <c r="AE367" s="1"/>
      <c r="AF367" s="14"/>
      <c r="AG367" s="16"/>
    </row>
    <row r="368" spans="5:33" x14ac:dyDescent="0.25">
      <c r="E368" s="1">
        <v>40878</v>
      </c>
      <c r="F368">
        <v>4.2956191820380196</v>
      </c>
      <c r="G368">
        <v>2115840513550</v>
      </c>
      <c r="W368">
        <v>201503</v>
      </c>
      <c r="X368">
        <v>3.9992446470969698</v>
      </c>
      <c r="Y368">
        <v>28797673128.580002</v>
      </c>
      <c r="AE368" s="1"/>
      <c r="AF368" s="14"/>
      <c r="AG368" s="16"/>
    </row>
    <row r="369" spans="5:33" x14ac:dyDescent="0.25">
      <c r="E369" s="1">
        <v>40909</v>
      </c>
      <c r="F369">
        <v>4.2662558375731203</v>
      </c>
      <c r="G369">
        <v>1470362937527</v>
      </c>
      <c r="W369">
        <v>201504</v>
      </c>
      <c r="X369">
        <v>4.0146105044867602</v>
      </c>
      <c r="Y369">
        <v>34370788247.889999</v>
      </c>
      <c r="AE369" s="1"/>
      <c r="AF369" s="14"/>
      <c r="AG369" s="16"/>
    </row>
    <row r="370" spans="5:33" x14ac:dyDescent="0.25">
      <c r="E370" s="1">
        <v>40940</v>
      </c>
      <c r="F370">
        <v>4.1988423421672696</v>
      </c>
      <c r="G370">
        <v>1488515956488</v>
      </c>
      <c r="W370">
        <v>201505</v>
      </c>
      <c r="X370">
        <v>4.05595878530311</v>
      </c>
      <c r="Y370">
        <v>30123602755.900002</v>
      </c>
      <c r="AE370" s="1"/>
      <c r="AF370" s="14"/>
      <c r="AG370" s="16"/>
    </row>
    <row r="371" spans="5:33" x14ac:dyDescent="0.25">
      <c r="E371" s="1">
        <v>40969</v>
      </c>
      <c r="F371">
        <v>4.1335475127368202</v>
      </c>
      <c r="G371">
        <v>2469703765013</v>
      </c>
      <c r="W371">
        <v>201506</v>
      </c>
      <c r="X371">
        <v>4.0227322143868198</v>
      </c>
      <c r="Y371">
        <v>31403499837.630001</v>
      </c>
      <c r="AE371" s="1"/>
      <c r="AF371" s="14"/>
      <c r="AG371" s="16"/>
    </row>
    <row r="372" spans="5:33" x14ac:dyDescent="0.25">
      <c r="E372" s="1">
        <v>41000</v>
      </c>
      <c r="F372">
        <v>4.1068821031480702</v>
      </c>
      <c r="G372">
        <v>1201132194126</v>
      </c>
      <c r="W372">
        <v>201507</v>
      </c>
      <c r="X372">
        <v>4.1340202681098202</v>
      </c>
      <c r="Y372">
        <v>34512325930.519997</v>
      </c>
      <c r="AE372" s="1"/>
      <c r="AF372" s="14"/>
      <c r="AG372" s="16"/>
    </row>
    <row r="373" spans="5:33" x14ac:dyDescent="0.25">
      <c r="E373" s="1">
        <v>41030</v>
      </c>
      <c r="F373">
        <v>4.1950483108655101</v>
      </c>
      <c r="G373">
        <v>1800128260667</v>
      </c>
      <c r="W373">
        <v>201508</v>
      </c>
      <c r="X373">
        <v>4.2903841944028196</v>
      </c>
      <c r="Y373">
        <v>30705590033.169998</v>
      </c>
      <c r="AE373" s="1"/>
      <c r="AF373" s="14"/>
      <c r="AG373" s="16"/>
    </row>
    <row r="374" spans="5:33" x14ac:dyDescent="0.25">
      <c r="E374" s="1">
        <v>41061</v>
      </c>
      <c r="F374">
        <v>4.1647582079834304</v>
      </c>
      <c r="G374">
        <v>1375349122087</v>
      </c>
      <c r="W374">
        <v>201509</v>
      </c>
      <c r="X374">
        <v>4.3139596643506097</v>
      </c>
      <c r="Y374">
        <v>28386052599.380001</v>
      </c>
      <c r="AE374" s="1"/>
      <c r="AF374" s="14"/>
      <c r="AG374" s="16"/>
    </row>
    <row r="375" spans="5:33" x14ac:dyDescent="0.25">
      <c r="E375" s="1">
        <v>41091</v>
      </c>
      <c r="F375">
        <v>4.0279854150544798</v>
      </c>
      <c r="G375">
        <v>1609307976891</v>
      </c>
      <c r="W375">
        <v>201510</v>
      </c>
      <c r="X375">
        <v>4.2512461240927699</v>
      </c>
      <c r="Y375">
        <v>27183980978.860001</v>
      </c>
      <c r="AE375" s="1"/>
      <c r="AF375" s="14"/>
      <c r="AG375" s="16"/>
    </row>
    <row r="376" spans="5:33" x14ac:dyDescent="0.25">
      <c r="E376" s="1">
        <v>41122</v>
      </c>
      <c r="F376">
        <v>3.9086468707572299</v>
      </c>
      <c r="G376">
        <v>1764665531700</v>
      </c>
      <c r="W376">
        <v>201511</v>
      </c>
      <c r="X376">
        <v>4.1989040170720697</v>
      </c>
      <c r="Y376">
        <v>24452458346.490002</v>
      </c>
      <c r="AE376" s="1"/>
      <c r="AF376" s="14"/>
      <c r="AG376" s="16"/>
    </row>
    <row r="377" spans="5:33" x14ac:dyDescent="0.25">
      <c r="E377" s="1">
        <v>41153</v>
      </c>
      <c r="F377">
        <v>3.8525924938607199</v>
      </c>
      <c r="G377">
        <v>1875760198228</v>
      </c>
      <c r="W377">
        <v>201512</v>
      </c>
      <c r="X377">
        <v>4.1329205345259297</v>
      </c>
      <c r="Y377">
        <v>10417595063.459999</v>
      </c>
      <c r="AE377" s="1"/>
      <c r="AF377" s="14"/>
      <c r="AG377" s="16"/>
    </row>
    <row r="378" spans="5:33" x14ac:dyDescent="0.25">
      <c r="E378" s="1">
        <v>41183</v>
      </c>
      <c r="F378">
        <v>3.7877571784770701</v>
      </c>
      <c r="G378">
        <v>1244771611836</v>
      </c>
      <c r="W378">
        <v>201601</v>
      </c>
      <c r="X378">
        <v>4.1782554697920302</v>
      </c>
      <c r="Y378">
        <v>553343823.64999998</v>
      </c>
      <c r="AE378" s="1"/>
      <c r="AF378" s="14"/>
      <c r="AG378" s="16"/>
    </row>
    <row r="379" spans="5:33" x14ac:dyDescent="0.25">
      <c r="E379" s="1">
        <v>41214</v>
      </c>
      <c r="F379">
        <v>3.6987217336749101</v>
      </c>
      <c r="G379">
        <v>2348734551432</v>
      </c>
      <c r="W379">
        <v>209903</v>
      </c>
      <c r="X379">
        <v>-999</v>
      </c>
      <c r="Y379">
        <v>-14985</v>
      </c>
      <c r="AE379" s="1"/>
      <c r="AF379" s="14"/>
      <c r="AG379" s="16"/>
    </row>
    <row r="380" spans="5:33" x14ac:dyDescent="0.25">
      <c r="E380" s="1">
        <v>41244</v>
      </c>
      <c r="F380">
        <v>3.6250487711041499</v>
      </c>
      <c r="G380">
        <v>1335066165439</v>
      </c>
    </row>
    <row r="381" spans="5:33" x14ac:dyDescent="0.25">
      <c r="E381" s="1">
        <v>41275</v>
      </c>
      <c r="F381">
        <v>3.6027244047903801</v>
      </c>
      <c r="G381">
        <v>1708865570225</v>
      </c>
    </row>
    <row r="382" spans="5:33" x14ac:dyDescent="0.25">
      <c r="E382" s="1">
        <v>41306</v>
      </c>
      <c r="F382">
        <v>3.6001485420462198</v>
      </c>
      <c r="G382">
        <v>1610827278774</v>
      </c>
    </row>
    <row r="383" spans="5:33" x14ac:dyDescent="0.25">
      <c r="E383" s="1">
        <v>41334</v>
      </c>
      <c r="F383">
        <v>3.6900046384013798</v>
      </c>
      <c r="G383">
        <v>1238384701197</v>
      </c>
    </row>
    <row r="384" spans="5:33" x14ac:dyDescent="0.25">
      <c r="E384" s="1">
        <v>41365</v>
      </c>
      <c r="F384">
        <v>3.78392164962702</v>
      </c>
      <c r="G384">
        <v>1356697783142</v>
      </c>
    </row>
    <row r="385" spans="5:7" x14ac:dyDescent="0.25">
      <c r="E385" s="1">
        <v>41395</v>
      </c>
      <c r="F385">
        <v>3.8002777092854898</v>
      </c>
      <c r="G385">
        <v>1409366901392</v>
      </c>
    </row>
    <row r="386" spans="5:7" x14ac:dyDescent="0.25">
      <c r="E386" s="1">
        <v>41426</v>
      </c>
      <c r="F386">
        <v>3.7830909447369798</v>
      </c>
      <c r="G386">
        <v>1228164572670</v>
      </c>
    </row>
    <row r="387" spans="5:7" x14ac:dyDescent="0.25">
      <c r="E387" s="1">
        <v>41456</v>
      </c>
      <c r="F387">
        <v>3.8522809178064001</v>
      </c>
      <c r="G387">
        <v>1317241098500</v>
      </c>
    </row>
    <row r="388" spans="5:7" x14ac:dyDescent="0.25">
      <c r="E388" s="1">
        <v>41487</v>
      </c>
      <c r="F388">
        <v>4.1579401434403396</v>
      </c>
      <c r="G388">
        <v>1136305525224</v>
      </c>
    </row>
    <row r="389" spans="5:7" x14ac:dyDescent="0.25">
      <c r="E389" s="1">
        <v>41518</v>
      </c>
      <c r="F389">
        <v>4.4621782771519998</v>
      </c>
      <c r="G389">
        <v>916902623412</v>
      </c>
    </row>
    <row r="390" spans="5:7" x14ac:dyDescent="0.25">
      <c r="E390" s="1">
        <v>41548</v>
      </c>
      <c r="F390">
        <v>4.6608916850134898</v>
      </c>
      <c r="G390">
        <v>809111129193</v>
      </c>
    </row>
    <row r="391" spans="5:7" x14ac:dyDescent="0.25">
      <c r="E391" s="1">
        <v>41579</v>
      </c>
      <c r="F391">
        <v>4.6564026185456502</v>
      </c>
      <c r="G391">
        <v>645563534930</v>
      </c>
    </row>
    <row r="392" spans="5:7" x14ac:dyDescent="0.25">
      <c r="E392" s="1">
        <v>41609</v>
      </c>
      <c r="F392">
        <v>4.5811645646110204</v>
      </c>
      <c r="G392">
        <v>552584438936</v>
      </c>
    </row>
    <row r="393" spans="5:7" x14ac:dyDescent="0.25">
      <c r="E393" s="1">
        <v>41640</v>
      </c>
      <c r="F393">
        <v>4.6077438047237802</v>
      </c>
      <c r="G393">
        <v>407241232421</v>
      </c>
    </row>
    <row r="394" spans="5:7" x14ac:dyDescent="0.25">
      <c r="E394" s="1">
        <v>41671</v>
      </c>
      <c r="F394">
        <v>4.6775584423655499</v>
      </c>
      <c r="G394">
        <v>392473522256</v>
      </c>
    </row>
    <row r="395" spans="5:7" x14ac:dyDescent="0.25">
      <c r="E395" s="1">
        <v>41699</v>
      </c>
      <c r="F395">
        <v>4.6946958624217601</v>
      </c>
      <c r="G395">
        <v>322356172803</v>
      </c>
    </row>
    <row r="396" spans="5:7" x14ac:dyDescent="0.25">
      <c r="E396" s="1">
        <v>41730</v>
      </c>
      <c r="F396">
        <v>4.6366804995907298</v>
      </c>
      <c r="G396">
        <v>362745448978</v>
      </c>
    </row>
    <row r="397" spans="5:7" x14ac:dyDescent="0.25">
      <c r="E397" s="1">
        <v>41760</v>
      </c>
      <c r="F397">
        <v>4.6428241107123496</v>
      </c>
      <c r="G397">
        <v>345463488199</v>
      </c>
    </row>
    <row r="398" spans="5:7" x14ac:dyDescent="0.25">
      <c r="E398" s="1">
        <v>41791</v>
      </c>
      <c r="F398">
        <v>4.5988964730096296</v>
      </c>
      <c r="G398">
        <v>385561860792</v>
      </c>
    </row>
    <row r="399" spans="5:7" x14ac:dyDescent="0.25">
      <c r="E399" s="1">
        <v>41821</v>
      </c>
      <c r="F399">
        <v>4.5200335295564997</v>
      </c>
      <c r="G399">
        <v>421071704481</v>
      </c>
    </row>
    <row r="400" spans="5:7" x14ac:dyDescent="0.25">
      <c r="E400" s="1">
        <v>41852</v>
      </c>
      <c r="F400">
        <v>4.4681995477488003</v>
      </c>
      <c r="G400">
        <v>376335044137</v>
      </c>
    </row>
    <row r="401" spans="5:7" x14ac:dyDescent="0.25">
      <c r="E401" s="1">
        <v>41883</v>
      </c>
      <c r="F401">
        <v>4.4355356568817097</v>
      </c>
      <c r="G401">
        <v>410279054336</v>
      </c>
    </row>
    <row r="402" spans="5:7" x14ac:dyDescent="0.25">
      <c r="E402" s="1">
        <v>41913</v>
      </c>
      <c r="F402">
        <v>4.4756207173094804</v>
      </c>
      <c r="G402">
        <v>389985074882</v>
      </c>
    </row>
    <row r="403" spans="5:7" x14ac:dyDescent="0.25">
      <c r="E403" s="1">
        <v>41944</v>
      </c>
      <c r="F403">
        <v>4.4883370685343502</v>
      </c>
      <c r="G403">
        <v>278793550064</v>
      </c>
    </row>
    <row r="404" spans="5:7" x14ac:dyDescent="0.25">
      <c r="E404" s="1">
        <v>41974</v>
      </c>
      <c r="F404">
        <v>4.3629145938798297</v>
      </c>
      <c r="G404">
        <v>365329923904</v>
      </c>
    </row>
    <row r="405" spans="5:7" x14ac:dyDescent="0.25">
      <c r="E405" s="1">
        <v>42005</v>
      </c>
      <c r="F405">
        <v>4.3011500305881896</v>
      </c>
      <c r="G405">
        <v>281003005822</v>
      </c>
    </row>
    <row r="406" spans="5:7" x14ac:dyDescent="0.25">
      <c r="E406" s="1">
        <v>42036</v>
      </c>
      <c r="F406">
        <v>4.2096690729955704</v>
      </c>
      <c r="G406">
        <v>244669329543</v>
      </c>
    </row>
    <row r="407" spans="5:7" x14ac:dyDescent="0.25">
      <c r="E407" s="1">
        <v>42064</v>
      </c>
      <c r="F407">
        <v>4.0329850466226498</v>
      </c>
      <c r="G407">
        <v>278446338711</v>
      </c>
    </row>
    <row r="408" spans="5:7" x14ac:dyDescent="0.25">
      <c r="E408" s="1">
        <v>42095</v>
      </c>
      <c r="F408">
        <v>4.0070633221616401</v>
      </c>
      <c r="G408">
        <v>263205961480</v>
      </c>
    </row>
    <row r="409" spans="5:7" x14ac:dyDescent="0.25">
      <c r="E409" s="1">
        <v>42125</v>
      </c>
      <c r="F409">
        <v>4.0535036903429402</v>
      </c>
      <c r="G409">
        <v>213144296708</v>
      </c>
    </row>
    <row r="410" spans="5:7" x14ac:dyDescent="0.25">
      <c r="E410" s="1">
        <v>42156</v>
      </c>
      <c r="F410">
        <v>4.0389687442882796</v>
      </c>
      <c r="G410">
        <v>182843691528</v>
      </c>
    </row>
    <row r="411" spans="5:7" x14ac:dyDescent="0.25">
      <c r="E411" s="1">
        <v>42186</v>
      </c>
      <c r="F411">
        <v>4.1103325603782999</v>
      </c>
      <c r="G411">
        <v>167150174301</v>
      </c>
    </row>
    <row r="412" spans="5:7" x14ac:dyDescent="0.25">
      <c r="E412" s="1">
        <v>42217</v>
      </c>
      <c r="F412">
        <v>4.2555873644735902</v>
      </c>
      <c r="G412">
        <v>112160715334</v>
      </c>
    </row>
    <row r="413" spans="5:7" x14ac:dyDescent="0.25">
      <c r="E413" s="1">
        <v>42248</v>
      </c>
      <c r="F413">
        <v>4.2691977508419399</v>
      </c>
      <c r="G413">
        <v>100425359554</v>
      </c>
    </row>
    <row r="414" spans="5:7" x14ac:dyDescent="0.25">
      <c r="E414" s="1">
        <v>42278</v>
      </c>
      <c r="F414">
        <v>4.2544941345304697</v>
      </c>
      <c r="G414">
        <v>61126860733</v>
      </c>
    </row>
    <row r="415" spans="5:7" x14ac:dyDescent="0.25">
      <c r="E415" s="1">
        <v>42309</v>
      </c>
      <c r="F415">
        <v>4.2217044865697799</v>
      </c>
      <c r="G415">
        <v>19361228381</v>
      </c>
    </row>
    <row r="416" spans="5:7" x14ac:dyDescent="0.25">
      <c r="E416" s="1">
        <v>42339</v>
      </c>
      <c r="F416">
        <v>4.1798344701624197</v>
      </c>
      <c r="G416">
        <v>9435742721</v>
      </c>
    </row>
  </sheetData>
  <mergeCells count="2">
    <mergeCell ref="A1:O1"/>
    <mergeCell ref="S1:A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Q359"/>
  <sheetViews>
    <sheetView topLeftCell="AC13" workbookViewId="0">
      <selection activeCell="AF137" sqref="AF137"/>
    </sheetView>
  </sheetViews>
  <sheetFormatPr defaultRowHeight="15" x14ac:dyDescent="0.25"/>
  <cols>
    <col min="1" max="1" width="9.7109375" hidden="1" customWidth="1"/>
    <col min="2" max="4" width="0" hidden="1" customWidth="1"/>
    <col min="5" max="5" width="9.7109375" hidden="1" customWidth="1"/>
    <col min="6" max="8" width="0" hidden="1" customWidth="1"/>
    <col min="9" max="9" width="9.7109375" hidden="1" customWidth="1"/>
    <col min="10" max="12" width="0" hidden="1" customWidth="1"/>
    <col min="13" max="13" width="9.7109375" hidden="1" customWidth="1"/>
    <col min="14" max="16" width="0" hidden="1" customWidth="1"/>
    <col min="17" max="17" width="10.28515625" hidden="1" customWidth="1"/>
    <col min="18" max="18" width="9.140625" style="3" hidden="1" customWidth="1"/>
    <col min="19" max="19" width="15.85546875" style="12" hidden="1" customWidth="1"/>
    <col min="20" max="20" width="9.140625" style="3" hidden="1" customWidth="1"/>
    <col min="21" max="21" width="15.85546875" style="12" hidden="1" customWidth="1"/>
    <col min="22" max="22" width="15.85546875" hidden="1" customWidth="1"/>
    <col min="23" max="23" width="6.7109375" hidden="1" customWidth="1"/>
    <col min="24" max="24" width="14.28515625" hidden="1" customWidth="1"/>
    <col min="25" max="25" width="6.7109375" hidden="1" customWidth="1"/>
    <col min="26" max="26" width="12.5703125" hidden="1" customWidth="1"/>
    <col min="27" max="27" width="16" hidden="1" customWidth="1"/>
    <col min="28" max="28" width="0" hidden="1" customWidth="1"/>
    <col min="41" max="41" width="9.7109375" style="15" bestFit="1" customWidth="1"/>
    <col min="45" max="45" width="9.7109375" style="15" bestFit="1" customWidth="1"/>
    <col min="49" max="49" width="9.7109375" style="15" bestFit="1" customWidth="1"/>
    <col min="53" max="53" width="9.7109375" style="15" bestFit="1" customWidth="1"/>
    <col min="57" max="57" width="9.7109375" style="15" bestFit="1" customWidth="1"/>
    <col min="58" max="58" width="10.28515625" customWidth="1"/>
    <col min="59" max="59" width="9.140625" style="3" hidden="1" customWidth="1"/>
    <col min="60" max="60" width="15.85546875" style="12" hidden="1" customWidth="1"/>
    <col min="61" max="61" width="9.140625" style="3" hidden="1" customWidth="1"/>
    <col min="62" max="62" width="15.85546875" style="12" hidden="1" customWidth="1"/>
    <col min="63" max="63" width="15.85546875" bestFit="1" customWidth="1"/>
    <col min="64" max="64" width="6.7109375" hidden="1" customWidth="1"/>
    <col min="65" max="65" width="14.28515625" hidden="1" customWidth="1"/>
    <col min="66" max="66" width="6.7109375" hidden="1" customWidth="1"/>
    <col min="67" max="67" width="12.5703125" hidden="1" customWidth="1"/>
    <col min="68" max="68" width="16" bestFit="1" customWidth="1"/>
  </cols>
  <sheetData>
    <row r="1" spans="1:69" x14ac:dyDescent="0.25">
      <c r="A1" t="s">
        <v>35</v>
      </c>
      <c r="B1" t="s">
        <v>36</v>
      </c>
      <c r="E1" t="s">
        <v>37</v>
      </c>
      <c r="F1" t="s">
        <v>38</v>
      </c>
      <c r="I1" t="s">
        <v>39</v>
      </c>
      <c r="J1" t="s">
        <v>40</v>
      </c>
      <c r="M1" t="s">
        <v>39</v>
      </c>
      <c r="N1" t="s">
        <v>38</v>
      </c>
      <c r="S1" s="12" t="s">
        <v>37</v>
      </c>
      <c r="U1" s="12" t="s">
        <v>39</v>
      </c>
      <c r="V1" s="3"/>
      <c r="W1" s="3"/>
      <c r="X1" s="12" t="s">
        <v>37</v>
      </c>
      <c r="Y1" s="3"/>
      <c r="Z1" s="12" t="s">
        <v>39</v>
      </c>
      <c r="AA1" s="3"/>
      <c r="AO1" s="15" t="s">
        <v>35</v>
      </c>
      <c r="AP1" t="s">
        <v>36</v>
      </c>
      <c r="AS1" s="15" t="s">
        <v>37</v>
      </c>
      <c r="AT1" t="s">
        <v>38</v>
      </c>
      <c r="AW1" s="15" t="s">
        <v>39</v>
      </c>
      <c r="AX1" t="s">
        <v>40</v>
      </c>
      <c r="BA1" s="15" t="s">
        <v>39</v>
      </c>
      <c r="BB1" t="s">
        <v>38</v>
      </c>
      <c r="BE1" s="15" t="s">
        <v>39</v>
      </c>
      <c r="BH1" s="12" t="s">
        <v>37</v>
      </c>
      <c r="BJ1" s="12" t="s">
        <v>39</v>
      </c>
      <c r="BK1" s="3"/>
      <c r="BL1" s="3"/>
      <c r="BM1" s="12" t="s">
        <v>37</v>
      </c>
      <c r="BN1" s="3"/>
      <c r="BO1" s="12" t="s">
        <v>39</v>
      </c>
      <c r="BP1" s="3"/>
    </row>
    <row r="2" spans="1:69" x14ac:dyDescent="0.25">
      <c r="A2" t="s">
        <v>0</v>
      </c>
      <c r="B2" t="s">
        <v>1</v>
      </c>
      <c r="C2" t="s">
        <v>41</v>
      </c>
      <c r="E2" t="s">
        <v>0</v>
      </c>
      <c r="F2" t="s">
        <v>1</v>
      </c>
      <c r="G2" t="s">
        <v>41</v>
      </c>
      <c r="I2" t="s">
        <v>0</v>
      </c>
      <c r="J2" t="s">
        <v>1</v>
      </c>
      <c r="K2" t="s">
        <v>41</v>
      </c>
      <c r="M2" t="s">
        <v>0</v>
      </c>
      <c r="N2" t="s">
        <v>1</v>
      </c>
      <c r="O2" t="s">
        <v>41</v>
      </c>
      <c r="Q2" t="s">
        <v>0</v>
      </c>
      <c r="R2" s="3" t="s">
        <v>1</v>
      </c>
      <c r="S2" s="12" t="s">
        <v>41</v>
      </c>
      <c r="T2" s="3" t="s">
        <v>1</v>
      </c>
      <c r="U2" s="12" t="s">
        <v>41</v>
      </c>
      <c r="V2" s="3" t="s">
        <v>42</v>
      </c>
      <c r="W2" s="3" t="s">
        <v>1</v>
      </c>
      <c r="X2" s="12" t="s">
        <v>41</v>
      </c>
      <c r="Y2" s="3" t="s">
        <v>1</v>
      </c>
      <c r="Z2" s="12" t="s">
        <v>41</v>
      </c>
      <c r="AA2" s="3" t="s">
        <v>43</v>
      </c>
      <c r="AB2" s="12" t="s">
        <v>5</v>
      </c>
      <c r="AO2" s="15" t="s">
        <v>44</v>
      </c>
      <c r="AP2" t="s">
        <v>1</v>
      </c>
      <c r="AQ2" t="s">
        <v>41</v>
      </c>
      <c r="AS2" s="15" t="s">
        <v>44</v>
      </c>
      <c r="AT2" t="s">
        <v>1</v>
      </c>
      <c r="AU2" t="s">
        <v>41</v>
      </c>
      <c r="AW2" s="15" t="s">
        <v>44</v>
      </c>
      <c r="AX2" t="s">
        <v>1</v>
      </c>
      <c r="AY2" t="s">
        <v>41</v>
      </c>
      <c r="BA2" s="15" t="s">
        <v>44</v>
      </c>
      <c r="BB2" t="s">
        <v>1</v>
      </c>
      <c r="BC2" t="s">
        <v>41</v>
      </c>
      <c r="BE2" s="15" t="s">
        <v>44</v>
      </c>
      <c r="BG2" s="3" t="s">
        <v>1</v>
      </c>
      <c r="BH2" s="12" t="s">
        <v>41</v>
      </c>
      <c r="BI2" s="3" t="s">
        <v>1</v>
      </c>
      <c r="BJ2" s="12" t="s">
        <v>41</v>
      </c>
      <c r="BK2" s="3" t="s">
        <v>42</v>
      </c>
      <c r="BL2" s="3" t="s">
        <v>1</v>
      </c>
      <c r="BM2" s="12" t="s">
        <v>41</v>
      </c>
      <c r="BN2" s="3" t="s">
        <v>1</v>
      </c>
      <c r="BO2" s="12" t="s">
        <v>41</v>
      </c>
      <c r="BP2" s="3" t="s">
        <v>43</v>
      </c>
      <c r="BQ2" s="12" t="s">
        <v>5</v>
      </c>
    </row>
    <row r="3" spans="1:69" x14ac:dyDescent="0.25">
      <c r="A3" s="1">
        <v>37712</v>
      </c>
      <c r="B3">
        <v>5.6250487839145702</v>
      </c>
      <c r="C3">
        <v>3202900</v>
      </c>
      <c r="E3" s="1">
        <v>37712</v>
      </c>
      <c r="F3">
        <v>5.72742959690778</v>
      </c>
      <c r="G3">
        <v>3259800</v>
      </c>
      <c r="I3" s="1">
        <v>38687</v>
      </c>
      <c r="J3">
        <v>5.7864762278559896</v>
      </c>
      <c r="K3">
        <v>22815990</v>
      </c>
      <c r="M3" s="1">
        <v>38687</v>
      </c>
      <c r="N3">
        <v>5.7862689226723898</v>
      </c>
      <c r="O3">
        <v>22159991</v>
      </c>
      <c r="Q3" s="1">
        <v>37712</v>
      </c>
      <c r="R3" s="3">
        <f>VLOOKUP($Q3,A:C,2,0)</f>
        <v>5.6250487839145702</v>
      </c>
      <c r="S3" s="12">
        <f>VLOOKUP($Q3,A:C,3,0)</f>
        <v>3202900</v>
      </c>
      <c r="T3" s="3">
        <v>0</v>
      </c>
      <c r="U3" s="12">
        <v>0</v>
      </c>
      <c r="V3" s="4">
        <f>(R3*S3+T3*U3)/(S3+U3)</f>
        <v>5.6250487839145702</v>
      </c>
      <c r="W3" s="3">
        <f>VLOOKUP($Q3,E:G,2,0)</f>
        <v>5.72742959690778</v>
      </c>
      <c r="X3" s="12">
        <f>VLOOKUP($Q3,E:G,3,0)</f>
        <v>3259800</v>
      </c>
      <c r="Y3" s="3">
        <v>0</v>
      </c>
      <c r="Z3" s="12">
        <v>0</v>
      </c>
      <c r="AA3" s="4">
        <f>(W3*X3+Y3*Z3)/(X3+Z3)</f>
        <v>5.72742959690778</v>
      </c>
      <c r="AB3" s="13">
        <f>(V3-AA3)*100</f>
        <v>-10.238081299320978</v>
      </c>
      <c r="AO3" s="15">
        <v>199311</v>
      </c>
      <c r="AP3">
        <v>7.125</v>
      </c>
      <c r="AQ3">
        <v>420000</v>
      </c>
      <c r="AS3" s="15">
        <v>198302</v>
      </c>
      <c r="AT3">
        <v>8.5</v>
      </c>
      <c r="AU3">
        <v>60000</v>
      </c>
      <c r="AW3" s="15">
        <v>200211</v>
      </c>
      <c r="AX3">
        <v>5.75</v>
      </c>
      <c r="AY3">
        <v>1266000</v>
      </c>
      <c r="BA3" s="15">
        <v>198111</v>
      </c>
      <c r="BB3">
        <v>7.5</v>
      </c>
      <c r="BC3">
        <v>16948</v>
      </c>
      <c r="BE3" s="15">
        <v>200211</v>
      </c>
      <c r="BF3" s="1">
        <f>DATEVALUE(INT(AW3/100)&amp;"/"&amp;MOD(AW3,100)&amp;"/1")</f>
        <v>37561</v>
      </c>
      <c r="BG3" s="3">
        <f>VLOOKUP($BE3,AO:AQ,2,0)</f>
        <v>6.2173245639929604</v>
      </c>
      <c r="BH3" s="12">
        <f>VLOOKUP($BE3,AO:AQ,3,0)</f>
        <v>8468900</v>
      </c>
      <c r="BI3" s="3">
        <f t="shared" ref="BI3:BI34" si="0">VLOOKUP($BE3,AW:AY,2,0)</f>
        <v>5.75</v>
      </c>
      <c r="BJ3" s="12">
        <f t="shared" ref="BJ3:BJ33" si="1">VLOOKUP($BE3,AW:AY,3,0)</f>
        <v>1266000</v>
      </c>
      <c r="BK3" s="4">
        <f>(BG3*BH3+BI3*BJ3)/(BH3+BJ3)</f>
        <v>6.1565501443260828</v>
      </c>
      <c r="BL3" s="3">
        <f>VLOOKUP($BE3,AS:AU,2,0)</f>
        <v>6.09580372168484</v>
      </c>
      <c r="BM3" s="12">
        <f>VLOOKUP($BE3,AS:AU,3,0)</f>
        <v>735388778.15999997</v>
      </c>
      <c r="BN3" s="3">
        <f t="shared" ref="BN3:BN34" si="2">VLOOKUP($BE3,BA:BC,2,0)</f>
        <v>6.0914445763995904</v>
      </c>
      <c r="BO3" s="12">
        <f t="shared" ref="BO3:BO34" si="3">VLOOKUP($BE3,BA:BC,3,0)</f>
        <v>145929215</v>
      </c>
      <c r="BP3" s="4">
        <f>(BL3*BM3+BN3*BO3)/(BM3+BO3)</f>
        <v>6.09508193153136</v>
      </c>
      <c r="BQ3" s="13">
        <f>(BK3-BP3)*100</f>
        <v>6.146821279472281</v>
      </c>
    </row>
    <row r="4" spans="1:69" x14ac:dyDescent="0.25">
      <c r="A4" s="1">
        <v>37742</v>
      </c>
      <c r="B4">
        <v>5.75</v>
      </c>
      <c r="C4">
        <v>460000</v>
      </c>
      <c r="E4" s="1">
        <v>37742</v>
      </c>
      <c r="F4">
        <v>5.3167405764966702</v>
      </c>
      <c r="G4">
        <v>902000</v>
      </c>
      <c r="I4" s="1">
        <v>38718</v>
      </c>
      <c r="J4">
        <v>5.9437236702967997</v>
      </c>
      <c r="K4">
        <v>35493184</v>
      </c>
      <c r="M4" s="1">
        <v>38718</v>
      </c>
      <c r="N4">
        <v>5.8846357542438401</v>
      </c>
      <c r="O4">
        <v>40584083</v>
      </c>
      <c r="Q4" s="1">
        <v>37742</v>
      </c>
      <c r="R4" s="3">
        <f t="shared" ref="R4:R67" si="4">VLOOKUP($Q4,A:C,2,0)</f>
        <v>5.75</v>
      </c>
      <c r="S4" s="12">
        <f t="shared" ref="S4:S67" si="5">VLOOKUP($Q4,A:C,3,0)</f>
        <v>460000</v>
      </c>
      <c r="T4" s="3">
        <v>0</v>
      </c>
      <c r="U4" s="12">
        <v>0</v>
      </c>
      <c r="V4" s="4">
        <f t="shared" ref="V4:V67" si="6">(R4*S4+T4*U4)/(S4+U4)</f>
        <v>5.75</v>
      </c>
      <c r="W4" s="3">
        <f t="shared" ref="W4:W67" si="7">VLOOKUP($Q4,E:G,2,0)</f>
        <v>5.3167405764966702</v>
      </c>
      <c r="X4" s="12">
        <f t="shared" ref="X4:X67" si="8">VLOOKUP($Q4,E:G,3,0)</f>
        <v>902000</v>
      </c>
      <c r="Y4" s="3">
        <v>0</v>
      </c>
      <c r="Z4" s="12">
        <v>0</v>
      </c>
      <c r="AA4" s="4">
        <f t="shared" ref="AA4:AA67" si="9">(W4*X4+Y4*Z4)/(X4+Z4)</f>
        <v>5.3167405764966702</v>
      </c>
      <c r="AB4" s="13">
        <f t="shared" ref="AB4:AB67" si="10">(V4-AA4)*100</f>
        <v>43.32594235033298</v>
      </c>
      <c r="AO4" s="15">
        <v>199604</v>
      </c>
      <c r="AP4">
        <v>8.8800000000000008</v>
      </c>
      <c r="AQ4">
        <v>470000</v>
      </c>
      <c r="AS4" s="15">
        <v>198307</v>
      </c>
      <c r="AT4">
        <v>8.75</v>
      </c>
      <c r="AU4">
        <v>70600</v>
      </c>
      <c r="AW4" s="15">
        <v>200212</v>
      </c>
      <c r="AX4">
        <v>5.9517987272913802</v>
      </c>
      <c r="AY4">
        <v>974300</v>
      </c>
      <c r="BA4" s="15">
        <v>198405</v>
      </c>
      <c r="BB4">
        <v>8.9775672713204901</v>
      </c>
      <c r="BC4">
        <v>46528</v>
      </c>
      <c r="BE4" s="15">
        <v>200212</v>
      </c>
      <c r="BF4" s="1">
        <f t="shared" ref="BF4:BF67" si="11">DATEVALUE(INT(AW4/100)&amp;"/"&amp;MOD(AW4,100)&amp;"/1")</f>
        <v>37591</v>
      </c>
      <c r="BG4" s="3">
        <f t="shared" ref="BG4:BG67" si="12">VLOOKUP($BE4,AO:AQ,2,0)</f>
        <v>6.1909260819874401</v>
      </c>
      <c r="BH4" s="12">
        <f t="shared" ref="BH4:BH67" si="13">VLOOKUP($BE4,AO:AQ,3,0)</f>
        <v>18983492</v>
      </c>
      <c r="BI4" s="3">
        <f t="shared" si="0"/>
        <v>5.9517987272913802</v>
      </c>
      <c r="BJ4" s="12">
        <f t="shared" si="1"/>
        <v>974300</v>
      </c>
      <c r="BK4" s="4">
        <f t="shared" ref="BK4:BK67" si="14">(BG4*BH4+BI4*BJ4)/(BH4+BJ4)</f>
        <v>6.1792523566735182</v>
      </c>
      <c r="BL4" s="3">
        <f t="shared" ref="BL4:BL67" si="15">VLOOKUP($BE4,AS:AU,2,0)</f>
        <v>6.0702153304055697</v>
      </c>
      <c r="BM4" s="12">
        <f t="shared" ref="BM4:BM67" si="16">VLOOKUP($BE4,AS:AU,3,0)</f>
        <v>726285096.29999995</v>
      </c>
      <c r="BN4" s="3">
        <f t="shared" si="2"/>
        <v>6.0317060102753901</v>
      </c>
      <c r="BO4" s="12">
        <f t="shared" si="3"/>
        <v>165157956</v>
      </c>
      <c r="BP4" s="4">
        <f t="shared" ref="BP4:BP67" si="17">(BL4*BM4+BN4*BO4)/(BM4+BO4)</f>
        <v>6.0630806956319407</v>
      </c>
      <c r="BQ4" s="13">
        <f t="shared" ref="BQ4:BQ67" si="18">(BK4-BP4)*100</f>
        <v>11.61716610415775</v>
      </c>
    </row>
    <row r="5" spans="1:69" x14ac:dyDescent="0.25">
      <c r="A5" s="1">
        <v>37773</v>
      </c>
      <c r="B5">
        <v>5.7137549074593297</v>
      </c>
      <c r="C5">
        <v>1783000</v>
      </c>
      <c r="E5" s="1">
        <v>37773</v>
      </c>
      <c r="F5">
        <v>5.2973086627417896</v>
      </c>
      <c r="G5">
        <v>2378000</v>
      </c>
      <c r="I5" s="1">
        <v>38749</v>
      </c>
      <c r="J5">
        <v>5.9451739813222</v>
      </c>
      <c r="K5">
        <v>29389764</v>
      </c>
      <c r="M5" s="1">
        <v>38749</v>
      </c>
      <c r="N5">
        <v>6.0619456354093701</v>
      </c>
      <c r="O5">
        <v>30099776</v>
      </c>
      <c r="Q5" s="1">
        <v>37773</v>
      </c>
      <c r="R5" s="3">
        <f t="shared" si="4"/>
        <v>5.7137549074593297</v>
      </c>
      <c r="S5" s="12">
        <f t="shared" si="5"/>
        <v>1783000</v>
      </c>
      <c r="T5" s="3">
        <v>0</v>
      </c>
      <c r="U5" s="12">
        <v>0</v>
      </c>
      <c r="V5" s="4">
        <f t="shared" si="6"/>
        <v>5.7137549074593297</v>
      </c>
      <c r="W5" s="3">
        <f t="shared" si="7"/>
        <v>5.2973086627417896</v>
      </c>
      <c r="X5" s="12">
        <f t="shared" si="8"/>
        <v>2378000</v>
      </c>
      <c r="Y5" s="3">
        <v>0</v>
      </c>
      <c r="Z5" s="12">
        <v>0</v>
      </c>
      <c r="AA5" s="4">
        <f t="shared" si="9"/>
        <v>5.2973086627417896</v>
      </c>
      <c r="AB5" s="13">
        <f t="shared" si="10"/>
        <v>41.644624471754014</v>
      </c>
      <c r="AO5" s="15">
        <v>199803</v>
      </c>
      <c r="AP5">
        <v>7.375</v>
      </c>
      <c r="AQ5">
        <v>418500</v>
      </c>
      <c r="AS5" s="15">
        <v>198408</v>
      </c>
      <c r="AT5">
        <v>9</v>
      </c>
      <c r="AU5">
        <v>45000</v>
      </c>
      <c r="AW5" s="15">
        <v>200301</v>
      </c>
      <c r="AX5">
        <v>5.9532720171248696</v>
      </c>
      <c r="AY5">
        <v>938985</v>
      </c>
      <c r="BA5" s="15">
        <v>198409</v>
      </c>
      <c r="BB5">
        <v>8.375</v>
      </c>
      <c r="BC5">
        <v>40387</v>
      </c>
      <c r="BE5" s="15">
        <v>200301</v>
      </c>
      <c r="BF5" s="1">
        <f t="shared" si="11"/>
        <v>37622</v>
      </c>
      <c r="BG5" s="3">
        <f t="shared" si="12"/>
        <v>6.0869985414142</v>
      </c>
      <c r="BH5" s="12">
        <f t="shared" si="13"/>
        <v>18129266.07</v>
      </c>
      <c r="BI5" s="3">
        <f t="shared" si="0"/>
        <v>5.9532720171248696</v>
      </c>
      <c r="BJ5" s="12">
        <f t="shared" si="1"/>
        <v>938985</v>
      </c>
      <c r="BK5" s="4">
        <f t="shared" si="14"/>
        <v>6.0804133962979101</v>
      </c>
      <c r="BL5" s="3">
        <f t="shared" si="15"/>
        <v>6.05332419985944</v>
      </c>
      <c r="BM5" s="12">
        <f t="shared" si="16"/>
        <v>817949628.04999995</v>
      </c>
      <c r="BN5" s="3">
        <f t="shared" si="2"/>
        <v>6.00636447008005</v>
      </c>
      <c r="BO5" s="12">
        <f t="shared" si="3"/>
        <v>192765022</v>
      </c>
      <c r="BP5" s="4">
        <f t="shared" si="17"/>
        <v>6.0443679693906427</v>
      </c>
      <c r="BQ5" s="13">
        <f t="shared" si="18"/>
        <v>3.6045426907267419</v>
      </c>
    </row>
    <row r="6" spans="1:69" x14ac:dyDescent="0.25">
      <c r="A6" s="1">
        <v>37803</v>
      </c>
      <c r="B6">
        <v>5.1200480603165897</v>
      </c>
      <c r="C6">
        <v>4197850</v>
      </c>
      <c r="E6" s="1">
        <v>37803</v>
      </c>
      <c r="F6">
        <v>5.3731102383386196</v>
      </c>
      <c r="G6">
        <v>2788050</v>
      </c>
      <c r="I6" s="1">
        <v>38777</v>
      </c>
      <c r="J6">
        <v>5.9327353971170602</v>
      </c>
      <c r="K6">
        <v>30459910</v>
      </c>
      <c r="M6" s="1">
        <v>38777</v>
      </c>
      <c r="N6">
        <v>6.0181337310126599</v>
      </c>
      <c r="O6">
        <v>33370270</v>
      </c>
      <c r="Q6" s="1">
        <v>37803</v>
      </c>
      <c r="R6" s="3">
        <f t="shared" si="4"/>
        <v>5.1200480603165897</v>
      </c>
      <c r="S6" s="12">
        <f t="shared" si="5"/>
        <v>4197850</v>
      </c>
      <c r="T6" s="3">
        <v>0</v>
      </c>
      <c r="U6" s="12">
        <v>0</v>
      </c>
      <c r="V6" s="4">
        <f t="shared" si="6"/>
        <v>5.1200480603165897</v>
      </c>
      <c r="W6" s="3">
        <f t="shared" si="7"/>
        <v>5.3731102383386196</v>
      </c>
      <c r="X6" s="12">
        <f t="shared" si="8"/>
        <v>2788050</v>
      </c>
      <c r="Y6" s="3">
        <v>0</v>
      </c>
      <c r="Z6" s="12">
        <v>0</v>
      </c>
      <c r="AA6" s="4">
        <f t="shared" si="9"/>
        <v>5.3731102383386196</v>
      </c>
      <c r="AB6" s="13">
        <f t="shared" si="10"/>
        <v>-25.30621780220299</v>
      </c>
      <c r="AO6" s="15">
        <v>200110</v>
      </c>
      <c r="AP6">
        <v>7.4342315901814304</v>
      </c>
      <c r="AQ6">
        <v>1171250</v>
      </c>
      <c r="AS6" s="15">
        <v>198603</v>
      </c>
      <c r="AT6">
        <v>9.375</v>
      </c>
      <c r="AU6">
        <v>60000</v>
      </c>
      <c r="AW6" s="15">
        <v>200302</v>
      </c>
      <c r="AX6">
        <v>5.875</v>
      </c>
      <c r="AY6">
        <v>465000</v>
      </c>
      <c r="BA6" s="15">
        <v>198410</v>
      </c>
      <c r="BB6">
        <v>8.375</v>
      </c>
      <c r="BC6">
        <v>48152</v>
      </c>
      <c r="BE6" s="15">
        <v>200305</v>
      </c>
      <c r="BF6" s="1">
        <f t="shared" si="11"/>
        <v>37653</v>
      </c>
      <c r="BG6" s="3">
        <f t="shared" si="12"/>
        <v>5.8231710805041201</v>
      </c>
      <c r="BH6" s="12">
        <f t="shared" si="13"/>
        <v>76266098.680000007</v>
      </c>
      <c r="BI6" s="3">
        <f t="shared" si="0"/>
        <v>5.875</v>
      </c>
      <c r="BJ6" s="12">
        <f t="shared" si="1"/>
        <v>542000</v>
      </c>
      <c r="BK6" s="4">
        <f t="shared" si="14"/>
        <v>5.8235368137386301</v>
      </c>
      <c r="BL6" s="3">
        <f t="shared" si="15"/>
        <v>5.80009167596317</v>
      </c>
      <c r="BM6" s="12">
        <f t="shared" si="16"/>
        <v>9384526423.6000004</v>
      </c>
      <c r="BN6" s="3">
        <f t="shared" si="2"/>
        <v>5.7654768988039802</v>
      </c>
      <c r="BO6" s="12">
        <f t="shared" si="3"/>
        <v>203478902</v>
      </c>
      <c r="BP6" s="4">
        <f t="shared" si="17"/>
        <v>5.7993570730285509</v>
      </c>
      <c r="BQ6" s="13">
        <f t="shared" si="18"/>
        <v>2.4179740710079223</v>
      </c>
    </row>
    <row r="7" spans="1:69" x14ac:dyDescent="0.25">
      <c r="A7" s="1">
        <v>37834</v>
      </c>
      <c r="B7">
        <v>5.1453940408388004</v>
      </c>
      <c r="C7">
        <v>6900300</v>
      </c>
      <c r="E7" s="1">
        <v>37834</v>
      </c>
      <c r="F7">
        <v>5.4899896055633199</v>
      </c>
      <c r="G7">
        <v>5435600</v>
      </c>
      <c r="I7" s="1">
        <v>38808</v>
      </c>
      <c r="J7">
        <v>5.9637765293639902</v>
      </c>
      <c r="K7">
        <v>23105765</v>
      </c>
      <c r="M7" s="1">
        <v>38808</v>
      </c>
      <c r="N7">
        <v>6.03132892774385</v>
      </c>
      <c r="O7">
        <v>24221125</v>
      </c>
      <c r="Q7" s="1">
        <v>37834</v>
      </c>
      <c r="R7" s="3">
        <f t="shared" si="4"/>
        <v>5.1453940408388004</v>
      </c>
      <c r="S7" s="12">
        <f t="shared" si="5"/>
        <v>6900300</v>
      </c>
      <c r="T7" s="3">
        <v>0</v>
      </c>
      <c r="U7" s="12">
        <v>0</v>
      </c>
      <c r="V7" s="4">
        <f t="shared" si="6"/>
        <v>5.1453940408388013</v>
      </c>
      <c r="W7" s="3">
        <f t="shared" si="7"/>
        <v>5.4899896055633199</v>
      </c>
      <c r="X7" s="12">
        <f t="shared" si="8"/>
        <v>5435600</v>
      </c>
      <c r="Y7" s="3">
        <v>0</v>
      </c>
      <c r="Z7" s="12">
        <v>0</v>
      </c>
      <c r="AA7" s="4">
        <f t="shared" si="9"/>
        <v>5.4899896055633199</v>
      </c>
      <c r="AB7" s="13">
        <f t="shared" si="10"/>
        <v>-34.459556472451865</v>
      </c>
      <c r="AO7" s="15">
        <v>200205</v>
      </c>
      <c r="AP7">
        <v>7.75</v>
      </c>
      <c r="AQ7">
        <v>520000</v>
      </c>
      <c r="AS7" s="15">
        <v>198604</v>
      </c>
      <c r="AT7">
        <v>9</v>
      </c>
      <c r="AU7">
        <v>26600</v>
      </c>
      <c r="AW7" s="15">
        <v>200303</v>
      </c>
      <c r="AX7">
        <v>5.875</v>
      </c>
      <c r="AY7">
        <v>432000</v>
      </c>
      <c r="BA7" s="15">
        <v>198507</v>
      </c>
      <c r="BB7">
        <v>8.375</v>
      </c>
      <c r="BC7">
        <v>83254</v>
      </c>
      <c r="BE7" s="15">
        <v>200308</v>
      </c>
      <c r="BF7" s="1">
        <f t="shared" si="11"/>
        <v>37681</v>
      </c>
      <c r="BG7" s="3">
        <f t="shared" si="12"/>
        <v>5.50651499657664</v>
      </c>
      <c r="BH7" s="12">
        <f t="shared" si="13"/>
        <v>195663996.52000001</v>
      </c>
      <c r="BI7" s="3">
        <f t="shared" si="0"/>
        <v>4.9166275430359896</v>
      </c>
      <c r="BJ7" s="12">
        <f t="shared" si="1"/>
        <v>1597500</v>
      </c>
      <c r="BK7" s="4">
        <f t="shared" si="14"/>
        <v>5.5017378595090642</v>
      </c>
      <c r="BL7" s="3">
        <f t="shared" si="15"/>
        <v>5.3696280874610904</v>
      </c>
      <c r="BM7" s="12">
        <f t="shared" si="16"/>
        <v>15363476360.360001</v>
      </c>
      <c r="BN7" s="3">
        <f t="shared" si="2"/>
        <v>5.4783820703129296</v>
      </c>
      <c r="BO7" s="12">
        <f t="shared" si="3"/>
        <v>367004141</v>
      </c>
      <c r="BP7" s="4">
        <f t="shared" si="17"/>
        <v>5.3721654010576732</v>
      </c>
      <c r="BQ7" s="13">
        <f t="shared" si="18"/>
        <v>12.957245845139109</v>
      </c>
    </row>
    <row r="8" spans="1:69" x14ac:dyDescent="0.25">
      <c r="A8" s="1">
        <v>37865</v>
      </c>
      <c r="B8">
        <v>5.0544410413476202</v>
      </c>
      <c r="C8">
        <v>3265000</v>
      </c>
      <c r="E8" s="1">
        <v>37865</v>
      </c>
      <c r="F8">
        <v>5.0251603281474102</v>
      </c>
      <c r="G8">
        <v>5473150</v>
      </c>
      <c r="I8" s="1">
        <v>38838</v>
      </c>
      <c r="J8">
        <v>6.0319393932032801</v>
      </c>
      <c r="K8">
        <v>37337908</v>
      </c>
      <c r="M8" s="1">
        <v>38838</v>
      </c>
      <c r="N8">
        <v>6.1200180795500199</v>
      </c>
      <c r="O8">
        <v>28001250</v>
      </c>
      <c r="Q8" s="1">
        <v>37865</v>
      </c>
      <c r="R8" s="3">
        <f t="shared" si="4"/>
        <v>5.0544410413476202</v>
      </c>
      <c r="S8" s="12">
        <f t="shared" si="5"/>
        <v>3265000</v>
      </c>
      <c r="T8" s="3">
        <v>0</v>
      </c>
      <c r="U8" s="12">
        <v>0</v>
      </c>
      <c r="V8" s="4">
        <f t="shared" si="6"/>
        <v>5.0544410413476202</v>
      </c>
      <c r="W8" s="3">
        <f t="shared" si="7"/>
        <v>5.0251603281474102</v>
      </c>
      <c r="X8" s="12">
        <f t="shared" si="8"/>
        <v>5473150</v>
      </c>
      <c r="Y8" s="3">
        <v>0</v>
      </c>
      <c r="Z8" s="12">
        <v>0</v>
      </c>
      <c r="AA8" s="4">
        <f t="shared" si="9"/>
        <v>5.0251603281474102</v>
      </c>
      <c r="AB8" s="13">
        <f t="shared" si="10"/>
        <v>2.9280713200209973</v>
      </c>
      <c r="AO8" s="15">
        <v>200207</v>
      </c>
      <c r="AP8">
        <v>6.8416290461203504</v>
      </c>
      <c r="AQ8">
        <v>1037509.3</v>
      </c>
      <c r="AS8" s="15">
        <v>198605</v>
      </c>
      <c r="AT8">
        <v>10.022312703582999</v>
      </c>
      <c r="AU8">
        <v>92100</v>
      </c>
      <c r="AW8" s="15">
        <v>200305</v>
      </c>
      <c r="AX8">
        <v>5.875</v>
      </c>
      <c r="AY8">
        <v>542000</v>
      </c>
      <c r="BA8" s="15">
        <v>198606</v>
      </c>
      <c r="BB8">
        <v>8.4538540016044799</v>
      </c>
      <c r="BC8">
        <v>301654</v>
      </c>
      <c r="BE8" s="15">
        <v>200404</v>
      </c>
      <c r="BF8" s="1">
        <f t="shared" si="11"/>
        <v>37742</v>
      </c>
      <c r="BG8" s="3">
        <f t="shared" si="12"/>
        <v>5.5240968879663299</v>
      </c>
      <c r="BH8" s="12">
        <f t="shared" si="13"/>
        <v>31436261.440000001</v>
      </c>
      <c r="BI8" s="3">
        <f t="shared" si="0"/>
        <v>6</v>
      </c>
      <c r="BJ8" s="12">
        <f t="shared" si="1"/>
        <v>548000</v>
      </c>
      <c r="BK8" s="4">
        <f t="shared" si="14"/>
        <v>5.5322507390684938</v>
      </c>
      <c r="BL8" s="3">
        <f t="shared" si="15"/>
        <v>5.62641699896235</v>
      </c>
      <c r="BM8" s="12">
        <f t="shared" si="16"/>
        <v>6104640299.54</v>
      </c>
      <c r="BN8" s="3">
        <f t="shared" si="2"/>
        <v>5.5955280072935203</v>
      </c>
      <c r="BO8" s="12">
        <f t="shared" si="3"/>
        <v>290078493</v>
      </c>
      <c r="BP8" s="4">
        <f t="shared" si="17"/>
        <v>5.6250158064401647</v>
      </c>
      <c r="BQ8" s="13">
        <f t="shared" si="18"/>
        <v>-9.2765067371670895</v>
      </c>
    </row>
    <row r="9" spans="1:69" x14ac:dyDescent="0.25">
      <c r="A9" s="1">
        <v>37895</v>
      </c>
      <c r="B9">
        <v>5.4011454492729598</v>
      </c>
      <c r="C9">
        <v>7241700</v>
      </c>
      <c r="E9" s="1">
        <v>37895</v>
      </c>
      <c r="F9">
        <v>5.6456238859179999</v>
      </c>
      <c r="G9">
        <v>5610000</v>
      </c>
      <c r="I9" s="1">
        <v>38869</v>
      </c>
      <c r="J9">
        <v>6.2758067447599304</v>
      </c>
      <c r="K9">
        <v>31251520</v>
      </c>
      <c r="M9" s="1">
        <v>38869</v>
      </c>
      <c r="N9">
        <v>6.33008073580047</v>
      </c>
      <c r="O9">
        <v>27142358</v>
      </c>
      <c r="Q9" s="1">
        <v>37895</v>
      </c>
      <c r="R9" s="3">
        <f t="shared" si="4"/>
        <v>5.4011454492729598</v>
      </c>
      <c r="S9" s="12">
        <f t="shared" si="5"/>
        <v>7241700</v>
      </c>
      <c r="T9" s="3">
        <v>0</v>
      </c>
      <c r="U9" s="12">
        <v>0</v>
      </c>
      <c r="V9" s="4">
        <f t="shared" si="6"/>
        <v>5.4011454492729598</v>
      </c>
      <c r="W9" s="3">
        <f t="shared" si="7"/>
        <v>5.6456238859179999</v>
      </c>
      <c r="X9" s="12">
        <f t="shared" si="8"/>
        <v>5610000</v>
      </c>
      <c r="Y9" s="3">
        <v>0</v>
      </c>
      <c r="Z9" s="12">
        <v>0</v>
      </c>
      <c r="AA9" s="4">
        <f t="shared" si="9"/>
        <v>5.6456238859179999</v>
      </c>
      <c r="AB9" s="13">
        <f t="shared" si="10"/>
        <v>-24.44784366450401</v>
      </c>
      <c r="AO9" s="15">
        <v>200208</v>
      </c>
      <c r="AP9">
        <v>6.7207010721042604</v>
      </c>
      <c r="AQ9">
        <v>2378500</v>
      </c>
      <c r="AS9" s="15">
        <v>198606</v>
      </c>
      <c r="AT9">
        <v>10.291965888689401</v>
      </c>
      <c r="AU9">
        <v>139250</v>
      </c>
      <c r="AW9" s="15">
        <v>200308</v>
      </c>
      <c r="AX9">
        <v>4.9166275430359896</v>
      </c>
      <c r="AY9">
        <v>1597500</v>
      </c>
      <c r="BA9" s="15">
        <v>198608</v>
      </c>
      <c r="BB9">
        <v>7.25</v>
      </c>
      <c r="BC9">
        <v>47100</v>
      </c>
      <c r="BE9" s="15">
        <v>200405</v>
      </c>
      <c r="BF9" s="1">
        <f t="shared" si="11"/>
        <v>37834</v>
      </c>
      <c r="BG9" s="3">
        <f t="shared" si="12"/>
        <v>5.45900219223783</v>
      </c>
      <c r="BH9" s="12">
        <f t="shared" si="13"/>
        <v>67857016.920000002</v>
      </c>
      <c r="BI9" s="3">
        <f t="shared" si="0"/>
        <v>5.625</v>
      </c>
      <c r="BJ9" s="12">
        <f t="shared" si="1"/>
        <v>600000</v>
      </c>
      <c r="BK9" s="4">
        <f t="shared" si="14"/>
        <v>5.460457100575038</v>
      </c>
      <c r="BL9" s="3">
        <f t="shared" si="15"/>
        <v>5.5566838025138399</v>
      </c>
      <c r="BM9" s="12">
        <f t="shared" si="16"/>
        <v>6765371126.29</v>
      </c>
      <c r="BN9" s="3">
        <f t="shared" si="2"/>
        <v>5.5521517552221402</v>
      </c>
      <c r="BO9" s="12">
        <f t="shared" si="3"/>
        <v>458744668</v>
      </c>
      <c r="BP9" s="4">
        <f t="shared" si="17"/>
        <v>5.5563960091576146</v>
      </c>
      <c r="BQ9" s="13">
        <f t="shared" si="18"/>
        <v>-9.5938908582576587</v>
      </c>
    </row>
    <row r="10" spans="1:69" x14ac:dyDescent="0.25">
      <c r="A10" s="1">
        <v>37926</v>
      </c>
      <c r="B10">
        <v>5.2483006870340496</v>
      </c>
      <c r="C10">
        <v>1368200</v>
      </c>
      <c r="E10" s="1">
        <v>37926</v>
      </c>
      <c r="F10">
        <v>5.6267507002801098</v>
      </c>
      <c r="G10">
        <v>1428000</v>
      </c>
      <c r="I10" s="1">
        <v>38899</v>
      </c>
      <c r="J10">
        <v>6.2844319040660999</v>
      </c>
      <c r="K10">
        <v>24808750</v>
      </c>
      <c r="M10" s="1">
        <v>38899</v>
      </c>
      <c r="N10">
        <v>6.3767724931816501</v>
      </c>
      <c r="O10">
        <v>27242700</v>
      </c>
      <c r="Q10" s="1">
        <v>37926</v>
      </c>
      <c r="R10" s="3">
        <f t="shared" si="4"/>
        <v>5.2483006870340496</v>
      </c>
      <c r="S10" s="12">
        <f t="shared" si="5"/>
        <v>1368200</v>
      </c>
      <c r="T10" s="3">
        <v>0</v>
      </c>
      <c r="U10" s="12">
        <v>0</v>
      </c>
      <c r="V10" s="4">
        <f t="shared" si="6"/>
        <v>5.2483006870340496</v>
      </c>
      <c r="W10" s="3">
        <f t="shared" si="7"/>
        <v>5.6267507002801098</v>
      </c>
      <c r="X10" s="12">
        <f t="shared" si="8"/>
        <v>1428000</v>
      </c>
      <c r="Y10" s="3">
        <v>0</v>
      </c>
      <c r="Z10" s="12">
        <v>0</v>
      </c>
      <c r="AA10" s="4">
        <f t="shared" si="9"/>
        <v>5.6267507002801098</v>
      </c>
      <c r="AB10" s="13">
        <f t="shared" si="10"/>
        <v>-37.845001324606017</v>
      </c>
      <c r="AO10" s="15">
        <v>200209</v>
      </c>
      <c r="AP10">
        <v>6.4549842837898499</v>
      </c>
      <c r="AQ10">
        <v>3340500</v>
      </c>
      <c r="AS10" s="15">
        <v>198607</v>
      </c>
      <c r="AT10">
        <v>10.25</v>
      </c>
      <c r="AU10">
        <v>148100</v>
      </c>
      <c r="AW10" s="15">
        <v>200401</v>
      </c>
      <c r="AX10">
        <v>5.25</v>
      </c>
      <c r="AY10">
        <v>450450</v>
      </c>
      <c r="BA10" s="15">
        <v>198609</v>
      </c>
      <c r="BB10">
        <v>8.25</v>
      </c>
      <c r="BC10">
        <v>56400</v>
      </c>
      <c r="BE10" s="15">
        <v>200406</v>
      </c>
      <c r="BF10" s="1">
        <f t="shared" si="11"/>
        <v>37987</v>
      </c>
      <c r="BG10" s="3">
        <f t="shared" si="12"/>
        <v>5.6321562948593504</v>
      </c>
      <c r="BH10" s="12">
        <f t="shared" si="13"/>
        <v>40307922</v>
      </c>
      <c r="BI10" s="3">
        <f t="shared" si="0"/>
        <v>5.6234869191721897</v>
      </c>
      <c r="BJ10" s="12">
        <f t="shared" si="1"/>
        <v>1024400</v>
      </c>
      <c r="BK10" s="4">
        <f t="shared" si="14"/>
        <v>5.6319414289136649</v>
      </c>
      <c r="BL10" s="3">
        <f t="shared" si="15"/>
        <v>5.8412340262018896</v>
      </c>
      <c r="BM10" s="12">
        <f t="shared" si="16"/>
        <v>4075548816.3200002</v>
      </c>
      <c r="BN10" s="3">
        <f t="shared" si="2"/>
        <v>5.6856944009133397</v>
      </c>
      <c r="BO10" s="12">
        <f t="shared" si="3"/>
        <v>224947760</v>
      </c>
      <c r="BP10" s="4">
        <f t="shared" si="17"/>
        <v>5.8330981540580655</v>
      </c>
      <c r="BQ10" s="13">
        <f t="shared" si="18"/>
        <v>-20.115672514440064</v>
      </c>
    </row>
    <row r="11" spans="1:69" x14ac:dyDescent="0.25">
      <c r="A11" s="1">
        <v>37956</v>
      </c>
      <c r="B11">
        <v>5.5470498750407398</v>
      </c>
      <c r="C11">
        <v>1380450</v>
      </c>
      <c r="E11" s="1">
        <v>37956</v>
      </c>
      <c r="F11">
        <v>5.8895824723714503</v>
      </c>
      <c r="G11">
        <v>3750650</v>
      </c>
      <c r="I11" s="1">
        <v>38930</v>
      </c>
      <c r="J11">
        <v>6.4199065765150696</v>
      </c>
      <c r="K11">
        <v>25865766</v>
      </c>
      <c r="M11" s="1">
        <v>38930</v>
      </c>
      <c r="N11">
        <v>6.4693391447812703</v>
      </c>
      <c r="O11">
        <v>25911500</v>
      </c>
      <c r="Q11" s="1">
        <v>37956</v>
      </c>
      <c r="R11" s="3">
        <f t="shared" si="4"/>
        <v>5.5470498750407398</v>
      </c>
      <c r="S11" s="12">
        <f t="shared" si="5"/>
        <v>1380450</v>
      </c>
      <c r="T11" s="3">
        <v>0</v>
      </c>
      <c r="U11" s="12">
        <v>0</v>
      </c>
      <c r="V11" s="4">
        <f t="shared" si="6"/>
        <v>5.5470498750407398</v>
      </c>
      <c r="W11" s="3">
        <f t="shared" si="7"/>
        <v>5.8895824723714503</v>
      </c>
      <c r="X11" s="12">
        <f t="shared" si="8"/>
        <v>3750650</v>
      </c>
      <c r="Y11" s="3">
        <v>0</v>
      </c>
      <c r="Z11" s="12">
        <v>0</v>
      </c>
      <c r="AA11" s="4">
        <f t="shared" si="9"/>
        <v>5.8895824723714503</v>
      </c>
      <c r="AB11" s="13">
        <f t="shared" si="10"/>
        <v>-34.253259733071047</v>
      </c>
      <c r="AO11" s="15">
        <v>200210</v>
      </c>
      <c r="AP11">
        <v>6.4257552812605399</v>
      </c>
      <c r="AQ11">
        <v>7664398.4199999999</v>
      </c>
      <c r="AS11" s="15">
        <v>198609</v>
      </c>
      <c r="AT11">
        <v>10.5720068694798</v>
      </c>
      <c r="AU11">
        <v>203800</v>
      </c>
      <c r="AW11" s="15">
        <v>200402</v>
      </c>
      <c r="AX11">
        <v>6.25</v>
      </c>
      <c r="AY11">
        <v>460000</v>
      </c>
      <c r="BA11" s="15">
        <v>198612</v>
      </c>
      <c r="BB11">
        <v>8.875</v>
      </c>
      <c r="BC11">
        <v>90100</v>
      </c>
      <c r="BE11" s="15">
        <v>200407</v>
      </c>
      <c r="BF11" s="1">
        <f t="shared" si="11"/>
        <v>38018</v>
      </c>
      <c r="BG11" s="3">
        <f t="shared" si="12"/>
        <v>5.9362550417441504</v>
      </c>
      <c r="BH11" s="12">
        <f t="shared" si="13"/>
        <v>10902725</v>
      </c>
      <c r="BI11" s="3">
        <f t="shared" si="0"/>
        <v>5.875</v>
      </c>
      <c r="BJ11" s="12">
        <f t="shared" si="1"/>
        <v>624000</v>
      </c>
      <c r="BK11" s="4">
        <f t="shared" si="14"/>
        <v>5.9329389961155492</v>
      </c>
      <c r="BL11" s="3">
        <f t="shared" si="15"/>
        <v>6.2082887024360902</v>
      </c>
      <c r="BM11" s="12">
        <f t="shared" si="16"/>
        <v>2691975894.5900002</v>
      </c>
      <c r="BN11" s="3">
        <f t="shared" si="2"/>
        <v>5.9683358205219896</v>
      </c>
      <c r="BO11" s="12">
        <f t="shared" si="3"/>
        <v>119655177</v>
      </c>
      <c r="BP11" s="4">
        <f t="shared" si="17"/>
        <v>6.1980769769905981</v>
      </c>
      <c r="BQ11" s="13">
        <f t="shared" si="18"/>
        <v>-26.513798087504892</v>
      </c>
    </row>
    <row r="12" spans="1:69" x14ac:dyDescent="0.25">
      <c r="A12" s="1">
        <v>37987</v>
      </c>
      <c r="B12">
        <v>6.0246095564965003</v>
      </c>
      <c r="C12">
        <v>4562760</v>
      </c>
      <c r="E12" s="1">
        <v>37987</v>
      </c>
      <c r="F12">
        <v>5.5960241804231501</v>
      </c>
      <c r="G12">
        <v>4301000</v>
      </c>
      <c r="I12" s="1">
        <v>38961</v>
      </c>
      <c r="J12">
        <v>6.4051003938452</v>
      </c>
      <c r="K12">
        <v>27942450</v>
      </c>
      <c r="M12" s="1">
        <v>38961</v>
      </c>
      <c r="N12">
        <v>6.4840706664359704</v>
      </c>
      <c r="O12">
        <v>22836117</v>
      </c>
      <c r="Q12" s="1">
        <v>37987</v>
      </c>
      <c r="R12" s="3">
        <f t="shared" si="4"/>
        <v>6.0246095564965003</v>
      </c>
      <c r="S12" s="12">
        <f t="shared" si="5"/>
        <v>4562760</v>
      </c>
      <c r="T12" s="3">
        <v>0</v>
      </c>
      <c r="U12" s="12">
        <v>0</v>
      </c>
      <c r="V12" s="4">
        <f t="shared" si="6"/>
        <v>6.0246095564965003</v>
      </c>
      <c r="W12" s="3">
        <f t="shared" si="7"/>
        <v>5.5960241804231501</v>
      </c>
      <c r="X12" s="12">
        <f t="shared" si="8"/>
        <v>4301000</v>
      </c>
      <c r="Y12" s="3">
        <v>0</v>
      </c>
      <c r="Z12" s="12">
        <v>0</v>
      </c>
      <c r="AA12" s="4">
        <f t="shared" si="9"/>
        <v>5.5960241804231501</v>
      </c>
      <c r="AB12" s="13">
        <f t="shared" si="10"/>
        <v>42.858537607335023</v>
      </c>
      <c r="AO12" s="15">
        <v>200211</v>
      </c>
      <c r="AP12">
        <v>6.2173245639929604</v>
      </c>
      <c r="AQ12">
        <v>8468900</v>
      </c>
      <c r="AS12" s="15">
        <v>198610</v>
      </c>
      <c r="AT12">
        <v>8.75</v>
      </c>
      <c r="AU12">
        <v>27900</v>
      </c>
      <c r="AW12" s="15">
        <v>200404</v>
      </c>
      <c r="AX12">
        <v>6</v>
      </c>
      <c r="AY12">
        <v>548000</v>
      </c>
      <c r="BA12" s="15">
        <v>198701</v>
      </c>
      <c r="BB12">
        <v>8.125</v>
      </c>
      <c r="BC12">
        <v>160000</v>
      </c>
      <c r="BE12" s="15">
        <v>200410</v>
      </c>
      <c r="BF12" s="1">
        <f t="shared" si="11"/>
        <v>38078</v>
      </c>
      <c r="BG12" s="3">
        <f t="shared" si="12"/>
        <v>5.8572352705925104</v>
      </c>
      <c r="BH12" s="12">
        <f t="shared" si="13"/>
        <v>24300722.239999998</v>
      </c>
      <c r="BI12" s="3">
        <f t="shared" si="0"/>
        <v>6.25</v>
      </c>
      <c r="BJ12" s="12">
        <f t="shared" si="1"/>
        <v>620000</v>
      </c>
      <c r="BK12" s="4">
        <f t="shared" si="14"/>
        <v>5.8670068225518586</v>
      </c>
      <c r="BL12" s="3">
        <f t="shared" si="15"/>
        <v>5.9311973730786303</v>
      </c>
      <c r="BM12" s="12">
        <f t="shared" si="16"/>
        <v>3533629590.4299998</v>
      </c>
      <c r="BN12" s="3">
        <f t="shared" si="2"/>
        <v>5.8036993981516503</v>
      </c>
      <c r="BO12" s="12">
        <f t="shared" si="3"/>
        <v>141634352</v>
      </c>
      <c r="BP12" s="4">
        <f t="shared" si="17"/>
        <v>5.9262839591461995</v>
      </c>
      <c r="BQ12" s="13">
        <f t="shared" si="18"/>
        <v>-5.9277136594340973</v>
      </c>
    </row>
    <row r="13" spans="1:69" x14ac:dyDescent="0.25">
      <c r="A13" s="1">
        <v>38018</v>
      </c>
      <c r="B13">
        <v>5.59548680076559</v>
      </c>
      <c r="C13">
        <v>1384550</v>
      </c>
      <c r="E13" s="1">
        <v>38018</v>
      </c>
      <c r="F13">
        <v>5.5</v>
      </c>
      <c r="G13">
        <v>984050</v>
      </c>
      <c r="I13" s="1">
        <v>38991</v>
      </c>
      <c r="J13">
        <v>6.2922835781624196</v>
      </c>
      <c r="K13">
        <v>26315228</v>
      </c>
      <c r="M13" s="1">
        <v>38991</v>
      </c>
      <c r="N13">
        <v>6.3558867965313199</v>
      </c>
      <c r="O13">
        <v>21743150</v>
      </c>
      <c r="Q13" s="1">
        <v>38018</v>
      </c>
      <c r="R13" s="3">
        <f t="shared" si="4"/>
        <v>5.59548680076559</v>
      </c>
      <c r="S13" s="12">
        <f t="shared" si="5"/>
        <v>1384550</v>
      </c>
      <c r="T13" s="3">
        <v>0</v>
      </c>
      <c r="U13" s="12">
        <v>0</v>
      </c>
      <c r="V13" s="4">
        <f t="shared" si="6"/>
        <v>5.59548680076559</v>
      </c>
      <c r="W13" s="3">
        <f t="shared" si="7"/>
        <v>5.5</v>
      </c>
      <c r="X13" s="12">
        <f t="shared" si="8"/>
        <v>984050</v>
      </c>
      <c r="Y13" s="3">
        <v>0</v>
      </c>
      <c r="Z13" s="12">
        <v>0</v>
      </c>
      <c r="AA13" s="4">
        <f t="shared" si="9"/>
        <v>5.5</v>
      </c>
      <c r="AB13" s="13">
        <f t="shared" si="10"/>
        <v>9.5486800765590019</v>
      </c>
      <c r="AO13" s="15">
        <v>200212</v>
      </c>
      <c r="AP13">
        <v>6.1909260819874401</v>
      </c>
      <c r="AQ13">
        <v>18983492</v>
      </c>
      <c r="AS13" s="15">
        <v>198611</v>
      </c>
      <c r="AT13">
        <v>10.125</v>
      </c>
      <c r="AU13">
        <v>75550</v>
      </c>
      <c r="AW13" s="15">
        <v>200405</v>
      </c>
      <c r="AX13">
        <v>5.625</v>
      </c>
      <c r="AY13">
        <v>600000</v>
      </c>
      <c r="BA13" s="15">
        <v>198703</v>
      </c>
      <c r="BB13">
        <v>7.5</v>
      </c>
      <c r="BC13">
        <v>29524</v>
      </c>
      <c r="BE13" s="15">
        <v>200412</v>
      </c>
      <c r="BF13" s="1">
        <f t="shared" si="11"/>
        <v>38108</v>
      </c>
      <c r="BG13" s="3">
        <f t="shared" si="12"/>
        <v>5.7383681636620398</v>
      </c>
      <c r="BH13" s="12">
        <f t="shared" si="13"/>
        <v>29629350</v>
      </c>
      <c r="BI13" s="3">
        <f t="shared" si="0"/>
        <v>6.125</v>
      </c>
      <c r="BJ13" s="12">
        <f t="shared" si="1"/>
        <v>1100000</v>
      </c>
      <c r="BK13" s="4">
        <f t="shared" si="14"/>
        <v>5.752208190215538</v>
      </c>
      <c r="BL13" s="3">
        <f t="shared" si="15"/>
        <v>5.80007723512949</v>
      </c>
      <c r="BM13" s="12">
        <f t="shared" si="16"/>
        <v>4051261659.98</v>
      </c>
      <c r="BN13" s="3">
        <f t="shared" si="2"/>
        <v>5.6765615610168902</v>
      </c>
      <c r="BO13" s="12">
        <f t="shared" si="3"/>
        <v>166257983</v>
      </c>
      <c r="BP13" s="4">
        <f t="shared" si="17"/>
        <v>5.7952081488927423</v>
      </c>
      <c r="BQ13" s="13">
        <f t="shared" si="18"/>
        <v>-4.2999958677204297</v>
      </c>
    </row>
    <row r="14" spans="1:69" x14ac:dyDescent="0.25">
      <c r="A14" s="1">
        <v>38047</v>
      </c>
      <c r="B14">
        <v>5.4157379974412398</v>
      </c>
      <c r="C14">
        <v>1485100</v>
      </c>
      <c r="E14" s="1">
        <v>38047</v>
      </c>
      <c r="F14">
        <v>5.6898741046233896</v>
      </c>
      <c r="G14">
        <v>4607000</v>
      </c>
      <c r="I14" s="1">
        <v>39022</v>
      </c>
      <c r="J14">
        <v>6.0857291598031003</v>
      </c>
      <c r="K14">
        <v>21368896</v>
      </c>
      <c r="M14" s="1">
        <v>39022</v>
      </c>
      <c r="N14">
        <v>6.1714086608465699</v>
      </c>
      <c r="O14">
        <v>29131494</v>
      </c>
      <c r="Q14" s="1">
        <v>38047</v>
      </c>
      <c r="R14" s="3">
        <f t="shared" si="4"/>
        <v>5.4157379974412398</v>
      </c>
      <c r="S14" s="12">
        <f t="shared" si="5"/>
        <v>1485100</v>
      </c>
      <c r="T14" s="3">
        <v>0</v>
      </c>
      <c r="U14" s="12">
        <v>0</v>
      </c>
      <c r="V14" s="4">
        <f t="shared" si="6"/>
        <v>5.4157379974412398</v>
      </c>
      <c r="W14" s="3">
        <f t="shared" si="7"/>
        <v>5.6898741046233896</v>
      </c>
      <c r="X14" s="12">
        <f t="shared" si="8"/>
        <v>4607000</v>
      </c>
      <c r="Y14" s="3">
        <v>0</v>
      </c>
      <c r="Z14" s="12">
        <v>0</v>
      </c>
      <c r="AA14" s="4">
        <f t="shared" si="9"/>
        <v>5.6898741046233896</v>
      </c>
      <c r="AB14" s="13">
        <f t="shared" si="10"/>
        <v>-27.413610718214976</v>
      </c>
      <c r="AO14" s="15">
        <v>200301</v>
      </c>
      <c r="AP14">
        <v>6.0869985414142</v>
      </c>
      <c r="AQ14">
        <v>18129266.07</v>
      </c>
      <c r="AS14" s="15">
        <v>198612</v>
      </c>
      <c r="AT14">
        <v>10.75</v>
      </c>
      <c r="AU14">
        <v>63900</v>
      </c>
      <c r="AW14" s="15">
        <v>200406</v>
      </c>
      <c r="AX14">
        <v>5.6234869191721897</v>
      </c>
      <c r="AY14">
        <v>1024400</v>
      </c>
      <c r="BA14" s="15">
        <v>198704</v>
      </c>
      <c r="BB14">
        <v>8.75</v>
      </c>
      <c r="BC14">
        <v>63500</v>
      </c>
      <c r="BE14" s="15">
        <v>200502</v>
      </c>
      <c r="BF14" s="1">
        <f t="shared" si="11"/>
        <v>38139</v>
      </c>
      <c r="BG14" s="3">
        <f t="shared" si="12"/>
        <v>5.6240238857512796</v>
      </c>
      <c r="BH14" s="12">
        <f t="shared" si="13"/>
        <v>17374375</v>
      </c>
      <c r="BI14" s="3">
        <f t="shared" si="0"/>
        <v>5.75</v>
      </c>
      <c r="BJ14" s="12">
        <f t="shared" si="1"/>
        <v>535000</v>
      </c>
      <c r="BK14" s="4">
        <f t="shared" si="14"/>
        <v>5.627787122666196</v>
      </c>
      <c r="BL14" s="3">
        <f t="shared" si="15"/>
        <v>5.79813580396217</v>
      </c>
      <c r="BM14" s="12">
        <f t="shared" si="16"/>
        <v>3413556292.6700001</v>
      </c>
      <c r="BN14" s="3">
        <f t="shared" si="2"/>
        <v>5.72374802376397</v>
      </c>
      <c r="BO14" s="12">
        <f t="shared" si="3"/>
        <v>123404415</v>
      </c>
      <c r="BP14" s="4">
        <f t="shared" si="17"/>
        <v>5.7955404173415044</v>
      </c>
      <c r="BQ14" s="13">
        <f t="shared" si="18"/>
        <v>-16.775329467530842</v>
      </c>
    </row>
    <row r="15" spans="1:69" x14ac:dyDescent="0.25">
      <c r="A15" s="1">
        <v>38078</v>
      </c>
      <c r="B15">
        <v>5.4170670566116499</v>
      </c>
      <c r="C15">
        <v>2393500</v>
      </c>
      <c r="E15" s="1">
        <v>38078</v>
      </c>
      <c r="F15">
        <v>5.4249066164538702</v>
      </c>
      <c r="G15">
        <v>3266100</v>
      </c>
      <c r="I15" s="1">
        <v>39052</v>
      </c>
      <c r="J15">
        <v>5.9629295046411803</v>
      </c>
      <c r="K15">
        <v>27012601</v>
      </c>
      <c r="M15" s="1">
        <v>39052</v>
      </c>
      <c r="N15">
        <v>6.0901183986385599</v>
      </c>
      <c r="O15">
        <v>31141152</v>
      </c>
      <c r="Q15" s="1">
        <v>38078</v>
      </c>
      <c r="R15" s="3">
        <f t="shared" si="4"/>
        <v>5.4170670566116499</v>
      </c>
      <c r="S15" s="12">
        <f t="shared" si="5"/>
        <v>2393500</v>
      </c>
      <c r="T15" s="3">
        <v>0</v>
      </c>
      <c r="U15" s="12">
        <v>0</v>
      </c>
      <c r="V15" s="4">
        <f t="shared" si="6"/>
        <v>5.4170670566116499</v>
      </c>
      <c r="W15" s="3">
        <f t="shared" si="7"/>
        <v>5.4249066164538702</v>
      </c>
      <c r="X15" s="12">
        <f t="shared" si="8"/>
        <v>3266100</v>
      </c>
      <c r="Y15" s="3">
        <v>0</v>
      </c>
      <c r="Z15" s="12">
        <v>0</v>
      </c>
      <c r="AA15" s="4">
        <f t="shared" si="9"/>
        <v>5.4249066164538702</v>
      </c>
      <c r="AB15" s="13">
        <f t="shared" si="10"/>
        <v>-0.78395598422202895</v>
      </c>
      <c r="AO15" s="15">
        <v>200302</v>
      </c>
      <c r="AP15">
        <v>6.0433551660461404</v>
      </c>
      <c r="AQ15">
        <v>25099950</v>
      </c>
      <c r="AS15" s="15">
        <v>198701</v>
      </c>
      <c r="AT15">
        <v>9.1217460707269105</v>
      </c>
      <c r="AU15">
        <v>407200</v>
      </c>
      <c r="AW15" s="15">
        <v>200407</v>
      </c>
      <c r="AX15">
        <v>5.875</v>
      </c>
      <c r="AY15">
        <v>624000</v>
      </c>
      <c r="BA15" s="15">
        <v>198706</v>
      </c>
      <c r="BB15">
        <v>8.7965163600846399</v>
      </c>
      <c r="BC15">
        <v>98288</v>
      </c>
      <c r="BE15" s="15">
        <v>200504</v>
      </c>
      <c r="BF15" s="1">
        <f t="shared" si="11"/>
        <v>38169</v>
      </c>
      <c r="BG15" s="3">
        <f t="shared" si="12"/>
        <v>5.6706425136313801</v>
      </c>
      <c r="BH15" s="12">
        <f t="shared" si="13"/>
        <v>48371643</v>
      </c>
      <c r="BI15" s="3">
        <f t="shared" si="0"/>
        <v>5.6155277401894397</v>
      </c>
      <c r="BJ15" s="12">
        <f t="shared" si="1"/>
        <v>2217000</v>
      </c>
      <c r="BK15" s="4">
        <f t="shared" si="14"/>
        <v>5.6682271601948244</v>
      </c>
      <c r="BL15" s="3">
        <f t="shared" si="15"/>
        <v>5.7497165185480004</v>
      </c>
      <c r="BM15" s="12">
        <f t="shared" si="16"/>
        <v>5200504141.1899996</v>
      </c>
      <c r="BN15" s="3">
        <f t="shared" si="2"/>
        <v>5.6869895540718902</v>
      </c>
      <c r="BO15" s="12">
        <f t="shared" si="3"/>
        <v>298983103</v>
      </c>
      <c r="BP15" s="4">
        <f t="shared" si="17"/>
        <v>5.7463063274432473</v>
      </c>
      <c r="BQ15" s="13">
        <f t="shared" si="18"/>
        <v>-7.8079167248422898</v>
      </c>
    </row>
    <row r="16" spans="1:69" x14ac:dyDescent="0.25">
      <c r="A16" s="1">
        <v>38108</v>
      </c>
      <c r="B16">
        <v>5.3431267003497798</v>
      </c>
      <c r="C16">
        <v>3216250</v>
      </c>
      <c r="E16" s="1">
        <v>38108</v>
      </c>
      <c r="F16">
        <v>5.2459073514441101</v>
      </c>
      <c r="G16">
        <v>5628690</v>
      </c>
      <c r="I16" s="1">
        <v>39083</v>
      </c>
      <c r="J16">
        <v>5.97519629670282</v>
      </c>
      <c r="K16">
        <v>21081862</v>
      </c>
      <c r="M16" s="1">
        <v>39083</v>
      </c>
      <c r="N16">
        <v>6.0842757864666304</v>
      </c>
      <c r="O16">
        <v>20023100</v>
      </c>
      <c r="Q16" s="1">
        <v>38108</v>
      </c>
      <c r="R16" s="3">
        <f t="shared" si="4"/>
        <v>5.3431267003497798</v>
      </c>
      <c r="S16" s="12">
        <f t="shared" si="5"/>
        <v>3216250</v>
      </c>
      <c r="T16" s="3">
        <v>0</v>
      </c>
      <c r="U16" s="12">
        <v>0</v>
      </c>
      <c r="V16" s="4">
        <f t="shared" si="6"/>
        <v>5.3431267003497789</v>
      </c>
      <c r="W16" s="3">
        <f t="shared" si="7"/>
        <v>5.2459073514441101</v>
      </c>
      <c r="X16" s="12">
        <f t="shared" si="8"/>
        <v>5628690</v>
      </c>
      <c r="Y16" s="3">
        <v>0</v>
      </c>
      <c r="Z16" s="12">
        <v>0</v>
      </c>
      <c r="AA16" s="4">
        <f t="shared" si="9"/>
        <v>5.2459073514441101</v>
      </c>
      <c r="AB16" s="13">
        <f t="shared" si="10"/>
        <v>9.7219348905668745</v>
      </c>
      <c r="AO16" s="15">
        <v>200303</v>
      </c>
      <c r="AP16">
        <v>5.9808354444238603</v>
      </c>
      <c r="AQ16">
        <v>32622740.390000001</v>
      </c>
      <c r="AS16" s="15">
        <v>198702</v>
      </c>
      <c r="AT16">
        <v>8.8194444444444393</v>
      </c>
      <c r="AU16">
        <v>226800</v>
      </c>
      <c r="AW16" s="15">
        <v>200408</v>
      </c>
      <c r="AX16">
        <v>6.25</v>
      </c>
      <c r="AY16">
        <v>610000</v>
      </c>
      <c r="BA16" s="15">
        <v>198707</v>
      </c>
      <c r="BB16">
        <v>9.5208281366924403</v>
      </c>
      <c r="BC16">
        <v>80180</v>
      </c>
      <c r="BE16" s="15">
        <v>200505</v>
      </c>
      <c r="BF16" s="1">
        <f t="shared" si="11"/>
        <v>38200</v>
      </c>
      <c r="BG16" s="3">
        <f t="shared" si="12"/>
        <v>5.81929108410392</v>
      </c>
      <c r="BH16" s="12">
        <f t="shared" si="13"/>
        <v>39335463</v>
      </c>
      <c r="BI16" s="3">
        <f t="shared" si="0"/>
        <v>5.625</v>
      </c>
      <c r="BJ16" s="12">
        <f t="shared" si="1"/>
        <v>604000</v>
      </c>
      <c r="BK16" s="4">
        <f t="shared" si="14"/>
        <v>5.8163528419247807</v>
      </c>
      <c r="BL16" s="3">
        <f t="shared" si="15"/>
        <v>5.95840959036624</v>
      </c>
      <c r="BM16" s="12">
        <f t="shared" si="16"/>
        <v>4121758510.7600002</v>
      </c>
      <c r="BN16" s="3">
        <f t="shared" si="2"/>
        <v>5.8643615584292803</v>
      </c>
      <c r="BO16" s="12">
        <f t="shared" si="3"/>
        <v>264399113</v>
      </c>
      <c r="BP16" s="4">
        <f t="shared" si="17"/>
        <v>5.9527403421639358</v>
      </c>
      <c r="BQ16" s="13">
        <f t="shared" si="18"/>
        <v>-13.638750023915502</v>
      </c>
    </row>
    <row r="17" spans="1:69" x14ac:dyDescent="0.25">
      <c r="A17" s="1">
        <v>38139</v>
      </c>
      <c r="B17">
        <v>5.4596778589338202</v>
      </c>
      <c r="C17">
        <v>3669200</v>
      </c>
      <c r="E17" s="1">
        <v>38139</v>
      </c>
      <c r="F17">
        <v>5.4669314177283796</v>
      </c>
      <c r="G17">
        <v>4611250</v>
      </c>
      <c r="I17" s="1">
        <v>39114</v>
      </c>
      <c r="J17">
        <v>5.8989011453455102</v>
      </c>
      <c r="K17">
        <v>59246052</v>
      </c>
      <c r="M17" s="1">
        <v>39114</v>
      </c>
      <c r="N17">
        <v>5.9490675065413301</v>
      </c>
      <c r="O17">
        <v>37531711</v>
      </c>
      <c r="Q17" s="1">
        <v>38139</v>
      </c>
      <c r="R17" s="3">
        <f t="shared" si="4"/>
        <v>5.4596778589338202</v>
      </c>
      <c r="S17" s="12">
        <f t="shared" si="5"/>
        <v>3669200</v>
      </c>
      <c r="T17" s="3">
        <v>0</v>
      </c>
      <c r="U17" s="12">
        <v>0</v>
      </c>
      <c r="V17" s="4">
        <f t="shared" si="6"/>
        <v>5.4596778589338202</v>
      </c>
      <c r="W17" s="3">
        <f t="shared" si="7"/>
        <v>5.4669314177283796</v>
      </c>
      <c r="X17" s="12">
        <f t="shared" si="8"/>
        <v>4611250</v>
      </c>
      <c r="Y17" s="3">
        <v>0</v>
      </c>
      <c r="Z17" s="12">
        <v>0</v>
      </c>
      <c r="AA17" s="4">
        <f t="shared" si="9"/>
        <v>5.4669314177283796</v>
      </c>
      <c r="AB17" s="13">
        <f t="shared" si="10"/>
        <v>-0.72535587945594671</v>
      </c>
      <c r="AO17" s="15">
        <v>200304</v>
      </c>
      <c r="AP17">
        <v>5.8268830005720602</v>
      </c>
      <c r="AQ17">
        <v>44957453.149999999</v>
      </c>
      <c r="AS17" s="15">
        <v>198703</v>
      </c>
      <c r="AT17">
        <v>9.4077400460816705</v>
      </c>
      <c r="AU17">
        <v>151643.79999999999</v>
      </c>
      <c r="AW17" s="15">
        <v>200410</v>
      </c>
      <c r="AX17">
        <v>6.25</v>
      </c>
      <c r="AY17">
        <v>620000</v>
      </c>
      <c r="BA17" s="15">
        <v>198708</v>
      </c>
      <c r="BB17">
        <v>7.74998989878583</v>
      </c>
      <c r="BC17">
        <v>197996</v>
      </c>
      <c r="BE17" s="15">
        <v>200507</v>
      </c>
      <c r="BF17" s="1">
        <f t="shared" si="11"/>
        <v>38261</v>
      </c>
      <c r="BG17" s="3">
        <f t="shared" si="12"/>
        <v>5.7181308372068198</v>
      </c>
      <c r="BH17" s="12">
        <f t="shared" si="13"/>
        <v>50970440</v>
      </c>
      <c r="BI17" s="3">
        <f t="shared" si="0"/>
        <v>5.875</v>
      </c>
      <c r="BJ17" s="12">
        <f t="shared" si="1"/>
        <v>553000</v>
      </c>
      <c r="BK17" s="4">
        <f t="shared" si="14"/>
        <v>5.7198145106382645</v>
      </c>
      <c r="BL17" s="3">
        <f t="shared" si="15"/>
        <v>5.7589795841846101</v>
      </c>
      <c r="BM17" s="12">
        <f t="shared" si="16"/>
        <v>7286902362.1800003</v>
      </c>
      <c r="BN17" s="3">
        <f t="shared" si="2"/>
        <v>5.7708048491413297</v>
      </c>
      <c r="BO17" s="12">
        <f t="shared" si="3"/>
        <v>459042920</v>
      </c>
      <c r="BP17" s="4">
        <f t="shared" si="17"/>
        <v>5.7596803771747176</v>
      </c>
      <c r="BQ17" s="13">
        <f t="shared" si="18"/>
        <v>-3.9865866536453076</v>
      </c>
    </row>
    <row r="18" spans="1:69" x14ac:dyDescent="0.25">
      <c r="A18" s="1">
        <v>38169</v>
      </c>
      <c r="B18">
        <v>5.9351659751037298</v>
      </c>
      <c r="C18">
        <v>964000</v>
      </c>
      <c r="E18" s="1">
        <v>38169</v>
      </c>
      <c r="F18">
        <v>5.81506064597568</v>
      </c>
      <c r="G18">
        <v>3644100</v>
      </c>
      <c r="I18" s="1">
        <v>39142</v>
      </c>
      <c r="J18">
        <v>5.9488324882992396</v>
      </c>
      <c r="K18">
        <v>36804235</v>
      </c>
      <c r="M18" s="1">
        <v>39142</v>
      </c>
      <c r="N18">
        <v>6.0764403225001802</v>
      </c>
      <c r="O18">
        <v>37305777</v>
      </c>
      <c r="Q18" s="1">
        <v>38169</v>
      </c>
      <c r="R18" s="3">
        <f t="shared" si="4"/>
        <v>5.9351659751037298</v>
      </c>
      <c r="S18" s="12">
        <f t="shared" si="5"/>
        <v>964000</v>
      </c>
      <c r="T18" s="3">
        <v>0</v>
      </c>
      <c r="U18" s="12">
        <v>0</v>
      </c>
      <c r="V18" s="4">
        <f t="shared" si="6"/>
        <v>5.9351659751037298</v>
      </c>
      <c r="W18" s="3">
        <f t="shared" si="7"/>
        <v>5.81506064597568</v>
      </c>
      <c r="X18" s="12">
        <f t="shared" si="8"/>
        <v>3644100</v>
      </c>
      <c r="Y18" s="3">
        <v>0</v>
      </c>
      <c r="Z18" s="12">
        <v>0</v>
      </c>
      <c r="AA18" s="4">
        <f t="shared" si="9"/>
        <v>5.81506064597568</v>
      </c>
      <c r="AB18" s="13">
        <f t="shared" si="10"/>
        <v>12.010532912804983</v>
      </c>
      <c r="AO18" s="15">
        <v>200305</v>
      </c>
      <c r="AP18">
        <v>5.8231710805041201</v>
      </c>
      <c r="AQ18">
        <v>76266098.680000007</v>
      </c>
      <c r="AS18" s="15">
        <v>198704</v>
      </c>
      <c r="AT18">
        <v>8.1858407079645996</v>
      </c>
      <c r="AU18">
        <v>90400</v>
      </c>
      <c r="AW18" s="15">
        <v>200412</v>
      </c>
      <c r="AX18">
        <v>6.125</v>
      </c>
      <c r="AY18">
        <v>1100000</v>
      </c>
      <c r="BA18" s="15">
        <v>198709</v>
      </c>
      <c r="BB18">
        <v>9.5689655172413701</v>
      </c>
      <c r="BC18">
        <v>145000</v>
      </c>
      <c r="BE18" s="15">
        <v>200508</v>
      </c>
      <c r="BF18" s="1">
        <f t="shared" si="11"/>
        <v>38322</v>
      </c>
      <c r="BG18" s="3">
        <f t="shared" si="12"/>
        <v>5.5959504636246002</v>
      </c>
      <c r="BH18" s="12">
        <f t="shared" si="13"/>
        <v>56984892.369999997</v>
      </c>
      <c r="BI18" s="3">
        <f t="shared" si="0"/>
        <v>5.6913331181407303</v>
      </c>
      <c r="BJ18" s="12">
        <f t="shared" si="1"/>
        <v>1549000</v>
      </c>
      <c r="BK18" s="4">
        <f t="shared" si="14"/>
        <v>5.5984746035008879</v>
      </c>
      <c r="BL18" s="3">
        <f t="shared" si="15"/>
        <v>5.7047503815757601</v>
      </c>
      <c r="BM18" s="12">
        <f t="shared" si="16"/>
        <v>7697508803.2600002</v>
      </c>
      <c r="BN18" s="3">
        <f t="shared" si="2"/>
        <v>5.6843800914420601</v>
      </c>
      <c r="BO18" s="12">
        <f t="shared" si="3"/>
        <v>667818656</v>
      </c>
      <c r="BP18" s="4">
        <f t="shared" si="17"/>
        <v>5.703124185847539</v>
      </c>
      <c r="BQ18" s="13">
        <f t="shared" si="18"/>
        <v>-10.464958234665112</v>
      </c>
    </row>
    <row r="19" spans="1:69" x14ac:dyDescent="0.25">
      <c r="A19" s="1">
        <v>38200</v>
      </c>
      <c r="B19">
        <v>6.0446035242290703</v>
      </c>
      <c r="C19">
        <v>908000</v>
      </c>
      <c r="E19" s="1">
        <v>38200</v>
      </c>
      <c r="F19">
        <v>6.0303666077738498</v>
      </c>
      <c r="G19">
        <v>2264000</v>
      </c>
      <c r="I19" s="1">
        <v>39173</v>
      </c>
      <c r="J19">
        <v>5.9381771913332999</v>
      </c>
      <c r="K19">
        <v>30402689</v>
      </c>
      <c r="M19" s="1">
        <v>39173</v>
      </c>
      <c r="N19">
        <v>5.9586960516331304</v>
      </c>
      <c r="O19">
        <v>30987546</v>
      </c>
      <c r="Q19" s="1">
        <v>38200</v>
      </c>
      <c r="R19" s="3">
        <f t="shared" si="4"/>
        <v>6.0446035242290703</v>
      </c>
      <c r="S19" s="12">
        <f t="shared" si="5"/>
        <v>908000</v>
      </c>
      <c r="T19" s="3">
        <v>0</v>
      </c>
      <c r="U19" s="12">
        <v>0</v>
      </c>
      <c r="V19" s="4">
        <f t="shared" si="6"/>
        <v>6.0446035242290712</v>
      </c>
      <c r="W19" s="3">
        <f t="shared" si="7"/>
        <v>6.0303666077738498</v>
      </c>
      <c r="X19" s="12">
        <f t="shared" si="8"/>
        <v>2264000</v>
      </c>
      <c r="Y19" s="3">
        <v>0</v>
      </c>
      <c r="Z19" s="12">
        <v>0</v>
      </c>
      <c r="AA19" s="4">
        <f t="shared" si="9"/>
        <v>6.0303666077738498</v>
      </c>
      <c r="AB19" s="13">
        <f t="shared" si="10"/>
        <v>1.4236916455221404</v>
      </c>
      <c r="AO19" s="15">
        <v>200306</v>
      </c>
      <c r="AP19">
        <v>5.7096537482927898</v>
      </c>
      <c r="AQ19">
        <v>70819975.439999998</v>
      </c>
      <c r="AS19" s="15">
        <v>198705</v>
      </c>
      <c r="AT19">
        <v>9.5386505878554892</v>
      </c>
      <c r="AU19">
        <v>384108</v>
      </c>
      <c r="AW19" s="15">
        <v>200501</v>
      </c>
      <c r="AX19">
        <v>6.25</v>
      </c>
      <c r="AY19">
        <v>500000</v>
      </c>
      <c r="BA19" s="15">
        <v>198710</v>
      </c>
      <c r="BB19">
        <v>7.5</v>
      </c>
      <c r="BC19">
        <v>42838</v>
      </c>
      <c r="BE19" s="15">
        <v>200509</v>
      </c>
      <c r="BF19" s="1">
        <f t="shared" si="11"/>
        <v>38353</v>
      </c>
      <c r="BG19" s="3">
        <f t="shared" si="12"/>
        <v>5.6799060048095802</v>
      </c>
      <c r="BH19" s="12">
        <f t="shared" si="13"/>
        <v>41468069.619999997</v>
      </c>
      <c r="BI19" s="3">
        <f t="shared" si="0"/>
        <v>5.5459962960804097</v>
      </c>
      <c r="BJ19" s="12">
        <f t="shared" si="1"/>
        <v>4717975</v>
      </c>
      <c r="BK19" s="4">
        <f t="shared" si="14"/>
        <v>5.6662269235364473</v>
      </c>
      <c r="BL19" s="3">
        <f t="shared" si="15"/>
        <v>5.8242195556146799</v>
      </c>
      <c r="BM19" s="12">
        <f t="shared" si="16"/>
        <v>7449325885.9899998</v>
      </c>
      <c r="BN19" s="3">
        <f t="shared" si="2"/>
        <v>5.8376684729643102</v>
      </c>
      <c r="BO19" s="12">
        <f t="shared" si="3"/>
        <v>1236807421</v>
      </c>
      <c r="BP19" s="4">
        <f t="shared" si="17"/>
        <v>5.8261345297688356</v>
      </c>
      <c r="BQ19" s="13">
        <f t="shared" si="18"/>
        <v>-15.990760623238831</v>
      </c>
    </row>
    <row r="20" spans="1:69" x14ac:dyDescent="0.25">
      <c r="A20" s="1">
        <v>38231</v>
      </c>
      <c r="B20">
        <v>5.875</v>
      </c>
      <c r="C20">
        <v>419000</v>
      </c>
      <c r="E20" s="1">
        <v>38231</v>
      </c>
      <c r="F20">
        <v>5.8958479943701603</v>
      </c>
      <c r="G20">
        <v>1421000</v>
      </c>
      <c r="I20" s="1">
        <v>39203</v>
      </c>
      <c r="J20">
        <v>5.8750589332039302</v>
      </c>
      <c r="K20">
        <v>49823356</v>
      </c>
      <c r="M20" s="1">
        <v>39203</v>
      </c>
      <c r="N20">
        <v>5.9976445646499004</v>
      </c>
      <c r="O20">
        <v>34024708</v>
      </c>
      <c r="Q20" s="1">
        <v>38231</v>
      </c>
      <c r="R20" s="3">
        <f t="shared" si="4"/>
        <v>5.875</v>
      </c>
      <c r="S20" s="12">
        <f t="shared" si="5"/>
        <v>419000</v>
      </c>
      <c r="T20" s="3">
        <v>0</v>
      </c>
      <c r="U20" s="12">
        <v>0</v>
      </c>
      <c r="V20" s="4">
        <f t="shared" si="6"/>
        <v>5.875</v>
      </c>
      <c r="W20" s="3">
        <f t="shared" si="7"/>
        <v>5.8958479943701603</v>
      </c>
      <c r="X20" s="12">
        <f t="shared" si="8"/>
        <v>1421000</v>
      </c>
      <c r="Y20" s="3">
        <v>0</v>
      </c>
      <c r="Z20" s="12">
        <v>0</v>
      </c>
      <c r="AA20" s="4">
        <f t="shared" si="9"/>
        <v>5.8958479943701603</v>
      </c>
      <c r="AB20" s="13">
        <f t="shared" si="10"/>
        <v>-2.0847994370160272</v>
      </c>
      <c r="AO20" s="15">
        <v>200307</v>
      </c>
      <c r="AP20">
        <v>5.5471346518044902</v>
      </c>
      <c r="AQ20">
        <v>170695579.43000001</v>
      </c>
      <c r="AS20" s="15">
        <v>198706</v>
      </c>
      <c r="AT20">
        <v>9.9652975223395597</v>
      </c>
      <c r="AU20">
        <v>492400</v>
      </c>
      <c r="AW20" s="15">
        <v>200502</v>
      </c>
      <c r="AX20">
        <v>5.75</v>
      </c>
      <c r="AY20">
        <v>535000</v>
      </c>
      <c r="BA20" s="15">
        <v>198711</v>
      </c>
      <c r="BB20">
        <v>8.25</v>
      </c>
      <c r="BC20">
        <v>79332</v>
      </c>
      <c r="BE20" s="15">
        <v>200510</v>
      </c>
      <c r="BF20" s="1">
        <f t="shared" si="11"/>
        <v>38384</v>
      </c>
      <c r="BG20" s="3">
        <f t="shared" si="12"/>
        <v>5.68472555470633</v>
      </c>
      <c r="BH20" s="12">
        <f t="shared" si="13"/>
        <v>28937789</v>
      </c>
      <c r="BI20" s="3">
        <f t="shared" si="0"/>
        <v>5.5799118211565997</v>
      </c>
      <c r="BJ20" s="12">
        <f t="shared" si="1"/>
        <v>5377934</v>
      </c>
      <c r="BK20" s="4">
        <f t="shared" si="14"/>
        <v>5.6682992261302418</v>
      </c>
      <c r="BL20" s="3">
        <f t="shared" si="15"/>
        <v>5.8668385452507597</v>
      </c>
      <c r="BM20" s="12">
        <f t="shared" si="16"/>
        <v>6581796187.7799997</v>
      </c>
      <c r="BN20" s="3">
        <f t="shared" si="2"/>
        <v>5.8584921784774702</v>
      </c>
      <c r="BO20" s="12">
        <f t="shared" si="3"/>
        <v>2763540401</v>
      </c>
      <c r="BP20" s="4">
        <f t="shared" si="17"/>
        <v>5.8643704135189143</v>
      </c>
      <c r="BQ20" s="13">
        <f t="shared" si="18"/>
        <v>-19.607118738867246</v>
      </c>
    </row>
    <row r="21" spans="1:69" x14ac:dyDescent="0.25">
      <c r="A21" s="1">
        <v>38261</v>
      </c>
      <c r="B21">
        <v>5.7788951334511998</v>
      </c>
      <c r="C21">
        <v>2375400</v>
      </c>
      <c r="E21" s="1">
        <v>38261</v>
      </c>
      <c r="F21">
        <v>5.7765623504708898</v>
      </c>
      <c r="G21">
        <v>1421128</v>
      </c>
      <c r="I21" s="1">
        <v>39234</v>
      </c>
      <c r="J21">
        <v>5.9508829180967302</v>
      </c>
      <c r="K21">
        <v>34515744</v>
      </c>
      <c r="M21" s="1">
        <v>39234</v>
      </c>
      <c r="N21">
        <v>5.9876714152466102</v>
      </c>
      <c r="O21">
        <v>30233600</v>
      </c>
      <c r="Q21" s="1">
        <v>38261</v>
      </c>
      <c r="R21" s="3">
        <f t="shared" si="4"/>
        <v>5.7788951334511998</v>
      </c>
      <c r="S21" s="12">
        <f t="shared" si="5"/>
        <v>2375400</v>
      </c>
      <c r="T21" s="3">
        <v>0</v>
      </c>
      <c r="U21" s="12">
        <v>0</v>
      </c>
      <c r="V21" s="4">
        <f t="shared" si="6"/>
        <v>5.7788951334511998</v>
      </c>
      <c r="W21" s="3">
        <f t="shared" si="7"/>
        <v>5.7765623504708898</v>
      </c>
      <c r="X21" s="12">
        <f t="shared" si="8"/>
        <v>1421128</v>
      </c>
      <c r="Y21" s="3">
        <v>0</v>
      </c>
      <c r="Z21" s="12">
        <v>0</v>
      </c>
      <c r="AA21" s="4">
        <f t="shared" si="9"/>
        <v>5.7765623504708898</v>
      </c>
      <c r="AB21" s="13">
        <f t="shared" si="10"/>
        <v>0.2332782980309922</v>
      </c>
      <c r="AO21" s="15">
        <v>200308</v>
      </c>
      <c r="AP21">
        <v>5.50651499657664</v>
      </c>
      <c r="AQ21">
        <v>195663996.52000001</v>
      </c>
      <c r="AS21" s="15">
        <v>198707</v>
      </c>
      <c r="AT21">
        <v>8.9650139017608801</v>
      </c>
      <c r="AU21">
        <v>539500</v>
      </c>
      <c r="AW21" s="15">
        <v>200503</v>
      </c>
      <c r="AX21">
        <v>5.75</v>
      </c>
      <c r="AY21">
        <v>492000</v>
      </c>
      <c r="BA21" s="15">
        <v>198712</v>
      </c>
      <c r="BB21">
        <v>8.5421609676668897</v>
      </c>
      <c r="BC21">
        <v>94578</v>
      </c>
      <c r="BE21" s="15">
        <v>200511</v>
      </c>
      <c r="BF21" s="1">
        <f t="shared" si="11"/>
        <v>38412</v>
      </c>
      <c r="BG21" s="3">
        <f t="shared" si="12"/>
        <v>5.7871351676474898</v>
      </c>
      <c r="BH21" s="12">
        <f t="shared" si="13"/>
        <v>27983538</v>
      </c>
      <c r="BI21" s="3">
        <f t="shared" si="0"/>
        <v>5.7722260867075699</v>
      </c>
      <c r="BJ21" s="12">
        <f t="shared" si="1"/>
        <v>32834615</v>
      </c>
      <c r="BK21" s="4">
        <f t="shared" si="14"/>
        <v>5.7790860259271533</v>
      </c>
      <c r="BL21" s="3">
        <f t="shared" si="15"/>
        <v>5.9339969766683698</v>
      </c>
      <c r="BM21" s="12">
        <f t="shared" si="16"/>
        <v>6057307670.6199999</v>
      </c>
      <c r="BN21" s="3">
        <f t="shared" si="2"/>
        <v>5.9230782957552099</v>
      </c>
      <c r="BO21" s="12">
        <f t="shared" si="3"/>
        <v>10218184048</v>
      </c>
      <c r="BP21" s="4">
        <f t="shared" si="17"/>
        <v>5.9271419400857024</v>
      </c>
      <c r="BQ21" s="13">
        <f t="shared" si="18"/>
        <v>-14.805591415854913</v>
      </c>
    </row>
    <row r="22" spans="1:69" x14ac:dyDescent="0.25">
      <c r="A22" s="1">
        <v>38292</v>
      </c>
      <c r="B22">
        <v>5.7024298839458396</v>
      </c>
      <c r="C22">
        <v>4136000</v>
      </c>
      <c r="E22" s="1">
        <v>38292</v>
      </c>
      <c r="F22">
        <v>5.7357557395733902</v>
      </c>
      <c r="G22">
        <v>4299100</v>
      </c>
      <c r="I22" s="1">
        <v>39264</v>
      </c>
      <c r="J22">
        <v>6.1529131699751698</v>
      </c>
      <c r="K22">
        <v>28040554</v>
      </c>
      <c r="M22" s="1">
        <v>39264</v>
      </c>
      <c r="N22">
        <v>6.2420427398517404</v>
      </c>
      <c r="O22">
        <v>29245305</v>
      </c>
      <c r="Q22" s="1">
        <v>38292</v>
      </c>
      <c r="R22" s="3">
        <f t="shared" si="4"/>
        <v>5.7024298839458396</v>
      </c>
      <c r="S22" s="12">
        <f t="shared" si="5"/>
        <v>4136000</v>
      </c>
      <c r="T22" s="3">
        <v>0</v>
      </c>
      <c r="U22" s="12">
        <v>0</v>
      </c>
      <c r="V22" s="4">
        <f t="shared" si="6"/>
        <v>5.7024298839458396</v>
      </c>
      <c r="W22" s="3">
        <f t="shared" si="7"/>
        <v>5.7357557395733902</v>
      </c>
      <c r="X22" s="12">
        <f t="shared" si="8"/>
        <v>4299100</v>
      </c>
      <c r="Y22" s="3">
        <v>0</v>
      </c>
      <c r="Z22" s="12">
        <v>0</v>
      </c>
      <c r="AA22" s="4">
        <f t="shared" si="9"/>
        <v>5.7357557395733902</v>
      </c>
      <c r="AB22" s="13">
        <f t="shared" si="10"/>
        <v>-3.3325855627550638</v>
      </c>
      <c r="AO22" s="15">
        <v>200309</v>
      </c>
      <c r="AP22">
        <v>5.5073683250894803</v>
      </c>
      <c r="AQ22">
        <v>85975984</v>
      </c>
      <c r="AS22" s="15">
        <v>198708</v>
      </c>
      <c r="AT22">
        <v>9</v>
      </c>
      <c r="AU22">
        <v>63000</v>
      </c>
      <c r="AW22" s="15">
        <v>200504</v>
      </c>
      <c r="AX22">
        <v>5.6155277401894397</v>
      </c>
      <c r="AY22">
        <v>2217000</v>
      </c>
      <c r="BA22" s="15">
        <v>198801</v>
      </c>
      <c r="BB22">
        <v>8.2321983542151198</v>
      </c>
      <c r="BC22">
        <v>102322</v>
      </c>
      <c r="BE22" s="15">
        <v>200512</v>
      </c>
      <c r="BF22" s="1">
        <f t="shared" si="11"/>
        <v>38443</v>
      </c>
      <c r="BG22" s="3">
        <f t="shared" si="12"/>
        <v>5.9416106838044804</v>
      </c>
      <c r="BH22" s="12">
        <f t="shared" si="13"/>
        <v>26605017</v>
      </c>
      <c r="BI22" s="3">
        <f t="shared" si="0"/>
        <v>5.8627446686773803</v>
      </c>
      <c r="BJ22" s="12">
        <f t="shared" si="1"/>
        <v>52312019</v>
      </c>
      <c r="BK22" s="4">
        <f t="shared" si="14"/>
        <v>5.8893324851936866</v>
      </c>
      <c r="BL22" s="3">
        <f t="shared" si="15"/>
        <v>6.1687840557540001</v>
      </c>
      <c r="BM22" s="12">
        <f t="shared" si="16"/>
        <v>4576728562.9700003</v>
      </c>
      <c r="BN22" s="3">
        <f t="shared" si="2"/>
        <v>6.1109528098315797</v>
      </c>
      <c r="BO22" s="12">
        <f t="shared" si="3"/>
        <v>16531233269</v>
      </c>
      <c r="BP22" s="4">
        <f t="shared" si="17"/>
        <v>6.1234920553140304</v>
      </c>
      <c r="BQ22" s="13">
        <f t="shared" si="18"/>
        <v>-23.415957012034383</v>
      </c>
    </row>
    <row r="23" spans="1:69" x14ac:dyDescent="0.25">
      <c r="A23" s="1">
        <v>38322</v>
      </c>
      <c r="B23">
        <v>5.6441425234132101</v>
      </c>
      <c r="C23">
        <v>2397150</v>
      </c>
      <c r="E23" s="1">
        <v>38322</v>
      </c>
      <c r="F23">
        <v>5.5740574903637903</v>
      </c>
      <c r="G23">
        <v>3671050</v>
      </c>
      <c r="I23" s="1">
        <v>39295</v>
      </c>
      <c r="J23">
        <v>6.2424475020723502</v>
      </c>
      <c r="K23">
        <v>25226091</v>
      </c>
      <c r="M23" s="1">
        <v>39295</v>
      </c>
      <c r="N23">
        <v>6.3539968384593397</v>
      </c>
      <c r="O23">
        <v>20673465</v>
      </c>
      <c r="Q23" s="1">
        <v>38322</v>
      </c>
      <c r="R23" s="3">
        <f t="shared" si="4"/>
        <v>5.6441425234132101</v>
      </c>
      <c r="S23" s="12">
        <f t="shared" si="5"/>
        <v>2397150</v>
      </c>
      <c r="T23" s="3">
        <v>0</v>
      </c>
      <c r="U23" s="12">
        <v>0</v>
      </c>
      <c r="V23" s="4">
        <f t="shared" si="6"/>
        <v>5.6441425234132101</v>
      </c>
      <c r="W23" s="3">
        <f t="shared" si="7"/>
        <v>5.5740574903637903</v>
      </c>
      <c r="X23" s="12">
        <f t="shared" si="8"/>
        <v>3671050</v>
      </c>
      <c r="Y23" s="3">
        <v>0</v>
      </c>
      <c r="Z23" s="12">
        <v>0</v>
      </c>
      <c r="AA23" s="4">
        <f t="shared" si="9"/>
        <v>5.5740574903637903</v>
      </c>
      <c r="AB23" s="13">
        <f t="shared" si="10"/>
        <v>7.008503304941982</v>
      </c>
      <c r="AO23" s="15">
        <v>200310</v>
      </c>
      <c r="AP23">
        <v>5.6127745570611101</v>
      </c>
      <c r="AQ23">
        <v>27026076</v>
      </c>
      <c r="AS23" s="15">
        <v>198709</v>
      </c>
      <c r="AT23">
        <v>10.135168195718601</v>
      </c>
      <c r="AU23">
        <v>408750</v>
      </c>
      <c r="AW23" s="15">
        <v>200505</v>
      </c>
      <c r="AX23">
        <v>5.625</v>
      </c>
      <c r="AY23">
        <v>604000</v>
      </c>
      <c r="BA23" s="15">
        <v>198802</v>
      </c>
      <c r="BB23">
        <v>7.75</v>
      </c>
      <c r="BC23">
        <v>34099</v>
      </c>
      <c r="BE23" s="15">
        <v>200601</v>
      </c>
      <c r="BF23" s="1">
        <f t="shared" si="11"/>
        <v>38473</v>
      </c>
      <c r="BG23" s="3">
        <f t="shared" si="12"/>
        <v>6.12963440807194</v>
      </c>
      <c r="BH23" s="12">
        <f t="shared" si="13"/>
        <v>11965390</v>
      </c>
      <c r="BI23" s="3">
        <f t="shared" si="0"/>
        <v>6.0026772762571401</v>
      </c>
      <c r="BJ23" s="12">
        <f t="shared" si="1"/>
        <v>61481795</v>
      </c>
      <c r="BK23" s="4">
        <f t="shared" si="14"/>
        <v>6.0233600511714611</v>
      </c>
      <c r="BL23" s="3">
        <f t="shared" si="15"/>
        <v>6.3605756165062903</v>
      </c>
      <c r="BM23" s="12">
        <f t="shared" si="16"/>
        <v>3752971444.9499998</v>
      </c>
      <c r="BN23" s="3">
        <f t="shared" si="2"/>
        <v>6.2533800890595099</v>
      </c>
      <c r="BO23" s="12">
        <f t="shared" si="3"/>
        <v>16324758492</v>
      </c>
      <c r="BP23" s="4">
        <f t="shared" si="17"/>
        <v>6.2734173021706265</v>
      </c>
      <c r="BQ23" s="13">
        <f t="shared" si="18"/>
        <v>-25.005725099916543</v>
      </c>
    </row>
    <row r="24" spans="1:69" x14ac:dyDescent="0.25">
      <c r="A24" s="1">
        <v>38353</v>
      </c>
      <c r="B24">
        <v>5.5486662883087403</v>
      </c>
      <c r="C24">
        <v>881000</v>
      </c>
      <c r="E24" s="1">
        <v>38353</v>
      </c>
      <c r="F24">
        <v>5.5864243350567797</v>
      </c>
      <c r="G24">
        <v>3418525</v>
      </c>
      <c r="I24" s="1">
        <v>39326</v>
      </c>
      <c r="J24">
        <v>6.3800802822951299</v>
      </c>
      <c r="K24">
        <v>29454564</v>
      </c>
      <c r="M24" s="1">
        <v>39326</v>
      </c>
      <c r="N24">
        <v>6.43423424120164</v>
      </c>
      <c r="O24">
        <v>21399506</v>
      </c>
      <c r="Q24" s="1">
        <v>38353</v>
      </c>
      <c r="R24" s="3">
        <f t="shared" si="4"/>
        <v>5.5486662883087403</v>
      </c>
      <c r="S24" s="12">
        <f t="shared" si="5"/>
        <v>881000</v>
      </c>
      <c r="T24" s="3">
        <v>0</v>
      </c>
      <c r="U24" s="12">
        <v>0</v>
      </c>
      <c r="V24" s="4">
        <f t="shared" si="6"/>
        <v>5.5486662883087403</v>
      </c>
      <c r="W24" s="3">
        <f t="shared" si="7"/>
        <v>5.5864243350567797</v>
      </c>
      <c r="X24" s="12">
        <f t="shared" si="8"/>
        <v>3418525</v>
      </c>
      <c r="Y24" s="3">
        <v>0</v>
      </c>
      <c r="Z24" s="12">
        <v>0</v>
      </c>
      <c r="AA24" s="4">
        <f t="shared" si="9"/>
        <v>5.5864243350567797</v>
      </c>
      <c r="AB24" s="13">
        <f t="shared" si="10"/>
        <v>-3.7758046748039398</v>
      </c>
      <c r="AO24" s="15">
        <v>200311</v>
      </c>
      <c r="AP24">
        <v>5.7738062529274998</v>
      </c>
      <c r="AQ24">
        <v>12649857.199999999</v>
      </c>
      <c r="AS24" s="15">
        <v>198710</v>
      </c>
      <c r="AT24">
        <v>10.242603550295801</v>
      </c>
      <c r="AU24">
        <v>105625</v>
      </c>
      <c r="AW24" s="15">
        <v>200507</v>
      </c>
      <c r="AX24">
        <v>5.875</v>
      </c>
      <c r="AY24">
        <v>553000</v>
      </c>
      <c r="BA24" s="15">
        <v>198804</v>
      </c>
      <c r="BB24">
        <v>9.25</v>
      </c>
      <c r="BC24">
        <v>50000</v>
      </c>
      <c r="BE24" s="15">
        <v>200602</v>
      </c>
      <c r="BF24" s="1">
        <f t="shared" si="11"/>
        <v>38534</v>
      </c>
      <c r="BG24" s="3">
        <f t="shared" si="12"/>
        <v>6.0250772396287298</v>
      </c>
      <c r="BH24" s="12">
        <f t="shared" si="13"/>
        <v>11700600</v>
      </c>
      <c r="BI24" s="3">
        <f t="shared" si="0"/>
        <v>6.0762618369661299</v>
      </c>
      <c r="BJ24" s="12">
        <f t="shared" si="1"/>
        <v>51417736</v>
      </c>
      <c r="BK24" s="4">
        <f t="shared" si="14"/>
        <v>6.0667734610430699</v>
      </c>
      <c r="BL24" s="3">
        <f t="shared" si="15"/>
        <v>6.3242411055360401</v>
      </c>
      <c r="BM24" s="12">
        <f t="shared" si="16"/>
        <v>3090150396.3000002</v>
      </c>
      <c r="BN24" s="3">
        <f t="shared" si="2"/>
        <v>6.2195789893541704</v>
      </c>
      <c r="BO24" s="12">
        <f t="shared" si="3"/>
        <v>13493262043</v>
      </c>
      <c r="BP24" s="4">
        <f t="shared" si="17"/>
        <v>6.2390817111842427</v>
      </c>
      <c r="BQ24" s="13">
        <f t="shared" si="18"/>
        <v>-17.230825014117279</v>
      </c>
    </row>
    <row r="25" spans="1:69" x14ac:dyDescent="0.25">
      <c r="A25" s="1">
        <v>38384</v>
      </c>
      <c r="B25">
        <v>5.6464080353851802</v>
      </c>
      <c r="C25">
        <v>3391250</v>
      </c>
      <c r="E25" s="1">
        <v>38384</v>
      </c>
      <c r="F25">
        <v>5.4577672916515301</v>
      </c>
      <c r="G25">
        <v>3785425</v>
      </c>
      <c r="I25" s="1">
        <v>39356</v>
      </c>
      <c r="J25">
        <v>6.3249149173922303</v>
      </c>
      <c r="K25">
        <v>28628060</v>
      </c>
      <c r="M25" s="1">
        <v>39356</v>
      </c>
      <c r="N25">
        <v>6.4211292355379399</v>
      </c>
      <c r="O25">
        <v>29057348</v>
      </c>
      <c r="Q25" s="1">
        <v>38384</v>
      </c>
      <c r="R25" s="3">
        <f t="shared" si="4"/>
        <v>5.6464080353851802</v>
      </c>
      <c r="S25" s="12">
        <f t="shared" si="5"/>
        <v>3391250</v>
      </c>
      <c r="T25" s="3">
        <v>0</v>
      </c>
      <c r="U25" s="12">
        <v>0</v>
      </c>
      <c r="V25" s="4">
        <f t="shared" si="6"/>
        <v>5.6464080353851802</v>
      </c>
      <c r="W25" s="3">
        <f t="shared" si="7"/>
        <v>5.4577672916515301</v>
      </c>
      <c r="X25" s="12">
        <f t="shared" si="8"/>
        <v>3785425</v>
      </c>
      <c r="Y25" s="3">
        <v>0</v>
      </c>
      <c r="Z25" s="12">
        <v>0</v>
      </c>
      <c r="AA25" s="4">
        <f t="shared" si="9"/>
        <v>5.4577672916515301</v>
      </c>
      <c r="AB25" s="13">
        <f t="shared" si="10"/>
        <v>18.864074373365014</v>
      </c>
      <c r="AO25" s="15">
        <v>200312</v>
      </c>
      <c r="AP25">
        <v>5.9470857530833197</v>
      </c>
      <c r="AQ25">
        <v>7585150</v>
      </c>
      <c r="AS25" s="15">
        <v>198712</v>
      </c>
      <c r="AT25">
        <v>8.875</v>
      </c>
      <c r="AU25">
        <v>46900</v>
      </c>
      <c r="AW25" s="15">
        <v>200508</v>
      </c>
      <c r="AX25">
        <v>5.6913331181407303</v>
      </c>
      <c r="AY25">
        <v>1549000</v>
      </c>
      <c r="BA25" s="15">
        <v>198805</v>
      </c>
      <c r="BB25">
        <v>8.5</v>
      </c>
      <c r="BC25">
        <v>92556</v>
      </c>
      <c r="BE25" s="15">
        <v>200603</v>
      </c>
      <c r="BF25" s="1">
        <f t="shared" si="11"/>
        <v>38565</v>
      </c>
      <c r="BG25" s="3">
        <f t="shared" si="12"/>
        <v>5.99735379534612</v>
      </c>
      <c r="BH25" s="12">
        <f t="shared" si="13"/>
        <v>16274866.51</v>
      </c>
      <c r="BI25" s="3">
        <f t="shared" si="0"/>
        <v>5.9560624060468799</v>
      </c>
      <c r="BJ25" s="12">
        <f t="shared" si="1"/>
        <v>64467663</v>
      </c>
      <c r="BK25" s="4">
        <f t="shared" si="14"/>
        <v>5.9643853041891068</v>
      </c>
      <c r="BL25" s="3">
        <f t="shared" si="15"/>
        <v>6.2959077185125096</v>
      </c>
      <c r="BM25" s="12">
        <f t="shared" si="16"/>
        <v>3703295086.29</v>
      </c>
      <c r="BN25" s="3">
        <f t="shared" si="2"/>
        <v>6.1936737470809398</v>
      </c>
      <c r="BO25" s="12">
        <f t="shared" si="3"/>
        <v>15309078547</v>
      </c>
      <c r="BP25" s="4">
        <f t="shared" si="17"/>
        <v>6.2135872292876817</v>
      </c>
      <c r="BQ25" s="13">
        <f t="shared" si="18"/>
        <v>-24.920192509857486</v>
      </c>
    </row>
    <row r="26" spans="1:69" x14ac:dyDescent="0.25">
      <c r="A26" s="1">
        <v>38412</v>
      </c>
      <c r="B26">
        <v>5.3295273798436602</v>
      </c>
      <c r="C26">
        <v>2389075</v>
      </c>
      <c r="E26" s="1">
        <v>38412</v>
      </c>
      <c r="F26">
        <v>5.4622317986452904</v>
      </c>
      <c r="G26">
        <v>4403175</v>
      </c>
      <c r="I26" s="1">
        <v>39387</v>
      </c>
      <c r="J26">
        <v>6.1261000581862</v>
      </c>
      <c r="K26">
        <v>23545100</v>
      </c>
      <c r="M26" s="1">
        <v>39387</v>
      </c>
      <c r="N26">
        <v>6.2143613632284902</v>
      </c>
      <c r="O26">
        <v>37634366</v>
      </c>
      <c r="Q26" s="1">
        <v>38412</v>
      </c>
      <c r="R26" s="3">
        <f t="shared" si="4"/>
        <v>5.3295273798436602</v>
      </c>
      <c r="S26" s="12">
        <f t="shared" si="5"/>
        <v>2389075</v>
      </c>
      <c r="T26" s="3">
        <v>0</v>
      </c>
      <c r="U26" s="12">
        <v>0</v>
      </c>
      <c r="V26" s="4">
        <f t="shared" si="6"/>
        <v>5.3295273798436602</v>
      </c>
      <c r="W26" s="3">
        <f t="shared" si="7"/>
        <v>5.4622317986452904</v>
      </c>
      <c r="X26" s="12">
        <f t="shared" si="8"/>
        <v>4403175</v>
      </c>
      <c r="Y26" s="3">
        <v>0</v>
      </c>
      <c r="Z26" s="12">
        <v>0</v>
      </c>
      <c r="AA26" s="4">
        <f t="shared" si="9"/>
        <v>5.4622317986452904</v>
      </c>
      <c r="AB26" s="13">
        <f t="shared" si="10"/>
        <v>-13.27044188016302</v>
      </c>
      <c r="AO26" s="15">
        <v>200401</v>
      </c>
      <c r="AP26">
        <v>5.8050241339328696</v>
      </c>
      <c r="AQ26">
        <v>11962410</v>
      </c>
      <c r="AS26" s="15">
        <v>198801</v>
      </c>
      <c r="AT26">
        <v>9.9</v>
      </c>
      <c r="AU26">
        <v>31400</v>
      </c>
      <c r="AW26" s="15">
        <v>200509</v>
      </c>
      <c r="AX26">
        <v>5.5459962960804097</v>
      </c>
      <c r="AY26">
        <v>4717975</v>
      </c>
      <c r="BA26" s="15">
        <v>198806</v>
      </c>
      <c r="BB26">
        <v>8.8283087760113705</v>
      </c>
      <c r="BC26">
        <v>147003</v>
      </c>
      <c r="BE26" s="15">
        <v>200604</v>
      </c>
      <c r="BF26" s="1">
        <f t="shared" si="11"/>
        <v>38596</v>
      </c>
      <c r="BG26" s="3">
        <f t="shared" si="12"/>
        <v>6.1820578464304701</v>
      </c>
      <c r="BH26" s="12">
        <f t="shared" si="13"/>
        <v>16239550</v>
      </c>
      <c r="BI26" s="3">
        <f t="shared" si="0"/>
        <v>6.0523930397731398</v>
      </c>
      <c r="BJ26" s="12">
        <f t="shared" si="1"/>
        <v>63881596</v>
      </c>
      <c r="BK26" s="4">
        <f t="shared" si="14"/>
        <v>6.078674467536942</v>
      </c>
      <c r="BL26" s="3">
        <f t="shared" si="15"/>
        <v>6.3569938114674001</v>
      </c>
      <c r="BM26" s="12">
        <f t="shared" si="16"/>
        <v>4554413229.8199997</v>
      </c>
      <c r="BN26" s="3">
        <f t="shared" si="2"/>
        <v>6.2673206396611203</v>
      </c>
      <c r="BO26" s="12">
        <f t="shared" si="3"/>
        <v>17632509825</v>
      </c>
      <c r="BP26" s="4">
        <f t="shared" si="17"/>
        <v>6.2857282700939354</v>
      </c>
      <c r="BQ26" s="13">
        <f t="shared" si="18"/>
        <v>-20.705380255699346</v>
      </c>
    </row>
    <row r="27" spans="1:69" x14ac:dyDescent="0.25">
      <c r="A27" s="1">
        <v>38443</v>
      </c>
      <c r="B27">
        <v>5.4496395902112296</v>
      </c>
      <c r="C27">
        <v>5285650</v>
      </c>
      <c r="E27" s="1">
        <v>38443</v>
      </c>
      <c r="F27">
        <v>5.5596887694007</v>
      </c>
      <c r="G27">
        <v>7749720</v>
      </c>
      <c r="I27" s="1">
        <v>39417</v>
      </c>
      <c r="J27">
        <v>5.9353992175247701</v>
      </c>
      <c r="K27">
        <v>32250989</v>
      </c>
      <c r="M27" s="1">
        <v>39417</v>
      </c>
      <c r="N27">
        <v>6.1365979490177596</v>
      </c>
      <c r="O27">
        <v>26310223</v>
      </c>
      <c r="Q27" s="1">
        <v>38443</v>
      </c>
      <c r="R27" s="3">
        <f t="shared" si="4"/>
        <v>5.4496395902112296</v>
      </c>
      <c r="S27" s="12">
        <f t="shared" si="5"/>
        <v>5285650</v>
      </c>
      <c r="T27" s="3">
        <v>0</v>
      </c>
      <c r="U27" s="12">
        <v>0</v>
      </c>
      <c r="V27" s="4">
        <f t="shared" si="6"/>
        <v>5.4496395902112296</v>
      </c>
      <c r="W27" s="3">
        <f t="shared" si="7"/>
        <v>5.5596887694007</v>
      </c>
      <c r="X27" s="12">
        <f t="shared" si="8"/>
        <v>7749720</v>
      </c>
      <c r="Y27" s="3">
        <v>0</v>
      </c>
      <c r="Z27" s="12">
        <v>0</v>
      </c>
      <c r="AA27" s="4">
        <f t="shared" si="9"/>
        <v>5.5596887694007</v>
      </c>
      <c r="AB27" s="13">
        <f t="shared" si="10"/>
        <v>-11.004917918947044</v>
      </c>
      <c r="AO27" s="15">
        <v>200402</v>
      </c>
      <c r="AP27">
        <v>5.7870250496506497</v>
      </c>
      <c r="AQ27">
        <v>12457539</v>
      </c>
      <c r="AS27" s="15">
        <v>198803</v>
      </c>
      <c r="AT27">
        <v>8</v>
      </c>
      <c r="AU27">
        <v>32050</v>
      </c>
      <c r="AW27" s="15">
        <v>200510</v>
      </c>
      <c r="AX27">
        <v>5.5799118211565997</v>
      </c>
      <c r="AY27">
        <v>5377934</v>
      </c>
      <c r="BA27" s="15">
        <v>198807</v>
      </c>
      <c r="BB27">
        <v>7.625</v>
      </c>
      <c r="BC27">
        <v>95667</v>
      </c>
      <c r="BE27" s="15">
        <v>200605</v>
      </c>
      <c r="BF27" s="1">
        <f t="shared" si="11"/>
        <v>38626</v>
      </c>
      <c r="BG27" s="3">
        <f t="shared" si="12"/>
        <v>6.2204986181394997</v>
      </c>
      <c r="BH27" s="12">
        <f t="shared" si="13"/>
        <v>13062100</v>
      </c>
      <c r="BI27" s="3">
        <f t="shared" si="0"/>
        <v>6.1590872385980102</v>
      </c>
      <c r="BJ27" s="12">
        <f t="shared" si="1"/>
        <v>61689758</v>
      </c>
      <c r="BK27" s="4">
        <f t="shared" si="14"/>
        <v>6.1698182304712672</v>
      </c>
      <c r="BL27" s="3">
        <f t="shared" si="15"/>
        <v>6.4580203776519802</v>
      </c>
      <c r="BM27" s="12">
        <f t="shared" si="16"/>
        <v>4000472220.5999999</v>
      </c>
      <c r="BN27" s="3">
        <f t="shared" si="2"/>
        <v>6.3828966763922299</v>
      </c>
      <c r="BO27" s="12">
        <f t="shared" si="3"/>
        <v>15350668394</v>
      </c>
      <c r="BP27" s="4">
        <f t="shared" si="17"/>
        <v>6.3984270415517672</v>
      </c>
      <c r="BQ27" s="13">
        <f t="shared" si="18"/>
        <v>-22.860881108050002</v>
      </c>
    </row>
    <row r="28" spans="1:69" x14ac:dyDescent="0.25">
      <c r="A28" s="1">
        <v>38473</v>
      </c>
      <c r="B28">
        <v>6.0516203776650297</v>
      </c>
      <c r="C28">
        <v>2855970</v>
      </c>
      <c r="E28" s="1">
        <v>38473</v>
      </c>
      <c r="F28">
        <v>5.7042681605144798</v>
      </c>
      <c r="G28">
        <v>9019348</v>
      </c>
      <c r="I28" s="1">
        <v>39448</v>
      </c>
      <c r="J28">
        <v>5.9702399901642504</v>
      </c>
      <c r="K28">
        <v>34697922</v>
      </c>
      <c r="M28" s="1">
        <v>39448</v>
      </c>
      <c r="N28">
        <v>5.9586527164725496</v>
      </c>
      <c r="O28">
        <v>28896850</v>
      </c>
      <c r="Q28" s="1">
        <v>38473</v>
      </c>
      <c r="R28" s="3">
        <f t="shared" si="4"/>
        <v>6.0516203776650297</v>
      </c>
      <c r="S28" s="12">
        <f t="shared" si="5"/>
        <v>2855970</v>
      </c>
      <c r="T28" s="3">
        <v>0</v>
      </c>
      <c r="U28" s="12">
        <v>0</v>
      </c>
      <c r="V28" s="4">
        <f t="shared" si="6"/>
        <v>6.0516203776650306</v>
      </c>
      <c r="W28" s="3">
        <f t="shared" si="7"/>
        <v>5.7042681605144798</v>
      </c>
      <c r="X28" s="12">
        <f t="shared" si="8"/>
        <v>9019348</v>
      </c>
      <c r="Y28" s="3">
        <v>0</v>
      </c>
      <c r="Z28" s="12">
        <v>0</v>
      </c>
      <c r="AA28" s="4">
        <f t="shared" si="9"/>
        <v>5.7042681605144798</v>
      </c>
      <c r="AB28" s="13">
        <f t="shared" si="10"/>
        <v>34.735221715055076</v>
      </c>
      <c r="AO28" s="15">
        <v>200403</v>
      </c>
      <c r="AP28">
        <v>5.5444900095604597</v>
      </c>
      <c r="AQ28">
        <v>13733420.289999999</v>
      </c>
      <c r="AS28" s="15">
        <v>198804</v>
      </c>
      <c r="AT28">
        <v>9.1764705882352899</v>
      </c>
      <c r="AU28">
        <v>102000</v>
      </c>
      <c r="AW28" s="15">
        <v>200511</v>
      </c>
      <c r="AX28">
        <v>5.7722260867075699</v>
      </c>
      <c r="AY28">
        <v>32834615</v>
      </c>
      <c r="BA28" s="15">
        <v>198808</v>
      </c>
      <c r="BB28">
        <v>8.26596020843653</v>
      </c>
      <c r="BC28">
        <v>524860</v>
      </c>
      <c r="BE28" s="15">
        <v>200606</v>
      </c>
      <c r="BF28" s="1">
        <f t="shared" si="11"/>
        <v>38657</v>
      </c>
      <c r="BG28" s="3">
        <f t="shared" si="12"/>
        <v>6.4997904741802097</v>
      </c>
      <c r="BH28" s="12">
        <f t="shared" si="13"/>
        <v>8053900</v>
      </c>
      <c r="BI28" s="3">
        <f t="shared" si="0"/>
        <v>6.2548785297756</v>
      </c>
      <c r="BJ28" s="12">
        <f t="shared" si="1"/>
        <v>46448420</v>
      </c>
      <c r="BK28" s="4">
        <f t="shared" si="14"/>
        <v>6.2910695819920983</v>
      </c>
      <c r="BL28" s="3">
        <f t="shared" si="15"/>
        <v>6.6250782242150903</v>
      </c>
      <c r="BM28" s="12">
        <f t="shared" si="16"/>
        <v>3858255448.73</v>
      </c>
      <c r="BN28" s="3">
        <f t="shared" si="2"/>
        <v>6.5212518416871896</v>
      </c>
      <c r="BO28" s="12">
        <f t="shared" si="3"/>
        <v>17233250576</v>
      </c>
      <c r="BP28" s="4">
        <f t="shared" si="17"/>
        <v>6.5402447341644026</v>
      </c>
      <c r="BQ28" s="13">
        <f t="shared" si="18"/>
        <v>-24.917515217230424</v>
      </c>
    </row>
    <row r="29" spans="1:69" x14ac:dyDescent="0.25">
      <c r="A29" s="1">
        <v>38504</v>
      </c>
      <c r="B29">
        <v>5.5462467536531097</v>
      </c>
      <c r="C29">
        <v>6391800</v>
      </c>
      <c r="E29" s="1">
        <v>38504</v>
      </c>
      <c r="F29">
        <v>5.64578071067087</v>
      </c>
      <c r="G29">
        <v>6662212</v>
      </c>
      <c r="I29" s="1">
        <v>39479</v>
      </c>
      <c r="J29">
        <v>5.8365500632774197</v>
      </c>
      <c r="K29">
        <v>37647705</v>
      </c>
      <c r="M29" s="1">
        <v>39479</v>
      </c>
      <c r="N29">
        <v>5.94904941225019</v>
      </c>
      <c r="O29">
        <v>39649864</v>
      </c>
      <c r="Q29" s="1">
        <v>38504</v>
      </c>
      <c r="R29" s="3">
        <f t="shared" si="4"/>
        <v>5.5462467536531097</v>
      </c>
      <c r="S29" s="12">
        <f t="shared" si="5"/>
        <v>6391800</v>
      </c>
      <c r="T29" s="3">
        <v>0</v>
      </c>
      <c r="U29" s="12">
        <v>0</v>
      </c>
      <c r="V29" s="4">
        <f t="shared" si="6"/>
        <v>5.5462467536531097</v>
      </c>
      <c r="W29" s="3">
        <f t="shared" si="7"/>
        <v>5.64578071067087</v>
      </c>
      <c r="X29" s="12">
        <f t="shared" si="8"/>
        <v>6662212</v>
      </c>
      <c r="Y29" s="3">
        <v>0</v>
      </c>
      <c r="Z29" s="12">
        <v>0</v>
      </c>
      <c r="AA29" s="4">
        <f t="shared" si="9"/>
        <v>5.64578071067087</v>
      </c>
      <c r="AB29" s="13">
        <f t="shared" si="10"/>
        <v>-9.9533957017760244</v>
      </c>
      <c r="AO29" s="15">
        <v>200404</v>
      </c>
      <c r="AP29">
        <v>5.5240968879663299</v>
      </c>
      <c r="AQ29">
        <v>31436261.440000001</v>
      </c>
      <c r="AS29" s="15">
        <v>198805</v>
      </c>
      <c r="AT29">
        <v>8.875</v>
      </c>
      <c r="AU29">
        <v>74000</v>
      </c>
      <c r="AW29" s="15">
        <v>200512</v>
      </c>
      <c r="AX29">
        <v>5.8627446686773803</v>
      </c>
      <c r="AY29">
        <v>52312019</v>
      </c>
      <c r="BA29" s="15">
        <v>198809</v>
      </c>
      <c r="BB29">
        <v>7.8717184092194099</v>
      </c>
      <c r="BC29">
        <v>185695</v>
      </c>
      <c r="BE29" s="15">
        <v>200607</v>
      </c>
      <c r="BF29" s="1">
        <f t="shared" si="11"/>
        <v>38687</v>
      </c>
      <c r="BG29" s="3">
        <f t="shared" si="12"/>
        <v>6.6017412935323296</v>
      </c>
      <c r="BH29" s="12">
        <f t="shared" si="13"/>
        <v>13467000</v>
      </c>
      <c r="BI29" s="3">
        <f t="shared" si="0"/>
        <v>6.4030623302212604</v>
      </c>
      <c r="BJ29" s="12">
        <f t="shared" si="1"/>
        <v>62014540</v>
      </c>
      <c r="BK29" s="4">
        <f t="shared" si="14"/>
        <v>6.4385095349140924</v>
      </c>
      <c r="BL29" s="3">
        <f t="shared" si="15"/>
        <v>6.7308948192354201</v>
      </c>
      <c r="BM29" s="12">
        <f t="shared" si="16"/>
        <v>3621847644.25</v>
      </c>
      <c r="BN29" s="3">
        <f t="shared" si="2"/>
        <v>6.6024386814406597</v>
      </c>
      <c r="BO29" s="12">
        <f t="shared" si="3"/>
        <v>18989317094</v>
      </c>
      <c r="BP29" s="4">
        <f t="shared" si="17"/>
        <v>6.6230147360334763</v>
      </c>
      <c r="BQ29" s="13">
        <f t="shared" si="18"/>
        <v>-18.450520111938395</v>
      </c>
    </row>
    <row r="30" spans="1:69" x14ac:dyDescent="0.25">
      <c r="A30" s="1">
        <v>38534</v>
      </c>
      <c r="B30">
        <v>5.8009905218285098</v>
      </c>
      <c r="C30">
        <v>6615200</v>
      </c>
      <c r="E30" s="1">
        <v>38534</v>
      </c>
      <c r="F30">
        <v>5.5707915493638698</v>
      </c>
      <c r="G30">
        <v>9100380</v>
      </c>
      <c r="I30" s="1">
        <v>39508</v>
      </c>
      <c r="J30">
        <v>5.6561895681052299</v>
      </c>
      <c r="K30">
        <v>79298461</v>
      </c>
      <c r="M30" s="1">
        <v>39508</v>
      </c>
      <c r="N30">
        <v>5.7316969228591201</v>
      </c>
      <c r="O30">
        <v>47326400</v>
      </c>
      <c r="Q30" s="1">
        <v>38534</v>
      </c>
      <c r="R30" s="3">
        <f t="shared" si="4"/>
        <v>5.8009905218285098</v>
      </c>
      <c r="S30" s="12">
        <f t="shared" si="5"/>
        <v>6615200</v>
      </c>
      <c r="T30" s="3">
        <v>0</v>
      </c>
      <c r="U30" s="12">
        <v>0</v>
      </c>
      <c r="V30" s="4">
        <f t="shared" si="6"/>
        <v>5.8009905218285098</v>
      </c>
      <c r="W30" s="3">
        <f t="shared" si="7"/>
        <v>5.5707915493638698</v>
      </c>
      <c r="X30" s="12">
        <f t="shared" si="8"/>
        <v>9100380</v>
      </c>
      <c r="Y30" s="3">
        <v>0</v>
      </c>
      <c r="Z30" s="12">
        <v>0</v>
      </c>
      <c r="AA30" s="4">
        <f t="shared" si="9"/>
        <v>5.5707915493638698</v>
      </c>
      <c r="AB30" s="13">
        <f t="shared" si="10"/>
        <v>23.019897246464005</v>
      </c>
      <c r="AO30" s="15">
        <v>200405</v>
      </c>
      <c r="AP30">
        <v>5.45900219223783</v>
      </c>
      <c r="AQ30">
        <v>67857016.920000002</v>
      </c>
      <c r="AS30" s="15">
        <v>198807</v>
      </c>
      <c r="AT30">
        <v>8.875</v>
      </c>
      <c r="AU30">
        <v>44650</v>
      </c>
      <c r="AW30" s="15">
        <v>200601</v>
      </c>
      <c r="AX30">
        <v>6.0026772762571401</v>
      </c>
      <c r="AY30">
        <v>61481795</v>
      </c>
      <c r="BA30" s="15">
        <v>198810</v>
      </c>
      <c r="BB30">
        <v>8.4749999999999996</v>
      </c>
      <c r="BC30">
        <v>57986</v>
      </c>
      <c r="BE30" s="15">
        <v>200608</v>
      </c>
      <c r="BF30" s="1">
        <f t="shared" si="11"/>
        <v>38718</v>
      </c>
      <c r="BG30" s="3">
        <f t="shared" si="12"/>
        <v>6.5373353531856901</v>
      </c>
      <c r="BH30" s="12">
        <f t="shared" si="13"/>
        <v>9489878.4199999999</v>
      </c>
      <c r="BI30" s="3">
        <f t="shared" si="0"/>
        <v>6.5296004820007303</v>
      </c>
      <c r="BJ30" s="12">
        <f t="shared" si="1"/>
        <v>62627291</v>
      </c>
      <c r="BK30" s="4">
        <f t="shared" si="14"/>
        <v>6.5306183115651733</v>
      </c>
      <c r="BL30" s="3">
        <f t="shared" si="15"/>
        <v>6.8404054070500004</v>
      </c>
      <c r="BM30" s="12">
        <f t="shared" si="16"/>
        <v>3112958823.1799998</v>
      </c>
      <c r="BN30" s="3">
        <f t="shared" si="2"/>
        <v>6.7168288786219099</v>
      </c>
      <c r="BO30" s="12">
        <f t="shared" si="3"/>
        <v>15796374592</v>
      </c>
      <c r="BP30" s="4">
        <f t="shared" si="17"/>
        <v>6.7371727287229062</v>
      </c>
      <c r="BQ30" s="13">
        <f t="shared" si="18"/>
        <v>-20.655441715773293</v>
      </c>
    </row>
    <row r="31" spans="1:69" x14ac:dyDescent="0.25">
      <c r="A31" s="1">
        <v>38565</v>
      </c>
      <c r="B31">
        <v>5.4680961541019402</v>
      </c>
      <c r="C31">
        <v>7668378</v>
      </c>
      <c r="E31" s="1">
        <v>38565</v>
      </c>
      <c r="F31">
        <v>5.4777383755387596</v>
      </c>
      <c r="G31">
        <v>10840825</v>
      </c>
      <c r="I31" s="1">
        <v>39539</v>
      </c>
      <c r="J31">
        <v>5.6534452211190196</v>
      </c>
      <c r="K31">
        <v>62713667</v>
      </c>
      <c r="M31" s="1">
        <v>39539</v>
      </c>
      <c r="N31">
        <v>5.7929253662950799</v>
      </c>
      <c r="O31">
        <v>58008081</v>
      </c>
      <c r="Q31" s="1">
        <v>38565</v>
      </c>
      <c r="R31" s="3">
        <f t="shared" si="4"/>
        <v>5.4680961541019402</v>
      </c>
      <c r="S31" s="12">
        <f t="shared" si="5"/>
        <v>7668378</v>
      </c>
      <c r="T31" s="3">
        <v>0</v>
      </c>
      <c r="U31" s="12">
        <v>0</v>
      </c>
      <c r="V31" s="4">
        <f t="shared" si="6"/>
        <v>5.4680961541019402</v>
      </c>
      <c r="W31" s="3">
        <f t="shared" si="7"/>
        <v>5.4777383755387596</v>
      </c>
      <c r="X31" s="12">
        <f t="shared" si="8"/>
        <v>10840825</v>
      </c>
      <c r="Y31" s="3">
        <v>0</v>
      </c>
      <c r="Z31" s="12">
        <v>0</v>
      </c>
      <c r="AA31" s="4">
        <f t="shared" si="9"/>
        <v>5.4777383755387596</v>
      </c>
      <c r="AB31" s="13">
        <f t="shared" si="10"/>
        <v>-0.96422214368194759</v>
      </c>
      <c r="AO31" s="15">
        <v>200406</v>
      </c>
      <c r="AP31">
        <v>5.6321562948593504</v>
      </c>
      <c r="AQ31">
        <v>40307922</v>
      </c>
      <c r="AS31" s="15">
        <v>198808</v>
      </c>
      <c r="AT31">
        <v>9.8646686646686597</v>
      </c>
      <c r="AU31">
        <v>150150</v>
      </c>
      <c r="AW31" s="15">
        <v>200602</v>
      </c>
      <c r="AX31">
        <v>6.0762618369661299</v>
      </c>
      <c r="AY31">
        <v>51417736</v>
      </c>
      <c r="BA31" s="15">
        <v>198811</v>
      </c>
      <c r="BB31">
        <v>7.4699793012924003</v>
      </c>
      <c r="BC31">
        <v>118848</v>
      </c>
      <c r="BE31" s="15">
        <v>200609</v>
      </c>
      <c r="BF31" s="1">
        <f t="shared" si="11"/>
        <v>38749</v>
      </c>
      <c r="BG31" s="3">
        <f t="shared" si="12"/>
        <v>6.4405986831146098</v>
      </c>
      <c r="BH31" s="12">
        <f t="shared" si="13"/>
        <v>10596287.41</v>
      </c>
      <c r="BI31" s="3">
        <f t="shared" si="0"/>
        <v>6.3579778058015597</v>
      </c>
      <c r="BJ31" s="12">
        <f t="shared" si="1"/>
        <v>50191495</v>
      </c>
      <c r="BK31" s="4">
        <f t="shared" si="14"/>
        <v>6.3723799525383917</v>
      </c>
      <c r="BL31" s="3">
        <f t="shared" si="15"/>
        <v>6.7524592178512597</v>
      </c>
      <c r="BM31" s="12">
        <f t="shared" si="16"/>
        <v>3811989241.0500002</v>
      </c>
      <c r="BN31" s="3">
        <f t="shared" si="2"/>
        <v>6.6477786080542502</v>
      </c>
      <c r="BO31" s="12">
        <f t="shared" si="3"/>
        <v>16766458276</v>
      </c>
      <c r="BP31" s="4">
        <f t="shared" si="17"/>
        <v>6.6671698355976368</v>
      </c>
      <c r="BQ31" s="13">
        <f t="shared" si="18"/>
        <v>-29.478988305924503</v>
      </c>
    </row>
    <row r="32" spans="1:69" x14ac:dyDescent="0.25">
      <c r="A32" s="1">
        <v>38596</v>
      </c>
      <c r="B32">
        <v>5.4480737727148103</v>
      </c>
      <c r="C32">
        <v>8591198</v>
      </c>
      <c r="E32" s="1">
        <v>38596</v>
      </c>
      <c r="F32">
        <v>5.60258708807351</v>
      </c>
      <c r="G32">
        <v>9802720</v>
      </c>
      <c r="I32" s="1">
        <v>39569</v>
      </c>
      <c r="J32">
        <v>6.1007092761855697</v>
      </c>
      <c r="K32">
        <v>179330813</v>
      </c>
      <c r="M32" s="1">
        <v>39569</v>
      </c>
      <c r="N32">
        <v>6.0586403597184901</v>
      </c>
      <c r="O32">
        <v>80166020</v>
      </c>
      <c r="Q32" s="1">
        <v>38596</v>
      </c>
      <c r="R32" s="3">
        <f t="shared" si="4"/>
        <v>5.4480737727148103</v>
      </c>
      <c r="S32" s="12">
        <f t="shared" si="5"/>
        <v>8591198</v>
      </c>
      <c r="T32" s="3">
        <v>0</v>
      </c>
      <c r="U32" s="12">
        <v>0</v>
      </c>
      <c r="V32" s="4">
        <f t="shared" si="6"/>
        <v>5.4480737727148103</v>
      </c>
      <c r="W32" s="3">
        <f t="shared" si="7"/>
        <v>5.60258708807351</v>
      </c>
      <c r="X32" s="12">
        <f t="shared" si="8"/>
        <v>9802720</v>
      </c>
      <c r="Y32" s="3">
        <v>0</v>
      </c>
      <c r="Z32" s="12">
        <v>0</v>
      </c>
      <c r="AA32" s="4">
        <f t="shared" si="9"/>
        <v>5.60258708807351</v>
      </c>
      <c r="AB32" s="13">
        <f t="shared" si="10"/>
        <v>-15.451331535869972</v>
      </c>
      <c r="AO32" s="15">
        <v>200407</v>
      </c>
      <c r="AP32">
        <v>5.9362550417441504</v>
      </c>
      <c r="AQ32">
        <v>10902725</v>
      </c>
      <c r="AS32" s="15">
        <v>198809</v>
      </c>
      <c r="AT32">
        <v>10.3072478991596</v>
      </c>
      <c r="AU32">
        <v>95200</v>
      </c>
      <c r="AW32" s="15">
        <v>200603</v>
      </c>
      <c r="AX32">
        <v>5.9560624060468799</v>
      </c>
      <c r="AY32">
        <v>64467663</v>
      </c>
      <c r="BA32" s="15">
        <v>198901</v>
      </c>
      <c r="BB32">
        <v>7.9450000000000003</v>
      </c>
      <c r="BC32">
        <v>97117</v>
      </c>
      <c r="BE32" s="15">
        <v>200610</v>
      </c>
      <c r="BF32" s="1">
        <f t="shared" si="11"/>
        <v>38777</v>
      </c>
      <c r="BG32" s="3">
        <f t="shared" si="12"/>
        <v>6.2494311615521498</v>
      </c>
      <c r="BH32" s="12">
        <f t="shared" si="13"/>
        <v>12783946</v>
      </c>
      <c r="BI32" s="3">
        <f t="shared" si="0"/>
        <v>6.1712891491081603</v>
      </c>
      <c r="BJ32" s="12">
        <f t="shared" si="1"/>
        <v>53065417</v>
      </c>
      <c r="BK32" s="4">
        <f t="shared" si="14"/>
        <v>6.1864595808618477</v>
      </c>
      <c r="BL32" s="3">
        <f t="shared" si="15"/>
        <v>6.5737370318100501</v>
      </c>
      <c r="BM32" s="12">
        <f t="shared" si="16"/>
        <v>3953153462.6799998</v>
      </c>
      <c r="BN32" s="3">
        <f t="shared" si="2"/>
        <v>6.4585441129113699</v>
      </c>
      <c r="BO32" s="12">
        <f t="shared" si="3"/>
        <v>16202553690</v>
      </c>
      <c r="BP32" s="4">
        <f t="shared" si="17"/>
        <v>6.4811369836437658</v>
      </c>
      <c r="BQ32" s="13">
        <f t="shared" si="18"/>
        <v>-29.467740278191812</v>
      </c>
    </row>
    <row r="33" spans="1:69" x14ac:dyDescent="0.25">
      <c r="A33" s="1">
        <v>38626</v>
      </c>
      <c r="B33">
        <v>5.6096891098324502</v>
      </c>
      <c r="C33">
        <v>7986856</v>
      </c>
      <c r="E33" s="1">
        <v>38626</v>
      </c>
      <c r="F33">
        <v>5.6113970460166502</v>
      </c>
      <c r="G33">
        <v>7176750</v>
      </c>
      <c r="I33" s="1">
        <v>39600</v>
      </c>
      <c r="J33">
        <v>6.1032673020431103</v>
      </c>
      <c r="K33">
        <v>199164239</v>
      </c>
      <c r="M33" s="1">
        <v>39600</v>
      </c>
      <c r="N33">
        <v>6.0703618045071401</v>
      </c>
      <c r="O33">
        <v>74354574</v>
      </c>
      <c r="Q33" s="1">
        <v>38626</v>
      </c>
      <c r="R33" s="3">
        <f t="shared" si="4"/>
        <v>5.6096891098324502</v>
      </c>
      <c r="S33" s="12">
        <f t="shared" si="5"/>
        <v>7986856</v>
      </c>
      <c r="T33" s="3">
        <v>0</v>
      </c>
      <c r="U33" s="12">
        <v>0</v>
      </c>
      <c r="V33" s="4">
        <f t="shared" si="6"/>
        <v>5.6096891098324502</v>
      </c>
      <c r="W33" s="3">
        <f t="shared" si="7"/>
        <v>5.6113970460166502</v>
      </c>
      <c r="X33" s="12">
        <f t="shared" si="8"/>
        <v>7176750</v>
      </c>
      <c r="Y33" s="3">
        <v>0</v>
      </c>
      <c r="Z33" s="12">
        <v>0</v>
      </c>
      <c r="AA33" s="4">
        <f t="shared" si="9"/>
        <v>5.6113970460166502</v>
      </c>
      <c r="AB33" s="13">
        <f t="shared" si="10"/>
        <v>-0.17079361842000651</v>
      </c>
      <c r="AO33" s="15">
        <v>200408</v>
      </c>
      <c r="AP33">
        <v>6.2684272852183902</v>
      </c>
      <c r="AQ33">
        <v>8296800</v>
      </c>
      <c r="AS33" s="15">
        <v>198811</v>
      </c>
      <c r="AT33">
        <v>9.1299149067409697</v>
      </c>
      <c r="AU33">
        <v>370412.42</v>
      </c>
      <c r="AW33" s="15">
        <v>200604</v>
      </c>
      <c r="AX33">
        <v>6.0523930397731398</v>
      </c>
      <c r="AY33">
        <v>63881596</v>
      </c>
      <c r="BA33" s="15">
        <v>198903</v>
      </c>
      <c r="BB33">
        <v>7.4483802564510899</v>
      </c>
      <c r="BC33">
        <v>125560</v>
      </c>
      <c r="BE33" s="15">
        <v>200611</v>
      </c>
      <c r="BF33" s="1">
        <f t="shared" si="11"/>
        <v>38808</v>
      </c>
      <c r="BG33" s="3">
        <f t="shared" si="12"/>
        <v>6.21764899409576</v>
      </c>
      <c r="BH33" s="12">
        <f t="shared" si="13"/>
        <v>15817808</v>
      </c>
      <c r="BI33" s="3">
        <f t="shared" si="0"/>
        <v>6.0771989289819697</v>
      </c>
      <c r="BJ33" s="12">
        <f t="shared" si="1"/>
        <v>76716916</v>
      </c>
      <c r="BK33" s="4">
        <f t="shared" si="14"/>
        <v>6.1012073451475324</v>
      </c>
      <c r="BL33" s="3">
        <f t="shared" si="15"/>
        <v>6.4541365072694603</v>
      </c>
      <c r="BM33" s="12">
        <f t="shared" si="16"/>
        <v>4580498846.71</v>
      </c>
      <c r="BN33" s="3">
        <f t="shared" si="2"/>
        <v>6.3446023692543996</v>
      </c>
      <c r="BO33" s="12">
        <f t="shared" si="3"/>
        <v>19039840988</v>
      </c>
      <c r="BP33" s="4">
        <f t="shared" si="17"/>
        <v>6.3658434265958395</v>
      </c>
      <c r="BQ33" s="13">
        <f t="shared" si="18"/>
        <v>-26.463608144830708</v>
      </c>
    </row>
    <row r="34" spans="1:69" x14ac:dyDescent="0.25">
      <c r="A34" s="1">
        <v>38657</v>
      </c>
      <c r="B34">
        <v>5.8168692805793798</v>
      </c>
      <c r="C34">
        <v>5605900</v>
      </c>
      <c r="E34" s="1">
        <v>38657</v>
      </c>
      <c r="F34">
        <v>5.7132259954415199</v>
      </c>
      <c r="G34">
        <v>7051921</v>
      </c>
      <c r="I34" s="1">
        <v>39630</v>
      </c>
      <c r="J34">
        <v>6.0767739258753304</v>
      </c>
      <c r="K34">
        <v>203470424</v>
      </c>
      <c r="M34" s="1">
        <v>39630</v>
      </c>
      <c r="N34">
        <v>6.1053922915335797</v>
      </c>
      <c r="O34">
        <v>69068187</v>
      </c>
      <c r="Q34" s="1">
        <v>38657</v>
      </c>
      <c r="R34" s="3">
        <f t="shared" si="4"/>
        <v>5.8168692805793798</v>
      </c>
      <c r="S34" s="12">
        <f t="shared" si="5"/>
        <v>5605900</v>
      </c>
      <c r="T34" s="3">
        <v>0</v>
      </c>
      <c r="U34" s="12">
        <v>0</v>
      </c>
      <c r="V34" s="4">
        <f t="shared" si="6"/>
        <v>5.8168692805793798</v>
      </c>
      <c r="W34" s="3">
        <f t="shared" si="7"/>
        <v>5.7132259954415199</v>
      </c>
      <c r="X34" s="12">
        <f t="shared" si="8"/>
        <v>7051921</v>
      </c>
      <c r="Y34" s="3">
        <v>0</v>
      </c>
      <c r="Z34" s="12">
        <v>0</v>
      </c>
      <c r="AA34" s="4">
        <f t="shared" si="9"/>
        <v>5.7132259954415199</v>
      </c>
      <c r="AB34" s="13">
        <f t="shared" si="10"/>
        <v>10.364328513785992</v>
      </c>
      <c r="AO34" s="15">
        <v>200409</v>
      </c>
      <c r="AP34">
        <v>6.0038004907057498</v>
      </c>
      <c r="AQ34">
        <v>14829155.460000001</v>
      </c>
      <c r="AS34" s="15">
        <v>198812</v>
      </c>
      <c r="AT34">
        <v>8.6477272727272698</v>
      </c>
      <c r="AU34">
        <v>220000</v>
      </c>
      <c r="AW34" s="15">
        <v>200605</v>
      </c>
      <c r="AX34">
        <v>6.1590872385980102</v>
      </c>
      <c r="AY34">
        <v>61689758</v>
      </c>
      <c r="BA34" s="15">
        <v>198904</v>
      </c>
      <c r="BB34">
        <v>8.75</v>
      </c>
      <c r="BC34">
        <v>46315</v>
      </c>
      <c r="BE34" s="15">
        <v>200612</v>
      </c>
      <c r="BF34" s="1">
        <f t="shared" si="11"/>
        <v>38838</v>
      </c>
      <c r="BG34" s="3">
        <f t="shared" si="12"/>
        <v>6.0881997179364804</v>
      </c>
      <c r="BH34" s="12">
        <f t="shared" si="13"/>
        <v>14418894.17</v>
      </c>
      <c r="BI34" s="3">
        <f t="shared" si="0"/>
        <v>6.02760421139019</v>
      </c>
      <c r="BJ34" s="12">
        <f>VLOOKUP($BE34,AW:AY,3,0)</f>
        <v>56830640</v>
      </c>
      <c r="BK34" s="4">
        <f t="shared" si="14"/>
        <v>6.0398670311580185</v>
      </c>
      <c r="BL34" s="3">
        <f t="shared" si="15"/>
        <v>6.3971626449166301</v>
      </c>
      <c r="BM34" s="12">
        <f t="shared" si="16"/>
        <v>4443300602.0900002</v>
      </c>
      <c r="BN34" s="3">
        <f t="shared" si="2"/>
        <v>6.3155299285014603</v>
      </c>
      <c r="BO34" s="12">
        <f t="shared" si="3"/>
        <v>17996305801</v>
      </c>
      <c r="BP34" s="4">
        <f t="shared" si="17"/>
        <v>6.3316941468697392</v>
      </c>
      <c r="BQ34" s="13">
        <f t="shared" si="18"/>
        <v>-29.182711571172071</v>
      </c>
    </row>
    <row r="35" spans="1:69" x14ac:dyDescent="0.25">
      <c r="A35" s="1">
        <v>38687</v>
      </c>
      <c r="B35">
        <v>5.69121783590621</v>
      </c>
      <c r="C35">
        <v>6191959</v>
      </c>
      <c r="E35" s="1">
        <v>38687</v>
      </c>
      <c r="F35">
        <v>5.9230508396475496</v>
      </c>
      <c r="G35">
        <v>7487070</v>
      </c>
      <c r="I35" s="1">
        <v>39661</v>
      </c>
      <c r="J35">
        <v>6.2766712016249597</v>
      </c>
      <c r="K35">
        <v>133349260</v>
      </c>
      <c r="M35" s="1">
        <v>39661</v>
      </c>
      <c r="N35">
        <v>6.3469940994455998</v>
      </c>
      <c r="O35">
        <v>63325914</v>
      </c>
      <c r="Q35" s="1">
        <v>38687</v>
      </c>
      <c r="R35" s="3">
        <f t="shared" si="4"/>
        <v>5.69121783590621</v>
      </c>
      <c r="S35" s="12">
        <f t="shared" si="5"/>
        <v>6191959</v>
      </c>
      <c r="T35" s="3">
        <f>VLOOKUP($Q35,I:K,2,0)</f>
        <v>5.7864762278559896</v>
      </c>
      <c r="U35" s="12">
        <f>VLOOKUP($Q35,I:K,3,0)</f>
        <v>22815990</v>
      </c>
      <c r="V35" s="4">
        <f t="shared" si="6"/>
        <v>5.7661426269744194</v>
      </c>
      <c r="W35" s="3">
        <f t="shared" si="7"/>
        <v>5.9230508396475496</v>
      </c>
      <c r="X35" s="12">
        <f t="shared" si="8"/>
        <v>7487070</v>
      </c>
      <c r="Y35" s="3">
        <f>VLOOKUP($Q35,M:O,2,0)</f>
        <v>5.7862689226723898</v>
      </c>
      <c r="Z35" s="12">
        <f>VLOOKUP($Q35,M:O,3,0)</f>
        <v>22159991</v>
      </c>
      <c r="AA35" s="4">
        <f t="shared" si="9"/>
        <v>5.8208118335911889</v>
      </c>
      <c r="AB35" s="13">
        <f t="shared" si="10"/>
        <v>-5.466920661676955</v>
      </c>
      <c r="AO35" s="15">
        <v>200410</v>
      </c>
      <c r="AP35">
        <v>5.8572352705925104</v>
      </c>
      <c r="AQ35">
        <v>24300722.239999998</v>
      </c>
      <c r="AS35" s="15">
        <v>198901</v>
      </c>
      <c r="AT35">
        <v>7.875</v>
      </c>
      <c r="AU35">
        <v>43110</v>
      </c>
      <c r="AW35" s="15">
        <v>200606</v>
      </c>
      <c r="AX35">
        <v>6.2548785297756</v>
      </c>
      <c r="AY35">
        <v>46448420</v>
      </c>
      <c r="BA35" s="15">
        <v>198906</v>
      </c>
      <c r="BB35">
        <v>8.1929331777827201</v>
      </c>
      <c r="BC35">
        <v>103289</v>
      </c>
      <c r="BE35" s="15">
        <v>200701</v>
      </c>
      <c r="BF35" s="1">
        <f t="shared" si="11"/>
        <v>38869</v>
      </c>
      <c r="BG35" s="3">
        <f t="shared" si="12"/>
        <v>5.8976214567598602</v>
      </c>
      <c r="BH35" s="12">
        <f t="shared" si="13"/>
        <v>20589241</v>
      </c>
      <c r="BI35" s="3">
        <f>VLOOKUP($BE35,AW:AY,2,0)</f>
        <v>5.8824930966899203</v>
      </c>
      <c r="BJ35" s="12">
        <f>VLOOKUP($BE35,AW:AY,3,0)</f>
        <v>62964722</v>
      </c>
      <c r="BK35" s="4">
        <f t="shared" si="14"/>
        <v>5.8862210042628353</v>
      </c>
      <c r="BL35" s="3">
        <f t="shared" si="15"/>
        <v>6.2256958256552899</v>
      </c>
      <c r="BM35" s="12">
        <f t="shared" si="16"/>
        <v>5310015992.29</v>
      </c>
      <c r="BN35" s="3">
        <f>VLOOKUP($BE35,BA:BC,2,0)</f>
        <v>6.14443674344533</v>
      </c>
      <c r="BO35" s="12">
        <f>VLOOKUP($BE35,BA:BC,3,0)</f>
        <v>19447655093</v>
      </c>
      <c r="BP35" s="4">
        <f t="shared" si="17"/>
        <v>6.1618651608666299</v>
      </c>
      <c r="BQ35" s="13">
        <f t="shared" si="18"/>
        <v>-27.56441566037946</v>
      </c>
    </row>
    <row r="36" spans="1:69" x14ac:dyDescent="0.25">
      <c r="A36" s="1">
        <v>38718</v>
      </c>
      <c r="B36">
        <v>5.8690842241862899</v>
      </c>
      <c r="C36">
        <v>4373898</v>
      </c>
      <c r="E36" s="1">
        <v>38718</v>
      </c>
      <c r="F36">
        <v>6.1323165283933303</v>
      </c>
      <c r="G36">
        <v>6536570</v>
      </c>
      <c r="I36" s="1">
        <v>39692</v>
      </c>
      <c r="J36">
        <v>6.2822239844341503</v>
      </c>
      <c r="K36">
        <v>77204423</v>
      </c>
      <c r="M36" s="1">
        <v>39692</v>
      </c>
      <c r="N36">
        <v>6.4133804462178103</v>
      </c>
      <c r="O36">
        <v>31823920</v>
      </c>
      <c r="Q36" s="1">
        <v>38718</v>
      </c>
      <c r="R36" s="3">
        <f t="shared" si="4"/>
        <v>5.8690842241862899</v>
      </c>
      <c r="S36" s="12">
        <f t="shared" si="5"/>
        <v>4373898</v>
      </c>
      <c r="T36" s="3">
        <f t="shared" ref="T36:T99" si="19">VLOOKUP($Q36,I:K,2,0)</f>
        <v>5.9437236702967997</v>
      </c>
      <c r="U36" s="12">
        <f t="shared" ref="U36:U99" si="20">VLOOKUP($Q36,I:K,3,0)</f>
        <v>35493184</v>
      </c>
      <c r="V36" s="4">
        <f t="shared" si="6"/>
        <v>5.9355348260752976</v>
      </c>
      <c r="W36" s="3">
        <f t="shared" si="7"/>
        <v>6.1323165283933303</v>
      </c>
      <c r="X36" s="12">
        <f t="shared" si="8"/>
        <v>6536570</v>
      </c>
      <c r="Y36" s="3">
        <f t="shared" ref="Y36:Y99" si="21">VLOOKUP($Q36,M:O,2,0)</f>
        <v>5.8846357542438401</v>
      </c>
      <c r="Z36" s="12">
        <f t="shared" ref="Z36:Z99" si="22">VLOOKUP($Q36,M:O,3,0)</f>
        <v>40584083</v>
      </c>
      <c r="AA36" s="4">
        <f t="shared" si="9"/>
        <v>5.9189939945229444</v>
      </c>
      <c r="AB36" s="13">
        <f t="shared" si="10"/>
        <v>1.6540831552353197</v>
      </c>
      <c r="AO36" s="15">
        <v>200411</v>
      </c>
      <c r="AP36">
        <v>5.7779912042036399</v>
      </c>
      <c r="AQ36">
        <v>24864150</v>
      </c>
      <c r="AS36" s="15">
        <v>198902</v>
      </c>
      <c r="AT36">
        <v>10</v>
      </c>
      <c r="AU36">
        <v>29600</v>
      </c>
      <c r="AW36" s="15">
        <v>200607</v>
      </c>
      <c r="AX36">
        <v>6.4030623302212604</v>
      </c>
      <c r="AY36">
        <v>62014540</v>
      </c>
      <c r="BA36" s="15">
        <v>198907</v>
      </c>
      <c r="BB36">
        <v>7.50665146092713</v>
      </c>
      <c r="BC36">
        <v>119034</v>
      </c>
      <c r="BE36" s="15">
        <v>200702</v>
      </c>
      <c r="BF36" s="1">
        <f t="shared" si="11"/>
        <v>38899</v>
      </c>
      <c r="BG36" s="3">
        <f t="shared" si="12"/>
        <v>5.9887719939764201</v>
      </c>
      <c r="BH36" s="12">
        <f t="shared" si="13"/>
        <v>13878800</v>
      </c>
      <c r="BI36" s="3">
        <f t="shared" ref="BI36:BI99" si="23">VLOOKUP($BE36,AW:AY,2,0)</f>
        <v>5.8892331732516698</v>
      </c>
      <c r="BJ36" s="12">
        <f t="shared" ref="BJ36:BJ99" si="24">VLOOKUP($BE36,AW:AY,3,0)</f>
        <v>62711121</v>
      </c>
      <c r="BK36" s="4">
        <f t="shared" si="14"/>
        <v>5.907270525517311</v>
      </c>
      <c r="BL36" s="3">
        <f t="shared" si="15"/>
        <v>6.2314540164889198</v>
      </c>
      <c r="BM36" s="12">
        <f t="shared" si="16"/>
        <v>4822243379.1499996</v>
      </c>
      <c r="BN36" s="3">
        <f t="shared" ref="BN36:BN99" si="25">VLOOKUP($BE36,BA:BC,2,0)</f>
        <v>6.1388584403363602</v>
      </c>
      <c r="BO36" s="12">
        <f t="shared" ref="BO36:BO99" si="26">VLOOKUP($BE36,BA:BC,3,0)</f>
        <v>16559778229</v>
      </c>
      <c r="BP36" s="4">
        <f t="shared" si="17"/>
        <v>6.1597413302811557</v>
      </c>
      <c r="BQ36" s="13">
        <f t="shared" si="18"/>
        <v>-25.247080476384465</v>
      </c>
    </row>
    <row r="37" spans="1:69" x14ac:dyDescent="0.25">
      <c r="A37" s="1">
        <v>38749</v>
      </c>
      <c r="B37">
        <v>5.97179779135221</v>
      </c>
      <c r="C37">
        <v>3024475</v>
      </c>
      <c r="E37" s="1">
        <v>38749</v>
      </c>
      <c r="F37">
        <v>6.1167704644863399</v>
      </c>
      <c r="G37">
        <v>4681537</v>
      </c>
      <c r="I37" s="1">
        <v>39722</v>
      </c>
      <c r="J37">
        <v>6.4479666152091797</v>
      </c>
      <c r="K37">
        <v>128234681</v>
      </c>
      <c r="M37" s="1">
        <v>39722</v>
      </c>
      <c r="N37">
        <v>6.5399030276930397</v>
      </c>
      <c r="O37">
        <v>70770153</v>
      </c>
      <c r="Q37" s="1">
        <v>38749</v>
      </c>
      <c r="R37" s="3">
        <f t="shared" si="4"/>
        <v>5.97179779135221</v>
      </c>
      <c r="S37" s="12">
        <f t="shared" si="5"/>
        <v>3024475</v>
      </c>
      <c r="T37" s="3">
        <f t="shared" si="19"/>
        <v>5.9451739813222</v>
      </c>
      <c r="U37" s="12">
        <f t="shared" si="20"/>
        <v>29389764</v>
      </c>
      <c r="V37" s="4">
        <f t="shared" si="6"/>
        <v>5.947658168837461</v>
      </c>
      <c r="W37" s="3">
        <f t="shared" si="7"/>
        <v>6.1167704644863399</v>
      </c>
      <c r="X37" s="12">
        <f t="shared" si="8"/>
        <v>4681537</v>
      </c>
      <c r="Y37" s="3">
        <f t="shared" si="21"/>
        <v>6.0619456354093701</v>
      </c>
      <c r="Z37" s="12">
        <f t="shared" si="22"/>
        <v>30099776</v>
      </c>
      <c r="AA37" s="4">
        <f t="shared" si="9"/>
        <v>6.0693250136934074</v>
      </c>
      <c r="AB37" s="13">
        <f t="shared" si="10"/>
        <v>-12.166684485594637</v>
      </c>
      <c r="AO37" s="15">
        <v>200412</v>
      </c>
      <c r="AP37">
        <v>5.7383681636620398</v>
      </c>
      <c r="AQ37">
        <v>29629350</v>
      </c>
      <c r="AS37" s="15">
        <v>198903</v>
      </c>
      <c r="AT37">
        <v>9.8864762649973894</v>
      </c>
      <c r="AU37">
        <v>95850</v>
      </c>
      <c r="AW37" s="15">
        <v>200608</v>
      </c>
      <c r="AX37">
        <v>6.5296004820007303</v>
      </c>
      <c r="AY37">
        <v>62627291</v>
      </c>
      <c r="BA37" s="15">
        <v>198908</v>
      </c>
      <c r="BB37">
        <v>8.6220968812209602</v>
      </c>
      <c r="BC37">
        <v>42196</v>
      </c>
      <c r="BE37" s="15">
        <v>200703</v>
      </c>
      <c r="BF37" s="1">
        <f t="shared" si="11"/>
        <v>38930</v>
      </c>
      <c r="BG37" s="3">
        <f t="shared" si="12"/>
        <v>5.9396814192407099</v>
      </c>
      <c r="BH37" s="12">
        <f t="shared" si="13"/>
        <v>8818800</v>
      </c>
      <c r="BI37" s="3">
        <f t="shared" si="23"/>
        <v>5.9841567978954204</v>
      </c>
      <c r="BJ37" s="12">
        <f t="shared" si="24"/>
        <v>59707619</v>
      </c>
      <c r="BK37" s="4">
        <f t="shared" si="14"/>
        <v>5.9784331737077894</v>
      </c>
      <c r="BL37" s="3">
        <f t="shared" si="15"/>
        <v>6.32748978457911</v>
      </c>
      <c r="BM37" s="12">
        <f t="shared" si="16"/>
        <v>4474348753.6000004</v>
      </c>
      <c r="BN37" s="3">
        <f t="shared" si="25"/>
        <v>6.23481775902997</v>
      </c>
      <c r="BO37" s="12">
        <f t="shared" si="26"/>
        <v>16353600217</v>
      </c>
      <c r="BP37" s="4">
        <f t="shared" si="17"/>
        <v>6.2547259584688444</v>
      </c>
      <c r="BQ37" s="13">
        <f t="shared" si="18"/>
        <v>-27.629278476105501</v>
      </c>
    </row>
    <row r="38" spans="1:69" x14ac:dyDescent="0.25">
      <c r="A38" s="1">
        <v>38777</v>
      </c>
      <c r="B38">
        <v>6.0169910786699097</v>
      </c>
      <c r="C38">
        <v>4469625</v>
      </c>
      <c r="E38" s="1">
        <v>38777</v>
      </c>
      <c r="F38">
        <v>6.0562589244621696</v>
      </c>
      <c r="G38">
        <v>10592375</v>
      </c>
      <c r="I38" s="1">
        <v>39753</v>
      </c>
      <c r="J38">
        <v>5.99755378591147</v>
      </c>
      <c r="K38">
        <v>75612505</v>
      </c>
      <c r="M38" s="1">
        <v>39753</v>
      </c>
      <c r="N38">
        <v>6.1779502904119497</v>
      </c>
      <c r="O38">
        <v>42467260</v>
      </c>
      <c r="Q38" s="1">
        <v>38777</v>
      </c>
      <c r="R38" s="3">
        <f t="shared" si="4"/>
        <v>6.0169910786699097</v>
      </c>
      <c r="S38" s="12">
        <f t="shared" si="5"/>
        <v>4469625</v>
      </c>
      <c r="T38" s="3">
        <f t="shared" si="19"/>
        <v>5.9327353971170602</v>
      </c>
      <c r="U38" s="12">
        <f t="shared" si="20"/>
        <v>30459910</v>
      </c>
      <c r="V38" s="4">
        <f t="shared" si="6"/>
        <v>5.9435168547190766</v>
      </c>
      <c r="W38" s="3">
        <f t="shared" si="7"/>
        <v>6.0562589244621696</v>
      </c>
      <c r="X38" s="12">
        <f t="shared" si="8"/>
        <v>10592375</v>
      </c>
      <c r="Y38" s="3">
        <f t="shared" si="21"/>
        <v>6.0181337310126599</v>
      </c>
      <c r="Z38" s="12">
        <f t="shared" si="22"/>
        <v>33370270</v>
      </c>
      <c r="AA38" s="4">
        <f t="shared" si="9"/>
        <v>6.0273196284026991</v>
      </c>
      <c r="AB38" s="13">
        <f t="shared" si="10"/>
        <v>-8.3802773683622434</v>
      </c>
      <c r="AO38" s="15">
        <v>200501</v>
      </c>
      <c r="AP38">
        <v>5.6688292564658402</v>
      </c>
      <c r="AQ38">
        <v>34147214</v>
      </c>
      <c r="AS38" s="15">
        <v>198904</v>
      </c>
      <c r="AT38">
        <v>9.875</v>
      </c>
      <c r="AU38">
        <v>34500</v>
      </c>
      <c r="AW38" s="15">
        <v>200609</v>
      </c>
      <c r="AX38">
        <v>6.3579778058015597</v>
      </c>
      <c r="AY38">
        <v>50191495</v>
      </c>
      <c r="BA38" s="15">
        <v>198909</v>
      </c>
      <c r="BB38">
        <v>9.625</v>
      </c>
      <c r="BC38">
        <v>32800</v>
      </c>
      <c r="BE38" s="15">
        <v>200704</v>
      </c>
      <c r="BF38" s="1">
        <f t="shared" si="11"/>
        <v>38961</v>
      </c>
      <c r="BG38" s="3">
        <f t="shared" si="12"/>
        <v>6.0357501703832499</v>
      </c>
      <c r="BH38" s="12">
        <f t="shared" si="13"/>
        <v>22734042</v>
      </c>
      <c r="BI38" s="3">
        <f t="shared" si="23"/>
        <v>5.9464102554604601</v>
      </c>
      <c r="BJ38" s="12">
        <f t="shared" si="24"/>
        <v>80179842</v>
      </c>
      <c r="BK38" s="4">
        <f t="shared" si="14"/>
        <v>5.9661457595459062</v>
      </c>
      <c r="BL38" s="3">
        <f t="shared" si="15"/>
        <v>6.2647719978443801</v>
      </c>
      <c r="BM38" s="12">
        <f t="shared" si="16"/>
        <v>5589811216.8900003</v>
      </c>
      <c r="BN38" s="3">
        <f t="shared" si="25"/>
        <v>6.1888058242169599</v>
      </c>
      <c r="BO38" s="12">
        <f t="shared" si="26"/>
        <v>21110288744</v>
      </c>
      <c r="BP38" s="4">
        <f t="shared" si="17"/>
        <v>6.2047097560400157</v>
      </c>
      <c r="BQ38" s="13">
        <f t="shared" si="18"/>
        <v>-23.856399649410953</v>
      </c>
    </row>
    <row r="39" spans="1:69" x14ac:dyDescent="0.25">
      <c r="A39" s="1">
        <v>38808</v>
      </c>
      <c r="B39">
        <v>6.0473757193927398</v>
      </c>
      <c r="C39">
        <v>6237900</v>
      </c>
      <c r="E39" s="1">
        <v>38808</v>
      </c>
      <c r="F39">
        <v>6.1659454465257397</v>
      </c>
      <c r="G39">
        <v>9578675</v>
      </c>
      <c r="I39" s="1">
        <v>39783</v>
      </c>
      <c r="J39">
        <v>6.0180125301503899</v>
      </c>
      <c r="K39">
        <v>101661190</v>
      </c>
      <c r="M39" s="1">
        <v>39783</v>
      </c>
      <c r="N39">
        <v>6.11478714022281</v>
      </c>
      <c r="O39">
        <v>58090120</v>
      </c>
      <c r="Q39" s="1">
        <v>38808</v>
      </c>
      <c r="R39" s="3">
        <f t="shared" si="4"/>
        <v>6.0473757193927398</v>
      </c>
      <c r="S39" s="12">
        <f t="shared" si="5"/>
        <v>6237900</v>
      </c>
      <c r="T39" s="3">
        <f t="shared" si="19"/>
        <v>5.9637765293639902</v>
      </c>
      <c r="U39" s="12">
        <f t="shared" si="20"/>
        <v>23105765</v>
      </c>
      <c r="V39" s="4">
        <f t="shared" si="6"/>
        <v>5.981548112684627</v>
      </c>
      <c r="W39" s="3">
        <f t="shared" si="7"/>
        <v>6.1659454465257397</v>
      </c>
      <c r="X39" s="12">
        <f t="shared" si="8"/>
        <v>9578675</v>
      </c>
      <c r="Y39" s="3">
        <f t="shared" si="21"/>
        <v>6.03132892774385</v>
      </c>
      <c r="Z39" s="12">
        <f t="shared" si="22"/>
        <v>24221125</v>
      </c>
      <c r="AA39" s="4">
        <f t="shared" si="9"/>
        <v>6.0694784991331225</v>
      </c>
      <c r="AB39" s="13">
        <f t="shared" si="10"/>
        <v>-8.793038644849549</v>
      </c>
      <c r="AO39" s="15">
        <v>200502</v>
      </c>
      <c r="AP39">
        <v>5.6240238857512796</v>
      </c>
      <c r="AQ39">
        <v>17374375</v>
      </c>
      <c r="AS39" s="15">
        <v>198905</v>
      </c>
      <c r="AT39">
        <v>11.5</v>
      </c>
      <c r="AU39">
        <v>39150</v>
      </c>
      <c r="AW39" s="15">
        <v>200610</v>
      </c>
      <c r="AX39">
        <v>6.1712891491081603</v>
      </c>
      <c r="AY39">
        <v>53065417</v>
      </c>
      <c r="BA39" s="15">
        <v>198910</v>
      </c>
      <c r="BB39">
        <v>7.625</v>
      </c>
      <c r="BC39">
        <v>60437</v>
      </c>
      <c r="BE39" s="15">
        <v>200705</v>
      </c>
      <c r="BF39" s="1">
        <f t="shared" si="11"/>
        <v>38991</v>
      </c>
      <c r="BG39" s="3">
        <f t="shared" si="12"/>
        <v>5.98729110945811</v>
      </c>
      <c r="BH39" s="12">
        <f t="shared" si="13"/>
        <v>26181475</v>
      </c>
      <c r="BI39" s="3">
        <f t="shared" si="23"/>
        <v>5.89123941096513</v>
      </c>
      <c r="BJ39" s="12">
        <f t="shared" si="24"/>
        <v>83554239</v>
      </c>
      <c r="BK39" s="4">
        <f t="shared" si="14"/>
        <v>5.9141560627199228</v>
      </c>
      <c r="BL39" s="3">
        <f t="shared" si="15"/>
        <v>6.2554836623661503</v>
      </c>
      <c r="BM39" s="12">
        <f t="shared" si="16"/>
        <v>5926230661.7600002</v>
      </c>
      <c r="BN39" s="3">
        <f t="shared" si="25"/>
        <v>6.1664867088925499</v>
      </c>
      <c r="BO39" s="12">
        <f t="shared" si="26"/>
        <v>20455591540</v>
      </c>
      <c r="BP39" s="4">
        <f t="shared" si="17"/>
        <v>6.1864783709712707</v>
      </c>
      <c r="BQ39" s="13">
        <f t="shared" si="18"/>
        <v>-27.232230825134796</v>
      </c>
    </row>
    <row r="40" spans="1:69" x14ac:dyDescent="0.25">
      <c r="A40" s="1">
        <v>38838</v>
      </c>
      <c r="B40">
        <v>6.2691605839416003</v>
      </c>
      <c r="C40">
        <v>3425000</v>
      </c>
      <c r="E40" s="1">
        <v>38838</v>
      </c>
      <c r="F40">
        <v>6.1816775557263597</v>
      </c>
      <c r="G40">
        <v>6505000</v>
      </c>
      <c r="I40" s="1">
        <v>39814</v>
      </c>
      <c r="J40">
        <v>5.5021270654658299</v>
      </c>
      <c r="K40">
        <v>229832959</v>
      </c>
      <c r="M40" s="1">
        <v>39814</v>
      </c>
      <c r="N40">
        <v>5.7140389175239097</v>
      </c>
      <c r="O40">
        <v>59033175</v>
      </c>
      <c r="Q40" s="1">
        <v>38838</v>
      </c>
      <c r="R40" s="3">
        <f t="shared" si="4"/>
        <v>6.2691605839416003</v>
      </c>
      <c r="S40" s="12">
        <f t="shared" si="5"/>
        <v>3425000</v>
      </c>
      <c r="T40" s="3">
        <f t="shared" si="19"/>
        <v>6.0319393932032801</v>
      </c>
      <c r="U40" s="12">
        <f t="shared" si="20"/>
        <v>37337908</v>
      </c>
      <c r="V40" s="4">
        <f t="shared" si="6"/>
        <v>6.0518713023369157</v>
      </c>
      <c r="W40" s="3">
        <f t="shared" si="7"/>
        <v>6.1816775557263597</v>
      </c>
      <c r="X40" s="12">
        <f t="shared" si="8"/>
        <v>6505000</v>
      </c>
      <c r="Y40" s="3">
        <f t="shared" si="21"/>
        <v>6.1200180795500199</v>
      </c>
      <c r="Z40" s="12">
        <f t="shared" si="22"/>
        <v>28001250</v>
      </c>
      <c r="AA40" s="4">
        <f t="shared" si="9"/>
        <v>6.1316419126969741</v>
      </c>
      <c r="AB40" s="13">
        <f t="shared" si="10"/>
        <v>-7.9770610360058392</v>
      </c>
      <c r="AO40" s="15">
        <v>200503</v>
      </c>
      <c r="AP40">
        <v>5.6558361396477199</v>
      </c>
      <c r="AQ40">
        <v>25542006.359999999</v>
      </c>
      <c r="AS40" s="15">
        <v>198907</v>
      </c>
      <c r="AT40">
        <v>9.875</v>
      </c>
      <c r="AU40">
        <v>43700</v>
      </c>
      <c r="AW40" s="15">
        <v>200611</v>
      </c>
      <c r="AX40">
        <v>6.0771989289819697</v>
      </c>
      <c r="AY40">
        <v>76716916</v>
      </c>
      <c r="BA40" s="15">
        <v>198911</v>
      </c>
      <c r="BB40">
        <v>7.25</v>
      </c>
      <c r="BC40">
        <v>18981</v>
      </c>
      <c r="BE40" s="15">
        <v>200706</v>
      </c>
      <c r="BF40" s="1">
        <f t="shared" si="11"/>
        <v>39022</v>
      </c>
      <c r="BG40" s="3">
        <f t="shared" si="12"/>
        <v>6.0739246192745098</v>
      </c>
      <c r="BH40" s="12">
        <f t="shared" si="13"/>
        <v>31527834</v>
      </c>
      <c r="BI40" s="3">
        <f t="shared" si="23"/>
        <v>6.0183757134176998</v>
      </c>
      <c r="BJ40" s="12">
        <f t="shared" si="24"/>
        <v>79049237</v>
      </c>
      <c r="BK40" s="4">
        <f t="shared" si="14"/>
        <v>6.0342138674481598</v>
      </c>
      <c r="BL40" s="3">
        <f t="shared" si="15"/>
        <v>6.2985262506113804</v>
      </c>
      <c r="BM40" s="12">
        <f t="shared" si="16"/>
        <v>6213145962.4799995</v>
      </c>
      <c r="BN40" s="3">
        <f t="shared" si="25"/>
        <v>6.24003998622279</v>
      </c>
      <c r="BO40" s="12">
        <f t="shared" si="26"/>
        <v>19399905338</v>
      </c>
      <c r="BP40" s="4">
        <f t="shared" si="17"/>
        <v>6.2542274289129818</v>
      </c>
      <c r="BQ40" s="13">
        <f t="shared" si="18"/>
        <v>-22.001356146482198</v>
      </c>
    </row>
    <row r="41" spans="1:69" x14ac:dyDescent="0.25">
      <c r="A41" s="1">
        <v>38869</v>
      </c>
      <c r="B41">
        <v>6.2632386180174304</v>
      </c>
      <c r="C41">
        <v>2477600</v>
      </c>
      <c r="E41" s="1">
        <v>38869</v>
      </c>
      <c r="F41">
        <v>6.4192661952736598</v>
      </c>
      <c r="G41">
        <v>7523800</v>
      </c>
      <c r="I41" s="1">
        <v>39845</v>
      </c>
      <c r="J41">
        <v>5.24968384201172</v>
      </c>
      <c r="K41">
        <v>802621662</v>
      </c>
      <c r="M41" s="1">
        <v>39845</v>
      </c>
      <c r="N41">
        <v>5.3658936339307601</v>
      </c>
      <c r="O41">
        <v>203142874</v>
      </c>
      <c r="Q41" s="1">
        <v>38869</v>
      </c>
      <c r="R41" s="3">
        <f t="shared" si="4"/>
        <v>6.2632386180174304</v>
      </c>
      <c r="S41" s="12">
        <f t="shared" si="5"/>
        <v>2477600</v>
      </c>
      <c r="T41" s="3">
        <f t="shared" si="19"/>
        <v>6.2758067447599304</v>
      </c>
      <c r="U41" s="12">
        <f t="shared" si="20"/>
        <v>31251520</v>
      </c>
      <c r="V41" s="4">
        <f t="shared" si="6"/>
        <v>6.2748835427666014</v>
      </c>
      <c r="W41" s="3">
        <f t="shared" si="7"/>
        <v>6.4192661952736598</v>
      </c>
      <c r="X41" s="12">
        <f t="shared" si="8"/>
        <v>7523800</v>
      </c>
      <c r="Y41" s="3">
        <f t="shared" si="21"/>
        <v>6.33008073580047</v>
      </c>
      <c r="Z41" s="12">
        <f t="shared" si="22"/>
        <v>27142358</v>
      </c>
      <c r="AA41" s="4">
        <f t="shared" si="9"/>
        <v>6.3494371802032328</v>
      </c>
      <c r="AB41" s="13">
        <f t="shared" si="10"/>
        <v>-7.4553637436631348</v>
      </c>
      <c r="AO41" s="15">
        <v>200504</v>
      </c>
      <c r="AP41">
        <v>5.6706425136313801</v>
      </c>
      <c r="AQ41">
        <v>48371643</v>
      </c>
      <c r="AS41" s="15">
        <v>198908</v>
      </c>
      <c r="AT41">
        <v>7.375</v>
      </c>
      <c r="AU41">
        <v>108100</v>
      </c>
      <c r="AW41" s="15">
        <v>200612</v>
      </c>
      <c r="AX41">
        <v>6.02760421139019</v>
      </c>
      <c r="AY41">
        <v>56830640</v>
      </c>
      <c r="BA41" s="15">
        <v>198912</v>
      </c>
      <c r="BB41">
        <v>9.875</v>
      </c>
      <c r="BC41">
        <v>66000</v>
      </c>
      <c r="BE41" s="15">
        <v>200707</v>
      </c>
      <c r="BF41" s="1">
        <f t="shared" si="11"/>
        <v>39052</v>
      </c>
      <c r="BG41" s="3">
        <f t="shared" si="12"/>
        <v>6.2206265376690801</v>
      </c>
      <c r="BH41" s="12">
        <f t="shared" si="13"/>
        <v>16753925.77</v>
      </c>
      <c r="BI41" s="3">
        <f t="shared" si="23"/>
        <v>6.2300616565661899</v>
      </c>
      <c r="BJ41" s="12">
        <f t="shared" si="24"/>
        <v>57651605</v>
      </c>
      <c r="BK41" s="4">
        <f t="shared" si="14"/>
        <v>6.2279371467347646</v>
      </c>
      <c r="BL41" s="3">
        <f t="shared" si="15"/>
        <v>6.4565373515893603</v>
      </c>
      <c r="BM41" s="12">
        <f t="shared" si="16"/>
        <v>5134203572.0500002</v>
      </c>
      <c r="BN41" s="3">
        <f t="shared" si="25"/>
        <v>6.4375154685366098</v>
      </c>
      <c r="BO41" s="12">
        <f t="shared" si="26"/>
        <v>17364748539</v>
      </c>
      <c r="BP41" s="4">
        <f t="shared" si="17"/>
        <v>6.441856213804857</v>
      </c>
      <c r="BQ41" s="13">
        <f t="shared" si="18"/>
        <v>-21.391906707009234</v>
      </c>
    </row>
    <row r="42" spans="1:69" x14ac:dyDescent="0.25">
      <c r="A42" s="1">
        <v>38899</v>
      </c>
      <c r="B42">
        <v>6.4022220634466898</v>
      </c>
      <c r="C42">
        <v>3499000</v>
      </c>
      <c r="E42" s="1">
        <v>38899</v>
      </c>
      <c r="F42">
        <v>6.6109987554449203</v>
      </c>
      <c r="G42">
        <v>3214000</v>
      </c>
      <c r="I42" s="1">
        <v>39873</v>
      </c>
      <c r="J42">
        <v>5.00435394606939</v>
      </c>
      <c r="K42">
        <v>1772490637</v>
      </c>
      <c r="M42" s="1">
        <v>39873</v>
      </c>
      <c r="N42">
        <v>5.0459360204533201</v>
      </c>
      <c r="O42">
        <v>399285730</v>
      </c>
      <c r="Q42" s="1">
        <v>38899</v>
      </c>
      <c r="R42" s="3">
        <f t="shared" si="4"/>
        <v>6.4022220634466898</v>
      </c>
      <c r="S42" s="12">
        <f t="shared" si="5"/>
        <v>3499000</v>
      </c>
      <c r="T42" s="3">
        <f t="shared" si="19"/>
        <v>6.2844319040660999</v>
      </c>
      <c r="U42" s="12">
        <f t="shared" si="20"/>
        <v>24808750</v>
      </c>
      <c r="V42" s="4">
        <f t="shared" si="6"/>
        <v>6.2989914422728699</v>
      </c>
      <c r="W42" s="3">
        <f t="shared" si="7"/>
        <v>6.6109987554449203</v>
      </c>
      <c r="X42" s="12">
        <f t="shared" si="8"/>
        <v>3214000</v>
      </c>
      <c r="Y42" s="3">
        <f t="shared" si="21"/>
        <v>6.3767724931816501</v>
      </c>
      <c r="Z42" s="12">
        <f t="shared" si="22"/>
        <v>27242700</v>
      </c>
      <c r="AA42" s="4">
        <f t="shared" si="9"/>
        <v>6.4014896558064303</v>
      </c>
      <c r="AB42" s="13">
        <f t="shared" si="10"/>
        <v>-10.249821353356037</v>
      </c>
      <c r="AO42" s="15">
        <v>200505</v>
      </c>
      <c r="AP42">
        <v>5.81929108410392</v>
      </c>
      <c r="AQ42">
        <v>39335463</v>
      </c>
      <c r="AS42" s="15">
        <v>198909</v>
      </c>
      <c r="AT42">
        <v>9.0690183625569496</v>
      </c>
      <c r="AU42">
        <v>362150</v>
      </c>
      <c r="AW42" s="15">
        <v>200701</v>
      </c>
      <c r="AX42">
        <v>5.8824930966899203</v>
      </c>
      <c r="AY42">
        <v>62964722</v>
      </c>
      <c r="BA42" s="15">
        <v>199003</v>
      </c>
      <c r="BB42">
        <v>8.25</v>
      </c>
      <c r="BC42">
        <v>47994</v>
      </c>
      <c r="BE42" s="15">
        <v>200708</v>
      </c>
      <c r="BF42" s="1">
        <f t="shared" si="11"/>
        <v>39083</v>
      </c>
      <c r="BG42" s="3">
        <f t="shared" si="12"/>
        <v>6.5375361447133402</v>
      </c>
      <c r="BH42" s="12">
        <f t="shared" si="13"/>
        <v>13383700</v>
      </c>
      <c r="BI42" s="3">
        <f t="shared" si="23"/>
        <v>6.3772620999468499</v>
      </c>
      <c r="BJ42" s="12">
        <f t="shared" si="24"/>
        <v>48549800</v>
      </c>
      <c r="BK42" s="4">
        <f t="shared" si="14"/>
        <v>6.4118969862836677</v>
      </c>
      <c r="BL42" s="3">
        <f t="shared" si="15"/>
        <v>6.7238615693017199</v>
      </c>
      <c r="BM42" s="12">
        <f t="shared" si="16"/>
        <v>3925243359.8000002</v>
      </c>
      <c r="BN42" s="3">
        <f t="shared" si="25"/>
        <v>6.6811284379824603</v>
      </c>
      <c r="BO42" s="12">
        <f t="shared" si="26"/>
        <v>15140103088</v>
      </c>
      <c r="BP42" s="4">
        <f t="shared" si="17"/>
        <v>6.6899264915826739</v>
      </c>
      <c r="BQ42" s="13">
        <f t="shared" si="18"/>
        <v>-27.802950529900627</v>
      </c>
    </row>
    <row r="43" spans="1:69" x14ac:dyDescent="0.25">
      <c r="A43" s="1">
        <v>38930</v>
      </c>
      <c r="B43">
        <v>6.4735522541222501</v>
      </c>
      <c r="C43">
        <v>4287700</v>
      </c>
      <c r="E43" s="1">
        <v>38930</v>
      </c>
      <c r="F43">
        <v>6.6012415835899496</v>
      </c>
      <c r="G43">
        <v>7663600</v>
      </c>
      <c r="I43" s="1">
        <v>39904</v>
      </c>
      <c r="J43">
        <v>4.9529413617547702</v>
      </c>
      <c r="K43">
        <v>1822454826</v>
      </c>
      <c r="M43" s="1">
        <v>39904</v>
      </c>
      <c r="N43">
        <v>5.0255696936880101</v>
      </c>
      <c r="O43">
        <v>413556978</v>
      </c>
      <c r="Q43" s="1">
        <v>38930</v>
      </c>
      <c r="R43" s="3">
        <f t="shared" si="4"/>
        <v>6.4735522541222501</v>
      </c>
      <c r="S43" s="12">
        <f t="shared" si="5"/>
        <v>4287700</v>
      </c>
      <c r="T43" s="3">
        <f t="shared" si="19"/>
        <v>6.4199065765150696</v>
      </c>
      <c r="U43" s="12">
        <f t="shared" si="20"/>
        <v>25865766</v>
      </c>
      <c r="V43" s="4">
        <f t="shared" si="6"/>
        <v>6.4275347732827743</v>
      </c>
      <c r="W43" s="3">
        <f t="shared" si="7"/>
        <v>6.6012415835899496</v>
      </c>
      <c r="X43" s="12">
        <f t="shared" si="8"/>
        <v>7663600</v>
      </c>
      <c r="Y43" s="3">
        <f t="shared" si="21"/>
        <v>6.4693391447812703</v>
      </c>
      <c r="Z43" s="12">
        <f t="shared" si="22"/>
        <v>25911500</v>
      </c>
      <c r="AA43" s="4">
        <f t="shared" si="9"/>
        <v>6.4994462041810692</v>
      </c>
      <c r="AB43" s="13">
        <f t="shared" si="10"/>
        <v>-7.1911430898294881</v>
      </c>
      <c r="AO43" s="15">
        <v>200506</v>
      </c>
      <c r="AP43">
        <v>5.7629275300037799</v>
      </c>
      <c r="AQ43">
        <v>37985872</v>
      </c>
      <c r="AS43" s="15">
        <v>198910</v>
      </c>
      <c r="AT43">
        <v>9.5</v>
      </c>
      <c r="AU43">
        <v>47250</v>
      </c>
      <c r="AW43" s="15">
        <v>200702</v>
      </c>
      <c r="AX43">
        <v>5.8892331732516698</v>
      </c>
      <c r="AY43">
        <v>62711121</v>
      </c>
      <c r="BA43" s="15">
        <v>199006</v>
      </c>
      <c r="BB43">
        <v>7.4567293915781399</v>
      </c>
      <c r="BC43">
        <v>289651</v>
      </c>
      <c r="BE43" s="15">
        <v>200709</v>
      </c>
      <c r="BF43" s="1">
        <f t="shared" si="11"/>
        <v>39114</v>
      </c>
      <c r="BG43" s="3">
        <f t="shared" si="12"/>
        <v>6.5699223555794202</v>
      </c>
      <c r="BH43" s="12">
        <f t="shared" si="13"/>
        <v>15792150.82</v>
      </c>
      <c r="BI43" s="3">
        <f t="shared" si="23"/>
        <v>6.4813951252681496</v>
      </c>
      <c r="BJ43" s="12">
        <f t="shared" si="24"/>
        <v>48010764</v>
      </c>
      <c r="BK43" s="4">
        <f t="shared" si="14"/>
        <v>6.5033069043255258</v>
      </c>
      <c r="BL43" s="3">
        <f t="shared" si="15"/>
        <v>6.7501479385334102</v>
      </c>
      <c r="BM43" s="12">
        <f t="shared" si="16"/>
        <v>4118854959.7600002</v>
      </c>
      <c r="BN43" s="3">
        <f t="shared" si="25"/>
        <v>6.6843410429758503</v>
      </c>
      <c r="BO43" s="12">
        <f t="shared" si="26"/>
        <v>14918196885</v>
      </c>
      <c r="BP43" s="4">
        <f t="shared" si="17"/>
        <v>6.6985790174460549</v>
      </c>
      <c r="BQ43" s="13">
        <f t="shared" si="18"/>
        <v>-19.527211312052906</v>
      </c>
    </row>
    <row r="44" spans="1:69" x14ac:dyDescent="0.25">
      <c r="A44" s="1">
        <v>38961</v>
      </c>
      <c r="B44">
        <v>6.3834796732864199</v>
      </c>
      <c r="C44">
        <v>4995446</v>
      </c>
      <c r="E44" s="1">
        <v>38961</v>
      </c>
      <c r="F44">
        <v>6.4662596486126596</v>
      </c>
      <c r="G44">
        <v>3776061</v>
      </c>
      <c r="I44" s="1">
        <v>39934</v>
      </c>
      <c r="J44">
        <v>4.9302745166588604</v>
      </c>
      <c r="K44">
        <v>1925414134</v>
      </c>
      <c r="M44" s="1">
        <v>39934</v>
      </c>
      <c r="N44">
        <v>4.9714064779119198</v>
      </c>
      <c r="O44">
        <v>421224251</v>
      </c>
      <c r="Q44" s="1">
        <v>38961</v>
      </c>
      <c r="R44" s="3">
        <f t="shared" si="4"/>
        <v>6.3834796732864199</v>
      </c>
      <c r="S44" s="12">
        <f t="shared" si="5"/>
        <v>4995446</v>
      </c>
      <c r="T44" s="3">
        <f t="shared" si="19"/>
        <v>6.4051003938452</v>
      </c>
      <c r="U44" s="12">
        <f t="shared" si="20"/>
        <v>27942450</v>
      </c>
      <c r="V44" s="4">
        <f t="shared" si="6"/>
        <v>6.4018213397722725</v>
      </c>
      <c r="W44" s="3">
        <f t="shared" si="7"/>
        <v>6.4662596486126596</v>
      </c>
      <c r="X44" s="12">
        <f t="shared" si="8"/>
        <v>3776061</v>
      </c>
      <c r="Y44" s="3">
        <f t="shared" si="21"/>
        <v>6.4840706664359704</v>
      </c>
      <c r="Z44" s="12">
        <f t="shared" si="22"/>
        <v>22836117</v>
      </c>
      <c r="AA44" s="4">
        <f t="shared" si="9"/>
        <v>6.4815434215869052</v>
      </c>
      <c r="AB44" s="13">
        <f t="shared" si="10"/>
        <v>-7.9722081814632695</v>
      </c>
      <c r="AO44" s="15">
        <v>200507</v>
      </c>
      <c r="AP44">
        <v>5.7181308372068198</v>
      </c>
      <c r="AQ44">
        <v>50970440</v>
      </c>
      <c r="AS44" s="15">
        <v>198911</v>
      </c>
      <c r="AT44">
        <v>9.9019461077844309</v>
      </c>
      <c r="AU44">
        <v>100200</v>
      </c>
      <c r="AW44" s="15">
        <v>200703</v>
      </c>
      <c r="AX44">
        <v>5.9841567978954204</v>
      </c>
      <c r="AY44">
        <v>59707619</v>
      </c>
      <c r="BA44" s="15">
        <v>199007</v>
      </c>
      <c r="BB44">
        <v>8.375</v>
      </c>
      <c r="BC44">
        <v>70000</v>
      </c>
      <c r="BE44" s="15">
        <v>200710</v>
      </c>
      <c r="BF44" s="1">
        <f t="shared" si="11"/>
        <v>39142</v>
      </c>
      <c r="BG44" s="3">
        <f t="shared" si="12"/>
        <v>6.2683588567098498</v>
      </c>
      <c r="BH44" s="12">
        <f t="shared" si="13"/>
        <v>13407970</v>
      </c>
      <c r="BI44" s="3">
        <f t="shared" si="23"/>
        <v>6.2729881143296797</v>
      </c>
      <c r="BJ44" s="12">
        <f t="shared" si="24"/>
        <v>59274402</v>
      </c>
      <c r="BK44" s="4">
        <f t="shared" si="14"/>
        <v>6.2721341390729437</v>
      </c>
      <c r="BL44" s="3">
        <f t="shared" si="15"/>
        <v>6.5961122503174803</v>
      </c>
      <c r="BM44" s="12">
        <f t="shared" si="16"/>
        <v>4082123273.1799998</v>
      </c>
      <c r="BN44" s="3">
        <f t="shared" si="25"/>
        <v>6.5481771324422704</v>
      </c>
      <c r="BO44" s="12">
        <f t="shared" si="26"/>
        <v>13501033240</v>
      </c>
      <c r="BP44" s="4">
        <f t="shared" si="17"/>
        <v>6.5593057975448268</v>
      </c>
      <c r="BQ44" s="13">
        <f t="shared" si="18"/>
        <v>-28.717165847188308</v>
      </c>
    </row>
    <row r="45" spans="1:69" x14ac:dyDescent="0.25">
      <c r="A45" s="1">
        <v>38991</v>
      </c>
      <c r="B45">
        <v>6.3847131427103196</v>
      </c>
      <c r="C45">
        <v>5526790</v>
      </c>
      <c r="E45" s="1">
        <v>38991</v>
      </c>
      <c r="F45">
        <v>6.31340561669073</v>
      </c>
      <c r="G45">
        <v>5020750</v>
      </c>
      <c r="I45" s="1">
        <v>39965</v>
      </c>
      <c r="J45">
        <v>4.8882577991922798</v>
      </c>
      <c r="K45">
        <v>2434241048</v>
      </c>
      <c r="M45" s="1">
        <v>39965</v>
      </c>
      <c r="N45">
        <v>4.9526677029724802</v>
      </c>
      <c r="O45">
        <v>518161716</v>
      </c>
      <c r="Q45" s="1">
        <v>38991</v>
      </c>
      <c r="R45" s="3">
        <f t="shared" si="4"/>
        <v>6.3847131427103196</v>
      </c>
      <c r="S45" s="12">
        <f t="shared" si="5"/>
        <v>5526790</v>
      </c>
      <c r="T45" s="3">
        <f t="shared" si="19"/>
        <v>6.2922835781624196</v>
      </c>
      <c r="U45" s="12">
        <f t="shared" si="20"/>
        <v>26315228</v>
      </c>
      <c r="V45" s="4">
        <f t="shared" si="6"/>
        <v>6.3083264933145839</v>
      </c>
      <c r="W45" s="3">
        <f t="shared" si="7"/>
        <v>6.31340561669073</v>
      </c>
      <c r="X45" s="12">
        <f t="shared" si="8"/>
        <v>5020750</v>
      </c>
      <c r="Y45" s="3">
        <f t="shared" si="21"/>
        <v>6.3558867965313199</v>
      </c>
      <c r="Z45" s="12">
        <f t="shared" si="22"/>
        <v>21743150</v>
      </c>
      <c r="AA45" s="4">
        <f t="shared" si="9"/>
        <v>6.3479175774083725</v>
      </c>
      <c r="AB45" s="13">
        <f t="shared" si="10"/>
        <v>-3.9591084093788531</v>
      </c>
      <c r="AO45" s="15">
        <v>200508</v>
      </c>
      <c r="AP45">
        <v>5.5959504636246002</v>
      </c>
      <c r="AQ45">
        <v>56984892.369999997</v>
      </c>
      <c r="AS45" s="15">
        <v>198912</v>
      </c>
      <c r="AT45">
        <v>9.5</v>
      </c>
      <c r="AU45">
        <v>52350</v>
      </c>
      <c r="AW45" s="15">
        <v>200704</v>
      </c>
      <c r="AX45">
        <v>5.9464102554604601</v>
      </c>
      <c r="AY45">
        <v>80179842</v>
      </c>
      <c r="BA45" s="15">
        <v>199008</v>
      </c>
      <c r="BB45">
        <v>7.625</v>
      </c>
      <c r="BC45">
        <v>103388</v>
      </c>
      <c r="BE45" s="15">
        <v>200711</v>
      </c>
      <c r="BF45" s="1">
        <f t="shared" si="11"/>
        <v>39173</v>
      </c>
      <c r="BG45" s="3">
        <f t="shared" si="12"/>
        <v>6.2182273118607601</v>
      </c>
      <c r="BH45" s="12">
        <f t="shared" si="13"/>
        <v>28515450</v>
      </c>
      <c r="BI45" s="3">
        <f t="shared" si="23"/>
        <v>6.1765180930472603</v>
      </c>
      <c r="BJ45" s="12">
        <f t="shared" si="24"/>
        <v>55243320</v>
      </c>
      <c r="BK45" s="4">
        <f t="shared" si="14"/>
        <v>6.190717885422619</v>
      </c>
      <c r="BL45" s="3">
        <f t="shared" si="15"/>
        <v>6.5049494220269697</v>
      </c>
      <c r="BM45" s="12">
        <f t="shared" si="16"/>
        <v>4914029591.1999998</v>
      </c>
      <c r="BN45" s="3">
        <f t="shared" si="25"/>
        <v>6.4818337171421101</v>
      </c>
      <c r="BO45" s="12">
        <f t="shared" si="26"/>
        <v>15334953232</v>
      </c>
      <c r="BP45" s="4">
        <f t="shared" si="17"/>
        <v>6.4874434437549207</v>
      </c>
      <c r="BQ45" s="13">
        <f t="shared" si="18"/>
        <v>-29.672555833230163</v>
      </c>
    </row>
    <row r="46" spans="1:69" x14ac:dyDescent="0.25">
      <c r="A46" s="1">
        <v>39022</v>
      </c>
      <c r="B46">
        <v>6.02531403494645</v>
      </c>
      <c r="C46">
        <v>4967600</v>
      </c>
      <c r="E46" s="1">
        <v>39022</v>
      </c>
      <c r="F46">
        <v>6.1499586578469998</v>
      </c>
      <c r="G46">
        <v>3749200</v>
      </c>
      <c r="I46" s="1">
        <v>39995</v>
      </c>
      <c r="J46">
        <v>4.9290046094467801</v>
      </c>
      <c r="K46">
        <v>1909218702</v>
      </c>
      <c r="M46" s="1">
        <v>39995</v>
      </c>
      <c r="N46">
        <v>5.0074627969079799</v>
      </c>
      <c r="O46">
        <v>424787797</v>
      </c>
      <c r="Q46" s="1">
        <v>39022</v>
      </c>
      <c r="R46" s="3">
        <f t="shared" si="4"/>
        <v>6.02531403494645</v>
      </c>
      <c r="S46" s="12">
        <f t="shared" si="5"/>
        <v>4967600</v>
      </c>
      <c r="T46" s="3">
        <f t="shared" si="19"/>
        <v>6.0857291598031003</v>
      </c>
      <c r="U46" s="12">
        <f t="shared" si="20"/>
        <v>21368896</v>
      </c>
      <c r="V46" s="4">
        <f t="shared" si="6"/>
        <v>6.0743336357273883</v>
      </c>
      <c r="W46" s="3">
        <f t="shared" si="7"/>
        <v>6.1499586578469998</v>
      </c>
      <c r="X46" s="12">
        <f t="shared" si="8"/>
        <v>3749200</v>
      </c>
      <c r="Y46" s="3">
        <f t="shared" si="21"/>
        <v>6.1714086608465699</v>
      </c>
      <c r="Z46" s="12">
        <f t="shared" si="22"/>
        <v>29131494</v>
      </c>
      <c r="AA46" s="4">
        <f t="shared" si="9"/>
        <v>6.1689628380410664</v>
      </c>
      <c r="AB46" s="13">
        <f t="shared" si="10"/>
        <v>-9.4629202313678107</v>
      </c>
      <c r="AO46" s="15">
        <v>200509</v>
      </c>
      <c r="AP46">
        <v>5.6799060048095802</v>
      </c>
      <c r="AQ46">
        <v>41468069.619999997</v>
      </c>
      <c r="AS46" s="15">
        <v>199001</v>
      </c>
      <c r="AT46">
        <v>9.1378386208894593</v>
      </c>
      <c r="AU46">
        <v>117351</v>
      </c>
      <c r="AW46" s="15">
        <v>200705</v>
      </c>
      <c r="AX46">
        <v>5.89123941096513</v>
      </c>
      <c r="AY46">
        <v>83554239</v>
      </c>
      <c r="BA46" s="15">
        <v>199009</v>
      </c>
      <c r="BB46">
        <v>8.8106879798991393</v>
      </c>
      <c r="BC46">
        <v>284565</v>
      </c>
      <c r="BE46" s="15">
        <v>200712</v>
      </c>
      <c r="BF46" s="1">
        <f t="shared" si="11"/>
        <v>39203</v>
      </c>
      <c r="BG46" s="3">
        <f t="shared" si="12"/>
        <v>6.1684056944724501</v>
      </c>
      <c r="BH46" s="12">
        <f t="shared" si="13"/>
        <v>18670035</v>
      </c>
      <c r="BI46" s="3">
        <f t="shared" si="23"/>
        <v>6.1006423669166701</v>
      </c>
      <c r="BJ46" s="12">
        <f t="shared" si="24"/>
        <v>62858740</v>
      </c>
      <c r="BK46" s="4">
        <f t="shared" si="14"/>
        <v>6.1161601236495899</v>
      </c>
      <c r="BL46" s="3">
        <f t="shared" si="15"/>
        <v>6.4136691423019503</v>
      </c>
      <c r="BM46" s="12">
        <f t="shared" si="16"/>
        <v>4892049092.2399998</v>
      </c>
      <c r="BN46" s="3">
        <f t="shared" si="25"/>
        <v>6.3627998560721704</v>
      </c>
      <c r="BO46" s="12">
        <f t="shared" si="26"/>
        <v>13888587684</v>
      </c>
      <c r="BP46" s="4">
        <f t="shared" si="17"/>
        <v>6.3760504741682587</v>
      </c>
      <c r="BQ46" s="13">
        <f t="shared" si="18"/>
        <v>-25.989035051866871</v>
      </c>
    </row>
    <row r="47" spans="1:69" x14ac:dyDescent="0.25">
      <c r="A47" s="1">
        <v>39052</v>
      </c>
      <c r="B47">
        <v>6.4234624164445799</v>
      </c>
      <c r="C47">
        <v>4577800</v>
      </c>
      <c r="E47" s="1">
        <v>39052</v>
      </c>
      <c r="F47">
        <v>6.2800169367389902</v>
      </c>
      <c r="G47">
        <v>7646100</v>
      </c>
      <c r="I47" s="1">
        <v>40026</v>
      </c>
      <c r="J47">
        <v>5.0630542849424103</v>
      </c>
      <c r="K47">
        <v>2069971635</v>
      </c>
      <c r="M47" s="1">
        <v>40026</v>
      </c>
      <c r="N47">
        <v>5.1061974108083303</v>
      </c>
      <c r="O47">
        <v>474549032</v>
      </c>
      <c r="Q47" s="1">
        <v>39052</v>
      </c>
      <c r="R47" s="3">
        <f t="shared" si="4"/>
        <v>6.4234624164445799</v>
      </c>
      <c r="S47" s="12">
        <f t="shared" si="5"/>
        <v>4577800</v>
      </c>
      <c r="T47" s="3">
        <f t="shared" si="19"/>
        <v>5.9629295046411803</v>
      </c>
      <c r="U47" s="12">
        <f t="shared" si="20"/>
        <v>27012601</v>
      </c>
      <c r="V47" s="4">
        <f t="shared" si="6"/>
        <v>6.0296658389996329</v>
      </c>
      <c r="W47" s="3">
        <f t="shared" si="7"/>
        <v>6.2800169367389902</v>
      </c>
      <c r="X47" s="12">
        <f t="shared" si="8"/>
        <v>7646100</v>
      </c>
      <c r="Y47" s="3">
        <f t="shared" si="21"/>
        <v>6.0901183986385599</v>
      </c>
      <c r="Z47" s="12">
        <f t="shared" si="22"/>
        <v>31141152</v>
      </c>
      <c r="AA47" s="4">
        <f t="shared" si="9"/>
        <v>6.1275529457461948</v>
      </c>
      <c r="AB47" s="13">
        <f t="shared" si="10"/>
        <v>-9.7887106746561869</v>
      </c>
      <c r="AO47" s="15">
        <v>200510</v>
      </c>
      <c r="AP47">
        <v>5.68472555470633</v>
      </c>
      <c r="AQ47">
        <v>28937789</v>
      </c>
      <c r="AS47" s="15">
        <v>199002</v>
      </c>
      <c r="AT47">
        <v>9.6106780982073197</v>
      </c>
      <c r="AU47">
        <v>128300</v>
      </c>
      <c r="AW47" s="15">
        <v>200706</v>
      </c>
      <c r="AX47">
        <v>6.0183757134176998</v>
      </c>
      <c r="AY47">
        <v>79049237</v>
      </c>
      <c r="BA47" s="15">
        <v>199010</v>
      </c>
      <c r="BB47">
        <v>8.8140374237858197</v>
      </c>
      <c r="BC47">
        <v>57076</v>
      </c>
      <c r="BE47" s="15">
        <v>200801</v>
      </c>
      <c r="BF47" s="1">
        <f t="shared" si="11"/>
        <v>39234</v>
      </c>
      <c r="BG47" s="3">
        <f t="shared" si="12"/>
        <v>5.8785673931367102</v>
      </c>
      <c r="BH47" s="12">
        <f t="shared" si="13"/>
        <v>20645678</v>
      </c>
      <c r="BI47" s="3">
        <f t="shared" si="23"/>
        <v>6.0060920192825904</v>
      </c>
      <c r="BJ47" s="12">
        <f t="shared" si="24"/>
        <v>62272948</v>
      </c>
      <c r="BK47" s="4">
        <f t="shared" si="14"/>
        <v>5.97434001740453</v>
      </c>
      <c r="BL47" s="3">
        <f t="shared" si="15"/>
        <v>6.2301125309096896</v>
      </c>
      <c r="BM47" s="12">
        <f t="shared" si="16"/>
        <v>5297387147.8800001</v>
      </c>
      <c r="BN47" s="3">
        <f t="shared" si="25"/>
        <v>6.1592494906433402</v>
      </c>
      <c r="BO47" s="12">
        <f t="shared" si="26"/>
        <v>17496877468</v>
      </c>
      <c r="BP47" s="4">
        <f t="shared" si="17"/>
        <v>6.1757180613602536</v>
      </c>
      <c r="BQ47" s="13">
        <f t="shared" si="18"/>
        <v>-20.137804395572356</v>
      </c>
    </row>
    <row r="48" spans="1:69" x14ac:dyDescent="0.25">
      <c r="A48" s="1">
        <v>39083</v>
      </c>
      <c r="B48">
        <v>5.9448320871470903</v>
      </c>
      <c r="C48">
        <v>11635500</v>
      </c>
      <c r="E48" s="1">
        <v>39083</v>
      </c>
      <c r="F48">
        <v>5.9920342994639197</v>
      </c>
      <c r="G48">
        <v>9367613.1699999999</v>
      </c>
      <c r="I48" s="1">
        <v>40057</v>
      </c>
      <c r="J48">
        <v>5.2130693138995303</v>
      </c>
      <c r="K48">
        <v>1407343991</v>
      </c>
      <c r="M48" s="1">
        <v>40057</v>
      </c>
      <c r="N48">
        <v>5.2438133043284498</v>
      </c>
      <c r="O48">
        <v>384954522</v>
      </c>
      <c r="Q48" s="1">
        <v>39083</v>
      </c>
      <c r="R48" s="3">
        <f t="shared" si="4"/>
        <v>5.9448320871470903</v>
      </c>
      <c r="S48" s="12">
        <f t="shared" si="5"/>
        <v>11635500</v>
      </c>
      <c r="T48" s="3">
        <f t="shared" si="19"/>
        <v>5.97519629670282</v>
      </c>
      <c r="U48" s="12">
        <f t="shared" si="20"/>
        <v>21081862</v>
      </c>
      <c r="V48" s="4">
        <f t="shared" si="6"/>
        <v>5.9643976644571737</v>
      </c>
      <c r="W48" s="3">
        <f t="shared" si="7"/>
        <v>5.9920342994639197</v>
      </c>
      <c r="X48" s="12">
        <f t="shared" si="8"/>
        <v>9367613.1699999999</v>
      </c>
      <c r="Y48" s="3">
        <f t="shared" si="21"/>
        <v>6.0842757864666304</v>
      </c>
      <c r="Z48" s="12">
        <f t="shared" si="22"/>
        <v>20023100</v>
      </c>
      <c r="AA48" s="4">
        <f t="shared" si="9"/>
        <v>6.0548759361306068</v>
      </c>
      <c r="AB48" s="13">
        <f t="shared" si="10"/>
        <v>-9.0478271673433142</v>
      </c>
      <c r="AO48" s="15">
        <v>200511</v>
      </c>
      <c r="AP48">
        <v>5.7871351676474898</v>
      </c>
      <c r="AQ48">
        <v>27983538</v>
      </c>
      <c r="AS48" s="15">
        <v>199003</v>
      </c>
      <c r="AT48">
        <v>8.25</v>
      </c>
      <c r="AU48">
        <v>39900</v>
      </c>
      <c r="AW48" s="15">
        <v>200707</v>
      </c>
      <c r="AX48">
        <v>6.2300616565661899</v>
      </c>
      <c r="AY48">
        <v>57651605</v>
      </c>
      <c r="BA48" s="15">
        <v>199011</v>
      </c>
      <c r="BB48">
        <v>9.97963632990073</v>
      </c>
      <c r="BC48">
        <v>183243</v>
      </c>
      <c r="BE48" s="15">
        <v>200802</v>
      </c>
      <c r="BF48" s="1">
        <f t="shared" si="11"/>
        <v>39264</v>
      </c>
      <c r="BG48" s="3">
        <f t="shared" si="12"/>
        <v>5.8027076048647501</v>
      </c>
      <c r="BH48" s="12">
        <f t="shared" si="13"/>
        <v>24910134</v>
      </c>
      <c r="BI48" s="3">
        <f t="shared" si="23"/>
        <v>5.82413129020465</v>
      </c>
      <c r="BJ48" s="12">
        <f t="shared" si="24"/>
        <v>74807721</v>
      </c>
      <c r="BK48" s="4">
        <f t="shared" si="14"/>
        <v>5.8187795217315834</v>
      </c>
      <c r="BL48" s="3">
        <f t="shared" si="15"/>
        <v>6.0117715209173097</v>
      </c>
      <c r="BM48" s="12">
        <f t="shared" si="16"/>
        <v>5810267261.29</v>
      </c>
      <c r="BN48" s="3">
        <f t="shared" si="25"/>
        <v>5.9697976029879198</v>
      </c>
      <c r="BO48" s="12">
        <f t="shared" si="26"/>
        <v>16823077209</v>
      </c>
      <c r="BP48" s="4">
        <f t="shared" si="17"/>
        <v>5.9805728413312123</v>
      </c>
      <c r="BQ48" s="13">
        <f t="shared" si="18"/>
        <v>-16.179331959962884</v>
      </c>
    </row>
    <row r="49" spans="1:69" x14ac:dyDescent="0.25">
      <c r="A49" s="1">
        <v>39114</v>
      </c>
      <c r="B49">
        <v>5.70831286836935</v>
      </c>
      <c r="C49">
        <v>2036000</v>
      </c>
      <c r="E49" s="1">
        <v>39114</v>
      </c>
      <c r="F49">
        <v>6.0435765629691103</v>
      </c>
      <c r="G49">
        <v>8626690</v>
      </c>
      <c r="I49" s="1">
        <v>40087</v>
      </c>
      <c r="J49">
        <v>5.2617631117075296</v>
      </c>
      <c r="K49">
        <v>1274645614</v>
      </c>
      <c r="M49" s="1">
        <v>40087</v>
      </c>
      <c r="N49">
        <v>5.3380417471705401</v>
      </c>
      <c r="O49">
        <v>350378572</v>
      </c>
      <c r="Q49" s="1">
        <v>39114</v>
      </c>
      <c r="R49" s="3">
        <f t="shared" si="4"/>
        <v>5.70831286836935</v>
      </c>
      <c r="S49" s="12">
        <f t="shared" si="5"/>
        <v>2036000</v>
      </c>
      <c r="T49" s="3">
        <f t="shared" si="19"/>
        <v>5.8989011453455102</v>
      </c>
      <c r="U49" s="12">
        <f t="shared" si="20"/>
        <v>59246052</v>
      </c>
      <c r="V49" s="4">
        <f t="shared" si="6"/>
        <v>5.8925691489573433</v>
      </c>
      <c r="W49" s="3">
        <f t="shared" si="7"/>
        <v>6.0435765629691103</v>
      </c>
      <c r="X49" s="12">
        <f t="shared" si="8"/>
        <v>8626690</v>
      </c>
      <c r="Y49" s="3">
        <f t="shared" si="21"/>
        <v>5.9490675065413301</v>
      </c>
      <c r="Z49" s="12">
        <f t="shared" si="22"/>
        <v>37531711</v>
      </c>
      <c r="AA49" s="4">
        <f t="shared" si="9"/>
        <v>5.966730603926246</v>
      </c>
      <c r="AB49" s="13">
        <f t="shared" si="10"/>
        <v>-7.4161454968902696</v>
      </c>
      <c r="AO49" s="15">
        <v>200512</v>
      </c>
      <c r="AP49">
        <v>5.9416106838044804</v>
      </c>
      <c r="AQ49">
        <v>26605017</v>
      </c>
      <c r="AS49" s="15">
        <v>199004</v>
      </c>
      <c r="AT49">
        <v>9.9371727748691008</v>
      </c>
      <c r="AU49">
        <v>76400</v>
      </c>
      <c r="AW49" s="15">
        <v>200708</v>
      </c>
      <c r="AX49">
        <v>6.3772620999468499</v>
      </c>
      <c r="AY49">
        <v>48549800</v>
      </c>
      <c r="BA49" s="15">
        <v>199012</v>
      </c>
      <c r="BB49">
        <v>10.185472605928901</v>
      </c>
      <c r="BC49">
        <v>322150</v>
      </c>
      <c r="BE49" s="15">
        <v>200803</v>
      </c>
      <c r="BF49" s="1">
        <f t="shared" si="11"/>
        <v>39295</v>
      </c>
      <c r="BG49" s="3">
        <f t="shared" si="12"/>
        <v>5.4703541111305896</v>
      </c>
      <c r="BH49" s="12">
        <f t="shared" si="13"/>
        <v>53335827</v>
      </c>
      <c r="BI49" s="3">
        <f t="shared" si="23"/>
        <v>5.6254262913825199</v>
      </c>
      <c r="BJ49" s="12">
        <f t="shared" si="24"/>
        <v>113993625</v>
      </c>
      <c r="BK49" s="4">
        <f t="shared" si="14"/>
        <v>5.5759974378270218</v>
      </c>
      <c r="BL49" s="3">
        <f t="shared" si="15"/>
        <v>5.7342474806436101</v>
      </c>
      <c r="BM49" s="12">
        <f t="shared" si="16"/>
        <v>8111191639.4499998</v>
      </c>
      <c r="BN49" s="3">
        <f t="shared" si="25"/>
        <v>5.7417982832653003</v>
      </c>
      <c r="BO49" s="12">
        <f t="shared" si="26"/>
        <v>26957442268</v>
      </c>
      <c r="BP49" s="4">
        <f t="shared" si="17"/>
        <v>5.7400518221040873</v>
      </c>
      <c r="BQ49" s="13">
        <f t="shared" si="18"/>
        <v>-16.405438427706542</v>
      </c>
    </row>
    <row r="50" spans="1:69" x14ac:dyDescent="0.25">
      <c r="A50" s="1">
        <v>39142</v>
      </c>
      <c r="B50">
        <v>5.9555031655482003</v>
      </c>
      <c r="C50">
        <v>5267650</v>
      </c>
      <c r="E50" s="1">
        <v>39142</v>
      </c>
      <c r="F50">
        <v>6.0271118118427198</v>
      </c>
      <c r="G50">
        <v>6152300</v>
      </c>
      <c r="I50" s="1">
        <v>40118</v>
      </c>
      <c r="J50">
        <v>5.1382236832645702</v>
      </c>
      <c r="K50">
        <v>1195885935</v>
      </c>
      <c r="M50" s="1">
        <v>40118</v>
      </c>
      <c r="N50">
        <v>5.24526389989372</v>
      </c>
      <c r="O50">
        <v>319148897</v>
      </c>
      <c r="Q50" s="1">
        <v>39142</v>
      </c>
      <c r="R50" s="3">
        <f t="shared" si="4"/>
        <v>5.9555031655482003</v>
      </c>
      <c r="S50" s="12">
        <f t="shared" si="5"/>
        <v>5267650</v>
      </c>
      <c r="T50" s="3">
        <f t="shared" si="19"/>
        <v>5.9488324882992396</v>
      </c>
      <c r="U50" s="12">
        <f t="shared" si="20"/>
        <v>36804235</v>
      </c>
      <c r="V50" s="4">
        <f t="shared" si="6"/>
        <v>5.9496676967290609</v>
      </c>
      <c r="W50" s="3">
        <f t="shared" si="7"/>
        <v>6.0271118118427198</v>
      </c>
      <c r="X50" s="12">
        <f t="shared" si="8"/>
        <v>6152300</v>
      </c>
      <c r="Y50" s="3">
        <f t="shared" si="21"/>
        <v>6.0764403225001802</v>
      </c>
      <c r="Z50" s="12">
        <f t="shared" si="22"/>
        <v>37305777</v>
      </c>
      <c r="AA50" s="4">
        <f t="shared" si="9"/>
        <v>6.0694569533069709</v>
      </c>
      <c r="AB50" s="13">
        <f t="shared" si="10"/>
        <v>-11.978925657790995</v>
      </c>
      <c r="AO50" s="15">
        <v>200601</v>
      </c>
      <c r="AP50">
        <v>6.12963440807194</v>
      </c>
      <c r="AQ50">
        <v>11965390</v>
      </c>
      <c r="AS50" s="15">
        <v>199005</v>
      </c>
      <c r="AT50">
        <v>10.25</v>
      </c>
      <c r="AU50">
        <v>187450</v>
      </c>
      <c r="AW50" s="15">
        <v>200709</v>
      </c>
      <c r="AX50">
        <v>6.4813951252681496</v>
      </c>
      <c r="AY50">
        <v>48010764</v>
      </c>
      <c r="BA50" s="15">
        <v>199101</v>
      </c>
      <c r="BB50">
        <v>8.3899347735742502</v>
      </c>
      <c r="BC50">
        <v>295969</v>
      </c>
      <c r="BE50" s="15">
        <v>200804</v>
      </c>
      <c r="BF50" s="1">
        <f t="shared" si="11"/>
        <v>39326</v>
      </c>
      <c r="BG50" s="3">
        <f t="shared" si="12"/>
        <v>5.6689723427269101</v>
      </c>
      <c r="BH50" s="12">
        <f t="shared" si="13"/>
        <v>41514288</v>
      </c>
      <c r="BI50" s="3">
        <f t="shared" si="23"/>
        <v>5.8693211628152504</v>
      </c>
      <c r="BJ50" s="12">
        <f t="shared" si="24"/>
        <v>147464388</v>
      </c>
      <c r="BK50" s="4">
        <f t="shared" si="14"/>
        <v>5.8253091145055915</v>
      </c>
      <c r="BL50" s="3">
        <f t="shared" si="15"/>
        <v>5.9266900207218498</v>
      </c>
      <c r="BM50" s="12">
        <f t="shared" si="16"/>
        <v>5977417996.3400002</v>
      </c>
      <c r="BN50" s="3">
        <f t="shared" si="25"/>
        <v>5.9469058666951904</v>
      </c>
      <c r="BO50" s="12">
        <f t="shared" si="26"/>
        <v>21921584877</v>
      </c>
      <c r="BP50" s="4">
        <f t="shared" si="17"/>
        <v>5.9425745806603132</v>
      </c>
      <c r="BQ50" s="13">
        <f t="shared" si="18"/>
        <v>-11.726546615472166</v>
      </c>
    </row>
    <row r="51" spans="1:69" x14ac:dyDescent="0.25">
      <c r="A51" s="1">
        <v>39173</v>
      </c>
      <c r="B51">
        <v>6.0057404790664801</v>
      </c>
      <c r="C51">
        <v>8775400</v>
      </c>
      <c r="E51" s="1">
        <v>39173</v>
      </c>
      <c r="F51">
        <v>5.9800904644028501</v>
      </c>
      <c r="G51">
        <v>12087738</v>
      </c>
      <c r="I51" s="1">
        <v>40148</v>
      </c>
      <c r="J51">
        <v>5.1007786222255502</v>
      </c>
      <c r="K51">
        <v>1804620911</v>
      </c>
      <c r="M51" s="1">
        <v>40148</v>
      </c>
      <c r="N51">
        <v>5.1695672021843704</v>
      </c>
      <c r="O51">
        <v>413476463</v>
      </c>
      <c r="Q51" s="1">
        <v>39173</v>
      </c>
      <c r="R51" s="3">
        <f t="shared" si="4"/>
        <v>6.0057404790664801</v>
      </c>
      <c r="S51" s="12">
        <f t="shared" si="5"/>
        <v>8775400</v>
      </c>
      <c r="T51" s="3">
        <f t="shared" si="19"/>
        <v>5.9381771913332999</v>
      </c>
      <c r="U51" s="12">
        <f t="shared" si="20"/>
        <v>30402689</v>
      </c>
      <c r="V51" s="4">
        <f t="shared" si="6"/>
        <v>5.9533105194334475</v>
      </c>
      <c r="W51" s="3">
        <f t="shared" si="7"/>
        <v>5.9800904644028501</v>
      </c>
      <c r="X51" s="12">
        <f t="shared" si="8"/>
        <v>12087738</v>
      </c>
      <c r="Y51" s="3">
        <f t="shared" si="21"/>
        <v>5.9586960516331304</v>
      </c>
      <c r="Z51" s="12">
        <f t="shared" si="22"/>
        <v>30987546</v>
      </c>
      <c r="AA51" s="4">
        <f t="shared" si="9"/>
        <v>5.9646997278067859</v>
      </c>
      <c r="AB51" s="13">
        <f t="shared" si="10"/>
        <v>-1.1389208373338455</v>
      </c>
      <c r="AO51" s="15">
        <v>200602</v>
      </c>
      <c r="AP51">
        <v>6.0250772396287298</v>
      </c>
      <c r="AQ51">
        <v>11700600</v>
      </c>
      <c r="AS51" s="15">
        <v>199006</v>
      </c>
      <c r="AT51">
        <v>10.5913713910761</v>
      </c>
      <c r="AU51">
        <v>381000</v>
      </c>
      <c r="AW51" s="15">
        <v>200710</v>
      </c>
      <c r="AX51">
        <v>6.2729881143296797</v>
      </c>
      <c r="AY51">
        <v>59274402</v>
      </c>
      <c r="BA51" s="15">
        <v>199102</v>
      </c>
      <c r="BB51">
        <v>9.0157917200170701</v>
      </c>
      <c r="BC51">
        <v>117150</v>
      </c>
      <c r="BE51" s="15">
        <v>200805</v>
      </c>
      <c r="BF51" s="1">
        <f t="shared" si="11"/>
        <v>39356</v>
      </c>
      <c r="BG51" s="3">
        <f t="shared" si="12"/>
        <v>5.6768764156888301</v>
      </c>
      <c r="BH51" s="12">
        <f t="shared" si="13"/>
        <v>37575789</v>
      </c>
      <c r="BI51" s="3">
        <f t="shared" si="23"/>
        <v>6.0958872857829496</v>
      </c>
      <c r="BJ51" s="12">
        <f t="shared" si="24"/>
        <v>354026094</v>
      </c>
      <c r="BK51" s="4">
        <f t="shared" si="14"/>
        <v>6.0556814933011927</v>
      </c>
      <c r="BL51" s="3">
        <f t="shared" si="15"/>
        <v>5.9598812562807701</v>
      </c>
      <c r="BM51" s="12">
        <f t="shared" si="16"/>
        <v>5955467327.1099997</v>
      </c>
      <c r="BN51" s="3">
        <f t="shared" si="25"/>
        <v>5.8994412550809896</v>
      </c>
      <c r="BO51" s="12">
        <f t="shared" si="26"/>
        <v>22633050041</v>
      </c>
      <c r="BP51" s="4">
        <f t="shared" si="17"/>
        <v>5.9120319203386886</v>
      </c>
      <c r="BQ51" s="13">
        <f t="shared" si="18"/>
        <v>14.364957296250402</v>
      </c>
    </row>
    <row r="52" spans="1:69" x14ac:dyDescent="0.25">
      <c r="A52" s="1">
        <v>39203</v>
      </c>
      <c r="B52">
        <v>6.0227925508399602</v>
      </c>
      <c r="C52">
        <v>11310000</v>
      </c>
      <c r="E52" s="1">
        <v>39203</v>
      </c>
      <c r="F52">
        <v>6.1122462360369099</v>
      </c>
      <c r="G52">
        <v>10295000</v>
      </c>
      <c r="I52" s="1">
        <v>40179</v>
      </c>
      <c r="J52">
        <v>5.04332460312183</v>
      </c>
      <c r="K52">
        <v>1256715067</v>
      </c>
      <c r="M52" s="1">
        <v>40179</v>
      </c>
      <c r="N52">
        <v>5.1282884735316303</v>
      </c>
      <c r="O52">
        <v>329942423</v>
      </c>
      <c r="Q52" s="1">
        <v>39203</v>
      </c>
      <c r="R52" s="3">
        <f t="shared" si="4"/>
        <v>6.0227925508399602</v>
      </c>
      <c r="S52" s="12">
        <f t="shared" si="5"/>
        <v>11310000</v>
      </c>
      <c r="T52" s="3">
        <f t="shared" si="19"/>
        <v>5.8750589332039302</v>
      </c>
      <c r="U52" s="12">
        <f t="shared" si="20"/>
        <v>49823356</v>
      </c>
      <c r="V52" s="4">
        <f t="shared" si="6"/>
        <v>5.9023904478595872</v>
      </c>
      <c r="W52" s="3">
        <f t="shared" si="7"/>
        <v>6.1122462360369099</v>
      </c>
      <c r="X52" s="12">
        <f t="shared" si="8"/>
        <v>10295000</v>
      </c>
      <c r="Y52" s="3">
        <f t="shared" si="21"/>
        <v>5.9976445646499004</v>
      </c>
      <c r="Z52" s="12">
        <f t="shared" si="22"/>
        <v>34024708</v>
      </c>
      <c r="AA52" s="4">
        <f t="shared" si="9"/>
        <v>6.0242653223256779</v>
      </c>
      <c r="AB52" s="13">
        <f t="shared" si="10"/>
        <v>-12.187487446609069</v>
      </c>
      <c r="AO52" s="15">
        <v>200603</v>
      </c>
      <c r="AP52">
        <v>5.99735379534612</v>
      </c>
      <c r="AQ52">
        <v>16274866.51</v>
      </c>
      <c r="AS52" s="15">
        <v>199007</v>
      </c>
      <c r="AT52">
        <v>10</v>
      </c>
      <c r="AU52">
        <v>65920</v>
      </c>
      <c r="AW52" s="15">
        <v>200711</v>
      </c>
      <c r="AX52">
        <v>6.1765180930472603</v>
      </c>
      <c r="AY52">
        <v>55243320</v>
      </c>
      <c r="BA52" s="15">
        <v>199103</v>
      </c>
      <c r="BB52">
        <v>9.625</v>
      </c>
      <c r="BC52">
        <v>30000</v>
      </c>
      <c r="BE52" s="15">
        <v>200806</v>
      </c>
      <c r="BF52" s="1">
        <f t="shared" si="11"/>
        <v>39387</v>
      </c>
      <c r="BG52" s="3">
        <f t="shared" si="12"/>
        <v>5.9168716439562496</v>
      </c>
      <c r="BH52" s="12">
        <f t="shared" si="13"/>
        <v>70623449.859999999</v>
      </c>
      <c r="BI52" s="3">
        <f t="shared" si="23"/>
        <v>6.0651370134228104</v>
      </c>
      <c r="BJ52" s="12">
        <f t="shared" si="24"/>
        <v>236119603</v>
      </c>
      <c r="BK52" s="4">
        <f t="shared" si="14"/>
        <v>6.0310009122499668</v>
      </c>
      <c r="BL52" s="3">
        <f t="shared" si="15"/>
        <v>6.0394691949369896</v>
      </c>
      <c r="BM52" s="12">
        <f t="shared" si="16"/>
        <v>4929001395.9700003</v>
      </c>
      <c r="BN52" s="3">
        <f t="shared" si="25"/>
        <v>5.9700820489819204</v>
      </c>
      <c r="BO52" s="12">
        <f t="shared" si="26"/>
        <v>16977297649</v>
      </c>
      <c r="BP52" s="4">
        <f t="shared" si="17"/>
        <v>5.9856944232388773</v>
      </c>
      <c r="BQ52" s="13">
        <f t="shared" si="18"/>
        <v>4.5306489011089468</v>
      </c>
    </row>
    <row r="53" spans="1:69" x14ac:dyDescent="0.25">
      <c r="A53" s="1">
        <v>39234</v>
      </c>
      <c r="B53">
        <v>5.95566633463923</v>
      </c>
      <c r="C53">
        <v>11619522</v>
      </c>
      <c r="E53" s="1">
        <v>39234</v>
      </c>
      <c r="F53">
        <v>6.0346264405627998</v>
      </c>
      <c r="G53">
        <v>12539370</v>
      </c>
      <c r="I53" s="1">
        <v>40210</v>
      </c>
      <c r="J53">
        <v>5.0831925473229704</v>
      </c>
      <c r="K53">
        <v>1353420411</v>
      </c>
      <c r="M53" s="1">
        <v>40210</v>
      </c>
      <c r="N53">
        <v>5.1627233291869903</v>
      </c>
      <c r="O53">
        <v>346225010</v>
      </c>
      <c r="Q53" s="1">
        <v>39234</v>
      </c>
      <c r="R53" s="3">
        <f t="shared" si="4"/>
        <v>5.95566633463923</v>
      </c>
      <c r="S53" s="12">
        <f t="shared" si="5"/>
        <v>11619522</v>
      </c>
      <c r="T53" s="3">
        <f t="shared" si="19"/>
        <v>5.9508829180967302</v>
      </c>
      <c r="U53" s="12">
        <f t="shared" si="20"/>
        <v>34515744</v>
      </c>
      <c r="V53" s="4">
        <f t="shared" si="6"/>
        <v>5.9520876583869615</v>
      </c>
      <c r="W53" s="3">
        <f t="shared" si="7"/>
        <v>6.0346264405627998</v>
      </c>
      <c r="X53" s="12">
        <f t="shared" si="8"/>
        <v>12539370</v>
      </c>
      <c r="Y53" s="3">
        <f t="shared" si="21"/>
        <v>5.9876714152466102</v>
      </c>
      <c r="Z53" s="12">
        <f t="shared" si="22"/>
        <v>30233600</v>
      </c>
      <c r="AA53" s="4">
        <f t="shared" si="9"/>
        <v>6.0014368010919021</v>
      </c>
      <c r="AB53" s="13">
        <f t="shared" si="10"/>
        <v>-4.9349142704940618</v>
      </c>
      <c r="AO53" s="15">
        <v>200604</v>
      </c>
      <c r="AP53">
        <v>6.1820578464304701</v>
      </c>
      <c r="AQ53">
        <v>16239550</v>
      </c>
      <c r="AS53" s="15">
        <v>199008</v>
      </c>
      <c r="AT53">
        <v>9.5</v>
      </c>
      <c r="AU53">
        <v>35000</v>
      </c>
      <c r="AW53" s="15">
        <v>200712</v>
      </c>
      <c r="AX53">
        <v>6.1006423669166701</v>
      </c>
      <c r="AY53">
        <v>62858740</v>
      </c>
      <c r="BA53" s="15">
        <v>199104</v>
      </c>
      <c r="BB53">
        <v>9.3310838889476795</v>
      </c>
      <c r="BC53">
        <v>340164</v>
      </c>
      <c r="BE53" s="15">
        <v>200807</v>
      </c>
      <c r="BF53" s="1">
        <f t="shared" si="11"/>
        <v>39417</v>
      </c>
      <c r="BG53" s="3">
        <f t="shared" si="12"/>
        <v>6.0623479082229803</v>
      </c>
      <c r="BH53" s="12">
        <f t="shared" si="13"/>
        <v>125270661.40000001</v>
      </c>
      <c r="BI53" s="3">
        <f t="shared" si="23"/>
        <v>6.1472127259628104</v>
      </c>
      <c r="BJ53" s="12">
        <f t="shared" si="24"/>
        <v>257025472</v>
      </c>
      <c r="BK53" s="4">
        <f t="shared" si="14"/>
        <v>6.1194042525856149</v>
      </c>
      <c r="BL53" s="3">
        <f t="shared" si="15"/>
        <v>6.1979546645809398</v>
      </c>
      <c r="BM53" s="12">
        <f t="shared" si="16"/>
        <v>3604945690.0700002</v>
      </c>
      <c r="BN53" s="3">
        <f t="shared" si="25"/>
        <v>6.1346948914656396</v>
      </c>
      <c r="BO53" s="12">
        <f t="shared" si="26"/>
        <v>14940765697</v>
      </c>
      <c r="BP53" s="4">
        <f t="shared" si="17"/>
        <v>6.1469914295539976</v>
      </c>
      <c r="BQ53" s="13">
        <f t="shared" si="18"/>
        <v>-2.7587176968382643</v>
      </c>
    </row>
    <row r="54" spans="1:69" x14ac:dyDescent="0.25">
      <c r="A54" s="1">
        <v>39264</v>
      </c>
      <c r="B54">
        <v>6.0993346315305699</v>
      </c>
      <c r="C54">
        <v>8356460</v>
      </c>
      <c r="E54" s="1">
        <v>39264</v>
      </c>
      <c r="F54">
        <v>6.2219535843551901</v>
      </c>
      <c r="G54">
        <v>10042950</v>
      </c>
      <c r="I54" s="1">
        <v>40238</v>
      </c>
      <c r="J54">
        <v>5.1116099108354502</v>
      </c>
      <c r="K54">
        <v>1399899299</v>
      </c>
      <c r="M54" s="1">
        <v>40238</v>
      </c>
      <c r="N54">
        <v>5.1983329970659797</v>
      </c>
      <c r="O54">
        <v>406671460</v>
      </c>
      <c r="Q54" s="1">
        <v>39264</v>
      </c>
      <c r="R54" s="3">
        <f t="shared" si="4"/>
        <v>6.0993346315305699</v>
      </c>
      <c r="S54" s="12">
        <f t="shared" si="5"/>
        <v>8356460</v>
      </c>
      <c r="T54" s="3">
        <f t="shared" si="19"/>
        <v>6.1529131699751698</v>
      </c>
      <c r="U54" s="12">
        <f t="shared" si="20"/>
        <v>28040554</v>
      </c>
      <c r="V54" s="4">
        <f t="shared" si="6"/>
        <v>6.1406119709435476</v>
      </c>
      <c r="W54" s="3">
        <f t="shared" si="7"/>
        <v>6.2219535843551901</v>
      </c>
      <c r="X54" s="12">
        <f t="shared" si="8"/>
        <v>10042950</v>
      </c>
      <c r="Y54" s="3">
        <f t="shared" si="21"/>
        <v>6.2420427398517404</v>
      </c>
      <c r="Z54" s="12">
        <f t="shared" si="22"/>
        <v>29245305</v>
      </c>
      <c r="AA54" s="4">
        <f t="shared" si="9"/>
        <v>6.2369075058182082</v>
      </c>
      <c r="AB54" s="13">
        <f t="shared" si="10"/>
        <v>-9.6295534874660582</v>
      </c>
      <c r="AO54" s="15">
        <v>200605</v>
      </c>
      <c r="AP54">
        <v>6.2204986181394997</v>
      </c>
      <c r="AQ54">
        <v>13062100</v>
      </c>
      <c r="AS54" s="15">
        <v>199009</v>
      </c>
      <c r="AT54">
        <v>9.09131049224683</v>
      </c>
      <c r="AU54">
        <v>281627</v>
      </c>
      <c r="AW54" s="15">
        <v>200801</v>
      </c>
      <c r="AX54">
        <v>6.0060920192825904</v>
      </c>
      <c r="AY54">
        <v>62272948</v>
      </c>
      <c r="BA54" s="15">
        <v>199105</v>
      </c>
      <c r="BB54">
        <v>8.3768232332428596</v>
      </c>
      <c r="BC54">
        <v>345987</v>
      </c>
      <c r="BE54" s="15">
        <v>200808</v>
      </c>
      <c r="BF54" s="1">
        <f t="shared" si="11"/>
        <v>39448</v>
      </c>
      <c r="BG54" s="3">
        <f t="shared" si="12"/>
        <v>6.3585049983983897</v>
      </c>
      <c r="BH54" s="12">
        <f t="shared" si="13"/>
        <v>90802886</v>
      </c>
      <c r="BI54" s="3">
        <f t="shared" si="23"/>
        <v>6.3810703849188402</v>
      </c>
      <c r="BJ54" s="12">
        <f t="shared" si="24"/>
        <v>178016615</v>
      </c>
      <c r="BK54" s="4">
        <f t="shared" si="14"/>
        <v>6.3734481617834637</v>
      </c>
      <c r="BL54" s="3">
        <f t="shared" si="15"/>
        <v>6.4764869600073798</v>
      </c>
      <c r="BM54" s="12">
        <f t="shared" si="16"/>
        <v>2542245522.48</v>
      </c>
      <c r="BN54" s="3">
        <f t="shared" si="25"/>
        <v>6.37829678439146</v>
      </c>
      <c r="BO54" s="12">
        <f t="shared" si="26"/>
        <v>12141380213</v>
      </c>
      <c r="BP54" s="4">
        <f t="shared" si="17"/>
        <v>6.3952969135699043</v>
      </c>
      <c r="BQ54" s="13">
        <f t="shared" si="18"/>
        <v>-2.1848751786440523</v>
      </c>
    </row>
    <row r="55" spans="1:69" x14ac:dyDescent="0.25">
      <c r="A55" s="1">
        <v>39295</v>
      </c>
      <c r="B55">
        <v>6.2393316640866896</v>
      </c>
      <c r="C55">
        <v>5494894</v>
      </c>
      <c r="E55" s="1">
        <v>39295</v>
      </c>
      <c r="F55">
        <v>6.3876669782295403</v>
      </c>
      <c r="G55">
        <v>8986950</v>
      </c>
      <c r="I55" s="1">
        <v>40269</v>
      </c>
      <c r="J55">
        <v>5.13314470530017</v>
      </c>
      <c r="K55">
        <v>895483910</v>
      </c>
      <c r="M55" s="1">
        <v>40269</v>
      </c>
      <c r="N55">
        <v>5.2383357766286203</v>
      </c>
      <c r="O55">
        <v>258152723</v>
      </c>
      <c r="Q55" s="1">
        <v>39295</v>
      </c>
      <c r="R55" s="3">
        <f t="shared" si="4"/>
        <v>6.2393316640866896</v>
      </c>
      <c r="S55" s="12">
        <f t="shared" si="5"/>
        <v>5494894</v>
      </c>
      <c r="T55" s="3">
        <f t="shared" si="19"/>
        <v>6.2424475020723502</v>
      </c>
      <c r="U55" s="12">
        <f t="shared" si="20"/>
        <v>25226091</v>
      </c>
      <c r="V55" s="4">
        <f t="shared" si="6"/>
        <v>6.2418901892305785</v>
      </c>
      <c r="W55" s="3">
        <f t="shared" si="7"/>
        <v>6.3876669782295403</v>
      </c>
      <c r="X55" s="12">
        <f t="shared" si="8"/>
        <v>8986950</v>
      </c>
      <c r="Y55" s="3">
        <f t="shared" si="21"/>
        <v>6.3539968384593397</v>
      </c>
      <c r="Z55" s="12">
        <f t="shared" si="22"/>
        <v>20673465</v>
      </c>
      <c r="AA55" s="4">
        <f t="shared" si="9"/>
        <v>6.3641987140098939</v>
      </c>
      <c r="AB55" s="13">
        <f t="shared" si="10"/>
        <v>-12.230852477931542</v>
      </c>
      <c r="AO55" s="15">
        <v>200606</v>
      </c>
      <c r="AP55">
        <v>6.4997904741802097</v>
      </c>
      <c r="AQ55">
        <v>8053900</v>
      </c>
      <c r="AS55" s="15">
        <v>199010</v>
      </c>
      <c r="AT55">
        <v>9.1511755057408397</v>
      </c>
      <c r="AU55">
        <v>182900</v>
      </c>
      <c r="AW55" s="15">
        <v>200802</v>
      </c>
      <c r="AX55">
        <v>5.82413129020465</v>
      </c>
      <c r="AY55">
        <v>74807721</v>
      </c>
      <c r="BA55" s="15">
        <v>199106</v>
      </c>
      <c r="BB55">
        <v>8.9871336669049295</v>
      </c>
      <c r="BC55">
        <v>209850</v>
      </c>
      <c r="BE55" s="15">
        <v>200809</v>
      </c>
      <c r="BF55" s="1">
        <f t="shared" si="11"/>
        <v>39479</v>
      </c>
      <c r="BG55" s="3">
        <f t="shared" si="12"/>
        <v>6.4892252531747499</v>
      </c>
      <c r="BH55" s="12">
        <f t="shared" si="13"/>
        <v>76630072</v>
      </c>
      <c r="BI55" s="3">
        <f t="shared" si="23"/>
        <v>6.4903193000372799</v>
      </c>
      <c r="BJ55" s="12">
        <f t="shared" si="24"/>
        <v>137184450</v>
      </c>
      <c r="BK55" s="4">
        <f t="shared" si="14"/>
        <v>6.4899271990281306</v>
      </c>
      <c r="BL55" s="3">
        <f t="shared" si="15"/>
        <v>6.6076529979708898</v>
      </c>
      <c r="BM55" s="12">
        <f t="shared" si="16"/>
        <v>2295066777.6399999</v>
      </c>
      <c r="BN55" s="3">
        <f t="shared" si="25"/>
        <v>6.4919441371592699</v>
      </c>
      <c r="BO55" s="12">
        <f t="shared" si="26"/>
        <v>7994633503</v>
      </c>
      <c r="BP55" s="4">
        <f t="shared" si="17"/>
        <v>6.5177524265247992</v>
      </c>
      <c r="BQ55" s="13">
        <f t="shared" si="18"/>
        <v>-2.7825227496668603</v>
      </c>
    </row>
    <row r="56" spans="1:69" x14ac:dyDescent="0.25">
      <c r="A56" s="1">
        <v>39326</v>
      </c>
      <c r="B56">
        <v>6.4057358801398001</v>
      </c>
      <c r="C56">
        <v>6737850</v>
      </c>
      <c r="E56" s="1">
        <v>39326</v>
      </c>
      <c r="F56">
        <v>6.7289641010039496</v>
      </c>
      <c r="G56">
        <v>8217500</v>
      </c>
      <c r="I56" s="1">
        <v>40299</v>
      </c>
      <c r="J56">
        <v>5.1217568917369602</v>
      </c>
      <c r="K56">
        <v>870833148</v>
      </c>
      <c r="M56" s="1">
        <v>40299</v>
      </c>
      <c r="N56">
        <v>5.1903040639201699</v>
      </c>
      <c r="O56">
        <v>232853934</v>
      </c>
      <c r="Q56" s="1">
        <v>39326</v>
      </c>
      <c r="R56" s="3">
        <f t="shared" si="4"/>
        <v>6.4057358801398001</v>
      </c>
      <c r="S56" s="12">
        <f t="shared" si="5"/>
        <v>6737850</v>
      </c>
      <c r="T56" s="3">
        <f t="shared" si="19"/>
        <v>6.3800802822951299</v>
      </c>
      <c r="U56" s="12">
        <f t="shared" si="20"/>
        <v>29454564</v>
      </c>
      <c r="V56" s="4">
        <f t="shared" si="6"/>
        <v>6.3848565199326011</v>
      </c>
      <c r="W56" s="3">
        <f t="shared" si="7"/>
        <v>6.7289641010039496</v>
      </c>
      <c r="X56" s="12">
        <f t="shared" si="8"/>
        <v>8217500</v>
      </c>
      <c r="Y56" s="3">
        <f t="shared" si="21"/>
        <v>6.43423424120164</v>
      </c>
      <c r="Z56" s="12">
        <f t="shared" si="22"/>
        <v>21399506</v>
      </c>
      <c r="AA56" s="4">
        <f t="shared" si="9"/>
        <v>6.5160096449316951</v>
      </c>
      <c r="AB56" s="13">
        <f t="shared" si="10"/>
        <v>-13.115312499909404</v>
      </c>
      <c r="AO56" s="15">
        <v>200607</v>
      </c>
      <c r="AP56">
        <v>6.6017412935323296</v>
      </c>
      <c r="AQ56">
        <v>13467000</v>
      </c>
      <c r="AS56" s="15">
        <v>199011</v>
      </c>
      <c r="AT56">
        <v>10</v>
      </c>
      <c r="AU56">
        <v>31850</v>
      </c>
      <c r="AW56" s="15">
        <v>200803</v>
      </c>
      <c r="AX56">
        <v>5.6254262913825199</v>
      </c>
      <c r="AY56">
        <v>113993625</v>
      </c>
      <c r="BA56" s="15">
        <v>199107</v>
      </c>
      <c r="BB56">
        <v>8.4214285714285708</v>
      </c>
      <c r="BC56">
        <v>140000</v>
      </c>
      <c r="BE56" s="15">
        <v>200810</v>
      </c>
      <c r="BF56" s="1">
        <f t="shared" si="11"/>
        <v>39508</v>
      </c>
      <c r="BG56" s="3">
        <f t="shared" si="12"/>
        <v>6.1113324623902097</v>
      </c>
      <c r="BH56" s="12">
        <f t="shared" si="13"/>
        <v>101138637</v>
      </c>
      <c r="BI56" s="3">
        <f t="shared" si="23"/>
        <v>6.2680785878547098</v>
      </c>
      <c r="BJ56" s="12">
        <f t="shared" si="24"/>
        <v>119435898</v>
      </c>
      <c r="BK56" s="4">
        <f t="shared" si="14"/>
        <v>6.1962067850443328</v>
      </c>
      <c r="BL56" s="3">
        <f t="shared" si="15"/>
        <v>6.3210843110284802</v>
      </c>
      <c r="BM56" s="12">
        <f t="shared" si="16"/>
        <v>2542934250.6700001</v>
      </c>
      <c r="BN56" s="3">
        <f t="shared" si="25"/>
        <v>6.22156838573681</v>
      </c>
      <c r="BO56" s="12">
        <f t="shared" si="26"/>
        <v>9411144055</v>
      </c>
      <c r="BP56" s="4">
        <f t="shared" si="17"/>
        <v>6.2427379354453203</v>
      </c>
      <c r="BQ56" s="13">
        <f t="shared" si="18"/>
        <v>-4.6531150400987542</v>
      </c>
    </row>
    <row r="57" spans="1:69" x14ac:dyDescent="0.25">
      <c r="A57" s="1">
        <v>39356</v>
      </c>
      <c r="B57">
        <v>6.2611772009865998</v>
      </c>
      <c r="C57">
        <v>5935520</v>
      </c>
      <c r="E57" s="1">
        <v>39356</v>
      </c>
      <c r="F57">
        <v>6.5680101765823098</v>
      </c>
      <c r="G57">
        <v>7792400</v>
      </c>
      <c r="I57" s="1">
        <v>40330</v>
      </c>
      <c r="J57">
        <v>5.1774154051112804</v>
      </c>
      <c r="K57">
        <v>1070665307</v>
      </c>
      <c r="M57" s="1">
        <v>40330</v>
      </c>
      <c r="N57">
        <v>5.2649822783195104</v>
      </c>
      <c r="O57">
        <v>342423508</v>
      </c>
      <c r="Q57" s="1">
        <v>39356</v>
      </c>
      <c r="R57" s="3">
        <f t="shared" si="4"/>
        <v>6.2611772009865998</v>
      </c>
      <c r="S57" s="12">
        <f t="shared" si="5"/>
        <v>5935520</v>
      </c>
      <c r="T57" s="3">
        <f t="shared" si="19"/>
        <v>6.3249149173922303</v>
      </c>
      <c r="U57" s="12">
        <f t="shared" si="20"/>
        <v>28628060</v>
      </c>
      <c r="V57" s="4">
        <f t="shared" si="6"/>
        <v>6.313969393506107</v>
      </c>
      <c r="W57" s="3">
        <f t="shared" si="7"/>
        <v>6.5680101765823098</v>
      </c>
      <c r="X57" s="12">
        <f t="shared" si="8"/>
        <v>7792400</v>
      </c>
      <c r="Y57" s="3">
        <f t="shared" si="21"/>
        <v>6.4211292355379399</v>
      </c>
      <c r="Z57" s="12">
        <f t="shared" si="22"/>
        <v>29057348</v>
      </c>
      <c r="AA57" s="4">
        <f t="shared" si="9"/>
        <v>6.4521892863419277</v>
      </c>
      <c r="AB57" s="13">
        <f t="shared" si="10"/>
        <v>-13.82198928358207</v>
      </c>
      <c r="AO57" s="15">
        <v>200608</v>
      </c>
      <c r="AP57">
        <v>6.5373353531856901</v>
      </c>
      <c r="AQ57">
        <v>9489878.4199999999</v>
      </c>
      <c r="AS57" s="15">
        <v>199012</v>
      </c>
      <c r="AT57">
        <v>9.5</v>
      </c>
      <c r="AU57">
        <v>34800</v>
      </c>
      <c r="AW57" s="15">
        <v>200804</v>
      </c>
      <c r="AX57">
        <v>5.8693211628152504</v>
      </c>
      <c r="AY57">
        <v>147464388</v>
      </c>
      <c r="BA57" s="15">
        <v>199108</v>
      </c>
      <c r="BB57">
        <v>9.5228073665662407</v>
      </c>
      <c r="BC57">
        <v>175930</v>
      </c>
      <c r="BE57" s="15">
        <v>200811</v>
      </c>
      <c r="BF57" s="1">
        <f t="shared" si="11"/>
        <v>39539</v>
      </c>
      <c r="BG57" s="3">
        <f t="shared" si="12"/>
        <v>5.96654587425237</v>
      </c>
      <c r="BH57" s="12">
        <f t="shared" si="13"/>
        <v>142545789</v>
      </c>
      <c r="BI57" s="3">
        <f t="shared" si="23"/>
        <v>6.0320115671226198</v>
      </c>
      <c r="BJ57" s="12">
        <f t="shared" si="24"/>
        <v>179232560</v>
      </c>
      <c r="BK57" s="4">
        <f t="shared" si="14"/>
        <v>6.0030106760694393</v>
      </c>
      <c r="BL57" s="3">
        <f t="shared" si="15"/>
        <v>6.1089752889243698</v>
      </c>
      <c r="BM57" s="12">
        <f t="shared" si="16"/>
        <v>3101542589.5599999</v>
      </c>
      <c r="BN57" s="3">
        <f t="shared" si="25"/>
        <v>6.0406798720151498</v>
      </c>
      <c r="BO57" s="12">
        <f t="shared" si="26"/>
        <v>11957514804</v>
      </c>
      <c r="BP57" s="4">
        <f t="shared" si="17"/>
        <v>6.0547459014272089</v>
      </c>
      <c r="BQ57" s="13">
        <f t="shared" si="18"/>
        <v>-5.1735225357769643</v>
      </c>
    </row>
    <row r="58" spans="1:69" x14ac:dyDescent="0.25">
      <c r="A58" s="1">
        <v>39387</v>
      </c>
      <c r="B58">
        <v>6.2124993453097899</v>
      </c>
      <c r="C58">
        <v>5727900</v>
      </c>
      <c r="E58" s="1">
        <v>39387</v>
      </c>
      <c r="F58">
        <v>6.1524960599607796</v>
      </c>
      <c r="G58">
        <v>16624200</v>
      </c>
      <c r="I58" s="1">
        <v>40360</v>
      </c>
      <c r="J58">
        <v>5.0540001228724902</v>
      </c>
      <c r="K58">
        <v>1043496317</v>
      </c>
      <c r="M58" s="1">
        <v>40360</v>
      </c>
      <c r="N58">
        <v>5.1393247315326196</v>
      </c>
      <c r="O58">
        <v>287228657</v>
      </c>
      <c r="Q58" s="1">
        <v>39387</v>
      </c>
      <c r="R58" s="3">
        <f t="shared" si="4"/>
        <v>6.2124993453097899</v>
      </c>
      <c r="S58" s="12">
        <f t="shared" si="5"/>
        <v>5727900</v>
      </c>
      <c r="T58" s="3">
        <f t="shared" si="19"/>
        <v>6.1261000581862</v>
      </c>
      <c r="U58" s="12">
        <f t="shared" si="20"/>
        <v>23545100</v>
      </c>
      <c r="V58" s="4">
        <f t="shared" si="6"/>
        <v>6.1430059604413572</v>
      </c>
      <c r="W58" s="3">
        <f t="shared" si="7"/>
        <v>6.1524960599607796</v>
      </c>
      <c r="X58" s="12">
        <f t="shared" si="8"/>
        <v>16624200</v>
      </c>
      <c r="Y58" s="3">
        <f t="shared" si="21"/>
        <v>6.2143613632284902</v>
      </c>
      <c r="Z58" s="12">
        <f t="shared" si="22"/>
        <v>37634366</v>
      </c>
      <c r="AA58" s="4">
        <f t="shared" si="9"/>
        <v>6.1954065464981127</v>
      </c>
      <c r="AB58" s="13">
        <f t="shared" si="10"/>
        <v>-5.2400586056755571</v>
      </c>
      <c r="AO58" s="15">
        <v>200609</v>
      </c>
      <c r="AP58">
        <v>6.4405986831146098</v>
      </c>
      <c r="AQ58">
        <v>10596287.41</v>
      </c>
      <c r="AS58" s="15">
        <v>199101</v>
      </c>
      <c r="AT58">
        <v>10.25</v>
      </c>
      <c r="AU58">
        <v>21650</v>
      </c>
      <c r="AW58" s="15">
        <v>200805</v>
      </c>
      <c r="AX58">
        <v>6.0958872857829496</v>
      </c>
      <c r="AY58">
        <v>354026094</v>
      </c>
      <c r="BA58" s="15">
        <v>199109</v>
      </c>
      <c r="BB58">
        <v>9.2701090185063197</v>
      </c>
      <c r="BC58">
        <v>229273</v>
      </c>
      <c r="BE58" s="15">
        <v>200812</v>
      </c>
      <c r="BF58" s="1">
        <f t="shared" si="11"/>
        <v>39569</v>
      </c>
      <c r="BG58" s="3">
        <f t="shared" si="12"/>
        <v>6.0060028141226596</v>
      </c>
      <c r="BH58" s="12">
        <f t="shared" si="13"/>
        <v>105151777.5</v>
      </c>
      <c r="BI58" s="3">
        <f t="shared" si="23"/>
        <v>6.1468012443322699</v>
      </c>
      <c r="BJ58" s="12">
        <f t="shared" si="24"/>
        <v>119216389</v>
      </c>
      <c r="BK58" s="4">
        <f t="shared" si="14"/>
        <v>6.0808150332012447</v>
      </c>
      <c r="BL58" s="3">
        <f t="shared" si="15"/>
        <v>6.1507905298770602</v>
      </c>
      <c r="BM58" s="12">
        <f t="shared" si="16"/>
        <v>2320933430.3800001</v>
      </c>
      <c r="BN58" s="3">
        <f t="shared" si="25"/>
        <v>6.2025903707095003</v>
      </c>
      <c r="BO58" s="12">
        <f t="shared" si="26"/>
        <v>6205704294</v>
      </c>
      <c r="BP58" s="4">
        <f t="shared" si="17"/>
        <v>6.1884905594870041</v>
      </c>
      <c r="BQ58" s="13">
        <f t="shared" si="18"/>
        <v>-10.767552628575938</v>
      </c>
    </row>
    <row r="59" spans="1:69" x14ac:dyDescent="0.25">
      <c r="A59" s="1">
        <v>39417</v>
      </c>
      <c r="B59">
        <v>6.2046517686905602</v>
      </c>
      <c r="C59">
        <v>8444100</v>
      </c>
      <c r="E59" s="1">
        <v>39417</v>
      </c>
      <c r="F59">
        <v>6.2466674774993898</v>
      </c>
      <c r="G59">
        <v>15416250</v>
      </c>
      <c r="I59" s="1">
        <v>40391</v>
      </c>
      <c r="J59">
        <v>4.9348957791122201</v>
      </c>
      <c r="K59">
        <v>812252916</v>
      </c>
      <c r="M59" s="1">
        <v>40391</v>
      </c>
      <c r="N59">
        <v>5.0694472559555903</v>
      </c>
      <c r="O59">
        <v>218589447</v>
      </c>
      <c r="Q59" s="1">
        <v>39417</v>
      </c>
      <c r="R59" s="3">
        <f t="shared" si="4"/>
        <v>6.2046517686905602</v>
      </c>
      <c r="S59" s="12">
        <f t="shared" si="5"/>
        <v>8444100</v>
      </c>
      <c r="T59" s="3">
        <f t="shared" si="19"/>
        <v>5.9353992175247701</v>
      </c>
      <c r="U59" s="12">
        <f t="shared" si="20"/>
        <v>32250989</v>
      </c>
      <c r="V59" s="4">
        <f t="shared" si="6"/>
        <v>5.9912682553661432</v>
      </c>
      <c r="W59" s="3">
        <f t="shared" si="7"/>
        <v>6.2466674774993898</v>
      </c>
      <c r="X59" s="12">
        <f t="shared" si="8"/>
        <v>15416250</v>
      </c>
      <c r="Y59" s="3">
        <f t="shared" si="21"/>
        <v>6.1365979490177596</v>
      </c>
      <c r="Z59" s="12">
        <f t="shared" si="22"/>
        <v>26310223</v>
      </c>
      <c r="AA59" s="4">
        <f t="shared" si="9"/>
        <v>6.1772642034710161</v>
      </c>
      <c r="AB59" s="13">
        <f t="shared" si="10"/>
        <v>-18.599594810487297</v>
      </c>
      <c r="AO59" s="15">
        <v>200610</v>
      </c>
      <c r="AP59">
        <v>6.2494311615521498</v>
      </c>
      <c r="AQ59">
        <v>12783946</v>
      </c>
      <c r="AS59" s="15">
        <v>199102</v>
      </c>
      <c r="AT59">
        <v>9.2861520568876408</v>
      </c>
      <c r="AU59">
        <v>145689.29</v>
      </c>
      <c r="AW59" s="15">
        <v>200806</v>
      </c>
      <c r="AX59">
        <v>6.0651370134228104</v>
      </c>
      <c r="AY59">
        <v>236119603</v>
      </c>
      <c r="BA59" s="15">
        <v>199110</v>
      </c>
      <c r="BB59">
        <v>8.9306253838838092</v>
      </c>
      <c r="BC59">
        <v>403768</v>
      </c>
      <c r="BE59" s="15">
        <v>200901</v>
      </c>
      <c r="BF59" s="1">
        <f t="shared" si="11"/>
        <v>39600</v>
      </c>
      <c r="BG59" s="3">
        <f t="shared" si="12"/>
        <v>5.42410537049693</v>
      </c>
      <c r="BH59" s="12">
        <f t="shared" si="13"/>
        <v>237103124</v>
      </c>
      <c r="BI59" s="3">
        <f t="shared" si="23"/>
        <v>5.5239295259803098</v>
      </c>
      <c r="BJ59" s="12">
        <f t="shared" si="24"/>
        <v>586745487</v>
      </c>
      <c r="BK59" s="4">
        <f t="shared" si="14"/>
        <v>5.4952001953730258</v>
      </c>
      <c r="BL59" s="3">
        <f t="shared" si="15"/>
        <v>5.3820644327657003</v>
      </c>
      <c r="BM59" s="12">
        <f t="shared" si="16"/>
        <v>4978906442.5299997</v>
      </c>
      <c r="BN59" s="3">
        <f t="shared" si="25"/>
        <v>5.4951996074010596</v>
      </c>
      <c r="BO59" s="12">
        <f t="shared" si="26"/>
        <v>16450248089</v>
      </c>
      <c r="BP59" s="4">
        <f t="shared" si="17"/>
        <v>5.4689134816913425</v>
      </c>
      <c r="BQ59" s="13">
        <f t="shared" si="18"/>
        <v>2.6286713681683338</v>
      </c>
    </row>
    <row r="60" spans="1:69" x14ac:dyDescent="0.25">
      <c r="A60" s="1">
        <v>39448</v>
      </c>
      <c r="B60">
        <v>5.9476724747401901</v>
      </c>
      <c r="C60">
        <v>9295796</v>
      </c>
      <c r="E60" s="1">
        <v>39448</v>
      </c>
      <c r="F60">
        <v>6.0086558018785903</v>
      </c>
      <c r="G60">
        <v>9783900</v>
      </c>
      <c r="I60" s="1">
        <v>40422</v>
      </c>
      <c r="J60">
        <v>4.8054423198684102</v>
      </c>
      <c r="K60">
        <v>1155903457</v>
      </c>
      <c r="M60" s="1">
        <v>40422</v>
      </c>
      <c r="N60">
        <v>4.9435883776043896</v>
      </c>
      <c r="O60">
        <v>301400255</v>
      </c>
      <c r="Q60" s="1">
        <v>39448</v>
      </c>
      <c r="R60" s="3">
        <f t="shared" si="4"/>
        <v>5.9476724747401901</v>
      </c>
      <c r="S60" s="12">
        <f t="shared" si="5"/>
        <v>9295796</v>
      </c>
      <c r="T60" s="3">
        <f t="shared" si="19"/>
        <v>5.9702399901642504</v>
      </c>
      <c r="U60" s="12">
        <f t="shared" si="20"/>
        <v>34697922</v>
      </c>
      <c r="V60" s="4">
        <f t="shared" si="6"/>
        <v>5.9654715134556238</v>
      </c>
      <c r="W60" s="3">
        <f t="shared" si="7"/>
        <v>6.0086558018785903</v>
      </c>
      <c r="X60" s="12">
        <f t="shared" si="8"/>
        <v>9783900</v>
      </c>
      <c r="Y60" s="3">
        <f t="shared" si="21"/>
        <v>5.9586527164725496</v>
      </c>
      <c r="Z60" s="12">
        <f t="shared" si="22"/>
        <v>28896850</v>
      </c>
      <c r="AA60" s="4">
        <f t="shared" si="9"/>
        <v>5.9713004853835496</v>
      </c>
      <c r="AB60" s="13">
        <f t="shared" si="10"/>
        <v>-0.58289719279258634</v>
      </c>
      <c r="AO60" s="15">
        <v>200611</v>
      </c>
      <c r="AP60">
        <v>6.21764899409576</v>
      </c>
      <c r="AQ60">
        <v>15817808</v>
      </c>
      <c r="AS60" s="15">
        <v>199103</v>
      </c>
      <c r="AT60">
        <v>6</v>
      </c>
      <c r="AU60">
        <v>28000</v>
      </c>
      <c r="AW60" s="15">
        <v>200807</v>
      </c>
      <c r="AX60">
        <v>6.1472127259628104</v>
      </c>
      <c r="AY60">
        <v>257025472</v>
      </c>
      <c r="BA60" s="15">
        <v>199111</v>
      </c>
      <c r="BB60">
        <v>8.5414835255875303</v>
      </c>
      <c r="BC60">
        <v>331939</v>
      </c>
      <c r="BE60" s="15">
        <v>200902</v>
      </c>
      <c r="BF60" s="1">
        <f t="shared" si="11"/>
        <v>39630</v>
      </c>
      <c r="BG60" s="3">
        <f t="shared" si="12"/>
        <v>4.9136551818804302</v>
      </c>
      <c r="BH60" s="12">
        <f t="shared" si="13"/>
        <v>537492659.17999995</v>
      </c>
      <c r="BI60" s="3">
        <f t="shared" si="23"/>
        <v>5.0840616698923098</v>
      </c>
      <c r="BJ60" s="12">
        <f t="shared" si="24"/>
        <v>1251007503</v>
      </c>
      <c r="BK60" s="4">
        <f t="shared" si="14"/>
        <v>5.0328499125104216</v>
      </c>
      <c r="BL60" s="3">
        <f t="shared" si="15"/>
        <v>4.9119799371195798</v>
      </c>
      <c r="BM60" s="12">
        <f t="shared" si="16"/>
        <v>13951203245.459999</v>
      </c>
      <c r="BN60" s="3">
        <f t="shared" si="25"/>
        <v>5.0007436653351203</v>
      </c>
      <c r="BO60" s="12">
        <f t="shared" si="26"/>
        <v>28609545886</v>
      </c>
      <c r="BP60" s="4">
        <f t="shared" si="17"/>
        <v>4.9716473538643147</v>
      </c>
      <c r="BQ60" s="13">
        <f t="shared" si="18"/>
        <v>6.1202558646106908</v>
      </c>
    </row>
    <row r="61" spans="1:69" x14ac:dyDescent="0.25">
      <c r="A61" s="1">
        <v>39479</v>
      </c>
      <c r="B61">
        <v>5.6464385044452996</v>
      </c>
      <c r="C61">
        <v>17532438</v>
      </c>
      <c r="E61" s="1">
        <v>39479</v>
      </c>
      <c r="F61">
        <v>5.8370958526193402</v>
      </c>
      <c r="G61">
        <v>17697628</v>
      </c>
      <c r="I61" s="1">
        <v>40452</v>
      </c>
      <c r="J61">
        <v>4.7290619626136996</v>
      </c>
      <c r="K61">
        <v>916159271</v>
      </c>
      <c r="M61" s="1">
        <v>40452</v>
      </c>
      <c r="N61">
        <v>4.8058011992192702</v>
      </c>
      <c r="O61">
        <v>253820804</v>
      </c>
      <c r="Q61" s="1">
        <v>39479</v>
      </c>
      <c r="R61" s="3">
        <f t="shared" si="4"/>
        <v>5.6464385044452996</v>
      </c>
      <c r="S61" s="12">
        <f t="shared" si="5"/>
        <v>17532438</v>
      </c>
      <c r="T61" s="3">
        <f t="shared" si="19"/>
        <v>5.8365500632774197</v>
      </c>
      <c r="U61" s="12">
        <f t="shared" si="20"/>
        <v>37647705</v>
      </c>
      <c r="V61" s="4">
        <f t="shared" si="6"/>
        <v>5.7761457414128046</v>
      </c>
      <c r="W61" s="3">
        <f t="shared" si="7"/>
        <v>5.8370958526193402</v>
      </c>
      <c r="X61" s="12">
        <f t="shared" si="8"/>
        <v>17697628</v>
      </c>
      <c r="Y61" s="3">
        <f t="shared" si="21"/>
        <v>5.94904941225019</v>
      </c>
      <c r="Z61" s="12">
        <f t="shared" si="22"/>
        <v>39649864</v>
      </c>
      <c r="AA61" s="4">
        <f t="shared" si="9"/>
        <v>5.9145001689873355</v>
      </c>
      <c r="AB61" s="13">
        <f t="shared" si="10"/>
        <v>-13.835442757453098</v>
      </c>
      <c r="AO61" s="15">
        <v>200612</v>
      </c>
      <c r="AP61">
        <v>6.0881997179364804</v>
      </c>
      <c r="AQ61">
        <v>14418894.17</v>
      </c>
      <c r="AS61" s="15">
        <v>199104</v>
      </c>
      <c r="AT61">
        <v>9.38393313127116</v>
      </c>
      <c r="AU61">
        <v>139415.84</v>
      </c>
      <c r="AW61" s="15">
        <v>200808</v>
      </c>
      <c r="AX61">
        <v>6.3810703849188402</v>
      </c>
      <c r="AY61">
        <v>178016615</v>
      </c>
      <c r="BA61" s="15">
        <v>199112</v>
      </c>
      <c r="BB61">
        <v>8.7296858232979595</v>
      </c>
      <c r="BC61">
        <v>167740</v>
      </c>
      <c r="BE61" s="15">
        <v>200903</v>
      </c>
      <c r="BF61" s="1">
        <f t="shared" si="11"/>
        <v>39661</v>
      </c>
      <c r="BG61" s="3">
        <f t="shared" si="12"/>
        <v>4.84220891837239</v>
      </c>
      <c r="BH61" s="12">
        <f t="shared" si="13"/>
        <v>815692637.40999997</v>
      </c>
      <c r="BI61" s="3">
        <f t="shared" si="23"/>
        <v>4.9891667606784704</v>
      </c>
      <c r="BJ61" s="12">
        <f t="shared" si="24"/>
        <v>1944741464</v>
      </c>
      <c r="BK61" s="4">
        <f t="shared" si="14"/>
        <v>4.9457415508835698</v>
      </c>
      <c r="BL61" s="3">
        <f t="shared" si="15"/>
        <v>4.8718963069832402</v>
      </c>
      <c r="BM61" s="12">
        <f t="shared" si="16"/>
        <v>16780593013.68</v>
      </c>
      <c r="BN61" s="3">
        <f t="shared" si="25"/>
        <v>4.9034829013675303</v>
      </c>
      <c r="BO61" s="12">
        <f t="shared" si="26"/>
        <v>35807558043</v>
      </c>
      <c r="BP61" s="4">
        <f t="shared" si="17"/>
        <v>4.8934037908758974</v>
      </c>
      <c r="BQ61" s="13">
        <f t="shared" si="18"/>
        <v>5.2337760007672429</v>
      </c>
    </row>
    <row r="62" spans="1:69" x14ac:dyDescent="0.25">
      <c r="A62" s="1">
        <v>39508</v>
      </c>
      <c r="B62">
        <v>5.4989543773425602</v>
      </c>
      <c r="C62">
        <v>20143500</v>
      </c>
      <c r="E62" s="1">
        <v>39508</v>
      </c>
      <c r="F62">
        <v>5.5022921253430601</v>
      </c>
      <c r="G62">
        <v>16578500</v>
      </c>
      <c r="I62" s="1">
        <v>40483</v>
      </c>
      <c r="J62">
        <v>4.5382049958257404</v>
      </c>
      <c r="K62">
        <v>1105890094</v>
      </c>
      <c r="M62" s="1">
        <v>40483</v>
      </c>
      <c r="N62">
        <v>4.6222352683995398</v>
      </c>
      <c r="O62">
        <v>231400265</v>
      </c>
      <c r="Q62" s="1">
        <v>39508</v>
      </c>
      <c r="R62" s="3">
        <f t="shared" si="4"/>
        <v>5.4989543773425602</v>
      </c>
      <c r="S62" s="12">
        <f t="shared" si="5"/>
        <v>20143500</v>
      </c>
      <c r="T62" s="3">
        <f t="shared" si="19"/>
        <v>5.6561895681052299</v>
      </c>
      <c r="U62" s="12">
        <f t="shared" si="20"/>
        <v>79298461</v>
      </c>
      <c r="V62" s="4">
        <f t="shared" si="6"/>
        <v>5.6243391597536911</v>
      </c>
      <c r="W62" s="3">
        <f t="shared" si="7"/>
        <v>5.5022921253430601</v>
      </c>
      <c r="X62" s="12">
        <f t="shared" si="8"/>
        <v>16578500</v>
      </c>
      <c r="Y62" s="3">
        <f t="shared" si="21"/>
        <v>5.7316969228591201</v>
      </c>
      <c r="Z62" s="12">
        <f t="shared" si="22"/>
        <v>47326400</v>
      </c>
      <c r="AA62" s="4">
        <f t="shared" si="9"/>
        <v>5.672183686227501</v>
      </c>
      <c r="AB62" s="13">
        <f t="shared" si="10"/>
        <v>-4.7844526473809879</v>
      </c>
      <c r="AO62" s="15">
        <v>200701</v>
      </c>
      <c r="AP62">
        <v>5.8976214567598602</v>
      </c>
      <c r="AQ62">
        <v>20589241</v>
      </c>
      <c r="AS62" s="15">
        <v>199105</v>
      </c>
      <c r="AT62">
        <v>8.8727598978582396</v>
      </c>
      <c r="AU62">
        <v>217345</v>
      </c>
      <c r="AW62" s="15">
        <v>200809</v>
      </c>
      <c r="AX62">
        <v>6.4903193000372799</v>
      </c>
      <c r="AY62">
        <v>137184450</v>
      </c>
      <c r="BA62" s="15">
        <v>199201</v>
      </c>
      <c r="BB62">
        <v>8.4678479380223095</v>
      </c>
      <c r="BC62">
        <v>1056122</v>
      </c>
      <c r="BE62" s="15">
        <v>200904</v>
      </c>
      <c r="BF62" s="1">
        <f t="shared" si="11"/>
        <v>39692</v>
      </c>
      <c r="BG62" s="3">
        <f t="shared" si="12"/>
        <v>4.8661421195609504</v>
      </c>
      <c r="BH62" s="12">
        <f t="shared" si="13"/>
        <v>934395731.88</v>
      </c>
      <c r="BI62" s="3">
        <f t="shared" si="23"/>
        <v>4.9618639744130801</v>
      </c>
      <c r="BJ62" s="12">
        <f t="shared" si="24"/>
        <v>2668232729</v>
      </c>
      <c r="BK62" s="4">
        <f t="shared" si="14"/>
        <v>4.9370370754994957</v>
      </c>
      <c r="BL62" s="3">
        <f t="shared" si="15"/>
        <v>4.8995512503139098</v>
      </c>
      <c r="BM62" s="12">
        <f t="shared" si="16"/>
        <v>17725345224.66</v>
      </c>
      <c r="BN62" s="3">
        <f t="shared" si="25"/>
        <v>4.9352788996906103</v>
      </c>
      <c r="BO62" s="12">
        <f t="shared" si="26"/>
        <v>38586269301</v>
      </c>
      <c r="BP62" s="4">
        <f t="shared" si="17"/>
        <v>4.9240328197370857</v>
      </c>
      <c r="BQ62" s="13">
        <f t="shared" si="18"/>
        <v>1.3004255762409933</v>
      </c>
    </row>
    <row r="63" spans="1:69" x14ac:dyDescent="0.25">
      <c r="A63" s="1">
        <v>39539</v>
      </c>
      <c r="B63">
        <v>5.5074156043434499</v>
      </c>
      <c r="C63">
        <v>21972754</v>
      </c>
      <c r="E63" s="1">
        <v>39539</v>
      </c>
      <c r="F63">
        <v>5.5845086656787597</v>
      </c>
      <c r="G63">
        <v>24559011</v>
      </c>
      <c r="I63" s="1">
        <v>40513</v>
      </c>
      <c r="J63">
        <v>4.5344208095926302</v>
      </c>
      <c r="K63">
        <v>1673045523</v>
      </c>
      <c r="M63" s="1">
        <v>40513</v>
      </c>
      <c r="N63">
        <v>4.7163114048936299</v>
      </c>
      <c r="O63">
        <v>495357649</v>
      </c>
      <c r="Q63" s="1">
        <v>39539</v>
      </c>
      <c r="R63" s="3">
        <f t="shared" si="4"/>
        <v>5.5074156043434499</v>
      </c>
      <c r="S63" s="12">
        <f t="shared" si="5"/>
        <v>21972754</v>
      </c>
      <c r="T63" s="3">
        <f t="shared" si="19"/>
        <v>5.6534452211190196</v>
      </c>
      <c r="U63" s="12">
        <f t="shared" si="20"/>
        <v>62713667</v>
      </c>
      <c r="V63" s="4">
        <f t="shared" si="6"/>
        <v>5.6155563505275481</v>
      </c>
      <c r="W63" s="3">
        <f t="shared" si="7"/>
        <v>5.5845086656787597</v>
      </c>
      <c r="X63" s="12">
        <f t="shared" si="8"/>
        <v>24559011</v>
      </c>
      <c r="Y63" s="3">
        <f t="shared" si="21"/>
        <v>5.7929253662950799</v>
      </c>
      <c r="Z63" s="12">
        <f t="shared" si="22"/>
        <v>58008081</v>
      </c>
      <c r="AA63" s="4">
        <f t="shared" si="9"/>
        <v>5.730933258797581</v>
      </c>
      <c r="AB63" s="13">
        <f t="shared" si="10"/>
        <v>-11.537690827003289</v>
      </c>
      <c r="AO63" s="15">
        <v>200702</v>
      </c>
      <c r="AP63">
        <v>5.9887719939764201</v>
      </c>
      <c r="AQ63">
        <v>13878800</v>
      </c>
      <c r="AS63" s="15">
        <v>199106</v>
      </c>
      <c r="AT63">
        <v>9.8005893885394109</v>
      </c>
      <c r="AU63">
        <v>154041</v>
      </c>
      <c r="AW63" s="15">
        <v>200810</v>
      </c>
      <c r="AX63">
        <v>6.2680785878547098</v>
      </c>
      <c r="AY63">
        <v>119435898</v>
      </c>
      <c r="BA63" s="15">
        <v>199202</v>
      </c>
      <c r="BB63">
        <v>7.9294999409408096</v>
      </c>
      <c r="BC63">
        <v>406372</v>
      </c>
      <c r="BE63" s="15">
        <v>200905</v>
      </c>
      <c r="BF63" s="1">
        <f t="shared" si="11"/>
        <v>39722</v>
      </c>
      <c r="BG63" s="3">
        <f t="shared" si="12"/>
        <v>4.8240643378824704</v>
      </c>
      <c r="BH63" s="12">
        <f t="shared" si="13"/>
        <v>1260440821.76</v>
      </c>
      <c r="BI63" s="3">
        <f t="shared" si="23"/>
        <v>4.9388000150339701</v>
      </c>
      <c r="BJ63" s="12">
        <f t="shared" si="24"/>
        <v>2739063420</v>
      </c>
      <c r="BK63" s="4">
        <f t="shared" si="14"/>
        <v>4.9026411507217302</v>
      </c>
      <c r="BL63" s="3">
        <f t="shared" si="15"/>
        <v>4.8045244639818696</v>
      </c>
      <c r="BM63" s="12">
        <f t="shared" si="16"/>
        <v>22924621266.27</v>
      </c>
      <c r="BN63" s="3">
        <f t="shared" si="25"/>
        <v>4.8662959711872498</v>
      </c>
      <c r="BO63" s="12">
        <f t="shared" si="26"/>
        <v>36483298104</v>
      </c>
      <c r="BP63" s="4">
        <f t="shared" si="17"/>
        <v>4.8424592769764327</v>
      </c>
      <c r="BQ63" s="13">
        <f t="shared" si="18"/>
        <v>6.0181873745297487</v>
      </c>
    </row>
    <row r="64" spans="1:69" x14ac:dyDescent="0.25">
      <c r="A64" s="1">
        <v>39569</v>
      </c>
      <c r="B64">
        <v>5.6996290469127802</v>
      </c>
      <c r="C64">
        <v>14968200</v>
      </c>
      <c r="E64" s="1">
        <v>39569</v>
      </c>
      <c r="F64">
        <v>5.8401720043899701</v>
      </c>
      <c r="G64">
        <v>13232889</v>
      </c>
      <c r="I64" s="1">
        <v>40544</v>
      </c>
      <c r="J64">
        <v>4.5037321027812496</v>
      </c>
      <c r="K64">
        <v>1299781915</v>
      </c>
      <c r="M64" s="1">
        <v>40544</v>
      </c>
      <c r="N64">
        <v>4.6305084811829396</v>
      </c>
      <c r="O64">
        <v>308778860</v>
      </c>
      <c r="Q64" s="1">
        <v>39569</v>
      </c>
      <c r="R64" s="3">
        <f t="shared" si="4"/>
        <v>5.6996290469127802</v>
      </c>
      <c r="S64" s="12">
        <f t="shared" si="5"/>
        <v>14968200</v>
      </c>
      <c r="T64" s="3">
        <f t="shared" si="19"/>
        <v>6.1007092761855697</v>
      </c>
      <c r="U64" s="12">
        <f t="shared" si="20"/>
        <v>179330813</v>
      </c>
      <c r="V64" s="4">
        <f t="shared" si="6"/>
        <v>6.0698112855313351</v>
      </c>
      <c r="W64" s="3">
        <f t="shared" si="7"/>
        <v>5.8401720043899701</v>
      </c>
      <c r="X64" s="12">
        <f t="shared" si="8"/>
        <v>13232889</v>
      </c>
      <c r="Y64" s="3">
        <f t="shared" si="21"/>
        <v>6.0586403597184901</v>
      </c>
      <c r="Z64" s="12">
        <f t="shared" si="22"/>
        <v>80166020</v>
      </c>
      <c r="AA64" s="4">
        <f t="shared" si="9"/>
        <v>6.0276874553748767</v>
      </c>
      <c r="AB64" s="13">
        <f t="shared" si="10"/>
        <v>4.2123830156458375</v>
      </c>
      <c r="AO64" s="15">
        <v>200703</v>
      </c>
      <c r="AP64">
        <v>5.9396814192407099</v>
      </c>
      <c r="AQ64">
        <v>8818800</v>
      </c>
      <c r="AS64" s="15">
        <v>199107</v>
      </c>
      <c r="AT64">
        <v>7.7756346441015403</v>
      </c>
      <c r="AU64">
        <v>200900</v>
      </c>
      <c r="AW64" s="15">
        <v>200811</v>
      </c>
      <c r="AX64">
        <v>6.0320115671226198</v>
      </c>
      <c r="AY64">
        <v>179232560</v>
      </c>
      <c r="BA64" s="15">
        <v>199203</v>
      </c>
      <c r="BB64">
        <v>8.4771335592698094</v>
      </c>
      <c r="BC64">
        <v>649150</v>
      </c>
      <c r="BE64" s="15">
        <v>200906</v>
      </c>
      <c r="BF64" s="1">
        <f t="shared" si="11"/>
        <v>39753</v>
      </c>
      <c r="BG64" s="3">
        <f t="shared" si="12"/>
        <v>4.8054599807888199</v>
      </c>
      <c r="BH64" s="12">
        <f t="shared" si="13"/>
        <v>1873106974.4200001</v>
      </c>
      <c r="BI64" s="3">
        <f t="shared" si="23"/>
        <v>4.89259339070321</v>
      </c>
      <c r="BJ64" s="12">
        <f t="shared" si="24"/>
        <v>2710628588</v>
      </c>
      <c r="BK64" s="4">
        <f t="shared" si="14"/>
        <v>4.8569870177802761</v>
      </c>
      <c r="BL64" s="3">
        <f t="shared" si="15"/>
        <v>4.7725770744765601</v>
      </c>
      <c r="BM64" s="12">
        <f t="shared" si="16"/>
        <v>29761400099.310001</v>
      </c>
      <c r="BN64" s="3">
        <f t="shared" si="25"/>
        <v>4.8432188178205404</v>
      </c>
      <c r="BO64" s="12">
        <f t="shared" si="26"/>
        <v>34767100555</v>
      </c>
      <c r="BP64" s="4">
        <f t="shared" si="17"/>
        <v>4.810637909135929</v>
      </c>
      <c r="BQ64" s="13">
        <f t="shared" si="18"/>
        <v>4.6349108644347048</v>
      </c>
    </row>
    <row r="65" spans="1:69" x14ac:dyDescent="0.25">
      <c r="A65" s="1">
        <v>39600</v>
      </c>
      <c r="B65">
        <v>5.7609842769556403</v>
      </c>
      <c r="C65">
        <v>22435159</v>
      </c>
      <c r="E65" s="1">
        <v>39600</v>
      </c>
      <c r="F65">
        <v>5.8600826289119698</v>
      </c>
      <c r="G65">
        <v>14595319.859999999</v>
      </c>
      <c r="I65" s="1">
        <v>40575</v>
      </c>
      <c r="J65">
        <v>4.6295559241816999</v>
      </c>
      <c r="K65">
        <v>2024490713</v>
      </c>
      <c r="M65" s="1">
        <v>40575</v>
      </c>
      <c r="N65">
        <v>4.7541841083936198</v>
      </c>
      <c r="O65">
        <v>549755147</v>
      </c>
      <c r="Q65" s="1">
        <v>39600</v>
      </c>
      <c r="R65" s="3">
        <f t="shared" si="4"/>
        <v>5.7609842769556403</v>
      </c>
      <c r="S65" s="12">
        <f t="shared" si="5"/>
        <v>22435159</v>
      </c>
      <c r="T65" s="3">
        <f t="shared" si="19"/>
        <v>6.1032673020431103</v>
      </c>
      <c r="U65" s="12">
        <f t="shared" si="20"/>
        <v>199164239</v>
      </c>
      <c r="V65" s="4">
        <f t="shared" si="6"/>
        <v>6.0686138952191513</v>
      </c>
      <c r="W65" s="3">
        <f t="shared" si="7"/>
        <v>5.8600826289119698</v>
      </c>
      <c r="X65" s="12">
        <f t="shared" si="8"/>
        <v>14595319.859999999</v>
      </c>
      <c r="Y65" s="3">
        <f t="shared" si="21"/>
        <v>6.0703618045071401</v>
      </c>
      <c r="Z65" s="12">
        <f t="shared" si="22"/>
        <v>74354574</v>
      </c>
      <c r="AA65" s="4">
        <f t="shared" si="9"/>
        <v>6.0358582014726139</v>
      </c>
      <c r="AB65" s="13">
        <f t="shared" si="10"/>
        <v>3.2755693746537418</v>
      </c>
      <c r="AO65" s="15">
        <v>200704</v>
      </c>
      <c r="AP65">
        <v>6.0357501703832499</v>
      </c>
      <c r="AQ65">
        <v>22734042</v>
      </c>
      <c r="AS65" s="15">
        <v>199108</v>
      </c>
      <c r="AT65">
        <v>8.9742362900257593</v>
      </c>
      <c r="AU65">
        <v>135850</v>
      </c>
      <c r="AW65" s="15">
        <v>200812</v>
      </c>
      <c r="AX65">
        <v>6.1468012443322699</v>
      </c>
      <c r="AY65">
        <v>119216389</v>
      </c>
      <c r="BA65" s="15">
        <v>199204</v>
      </c>
      <c r="BB65">
        <v>8.3778275540961502</v>
      </c>
      <c r="BC65">
        <v>1536708</v>
      </c>
      <c r="BE65" s="15">
        <v>200907</v>
      </c>
      <c r="BF65" s="1">
        <f t="shared" si="11"/>
        <v>39783</v>
      </c>
      <c r="BG65" s="3">
        <f t="shared" si="12"/>
        <v>4.8567507026868899</v>
      </c>
      <c r="BH65" s="12">
        <f t="shared" si="13"/>
        <v>2004787510.22</v>
      </c>
      <c r="BI65" s="3">
        <f t="shared" si="23"/>
        <v>4.9832421660171597</v>
      </c>
      <c r="BJ65" s="12">
        <f t="shared" si="24"/>
        <v>2770361572</v>
      </c>
      <c r="BK65" s="4">
        <f t="shared" si="14"/>
        <v>4.9301362835687561</v>
      </c>
      <c r="BL65" s="3">
        <f t="shared" si="15"/>
        <v>4.8511153902880801</v>
      </c>
      <c r="BM65" s="12">
        <f t="shared" si="16"/>
        <v>25136749773.049999</v>
      </c>
      <c r="BN65" s="3">
        <f t="shared" si="25"/>
        <v>4.9249931621557197</v>
      </c>
      <c r="BO65" s="12">
        <f t="shared" si="26"/>
        <v>32516858088</v>
      </c>
      <c r="BP65" s="4">
        <f t="shared" si="17"/>
        <v>4.892782739701274</v>
      </c>
      <c r="BQ65" s="13">
        <f t="shared" si="18"/>
        <v>3.7353543867482131</v>
      </c>
    </row>
    <row r="66" spans="1:69" x14ac:dyDescent="0.25">
      <c r="A66" s="1">
        <v>39630</v>
      </c>
      <c r="B66">
        <v>5.9690006837600302</v>
      </c>
      <c r="C66">
        <v>55528253</v>
      </c>
      <c r="E66" s="1">
        <v>39630</v>
      </c>
      <c r="F66">
        <v>6.1237058794559696</v>
      </c>
      <c r="G66">
        <v>36630668</v>
      </c>
      <c r="I66" s="1">
        <v>40603</v>
      </c>
      <c r="J66">
        <v>4.7801000578627004</v>
      </c>
      <c r="K66">
        <v>781505050</v>
      </c>
      <c r="M66" s="1">
        <v>40603</v>
      </c>
      <c r="N66">
        <v>4.8403940242330998</v>
      </c>
      <c r="O66">
        <v>239664536</v>
      </c>
      <c r="Q66" s="1">
        <v>39630</v>
      </c>
      <c r="R66" s="3">
        <f t="shared" si="4"/>
        <v>5.9690006837600302</v>
      </c>
      <c r="S66" s="12">
        <f t="shared" si="5"/>
        <v>55528253</v>
      </c>
      <c r="T66" s="3">
        <f t="shared" si="19"/>
        <v>6.0767739258753304</v>
      </c>
      <c r="U66" s="12">
        <f t="shared" si="20"/>
        <v>203470424</v>
      </c>
      <c r="V66" s="4">
        <f t="shared" si="6"/>
        <v>6.0536677852412275</v>
      </c>
      <c r="W66" s="3">
        <f t="shared" si="7"/>
        <v>6.1237058794559696</v>
      </c>
      <c r="X66" s="12">
        <f t="shared" si="8"/>
        <v>36630668</v>
      </c>
      <c r="Y66" s="3">
        <f t="shared" si="21"/>
        <v>6.1053922915335797</v>
      </c>
      <c r="Z66" s="12">
        <f t="shared" si="22"/>
        <v>69068187</v>
      </c>
      <c r="AA66" s="4">
        <f t="shared" si="9"/>
        <v>6.1117389918746001</v>
      </c>
      <c r="AB66" s="13">
        <f t="shared" si="10"/>
        <v>-5.8071206633372618</v>
      </c>
      <c r="AO66" s="15">
        <v>200705</v>
      </c>
      <c r="AP66">
        <v>5.98729110945811</v>
      </c>
      <c r="AQ66">
        <v>26181475</v>
      </c>
      <c r="AS66" s="15">
        <v>199109</v>
      </c>
      <c r="AT66">
        <v>8.0934586658854499</v>
      </c>
      <c r="AU66">
        <v>218123.7</v>
      </c>
      <c r="AW66" s="15">
        <v>200901</v>
      </c>
      <c r="AX66">
        <v>5.5239295259803098</v>
      </c>
      <c r="AY66">
        <v>586745487</v>
      </c>
      <c r="BA66" s="15">
        <v>199205</v>
      </c>
      <c r="BB66">
        <v>8.6754514523534993</v>
      </c>
      <c r="BC66">
        <v>1570210</v>
      </c>
      <c r="BE66" s="15">
        <v>200908</v>
      </c>
      <c r="BF66" s="1">
        <f t="shared" si="11"/>
        <v>39814</v>
      </c>
      <c r="BG66" s="3">
        <f t="shared" si="12"/>
        <v>4.9873158786001799</v>
      </c>
      <c r="BH66" s="12">
        <f t="shared" si="13"/>
        <v>1636067385.1800001</v>
      </c>
      <c r="BI66" s="3">
        <f t="shared" si="23"/>
        <v>5.1804728090458498</v>
      </c>
      <c r="BJ66" s="12">
        <f t="shared" si="24"/>
        <v>2701143737</v>
      </c>
      <c r="BK66" s="4">
        <f t="shared" si="14"/>
        <v>5.1076108373268427</v>
      </c>
      <c r="BL66" s="3">
        <f t="shared" si="15"/>
        <v>4.9960913693270301</v>
      </c>
      <c r="BM66" s="12">
        <f t="shared" si="16"/>
        <v>16223990270.799999</v>
      </c>
      <c r="BN66" s="3">
        <f t="shared" si="25"/>
        <v>5.13200105915391</v>
      </c>
      <c r="BO66" s="12">
        <f t="shared" si="26"/>
        <v>25480089836</v>
      </c>
      <c r="BP66" s="4">
        <f t="shared" si="17"/>
        <v>5.0791285948815412</v>
      </c>
      <c r="BQ66" s="13">
        <f t="shared" si="18"/>
        <v>2.8482242445301509</v>
      </c>
    </row>
    <row r="67" spans="1:69" x14ac:dyDescent="0.25">
      <c r="A67" s="1">
        <v>39661</v>
      </c>
      <c r="B67">
        <v>6.1509251330230903</v>
      </c>
      <c r="C67">
        <v>46743386</v>
      </c>
      <c r="E67" s="1">
        <v>39661</v>
      </c>
      <c r="F67">
        <v>6.1994687813554101</v>
      </c>
      <c r="G67">
        <v>43393620</v>
      </c>
      <c r="I67" s="1">
        <v>40634</v>
      </c>
      <c r="J67">
        <v>4.9289004123856799</v>
      </c>
      <c r="K67">
        <v>885064680</v>
      </c>
      <c r="M67" s="1">
        <v>40634</v>
      </c>
      <c r="N67">
        <v>5.0453273681375297</v>
      </c>
      <c r="O67">
        <v>292380791</v>
      </c>
      <c r="Q67" s="1">
        <v>39661</v>
      </c>
      <c r="R67" s="3">
        <f t="shared" si="4"/>
        <v>6.1509251330230903</v>
      </c>
      <c r="S67" s="12">
        <f t="shared" si="5"/>
        <v>46743386</v>
      </c>
      <c r="T67" s="3">
        <f t="shared" si="19"/>
        <v>6.2766712016249597</v>
      </c>
      <c r="U67" s="12">
        <f t="shared" si="20"/>
        <v>133349260</v>
      </c>
      <c r="V67" s="4">
        <f t="shared" si="6"/>
        <v>6.2440335723092151</v>
      </c>
      <c r="W67" s="3">
        <f t="shared" si="7"/>
        <v>6.1994687813554101</v>
      </c>
      <c r="X67" s="12">
        <f t="shared" si="8"/>
        <v>43393620</v>
      </c>
      <c r="Y67" s="3">
        <f t="shared" si="21"/>
        <v>6.3469940994455998</v>
      </c>
      <c r="Z67" s="12">
        <f t="shared" si="22"/>
        <v>63325914</v>
      </c>
      <c r="AA67" s="4">
        <f t="shared" si="9"/>
        <v>6.2870082903472877</v>
      </c>
      <c r="AB67" s="13">
        <f t="shared" si="10"/>
        <v>-4.2974718038072623</v>
      </c>
      <c r="AO67" s="15">
        <v>200706</v>
      </c>
      <c r="AP67">
        <v>6.0739246192745098</v>
      </c>
      <c r="AQ67">
        <v>31527834</v>
      </c>
      <c r="AS67" s="15">
        <v>199110</v>
      </c>
      <c r="AT67">
        <v>9.3868534482758594</v>
      </c>
      <c r="AU67">
        <v>92800</v>
      </c>
      <c r="AW67" s="15">
        <v>200902</v>
      </c>
      <c r="AX67">
        <v>5.0840616698923098</v>
      </c>
      <c r="AY67">
        <v>1251007503</v>
      </c>
      <c r="BA67" s="15">
        <v>199206</v>
      </c>
      <c r="BB67">
        <v>8.5827049645314606</v>
      </c>
      <c r="BC67">
        <v>1505419</v>
      </c>
      <c r="BE67" s="15">
        <v>200909</v>
      </c>
      <c r="BF67" s="1">
        <f t="shared" si="11"/>
        <v>39845</v>
      </c>
      <c r="BG67" s="3">
        <f t="shared" si="12"/>
        <v>5.0799798950538904</v>
      </c>
      <c r="BH67" s="12">
        <f t="shared" si="13"/>
        <v>1224043607.2</v>
      </c>
      <c r="BI67" s="3">
        <f t="shared" si="23"/>
        <v>5.2640734497349504</v>
      </c>
      <c r="BJ67" s="12">
        <f t="shared" si="24"/>
        <v>1371543329</v>
      </c>
      <c r="BK67" s="4">
        <f t="shared" si="14"/>
        <v>5.1772574253547479</v>
      </c>
      <c r="BL67" s="3">
        <f t="shared" si="15"/>
        <v>5.0996463355406503</v>
      </c>
      <c r="BM67" s="12">
        <f t="shared" si="16"/>
        <v>11793537176.18</v>
      </c>
      <c r="BN67" s="3">
        <f t="shared" si="25"/>
        <v>5.2435564102382903</v>
      </c>
      <c r="BO67" s="12">
        <f t="shared" si="26"/>
        <v>16115693357</v>
      </c>
      <c r="BP67" s="4">
        <f t="shared" si="17"/>
        <v>5.1827446722021691</v>
      </c>
      <c r="BQ67" s="13">
        <f t="shared" si="18"/>
        <v>-0.548724684742119</v>
      </c>
    </row>
    <row r="68" spans="1:69" x14ac:dyDescent="0.25">
      <c r="A68" s="1">
        <v>39692</v>
      </c>
      <c r="B68">
        <v>6.3270085932619198</v>
      </c>
      <c r="C68">
        <v>37631810</v>
      </c>
      <c r="E68" s="1">
        <v>39692</v>
      </c>
      <c r="F68">
        <v>6.3726577550941403</v>
      </c>
      <c r="G68">
        <v>34006905</v>
      </c>
      <c r="I68" s="1">
        <v>40664</v>
      </c>
      <c r="J68">
        <v>4.9720871297714497</v>
      </c>
      <c r="K68">
        <v>909290139</v>
      </c>
      <c r="M68" s="1">
        <v>40664</v>
      </c>
      <c r="N68">
        <v>5.0553652360928103</v>
      </c>
      <c r="O68">
        <v>292093531</v>
      </c>
      <c r="Q68" s="1">
        <v>39692</v>
      </c>
      <c r="R68" s="3">
        <f t="shared" ref="R68:R131" si="27">VLOOKUP($Q68,A:C,2,0)</f>
        <v>6.3270085932619198</v>
      </c>
      <c r="S68" s="12">
        <f t="shared" ref="S68:S131" si="28">VLOOKUP($Q68,A:C,3,0)</f>
        <v>37631810</v>
      </c>
      <c r="T68" s="3">
        <f t="shared" si="19"/>
        <v>6.2822239844341503</v>
      </c>
      <c r="U68" s="12">
        <f t="shared" si="20"/>
        <v>77204423</v>
      </c>
      <c r="V68" s="4">
        <f t="shared" ref="V68:V131" si="29">(R68*S68+T68*U68)/(S68+U68)</f>
        <v>6.2968998915612238</v>
      </c>
      <c r="W68" s="3">
        <f t="shared" ref="W68:W131" si="30">VLOOKUP($Q68,E:G,2,0)</f>
        <v>6.3726577550941403</v>
      </c>
      <c r="X68" s="12">
        <f t="shared" ref="X68:X131" si="31">VLOOKUP($Q68,E:G,3,0)</f>
        <v>34006905</v>
      </c>
      <c r="Y68" s="3">
        <f t="shared" si="21"/>
        <v>6.4133804462178103</v>
      </c>
      <c r="Z68" s="12">
        <f t="shared" si="22"/>
        <v>31823920</v>
      </c>
      <c r="AA68" s="4">
        <f t="shared" ref="AA68:AA131" si="32">(W68*X68+Y68*Z68)/(X68+Z68)</f>
        <v>6.3923439076602735</v>
      </c>
      <c r="AB68" s="13">
        <f t="shared" ref="AB68:AB131" si="33">(V68-AA68)*100</f>
        <v>-9.5444016099049733</v>
      </c>
      <c r="AO68" s="15">
        <v>200707</v>
      </c>
      <c r="AP68">
        <v>6.2206265376690801</v>
      </c>
      <c r="AQ68">
        <v>16753925.77</v>
      </c>
      <c r="AS68" s="15">
        <v>199111</v>
      </c>
      <c r="AT68">
        <v>9.1569779118442707</v>
      </c>
      <c r="AU68">
        <v>1015748</v>
      </c>
      <c r="AW68" s="15">
        <v>200903</v>
      </c>
      <c r="AX68">
        <v>4.9891667606784704</v>
      </c>
      <c r="AY68">
        <v>1944741464</v>
      </c>
      <c r="BA68" s="15">
        <v>199207</v>
      </c>
      <c r="BB68">
        <v>8.5112469566924691</v>
      </c>
      <c r="BC68">
        <v>2179783</v>
      </c>
      <c r="BE68" s="15">
        <v>200910</v>
      </c>
      <c r="BF68" s="1">
        <f t="shared" ref="BF68:BF131" si="34">DATEVALUE(INT(AW68/100)&amp;"/"&amp;MOD(AW68,100)&amp;"/1")</f>
        <v>39873</v>
      </c>
      <c r="BG68" s="3">
        <f t="shared" ref="BG68:BG131" si="35">VLOOKUP($BE68,AO:AQ,2,0)</f>
        <v>5.1418359996830301</v>
      </c>
      <c r="BH68" s="12">
        <f t="shared" ref="BH68:BH131" si="36">VLOOKUP($BE68,AO:AQ,3,0)</f>
        <v>935117886.71000004</v>
      </c>
      <c r="BI68" s="3">
        <f t="shared" si="23"/>
        <v>5.2227120444639699</v>
      </c>
      <c r="BJ68" s="12">
        <f t="shared" si="24"/>
        <v>1306603211</v>
      </c>
      <c r="BK68" s="4">
        <f t="shared" ref="BK68:BK131" si="37">(BG68*BH68+BI68*BJ68)/(BH68+BJ68)</f>
        <v>5.1889751821226753</v>
      </c>
      <c r="BL68" s="3">
        <f t="shared" ref="BL68:BL131" si="38">VLOOKUP($BE68,AS:AU,2,0)</f>
        <v>5.1206724832767296</v>
      </c>
      <c r="BM68" s="12">
        <f t="shared" ref="BM68:BM131" si="39">VLOOKUP($BE68,AS:AU,3,0)</f>
        <v>9856704098.1200008</v>
      </c>
      <c r="BN68" s="3">
        <f t="shared" si="25"/>
        <v>5.2245440001504102</v>
      </c>
      <c r="BO68" s="12">
        <f t="shared" si="26"/>
        <v>14966842494</v>
      </c>
      <c r="BP68" s="4">
        <f t="shared" ref="BP68:BP131" si="40">(BL68*BM68+BN68*BO68)/(BM68+BO68)</f>
        <v>5.1832996597316336</v>
      </c>
      <c r="BQ68" s="13">
        <f t="shared" ref="BQ68:BQ131" si="41">(BK68-BP68)*100</f>
        <v>0.56755223910416319</v>
      </c>
    </row>
    <row r="69" spans="1:69" x14ac:dyDescent="0.25">
      <c r="A69" s="1">
        <v>39722</v>
      </c>
      <c r="B69">
        <v>6.2853903093545904</v>
      </c>
      <c r="C69">
        <v>31831853</v>
      </c>
      <c r="E69" s="1">
        <v>39722</v>
      </c>
      <c r="F69">
        <v>6.2897262456263698</v>
      </c>
      <c r="G69">
        <v>15847677.4</v>
      </c>
      <c r="I69" s="1">
        <v>40695</v>
      </c>
      <c r="J69">
        <v>4.9727531842557102</v>
      </c>
      <c r="K69">
        <v>1091169746</v>
      </c>
      <c r="M69" s="1">
        <v>40695</v>
      </c>
      <c r="N69">
        <v>5.1011423150499402</v>
      </c>
      <c r="O69">
        <v>313780686</v>
      </c>
      <c r="Q69" s="1">
        <v>39722</v>
      </c>
      <c r="R69" s="3">
        <f t="shared" si="27"/>
        <v>6.2853903093545904</v>
      </c>
      <c r="S69" s="12">
        <f t="shared" si="28"/>
        <v>31831853</v>
      </c>
      <c r="T69" s="3">
        <f t="shared" si="19"/>
        <v>6.4479666152091797</v>
      </c>
      <c r="U69" s="12">
        <f t="shared" si="20"/>
        <v>128234681</v>
      </c>
      <c r="V69" s="4">
        <f t="shared" si="29"/>
        <v>6.4156356529529077</v>
      </c>
      <c r="W69" s="3">
        <f t="shared" si="30"/>
        <v>6.2897262456263698</v>
      </c>
      <c r="X69" s="12">
        <f t="shared" si="31"/>
        <v>15847677.4</v>
      </c>
      <c r="Y69" s="3">
        <f t="shared" si="21"/>
        <v>6.5399030276930397</v>
      </c>
      <c r="Z69" s="12">
        <f t="shared" si="22"/>
        <v>70770153</v>
      </c>
      <c r="AA69" s="4">
        <f t="shared" si="32"/>
        <v>6.4941304550384986</v>
      </c>
      <c r="AB69" s="13">
        <f t="shared" si="33"/>
        <v>-7.8494802085590898</v>
      </c>
      <c r="AO69" s="15">
        <v>200708</v>
      </c>
      <c r="AP69">
        <v>6.5375361447133402</v>
      </c>
      <c r="AQ69">
        <v>13383700</v>
      </c>
      <c r="AS69" s="15">
        <v>199112</v>
      </c>
      <c r="AT69">
        <v>8.9252240420854108</v>
      </c>
      <c r="AU69">
        <v>853205.77</v>
      </c>
      <c r="AW69" s="15">
        <v>200904</v>
      </c>
      <c r="AX69">
        <v>4.9618639744130801</v>
      </c>
      <c r="AY69">
        <v>2668232729</v>
      </c>
      <c r="BA69" s="15">
        <v>199208</v>
      </c>
      <c r="BB69">
        <v>8.2148733205708098</v>
      </c>
      <c r="BC69">
        <v>2127062</v>
      </c>
      <c r="BE69" s="15">
        <v>200911</v>
      </c>
      <c r="BF69" s="1">
        <f t="shared" si="34"/>
        <v>39904</v>
      </c>
      <c r="BG69" s="3">
        <f t="shared" si="35"/>
        <v>5.0830529755151304</v>
      </c>
      <c r="BH69" s="12">
        <f t="shared" si="36"/>
        <v>1025942266.38</v>
      </c>
      <c r="BI69" s="3">
        <f t="shared" si="23"/>
        <v>5.1265775514074798</v>
      </c>
      <c r="BJ69" s="12">
        <f t="shared" si="24"/>
        <v>1771436244</v>
      </c>
      <c r="BK69" s="4">
        <f t="shared" si="37"/>
        <v>5.1106148556662587</v>
      </c>
      <c r="BL69" s="3">
        <f t="shared" si="38"/>
        <v>5.0643680196698897</v>
      </c>
      <c r="BM69" s="12">
        <f t="shared" si="39"/>
        <v>10323420407.51</v>
      </c>
      <c r="BN69" s="3">
        <f t="shared" si="25"/>
        <v>5.0767520905547396</v>
      </c>
      <c r="BO69" s="12">
        <f t="shared" si="26"/>
        <v>17998447354</v>
      </c>
      <c r="BP69" s="4">
        <f t="shared" si="40"/>
        <v>5.0722380531622457</v>
      </c>
      <c r="BQ69" s="13">
        <f t="shared" si="41"/>
        <v>3.8376802504012986</v>
      </c>
    </row>
    <row r="70" spans="1:69" x14ac:dyDescent="0.25">
      <c r="A70" s="1">
        <v>39753</v>
      </c>
      <c r="B70">
        <v>6.1044356129307502</v>
      </c>
      <c r="C70">
        <v>4686500</v>
      </c>
      <c r="E70" s="1">
        <v>39753</v>
      </c>
      <c r="F70">
        <v>5.9964118553011696</v>
      </c>
      <c r="G70">
        <v>5851492</v>
      </c>
      <c r="I70" s="1">
        <v>40725</v>
      </c>
      <c r="J70">
        <v>4.7914287683796797</v>
      </c>
      <c r="K70">
        <v>785593796</v>
      </c>
      <c r="M70" s="1">
        <v>40725</v>
      </c>
      <c r="N70">
        <v>4.94307710856057</v>
      </c>
      <c r="O70">
        <v>219158857</v>
      </c>
      <c r="Q70" s="1">
        <v>39753</v>
      </c>
      <c r="R70" s="3">
        <f t="shared" si="27"/>
        <v>6.1044356129307502</v>
      </c>
      <c r="S70" s="12">
        <f t="shared" si="28"/>
        <v>4686500</v>
      </c>
      <c r="T70" s="3">
        <f t="shared" si="19"/>
        <v>5.99755378591147</v>
      </c>
      <c r="U70" s="12">
        <f t="shared" si="20"/>
        <v>75612505</v>
      </c>
      <c r="V70" s="4">
        <f t="shared" si="29"/>
        <v>6.0037917421890832</v>
      </c>
      <c r="W70" s="3">
        <f t="shared" si="30"/>
        <v>5.9964118553011696</v>
      </c>
      <c r="X70" s="12">
        <f t="shared" si="31"/>
        <v>5851492</v>
      </c>
      <c r="Y70" s="3">
        <f t="shared" si="21"/>
        <v>6.1779502904119497</v>
      </c>
      <c r="Z70" s="12">
        <f t="shared" si="22"/>
        <v>42467260</v>
      </c>
      <c r="AA70" s="4">
        <f t="shared" si="32"/>
        <v>6.1559656435248931</v>
      </c>
      <c r="AB70" s="13">
        <f t="shared" si="33"/>
        <v>-15.217390133580988</v>
      </c>
      <c r="AO70" s="15">
        <v>200709</v>
      </c>
      <c r="AP70">
        <v>6.5699223555794202</v>
      </c>
      <c r="AQ70">
        <v>15792150.82</v>
      </c>
      <c r="AS70" s="15">
        <v>199201</v>
      </c>
      <c r="AT70">
        <v>8.4179897088574105</v>
      </c>
      <c r="AU70">
        <v>568450</v>
      </c>
      <c r="AW70" s="15">
        <v>200905</v>
      </c>
      <c r="AX70">
        <v>4.9388000150339701</v>
      </c>
      <c r="AY70">
        <v>2739063420</v>
      </c>
      <c r="BA70" s="15">
        <v>199209</v>
      </c>
      <c r="BB70">
        <v>7.8491060070734902</v>
      </c>
      <c r="BC70">
        <v>1667351</v>
      </c>
      <c r="BE70" s="15">
        <v>200912</v>
      </c>
      <c r="BF70" s="1">
        <f t="shared" si="34"/>
        <v>39934</v>
      </c>
      <c r="BG70" s="3">
        <f t="shared" si="35"/>
        <v>5.0549290163571197</v>
      </c>
      <c r="BH70" s="12">
        <f t="shared" si="36"/>
        <v>1137623495.74</v>
      </c>
      <c r="BI70" s="3">
        <f t="shared" si="23"/>
        <v>5.1162154987111803</v>
      </c>
      <c r="BJ70" s="12">
        <f t="shared" si="24"/>
        <v>1843454431</v>
      </c>
      <c r="BK70" s="4">
        <f t="shared" si="37"/>
        <v>5.0928276692043291</v>
      </c>
      <c r="BL70" s="3">
        <f t="shared" si="38"/>
        <v>5.0378208623670098</v>
      </c>
      <c r="BM70" s="12">
        <f t="shared" si="39"/>
        <v>10730336777.42</v>
      </c>
      <c r="BN70" s="3">
        <f t="shared" si="25"/>
        <v>5.0461427946170296</v>
      </c>
      <c r="BO70" s="12">
        <f t="shared" si="26"/>
        <v>17525249761</v>
      </c>
      <c r="BP70" s="4">
        <f t="shared" si="40"/>
        <v>5.0429824590295818</v>
      </c>
      <c r="BQ70" s="13">
        <f t="shared" si="41"/>
        <v>4.9845210174747301</v>
      </c>
    </row>
    <row r="71" spans="1:69" x14ac:dyDescent="0.25">
      <c r="A71" s="1">
        <v>39783</v>
      </c>
      <c r="B71">
        <v>5.8678154273833698</v>
      </c>
      <c r="C71">
        <v>11771925</v>
      </c>
      <c r="E71" s="1">
        <v>39783</v>
      </c>
      <c r="F71">
        <v>6.0718657057881398</v>
      </c>
      <c r="G71">
        <v>6556500</v>
      </c>
      <c r="I71" s="1">
        <v>40756</v>
      </c>
      <c r="J71">
        <v>4.7230451808437</v>
      </c>
      <c r="K71">
        <v>930963580</v>
      </c>
      <c r="M71" s="1">
        <v>40756</v>
      </c>
      <c r="N71">
        <v>4.8829992662850499</v>
      </c>
      <c r="O71">
        <v>261007360</v>
      </c>
      <c r="Q71" s="1">
        <v>39783</v>
      </c>
      <c r="R71" s="3">
        <f t="shared" si="27"/>
        <v>5.8678154273833698</v>
      </c>
      <c r="S71" s="12">
        <f t="shared" si="28"/>
        <v>11771925</v>
      </c>
      <c r="T71" s="3">
        <f t="shared" si="19"/>
        <v>6.0180125301503899</v>
      </c>
      <c r="U71" s="12">
        <f t="shared" si="20"/>
        <v>101661190</v>
      </c>
      <c r="V71" s="4">
        <f t="shared" si="29"/>
        <v>6.0024252915473539</v>
      </c>
      <c r="W71" s="3">
        <f t="shared" si="30"/>
        <v>6.0718657057881398</v>
      </c>
      <c r="X71" s="12">
        <f t="shared" si="31"/>
        <v>6556500</v>
      </c>
      <c r="Y71" s="3">
        <f t="shared" si="21"/>
        <v>6.11478714022281</v>
      </c>
      <c r="Z71" s="12">
        <f t="shared" si="22"/>
        <v>58090120</v>
      </c>
      <c r="AA71" s="4">
        <f t="shared" si="32"/>
        <v>6.1104340219179258</v>
      </c>
      <c r="AB71" s="13">
        <f t="shared" si="33"/>
        <v>-10.80087303705719</v>
      </c>
      <c r="AO71" s="15">
        <v>200710</v>
      </c>
      <c r="AP71">
        <v>6.2683588567098498</v>
      </c>
      <c r="AQ71">
        <v>13407970</v>
      </c>
      <c r="AS71" s="15">
        <v>199202</v>
      </c>
      <c r="AT71">
        <v>8.1966269292401392</v>
      </c>
      <c r="AU71">
        <v>543209.98</v>
      </c>
      <c r="AW71" s="15">
        <v>200906</v>
      </c>
      <c r="AX71">
        <v>4.89259339070321</v>
      </c>
      <c r="AY71">
        <v>2710628588</v>
      </c>
      <c r="BA71" s="15">
        <v>199210</v>
      </c>
      <c r="BB71">
        <v>7.6627100956369496</v>
      </c>
      <c r="BC71">
        <v>2914982</v>
      </c>
      <c r="BE71" s="15">
        <v>201001</v>
      </c>
      <c r="BF71" s="1">
        <f t="shared" si="34"/>
        <v>39965</v>
      </c>
      <c r="BG71" s="3">
        <f t="shared" si="35"/>
        <v>5.0237786414505798</v>
      </c>
      <c r="BH71" s="12">
        <f t="shared" si="36"/>
        <v>1323044349.8099999</v>
      </c>
      <c r="BI71" s="3">
        <f t="shared" si="23"/>
        <v>5.0592730422590604</v>
      </c>
      <c r="BJ71" s="12">
        <f t="shared" si="24"/>
        <v>2099138408</v>
      </c>
      <c r="BK71" s="4">
        <f t="shared" si="37"/>
        <v>5.0455506113537032</v>
      </c>
      <c r="BL71" s="3">
        <f t="shared" si="38"/>
        <v>4.9966785888429799</v>
      </c>
      <c r="BM71" s="12">
        <f t="shared" si="39"/>
        <v>11625686536.379999</v>
      </c>
      <c r="BN71" s="3">
        <f t="shared" si="25"/>
        <v>4.9894918807978099</v>
      </c>
      <c r="BO71" s="12">
        <f t="shared" si="26"/>
        <v>18582996650</v>
      </c>
      <c r="BP71" s="4">
        <f t="shared" si="40"/>
        <v>4.9922576556065348</v>
      </c>
      <c r="BQ71" s="13">
        <f t="shared" si="41"/>
        <v>5.3292955747168413</v>
      </c>
    </row>
    <row r="72" spans="1:69" x14ac:dyDescent="0.25">
      <c r="A72" s="1">
        <v>39814</v>
      </c>
      <c r="B72">
        <v>5.2348052261315701</v>
      </c>
      <c r="C72">
        <v>49097654</v>
      </c>
      <c r="E72" s="1">
        <v>39814</v>
      </c>
      <c r="F72">
        <v>5.3576638118123796</v>
      </c>
      <c r="G72">
        <v>22803499</v>
      </c>
      <c r="I72" s="1">
        <v>40787</v>
      </c>
      <c r="J72">
        <v>4.6624184975847101</v>
      </c>
      <c r="K72">
        <v>1056770216</v>
      </c>
      <c r="M72" s="1">
        <v>40787</v>
      </c>
      <c r="N72">
        <v>4.8171026976983597</v>
      </c>
      <c r="O72">
        <v>352610882</v>
      </c>
      <c r="Q72" s="1">
        <v>39814</v>
      </c>
      <c r="R72" s="3">
        <f t="shared" si="27"/>
        <v>5.2348052261315701</v>
      </c>
      <c r="S72" s="12">
        <f t="shared" si="28"/>
        <v>49097654</v>
      </c>
      <c r="T72" s="3">
        <f t="shared" si="19"/>
        <v>5.5021270654658299</v>
      </c>
      <c r="U72" s="12">
        <f t="shared" si="20"/>
        <v>229832959</v>
      </c>
      <c r="V72" s="4">
        <f t="shared" si="29"/>
        <v>5.4550727997718838</v>
      </c>
      <c r="W72" s="3">
        <f t="shared" si="30"/>
        <v>5.3576638118123796</v>
      </c>
      <c r="X72" s="12">
        <f t="shared" si="31"/>
        <v>22803499</v>
      </c>
      <c r="Y72" s="3">
        <f t="shared" si="21"/>
        <v>5.7140389175239097</v>
      </c>
      <c r="Z72" s="12">
        <f t="shared" si="22"/>
        <v>59033175</v>
      </c>
      <c r="AA72" s="4">
        <f t="shared" si="32"/>
        <v>5.6147362580986524</v>
      </c>
      <c r="AB72" s="13">
        <f t="shared" si="33"/>
        <v>-15.966345832676865</v>
      </c>
      <c r="AO72" s="15">
        <v>200711</v>
      </c>
      <c r="AP72">
        <v>6.2182273118607601</v>
      </c>
      <c r="AQ72">
        <v>28515450</v>
      </c>
      <c r="AS72" s="15">
        <v>199203</v>
      </c>
      <c r="AT72">
        <v>8.6963925599307501</v>
      </c>
      <c r="AU72">
        <v>662898.4</v>
      </c>
      <c r="AW72" s="15">
        <v>200907</v>
      </c>
      <c r="AX72">
        <v>4.9832421660171597</v>
      </c>
      <c r="AY72">
        <v>2770361572</v>
      </c>
      <c r="BA72" s="15">
        <v>199211</v>
      </c>
      <c r="BB72">
        <v>7.8765742144438402</v>
      </c>
      <c r="BC72">
        <v>4932079</v>
      </c>
      <c r="BE72" s="15">
        <v>201002</v>
      </c>
      <c r="BF72" s="1">
        <f t="shared" si="34"/>
        <v>39995</v>
      </c>
      <c r="BG72" s="3">
        <f t="shared" si="35"/>
        <v>5.0411715491857496</v>
      </c>
      <c r="BH72" s="12">
        <f t="shared" si="36"/>
        <v>1017107418.61</v>
      </c>
      <c r="BI72" s="3">
        <f t="shared" si="23"/>
        <v>5.11357739904168</v>
      </c>
      <c r="BJ72" s="12">
        <f t="shared" si="24"/>
        <v>1564784878</v>
      </c>
      <c r="BK72" s="4">
        <f t="shared" si="37"/>
        <v>5.085053929206814</v>
      </c>
      <c r="BL72" s="3">
        <f t="shared" si="38"/>
        <v>5.0232017321519997</v>
      </c>
      <c r="BM72" s="12">
        <f t="shared" si="39"/>
        <v>9050926497.0400009</v>
      </c>
      <c r="BN72" s="3">
        <f t="shared" si="25"/>
        <v>5.04255400584979</v>
      </c>
      <c r="BO72" s="12">
        <f t="shared" si="26"/>
        <v>14496267173</v>
      </c>
      <c r="BP72" s="4">
        <f t="shared" si="40"/>
        <v>5.0351154970727476</v>
      </c>
      <c r="BQ72" s="13">
        <f t="shared" si="41"/>
        <v>4.9938432134066346</v>
      </c>
    </row>
    <row r="73" spans="1:69" x14ac:dyDescent="0.25">
      <c r="A73" s="1">
        <v>39845</v>
      </c>
      <c r="B73">
        <v>4.9257894578753598</v>
      </c>
      <c r="C73">
        <v>270451479</v>
      </c>
      <c r="E73" s="1">
        <v>39845</v>
      </c>
      <c r="F73">
        <v>5.0811774626932298</v>
      </c>
      <c r="G73">
        <v>107546728</v>
      </c>
      <c r="I73" s="1">
        <v>40817</v>
      </c>
      <c r="J73">
        <v>4.3975640373486504</v>
      </c>
      <c r="K73">
        <v>1548482871</v>
      </c>
      <c r="M73" s="1">
        <v>40817</v>
      </c>
      <c r="N73">
        <v>4.60669445841115</v>
      </c>
      <c r="O73">
        <v>368779597</v>
      </c>
      <c r="Q73" s="1">
        <v>39845</v>
      </c>
      <c r="R73" s="3">
        <f t="shared" si="27"/>
        <v>4.9257894578753598</v>
      </c>
      <c r="S73" s="12">
        <f t="shared" si="28"/>
        <v>270451479</v>
      </c>
      <c r="T73" s="3">
        <f t="shared" si="19"/>
        <v>5.24968384201172</v>
      </c>
      <c r="U73" s="12">
        <f t="shared" si="20"/>
        <v>802621662</v>
      </c>
      <c r="V73" s="4">
        <f t="shared" si="29"/>
        <v>5.1680512748711056</v>
      </c>
      <c r="W73" s="3">
        <f t="shared" si="30"/>
        <v>5.0811774626932298</v>
      </c>
      <c r="X73" s="12">
        <f t="shared" si="31"/>
        <v>107546728</v>
      </c>
      <c r="Y73" s="3">
        <f t="shared" si="21"/>
        <v>5.3658936339307601</v>
      </c>
      <c r="Z73" s="12">
        <f t="shared" si="22"/>
        <v>203142874</v>
      </c>
      <c r="AA73" s="4">
        <f t="shared" si="32"/>
        <v>5.2673377362496918</v>
      </c>
      <c r="AB73" s="13">
        <f t="shared" si="33"/>
        <v>-9.928646137858621</v>
      </c>
      <c r="AO73" s="15">
        <v>200712</v>
      </c>
      <c r="AP73">
        <v>6.1684056944724501</v>
      </c>
      <c r="AQ73">
        <v>18670035</v>
      </c>
      <c r="AS73" s="15">
        <v>199204</v>
      </c>
      <c r="AT73">
        <v>8.5094881932943505</v>
      </c>
      <c r="AU73">
        <v>717928.46</v>
      </c>
      <c r="AW73" s="15">
        <v>200908</v>
      </c>
      <c r="AX73">
        <v>5.1804728090458498</v>
      </c>
      <c r="AY73">
        <v>2701143737</v>
      </c>
      <c r="BA73" s="15">
        <v>199212</v>
      </c>
      <c r="BB73">
        <v>7.7944457488342502</v>
      </c>
      <c r="BC73">
        <v>3566163</v>
      </c>
      <c r="BE73" s="15">
        <v>201003</v>
      </c>
      <c r="BF73" s="1">
        <f t="shared" si="34"/>
        <v>40026</v>
      </c>
      <c r="BG73" s="3">
        <f t="shared" si="35"/>
        <v>5.1069086637190999</v>
      </c>
      <c r="BH73" s="12">
        <f t="shared" si="36"/>
        <v>742442804.86000001</v>
      </c>
      <c r="BI73" s="3">
        <f t="shared" si="23"/>
        <v>5.1329048366877901</v>
      </c>
      <c r="BJ73" s="12">
        <f t="shared" si="24"/>
        <v>1260003863</v>
      </c>
      <c r="BK73" s="4">
        <f t="shared" si="37"/>
        <v>5.1232662920592196</v>
      </c>
      <c r="BL73" s="3">
        <f t="shared" si="38"/>
        <v>5.1034665586505801</v>
      </c>
      <c r="BM73" s="12">
        <f t="shared" si="39"/>
        <v>6581106620.8599997</v>
      </c>
      <c r="BN73" s="3">
        <f t="shared" si="25"/>
        <v>5.10336875420984</v>
      </c>
      <c r="BO73" s="12">
        <f t="shared" si="26"/>
        <v>12211155593</v>
      </c>
      <c r="BP73" s="4">
        <f t="shared" si="40"/>
        <v>5.103403005618488</v>
      </c>
      <c r="BQ73" s="13">
        <f t="shared" si="41"/>
        <v>1.9863286440731542</v>
      </c>
    </row>
    <row r="74" spans="1:69" x14ac:dyDescent="0.25">
      <c r="A74" s="1">
        <v>39873</v>
      </c>
      <c r="B74">
        <v>4.8287438484045104</v>
      </c>
      <c r="C74">
        <v>632073274.39999998</v>
      </c>
      <c r="E74" s="1">
        <v>39873</v>
      </c>
      <c r="F74">
        <v>4.9164520509576199</v>
      </c>
      <c r="G74">
        <v>220864967.80000001</v>
      </c>
      <c r="I74" s="1">
        <v>40848</v>
      </c>
      <c r="J74">
        <v>4.3173195585159698</v>
      </c>
      <c r="K74">
        <v>1485245682</v>
      </c>
      <c r="M74" s="1">
        <v>40848</v>
      </c>
      <c r="N74">
        <v>4.4285432342521904</v>
      </c>
      <c r="O74">
        <v>319077220</v>
      </c>
      <c r="Q74" s="1">
        <v>39873</v>
      </c>
      <c r="R74" s="3">
        <f t="shared" si="27"/>
        <v>4.8287438484045104</v>
      </c>
      <c r="S74" s="12">
        <f t="shared" si="28"/>
        <v>632073274.39999998</v>
      </c>
      <c r="T74" s="3">
        <f t="shared" si="19"/>
        <v>5.00435394606939</v>
      </c>
      <c r="U74" s="12">
        <f t="shared" si="20"/>
        <v>1772490637</v>
      </c>
      <c r="V74" s="4">
        <f t="shared" si="29"/>
        <v>4.9581923743505003</v>
      </c>
      <c r="W74" s="3">
        <f t="shared" si="30"/>
        <v>4.9164520509576199</v>
      </c>
      <c r="X74" s="12">
        <f t="shared" si="31"/>
        <v>220864967.80000001</v>
      </c>
      <c r="Y74" s="3">
        <f t="shared" si="21"/>
        <v>5.0459360204533201</v>
      </c>
      <c r="Z74" s="12">
        <f t="shared" si="22"/>
        <v>399285730</v>
      </c>
      <c r="AA74" s="4">
        <f t="shared" si="32"/>
        <v>4.9998206603404673</v>
      </c>
      <c r="AB74" s="13">
        <f t="shared" si="33"/>
        <v>-4.162828598996704</v>
      </c>
      <c r="AO74" s="15">
        <v>200801</v>
      </c>
      <c r="AP74">
        <v>5.8785673931367102</v>
      </c>
      <c r="AQ74">
        <v>20645678</v>
      </c>
      <c r="AS74" s="15">
        <v>199205</v>
      </c>
      <c r="AT74">
        <v>8.1171875</v>
      </c>
      <c r="AU74">
        <v>342400</v>
      </c>
      <c r="AW74" s="15">
        <v>200909</v>
      </c>
      <c r="AX74">
        <v>5.2640734497349504</v>
      </c>
      <c r="AY74">
        <v>1371543329</v>
      </c>
      <c r="BA74" s="15">
        <v>199301</v>
      </c>
      <c r="BB74">
        <v>8.1354780258696806</v>
      </c>
      <c r="BC74">
        <v>5614989</v>
      </c>
      <c r="BE74" s="15">
        <v>201004</v>
      </c>
      <c r="BF74" s="1">
        <f t="shared" si="34"/>
        <v>40057</v>
      </c>
      <c r="BG74" s="3">
        <f t="shared" si="35"/>
        <v>5.0969997180875097</v>
      </c>
      <c r="BH74" s="12">
        <f t="shared" si="36"/>
        <v>982390149.25999999</v>
      </c>
      <c r="BI74" s="3">
        <f t="shared" si="23"/>
        <v>5.1688259806370001</v>
      </c>
      <c r="BJ74" s="12">
        <f t="shared" si="24"/>
        <v>1285847202</v>
      </c>
      <c r="BK74" s="4">
        <f t="shared" si="37"/>
        <v>5.1377175021757022</v>
      </c>
      <c r="BL74" s="3">
        <f t="shared" si="38"/>
        <v>5.1066550119255396</v>
      </c>
      <c r="BM74" s="12">
        <f t="shared" si="39"/>
        <v>9521302019.7199993</v>
      </c>
      <c r="BN74" s="3">
        <f t="shared" si="25"/>
        <v>5.0995060634083904</v>
      </c>
      <c r="BO74" s="12">
        <f t="shared" si="26"/>
        <v>12612728929</v>
      </c>
      <c r="BP74" s="4">
        <f t="shared" si="40"/>
        <v>5.1025812962077346</v>
      </c>
      <c r="BQ74" s="13">
        <f t="shared" si="41"/>
        <v>3.5136205967967626</v>
      </c>
    </row>
    <row r="75" spans="1:69" x14ac:dyDescent="0.25">
      <c r="A75" s="1">
        <v>39904</v>
      </c>
      <c r="B75">
        <v>4.8012705913175999</v>
      </c>
      <c r="C75">
        <v>457290650.57999998</v>
      </c>
      <c r="E75" s="1">
        <v>39904</v>
      </c>
      <c r="F75">
        <v>4.9294186232281803</v>
      </c>
      <c r="G75">
        <v>189719307.68000001</v>
      </c>
      <c r="I75" s="1">
        <v>40878</v>
      </c>
      <c r="J75">
        <v>4.2439616648421001</v>
      </c>
      <c r="K75">
        <v>978821089</v>
      </c>
      <c r="M75" s="1">
        <v>40878</v>
      </c>
      <c r="N75">
        <v>4.4310652259796104</v>
      </c>
      <c r="O75">
        <v>217909828</v>
      </c>
      <c r="Q75" s="1">
        <v>39904</v>
      </c>
      <c r="R75" s="3">
        <f t="shared" si="27"/>
        <v>4.8012705913175999</v>
      </c>
      <c r="S75" s="12">
        <f t="shared" si="28"/>
        <v>457290650.57999998</v>
      </c>
      <c r="T75" s="3">
        <f t="shared" si="19"/>
        <v>4.9529413617547702</v>
      </c>
      <c r="U75" s="12">
        <f t="shared" si="20"/>
        <v>1822454826</v>
      </c>
      <c r="V75" s="4">
        <f t="shared" si="29"/>
        <v>4.922517954405266</v>
      </c>
      <c r="W75" s="3">
        <f t="shared" si="30"/>
        <v>4.9294186232281803</v>
      </c>
      <c r="X75" s="12">
        <f t="shared" si="31"/>
        <v>189719307.68000001</v>
      </c>
      <c r="Y75" s="3">
        <f t="shared" si="21"/>
        <v>5.0255696936880101</v>
      </c>
      <c r="Z75" s="12">
        <f t="shared" si="22"/>
        <v>413556978</v>
      </c>
      <c r="AA75" s="4">
        <f t="shared" si="32"/>
        <v>4.99533194863929</v>
      </c>
      <c r="AB75" s="13">
        <f t="shared" si="33"/>
        <v>-7.2813994234024015</v>
      </c>
      <c r="AO75" s="15">
        <v>200802</v>
      </c>
      <c r="AP75">
        <v>5.8027076048647501</v>
      </c>
      <c r="AQ75">
        <v>24910134</v>
      </c>
      <c r="AS75" s="15">
        <v>199206</v>
      </c>
      <c r="AT75">
        <v>8.7308161905757409</v>
      </c>
      <c r="AU75">
        <v>455913.62</v>
      </c>
      <c r="AW75" s="15">
        <v>200910</v>
      </c>
      <c r="AX75">
        <v>5.2227120444639699</v>
      </c>
      <c r="AY75">
        <v>1306603211</v>
      </c>
      <c r="BA75" s="15">
        <v>199302</v>
      </c>
      <c r="BB75">
        <v>8.0974998969716907</v>
      </c>
      <c r="BC75">
        <v>3858163</v>
      </c>
      <c r="BE75" s="15">
        <v>201005</v>
      </c>
      <c r="BF75" s="1">
        <f t="shared" si="34"/>
        <v>40087</v>
      </c>
      <c r="BG75" s="3">
        <f t="shared" si="35"/>
        <v>5.1255065381496197</v>
      </c>
      <c r="BH75" s="12">
        <f t="shared" si="36"/>
        <v>869089624</v>
      </c>
      <c r="BI75" s="3">
        <f t="shared" si="23"/>
        <v>5.1580983702531498</v>
      </c>
      <c r="BJ75" s="12">
        <f t="shared" si="24"/>
        <v>1371443426</v>
      </c>
      <c r="BK75" s="4">
        <f t="shared" si="37"/>
        <v>5.14545618980938</v>
      </c>
      <c r="BL75" s="3">
        <f t="shared" si="38"/>
        <v>5.1293446816987904</v>
      </c>
      <c r="BM75" s="12">
        <f t="shared" si="39"/>
        <v>8671785496.2800007</v>
      </c>
      <c r="BN75" s="3">
        <f t="shared" si="25"/>
        <v>5.1119570792342497</v>
      </c>
      <c r="BO75" s="12">
        <f t="shared" si="26"/>
        <v>12576111602</v>
      </c>
      <c r="BP75" s="4">
        <f t="shared" si="40"/>
        <v>5.1190533842553849</v>
      </c>
      <c r="BQ75" s="13">
        <f t="shared" si="41"/>
        <v>2.6402805553995101</v>
      </c>
    </row>
    <row r="76" spans="1:69" x14ac:dyDescent="0.25">
      <c r="A76" s="1">
        <v>39934</v>
      </c>
      <c r="B76">
        <v>5.0365672503654801</v>
      </c>
      <c r="C76">
        <v>737826718.35000002</v>
      </c>
      <c r="E76" s="1">
        <v>39934</v>
      </c>
      <c r="F76">
        <v>5.3173412917423803</v>
      </c>
      <c r="G76">
        <v>340976269.68000001</v>
      </c>
      <c r="I76" s="1">
        <v>40909</v>
      </c>
      <c r="J76">
        <v>4.2183416361736397</v>
      </c>
      <c r="K76">
        <v>1737332302</v>
      </c>
      <c r="M76" s="1">
        <v>40909</v>
      </c>
      <c r="N76">
        <v>4.3478375215020701</v>
      </c>
      <c r="O76">
        <v>369251001</v>
      </c>
      <c r="Q76" s="1">
        <v>39934</v>
      </c>
      <c r="R76" s="3">
        <f t="shared" si="27"/>
        <v>5.0365672503654801</v>
      </c>
      <c r="S76" s="12">
        <f t="shared" si="28"/>
        <v>737826718.35000002</v>
      </c>
      <c r="T76" s="3">
        <f t="shared" si="19"/>
        <v>4.9302745166588604</v>
      </c>
      <c r="U76" s="12">
        <f t="shared" si="20"/>
        <v>1925414134</v>
      </c>
      <c r="V76" s="4">
        <f t="shared" si="29"/>
        <v>4.9597219542895967</v>
      </c>
      <c r="W76" s="3">
        <f t="shared" si="30"/>
        <v>5.3173412917423803</v>
      </c>
      <c r="X76" s="12">
        <f t="shared" si="31"/>
        <v>340976269.68000001</v>
      </c>
      <c r="Y76" s="3">
        <f t="shared" si="21"/>
        <v>4.9714064779119198</v>
      </c>
      <c r="Z76" s="12">
        <f t="shared" si="22"/>
        <v>421224251</v>
      </c>
      <c r="AA76" s="4">
        <f t="shared" si="32"/>
        <v>5.1261630795829882</v>
      </c>
      <c r="AB76" s="13">
        <f t="shared" si="33"/>
        <v>-16.64411252933915</v>
      </c>
      <c r="AO76" s="15">
        <v>200803</v>
      </c>
      <c r="AP76">
        <v>5.4703541111305896</v>
      </c>
      <c r="AQ76">
        <v>53335827</v>
      </c>
      <c r="AS76" s="15">
        <v>199207</v>
      </c>
      <c r="AT76">
        <v>8.7927871096278896</v>
      </c>
      <c r="AU76">
        <v>1435308.45</v>
      </c>
      <c r="AW76" s="15">
        <v>200911</v>
      </c>
      <c r="AX76">
        <v>5.1265775514074798</v>
      </c>
      <c r="AY76">
        <v>1771436244</v>
      </c>
      <c r="BA76" s="15">
        <v>199303</v>
      </c>
      <c r="BB76">
        <v>7.9689080397385004</v>
      </c>
      <c r="BC76">
        <v>4771996</v>
      </c>
      <c r="BE76" s="15">
        <v>201006</v>
      </c>
      <c r="BF76" s="1">
        <f t="shared" si="34"/>
        <v>40118</v>
      </c>
      <c r="BG76" s="3">
        <f t="shared" si="35"/>
        <v>5.1347071906495501</v>
      </c>
      <c r="BH76" s="12">
        <f t="shared" si="36"/>
        <v>802680317.22000003</v>
      </c>
      <c r="BI76" s="3">
        <f t="shared" si="23"/>
        <v>5.16777248714489</v>
      </c>
      <c r="BJ76" s="12">
        <f t="shared" si="24"/>
        <v>1105918731</v>
      </c>
      <c r="BK76" s="4">
        <f t="shared" si="37"/>
        <v>5.1538665477572509</v>
      </c>
      <c r="BL76" s="3">
        <f t="shared" si="38"/>
        <v>5.1561068066204596</v>
      </c>
      <c r="BM76" s="12">
        <f t="shared" si="39"/>
        <v>7864107938.8000002</v>
      </c>
      <c r="BN76" s="3">
        <f t="shared" si="25"/>
        <v>5.1388823090123097</v>
      </c>
      <c r="BO76" s="12">
        <f t="shared" si="26"/>
        <v>11594155592</v>
      </c>
      <c r="BP76" s="4">
        <f t="shared" si="40"/>
        <v>5.1458436346294532</v>
      </c>
      <c r="BQ76" s="13">
        <f t="shared" si="41"/>
        <v>0.80229131277977928</v>
      </c>
    </row>
    <row r="77" spans="1:69" x14ac:dyDescent="0.25">
      <c r="A77" s="1">
        <v>39965</v>
      </c>
      <c r="B77">
        <v>4.8347939515197504</v>
      </c>
      <c r="C77">
        <v>1541956995.8299999</v>
      </c>
      <c r="E77" s="1">
        <v>39965</v>
      </c>
      <c r="F77">
        <v>5.0284763269981898</v>
      </c>
      <c r="G77">
        <v>547323219.95000005</v>
      </c>
      <c r="I77" s="1">
        <v>40940</v>
      </c>
      <c r="J77">
        <v>4.18935340619492</v>
      </c>
      <c r="K77">
        <v>2015281054</v>
      </c>
      <c r="M77" s="1">
        <v>40940</v>
      </c>
      <c r="N77">
        <v>4.3484241351144499</v>
      </c>
      <c r="O77">
        <v>392546595</v>
      </c>
      <c r="Q77" s="1">
        <v>39965</v>
      </c>
      <c r="R77" s="3">
        <f t="shared" si="27"/>
        <v>4.8347939515197504</v>
      </c>
      <c r="S77" s="12">
        <f t="shared" si="28"/>
        <v>1541956995.8299999</v>
      </c>
      <c r="T77" s="3">
        <f t="shared" si="19"/>
        <v>4.8882577991922798</v>
      </c>
      <c r="U77" s="12">
        <f t="shared" si="20"/>
        <v>2434241048</v>
      </c>
      <c r="V77" s="4">
        <f t="shared" si="29"/>
        <v>4.8675246885589774</v>
      </c>
      <c r="W77" s="3">
        <f t="shared" si="30"/>
        <v>5.0284763269981898</v>
      </c>
      <c r="X77" s="12">
        <f t="shared" si="31"/>
        <v>547323219.95000005</v>
      </c>
      <c r="Y77" s="3">
        <f t="shared" si="21"/>
        <v>4.9526677029724802</v>
      </c>
      <c r="Z77" s="12">
        <f t="shared" si="22"/>
        <v>518161716</v>
      </c>
      <c r="AA77" s="4">
        <f t="shared" si="32"/>
        <v>4.991609426878445</v>
      </c>
      <c r="AB77" s="13">
        <f t="shared" si="33"/>
        <v>-12.408473831946765</v>
      </c>
      <c r="AO77" s="15">
        <v>200804</v>
      </c>
      <c r="AP77">
        <v>5.6689723427269101</v>
      </c>
      <c r="AQ77">
        <v>41514288</v>
      </c>
      <c r="AS77" s="15">
        <v>199208</v>
      </c>
      <c r="AT77">
        <v>8.6333761219838792</v>
      </c>
      <c r="AU77">
        <v>1375245.91</v>
      </c>
      <c r="AW77" s="15">
        <v>200912</v>
      </c>
      <c r="AX77">
        <v>5.1162154987111803</v>
      </c>
      <c r="AY77">
        <v>1843454431</v>
      </c>
      <c r="BA77" s="15">
        <v>199304</v>
      </c>
      <c r="BB77">
        <v>7.6096870767810296</v>
      </c>
      <c r="BC77">
        <v>7447386</v>
      </c>
      <c r="BE77" s="15">
        <v>201007</v>
      </c>
      <c r="BF77" s="1">
        <f t="shared" si="34"/>
        <v>40148</v>
      </c>
      <c r="BG77" s="3">
        <f t="shared" si="35"/>
        <v>4.9860473907559797</v>
      </c>
      <c r="BH77" s="12">
        <f t="shared" si="36"/>
        <v>1392771554.8499999</v>
      </c>
      <c r="BI77" s="3">
        <f t="shared" si="23"/>
        <v>5.0367836866670803</v>
      </c>
      <c r="BJ77" s="12">
        <f t="shared" si="24"/>
        <v>1374354849</v>
      </c>
      <c r="BK77" s="4">
        <f t="shared" si="37"/>
        <v>5.0112467001220793</v>
      </c>
      <c r="BL77" s="3">
        <f t="shared" si="38"/>
        <v>5.0092515584804396</v>
      </c>
      <c r="BM77" s="12">
        <f t="shared" si="39"/>
        <v>10403425532.940001</v>
      </c>
      <c r="BN77" s="3">
        <f t="shared" si="25"/>
        <v>4.9839096982801001</v>
      </c>
      <c r="BO77" s="12">
        <f t="shared" si="26"/>
        <v>14732056262</v>
      </c>
      <c r="BP77" s="4">
        <f t="shared" si="40"/>
        <v>4.9943985426003019</v>
      </c>
      <c r="BQ77" s="13">
        <f t="shared" si="41"/>
        <v>1.6848157521777374</v>
      </c>
    </row>
    <row r="78" spans="1:69" x14ac:dyDescent="0.25">
      <c r="A78" s="1">
        <v>39995</v>
      </c>
      <c r="B78">
        <v>4.7986779793147898</v>
      </c>
      <c r="C78">
        <v>1355967766.47</v>
      </c>
      <c r="E78" s="1">
        <v>39995</v>
      </c>
      <c r="F78">
        <v>4.93400483073657</v>
      </c>
      <c r="G78">
        <v>449687250.89999998</v>
      </c>
      <c r="I78" s="1">
        <v>40969</v>
      </c>
      <c r="J78">
        <v>4.1019142817241301</v>
      </c>
      <c r="K78">
        <v>1826182508</v>
      </c>
      <c r="M78" s="1">
        <v>40969</v>
      </c>
      <c r="N78">
        <v>4.3062870065526102</v>
      </c>
      <c r="O78">
        <v>389111900</v>
      </c>
      <c r="Q78" s="1">
        <v>39995</v>
      </c>
      <c r="R78" s="3">
        <f t="shared" si="27"/>
        <v>4.7986779793147898</v>
      </c>
      <c r="S78" s="12">
        <f t="shared" si="28"/>
        <v>1355967766.47</v>
      </c>
      <c r="T78" s="3">
        <f t="shared" si="19"/>
        <v>4.9290046094467801</v>
      </c>
      <c r="U78" s="12">
        <f t="shared" si="20"/>
        <v>1909218702</v>
      </c>
      <c r="V78" s="4">
        <f t="shared" si="29"/>
        <v>4.8748825213889901</v>
      </c>
      <c r="W78" s="3">
        <f t="shared" si="30"/>
        <v>4.93400483073657</v>
      </c>
      <c r="X78" s="12">
        <f t="shared" si="31"/>
        <v>449687250.89999998</v>
      </c>
      <c r="Y78" s="3">
        <f t="shared" si="21"/>
        <v>5.0074627969079799</v>
      </c>
      <c r="Z78" s="12">
        <f t="shared" si="22"/>
        <v>424787797</v>
      </c>
      <c r="AA78" s="4">
        <f t="shared" si="32"/>
        <v>4.9696880074000882</v>
      </c>
      <c r="AB78" s="13">
        <f t="shared" si="33"/>
        <v>-9.4805486011098061</v>
      </c>
      <c r="AO78" s="15">
        <v>200805</v>
      </c>
      <c r="AP78">
        <v>5.6768764156888301</v>
      </c>
      <c r="AQ78">
        <v>37575789</v>
      </c>
      <c r="AS78" s="15">
        <v>199209</v>
      </c>
      <c r="AT78">
        <v>8.2657900177462196</v>
      </c>
      <c r="AU78">
        <v>2339105.4300000002</v>
      </c>
      <c r="AW78" s="15">
        <v>201001</v>
      </c>
      <c r="AX78">
        <v>5.0592730422590604</v>
      </c>
      <c r="AY78">
        <v>2099138408</v>
      </c>
      <c r="BA78" s="15">
        <v>199305</v>
      </c>
      <c r="BB78">
        <v>7.5483527957922796</v>
      </c>
      <c r="BC78">
        <v>15951650</v>
      </c>
      <c r="BE78" s="15">
        <v>201008</v>
      </c>
      <c r="BF78" s="1">
        <f t="shared" si="34"/>
        <v>40179</v>
      </c>
      <c r="BG78" s="3">
        <f t="shared" si="35"/>
        <v>4.8473446963387996</v>
      </c>
      <c r="BH78" s="12">
        <f t="shared" si="36"/>
        <v>1922574427.5899999</v>
      </c>
      <c r="BI78" s="3">
        <f t="shared" si="23"/>
        <v>4.89652486174848</v>
      </c>
      <c r="BJ78" s="12">
        <f t="shared" si="24"/>
        <v>1342468271</v>
      </c>
      <c r="BK78" s="4">
        <f t="shared" si="37"/>
        <v>4.867565813708425</v>
      </c>
      <c r="BL78" s="3">
        <f t="shared" si="38"/>
        <v>4.8082411794809596</v>
      </c>
      <c r="BM78" s="12">
        <f t="shared" si="39"/>
        <v>12814951726</v>
      </c>
      <c r="BN78" s="3">
        <f t="shared" si="25"/>
        <v>4.8357922659546899</v>
      </c>
      <c r="BO78" s="12">
        <f t="shared" si="26"/>
        <v>14369370864</v>
      </c>
      <c r="BP78" s="4">
        <f t="shared" si="40"/>
        <v>4.8228044181982934</v>
      </c>
      <c r="BQ78" s="13">
        <f t="shared" si="41"/>
        <v>4.4761395510131585</v>
      </c>
    </row>
    <row r="79" spans="1:69" x14ac:dyDescent="0.25">
      <c r="A79" s="1">
        <v>40026</v>
      </c>
      <c r="B79">
        <v>4.9677360276817701</v>
      </c>
      <c r="C79">
        <v>1082407653.4100001</v>
      </c>
      <c r="E79" s="1">
        <v>40026</v>
      </c>
      <c r="F79">
        <v>5.1388863713535997</v>
      </c>
      <c r="G79">
        <v>440160206.49000001</v>
      </c>
      <c r="I79" s="1">
        <v>41000</v>
      </c>
      <c r="J79">
        <v>4.0549133563400597</v>
      </c>
      <c r="K79">
        <v>786657651</v>
      </c>
      <c r="M79" s="1">
        <v>41000</v>
      </c>
      <c r="N79">
        <v>4.19295600540873</v>
      </c>
      <c r="O79">
        <v>193455167</v>
      </c>
      <c r="Q79" s="1">
        <v>40026</v>
      </c>
      <c r="R79" s="3">
        <f t="shared" si="27"/>
        <v>4.9677360276817701</v>
      </c>
      <c r="S79" s="12">
        <f t="shared" si="28"/>
        <v>1082407653.4100001</v>
      </c>
      <c r="T79" s="3">
        <f t="shared" si="19"/>
        <v>5.0630542849424103</v>
      </c>
      <c r="U79" s="12">
        <f t="shared" si="20"/>
        <v>2069971635</v>
      </c>
      <c r="V79" s="4">
        <f t="shared" si="29"/>
        <v>5.0303256055135286</v>
      </c>
      <c r="W79" s="3">
        <f t="shared" si="30"/>
        <v>5.1388863713535997</v>
      </c>
      <c r="X79" s="12">
        <f t="shared" si="31"/>
        <v>440160206.49000001</v>
      </c>
      <c r="Y79" s="3">
        <f t="shared" si="21"/>
        <v>5.1061974108083303</v>
      </c>
      <c r="Z79" s="12">
        <f t="shared" si="22"/>
        <v>474549032</v>
      </c>
      <c r="AA79" s="4">
        <f t="shared" si="32"/>
        <v>5.121927414418332</v>
      </c>
      <c r="AB79" s="13">
        <f t="shared" si="33"/>
        <v>-9.1601808904803406</v>
      </c>
      <c r="AO79" s="15">
        <v>200806</v>
      </c>
      <c r="AP79">
        <v>5.9168716439562496</v>
      </c>
      <c r="AQ79">
        <v>70623449.859999999</v>
      </c>
      <c r="AS79" s="15">
        <v>199210</v>
      </c>
      <c r="AT79">
        <v>7.8606717330451996</v>
      </c>
      <c r="AU79">
        <v>3324412.08</v>
      </c>
      <c r="AW79" s="15">
        <v>201002</v>
      </c>
      <c r="AX79">
        <v>5.11357739904168</v>
      </c>
      <c r="AY79">
        <v>1564784878</v>
      </c>
      <c r="BA79" s="15">
        <v>199306</v>
      </c>
      <c r="BB79">
        <v>7.5408382857856502</v>
      </c>
      <c r="BC79">
        <v>12089970</v>
      </c>
      <c r="BE79" s="15">
        <v>201009</v>
      </c>
      <c r="BF79" s="1">
        <f t="shared" si="34"/>
        <v>40210</v>
      </c>
      <c r="BG79" s="3">
        <f t="shared" si="35"/>
        <v>4.7014742707938604</v>
      </c>
      <c r="BH79" s="12">
        <f t="shared" si="36"/>
        <v>2676461960.23</v>
      </c>
      <c r="BI79" s="3">
        <f t="shared" si="23"/>
        <v>4.7773015408797699</v>
      </c>
      <c r="BJ79" s="12">
        <f t="shared" si="24"/>
        <v>1517995392</v>
      </c>
      <c r="BK79" s="4">
        <f t="shared" si="37"/>
        <v>4.7289165444689418</v>
      </c>
      <c r="BL79" s="3">
        <f t="shared" si="38"/>
        <v>4.6507716942420201</v>
      </c>
      <c r="BM79" s="12">
        <f t="shared" si="39"/>
        <v>18834023012.220001</v>
      </c>
      <c r="BN79" s="3">
        <f t="shared" si="25"/>
        <v>4.66011619791791</v>
      </c>
      <c r="BO79" s="12">
        <f t="shared" si="26"/>
        <v>16422534355</v>
      </c>
      <c r="BP79" s="4">
        <f t="shared" si="40"/>
        <v>4.655124371987875</v>
      </c>
      <c r="BQ79" s="13">
        <f t="shared" si="41"/>
        <v>7.3792172481066842</v>
      </c>
    </row>
    <row r="80" spans="1:69" x14ac:dyDescent="0.25">
      <c r="A80" s="1">
        <v>40057</v>
      </c>
      <c r="B80">
        <v>5.04624947656073</v>
      </c>
      <c r="C80">
        <v>1216700964.77</v>
      </c>
      <c r="E80" s="1">
        <v>40057</v>
      </c>
      <c r="F80">
        <v>5.2462768082529001</v>
      </c>
      <c r="G80">
        <v>464975946.81999999</v>
      </c>
      <c r="I80" s="1">
        <v>41030</v>
      </c>
      <c r="J80">
        <v>4.0954005937896296</v>
      </c>
      <c r="K80">
        <v>958626706</v>
      </c>
      <c r="M80" s="1">
        <v>41030</v>
      </c>
      <c r="N80">
        <v>4.2938826031011299</v>
      </c>
      <c r="O80">
        <v>251398438</v>
      </c>
      <c r="Q80" s="1">
        <v>40057</v>
      </c>
      <c r="R80" s="3">
        <f t="shared" si="27"/>
        <v>5.04624947656073</v>
      </c>
      <c r="S80" s="12">
        <f t="shared" si="28"/>
        <v>1216700964.77</v>
      </c>
      <c r="T80" s="3">
        <f t="shared" si="19"/>
        <v>5.2130693138995303</v>
      </c>
      <c r="U80" s="12">
        <f t="shared" si="20"/>
        <v>1407343991</v>
      </c>
      <c r="V80" s="4">
        <f t="shared" si="29"/>
        <v>5.1357193216341219</v>
      </c>
      <c r="W80" s="3">
        <f t="shared" si="30"/>
        <v>5.2462768082529001</v>
      </c>
      <c r="X80" s="12">
        <f t="shared" si="31"/>
        <v>464975946.81999999</v>
      </c>
      <c r="Y80" s="3">
        <f t="shared" si="21"/>
        <v>5.2438133043284498</v>
      </c>
      <c r="Z80" s="12">
        <f t="shared" si="22"/>
        <v>384954522</v>
      </c>
      <c r="AA80" s="4">
        <f t="shared" si="32"/>
        <v>5.2451610264207718</v>
      </c>
      <c r="AB80" s="13">
        <f t="shared" si="33"/>
        <v>-10.944170478664983</v>
      </c>
      <c r="AO80" s="15">
        <v>200807</v>
      </c>
      <c r="AP80">
        <v>6.0623479082229803</v>
      </c>
      <c r="AQ80">
        <v>125270661.40000001</v>
      </c>
      <c r="AS80" s="15">
        <v>199211</v>
      </c>
      <c r="AT80">
        <v>8.03839178168597</v>
      </c>
      <c r="AU80">
        <v>1995339.67</v>
      </c>
      <c r="AW80" s="15">
        <v>201003</v>
      </c>
      <c r="AX80">
        <v>5.1329048366877901</v>
      </c>
      <c r="AY80">
        <v>1260003863</v>
      </c>
      <c r="BA80" s="15">
        <v>199307</v>
      </c>
      <c r="BB80">
        <v>7.5816562519607702</v>
      </c>
      <c r="BC80">
        <v>10949101</v>
      </c>
      <c r="BE80" s="15">
        <v>201010</v>
      </c>
      <c r="BF80" s="1">
        <f t="shared" si="34"/>
        <v>40238</v>
      </c>
      <c r="BG80" s="3">
        <f t="shared" si="35"/>
        <v>4.5882587371517802</v>
      </c>
      <c r="BH80" s="12">
        <f t="shared" si="36"/>
        <v>3190806294.6900001</v>
      </c>
      <c r="BI80" s="3">
        <f t="shared" si="23"/>
        <v>4.6531471278509802</v>
      </c>
      <c r="BJ80" s="12">
        <f t="shared" si="24"/>
        <v>1408370051</v>
      </c>
      <c r="BK80" s="4">
        <f t="shared" si="37"/>
        <v>4.6081290050539838</v>
      </c>
      <c r="BL80" s="3">
        <f t="shared" si="38"/>
        <v>4.5387096617894702</v>
      </c>
      <c r="BM80" s="12">
        <f t="shared" si="39"/>
        <v>21649402130.970001</v>
      </c>
      <c r="BN80" s="3">
        <f t="shared" si="25"/>
        <v>4.5325395081674804</v>
      </c>
      <c r="BO80" s="12">
        <f t="shared" si="26"/>
        <v>16796671317</v>
      </c>
      <c r="BP80" s="4">
        <f t="shared" si="40"/>
        <v>4.5360139887838979</v>
      </c>
      <c r="BQ80" s="13">
        <f t="shared" si="41"/>
        <v>7.2115016270085874</v>
      </c>
    </row>
    <row r="81" spans="1:69" x14ac:dyDescent="0.25">
      <c r="A81" s="1">
        <v>40087</v>
      </c>
      <c r="B81">
        <v>5.0746996760485601</v>
      </c>
      <c r="C81">
        <v>1186937768.51</v>
      </c>
      <c r="E81" s="1">
        <v>40087</v>
      </c>
      <c r="F81">
        <v>5.1495513747816997</v>
      </c>
      <c r="G81">
        <v>409498658.92000002</v>
      </c>
      <c r="I81" s="1">
        <v>41061</v>
      </c>
      <c r="J81">
        <v>4.0788034116725296</v>
      </c>
      <c r="K81">
        <v>1691493113</v>
      </c>
      <c r="M81" s="1">
        <v>41061</v>
      </c>
      <c r="N81">
        <v>4.2625082988579202</v>
      </c>
      <c r="O81">
        <v>435279774</v>
      </c>
      <c r="Q81" s="1">
        <v>40087</v>
      </c>
      <c r="R81" s="3">
        <f t="shared" si="27"/>
        <v>5.0746996760485601</v>
      </c>
      <c r="S81" s="12">
        <f t="shared" si="28"/>
        <v>1186937768.51</v>
      </c>
      <c r="T81" s="3">
        <f t="shared" si="19"/>
        <v>5.2617631117075296</v>
      </c>
      <c r="U81" s="12">
        <f t="shared" si="20"/>
        <v>1274645614</v>
      </c>
      <c r="V81" s="4">
        <f t="shared" si="29"/>
        <v>5.1715639909024196</v>
      </c>
      <c r="W81" s="3">
        <f t="shared" si="30"/>
        <v>5.1495513747816997</v>
      </c>
      <c r="X81" s="12">
        <f t="shared" si="31"/>
        <v>409498658.92000002</v>
      </c>
      <c r="Y81" s="3">
        <f t="shared" si="21"/>
        <v>5.3380417471705401</v>
      </c>
      <c r="Z81" s="12">
        <f t="shared" si="22"/>
        <v>350378572</v>
      </c>
      <c r="AA81" s="4">
        <f t="shared" si="32"/>
        <v>5.2364640822902402</v>
      </c>
      <c r="AB81" s="13">
        <f t="shared" si="33"/>
        <v>-6.4900091387820602</v>
      </c>
      <c r="AO81" s="15">
        <v>200808</v>
      </c>
      <c r="AP81">
        <v>6.3585049983983897</v>
      </c>
      <c r="AQ81">
        <v>90802886</v>
      </c>
      <c r="AS81" s="15">
        <v>199212</v>
      </c>
      <c r="AT81">
        <v>8.1152256208572595</v>
      </c>
      <c r="AU81">
        <v>2330929.89</v>
      </c>
      <c r="AW81" s="15">
        <v>201004</v>
      </c>
      <c r="AX81">
        <v>5.1688259806370001</v>
      </c>
      <c r="AY81">
        <v>1285847202</v>
      </c>
      <c r="BA81" s="15">
        <v>199308</v>
      </c>
      <c r="BB81">
        <v>7.4791328154831298</v>
      </c>
      <c r="BC81">
        <v>6400564</v>
      </c>
      <c r="BE81" s="15">
        <v>201011</v>
      </c>
      <c r="BF81" s="1">
        <f t="shared" si="34"/>
        <v>40269</v>
      </c>
      <c r="BG81" s="3">
        <f t="shared" si="35"/>
        <v>4.5150941243204903</v>
      </c>
      <c r="BH81" s="12">
        <f t="shared" si="36"/>
        <v>3586824121.8099999</v>
      </c>
      <c r="BI81" s="3">
        <f t="shared" si="23"/>
        <v>4.53892074097155</v>
      </c>
      <c r="BJ81" s="12">
        <f t="shared" si="24"/>
        <v>1753246144</v>
      </c>
      <c r="BK81" s="4">
        <f t="shared" si="37"/>
        <v>4.5229168535522568</v>
      </c>
      <c r="BL81" s="3">
        <f t="shared" si="38"/>
        <v>4.47265954993322</v>
      </c>
      <c r="BM81" s="12">
        <f t="shared" si="39"/>
        <v>21982196766.279999</v>
      </c>
      <c r="BN81" s="3">
        <f t="shared" si="25"/>
        <v>4.4601726067952603</v>
      </c>
      <c r="BO81" s="12">
        <f t="shared" si="26"/>
        <v>18655441236</v>
      </c>
      <c r="BP81" s="4">
        <f t="shared" si="40"/>
        <v>4.4669271932958967</v>
      </c>
      <c r="BQ81" s="13">
        <f t="shared" si="41"/>
        <v>5.5989660256360096</v>
      </c>
    </row>
    <row r="82" spans="1:69" x14ac:dyDescent="0.25">
      <c r="A82" s="1">
        <v>40118</v>
      </c>
      <c r="B82">
        <v>5.2151936637199396</v>
      </c>
      <c r="C82">
        <v>798482226.01999998</v>
      </c>
      <c r="E82" s="1">
        <v>40118</v>
      </c>
      <c r="F82">
        <v>5.3509740610369398</v>
      </c>
      <c r="G82">
        <v>332030102.05000001</v>
      </c>
      <c r="I82" s="1">
        <v>41091</v>
      </c>
      <c r="J82">
        <v>3.9622085647229799</v>
      </c>
      <c r="K82">
        <v>1062115543</v>
      </c>
      <c r="M82" s="1">
        <v>41091</v>
      </c>
      <c r="N82">
        <v>4.1288306135328599</v>
      </c>
      <c r="O82">
        <v>240540072</v>
      </c>
      <c r="Q82" s="1">
        <v>40118</v>
      </c>
      <c r="R82" s="3">
        <f t="shared" si="27"/>
        <v>5.2151936637199396</v>
      </c>
      <c r="S82" s="12">
        <f t="shared" si="28"/>
        <v>798482226.01999998</v>
      </c>
      <c r="T82" s="3">
        <f t="shared" si="19"/>
        <v>5.1382236832645702</v>
      </c>
      <c r="U82" s="12">
        <f t="shared" si="20"/>
        <v>1195885935</v>
      </c>
      <c r="V82" s="4">
        <f t="shared" si="29"/>
        <v>5.169040040310346</v>
      </c>
      <c r="W82" s="3">
        <f t="shared" si="30"/>
        <v>5.3509740610369398</v>
      </c>
      <c r="X82" s="12">
        <f t="shared" si="31"/>
        <v>332030102.05000001</v>
      </c>
      <c r="Y82" s="3">
        <f t="shared" si="21"/>
        <v>5.24526389989372</v>
      </c>
      <c r="Z82" s="12">
        <f t="shared" si="22"/>
        <v>319148897</v>
      </c>
      <c r="AA82" s="4">
        <f t="shared" si="32"/>
        <v>5.2991645257482256</v>
      </c>
      <c r="AB82" s="13">
        <f t="shared" si="33"/>
        <v>-13.012448543787958</v>
      </c>
      <c r="AO82" s="15">
        <v>200809</v>
      </c>
      <c r="AP82">
        <v>6.4892252531747499</v>
      </c>
      <c r="AQ82">
        <v>76630072</v>
      </c>
      <c r="AS82" s="15">
        <v>199301</v>
      </c>
      <c r="AT82">
        <v>7.8131056289704501</v>
      </c>
      <c r="AU82">
        <v>1358751.67</v>
      </c>
      <c r="AW82" s="15">
        <v>201005</v>
      </c>
      <c r="AX82">
        <v>5.1580983702531498</v>
      </c>
      <c r="AY82">
        <v>1371443426</v>
      </c>
      <c r="BA82" s="15">
        <v>199309</v>
      </c>
      <c r="BB82">
        <v>7.3847335269970698</v>
      </c>
      <c r="BC82">
        <v>6509909</v>
      </c>
      <c r="BE82" s="15">
        <v>201012</v>
      </c>
      <c r="BF82" s="1">
        <f t="shared" si="34"/>
        <v>40299</v>
      </c>
      <c r="BG82" s="3">
        <f t="shared" si="35"/>
        <v>4.44176263256018</v>
      </c>
      <c r="BH82" s="12">
        <f t="shared" si="36"/>
        <v>3953634893.23</v>
      </c>
      <c r="BI82" s="3">
        <f t="shared" si="23"/>
        <v>4.4749631460480002</v>
      </c>
      <c r="BJ82" s="12">
        <f t="shared" si="24"/>
        <v>1989497029</v>
      </c>
      <c r="BK82" s="4">
        <f t="shared" si="37"/>
        <v>4.4528766922528868</v>
      </c>
      <c r="BL82" s="3">
        <f t="shared" si="38"/>
        <v>4.3926410636072699</v>
      </c>
      <c r="BM82" s="12">
        <f t="shared" si="39"/>
        <v>22640378425.709999</v>
      </c>
      <c r="BN82" s="3">
        <f t="shared" si="25"/>
        <v>4.3807526413318696</v>
      </c>
      <c r="BO82" s="12">
        <f t="shared" si="26"/>
        <v>17939613706</v>
      </c>
      <c r="BP82" s="4">
        <f t="shared" si="40"/>
        <v>4.3873854267283301</v>
      </c>
      <c r="BQ82" s="13">
        <f t="shared" si="41"/>
        <v>6.5491265524556752</v>
      </c>
    </row>
    <row r="83" spans="1:69" x14ac:dyDescent="0.25">
      <c r="A83" s="1">
        <v>40148</v>
      </c>
      <c r="B83">
        <v>5.0900421362228201</v>
      </c>
      <c r="C83">
        <v>961437746.04999995</v>
      </c>
      <c r="E83" s="1">
        <v>40148</v>
      </c>
      <c r="F83">
        <v>5.2579453031755001</v>
      </c>
      <c r="G83">
        <v>407536929.74000001</v>
      </c>
      <c r="I83" s="1">
        <v>41122</v>
      </c>
      <c r="J83">
        <v>3.8924030548966702</v>
      </c>
      <c r="K83">
        <v>1547715391</v>
      </c>
      <c r="M83" s="1">
        <v>41122</v>
      </c>
      <c r="N83">
        <v>4.0995804032105401</v>
      </c>
      <c r="O83">
        <v>365313360</v>
      </c>
      <c r="Q83" s="1">
        <v>40148</v>
      </c>
      <c r="R83" s="3">
        <f t="shared" si="27"/>
        <v>5.0900421362228201</v>
      </c>
      <c r="S83" s="12">
        <f t="shared" si="28"/>
        <v>961437746.04999995</v>
      </c>
      <c r="T83" s="3">
        <f t="shared" si="19"/>
        <v>5.1007786222255502</v>
      </c>
      <c r="U83" s="12">
        <f t="shared" si="20"/>
        <v>1804620911</v>
      </c>
      <c r="V83" s="4">
        <f t="shared" si="29"/>
        <v>5.0970467914212199</v>
      </c>
      <c r="W83" s="3">
        <f t="shared" si="30"/>
        <v>5.2579453031755001</v>
      </c>
      <c r="X83" s="12">
        <f t="shared" si="31"/>
        <v>407536929.74000001</v>
      </c>
      <c r="Y83" s="3">
        <f t="shared" si="21"/>
        <v>5.1695672021843704</v>
      </c>
      <c r="Z83" s="12">
        <f t="shared" si="22"/>
        <v>413476463</v>
      </c>
      <c r="AA83" s="4">
        <f t="shared" si="32"/>
        <v>5.2134365717374962</v>
      </c>
      <c r="AB83" s="13">
        <f t="shared" si="33"/>
        <v>-11.638978031627634</v>
      </c>
      <c r="AO83" s="15">
        <v>200810</v>
      </c>
      <c r="AP83">
        <v>6.1113324623902097</v>
      </c>
      <c r="AQ83">
        <v>101138637</v>
      </c>
      <c r="AS83" s="15">
        <v>199302</v>
      </c>
      <c r="AT83">
        <v>7.3721672403901302</v>
      </c>
      <c r="AU83">
        <v>348600</v>
      </c>
      <c r="AW83" s="15">
        <v>201006</v>
      </c>
      <c r="AX83">
        <v>5.16777248714489</v>
      </c>
      <c r="AY83">
        <v>1105918731</v>
      </c>
      <c r="BA83" s="15">
        <v>199310</v>
      </c>
      <c r="BB83">
        <v>7.1957507973639103</v>
      </c>
      <c r="BC83">
        <v>12138435</v>
      </c>
      <c r="BE83" s="15">
        <v>201101</v>
      </c>
      <c r="BF83" s="1">
        <f t="shared" si="34"/>
        <v>40330</v>
      </c>
      <c r="BG83" s="3">
        <f t="shared" si="35"/>
        <v>4.4605522091825103</v>
      </c>
      <c r="BH83" s="12">
        <f t="shared" si="36"/>
        <v>3483031257.6399999</v>
      </c>
      <c r="BI83" s="3">
        <f t="shared" si="23"/>
        <v>4.5508085699510801</v>
      </c>
      <c r="BJ83" s="12">
        <f t="shared" si="24"/>
        <v>2200224857</v>
      </c>
      <c r="BK83" s="4">
        <f t="shared" si="37"/>
        <v>4.4954942009667302</v>
      </c>
      <c r="BL83" s="3">
        <f t="shared" si="38"/>
        <v>4.4684690901518902</v>
      </c>
      <c r="BM83" s="12">
        <f t="shared" si="39"/>
        <v>20370746372.080002</v>
      </c>
      <c r="BN83" s="3">
        <f t="shared" si="25"/>
        <v>4.4590741942076502</v>
      </c>
      <c r="BO83" s="12">
        <f t="shared" si="26"/>
        <v>16998217771</v>
      </c>
      <c r="BP83" s="4">
        <f t="shared" si="40"/>
        <v>4.464195584293269</v>
      </c>
      <c r="BQ83" s="13">
        <f t="shared" si="41"/>
        <v>3.1298616673461233</v>
      </c>
    </row>
    <row r="84" spans="1:69" x14ac:dyDescent="0.25">
      <c r="A84" s="1">
        <v>40179</v>
      </c>
      <c r="B84">
        <v>5.0681423813824802</v>
      </c>
      <c r="C84">
        <v>890073347.80999994</v>
      </c>
      <c r="E84" s="1">
        <v>40179</v>
      </c>
      <c r="F84">
        <v>5.1892938372345201</v>
      </c>
      <c r="G84">
        <v>320035150.18000001</v>
      </c>
      <c r="I84" s="1">
        <v>41153</v>
      </c>
      <c r="J84">
        <v>3.80766266443747</v>
      </c>
      <c r="K84">
        <v>1960551473</v>
      </c>
      <c r="M84" s="1">
        <v>41153</v>
      </c>
      <c r="N84">
        <v>3.9558656538333801</v>
      </c>
      <c r="O84">
        <v>404895989</v>
      </c>
      <c r="Q84" s="1">
        <v>40179</v>
      </c>
      <c r="R84" s="3">
        <f t="shared" si="27"/>
        <v>5.0681423813824802</v>
      </c>
      <c r="S84" s="12">
        <f t="shared" si="28"/>
        <v>890073347.80999994</v>
      </c>
      <c r="T84" s="3">
        <f t="shared" si="19"/>
        <v>5.04332460312183</v>
      </c>
      <c r="U84" s="12">
        <f t="shared" si="20"/>
        <v>1256715067</v>
      </c>
      <c r="V84" s="4">
        <f t="shared" si="29"/>
        <v>5.053614225904064</v>
      </c>
      <c r="W84" s="3">
        <f t="shared" si="30"/>
        <v>5.1892938372345201</v>
      </c>
      <c r="X84" s="12">
        <f t="shared" si="31"/>
        <v>320035150.18000001</v>
      </c>
      <c r="Y84" s="3">
        <f t="shared" si="21"/>
        <v>5.1282884735316303</v>
      </c>
      <c r="Z84" s="12">
        <f t="shared" si="22"/>
        <v>329942423</v>
      </c>
      <c r="AA84" s="4">
        <f t="shared" si="32"/>
        <v>5.15832621874016</v>
      </c>
      <c r="AB84" s="13">
        <f t="shared" si="33"/>
        <v>-10.4711992836096</v>
      </c>
      <c r="AO84" s="15">
        <v>200811</v>
      </c>
      <c r="AP84">
        <v>5.96654587425237</v>
      </c>
      <c r="AQ84">
        <v>142545789</v>
      </c>
      <c r="AS84" s="15">
        <v>199303</v>
      </c>
      <c r="AT84">
        <v>7.9972175649097403</v>
      </c>
      <c r="AU84">
        <v>1213146</v>
      </c>
      <c r="AW84" s="15">
        <v>201007</v>
      </c>
      <c r="AX84">
        <v>5.0367836866670803</v>
      </c>
      <c r="AY84">
        <v>1374354849</v>
      </c>
      <c r="BA84" s="15">
        <v>199311</v>
      </c>
      <c r="BB84">
        <v>6.9367676898668096</v>
      </c>
      <c r="BC84">
        <v>27178130</v>
      </c>
      <c r="BE84" s="15">
        <v>201102</v>
      </c>
      <c r="BF84" s="1">
        <f t="shared" si="34"/>
        <v>40360</v>
      </c>
      <c r="BG84" s="3">
        <f t="shared" si="35"/>
        <v>4.58821398710087</v>
      </c>
      <c r="BH84" s="12">
        <f t="shared" si="36"/>
        <v>1935582891.79</v>
      </c>
      <c r="BI84" s="3">
        <f t="shared" si="23"/>
        <v>4.75199561870346</v>
      </c>
      <c r="BJ84" s="12">
        <f t="shared" si="24"/>
        <v>1596573055</v>
      </c>
      <c r="BK84" s="4">
        <f t="shared" si="37"/>
        <v>4.6622450728909159</v>
      </c>
      <c r="BL84" s="3">
        <f t="shared" si="38"/>
        <v>4.6875598444210702</v>
      </c>
      <c r="BM84" s="12">
        <f t="shared" si="39"/>
        <v>13401535360.309999</v>
      </c>
      <c r="BN84" s="3">
        <f t="shared" si="25"/>
        <v>4.7078057607013797</v>
      </c>
      <c r="BO84" s="12">
        <f t="shared" si="26"/>
        <v>12052088592</v>
      </c>
      <c r="BP84" s="4">
        <f t="shared" si="40"/>
        <v>4.697146124830244</v>
      </c>
      <c r="BQ84" s="13">
        <f t="shared" si="41"/>
        <v>-3.4901051939328021</v>
      </c>
    </row>
    <row r="85" spans="1:69" x14ac:dyDescent="0.25">
      <c r="A85" s="1">
        <v>40210</v>
      </c>
      <c r="B85">
        <v>5.0632867360185898</v>
      </c>
      <c r="C85">
        <v>918185970.79999995</v>
      </c>
      <c r="E85" s="1">
        <v>40210</v>
      </c>
      <c r="F85">
        <v>5.19301303181566</v>
      </c>
      <c r="G85">
        <v>354569614.73000002</v>
      </c>
      <c r="I85" s="1">
        <v>41183</v>
      </c>
      <c r="J85">
        <v>3.77805547204823</v>
      </c>
      <c r="K85">
        <v>2785800235</v>
      </c>
      <c r="M85" s="1">
        <v>41183</v>
      </c>
      <c r="N85">
        <v>3.8956928109778</v>
      </c>
      <c r="O85">
        <v>542186071</v>
      </c>
      <c r="Q85" s="1">
        <v>40210</v>
      </c>
      <c r="R85" s="3">
        <f t="shared" si="27"/>
        <v>5.0632867360185898</v>
      </c>
      <c r="S85" s="12">
        <f t="shared" si="28"/>
        <v>918185970.79999995</v>
      </c>
      <c r="T85" s="3">
        <f t="shared" si="19"/>
        <v>5.0831925473229704</v>
      </c>
      <c r="U85" s="12">
        <f t="shared" si="20"/>
        <v>1353420411</v>
      </c>
      <c r="V85" s="4">
        <f t="shared" si="29"/>
        <v>5.0751465949856671</v>
      </c>
      <c r="W85" s="3">
        <f t="shared" si="30"/>
        <v>5.19301303181566</v>
      </c>
      <c r="X85" s="12">
        <f t="shared" si="31"/>
        <v>354569614.73000002</v>
      </c>
      <c r="Y85" s="3">
        <f t="shared" si="21"/>
        <v>5.1627233291869903</v>
      </c>
      <c r="Z85" s="12">
        <f t="shared" si="22"/>
        <v>346225010</v>
      </c>
      <c r="AA85" s="4">
        <f t="shared" si="32"/>
        <v>5.1780485155002722</v>
      </c>
      <c r="AB85" s="13">
        <f t="shared" si="33"/>
        <v>-10.290192051460512</v>
      </c>
      <c r="AO85" s="15">
        <v>200812</v>
      </c>
      <c r="AP85">
        <v>6.0060028141226596</v>
      </c>
      <c r="AQ85">
        <v>105151777.5</v>
      </c>
      <c r="AS85" s="15">
        <v>199304</v>
      </c>
      <c r="AT85">
        <v>7.7584751781450896</v>
      </c>
      <c r="AU85">
        <v>1281461.04</v>
      </c>
      <c r="AW85" s="15">
        <v>201008</v>
      </c>
      <c r="AX85">
        <v>4.89652486174848</v>
      </c>
      <c r="AY85">
        <v>1342468271</v>
      </c>
      <c r="BA85" s="15">
        <v>199312</v>
      </c>
      <c r="BB85">
        <v>7.0670345870205802</v>
      </c>
      <c r="BC85">
        <v>30508034</v>
      </c>
      <c r="BE85" s="15">
        <v>201103</v>
      </c>
      <c r="BF85" s="1">
        <f t="shared" si="34"/>
        <v>40391</v>
      </c>
      <c r="BG85" s="3">
        <f t="shared" si="35"/>
        <v>4.7520509089702196</v>
      </c>
      <c r="BH85" s="12">
        <f t="shared" si="36"/>
        <v>1200246296.05</v>
      </c>
      <c r="BI85" s="3">
        <f t="shared" si="23"/>
        <v>4.9343295922125598</v>
      </c>
      <c r="BJ85" s="12">
        <f t="shared" si="24"/>
        <v>953883311</v>
      </c>
      <c r="BK85" s="4">
        <f t="shared" si="37"/>
        <v>4.8327668479401291</v>
      </c>
      <c r="BL85" s="3">
        <f t="shared" si="38"/>
        <v>4.8640585806622303</v>
      </c>
      <c r="BM85" s="12">
        <f t="shared" si="39"/>
        <v>10570540622.469999</v>
      </c>
      <c r="BN85" s="3">
        <f t="shared" si="25"/>
        <v>4.8591026113875397</v>
      </c>
      <c r="BO85" s="12">
        <f t="shared" si="26"/>
        <v>7649737907</v>
      </c>
      <c r="BP85" s="4">
        <f t="shared" si="40"/>
        <v>4.861977829483525</v>
      </c>
      <c r="BQ85" s="13">
        <f t="shared" si="41"/>
        <v>-2.9210981543395853</v>
      </c>
    </row>
    <row r="86" spans="1:69" x14ac:dyDescent="0.25">
      <c r="A86" s="1">
        <v>40238</v>
      </c>
      <c r="B86">
        <v>5.1080282424214003</v>
      </c>
      <c r="C86">
        <v>771213941.63999999</v>
      </c>
      <c r="E86" s="1">
        <v>40238</v>
      </c>
      <c r="F86">
        <v>5.2754831357102896</v>
      </c>
      <c r="G86">
        <v>302410424</v>
      </c>
      <c r="I86" s="1">
        <v>41214</v>
      </c>
      <c r="J86">
        <v>3.6842258857779799</v>
      </c>
      <c r="K86">
        <v>3157395279</v>
      </c>
      <c r="M86" s="1">
        <v>41214</v>
      </c>
      <c r="N86">
        <v>3.8386087765179902</v>
      </c>
      <c r="O86">
        <v>630550157</v>
      </c>
      <c r="Q86" s="1">
        <v>40238</v>
      </c>
      <c r="R86" s="3">
        <f t="shared" si="27"/>
        <v>5.1080282424214003</v>
      </c>
      <c r="S86" s="12">
        <f t="shared" si="28"/>
        <v>771213941.63999999</v>
      </c>
      <c r="T86" s="3">
        <f t="shared" si="19"/>
        <v>5.1116099108354502</v>
      </c>
      <c r="U86" s="12">
        <f t="shared" si="20"/>
        <v>1399899299</v>
      </c>
      <c r="V86" s="4">
        <f t="shared" si="29"/>
        <v>5.1103376452697757</v>
      </c>
      <c r="W86" s="3">
        <f t="shared" si="30"/>
        <v>5.2754831357102896</v>
      </c>
      <c r="X86" s="12">
        <f t="shared" si="31"/>
        <v>302410424</v>
      </c>
      <c r="Y86" s="3">
        <f t="shared" si="21"/>
        <v>5.1983329970659797</v>
      </c>
      <c r="Z86" s="12">
        <f t="shared" si="22"/>
        <v>406671460</v>
      </c>
      <c r="AA86" s="4">
        <f t="shared" si="32"/>
        <v>5.2312361168121395</v>
      </c>
      <c r="AB86" s="13">
        <f t="shared" si="33"/>
        <v>-12.089847154236377</v>
      </c>
      <c r="AO86" s="15">
        <v>200901</v>
      </c>
      <c r="AP86">
        <v>5.42410537049693</v>
      </c>
      <c r="AQ86">
        <v>237103124</v>
      </c>
      <c r="AS86" s="15">
        <v>199305</v>
      </c>
      <c r="AT86">
        <v>7.4840298183722904</v>
      </c>
      <c r="AU86">
        <v>3277047.42</v>
      </c>
      <c r="AW86" s="15">
        <v>201009</v>
      </c>
      <c r="AX86">
        <v>4.7773015408797699</v>
      </c>
      <c r="AY86">
        <v>1517995392</v>
      </c>
      <c r="BA86" s="15">
        <v>199401</v>
      </c>
      <c r="BB86">
        <v>7.1581941433992</v>
      </c>
      <c r="BC86">
        <v>28799197</v>
      </c>
      <c r="BE86" s="15">
        <v>201104</v>
      </c>
      <c r="BF86" s="1">
        <f t="shared" si="34"/>
        <v>40422</v>
      </c>
      <c r="BG86" s="3">
        <f t="shared" si="35"/>
        <v>4.90360141821259</v>
      </c>
      <c r="BH86" s="12">
        <f t="shared" si="36"/>
        <v>983397894.34000003</v>
      </c>
      <c r="BI86" s="3">
        <f t="shared" si="23"/>
        <v>5.0300174024287303</v>
      </c>
      <c r="BJ86" s="12">
        <f t="shared" si="24"/>
        <v>1165892147</v>
      </c>
      <c r="BK86" s="4">
        <f t="shared" si="37"/>
        <v>4.9721763431496555</v>
      </c>
      <c r="BL86" s="3">
        <f t="shared" si="38"/>
        <v>5.0404618724954098</v>
      </c>
      <c r="BM86" s="12">
        <f t="shared" si="39"/>
        <v>9808513902.5499992</v>
      </c>
      <c r="BN86" s="3">
        <f t="shared" si="25"/>
        <v>4.9758977754276401</v>
      </c>
      <c r="BO86" s="12">
        <f t="shared" si="26"/>
        <v>7945747537</v>
      </c>
      <c r="BP86" s="4">
        <f t="shared" si="40"/>
        <v>5.0115668369569528</v>
      </c>
      <c r="BQ86" s="13">
        <f t="shared" si="41"/>
        <v>-3.9390493807297311</v>
      </c>
    </row>
    <row r="87" spans="1:69" x14ac:dyDescent="0.25">
      <c r="A87" s="1">
        <v>40269</v>
      </c>
      <c r="B87">
        <v>5.0789446498627804</v>
      </c>
      <c r="C87">
        <v>654782472.72000003</v>
      </c>
      <c r="E87" s="1">
        <v>40269</v>
      </c>
      <c r="F87">
        <v>5.1524499257766898</v>
      </c>
      <c r="G87">
        <v>249256356.87</v>
      </c>
      <c r="I87" s="1">
        <v>41244</v>
      </c>
      <c r="J87">
        <v>3.6520187944123599</v>
      </c>
      <c r="K87">
        <v>1109764306</v>
      </c>
      <c r="M87" s="1">
        <v>41244</v>
      </c>
      <c r="N87">
        <v>3.77964307980201</v>
      </c>
      <c r="O87">
        <v>271038864</v>
      </c>
      <c r="Q87" s="1">
        <v>40269</v>
      </c>
      <c r="R87" s="3">
        <f t="shared" si="27"/>
        <v>5.0789446498627804</v>
      </c>
      <c r="S87" s="12">
        <f t="shared" si="28"/>
        <v>654782472.72000003</v>
      </c>
      <c r="T87" s="3">
        <f t="shared" si="19"/>
        <v>5.13314470530017</v>
      </c>
      <c r="U87" s="12">
        <f t="shared" si="20"/>
        <v>895483910</v>
      </c>
      <c r="V87" s="4">
        <f t="shared" si="29"/>
        <v>5.1102523516269978</v>
      </c>
      <c r="W87" s="3">
        <f t="shared" si="30"/>
        <v>5.1524499257766898</v>
      </c>
      <c r="X87" s="12">
        <f t="shared" si="31"/>
        <v>249256356.87</v>
      </c>
      <c r="Y87" s="3">
        <f t="shared" si="21"/>
        <v>5.2383357766286203</v>
      </c>
      <c r="Z87" s="12">
        <f t="shared" si="22"/>
        <v>258152723</v>
      </c>
      <c r="AA87" s="4">
        <f t="shared" si="32"/>
        <v>5.1961457663601456</v>
      </c>
      <c r="AB87" s="13">
        <f t="shared" si="33"/>
        <v>-8.5893414733147821</v>
      </c>
      <c r="AO87" s="15">
        <v>200902</v>
      </c>
      <c r="AP87">
        <v>4.9136551818804302</v>
      </c>
      <c r="AQ87">
        <v>537492659.17999995</v>
      </c>
      <c r="AS87" s="15">
        <v>199306</v>
      </c>
      <c r="AT87">
        <v>7.5489330997747404</v>
      </c>
      <c r="AU87">
        <v>4504177.51</v>
      </c>
      <c r="AW87" s="15">
        <v>201010</v>
      </c>
      <c r="AX87">
        <v>4.6531471278509802</v>
      </c>
      <c r="AY87">
        <v>1408370051</v>
      </c>
      <c r="BA87" s="15">
        <v>199402</v>
      </c>
      <c r="BB87">
        <v>7.2646828537724604</v>
      </c>
      <c r="BC87">
        <v>18893083</v>
      </c>
      <c r="BE87" s="15">
        <v>201105</v>
      </c>
      <c r="BF87" s="1">
        <f t="shared" si="34"/>
        <v>40452</v>
      </c>
      <c r="BG87" s="3">
        <f t="shared" si="35"/>
        <v>4.9513879756695101</v>
      </c>
      <c r="BH87" s="12">
        <f t="shared" si="36"/>
        <v>699481798.58000004</v>
      </c>
      <c r="BI87" s="3">
        <f t="shared" si="23"/>
        <v>5.0304990878230997</v>
      </c>
      <c r="BJ87" s="12">
        <f t="shared" si="24"/>
        <v>1197224471</v>
      </c>
      <c r="BK87" s="4">
        <f t="shared" si="37"/>
        <v>5.0013238887401608</v>
      </c>
      <c r="BL87" s="3">
        <f t="shared" si="38"/>
        <v>5.0639885990912203</v>
      </c>
      <c r="BM87" s="12">
        <f t="shared" si="39"/>
        <v>7897249554.5299997</v>
      </c>
      <c r="BN87" s="3">
        <f t="shared" si="25"/>
        <v>4.9764774088942403</v>
      </c>
      <c r="BO87" s="12">
        <f t="shared" si="26"/>
        <v>7424512630</v>
      </c>
      <c r="BP87" s="4">
        <f t="shared" si="40"/>
        <v>5.0215830370508563</v>
      </c>
      <c r="BQ87" s="13">
        <f t="shared" si="41"/>
        <v>-2.0259148310695529</v>
      </c>
    </row>
    <row r="88" spans="1:69" x14ac:dyDescent="0.25">
      <c r="A88" s="1">
        <v>40299</v>
      </c>
      <c r="B88">
        <v>5.0958219278708698</v>
      </c>
      <c r="C88">
        <v>601303975.46000004</v>
      </c>
      <c r="E88" s="1">
        <v>40299</v>
      </c>
      <c r="F88">
        <v>5.1956765462759398</v>
      </c>
      <c r="G88">
        <v>234684922</v>
      </c>
      <c r="I88" s="1">
        <v>41275</v>
      </c>
      <c r="J88">
        <v>3.6333638013032901</v>
      </c>
      <c r="K88">
        <v>2003795573</v>
      </c>
      <c r="M88" s="1">
        <v>41275</v>
      </c>
      <c r="N88">
        <v>3.74872574992665</v>
      </c>
      <c r="O88">
        <v>438781611</v>
      </c>
      <c r="Q88" s="1">
        <v>40299</v>
      </c>
      <c r="R88" s="3">
        <f t="shared" si="27"/>
        <v>5.0958219278708698</v>
      </c>
      <c r="S88" s="12">
        <f t="shared" si="28"/>
        <v>601303975.46000004</v>
      </c>
      <c r="T88" s="3">
        <f t="shared" si="19"/>
        <v>5.1217568917369602</v>
      </c>
      <c r="U88" s="12">
        <f t="shared" si="20"/>
        <v>870833148</v>
      </c>
      <c r="V88" s="4">
        <f t="shared" si="29"/>
        <v>5.1111635871951666</v>
      </c>
      <c r="W88" s="3">
        <f t="shared" si="30"/>
        <v>5.1956765462759398</v>
      </c>
      <c r="X88" s="12">
        <f t="shared" si="31"/>
        <v>234684922</v>
      </c>
      <c r="Y88" s="3">
        <f t="shared" si="21"/>
        <v>5.1903040639201699</v>
      </c>
      <c r="Z88" s="12">
        <f t="shared" si="22"/>
        <v>232853934</v>
      </c>
      <c r="AA88" s="4">
        <f t="shared" si="32"/>
        <v>5.1930008250266102</v>
      </c>
      <c r="AB88" s="13">
        <f t="shared" si="33"/>
        <v>-8.1837237831443588</v>
      </c>
      <c r="AO88" s="15">
        <v>200903</v>
      </c>
      <c r="AP88">
        <v>4.84220891837239</v>
      </c>
      <c r="AQ88">
        <v>815692637.40999997</v>
      </c>
      <c r="AS88" s="15">
        <v>199307</v>
      </c>
      <c r="AT88">
        <v>7.5790893042482201</v>
      </c>
      <c r="AU88">
        <v>7007030.5999999996</v>
      </c>
      <c r="AW88" s="15">
        <v>201011</v>
      </c>
      <c r="AX88">
        <v>4.53892074097155</v>
      </c>
      <c r="AY88">
        <v>1753246144</v>
      </c>
      <c r="BA88" s="15">
        <v>199403</v>
      </c>
      <c r="BB88">
        <v>7.2540045689601902</v>
      </c>
      <c r="BC88">
        <v>15864660</v>
      </c>
      <c r="BE88" s="15">
        <v>201106</v>
      </c>
      <c r="BF88" s="1">
        <f t="shared" si="34"/>
        <v>40483</v>
      </c>
      <c r="BG88" s="3">
        <f t="shared" si="35"/>
        <v>4.9180520783021402</v>
      </c>
      <c r="BH88" s="12">
        <f t="shared" si="36"/>
        <v>845383455</v>
      </c>
      <c r="BI88" s="3">
        <f t="shared" si="23"/>
        <v>4.9615586002805596</v>
      </c>
      <c r="BJ88" s="12">
        <f t="shared" si="24"/>
        <v>1161974377</v>
      </c>
      <c r="BK88" s="4">
        <f t="shared" si="37"/>
        <v>4.9432361600664478</v>
      </c>
      <c r="BL88" s="3">
        <f t="shared" si="38"/>
        <v>5.01741215343141</v>
      </c>
      <c r="BM88" s="12">
        <f t="shared" si="39"/>
        <v>7925810462.8100004</v>
      </c>
      <c r="BN88" s="3">
        <f t="shared" si="25"/>
        <v>4.9394465369563596</v>
      </c>
      <c r="BO88" s="12">
        <f t="shared" si="26"/>
        <v>6773126217</v>
      </c>
      <c r="BP88" s="4">
        <f t="shared" si="40"/>
        <v>4.9814863601257571</v>
      </c>
      <c r="BQ88" s="13">
        <f t="shared" si="41"/>
        <v>-3.8250200059309236</v>
      </c>
    </row>
    <row r="89" spans="1:69" x14ac:dyDescent="0.25">
      <c r="A89" s="1">
        <v>40330</v>
      </c>
      <c r="B89">
        <v>5.11647744276965</v>
      </c>
      <c r="C89">
        <v>621049868.38999999</v>
      </c>
      <c r="E89" s="1">
        <v>40330</v>
      </c>
      <c r="F89">
        <v>5.2482356252840496</v>
      </c>
      <c r="G89">
        <v>244536043.62</v>
      </c>
      <c r="I89" s="1">
        <v>41306</v>
      </c>
      <c r="J89">
        <v>3.6299531832230598</v>
      </c>
      <c r="K89">
        <v>1758004574</v>
      </c>
      <c r="M89" s="1">
        <v>41306</v>
      </c>
      <c r="N89">
        <v>3.77265686140611</v>
      </c>
      <c r="O89">
        <v>440990389</v>
      </c>
      <c r="Q89" s="1">
        <v>40330</v>
      </c>
      <c r="R89" s="3">
        <f t="shared" si="27"/>
        <v>5.11647744276965</v>
      </c>
      <c r="S89" s="12">
        <f t="shared" si="28"/>
        <v>621049868.38999999</v>
      </c>
      <c r="T89" s="3">
        <f t="shared" si="19"/>
        <v>5.1774154051112804</v>
      </c>
      <c r="U89" s="12">
        <f t="shared" si="20"/>
        <v>1070665307</v>
      </c>
      <c r="V89" s="4">
        <f t="shared" si="29"/>
        <v>5.155044314491076</v>
      </c>
      <c r="W89" s="3">
        <f t="shared" si="30"/>
        <v>5.2482356252840496</v>
      </c>
      <c r="X89" s="12">
        <f t="shared" si="31"/>
        <v>244536043.62</v>
      </c>
      <c r="Y89" s="3">
        <f t="shared" si="21"/>
        <v>5.2649822783195104</v>
      </c>
      <c r="Z89" s="12">
        <f t="shared" si="22"/>
        <v>342423508</v>
      </c>
      <c r="AA89" s="4">
        <f t="shared" si="32"/>
        <v>5.2580053746029494</v>
      </c>
      <c r="AB89" s="13">
        <f t="shared" si="33"/>
        <v>-10.296106011187334</v>
      </c>
      <c r="AO89" s="15">
        <v>200904</v>
      </c>
      <c r="AP89">
        <v>4.8661421195609504</v>
      </c>
      <c r="AQ89">
        <v>934395731.88</v>
      </c>
      <c r="AS89" s="15">
        <v>199308</v>
      </c>
      <c r="AT89">
        <v>7.32865730026659</v>
      </c>
      <c r="AU89">
        <v>10445141.42</v>
      </c>
      <c r="AW89" s="15">
        <v>201012</v>
      </c>
      <c r="AX89">
        <v>4.4749631460480002</v>
      </c>
      <c r="AY89">
        <v>1989497029</v>
      </c>
      <c r="BA89" s="15">
        <v>199404</v>
      </c>
      <c r="BB89">
        <v>7.4402879565924502</v>
      </c>
      <c r="BC89">
        <v>15833376</v>
      </c>
      <c r="BE89" s="15">
        <v>201107</v>
      </c>
      <c r="BF89" s="1">
        <f t="shared" si="34"/>
        <v>40513</v>
      </c>
      <c r="BG89" s="3">
        <f t="shared" si="35"/>
        <v>4.7761996799839501</v>
      </c>
      <c r="BH89" s="12">
        <f t="shared" si="36"/>
        <v>1285246943.25</v>
      </c>
      <c r="BI89" s="3">
        <f t="shared" si="23"/>
        <v>4.7895337922387604</v>
      </c>
      <c r="BJ89" s="12">
        <f t="shared" si="24"/>
        <v>1511550651</v>
      </c>
      <c r="BK89" s="4">
        <f t="shared" si="37"/>
        <v>4.7834062029374529</v>
      </c>
      <c r="BL89" s="3">
        <f t="shared" si="38"/>
        <v>4.8480911353752099</v>
      </c>
      <c r="BM89" s="12">
        <f t="shared" si="39"/>
        <v>9070328642.0599995</v>
      </c>
      <c r="BN89" s="3">
        <f t="shared" si="25"/>
        <v>4.7729721613449696</v>
      </c>
      <c r="BO89" s="12">
        <f t="shared" si="26"/>
        <v>9260152717</v>
      </c>
      <c r="BP89" s="4">
        <f t="shared" si="40"/>
        <v>4.8101426954058164</v>
      </c>
      <c r="BQ89" s="13">
        <f t="shared" si="41"/>
        <v>-2.6736492468363515</v>
      </c>
    </row>
    <row r="90" spans="1:69" x14ac:dyDescent="0.25">
      <c r="A90" s="1">
        <v>40360</v>
      </c>
      <c r="B90">
        <v>5.0026574011794898</v>
      </c>
      <c r="C90">
        <v>944782337.25999999</v>
      </c>
      <c r="E90" s="1">
        <v>40360</v>
      </c>
      <c r="F90">
        <v>5.0729929665586502</v>
      </c>
      <c r="G90">
        <v>309314330.39999998</v>
      </c>
      <c r="I90" s="1">
        <v>41334</v>
      </c>
      <c r="J90">
        <v>3.6476116664209801</v>
      </c>
      <c r="K90">
        <v>2442071449</v>
      </c>
      <c r="M90" s="1">
        <v>41334</v>
      </c>
      <c r="N90">
        <v>3.7522502650768299</v>
      </c>
      <c r="O90">
        <v>623634284</v>
      </c>
      <c r="Q90" s="1">
        <v>40360</v>
      </c>
      <c r="R90" s="3">
        <f t="shared" si="27"/>
        <v>5.0026574011794898</v>
      </c>
      <c r="S90" s="12">
        <f t="shared" si="28"/>
        <v>944782337.25999999</v>
      </c>
      <c r="T90" s="3">
        <f t="shared" si="19"/>
        <v>5.0540001228724902</v>
      </c>
      <c r="U90" s="12">
        <f t="shared" si="20"/>
        <v>1043496317</v>
      </c>
      <c r="V90" s="4">
        <f t="shared" si="29"/>
        <v>5.029603292730763</v>
      </c>
      <c r="W90" s="3">
        <f t="shared" si="30"/>
        <v>5.0729929665586502</v>
      </c>
      <c r="X90" s="12">
        <f t="shared" si="31"/>
        <v>309314330.39999998</v>
      </c>
      <c r="Y90" s="3">
        <f t="shared" si="21"/>
        <v>5.1393247315326196</v>
      </c>
      <c r="Z90" s="12">
        <f t="shared" si="22"/>
        <v>287228657</v>
      </c>
      <c r="AA90" s="4">
        <f t="shared" si="32"/>
        <v>5.1049309562296914</v>
      </c>
      <c r="AB90" s="13">
        <f t="shared" si="33"/>
        <v>-7.5327663498928388</v>
      </c>
      <c r="AO90" s="15">
        <v>200905</v>
      </c>
      <c r="AP90">
        <v>4.8240643378824704</v>
      </c>
      <c r="AQ90">
        <v>1260440821.76</v>
      </c>
      <c r="AS90" s="15">
        <v>199309</v>
      </c>
      <c r="AT90">
        <v>7.2435826330647899</v>
      </c>
      <c r="AU90">
        <v>11249014.390000001</v>
      </c>
      <c r="AW90" s="15">
        <v>201101</v>
      </c>
      <c r="AX90">
        <v>4.5508085699510801</v>
      </c>
      <c r="AY90">
        <v>2200224857</v>
      </c>
      <c r="BA90" s="15">
        <v>199405</v>
      </c>
      <c r="BB90">
        <v>7.6946961367082096</v>
      </c>
      <c r="BC90">
        <v>6483590</v>
      </c>
      <c r="BE90" s="15">
        <v>201108</v>
      </c>
      <c r="BF90" s="1">
        <f t="shared" si="34"/>
        <v>40544</v>
      </c>
      <c r="BG90" s="3">
        <f t="shared" si="35"/>
        <v>4.7095702458435804</v>
      </c>
      <c r="BH90" s="12">
        <f t="shared" si="36"/>
        <v>1479521819.6500001</v>
      </c>
      <c r="BI90" s="3">
        <f t="shared" si="23"/>
        <v>4.72765593082483</v>
      </c>
      <c r="BJ90" s="12">
        <f t="shared" si="24"/>
        <v>1293685974</v>
      </c>
      <c r="BK90" s="4">
        <f t="shared" si="37"/>
        <v>4.718007117052438</v>
      </c>
      <c r="BL90" s="3">
        <f t="shared" si="38"/>
        <v>4.7723356780295196</v>
      </c>
      <c r="BM90" s="12">
        <f t="shared" si="39"/>
        <v>9118382199.3299999</v>
      </c>
      <c r="BN90" s="3">
        <f t="shared" si="25"/>
        <v>4.6954348529174403</v>
      </c>
      <c r="BO90" s="12">
        <f t="shared" si="26"/>
        <v>8621438405</v>
      </c>
      <c r="BP90" s="4">
        <f t="shared" si="40"/>
        <v>4.7349623729784156</v>
      </c>
      <c r="BQ90" s="13">
        <f t="shared" si="41"/>
        <v>-1.6955255925977575</v>
      </c>
    </row>
    <row r="91" spans="1:69" x14ac:dyDescent="0.25">
      <c r="A91" s="1">
        <v>40391</v>
      </c>
      <c r="B91">
        <v>4.8705253836584301</v>
      </c>
      <c r="C91">
        <v>1171078779.1500001</v>
      </c>
      <c r="E91" s="1">
        <v>40391</v>
      </c>
      <c r="F91">
        <v>4.9348818375017398</v>
      </c>
      <c r="G91">
        <v>351523769.93000001</v>
      </c>
      <c r="I91" s="1">
        <v>41365</v>
      </c>
      <c r="J91">
        <v>3.73357757354322</v>
      </c>
      <c r="K91">
        <v>1406909862</v>
      </c>
      <c r="M91" s="1">
        <v>41365</v>
      </c>
      <c r="N91">
        <v>3.8492167967153001</v>
      </c>
      <c r="O91">
        <v>435434397</v>
      </c>
      <c r="Q91" s="1">
        <v>40391</v>
      </c>
      <c r="R91" s="3">
        <f t="shared" si="27"/>
        <v>4.8705253836584301</v>
      </c>
      <c r="S91" s="12">
        <f t="shared" si="28"/>
        <v>1171078779.1500001</v>
      </c>
      <c r="T91" s="3">
        <f t="shared" si="19"/>
        <v>4.9348957791122201</v>
      </c>
      <c r="U91" s="12">
        <f t="shared" si="20"/>
        <v>812252916</v>
      </c>
      <c r="V91" s="4">
        <f t="shared" si="29"/>
        <v>4.8968876111866191</v>
      </c>
      <c r="W91" s="3">
        <f t="shared" si="30"/>
        <v>4.9348818375017398</v>
      </c>
      <c r="X91" s="12">
        <f t="shared" si="31"/>
        <v>351523769.93000001</v>
      </c>
      <c r="Y91" s="3">
        <f t="shared" si="21"/>
        <v>5.0694472559555903</v>
      </c>
      <c r="Z91" s="12">
        <f t="shared" si="22"/>
        <v>218589447</v>
      </c>
      <c r="AA91" s="4">
        <f t="shared" si="32"/>
        <v>4.9864761165530913</v>
      </c>
      <c r="AB91" s="13">
        <f t="shared" si="33"/>
        <v>-8.9588505366472226</v>
      </c>
      <c r="AO91" s="15">
        <v>200906</v>
      </c>
      <c r="AP91">
        <v>4.8054599807888199</v>
      </c>
      <c r="AQ91">
        <v>1873106974.4200001</v>
      </c>
      <c r="AS91" s="15">
        <v>199310</v>
      </c>
      <c r="AT91">
        <v>7.0899391863755001</v>
      </c>
      <c r="AU91">
        <v>20908161.789999999</v>
      </c>
      <c r="AW91" s="15">
        <v>201102</v>
      </c>
      <c r="AX91">
        <v>4.75199561870346</v>
      </c>
      <c r="AY91">
        <v>1596573055</v>
      </c>
      <c r="BA91" s="15">
        <v>199406</v>
      </c>
      <c r="BB91">
        <v>8.0962547429550202</v>
      </c>
      <c r="BC91">
        <v>4441324</v>
      </c>
      <c r="BE91" s="15">
        <v>201109</v>
      </c>
      <c r="BF91" s="1">
        <f t="shared" si="34"/>
        <v>40575</v>
      </c>
      <c r="BG91" s="3">
        <f t="shared" si="35"/>
        <v>4.5687263016276898</v>
      </c>
      <c r="BH91" s="12">
        <f t="shared" si="36"/>
        <v>2129627056.4300001</v>
      </c>
      <c r="BI91" s="3">
        <f t="shared" si="23"/>
        <v>4.5722410079223801</v>
      </c>
      <c r="BJ91" s="12">
        <f t="shared" si="24"/>
        <v>1417433745</v>
      </c>
      <c r="BK91" s="4">
        <f t="shared" si="37"/>
        <v>4.5701308062541255</v>
      </c>
      <c r="BL91" s="3">
        <f t="shared" si="38"/>
        <v>4.6625084857894104</v>
      </c>
      <c r="BM91" s="12">
        <f t="shared" si="39"/>
        <v>10926972211</v>
      </c>
      <c r="BN91" s="3">
        <f t="shared" si="25"/>
        <v>4.5818597853794198</v>
      </c>
      <c r="BO91" s="12">
        <f t="shared" si="26"/>
        <v>9102835359</v>
      </c>
      <c r="BP91" s="4">
        <f t="shared" si="40"/>
        <v>4.6258565190052154</v>
      </c>
      <c r="BQ91" s="13">
        <f t="shared" si="41"/>
        <v>-5.5725712751089951</v>
      </c>
    </row>
    <row r="92" spans="1:69" x14ac:dyDescent="0.25">
      <c r="A92" s="1">
        <v>40422</v>
      </c>
      <c r="B92">
        <v>4.7275417922148497</v>
      </c>
      <c r="C92">
        <v>1938889306.96</v>
      </c>
      <c r="E92" s="1">
        <v>40422</v>
      </c>
      <c r="F92">
        <v>4.81392687251354</v>
      </c>
      <c r="G92">
        <v>520048275.48000002</v>
      </c>
      <c r="I92" s="1">
        <v>41395</v>
      </c>
      <c r="J92">
        <v>3.7613040262216999</v>
      </c>
      <c r="K92">
        <v>1398983889</v>
      </c>
      <c r="M92" s="1">
        <v>41395</v>
      </c>
      <c r="N92">
        <v>3.8755758057240701</v>
      </c>
      <c r="O92">
        <v>467749117</v>
      </c>
      <c r="Q92" s="1">
        <v>40422</v>
      </c>
      <c r="R92" s="3">
        <f t="shared" si="27"/>
        <v>4.7275417922148497</v>
      </c>
      <c r="S92" s="12">
        <f t="shared" si="28"/>
        <v>1938889306.96</v>
      </c>
      <c r="T92" s="3">
        <f t="shared" si="19"/>
        <v>4.8054423198684102</v>
      </c>
      <c r="U92" s="12">
        <f t="shared" si="20"/>
        <v>1155903457</v>
      </c>
      <c r="V92" s="4">
        <f t="shared" si="29"/>
        <v>4.7566375980036852</v>
      </c>
      <c r="W92" s="3">
        <f t="shared" si="30"/>
        <v>4.81392687251354</v>
      </c>
      <c r="X92" s="12">
        <f t="shared" si="31"/>
        <v>520048275.48000002</v>
      </c>
      <c r="Y92" s="3">
        <f t="shared" si="21"/>
        <v>4.9435883776043896</v>
      </c>
      <c r="Z92" s="12">
        <f t="shared" si="22"/>
        <v>301400255</v>
      </c>
      <c r="AA92" s="4">
        <f t="shared" si="32"/>
        <v>4.8615013817469181</v>
      </c>
      <c r="AB92" s="13">
        <f t="shared" si="33"/>
        <v>-10.486378374323291</v>
      </c>
      <c r="AO92" s="15">
        <v>200907</v>
      </c>
      <c r="AP92">
        <v>4.8567507026868899</v>
      </c>
      <c r="AQ92">
        <v>2004787510.22</v>
      </c>
      <c r="AS92" s="15">
        <v>199311</v>
      </c>
      <c r="AT92">
        <v>7.06629922018183</v>
      </c>
      <c r="AU92">
        <v>22027718.550000001</v>
      </c>
      <c r="AW92" s="15">
        <v>201103</v>
      </c>
      <c r="AX92">
        <v>4.9343295922125598</v>
      </c>
      <c r="AY92">
        <v>953883311</v>
      </c>
      <c r="BA92" s="15">
        <v>199407</v>
      </c>
      <c r="BB92">
        <v>8.2466980806635295</v>
      </c>
      <c r="BC92">
        <v>3751088</v>
      </c>
      <c r="BE92" s="15">
        <v>201110</v>
      </c>
      <c r="BF92" s="1">
        <f t="shared" si="34"/>
        <v>40603</v>
      </c>
      <c r="BG92" s="3">
        <f t="shared" si="35"/>
        <v>4.4036783302696803</v>
      </c>
      <c r="BH92" s="12">
        <f t="shared" si="36"/>
        <v>5084788662.7700005</v>
      </c>
      <c r="BI92" s="3">
        <f t="shared" si="23"/>
        <v>4.3858501406547603</v>
      </c>
      <c r="BJ92" s="12">
        <f t="shared" si="24"/>
        <v>2757307296</v>
      </c>
      <c r="BK92" s="4">
        <f t="shared" si="37"/>
        <v>4.3974098788814118</v>
      </c>
      <c r="BL92" s="3">
        <f t="shared" si="38"/>
        <v>4.4122799865839903</v>
      </c>
      <c r="BM92" s="12">
        <f t="shared" si="39"/>
        <v>14192988384.9</v>
      </c>
      <c r="BN92" s="3">
        <f t="shared" si="25"/>
        <v>4.3126639684871098</v>
      </c>
      <c r="BO92" s="12">
        <f t="shared" si="26"/>
        <v>11827731646</v>
      </c>
      <c r="BP92" s="4">
        <f t="shared" si="40"/>
        <v>4.3669994744269927</v>
      </c>
      <c r="BQ92" s="13">
        <f t="shared" si="41"/>
        <v>3.0410404454419115</v>
      </c>
    </row>
    <row r="93" spans="1:69" x14ac:dyDescent="0.25">
      <c r="A93" s="1">
        <v>40452</v>
      </c>
      <c r="B93">
        <v>4.6129410490974001</v>
      </c>
      <c r="C93">
        <v>2117411063.3</v>
      </c>
      <c r="E93" s="1">
        <v>40452</v>
      </c>
      <c r="F93">
        <v>4.7180727476810196</v>
      </c>
      <c r="G93">
        <v>553772928.48000002</v>
      </c>
      <c r="I93" s="1">
        <v>41426</v>
      </c>
      <c r="J93">
        <v>3.7173294637179701</v>
      </c>
      <c r="K93">
        <v>1626943702</v>
      </c>
      <c r="M93" s="1">
        <v>41426</v>
      </c>
      <c r="N93">
        <v>3.8567514481113601</v>
      </c>
      <c r="O93">
        <v>505292286</v>
      </c>
      <c r="Q93" s="1">
        <v>40452</v>
      </c>
      <c r="R93" s="3">
        <f t="shared" si="27"/>
        <v>4.6129410490974001</v>
      </c>
      <c r="S93" s="12">
        <f t="shared" si="28"/>
        <v>2117411063.3</v>
      </c>
      <c r="T93" s="3">
        <f t="shared" si="19"/>
        <v>4.7290619626136996</v>
      </c>
      <c r="U93" s="12">
        <f t="shared" si="20"/>
        <v>916159271</v>
      </c>
      <c r="V93" s="4">
        <f t="shared" si="29"/>
        <v>4.6480103699804758</v>
      </c>
      <c r="W93" s="3">
        <f t="shared" si="30"/>
        <v>4.7180727476810196</v>
      </c>
      <c r="X93" s="12">
        <f t="shared" si="31"/>
        <v>553772928.48000002</v>
      </c>
      <c r="Y93" s="3">
        <f t="shared" si="21"/>
        <v>4.8058011992192702</v>
      </c>
      <c r="Z93" s="12">
        <f t="shared" si="22"/>
        <v>253820804</v>
      </c>
      <c r="AA93" s="4">
        <f t="shared" si="32"/>
        <v>4.7456451584211745</v>
      </c>
      <c r="AB93" s="13">
        <f t="shared" si="33"/>
        <v>-9.7634788440698728</v>
      </c>
      <c r="AO93" s="15">
        <v>200908</v>
      </c>
      <c r="AP93">
        <v>4.9873158786001799</v>
      </c>
      <c r="AQ93">
        <v>1636067385.1800001</v>
      </c>
      <c r="AS93" s="15">
        <v>199312</v>
      </c>
      <c r="AT93">
        <v>7.0784436298295104</v>
      </c>
      <c r="AU93">
        <v>22899454.690000001</v>
      </c>
      <c r="AW93" s="15">
        <v>201104</v>
      </c>
      <c r="AX93">
        <v>5.0300174024287303</v>
      </c>
      <c r="AY93">
        <v>1165892147</v>
      </c>
      <c r="BA93" s="15">
        <v>199408</v>
      </c>
      <c r="BB93">
        <v>8.2841942752140003</v>
      </c>
      <c r="BC93">
        <v>2261709</v>
      </c>
      <c r="BE93" s="15">
        <v>201111</v>
      </c>
      <c r="BF93" s="1">
        <f t="shared" si="34"/>
        <v>40634</v>
      </c>
      <c r="BG93" s="3">
        <f t="shared" si="35"/>
        <v>4.2872771684008404</v>
      </c>
      <c r="BH93" s="12">
        <f t="shared" si="36"/>
        <v>2530028291.8699999</v>
      </c>
      <c r="BI93" s="3">
        <f t="shared" si="23"/>
        <v>4.2795145549446998</v>
      </c>
      <c r="BJ93" s="12">
        <f t="shared" si="24"/>
        <v>1371192121</v>
      </c>
      <c r="BK93" s="4">
        <f t="shared" si="37"/>
        <v>4.284548782592565</v>
      </c>
      <c r="BL93" s="3">
        <f t="shared" si="38"/>
        <v>4.2517406025350901</v>
      </c>
      <c r="BM93" s="12">
        <f t="shared" si="39"/>
        <v>21152277015.110001</v>
      </c>
      <c r="BN93" s="3">
        <f t="shared" si="25"/>
        <v>4.1778874606567502</v>
      </c>
      <c r="BO93" s="12">
        <f t="shared" si="26"/>
        <v>10364608299</v>
      </c>
      <c r="BP93" s="4">
        <f t="shared" si="40"/>
        <v>4.227453339387397</v>
      </c>
      <c r="BQ93" s="13">
        <f t="shared" si="41"/>
        <v>5.7095443205168017</v>
      </c>
    </row>
    <row r="94" spans="1:69" x14ac:dyDescent="0.25">
      <c r="A94" s="1">
        <v>40483</v>
      </c>
      <c r="B94">
        <v>4.5436764130149996</v>
      </c>
      <c r="C94">
        <v>2378855750.2800002</v>
      </c>
      <c r="E94" s="1">
        <v>40483</v>
      </c>
      <c r="F94">
        <v>4.6260069324564697</v>
      </c>
      <c r="G94">
        <v>596461464.30999994</v>
      </c>
      <c r="I94" s="1">
        <v>41456</v>
      </c>
      <c r="J94">
        <v>3.7501655405750398</v>
      </c>
      <c r="K94">
        <v>1504802517</v>
      </c>
      <c r="M94" s="1">
        <v>41456</v>
      </c>
      <c r="N94">
        <v>3.9074154519006399</v>
      </c>
      <c r="O94">
        <v>500173071</v>
      </c>
      <c r="Q94" s="1">
        <v>40483</v>
      </c>
      <c r="R94" s="3">
        <f t="shared" si="27"/>
        <v>4.5436764130149996</v>
      </c>
      <c r="S94" s="12">
        <f t="shared" si="28"/>
        <v>2378855750.2800002</v>
      </c>
      <c r="T94" s="3">
        <f t="shared" si="19"/>
        <v>4.5382049958257404</v>
      </c>
      <c r="U94" s="12">
        <f t="shared" si="20"/>
        <v>1105890094</v>
      </c>
      <c r="V94" s="4">
        <f t="shared" si="29"/>
        <v>4.5419400493488586</v>
      </c>
      <c r="W94" s="3">
        <f t="shared" si="30"/>
        <v>4.6260069324564697</v>
      </c>
      <c r="X94" s="12">
        <f t="shared" si="31"/>
        <v>596461464.30999994</v>
      </c>
      <c r="Y94" s="3">
        <f t="shared" si="21"/>
        <v>4.6222352683995398</v>
      </c>
      <c r="Z94" s="12">
        <f t="shared" si="22"/>
        <v>231400265</v>
      </c>
      <c r="AA94" s="4">
        <f t="shared" si="32"/>
        <v>4.6249526935281988</v>
      </c>
      <c r="AB94" s="13">
        <f t="shared" si="33"/>
        <v>-8.3012644179340178</v>
      </c>
      <c r="AO94" s="15">
        <v>200909</v>
      </c>
      <c r="AP94">
        <v>5.0799798950538904</v>
      </c>
      <c r="AQ94">
        <v>1224043607.2</v>
      </c>
      <c r="AS94" s="15">
        <v>199401</v>
      </c>
      <c r="AT94">
        <v>7.1790666903723102</v>
      </c>
      <c r="AU94">
        <v>20744167.289999999</v>
      </c>
      <c r="AW94" s="15">
        <v>201105</v>
      </c>
      <c r="AX94">
        <v>5.0304990878230997</v>
      </c>
      <c r="AY94">
        <v>1197224471</v>
      </c>
      <c r="BA94" s="15">
        <v>199409</v>
      </c>
      <c r="BB94">
        <v>8.1438584439233797</v>
      </c>
      <c r="BC94">
        <v>2042830</v>
      </c>
      <c r="BE94" s="15">
        <v>201112</v>
      </c>
      <c r="BF94" s="1">
        <f t="shared" si="34"/>
        <v>40664</v>
      </c>
      <c r="BG94" s="3">
        <f t="shared" si="35"/>
        <v>4.25353438385216</v>
      </c>
      <c r="BH94" s="12">
        <f t="shared" si="36"/>
        <v>2696155855.0500002</v>
      </c>
      <c r="BI94" s="3">
        <f t="shared" si="23"/>
        <v>4.2586104249021099</v>
      </c>
      <c r="BJ94" s="12">
        <f t="shared" si="24"/>
        <v>1650558846</v>
      </c>
      <c r="BK94" s="4">
        <f t="shared" si="37"/>
        <v>4.2554618865832756</v>
      </c>
      <c r="BL94" s="3">
        <f t="shared" si="38"/>
        <v>4.2119519887329897</v>
      </c>
      <c r="BM94" s="12">
        <f t="shared" si="39"/>
        <v>23240013372.52</v>
      </c>
      <c r="BN94" s="3">
        <f t="shared" si="25"/>
        <v>4.1477937780428196</v>
      </c>
      <c r="BO94" s="12">
        <f t="shared" si="26"/>
        <v>10644327753</v>
      </c>
      <c r="BP94" s="4">
        <f t="shared" si="40"/>
        <v>4.1917975161964751</v>
      </c>
      <c r="BQ94" s="13">
        <f t="shared" si="41"/>
        <v>6.3664370386800506</v>
      </c>
    </row>
    <row r="95" spans="1:69" x14ac:dyDescent="0.25">
      <c r="A95" s="1">
        <v>40513</v>
      </c>
      <c r="B95">
        <v>4.4613657135271003</v>
      </c>
      <c r="C95">
        <v>3187613346.4299998</v>
      </c>
      <c r="E95" s="1">
        <v>40513</v>
      </c>
      <c r="F95">
        <v>4.5391458951171701</v>
      </c>
      <c r="G95">
        <v>804200233.09000003</v>
      </c>
      <c r="I95" s="1">
        <v>41487</v>
      </c>
      <c r="J95">
        <v>3.9373877410215501</v>
      </c>
      <c r="K95">
        <v>1276360626</v>
      </c>
      <c r="M95" s="1">
        <v>41487</v>
      </c>
      <c r="N95">
        <v>4.0877022672058203</v>
      </c>
      <c r="O95">
        <v>499911736</v>
      </c>
      <c r="Q95" s="1">
        <v>40513</v>
      </c>
      <c r="R95" s="3">
        <f t="shared" si="27"/>
        <v>4.4613657135271003</v>
      </c>
      <c r="S95" s="12">
        <f t="shared" si="28"/>
        <v>3187613346.4299998</v>
      </c>
      <c r="T95" s="3">
        <f t="shared" si="19"/>
        <v>4.5344208095926302</v>
      </c>
      <c r="U95" s="12">
        <f t="shared" si="20"/>
        <v>1673045523</v>
      </c>
      <c r="V95" s="4">
        <f t="shared" si="29"/>
        <v>4.4865113788963518</v>
      </c>
      <c r="W95" s="3">
        <f t="shared" si="30"/>
        <v>4.5391458951171701</v>
      </c>
      <c r="X95" s="12">
        <f t="shared" si="31"/>
        <v>804200233.09000003</v>
      </c>
      <c r="Y95" s="3">
        <f t="shared" si="21"/>
        <v>4.7163114048936299</v>
      </c>
      <c r="Z95" s="12">
        <f t="shared" si="22"/>
        <v>495357649</v>
      </c>
      <c r="AA95" s="4">
        <f t="shared" si="32"/>
        <v>4.6066767774397137</v>
      </c>
      <c r="AB95" s="13">
        <f t="shared" si="33"/>
        <v>-12.016539854336195</v>
      </c>
      <c r="AO95" s="15">
        <v>200910</v>
      </c>
      <c r="AP95">
        <v>5.1418359996830301</v>
      </c>
      <c r="AQ95">
        <v>935117886.71000004</v>
      </c>
      <c r="AS95" s="15">
        <v>199402</v>
      </c>
      <c r="AT95">
        <v>7.3268580142432302</v>
      </c>
      <c r="AU95">
        <v>15087909.23</v>
      </c>
      <c r="AW95" s="15">
        <v>201106</v>
      </c>
      <c r="AX95">
        <v>4.9615586002805596</v>
      </c>
      <c r="AY95">
        <v>1161974377</v>
      </c>
      <c r="BA95" s="15">
        <v>199410</v>
      </c>
      <c r="BB95">
        <v>8.3534734001155204</v>
      </c>
      <c r="BC95">
        <v>2292228</v>
      </c>
      <c r="BE95" s="15">
        <v>201201</v>
      </c>
      <c r="BF95" s="1">
        <f t="shared" si="34"/>
        <v>40695</v>
      </c>
      <c r="BG95" s="3">
        <f t="shared" si="35"/>
        <v>4.2547284145506801</v>
      </c>
      <c r="BH95" s="12">
        <f t="shared" si="36"/>
        <v>2827504738.4699998</v>
      </c>
      <c r="BI95" s="3">
        <f t="shared" si="23"/>
        <v>4.2418970203814403</v>
      </c>
      <c r="BJ95" s="12">
        <f t="shared" si="24"/>
        <v>1816656797</v>
      </c>
      <c r="BK95" s="4">
        <f t="shared" si="37"/>
        <v>4.2497091577366142</v>
      </c>
      <c r="BL95" s="3">
        <f t="shared" si="38"/>
        <v>4.2069862007210999</v>
      </c>
      <c r="BM95" s="12">
        <f t="shared" si="39"/>
        <v>22950670921.849998</v>
      </c>
      <c r="BN95" s="3">
        <f t="shared" si="25"/>
        <v>4.1387571398429097</v>
      </c>
      <c r="BO95" s="12">
        <f t="shared" si="26"/>
        <v>12437559447</v>
      </c>
      <c r="BP95" s="4">
        <f t="shared" si="40"/>
        <v>4.1830063918456482</v>
      </c>
      <c r="BQ95" s="13">
        <f t="shared" si="41"/>
        <v>6.670276589096602</v>
      </c>
    </row>
    <row r="96" spans="1:69" x14ac:dyDescent="0.25">
      <c r="A96" s="1">
        <v>40544</v>
      </c>
      <c r="B96">
        <v>4.44365202771165</v>
      </c>
      <c r="C96">
        <v>2841440355.6399999</v>
      </c>
      <c r="E96" s="1">
        <v>40544</v>
      </c>
      <c r="F96">
        <v>4.5358489899026404</v>
      </c>
      <c r="G96">
        <v>720016644.07000005</v>
      </c>
      <c r="I96" s="1">
        <v>41518</v>
      </c>
      <c r="J96">
        <v>4.3593780671516997</v>
      </c>
      <c r="K96">
        <v>808096685</v>
      </c>
      <c r="M96" s="1">
        <v>41518</v>
      </c>
      <c r="N96">
        <v>4.4930912738587097</v>
      </c>
      <c r="O96">
        <v>413868018</v>
      </c>
      <c r="Q96" s="1">
        <v>40544</v>
      </c>
      <c r="R96" s="3">
        <f t="shared" si="27"/>
        <v>4.44365202771165</v>
      </c>
      <c r="S96" s="12">
        <f t="shared" si="28"/>
        <v>2841440355.6399999</v>
      </c>
      <c r="T96" s="3">
        <f t="shared" si="19"/>
        <v>4.5037321027812496</v>
      </c>
      <c r="U96" s="12">
        <f t="shared" si="20"/>
        <v>1299781915</v>
      </c>
      <c r="V96" s="4">
        <f t="shared" si="29"/>
        <v>4.4625090196632646</v>
      </c>
      <c r="W96" s="3">
        <f t="shared" si="30"/>
        <v>4.5358489899026404</v>
      </c>
      <c r="X96" s="12">
        <f t="shared" si="31"/>
        <v>720016644.07000005</v>
      </c>
      <c r="Y96" s="3">
        <f t="shared" si="21"/>
        <v>4.6305084811829396</v>
      </c>
      <c r="Z96" s="12">
        <f t="shared" si="22"/>
        <v>308778860</v>
      </c>
      <c r="AA96" s="4">
        <f t="shared" si="32"/>
        <v>4.5642597378987952</v>
      </c>
      <c r="AB96" s="13">
        <f t="shared" si="33"/>
        <v>-10.175071823553061</v>
      </c>
      <c r="AO96" s="15">
        <v>200911</v>
      </c>
      <c r="AP96">
        <v>5.0830529755151304</v>
      </c>
      <c r="AQ96">
        <v>1025942266.38</v>
      </c>
      <c r="AS96" s="15">
        <v>199403</v>
      </c>
      <c r="AT96">
        <v>7.2824173802487797</v>
      </c>
      <c r="AU96">
        <v>12812626.029999999</v>
      </c>
      <c r="AW96" s="15">
        <v>201107</v>
      </c>
      <c r="AX96">
        <v>4.7895337922387604</v>
      </c>
      <c r="AY96">
        <v>1511550651</v>
      </c>
      <c r="BA96" s="15">
        <v>199411</v>
      </c>
      <c r="BB96">
        <v>8.7619724686038101</v>
      </c>
      <c r="BC96">
        <v>1192820</v>
      </c>
      <c r="BE96" s="15">
        <v>201202</v>
      </c>
      <c r="BF96" s="1">
        <f t="shared" si="34"/>
        <v>40725</v>
      </c>
      <c r="BG96" s="3">
        <f t="shared" si="35"/>
        <v>4.17613306355479</v>
      </c>
      <c r="BH96" s="12">
        <f t="shared" si="36"/>
        <v>3172675531.3899999</v>
      </c>
      <c r="BI96" s="3">
        <f t="shared" si="23"/>
        <v>4.1439705165296097</v>
      </c>
      <c r="BJ96" s="12">
        <f t="shared" si="24"/>
        <v>1518110026</v>
      </c>
      <c r="BK96" s="4">
        <f t="shared" si="37"/>
        <v>4.1657240852497175</v>
      </c>
      <c r="BL96" s="3">
        <f t="shared" si="38"/>
        <v>4.1342699536788201</v>
      </c>
      <c r="BM96" s="12">
        <f t="shared" si="39"/>
        <v>23815237428.939999</v>
      </c>
      <c r="BN96" s="3">
        <f t="shared" si="25"/>
        <v>4.07794924758924</v>
      </c>
      <c r="BO96" s="12">
        <f t="shared" si="26"/>
        <v>9562467631</v>
      </c>
      <c r="BP96" s="4">
        <f t="shared" si="40"/>
        <v>4.1181344845694401</v>
      </c>
      <c r="BQ96" s="13">
        <f t="shared" si="41"/>
        <v>4.75896006802774</v>
      </c>
    </row>
    <row r="97" spans="1:69" x14ac:dyDescent="0.25">
      <c r="A97" s="1">
        <v>40575</v>
      </c>
      <c r="B97">
        <v>4.5020306157323002</v>
      </c>
      <c r="C97">
        <v>1950084978.76</v>
      </c>
      <c r="E97" s="1">
        <v>40575</v>
      </c>
      <c r="F97">
        <v>4.5946932109774696</v>
      </c>
      <c r="G97">
        <v>523211144.02999997</v>
      </c>
      <c r="I97" s="1">
        <v>41548</v>
      </c>
      <c r="J97">
        <v>4.4147212914983802</v>
      </c>
      <c r="K97">
        <v>687429712</v>
      </c>
      <c r="M97" s="1">
        <v>41548</v>
      </c>
      <c r="N97">
        <v>4.63066568310854</v>
      </c>
      <c r="O97">
        <v>324130990</v>
      </c>
      <c r="Q97" s="1">
        <v>40575</v>
      </c>
      <c r="R97" s="3">
        <f t="shared" si="27"/>
        <v>4.5020306157323002</v>
      </c>
      <c r="S97" s="12">
        <f t="shared" si="28"/>
        <v>1950084978.76</v>
      </c>
      <c r="T97" s="3">
        <f t="shared" si="19"/>
        <v>4.6295559241816999</v>
      </c>
      <c r="U97" s="12">
        <f t="shared" si="20"/>
        <v>2024490713</v>
      </c>
      <c r="V97" s="4">
        <f t="shared" si="29"/>
        <v>4.5669869337522364</v>
      </c>
      <c r="W97" s="3">
        <f t="shared" si="30"/>
        <v>4.5946932109774696</v>
      </c>
      <c r="X97" s="12">
        <f t="shared" si="31"/>
        <v>523211144.02999997</v>
      </c>
      <c r="Y97" s="3">
        <f t="shared" si="21"/>
        <v>4.7541841083936198</v>
      </c>
      <c r="Z97" s="12">
        <f t="shared" si="22"/>
        <v>549755147</v>
      </c>
      <c r="AA97" s="4">
        <f t="shared" si="32"/>
        <v>4.6764114741579546</v>
      </c>
      <c r="AB97" s="13">
        <f t="shared" si="33"/>
        <v>-10.942454040571814</v>
      </c>
      <c r="AO97" s="15">
        <v>200912</v>
      </c>
      <c r="AP97">
        <v>5.0549290163571197</v>
      </c>
      <c r="AQ97">
        <v>1137623495.74</v>
      </c>
      <c r="AS97" s="15">
        <v>199404</v>
      </c>
      <c r="AT97">
        <v>7.3610995177914802</v>
      </c>
      <c r="AU97">
        <v>11904700.68</v>
      </c>
      <c r="AW97" s="15">
        <v>201108</v>
      </c>
      <c r="AX97">
        <v>4.72765593082483</v>
      </c>
      <c r="AY97">
        <v>1293685974</v>
      </c>
      <c r="BA97" s="15">
        <v>199412</v>
      </c>
      <c r="BB97">
        <v>8.4853999386366894</v>
      </c>
      <c r="BC97">
        <v>1072302</v>
      </c>
      <c r="BE97" s="15">
        <v>201203</v>
      </c>
      <c r="BF97" s="1">
        <f t="shared" si="34"/>
        <v>40756</v>
      </c>
      <c r="BG97" s="3">
        <f t="shared" si="35"/>
        <v>4.1128968399599799</v>
      </c>
      <c r="BH97" s="12">
        <f t="shared" si="36"/>
        <v>3856539658.7199998</v>
      </c>
      <c r="BI97" s="3">
        <f t="shared" si="23"/>
        <v>4.0635431336771797</v>
      </c>
      <c r="BJ97" s="12">
        <f t="shared" si="24"/>
        <v>1743246134</v>
      </c>
      <c r="BK97" s="4">
        <f t="shared" si="37"/>
        <v>4.0975327419639616</v>
      </c>
      <c r="BL97" s="3">
        <f t="shared" si="38"/>
        <v>4.0687074217230501</v>
      </c>
      <c r="BM97" s="12">
        <f t="shared" si="39"/>
        <v>28017518141.330002</v>
      </c>
      <c r="BN97" s="3">
        <f t="shared" si="25"/>
        <v>4.0126530152386204</v>
      </c>
      <c r="BO97" s="12">
        <f t="shared" si="26"/>
        <v>9261330092</v>
      </c>
      <c r="BP97" s="4">
        <f t="shared" si="40"/>
        <v>4.0547816062495095</v>
      </c>
      <c r="BQ97" s="13">
        <f t="shared" si="41"/>
        <v>4.2751135714452104</v>
      </c>
    </row>
    <row r="98" spans="1:69" x14ac:dyDescent="0.25">
      <c r="A98" s="1">
        <v>40603</v>
      </c>
      <c r="B98">
        <v>4.6709394992293296</v>
      </c>
      <c r="C98">
        <v>1447460006.02</v>
      </c>
      <c r="E98" s="1">
        <v>40603</v>
      </c>
      <c r="F98">
        <v>4.7976165715501002</v>
      </c>
      <c r="G98">
        <v>461436928.29000002</v>
      </c>
      <c r="I98" s="1">
        <v>41579</v>
      </c>
      <c r="J98">
        <v>4.5732787235796701</v>
      </c>
      <c r="K98">
        <v>665825594</v>
      </c>
      <c r="M98" s="1">
        <v>41579</v>
      </c>
      <c r="N98">
        <v>4.7296970462135404</v>
      </c>
      <c r="O98">
        <v>335637330</v>
      </c>
      <c r="Q98" s="1">
        <v>40603</v>
      </c>
      <c r="R98" s="3">
        <f t="shared" si="27"/>
        <v>4.6709394992293296</v>
      </c>
      <c r="S98" s="12">
        <f t="shared" si="28"/>
        <v>1447460006.02</v>
      </c>
      <c r="T98" s="3">
        <f t="shared" si="19"/>
        <v>4.7801000578627004</v>
      </c>
      <c r="U98" s="12">
        <f t="shared" si="20"/>
        <v>781505050</v>
      </c>
      <c r="V98" s="4">
        <f t="shared" si="29"/>
        <v>4.7092126554649534</v>
      </c>
      <c r="W98" s="3">
        <f t="shared" si="30"/>
        <v>4.7976165715501002</v>
      </c>
      <c r="X98" s="12">
        <f t="shared" si="31"/>
        <v>461436928.29000002</v>
      </c>
      <c r="Y98" s="3">
        <f t="shared" si="21"/>
        <v>4.8403940242330998</v>
      </c>
      <c r="Z98" s="12">
        <f t="shared" si="22"/>
        <v>239664536</v>
      </c>
      <c r="AA98" s="4">
        <f t="shared" si="32"/>
        <v>4.8122396166736978</v>
      </c>
      <c r="AB98" s="13">
        <f t="shared" si="33"/>
        <v>-10.302696120874444</v>
      </c>
      <c r="AO98" s="15">
        <v>201001</v>
      </c>
      <c r="AP98">
        <v>5.0237786414505798</v>
      </c>
      <c r="AQ98">
        <v>1323044349.8099999</v>
      </c>
      <c r="AS98" s="15">
        <v>199405</v>
      </c>
      <c r="AT98">
        <v>7.5327476082847404</v>
      </c>
      <c r="AU98">
        <v>4486320</v>
      </c>
      <c r="AW98" s="15">
        <v>201109</v>
      </c>
      <c r="AX98">
        <v>4.5722410079223801</v>
      </c>
      <c r="AY98">
        <v>1417433745</v>
      </c>
      <c r="BA98" s="15">
        <v>199501</v>
      </c>
      <c r="BB98">
        <v>8.5229965064835795</v>
      </c>
      <c r="BC98">
        <v>1127231</v>
      </c>
      <c r="BE98" s="15">
        <v>201204</v>
      </c>
      <c r="BF98" s="1">
        <f t="shared" si="34"/>
        <v>40787</v>
      </c>
      <c r="BG98" s="3">
        <f t="shared" si="35"/>
        <v>4.0928997868672301</v>
      </c>
      <c r="BH98" s="12">
        <f t="shared" si="36"/>
        <v>3749272839.71</v>
      </c>
      <c r="BI98" s="3">
        <f t="shared" si="23"/>
        <v>4.05785037624337</v>
      </c>
      <c r="BJ98" s="12">
        <f t="shared" si="24"/>
        <v>1592176733</v>
      </c>
      <c r="BK98" s="4">
        <f t="shared" si="37"/>
        <v>4.0824522753179711</v>
      </c>
      <c r="BL98" s="3">
        <f t="shared" si="38"/>
        <v>4.0596152069353497</v>
      </c>
      <c r="BM98" s="12">
        <f t="shared" si="39"/>
        <v>27766173017.18</v>
      </c>
      <c r="BN98" s="3">
        <f t="shared" si="25"/>
        <v>4.0063397339885398</v>
      </c>
      <c r="BO98" s="12">
        <f t="shared" si="26"/>
        <v>9651923480</v>
      </c>
      <c r="BP98" s="4">
        <f t="shared" si="40"/>
        <v>4.0458729047772968</v>
      </c>
      <c r="BQ98" s="13">
        <f t="shared" si="41"/>
        <v>3.6579370540674283</v>
      </c>
    </row>
    <row r="99" spans="1:69" x14ac:dyDescent="0.25">
      <c r="A99" s="1">
        <v>40634</v>
      </c>
      <c r="B99">
        <v>4.8090180308123296</v>
      </c>
      <c r="C99">
        <v>708430497.14999998</v>
      </c>
      <c r="E99" s="1">
        <v>40634</v>
      </c>
      <c r="F99">
        <v>4.8894946514886604</v>
      </c>
      <c r="G99">
        <v>243342193.44</v>
      </c>
      <c r="I99" s="1">
        <v>41609</v>
      </c>
      <c r="J99">
        <v>4.4794699025000302</v>
      </c>
      <c r="K99">
        <v>891965563</v>
      </c>
      <c r="M99" s="1">
        <v>41609</v>
      </c>
      <c r="N99">
        <v>4.6288001751315901</v>
      </c>
      <c r="O99">
        <v>420007598</v>
      </c>
      <c r="Q99" s="1">
        <v>40634</v>
      </c>
      <c r="R99" s="3">
        <f t="shared" si="27"/>
        <v>4.8090180308123296</v>
      </c>
      <c r="S99" s="12">
        <f t="shared" si="28"/>
        <v>708430497.14999998</v>
      </c>
      <c r="T99" s="3">
        <f t="shared" si="19"/>
        <v>4.9289004123856799</v>
      </c>
      <c r="U99" s="12">
        <f t="shared" si="20"/>
        <v>885064680</v>
      </c>
      <c r="V99" s="4">
        <f t="shared" si="29"/>
        <v>4.875603523637368</v>
      </c>
      <c r="W99" s="3">
        <f t="shared" si="30"/>
        <v>4.8894946514886604</v>
      </c>
      <c r="X99" s="12">
        <f t="shared" si="31"/>
        <v>243342193.44</v>
      </c>
      <c r="Y99" s="3">
        <f t="shared" si="21"/>
        <v>5.0453273681375297</v>
      </c>
      <c r="Z99" s="12">
        <f t="shared" si="22"/>
        <v>292380791</v>
      </c>
      <c r="AA99" s="4">
        <f t="shared" si="32"/>
        <v>4.974543257355557</v>
      </c>
      <c r="AB99" s="13">
        <f t="shared" si="33"/>
        <v>-9.8939733718188982</v>
      </c>
      <c r="AO99" s="15">
        <v>201002</v>
      </c>
      <c r="AP99">
        <v>5.0411715491857496</v>
      </c>
      <c r="AQ99">
        <v>1017107418.61</v>
      </c>
      <c r="AS99" s="15">
        <v>199406</v>
      </c>
      <c r="AT99">
        <v>7.7652224134301298</v>
      </c>
      <c r="AU99">
        <v>2508032</v>
      </c>
      <c r="AW99" s="15">
        <v>201110</v>
      </c>
      <c r="AX99">
        <v>4.3858501406547603</v>
      </c>
      <c r="AY99">
        <v>2757307296</v>
      </c>
      <c r="BA99" s="15">
        <v>199502</v>
      </c>
      <c r="BB99">
        <v>8.2652074861898104</v>
      </c>
      <c r="BC99">
        <v>967221</v>
      </c>
      <c r="BE99" s="15">
        <v>201205</v>
      </c>
      <c r="BF99" s="1">
        <f t="shared" si="34"/>
        <v>40817</v>
      </c>
      <c r="BG99" s="3">
        <f t="shared" si="35"/>
        <v>4.1304713522381</v>
      </c>
      <c r="BH99" s="12">
        <f t="shared" si="36"/>
        <v>3099495912.0599999</v>
      </c>
      <c r="BI99" s="3">
        <f t="shared" si="23"/>
        <v>4.1223277468136503</v>
      </c>
      <c r="BJ99" s="12">
        <f t="shared" si="24"/>
        <v>1612273267</v>
      </c>
      <c r="BK99" s="4">
        <f t="shared" si="37"/>
        <v>4.1276847731796042</v>
      </c>
      <c r="BL99" s="3">
        <f t="shared" si="38"/>
        <v>4.1180022848541604</v>
      </c>
      <c r="BM99" s="12">
        <f t="shared" si="39"/>
        <v>23046328359</v>
      </c>
      <c r="BN99" s="3">
        <f t="shared" si="25"/>
        <v>4.0552767953734401</v>
      </c>
      <c r="BO99" s="12">
        <f t="shared" si="26"/>
        <v>9157328186</v>
      </c>
      <c r="BP99" s="4">
        <f t="shared" si="40"/>
        <v>4.1001658664337928</v>
      </c>
      <c r="BQ99" s="13">
        <f t="shared" si="41"/>
        <v>2.7518906745811478</v>
      </c>
    </row>
    <row r="100" spans="1:69" x14ac:dyDescent="0.25">
      <c r="A100" s="1">
        <v>40664</v>
      </c>
      <c r="B100">
        <v>4.9194633780255099</v>
      </c>
      <c r="C100">
        <v>529409891.70999998</v>
      </c>
      <c r="E100" s="1">
        <v>40664</v>
      </c>
      <c r="F100">
        <v>4.9895917387864204</v>
      </c>
      <c r="G100">
        <v>190071161.22999999</v>
      </c>
      <c r="I100" s="1">
        <v>41640</v>
      </c>
      <c r="J100">
        <v>4.4929369396430401</v>
      </c>
      <c r="K100">
        <v>673446965</v>
      </c>
      <c r="M100" s="1">
        <v>41640</v>
      </c>
      <c r="N100">
        <v>4.6508724028325297</v>
      </c>
      <c r="O100">
        <v>324385994</v>
      </c>
      <c r="Q100" s="1">
        <v>40664</v>
      </c>
      <c r="R100" s="3">
        <f t="shared" si="27"/>
        <v>4.9194633780255099</v>
      </c>
      <c r="S100" s="12">
        <f t="shared" si="28"/>
        <v>529409891.70999998</v>
      </c>
      <c r="T100" s="3">
        <f t="shared" ref="T100:T155" si="42">VLOOKUP($Q100,I:K,2,0)</f>
        <v>4.9720871297714497</v>
      </c>
      <c r="U100" s="12">
        <f t="shared" ref="U100:U155" si="43">VLOOKUP($Q100,I:K,3,0)</f>
        <v>909290139</v>
      </c>
      <c r="V100" s="4">
        <f t="shared" si="29"/>
        <v>4.9527227493457104</v>
      </c>
      <c r="W100" s="3">
        <f t="shared" si="30"/>
        <v>4.9895917387864204</v>
      </c>
      <c r="X100" s="12">
        <f t="shared" si="31"/>
        <v>190071161.22999999</v>
      </c>
      <c r="Y100" s="3">
        <f t="shared" ref="Y100:Y155" si="44">VLOOKUP($Q100,M:O,2,0)</f>
        <v>5.0553652360928103</v>
      </c>
      <c r="Z100" s="12">
        <f t="shared" ref="Z100:Z155" si="45">VLOOKUP($Q100,M:O,3,0)</f>
        <v>292093531</v>
      </c>
      <c r="AA100" s="4">
        <f t="shared" si="32"/>
        <v>5.0294370725158295</v>
      </c>
      <c r="AB100" s="13">
        <f t="shared" si="33"/>
        <v>-7.6714323170119059</v>
      </c>
      <c r="AO100" s="15">
        <v>201003</v>
      </c>
      <c r="AP100">
        <v>5.1069086637190999</v>
      </c>
      <c r="AQ100">
        <v>742442804.86000001</v>
      </c>
      <c r="AS100" s="15">
        <v>199407</v>
      </c>
      <c r="AT100">
        <v>7.6619336566622396</v>
      </c>
      <c r="AU100">
        <v>1778581</v>
      </c>
      <c r="AW100" s="15">
        <v>201111</v>
      </c>
      <c r="AX100">
        <v>4.2795145549446998</v>
      </c>
      <c r="AY100">
        <v>1371192121</v>
      </c>
      <c r="BA100" s="15">
        <v>199503</v>
      </c>
      <c r="BB100">
        <v>8.7631852622195794</v>
      </c>
      <c r="BC100">
        <v>336550</v>
      </c>
      <c r="BE100" s="15">
        <v>201206</v>
      </c>
      <c r="BF100" s="1">
        <f t="shared" si="34"/>
        <v>40848</v>
      </c>
      <c r="BG100" s="3">
        <f t="shared" si="35"/>
        <v>4.0922501763596397</v>
      </c>
      <c r="BH100" s="12">
        <f t="shared" si="36"/>
        <v>3549728037.8299999</v>
      </c>
      <c r="BI100" s="3">
        <f t="shared" ref="BI100:BI142" si="46">VLOOKUP($BE100,AW:AY,2,0)</f>
        <v>4.0600009315896397</v>
      </c>
      <c r="BJ100" s="12">
        <f t="shared" ref="BJ100:BJ142" si="47">VLOOKUP($BE100,AW:AY,3,0)</f>
        <v>1751044587</v>
      </c>
      <c r="BK100" s="4">
        <f t="shared" si="37"/>
        <v>4.0815970377539905</v>
      </c>
      <c r="BL100" s="3">
        <f t="shared" si="38"/>
        <v>4.0920001940258901</v>
      </c>
      <c r="BM100" s="12">
        <f t="shared" si="39"/>
        <v>21418665862.720001</v>
      </c>
      <c r="BN100" s="3">
        <f t="shared" ref="BN100:BN142" si="48">VLOOKUP($BE100,BA:BC,2,0)</f>
        <v>4.0188174101148499</v>
      </c>
      <c r="BO100" s="12">
        <f t="shared" ref="BO100:BO142" si="49">VLOOKUP($BE100,BA:BC,3,0)</f>
        <v>11672145137</v>
      </c>
      <c r="BP100" s="4">
        <f t="shared" si="40"/>
        <v>4.0661863789656731</v>
      </c>
      <c r="BQ100" s="13">
        <f t="shared" si="41"/>
        <v>1.5410658788317377</v>
      </c>
    </row>
    <row r="101" spans="1:69" x14ac:dyDescent="0.25">
      <c r="A101" s="1">
        <v>40695</v>
      </c>
      <c r="B101">
        <v>4.8977345631490596</v>
      </c>
      <c r="C101">
        <v>681288315.70000005</v>
      </c>
      <c r="E101" s="1">
        <v>40695</v>
      </c>
      <c r="F101">
        <v>4.9611285039496504</v>
      </c>
      <c r="G101">
        <v>212749632</v>
      </c>
      <c r="I101" s="1">
        <v>41671</v>
      </c>
      <c r="J101">
        <v>4.5707246682131197</v>
      </c>
      <c r="K101">
        <v>543870516</v>
      </c>
      <c r="M101" s="1">
        <v>41671</v>
      </c>
      <c r="N101">
        <v>4.7295354452043501</v>
      </c>
      <c r="O101">
        <v>316818148</v>
      </c>
      <c r="Q101" s="1">
        <v>40695</v>
      </c>
      <c r="R101" s="3">
        <f t="shared" si="27"/>
        <v>4.8977345631490596</v>
      </c>
      <c r="S101" s="12">
        <f t="shared" si="28"/>
        <v>681288315.70000005</v>
      </c>
      <c r="T101" s="3">
        <f t="shared" si="42"/>
        <v>4.9727531842557102</v>
      </c>
      <c r="U101" s="12">
        <f t="shared" si="43"/>
        <v>1091169746</v>
      </c>
      <c r="V101" s="4">
        <f t="shared" si="29"/>
        <v>4.94391791242374</v>
      </c>
      <c r="W101" s="3">
        <f t="shared" si="30"/>
        <v>4.9611285039496504</v>
      </c>
      <c r="X101" s="12">
        <f t="shared" si="31"/>
        <v>212749632</v>
      </c>
      <c r="Y101" s="3">
        <f t="shared" si="44"/>
        <v>5.1011423150499402</v>
      </c>
      <c r="Z101" s="12">
        <f t="shared" si="45"/>
        <v>313780686</v>
      </c>
      <c r="AA101" s="4">
        <f t="shared" si="32"/>
        <v>5.0445683899250735</v>
      </c>
      <c r="AB101" s="13">
        <f t="shared" si="33"/>
        <v>-10.065047750133349</v>
      </c>
      <c r="AO101" s="15">
        <v>201004</v>
      </c>
      <c r="AP101">
        <v>5.0969997180875097</v>
      </c>
      <c r="AQ101">
        <v>982390149.25999999</v>
      </c>
      <c r="AS101" s="15">
        <v>199408</v>
      </c>
      <c r="AT101">
        <v>7.4286397451623598</v>
      </c>
      <c r="AU101">
        <v>1954116.41</v>
      </c>
      <c r="AW101" s="15">
        <v>201112</v>
      </c>
      <c r="AX101">
        <v>4.2586104249021099</v>
      </c>
      <c r="AY101">
        <v>1650558846</v>
      </c>
      <c r="BA101" s="15">
        <v>199504</v>
      </c>
      <c r="BB101">
        <v>8.5976136008922506</v>
      </c>
      <c r="BC101">
        <v>1140484</v>
      </c>
      <c r="BE101" s="15">
        <v>201207</v>
      </c>
      <c r="BF101" s="1">
        <f t="shared" si="34"/>
        <v>40878</v>
      </c>
      <c r="BG101" s="3">
        <f t="shared" si="35"/>
        <v>3.99450904803538</v>
      </c>
      <c r="BH101" s="12">
        <f t="shared" si="36"/>
        <v>4767769073.9200001</v>
      </c>
      <c r="BI101" s="3">
        <f t="shared" si="46"/>
        <v>3.94432904417237</v>
      </c>
      <c r="BJ101" s="12">
        <f t="shared" si="47"/>
        <v>2115060443</v>
      </c>
      <c r="BK101" s="4">
        <f t="shared" si="37"/>
        <v>3.9790889739307791</v>
      </c>
      <c r="BL101" s="3">
        <f t="shared" si="38"/>
        <v>3.9491926358613099</v>
      </c>
      <c r="BM101" s="12">
        <f t="shared" si="39"/>
        <v>25993925944.52</v>
      </c>
      <c r="BN101" s="3">
        <f t="shared" si="48"/>
        <v>3.9283353978802298</v>
      </c>
      <c r="BO101" s="12">
        <f t="shared" si="49"/>
        <v>11390641865</v>
      </c>
      <c r="BP101" s="4">
        <f t="shared" si="40"/>
        <v>3.9428376786675807</v>
      </c>
      <c r="BQ101" s="13">
        <f t="shared" si="41"/>
        <v>3.6251295263198369</v>
      </c>
    </row>
    <row r="102" spans="1:69" x14ac:dyDescent="0.25">
      <c r="A102" s="1">
        <v>40725</v>
      </c>
      <c r="B102">
        <v>4.7946737276481199</v>
      </c>
      <c r="C102">
        <v>709064406.08000004</v>
      </c>
      <c r="E102" s="1">
        <v>40725</v>
      </c>
      <c r="F102">
        <v>4.8853986998933099</v>
      </c>
      <c r="G102">
        <v>231539951.59999999</v>
      </c>
      <c r="I102" s="1">
        <v>41699</v>
      </c>
      <c r="J102">
        <v>4.5929797358076403</v>
      </c>
      <c r="K102">
        <v>481081744</v>
      </c>
      <c r="M102" s="1">
        <v>41699</v>
      </c>
      <c r="N102">
        <v>4.7334097122316896</v>
      </c>
      <c r="O102">
        <v>292290700</v>
      </c>
      <c r="Q102" s="1">
        <v>40725</v>
      </c>
      <c r="R102" s="3">
        <f t="shared" si="27"/>
        <v>4.7946737276481199</v>
      </c>
      <c r="S102" s="12">
        <f t="shared" si="28"/>
        <v>709064406.08000004</v>
      </c>
      <c r="T102" s="3">
        <f t="shared" si="42"/>
        <v>4.7914287683796797</v>
      </c>
      <c r="U102" s="12">
        <f t="shared" si="43"/>
        <v>785593796</v>
      </c>
      <c r="V102" s="4">
        <f t="shared" si="29"/>
        <v>4.7929681739195074</v>
      </c>
      <c r="W102" s="3">
        <f t="shared" si="30"/>
        <v>4.8853986998933099</v>
      </c>
      <c r="X102" s="12">
        <f t="shared" si="31"/>
        <v>231539951.59999999</v>
      </c>
      <c r="Y102" s="3">
        <f t="shared" si="44"/>
        <v>4.94307710856057</v>
      </c>
      <c r="Z102" s="12">
        <f t="shared" si="45"/>
        <v>219158857</v>
      </c>
      <c r="AA102" s="4">
        <f t="shared" si="32"/>
        <v>4.9134456657957974</v>
      </c>
      <c r="AB102" s="13">
        <f t="shared" si="33"/>
        <v>-12.047749187629009</v>
      </c>
      <c r="AO102" s="15">
        <v>201005</v>
      </c>
      <c r="AP102">
        <v>5.1255065381496197</v>
      </c>
      <c r="AQ102">
        <v>869089624</v>
      </c>
      <c r="AS102" s="15">
        <v>199409</v>
      </c>
      <c r="AT102">
        <v>7.7817193475977504</v>
      </c>
      <c r="AU102">
        <v>1003258.97</v>
      </c>
      <c r="AW102" s="15">
        <v>201201</v>
      </c>
      <c r="AX102">
        <v>4.2418970203814403</v>
      </c>
      <c r="AY102">
        <v>1816656797</v>
      </c>
      <c r="BA102" s="15">
        <v>199505</v>
      </c>
      <c r="BB102">
        <v>8.4452332623375899</v>
      </c>
      <c r="BC102">
        <v>1778041</v>
      </c>
      <c r="BE102" s="15">
        <v>201208</v>
      </c>
      <c r="BF102" s="1">
        <f t="shared" si="34"/>
        <v>40909</v>
      </c>
      <c r="BG102" s="3">
        <f t="shared" si="35"/>
        <v>3.9121298835158802</v>
      </c>
      <c r="BH102" s="12">
        <f t="shared" si="36"/>
        <v>4934633016.1199999</v>
      </c>
      <c r="BI102" s="3">
        <f t="shared" si="46"/>
        <v>3.8734838584340401</v>
      </c>
      <c r="BJ102" s="12">
        <f t="shared" si="47"/>
        <v>2144674847</v>
      </c>
      <c r="BK102" s="4">
        <f t="shared" si="37"/>
        <v>3.9004220782428063</v>
      </c>
      <c r="BL102" s="3">
        <f t="shared" si="38"/>
        <v>3.8374227379788999</v>
      </c>
      <c r="BM102" s="12">
        <f t="shared" si="39"/>
        <v>27818637023.740002</v>
      </c>
      <c r="BN102" s="3">
        <f t="shared" si="48"/>
        <v>3.8396290934264901</v>
      </c>
      <c r="BO102" s="12">
        <f t="shared" si="49"/>
        <v>12337195849</v>
      </c>
      <c r="BP102" s="4">
        <f t="shared" si="40"/>
        <v>3.8381006031188329</v>
      </c>
      <c r="BQ102" s="13">
        <f t="shared" si="41"/>
        <v>6.2321475123973347</v>
      </c>
    </row>
    <row r="103" spans="1:69" x14ac:dyDescent="0.25">
      <c r="A103" s="1">
        <v>40756</v>
      </c>
      <c r="B103">
        <v>4.6952048681013103</v>
      </c>
      <c r="C103">
        <v>1095235906.95</v>
      </c>
      <c r="E103" s="1">
        <v>40756</v>
      </c>
      <c r="F103">
        <v>4.7932452383003898</v>
      </c>
      <c r="G103">
        <v>311789618</v>
      </c>
      <c r="I103" s="1">
        <v>41730</v>
      </c>
      <c r="J103">
        <v>4.5438522265321399</v>
      </c>
      <c r="K103">
        <v>617489603</v>
      </c>
      <c r="M103" s="1">
        <v>41730</v>
      </c>
      <c r="N103">
        <v>4.7068270159300898</v>
      </c>
      <c r="O103">
        <v>354636615</v>
      </c>
      <c r="Q103" s="1">
        <v>40756</v>
      </c>
      <c r="R103" s="3">
        <f t="shared" si="27"/>
        <v>4.6952048681013103</v>
      </c>
      <c r="S103" s="12">
        <f t="shared" si="28"/>
        <v>1095235906.95</v>
      </c>
      <c r="T103" s="3">
        <f t="shared" si="42"/>
        <v>4.7230451808437</v>
      </c>
      <c r="U103" s="12">
        <f t="shared" si="43"/>
        <v>930963580</v>
      </c>
      <c r="V103" s="4">
        <f t="shared" si="29"/>
        <v>4.7079964601365001</v>
      </c>
      <c r="W103" s="3">
        <f t="shared" si="30"/>
        <v>4.7932452383003898</v>
      </c>
      <c r="X103" s="12">
        <f t="shared" si="31"/>
        <v>311789618</v>
      </c>
      <c r="Y103" s="3">
        <f t="shared" si="44"/>
        <v>4.8829992662850499</v>
      </c>
      <c r="Z103" s="12">
        <f t="shared" si="45"/>
        <v>261007360</v>
      </c>
      <c r="AA103" s="4">
        <f t="shared" si="32"/>
        <v>4.8341436068208363</v>
      </c>
      <c r="AB103" s="13">
        <f t="shared" si="33"/>
        <v>-12.614714668433624</v>
      </c>
      <c r="AO103" s="15">
        <v>201006</v>
      </c>
      <c r="AP103">
        <v>5.1347071906495501</v>
      </c>
      <c r="AQ103">
        <v>802680317.22000003</v>
      </c>
      <c r="AS103" s="15">
        <v>199410</v>
      </c>
      <c r="AT103">
        <v>7.8111532884932897</v>
      </c>
      <c r="AU103">
        <v>1241450</v>
      </c>
      <c r="AW103" s="15">
        <v>201202</v>
      </c>
      <c r="AX103">
        <v>4.1439705165296097</v>
      </c>
      <c r="AY103">
        <v>1518110026</v>
      </c>
      <c r="BA103" s="15">
        <v>199506</v>
      </c>
      <c r="BB103">
        <v>8.0986799908683693</v>
      </c>
      <c r="BC103">
        <v>1839760</v>
      </c>
      <c r="BE103" s="15">
        <v>201209</v>
      </c>
      <c r="BF103" s="1">
        <f t="shared" si="34"/>
        <v>40940</v>
      </c>
      <c r="BG103" s="3">
        <f t="shared" si="35"/>
        <v>3.8208003610654102</v>
      </c>
      <c r="BH103" s="12">
        <f t="shared" si="36"/>
        <v>5470835584.6899996</v>
      </c>
      <c r="BI103" s="3">
        <f t="shared" si="46"/>
        <v>3.7917118641371301</v>
      </c>
      <c r="BJ103" s="12">
        <f t="shared" si="47"/>
        <v>3042903255</v>
      </c>
      <c r="BK103" s="4">
        <f t="shared" si="37"/>
        <v>3.8104038145359955</v>
      </c>
      <c r="BL103" s="3">
        <f t="shared" si="38"/>
        <v>3.7409095346410801</v>
      </c>
      <c r="BM103" s="12">
        <f t="shared" si="39"/>
        <v>31970438145.330002</v>
      </c>
      <c r="BN103" s="3">
        <f t="shared" si="48"/>
        <v>3.73949828057961</v>
      </c>
      <c r="BO103" s="12">
        <f t="shared" si="49"/>
        <v>15938221261</v>
      </c>
      <c r="BP103" s="4">
        <f t="shared" si="40"/>
        <v>3.7404400395692932</v>
      </c>
      <c r="BQ103" s="13">
        <f t="shared" si="41"/>
        <v>6.9963774966702363</v>
      </c>
    </row>
    <row r="104" spans="1:69" x14ac:dyDescent="0.25">
      <c r="A104" s="1">
        <v>40787</v>
      </c>
      <c r="B104">
        <v>4.6121183185878296</v>
      </c>
      <c r="C104">
        <v>1509375948.53</v>
      </c>
      <c r="E104" s="1">
        <v>40787</v>
      </c>
      <c r="F104">
        <v>4.7190312060375703</v>
      </c>
      <c r="G104">
        <v>430386144.64999998</v>
      </c>
      <c r="I104" s="1">
        <v>41760</v>
      </c>
      <c r="J104">
        <v>4.5334494332254804</v>
      </c>
      <c r="K104">
        <v>638741937</v>
      </c>
      <c r="M104" s="1">
        <v>41760</v>
      </c>
      <c r="N104">
        <v>4.7044445634736203</v>
      </c>
      <c r="O104">
        <v>340490733</v>
      </c>
      <c r="Q104" s="1">
        <v>40787</v>
      </c>
      <c r="R104" s="3">
        <f t="shared" si="27"/>
        <v>4.6121183185878296</v>
      </c>
      <c r="S104" s="12">
        <f t="shared" si="28"/>
        <v>1509375948.53</v>
      </c>
      <c r="T104" s="3">
        <f t="shared" si="42"/>
        <v>4.6624184975847101</v>
      </c>
      <c r="U104" s="12">
        <f t="shared" si="43"/>
        <v>1056770216</v>
      </c>
      <c r="V104" s="4">
        <f t="shared" si="29"/>
        <v>4.6328325443626923</v>
      </c>
      <c r="W104" s="3">
        <f t="shared" si="30"/>
        <v>4.7190312060375703</v>
      </c>
      <c r="X104" s="12">
        <f t="shared" si="31"/>
        <v>430386144.64999998</v>
      </c>
      <c r="Y104" s="3">
        <f t="shared" si="44"/>
        <v>4.8171026976983597</v>
      </c>
      <c r="Z104" s="12">
        <f t="shared" si="45"/>
        <v>352610882</v>
      </c>
      <c r="AA104" s="4">
        <f t="shared" si="32"/>
        <v>4.7631962207139598</v>
      </c>
      <c r="AB104" s="13">
        <f t="shared" si="33"/>
        <v>-13.036367635126744</v>
      </c>
      <c r="AO104" s="15">
        <v>201007</v>
      </c>
      <c r="AP104">
        <v>4.9860473907559797</v>
      </c>
      <c r="AQ104">
        <v>1392771554.8499999</v>
      </c>
      <c r="AS104" s="15">
        <v>199411</v>
      </c>
      <c r="AT104">
        <v>7.3003155747875796</v>
      </c>
      <c r="AU104">
        <v>889386.64</v>
      </c>
      <c r="AW104" s="15">
        <v>201203</v>
      </c>
      <c r="AX104">
        <v>4.0635431336771797</v>
      </c>
      <c r="AY104">
        <v>1743246134</v>
      </c>
      <c r="BA104" s="15">
        <v>199507</v>
      </c>
      <c r="BB104">
        <v>7.7820629822480498</v>
      </c>
      <c r="BC104">
        <v>2778005</v>
      </c>
      <c r="BE104" s="15">
        <v>201210</v>
      </c>
      <c r="BF104" s="1">
        <f t="shared" si="34"/>
        <v>40969</v>
      </c>
      <c r="BG104" s="3">
        <f t="shared" si="35"/>
        <v>3.7927916190392601</v>
      </c>
      <c r="BH104" s="12">
        <f t="shared" si="36"/>
        <v>4363506445.96</v>
      </c>
      <c r="BI104" s="3">
        <f t="shared" si="46"/>
        <v>3.7648196246359</v>
      </c>
      <c r="BJ104" s="12">
        <f t="shared" si="47"/>
        <v>2897642345</v>
      </c>
      <c r="BK104" s="4">
        <f t="shared" si="37"/>
        <v>3.7816290829460475</v>
      </c>
      <c r="BL104" s="3">
        <f t="shared" si="38"/>
        <v>3.72267992990133</v>
      </c>
      <c r="BM104" s="12">
        <f t="shared" si="39"/>
        <v>26925106879.759998</v>
      </c>
      <c r="BN104" s="3">
        <f t="shared" si="48"/>
        <v>3.7232680773906002</v>
      </c>
      <c r="BO104" s="12">
        <f t="shared" si="49"/>
        <v>17176229016</v>
      </c>
      <c r="BP104" s="4">
        <f t="shared" si="40"/>
        <v>3.7229089967938793</v>
      </c>
      <c r="BQ104" s="13">
        <f t="shared" si="41"/>
        <v>5.8720086152168172</v>
      </c>
    </row>
    <row r="105" spans="1:69" x14ac:dyDescent="0.25">
      <c r="A105" s="1">
        <v>40817</v>
      </c>
      <c r="B105">
        <v>4.4158403481592403</v>
      </c>
      <c r="C105">
        <v>2481309701.3000002</v>
      </c>
      <c r="E105" s="1">
        <v>40817</v>
      </c>
      <c r="F105">
        <v>4.5033445764335696</v>
      </c>
      <c r="G105">
        <v>532604134</v>
      </c>
      <c r="I105" s="1">
        <v>41791</v>
      </c>
      <c r="J105">
        <v>4.49627919838517</v>
      </c>
      <c r="K105">
        <v>732900120</v>
      </c>
      <c r="M105" s="1">
        <v>41791</v>
      </c>
      <c r="N105">
        <v>4.6578751028706904</v>
      </c>
      <c r="O105">
        <v>388053915</v>
      </c>
      <c r="Q105" s="1">
        <v>40817</v>
      </c>
      <c r="R105" s="3">
        <f t="shared" si="27"/>
        <v>4.4158403481592403</v>
      </c>
      <c r="S105" s="12">
        <f t="shared" si="28"/>
        <v>2481309701.3000002</v>
      </c>
      <c r="T105" s="3">
        <f t="shared" si="42"/>
        <v>4.3975640373486504</v>
      </c>
      <c r="U105" s="12">
        <f t="shared" si="43"/>
        <v>1548482871</v>
      </c>
      <c r="V105" s="4">
        <f t="shared" si="29"/>
        <v>4.4088175166542634</v>
      </c>
      <c r="W105" s="3">
        <f t="shared" si="30"/>
        <v>4.5033445764335696</v>
      </c>
      <c r="X105" s="12">
        <f t="shared" si="31"/>
        <v>532604134</v>
      </c>
      <c r="Y105" s="3">
        <f t="shared" si="44"/>
        <v>4.60669445841115</v>
      </c>
      <c r="Z105" s="12">
        <f t="shared" si="45"/>
        <v>368779597</v>
      </c>
      <c r="AA105" s="4">
        <f t="shared" si="32"/>
        <v>4.5456277090383779</v>
      </c>
      <c r="AB105" s="13">
        <f t="shared" si="33"/>
        <v>-13.681019238411452</v>
      </c>
      <c r="AO105" s="15">
        <v>201008</v>
      </c>
      <c r="AP105">
        <v>4.8473446963387996</v>
      </c>
      <c r="AQ105">
        <v>1922574427.5899999</v>
      </c>
      <c r="AS105" s="15">
        <v>199412</v>
      </c>
      <c r="AT105">
        <v>8.2492480901671499</v>
      </c>
      <c r="AU105">
        <v>1241339</v>
      </c>
      <c r="AW105" s="15">
        <v>201204</v>
      </c>
      <c r="AX105">
        <v>4.05785037624337</v>
      </c>
      <c r="AY105">
        <v>1592176733</v>
      </c>
      <c r="BA105" s="15">
        <v>199508</v>
      </c>
      <c r="BB105">
        <v>7.7257551696931399</v>
      </c>
      <c r="BC105">
        <v>2622351</v>
      </c>
      <c r="BE105" s="15">
        <v>201211</v>
      </c>
      <c r="BF105" s="1">
        <f t="shared" si="34"/>
        <v>41000</v>
      </c>
      <c r="BG105" s="3">
        <f t="shared" si="35"/>
        <v>3.6835004438888999</v>
      </c>
      <c r="BH105" s="12">
        <f t="shared" si="36"/>
        <v>5346936066.96</v>
      </c>
      <c r="BI105" s="3">
        <f t="shared" si="46"/>
        <v>3.6805180540031999</v>
      </c>
      <c r="BJ105" s="12">
        <f t="shared" si="47"/>
        <v>2934931987</v>
      </c>
      <c r="BK105" s="4">
        <f t="shared" si="37"/>
        <v>3.6824435432698346</v>
      </c>
      <c r="BL105" s="3">
        <f t="shared" si="38"/>
        <v>3.6303756064388901</v>
      </c>
      <c r="BM105" s="12">
        <f t="shared" si="39"/>
        <v>32032878551.59</v>
      </c>
      <c r="BN105" s="3">
        <f t="shared" si="48"/>
        <v>3.6767372555312599</v>
      </c>
      <c r="BO105" s="12">
        <f t="shared" si="49"/>
        <v>17322916722</v>
      </c>
      <c r="BP105" s="4">
        <f t="shared" si="40"/>
        <v>3.6466476365393041</v>
      </c>
      <c r="BQ105" s="13">
        <f t="shared" si="41"/>
        <v>3.5795906730530458</v>
      </c>
    </row>
    <row r="106" spans="1:69" x14ac:dyDescent="0.25">
      <c r="A106" s="1">
        <v>40848</v>
      </c>
      <c r="B106">
        <v>4.3616849531328699</v>
      </c>
      <c r="C106">
        <v>2774807812.02</v>
      </c>
      <c r="E106" s="1">
        <v>40848</v>
      </c>
      <c r="F106">
        <v>4.4486718391922899</v>
      </c>
      <c r="G106">
        <v>649050755</v>
      </c>
      <c r="I106" s="1">
        <v>41821</v>
      </c>
      <c r="J106">
        <v>4.4008881048557598</v>
      </c>
      <c r="K106">
        <v>828187511</v>
      </c>
      <c r="M106" s="1">
        <v>41821</v>
      </c>
      <c r="N106">
        <v>4.5823441415845503</v>
      </c>
      <c r="O106">
        <v>449054915</v>
      </c>
      <c r="Q106" s="1">
        <v>40848</v>
      </c>
      <c r="R106" s="3">
        <f t="shared" si="27"/>
        <v>4.3616849531328699</v>
      </c>
      <c r="S106" s="12">
        <f t="shared" si="28"/>
        <v>2774807812.02</v>
      </c>
      <c r="T106" s="3">
        <f t="shared" si="42"/>
        <v>4.3173195585159698</v>
      </c>
      <c r="U106" s="12">
        <f t="shared" si="43"/>
        <v>1485245682</v>
      </c>
      <c r="V106" s="4">
        <f t="shared" si="29"/>
        <v>4.3462171870878015</v>
      </c>
      <c r="W106" s="3">
        <f t="shared" si="30"/>
        <v>4.4486718391922899</v>
      </c>
      <c r="X106" s="12">
        <f t="shared" si="31"/>
        <v>649050755</v>
      </c>
      <c r="Y106" s="3">
        <f t="shared" si="44"/>
        <v>4.4285432342521904</v>
      </c>
      <c r="Z106" s="12">
        <f t="shared" si="45"/>
        <v>319077220</v>
      </c>
      <c r="AA106" s="4">
        <f t="shared" si="32"/>
        <v>4.4420378202685358</v>
      </c>
      <c r="AB106" s="13">
        <f t="shared" si="33"/>
        <v>-9.5820633180734305</v>
      </c>
      <c r="AO106" s="15">
        <v>201009</v>
      </c>
      <c r="AP106">
        <v>4.7014742707938604</v>
      </c>
      <c r="AQ106">
        <v>2676461960.23</v>
      </c>
      <c r="AS106" s="15">
        <v>199501</v>
      </c>
      <c r="AT106">
        <v>8.0510783118541696</v>
      </c>
      <c r="AU106">
        <v>861300</v>
      </c>
      <c r="AW106" s="15">
        <v>201205</v>
      </c>
      <c r="AX106">
        <v>4.1223277468136503</v>
      </c>
      <c r="AY106">
        <v>1612273267</v>
      </c>
      <c r="BA106" s="15">
        <v>199509</v>
      </c>
      <c r="BB106">
        <v>7.6772202803252299</v>
      </c>
      <c r="BC106">
        <v>4045872</v>
      </c>
      <c r="BE106" s="15">
        <v>201212</v>
      </c>
      <c r="BF106" s="1">
        <f t="shared" si="34"/>
        <v>41030</v>
      </c>
      <c r="BG106" s="3">
        <f t="shared" si="35"/>
        <v>3.6287958007157899</v>
      </c>
      <c r="BH106" s="12">
        <f t="shared" si="36"/>
        <v>4966688378.0299997</v>
      </c>
      <c r="BI106" s="3">
        <f t="shared" si="46"/>
        <v>3.6568924323254701</v>
      </c>
      <c r="BJ106" s="12">
        <f t="shared" si="47"/>
        <v>2698877551</v>
      </c>
      <c r="BK106" s="4">
        <f t="shared" si="37"/>
        <v>3.6386880081551531</v>
      </c>
      <c r="BL106" s="3">
        <f t="shared" si="38"/>
        <v>3.5602407685059898</v>
      </c>
      <c r="BM106" s="12">
        <f t="shared" si="39"/>
        <v>32411781327.490002</v>
      </c>
      <c r="BN106" s="3">
        <f t="shared" si="48"/>
        <v>3.60945698042591</v>
      </c>
      <c r="BO106" s="12">
        <f t="shared" si="49"/>
        <v>15299148122</v>
      </c>
      <c r="BP106" s="4">
        <f t="shared" si="40"/>
        <v>3.5760226055998099</v>
      </c>
      <c r="BQ106" s="13">
        <f t="shared" si="41"/>
        <v>6.2665402555343253</v>
      </c>
    </row>
    <row r="107" spans="1:69" x14ac:dyDescent="0.25">
      <c r="A107" s="1">
        <v>40878</v>
      </c>
      <c r="B107">
        <v>4.2476500538026798</v>
      </c>
      <c r="C107">
        <v>2354718528.27</v>
      </c>
      <c r="E107" s="1">
        <v>40878</v>
      </c>
      <c r="F107">
        <v>4.35713764270601</v>
      </c>
      <c r="G107">
        <v>485975708.83999997</v>
      </c>
      <c r="I107" s="1">
        <v>41852</v>
      </c>
      <c r="J107">
        <v>4.3383262701807102</v>
      </c>
      <c r="K107">
        <v>1129902433</v>
      </c>
      <c r="M107" s="1">
        <v>41852</v>
      </c>
      <c r="N107">
        <v>4.5016928261345601</v>
      </c>
      <c r="O107">
        <v>629833657</v>
      </c>
      <c r="Q107" s="1">
        <v>40878</v>
      </c>
      <c r="R107" s="3">
        <f t="shared" si="27"/>
        <v>4.2476500538026798</v>
      </c>
      <c r="S107" s="12">
        <f t="shared" si="28"/>
        <v>2354718528.27</v>
      </c>
      <c r="T107" s="3">
        <f t="shared" si="42"/>
        <v>4.2439616648421001</v>
      </c>
      <c r="U107" s="12">
        <f t="shared" si="43"/>
        <v>978821089</v>
      </c>
      <c r="V107" s="4">
        <f t="shared" si="29"/>
        <v>4.2465670389555346</v>
      </c>
      <c r="W107" s="3">
        <f t="shared" si="30"/>
        <v>4.35713764270601</v>
      </c>
      <c r="X107" s="12">
        <f t="shared" si="31"/>
        <v>485975708.83999997</v>
      </c>
      <c r="Y107" s="3">
        <f t="shared" si="44"/>
        <v>4.4310652259796104</v>
      </c>
      <c r="Z107" s="12">
        <f t="shared" si="45"/>
        <v>217909828</v>
      </c>
      <c r="AA107" s="4">
        <f t="shared" si="32"/>
        <v>4.3800242430301592</v>
      </c>
      <c r="AB107" s="13">
        <f t="shared" si="33"/>
        <v>-13.345720407462469</v>
      </c>
      <c r="AO107" s="15">
        <v>201010</v>
      </c>
      <c r="AP107">
        <v>4.5882587371517802</v>
      </c>
      <c r="AQ107">
        <v>3190806294.6900001</v>
      </c>
      <c r="AS107" s="15">
        <v>199502</v>
      </c>
      <c r="AT107">
        <v>8.5134020071677892</v>
      </c>
      <c r="AU107">
        <v>428863</v>
      </c>
      <c r="AW107" s="15">
        <v>201206</v>
      </c>
      <c r="AX107">
        <v>4.0600009315896397</v>
      </c>
      <c r="AY107">
        <v>1751044587</v>
      </c>
      <c r="BA107" s="15">
        <v>199510</v>
      </c>
      <c r="BB107">
        <v>7.7769986667791002</v>
      </c>
      <c r="BC107">
        <v>2490210</v>
      </c>
      <c r="BE107" s="15">
        <v>201301</v>
      </c>
      <c r="BF107" s="1">
        <f t="shared" si="34"/>
        <v>41061</v>
      </c>
      <c r="BG107" s="3">
        <f t="shared" si="35"/>
        <v>3.6270078631487799</v>
      </c>
      <c r="BH107" s="12">
        <f t="shared" si="36"/>
        <v>5220513082.4700003</v>
      </c>
      <c r="BI107" s="3">
        <f t="shared" si="46"/>
        <v>3.6276017739802802</v>
      </c>
      <c r="BJ107" s="12">
        <f t="shared" si="47"/>
        <v>2565167283</v>
      </c>
      <c r="BK107" s="4">
        <f t="shared" si="37"/>
        <v>3.6272035404129968</v>
      </c>
      <c r="BL107" s="3">
        <f t="shared" si="38"/>
        <v>3.5422414649290501</v>
      </c>
      <c r="BM107" s="12">
        <f t="shared" si="39"/>
        <v>32307993073.32</v>
      </c>
      <c r="BN107" s="3">
        <f t="shared" si="48"/>
        <v>3.5959097976316299</v>
      </c>
      <c r="BO107" s="12">
        <f t="shared" si="49"/>
        <v>15812198303</v>
      </c>
      <c r="BP107" s="4">
        <f t="shared" si="40"/>
        <v>3.559876771336044</v>
      </c>
      <c r="BQ107" s="13">
        <f t="shared" si="41"/>
        <v>6.7326769076952786</v>
      </c>
    </row>
    <row r="108" spans="1:69" x14ac:dyDescent="0.25">
      <c r="A108" s="1">
        <v>40909</v>
      </c>
      <c r="B108">
        <v>4.2605965711179499</v>
      </c>
      <c r="C108">
        <v>2438202368.2399998</v>
      </c>
      <c r="E108" s="1">
        <v>40909</v>
      </c>
      <c r="F108">
        <v>4.3641825165356503</v>
      </c>
      <c r="G108">
        <v>462543941.55000001</v>
      </c>
      <c r="I108" s="1">
        <v>41883</v>
      </c>
      <c r="J108">
        <v>4.3701793329415404</v>
      </c>
      <c r="K108">
        <v>919814082</v>
      </c>
      <c r="M108" s="1">
        <v>41883</v>
      </c>
      <c r="N108">
        <v>4.5437751078459003</v>
      </c>
      <c r="O108">
        <v>564303786</v>
      </c>
      <c r="Q108" s="1">
        <v>40909</v>
      </c>
      <c r="R108" s="3">
        <f t="shared" si="27"/>
        <v>4.2605965711179499</v>
      </c>
      <c r="S108" s="12">
        <f t="shared" si="28"/>
        <v>2438202368.2399998</v>
      </c>
      <c r="T108" s="3">
        <f t="shared" si="42"/>
        <v>4.2183416361736397</v>
      </c>
      <c r="U108" s="12">
        <f t="shared" si="43"/>
        <v>1737332302</v>
      </c>
      <c r="V108" s="4">
        <f t="shared" si="29"/>
        <v>4.243015382313347</v>
      </c>
      <c r="W108" s="3">
        <f t="shared" si="30"/>
        <v>4.3641825165356503</v>
      </c>
      <c r="X108" s="12">
        <f t="shared" si="31"/>
        <v>462543941.55000001</v>
      </c>
      <c r="Y108" s="3">
        <f t="shared" si="44"/>
        <v>4.3478375215020701</v>
      </c>
      <c r="Z108" s="12">
        <f t="shared" si="45"/>
        <v>369251001</v>
      </c>
      <c r="AA108" s="4">
        <f t="shared" si="32"/>
        <v>4.3569266347446565</v>
      </c>
      <c r="AB108" s="13">
        <f t="shared" si="33"/>
        <v>-11.391125243130951</v>
      </c>
      <c r="AO108" s="15">
        <v>201011</v>
      </c>
      <c r="AP108">
        <v>4.5150941243204903</v>
      </c>
      <c r="AQ108">
        <v>3586824121.8099999</v>
      </c>
      <c r="AS108" s="15">
        <v>199503</v>
      </c>
      <c r="AT108">
        <v>7.7025782630126303</v>
      </c>
      <c r="AU108">
        <v>376867.68</v>
      </c>
      <c r="AW108" s="15">
        <v>201207</v>
      </c>
      <c r="AX108">
        <v>3.94432904417237</v>
      </c>
      <c r="AY108">
        <v>2115060443</v>
      </c>
      <c r="BA108" s="15">
        <v>199511</v>
      </c>
      <c r="BB108">
        <v>7.7388406544981496</v>
      </c>
      <c r="BC108">
        <v>3117992</v>
      </c>
      <c r="BE108" s="15">
        <v>201302</v>
      </c>
      <c r="BF108" s="1">
        <f t="shared" si="34"/>
        <v>41091</v>
      </c>
      <c r="BG108" s="3">
        <f t="shared" si="35"/>
        <v>3.6411168141428001</v>
      </c>
      <c r="BH108" s="12">
        <f t="shared" si="36"/>
        <v>4517580208.3699999</v>
      </c>
      <c r="BI108" s="3">
        <f t="shared" si="46"/>
        <v>3.6450560615659602</v>
      </c>
      <c r="BJ108" s="12">
        <f t="shared" si="47"/>
        <v>2477909823</v>
      </c>
      <c r="BK108" s="4">
        <f t="shared" si="37"/>
        <v>3.6425121559760818</v>
      </c>
      <c r="BL108" s="3">
        <f t="shared" si="38"/>
        <v>3.5665734298154099</v>
      </c>
      <c r="BM108" s="12">
        <f t="shared" si="39"/>
        <v>29006033703.580002</v>
      </c>
      <c r="BN108" s="3">
        <f t="shared" si="48"/>
        <v>3.5784922562880999</v>
      </c>
      <c r="BO108" s="12">
        <f t="shared" si="49"/>
        <v>17482043797</v>
      </c>
      <c r="BP108" s="4">
        <f t="shared" si="40"/>
        <v>3.5710555563649926</v>
      </c>
      <c r="BQ108" s="13">
        <f t="shared" si="41"/>
        <v>7.1456599611089189</v>
      </c>
    </row>
    <row r="109" spans="1:69" x14ac:dyDescent="0.25">
      <c r="A109" s="1">
        <v>40940</v>
      </c>
      <c r="B109">
        <v>4.1958584824252698</v>
      </c>
      <c r="C109">
        <v>2608540923.1799998</v>
      </c>
      <c r="E109" s="1">
        <v>40940</v>
      </c>
      <c r="F109">
        <v>4.2915293013344904</v>
      </c>
      <c r="G109">
        <v>469181930.25</v>
      </c>
      <c r="I109" s="1">
        <v>41913</v>
      </c>
      <c r="J109">
        <v>4.3439259090313804</v>
      </c>
      <c r="K109">
        <v>984418295</v>
      </c>
      <c r="M109" s="1">
        <v>41913</v>
      </c>
      <c r="N109">
        <v>4.5079627603474801</v>
      </c>
      <c r="O109">
        <v>621725028</v>
      </c>
      <c r="Q109" s="1">
        <v>40940</v>
      </c>
      <c r="R109" s="3">
        <f t="shared" si="27"/>
        <v>4.1958584824252698</v>
      </c>
      <c r="S109" s="12">
        <f t="shared" si="28"/>
        <v>2608540923.1799998</v>
      </c>
      <c r="T109" s="3">
        <f t="shared" si="42"/>
        <v>4.18935340619492</v>
      </c>
      <c r="U109" s="12">
        <f t="shared" si="43"/>
        <v>2015281054</v>
      </c>
      <c r="V109" s="4">
        <f t="shared" si="29"/>
        <v>4.1930232614875802</v>
      </c>
      <c r="W109" s="3">
        <f t="shared" si="30"/>
        <v>4.2915293013344904</v>
      </c>
      <c r="X109" s="12">
        <f t="shared" si="31"/>
        <v>469181930.25</v>
      </c>
      <c r="Y109" s="3">
        <f t="shared" si="44"/>
        <v>4.3484241351144499</v>
      </c>
      <c r="Z109" s="12">
        <f t="shared" si="45"/>
        <v>392546595</v>
      </c>
      <c r="AA109" s="4">
        <f t="shared" si="32"/>
        <v>4.317446829441077</v>
      </c>
      <c r="AB109" s="13">
        <f t="shared" si="33"/>
        <v>-12.442356795349685</v>
      </c>
      <c r="AO109" s="15">
        <v>201012</v>
      </c>
      <c r="AP109">
        <v>4.44176263256018</v>
      </c>
      <c r="AQ109">
        <v>3953634893.23</v>
      </c>
      <c r="AS109" s="15">
        <v>199504</v>
      </c>
      <c r="AT109">
        <v>8.9949276514362406</v>
      </c>
      <c r="AU109">
        <v>1276874</v>
      </c>
      <c r="AW109" s="15">
        <v>201208</v>
      </c>
      <c r="AX109">
        <v>3.8734838584340401</v>
      </c>
      <c r="AY109">
        <v>2144674847</v>
      </c>
      <c r="BA109" s="15">
        <v>199512</v>
      </c>
      <c r="BB109">
        <v>7.6197126732577303</v>
      </c>
      <c r="BC109">
        <v>4684423</v>
      </c>
      <c r="BE109" s="15">
        <v>201303</v>
      </c>
      <c r="BF109" s="1">
        <f t="shared" si="34"/>
        <v>41122</v>
      </c>
      <c r="BG109" s="3">
        <f t="shared" si="35"/>
        <v>3.7073373545032999</v>
      </c>
      <c r="BH109" s="12">
        <f t="shared" si="36"/>
        <v>3685391709.5700002</v>
      </c>
      <c r="BI109" s="3">
        <f t="shared" si="46"/>
        <v>3.7125813424748602</v>
      </c>
      <c r="BJ109" s="12">
        <f t="shared" si="47"/>
        <v>1892708714</v>
      </c>
      <c r="BK109" s="4">
        <f t="shared" si="37"/>
        <v>3.709116695314008</v>
      </c>
      <c r="BL109" s="3">
        <f t="shared" si="38"/>
        <v>3.6653269709131999</v>
      </c>
      <c r="BM109" s="12">
        <f t="shared" si="39"/>
        <v>23219208736.48</v>
      </c>
      <c r="BN109" s="3">
        <f t="shared" si="48"/>
        <v>3.6234704060745999</v>
      </c>
      <c r="BO109" s="12">
        <f t="shared" si="49"/>
        <v>16738904551</v>
      </c>
      <c r="BP109" s="4">
        <f t="shared" si="40"/>
        <v>3.6477927835849511</v>
      </c>
      <c r="BQ109" s="13">
        <f t="shared" si="41"/>
        <v>6.1323911729056935</v>
      </c>
    </row>
    <row r="110" spans="1:69" x14ac:dyDescent="0.25">
      <c r="A110" s="1">
        <v>40969</v>
      </c>
      <c r="B110">
        <v>4.1185619284916299</v>
      </c>
      <c r="C110">
        <v>4821134916.79</v>
      </c>
      <c r="E110" s="1">
        <v>40969</v>
      </c>
      <c r="F110">
        <v>4.22123894893081</v>
      </c>
      <c r="G110">
        <v>884365117.22000003</v>
      </c>
      <c r="I110" s="1">
        <v>41944</v>
      </c>
      <c r="J110">
        <v>4.3294128761663098</v>
      </c>
      <c r="K110">
        <v>915680499</v>
      </c>
      <c r="M110" s="1">
        <v>41944</v>
      </c>
      <c r="N110">
        <v>4.4936127349379298</v>
      </c>
      <c r="O110">
        <v>547767601</v>
      </c>
      <c r="Q110" s="1">
        <v>40969</v>
      </c>
      <c r="R110" s="3">
        <f t="shared" si="27"/>
        <v>4.1185619284916299</v>
      </c>
      <c r="S110" s="12">
        <f t="shared" si="28"/>
        <v>4821134916.79</v>
      </c>
      <c r="T110" s="3">
        <f t="shared" si="42"/>
        <v>4.1019142817241301</v>
      </c>
      <c r="U110" s="12">
        <f t="shared" si="43"/>
        <v>1826182508</v>
      </c>
      <c r="V110" s="4">
        <f t="shared" si="29"/>
        <v>4.1139884081700648</v>
      </c>
      <c r="W110" s="3">
        <f t="shared" si="30"/>
        <v>4.22123894893081</v>
      </c>
      <c r="X110" s="12">
        <f t="shared" si="31"/>
        <v>884365117.22000003</v>
      </c>
      <c r="Y110" s="3">
        <f t="shared" si="44"/>
        <v>4.3062870065526102</v>
      </c>
      <c r="Z110" s="12">
        <f t="shared" si="45"/>
        <v>389111900</v>
      </c>
      <c r="AA110" s="4">
        <f t="shared" si="32"/>
        <v>4.247225449546872</v>
      </c>
      <c r="AB110" s="13">
        <f t="shared" si="33"/>
        <v>-13.323704137680714</v>
      </c>
      <c r="AO110" s="15">
        <v>201101</v>
      </c>
      <c r="AP110">
        <v>4.4605522091825103</v>
      </c>
      <c r="AQ110">
        <v>3483031257.6399999</v>
      </c>
      <c r="AS110" s="15">
        <v>199505</v>
      </c>
      <c r="AT110">
        <v>9.1098612571844004</v>
      </c>
      <c r="AU110">
        <v>973636</v>
      </c>
      <c r="AW110" s="15">
        <v>201209</v>
      </c>
      <c r="AX110">
        <v>3.7917118641371301</v>
      </c>
      <c r="AY110">
        <v>3042903255</v>
      </c>
      <c r="BA110" s="15">
        <v>199601</v>
      </c>
      <c r="BB110">
        <v>7.4902020115636603</v>
      </c>
      <c r="BC110">
        <v>3431957</v>
      </c>
      <c r="BE110" s="15">
        <v>201304</v>
      </c>
      <c r="BF110" s="1">
        <f t="shared" si="34"/>
        <v>41153</v>
      </c>
      <c r="BG110" s="3">
        <f t="shared" si="35"/>
        <v>3.7878305034521502</v>
      </c>
      <c r="BH110" s="12">
        <f t="shared" si="36"/>
        <v>4174842792.9499998</v>
      </c>
      <c r="BI110" s="3">
        <f t="shared" si="46"/>
        <v>3.8015607201309201</v>
      </c>
      <c r="BJ110" s="12">
        <f t="shared" si="47"/>
        <v>1666989604</v>
      </c>
      <c r="BK110" s="4">
        <f t="shared" si="37"/>
        <v>3.791748474203267</v>
      </c>
      <c r="BL110" s="3">
        <f t="shared" si="38"/>
        <v>3.7416128110975602</v>
      </c>
      <c r="BM110" s="12">
        <f t="shared" si="39"/>
        <v>27534940305.099998</v>
      </c>
      <c r="BN110" s="3">
        <f t="shared" si="48"/>
        <v>3.7380084969484502</v>
      </c>
      <c r="BO110" s="12">
        <f t="shared" si="49"/>
        <v>14143869729</v>
      </c>
      <c r="BP110" s="4">
        <f t="shared" si="40"/>
        <v>3.740389672775096</v>
      </c>
      <c r="BQ110" s="13">
        <f t="shared" si="41"/>
        <v>5.1358801428170953</v>
      </c>
    </row>
    <row r="111" spans="1:69" x14ac:dyDescent="0.25">
      <c r="A111" s="1">
        <v>41000</v>
      </c>
      <c r="B111">
        <v>4.0828101539662596</v>
      </c>
      <c r="C111">
        <v>1788057524.8900001</v>
      </c>
      <c r="E111" s="1">
        <v>41000</v>
      </c>
      <c r="F111">
        <v>4.1756977429367197</v>
      </c>
      <c r="G111">
        <v>343299116.18000001</v>
      </c>
      <c r="I111" s="1">
        <v>41974</v>
      </c>
      <c r="J111">
        <v>4.2521429390292003</v>
      </c>
      <c r="K111">
        <v>957114028</v>
      </c>
      <c r="M111" s="1">
        <v>41974</v>
      </c>
      <c r="N111">
        <v>4.4312745510803797</v>
      </c>
      <c r="O111">
        <v>580111762</v>
      </c>
      <c r="Q111" s="1">
        <v>41000</v>
      </c>
      <c r="R111" s="3">
        <f t="shared" si="27"/>
        <v>4.0828101539662596</v>
      </c>
      <c r="S111" s="12">
        <f t="shared" si="28"/>
        <v>1788057524.8900001</v>
      </c>
      <c r="T111" s="3">
        <f t="shared" si="42"/>
        <v>4.0549133563400597</v>
      </c>
      <c r="U111" s="12">
        <f t="shared" si="43"/>
        <v>786657651</v>
      </c>
      <c r="V111" s="4">
        <f t="shared" si="29"/>
        <v>4.0742867920439201</v>
      </c>
      <c r="W111" s="3">
        <f t="shared" si="30"/>
        <v>4.1756977429367197</v>
      </c>
      <c r="X111" s="12">
        <f t="shared" si="31"/>
        <v>343299116.18000001</v>
      </c>
      <c r="Y111" s="3">
        <f t="shared" si="44"/>
        <v>4.19295600540873</v>
      </c>
      <c r="Z111" s="12">
        <f t="shared" si="45"/>
        <v>193455167</v>
      </c>
      <c r="AA111" s="4">
        <f t="shared" si="32"/>
        <v>4.1819179076438777</v>
      </c>
      <c r="AB111" s="13">
        <f t="shared" si="33"/>
        <v>-10.763111559995764</v>
      </c>
      <c r="AO111" s="15">
        <v>201102</v>
      </c>
      <c r="AP111">
        <v>4.58821398710087</v>
      </c>
      <c r="AQ111">
        <v>1935582891.79</v>
      </c>
      <c r="AS111" s="15">
        <v>199506</v>
      </c>
      <c r="AT111">
        <v>8.7517455161054105</v>
      </c>
      <c r="AU111">
        <v>1639200</v>
      </c>
      <c r="AW111" s="15">
        <v>201210</v>
      </c>
      <c r="AX111">
        <v>3.7648196246359</v>
      </c>
      <c r="AY111">
        <v>2897642345</v>
      </c>
      <c r="BA111" s="15">
        <v>199602</v>
      </c>
      <c r="BB111">
        <v>7.4285916396038703</v>
      </c>
      <c r="BC111">
        <v>5685544</v>
      </c>
      <c r="BE111" s="15">
        <v>201305</v>
      </c>
      <c r="BF111" s="1">
        <f t="shared" si="34"/>
        <v>41183</v>
      </c>
      <c r="BG111" s="3">
        <f t="shared" si="35"/>
        <v>3.7928109269574102</v>
      </c>
      <c r="BH111" s="12">
        <f t="shared" si="36"/>
        <v>4193005964.6799998</v>
      </c>
      <c r="BI111" s="3">
        <f t="shared" si="46"/>
        <v>3.8063989018614901</v>
      </c>
      <c r="BJ111" s="12">
        <f t="shared" si="47"/>
        <v>1796019167</v>
      </c>
      <c r="BK111" s="4">
        <f t="shared" si="37"/>
        <v>3.7968857576405126</v>
      </c>
      <c r="BL111" s="3">
        <f t="shared" si="38"/>
        <v>3.7684618201620701</v>
      </c>
      <c r="BM111" s="12">
        <f t="shared" si="39"/>
        <v>27134658138.880001</v>
      </c>
      <c r="BN111" s="3">
        <f t="shared" si="48"/>
        <v>3.7931713317630802</v>
      </c>
      <c r="BO111" s="12">
        <f t="shared" si="49"/>
        <v>13431515993</v>
      </c>
      <c r="BP111" s="4">
        <f t="shared" si="40"/>
        <v>3.77664317340404</v>
      </c>
      <c r="BQ111" s="13">
        <f t="shared" si="41"/>
        <v>2.0242584236472627</v>
      </c>
    </row>
    <row r="112" spans="1:69" x14ac:dyDescent="0.25">
      <c r="A112" s="1">
        <v>41030</v>
      </c>
      <c r="B112">
        <v>4.1074629330547303</v>
      </c>
      <c r="C112">
        <v>3020888813.5</v>
      </c>
      <c r="E112" s="1">
        <v>41030</v>
      </c>
      <c r="F112">
        <v>4.2065693955952597</v>
      </c>
      <c r="G112">
        <v>620411419.64999998</v>
      </c>
      <c r="I112" s="1">
        <v>42005</v>
      </c>
      <c r="J112">
        <v>4.1968054631914802</v>
      </c>
      <c r="K112">
        <v>1006405361</v>
      </c>
      <c r="M112" s="1">
        <v>42005</v>
      </c>
      <c r="N112">
        <v>4.3877782862072401</v>
      </c>
      <c r="O112">
        <v>558211370</v>
      </c>
      <c r="Q112" s="1">
        <v>41030</v>
      </c>
      <c r="R112" s="3">
        <f t="shared" si="27"/>
        <v>4.1074629330547303</v>
      </c>
      <c r="S112" s="12">
        <f t="shared" si="28"/>
        <v>3020888813.5</v>
      </c>
      <c r="T112" s="3">
        <f t="shared" si="42"/>
        <v>4.0954005937896296</v>
      </c>
      <c r="U112" s="12">
        <f t="shared" si="43"/>
        <v>958626706</v>
      </c>
      <c r="V112" s="4">
        <f t="shared" si="29"/>
        <v>4.104557232473919</v>
      </c>
      <c r="W112" s="3">
        <f t="shared" si="30"/>
        <v>4.2065693955952597</v>
      </c>
      <c r="X112" s="12">
        <f t="shared" si="31"/>
        <v>620411419.64999998</v>
      </c>
      <c r="Y112" s="3">
        <f t="shared" si="44"/>
        <v>4.2938826031011299</v>
      </c>
      <c r="Z112" s="12">
        <f t="shared" si="45"/>
        <v>251398438</v>
      </c>
      <c r="AA112" s="4">
        <f t="shared" si="32"/>
        <v>4.231747367364143</v>
      </c>
      <c r="AB112" s="13">
        <f t="shared" si="33"/>
        <v>-12.719013489022402</v>
      </c>
      <c r="AO112" s="15">
        <v>201103</v>
      </c>
      <c r="AP112">
        <v>4.7520509089702196</v>
      </c>
      <c r="AQ112">
        <v>1200246296.05</v>
      </c>
      <c r="AS112" s="15">
        <v>199507</v>
      </c>
      <c r="AT112">
        <v>8.0524786503578394</v>
      </c>
      <c r="AU112">
        <v>2105773</v>
      </c>
      <c r="AW112" s="15">
        <v>201211</v>
      </c>
      <c r="AX112">
        <v>3.6805180540031999</v>
      </c>
      <c r="AY112">
        <v>2934931987</v>
      </c>
      <c r="BA112" s="15">
        <v>199603</v>
      </c>
      <c r="BB112">
        <v>7.2627690302339998</v>
      </c>
      <c r="BC112">
        <v>5460771</v>
      </c>
      <c r="BE112" s="15">
        <v>201306</v>
      </c>
      <c r="BF112" s="1">
        <f t="shared" si="34"/>
        <v>41214</v>
      </c>
      <c r="BG112" s="3">
        <f t="shared" si="35"/>
        <v>3.7208529410282001</v>
      </c>
      <c r="BH112" s="12">
        <f t="shared" si="36"/>
        <v>4793428089.71</v>
      </c>
      <c r="BI112" s="3">
        <f t="shared" si="46"/>
        <v>3.7288564730645799</v>
      </c>
      <c r="BJ112" s="12">
        <f t="shared" si="47"/>
        <v>2554376145</v>
      </c>
      <c r="BK112" s="4">
        <f t="shared" si="37"/>
        <v>3.7236352730904638</v>
      </c>
      <c r="BL112" s="3">
        <f t="shared" si="38"/>
        <v>3.7115390494060598</v>
      </c>
      <c r="BM112" s="12">
        <f t="shared" si="39"/>
        <v>26644084102.610001</v>
      </c>
      <c r="BN112" s="3">
        <f t="shared" si="48"/>
        <v>3.7092086336964201</v>
      </c>
      <c r="BO112" s="12">
        <f t="shared" si="49"/>
        <v>17351860984</v>
      </c>
      <c r="BP112" s="4">
        <f t="shared" si="40"/>
        <v>3.7106199408530101</v>
      </c>
      <c r="BQ112" s="13">
        <f t="shared" si="41"/>
        <v>1.3015332237453769</v>
      </c>
    </row>
    <row r="113" spans="1:69" x14ac:dyDescent="0.25">
      <c r="A113" s="1">
        <v>41061</v>
      </c>
      <c r="B113">
        <v>4.1003505260213604</v>
      </c>
      <c r="C113">
        <v>2626956127.9899998</v>
      </c>
      <c r="E113" s="1">
        <v>41061</v>
      </c>
      <c r="F113">
        <v>4.1793578763536896</v>
      </c>
      <c r="G113">
        <v>531590465.97000003</v>
      </c>
      <c r="I113" s="1">
        <v>42036</v>
      </c>
      <c r="J113">
        <v>4.0139895735313598</v>
      </c>
      <c r="K113">
        <v>1583124601</v>
      </c>
      <c r="M113" s="1">
        <v>42036</v>
      </c>
      <c r="N113">
        <v>4.2068484789766796</v>
      </c>
      <c r="O113">
        <v>720170420</v>
      </c>
      <c r="Q113" s="1">
        <v>41061</v>
      </c>
      <c r="R113" s="3">
        <f t="shared" si="27"/>
        <v>4.1003505260213604</v>
      </c>
      <c r="S113" s="12">
        <f t="shared" si="28"/>
        <v>2626956127.9899998</v>
      </c>
      <c r="T113" s="3">
        <f t="shared" si="42"/>
        <v>4.0788034116725296</v>
      </c>
      <c r="U113" s="12">
        <f t="shared" si="43"/>
        <v>1691493113</v>
      </c>
      <c r="V113" s="4">
        <f t="shared" si="29"/>
        <v>4.0919107381502595</v>
      </c>
      <c r="W113" s="3">
        <f t="shared" si="30"/>
        <v>4.1793578763536896</v>
      </c>
      <c r="X113" s="12">
        <f t="shared" si="31"/>
        <v>531590465.97000003</v>
      </c>
      <c r="Y113" s="3">
        <f t="shared" si="44"/>
        <v>4.2625082988579202</v>
      </c>
      <c r="Z113" s="12">
        <f t="shared" si="45"/>
        <v>435279774</v>
      </c>
      <c r="AA113" s="4">
        <f t="shared" si="32"/>
        <v>4.2167917486763802</v>
      </c>
      <c r="AB113" s="13">
        <f t="shared" si="33"/>
        <v>-12.488101052612066</v>
      </c>
      <c r="AO113" s="15">
        <v>201104</v>
      </c>
      <c r="AP113">
        <v>4.90360141821259</v>
      </c>
      <c r="AQ113">
        <v>983397894.34000003</v>
      </c>
      <c r="AS113" s="15">
        <v>199508</v>
      </c>
      <c r="AT113">
        <v>7.6639869713509796</v>
      </c>
      <c r="AU113">
        <v>3723056.01</v>
      </c>
      <c r="AW113" s="15">
        <v>201212</v>
      </c>
      <c r="AX113">
        <v>3.6568924323254701</v>
      </c>
      <c r="AY113">
        <v>2698877551</v>
      </c>
      <c r="BA113" s="15">
        <v>199604</v>
      </c>
      <c r="BB113">
        <v>7.37122646856385</v>
      </c>
      <c r="BC113">
        <v>4781423</v>
      </c>
      <c r="BE113" s="15">
        <v>201307</v>
      </c>
      <c r="BF113" s="1">
        <f t="shared" si="34"/>
        <v>41244</v>
      </c>
      <c r="BG113" s="3">
        <f t="shared" si="35"/>
        <v>3.8647952749995</v>
      </c>
      <c r="BH113" s="12">
        <f t="shared" si="36"/>
        <v>4143552869.1399999</v>
      </c>
      <c r="BI113" s="3">
        <f t="shared" si="46"/>
        <v>3.8509404233649702</v>
      </c>
      <c r="BJ113" s="12">
        <f t="shared" si="47"/>
        <v>2129190612</v>
      </c>
      <c r="BK113" s="4">
        <f t="shared" si="37"/>
        <v>3.8600924491754274</v>
      </c>
      <c r="BL113" s="3">
        <f t="shared" si="38"/>
        <v>3.8455624178658998</v>
      </c>
      <c r="BM113" s="12">
        <f t="shared" si="39"/>
        <v>25305019096.099998</v>
      </c>
      <c r="BN113" s="3">
        <f t="shared" si="48"/>
        <v>3.7751563434090998</v>
      </c>
      <c r="BO113" s="12">
        <f t="shared" si="49"/>
        <v>15492371050</v>
      </c>
      <c r="BP113" s="4">
        <f t="shared" si="40"/>
        <v>3.8188264667241101</v>
      </c>
      <c r="BQ113" s="13">
        <f t="shared" si="41"/>
        <v>4.1265982451317296</v>
      </c>
    </row>
    <row r="114" spans="1:69" x14ac:dyDescent="0.25">
      <c r="A114" s="1">
        <v>41091</v>
      </c>
      <c r="B114">
        <v>3.9952508025401001</v>
      </c>
      <c r="C114">
        <v>3599030277.8699999</v>
      </c>
      <c r="E114" s="1">
        <v>41091</v>
      </c>
      <c r="F114">
        <v>4.0771298476640396</v>
      </c>
      <c r="G114">
        <v>701802914</v>
      </c>
      <c r="I114" s="1">
        <v>42064</v>
      </c>
      <c r="J114">
        <v>3.9431534218242899</v>
      </c>
      <c r="K114">
        <v>1470042460</v>
      </c>
      <c r="M114" s="1">
        <v>42064</v>
      </c>
      <c r="N114">
        <v>4.1805771471639002</v>
      </c>
      <c r="O114">
        <v>624644116</v>
      </c>
      <c r="Q114" s="1">
        <v>41091</v>
      </c>
      <c r="R114" s="3">
        <f t="shared" si="27"/>
        <v>3.9952508025401001</v>
      </c>
      <c r="S114" s="12">
        <f t="shared" si="28"/>
        <v>3599030277.8699999</v>
      </c>
      <c r="T114" s="3">
        <f t="shared" si="42"/>
        <v>3.9622085647229799</v>
      </c>
      <c r="U114" s="12">
        <f t="shared" si="43"/>
        <v>1062115543</v>
      </c>
      <c r="V114" s="4">
        <f t="shared" si="29"/>
        <v>3.987721607850689</v>
      </c>
      <c r="W114" s="3">
        <f t="shared" si="30"/>
        <v>4.0771298476640396</v>
      </c>
      <c r="X114" s="12">
        <f t="shared" si="31"/>
        <v>701802914</v>
      </c>
      <c r="Y114" s="3">
        <f t="shared" si="44"/>
        <v>4.1288306135328599</v>
      </c>
      <c r="Z114" s="12">
        <f t="shared" si="45"/>
        <v>240540072</v>
      </c>
      <c r="AA114" s="4">
        <f t="shared" si="32"/>
        <v>4.0903268535624218</v>
      </c>
      <c r="AB114" s="13">
        <f t="shared" si="33"/>
        <v>-10.26052457117328</v>
      </c>
      <c r="AO114" s="15">
        <v>201105</v>
      </c>
      <c r="AP114">
        <v>4.9513879756695101</v>
      </c>
      <c r="AQ114">
        <v>699481798.58000004</v>
      </c>
      <c r="AS114" s="15">
        <v>199509</v>
      </c>
      <c r="AT114">
        <v>7.7153913657251403</v>
      </c>
      <c r="AU114">
        <v>4180131</v>
      </c>
      <c r="AW114" s="15">
        <v>201301</v>
      </c>
      <c r="AX114">
        <v>3.6276017739802802</v>
      </c>
      <c r="AY114">
        <v>2565167283</v>
      </c>
      <c r="BA114" s="15">
        <v>199605</v>
      </c>
      <c r="BB114">
        <v>7.6330473128204801</v>
      </c>
      <c r="BC114">
        <v>5000801</v>
      </c>
      <c r="BE114" s="15">
        <v>201308</v>
      </c>
      <c r="BF114" s="1">
        <f t="shared" si="34"/>
        <v>41275</v>
      </c>
      <c r="BG114" s="3">
        <f t="shared" si="35"/>
        <v>4.25631735601229</v>
      </c>
      <c r="BH114" s="12">
        <f t="shared" si="36"/>
        <v>3084406931.4099998</v>
      </c>
      <c r="BI114" s="3">
        <f t="shared" si="46"/>
        <v>4.2198247850496298</v>
      </c>
      <c r="BJ114" s="12">
        <f t="shared" si="47"/>
        <v>1453371122</v>
      </c>
      <c r="BK114" s="4">
        <f t="shared" si="37"/>
        <v>4.2446294223627348</v>
      </c>
      <c r="BL114" s="3">
        <f t="shared" si="38"/>
        <v>4.2164673527645</v>
      </c>
      <c r="BM114" s="12">
        <f t="shared" si="39"/>
        <v>22660536646.650002</v>
      </c>
      <c r="BN114" s="3">
        <f t="shared" si="48"/>
        <v>4.1223859107368801</v>
      </c>
      <c r="BO114" s="12">
        <f t="shared" si="49"/>
        <v>12602589856</v>
      </c>
      <c r="BP114" s="4">
        <f t="shared" si="40"/>
        <v>4.1828438501279415</v>
      </c>
      <c r="BQ114" s="13">
        <f t="shared" si="41"/>
        <v>6.1785572234793307</v>
      </c>
    </row>
    <row r="115" spans="1:69" x14ac:dyDescent="0.25">
      <c r="A115" s="1">
        <v>41122</v>
      </c>
      <c r="B115">
        <v>3.9298042652729102</v>
      </c>
      <c r="C115">
        <v>4241788726.6399999</v>
      </c>
      <c r="E115" s="1">
        <v>41122</v>
      </c>
      <c r="F115">
        <v>4.0023521744929198</v>
      </c>
      <c r="G115">
        <v>743386516.28999996</v>
      </c>
      <c r="I115" s="1">
        <v>42095</v>
      </c>
      <c r="J115">
        <v>3.92506239550021</v>
      </c>
      <c r="K115">
        <v>1652164942</v>
      </c>
      <c r="M115" s="1">
        <v>42095</v>
      </c>
      <c r="N115">
        <v>4.1154357596153996</v>
      </c>
      <c r="O115">
        <v>726906140</v>
      </c>
      <c r="Q115" s="1">
        <v>41122</v>
      </c>
      <c r="R115" s="3">
        <f t="shared" si="27"/>
        <v>3.9298042652729102</v>
      </c>
      <c r="S115" s="12">
        <f t="shared" si="28"/>
        <v>4241788726.6399999</v>
      </c>
      <c r="T115" s="3">
        <f t="shared" si="42"/>
        <v>3.8924030548966702</v>
      </c>
      <c r="U115" s="12">
        <f t="shared" si="43"/>
        <v>1547715391</v>
      </c>
      <c r="V115" s="4">
        <f t="shared" si="29"/>
        <v>3.9198057528329655</v>
      </c>
      <c r="W115" s="3">
        <f t="shared" si="30"/>
        <v>4.0023521744929198</v>
      </c>
      <c r="X115" s="12">
        <f t="shared" si="31"/>
        <v>743386516.28999996</v>
      </c>
      <c r="Y115" s="3">
        <f t="shared" si="44"/>
        <v>4.0995804032105401</v>
      </c>
      <c r="Z115" s="12">
        <f t="shared" si="45"/>
        <v>365313360</v>
      </c>
      <c r="AA115" s="4">
        <f t="shared" si="32"/>
        <v>4.0343885909111634</v>
      </c>
      <c r="AB115" s="13">
        <f t="shared" si="33"/>
        <v>-11.458283807819791</v>
      </c>
      <c r="AO115" s="15">
        <v>201106</v>
      </c>
      <c r="AP115">
        <v>4.9180520783021402</v>
      </c>
      <c r="AQ115">
        <v>845383455</v>
      </c>
      <c r="AS115" s="15">
        <v>199510</v>
      </c>
      <c r="AT115">
        <v>8.2252461232370706</v>
      </c>
      <c r="AU115">
        <v>3359129.19</v>
      </c>
      <c r="AW115" s="15">
        <v>201302</v>
      </c>
      <c r="AX115">
        <v>3.6450560615659602</v>
      </c>
      <c r="AY115">
        <v>2477909823</v>
      </c>
      <c r="BA115" s="15">
        <v>199606</v>
      </c>
      <c r="BB115">
        <v>7.7109691535131502</v>
      </c>
      <c r="BC115">
        <v>3753750</v>
      </c>
      <c r="BE115" s="15">
        <v>201309</v>
      </c>
      <c r="BF115" s="1">
        <f t="shared" si="34"/>
        <v>41306</v>
      </c>
      <c r="BG115" s="3">
        <f t="shared" si="35"/>
        <v>4.5547250730517996</v>
      </c>
      <c r="BH115" s="12">
        <f t="shared" si="36"/>
        <v>2433879433.75</v>
      </c>
      <c r="BI115" s="3">
        <f t="shared" si="46"/>
        <v>4.5209002052547804</v>
      </c>
      <c r="BJ115" s="12">
        <f t="shared" si="47"/>
        <v>1167456360</v>
      </c>
      <c r="BK115" s="4">
        <f t="shared" si="37"/>
        <v>4.5437599591892379</v>
      </c>
      <c r="BL115" s="3">
        <f t="shared" si="38"/>
        <v>4.5282747620389801</v>
      </c>
      <c r="BM115" s="12">
        <f t="shared" si="39"/>
        <v>18994718688.119999</v>
      </c>
      <c r="BN115" s="3">
        <f t="shared" si="48"/>
        <v>4.4486558786119499</v>
      </c>
      <c r="BO115" s="12">
        <f t="shared" si="49"/>
        <v>10003168895</v>
      </c>
      <c r="BP115" s="4">
        <f t="shared" si="40"/>
        <v>4.500809273876472</v>
      </c>
      <c r="BQ115" s="13">
        <f t="shared" si="41"/>
        <v>4.2950685312765913</v>
      </c>
    </row>
    <row r="116" spans="1:69" x14ac:dyDescent="0.25">
      <c r="A116" s="1">
        <v>41153</v>
      </c>
      <c r="B116">
        <v>3.8423109071771502</v>
      </c>
      <c r="C116">
        <v>4441712526.3500004</v>
      </c>
      <c r="E116" s="1">
        <v>41153</v>
      </c>
      <c r="F116">
        <v>3.9243226513003999</v>
      </c>
      <c r="G116">
        <v>774380052.35000002</v>
      </c>
      <c r="I116" s="1">
        <v>42125</v>
      </c>
      <c r="J116">
        <v>3.9479226811703301</v>
      </c>
      <c r="K116">
        <v>1686564910</v>
      </c>
      <c r="M116" s="1">
        <v>42125</v>
      </c>
      <c r="N116">
        <v>4.12618749840966</v>
      </c>
      <c r="O116">
        <v>825573461</v>
      </c>
      <c r="Q116" s="1">
        <v>41153</v>
      </c>
      <c r="R116" s="3">
        <f t="shared" si="27"/>
        <v>3.8423109071771502</v>
      </c>
      <c r="S116" s="12">
        <f t="shared" si="28"/>
        <v>4441712526.3500004</v>
      </c>
      <c r="T116" s="3">
        <f t="shared" si="42"/>
        <v>3.80766266443747</v>
      </c>
      <c r="U116" s="12">
        <f t="shared" si="43"/>
        <v>1960551473</v>
      </c>
      <c r="V116" s="4">
        <f t="shared" si="29"/>
        <v>3.8317006506574192</v>
      </c>
      <c r="W116" s="3">
        <f t="shared" si="30"/>
        <v>3.9243226513003999</v>
      </c>
      <c r="X116" s="12">
        <f t="shared" si="31"/>
        <v>774380052.35000002</v>
      </c>
      <c r="Y116" s="3">
        <f t="shared" si="44"/>
        <v>3.9558656538333801</v>
      </c>
      <c r="Z116" s="12">
        <f t="shared" si="45"/>
        <v>404895989</v>
      </c>
      <c r="AA116" s="4">
        <f t="shared" si="32"/>
        <v>3.9351527154743486</v>
      </c>
      <c r="AB116" s="13">
        <f t="shared" si="33"/>
        <v>-10.345206481692948</v>
      </c>
      <c r="AO116" s="15">
        <v>201107</v>
      </c>
      <c r="AP116">
        <v>4.7761996799839501</v>
      </c>
      <c r="AQ116">
        <v>1285246943.25</v>
      </c>
      <c r="AS116" s="15">
        <v>199511</v>
      </c>
      <c r="AT116">
        <v>7.9195535140193298</v>
      </c>
      <c r="AU116">
        <v>3483760</v>
      </c>
      <c r="AW116" s="15">
        <v>201303</v>
      </c>
      <c r="AX116">
        <v>3.7125813424748602</v>
      </c>
      <c r="AY116">
        <v>1892708714</v>
      </c>
      <c r="BA116" s="15">
        <v>199607</v>
      </c>
      <c r="BB116">
        <v>7.7927319270638797</v>
      </c>
      <c r="BC116">
        <v>3128656</v>
      </c>
      <c r="BE116" s="15">
        <v>201310</v>
      </c>
      <c r="BF116" s="1">
        <f t="shared" si="34"/>
        <v>41334</v>
      </c>
      <c r="BG116" s="3">
        <f t="shared" si="35"/>
        <v>4.69284129165636</v>
      </c>
      <c r="BH116" s="12">
        <f t="shared" si="36"/>
        <v>1934000221.71</v>
      </c>
      <c r="BI116" s="3">
        <f t="shared" si="46"/>
        <v>4.69729283826182</v>
      </c>
      <c r="BJ116" s="12">
        <f t="shared" si="47"/>
        <v>813187254</v>
      </c>
      <c r="BK116" s="4">
        <f t="shared" si="37"/>
        <v>4.6941589814726372</v>
      </c>
      <c r="BL116" s="3">
        <f t="shared" si="38"/>
        <v>4.6840237001599201</v>
      </c>
      <c r="BM116" s="12">
        <f t="shared" si="39"/>
        <v>15305841527.07</v>
      </c>
      <c r="BN116" s="3">
        <f t="shared" si="48"/>
        <v>4.6177680706180002</v>
      </c>
      <c r="BO116" s="12">
        <f t="shared" si="49"/>
        <v>7291380779</v>
      </c>
      <c r="BP116" s="4">
        <f t="shared" si="40"/>
        <v>4.6626451865886862</v>
      </c>
      <c r="BQ116" s="13">
        <f t="shared" si="41"/>
        <v>3.1513794883951007</v>
      </c>
    </row>
    <row r="117" spans="1:69" x14ac:dyDescent="0.25">
      <c r="A117" s="1">
        <v>41183</v>
      </c>
      <c r="B117">
        <v>3.7806536542814402</v>
      </c>
      <c r="C117">
        <v>3149335198.3200002</v>
      </c>
      <c r="E117" s="1">
        <v>41183</v>
      </c>
      <c r="F117">
        <v>3.8923975234300001</v>
      </c>
      <c r="G117">
        <v>599018841.13999999</v>
      </c>
      <c r="I117" s="1">
        <v>42156</v>
      </c>
      <c r="J117">
        <v>3.9802143923137998</v>
      </c>
      <c r="K117">
        <v>1927477915</v>
      </c>
      <c r="M117" s="1">
        <v>42156</v>
      </c>
      <c r="N117">
        <v>4.1294691080122297</v>
      </c>
      <c r="O117">
        <v>869728138</v>
      </c>
      <c r="Q117" s="1">
        <v>41183</v>
      </c>
      <c r="R117" s="3">
        <f t="shared" si="27"/>
        <v>3.7806536542814402</v>
      </c>
      <c r="S117" s="12">
        <f t="shared" si="28"/>
        <v>3149335198.3200002</v>
      </c>
      <c r="T117" s="3">
        <f t="shared" si="42"/>
        <v>3.77805547204823</v>
      </c>
      <c r="U117" s="12">
        <f t="shared" si="43"/>
        <v>2785800235</v>
      </c>
      <c r="V117" s="4">
        <f t="shared" si="29"/>
        <v>3.7794341342288371</v>
      </c>
      <c r="W117" s="3">
        <f t="shared" si="30"/>
        <v>3.8923975234300001</v>
      </c>
      <c r="X117" s="12">
        <f t="shared" si="31"/>
        <v>599018841.13999999</v>
      </c>
      <c r="Y117" s="3">
        <f t="shared" si="44"/>
        <v>3.8956928109778</v>
      </c>
      <c r="Z117" s="12">
        <f t="shared" si="45"/>
        <v>542186071</v>
      </c>
      <c r="AA117" s="4">
        <f t="shared" si="32"/>
        <v>3.8939631134387276</v>
      </c>
      <c r="AB117" s="13">
        <f t="shared" si="33"/>
        <v>-11.452897920989047</v>
      </c>
      <c r="AO117" s="15">
        <v>201108</v>
      </c>
      <c r="AP117">
        <v>4.7095702458435804</v>
      </c>
      <c r="AQ117">
        <v>1479521819.6500001</v>
      </c>
      <c r="AS117" s="15">
        <v>199512</v>
      </c>
      <c r="AT117">
        <v>7.7879246911053803</v>
      </c>
      <c r="AU117">
        <v>4148605.84</v>
      </c>
      <c r="AW117" s="15">
        <v>201304</v>
      </c>
      <c r="AX117">
        <v>3.8015607201309201</v>
      </c>
      <c r="AY117">
        <v>1666989604</v>
      </c>
      <c r="BA117" s="15">
        <v>199608</v>
      </c>
      <c r="BB117">
        <v>8.1007925562365095</v>
      </c>
      <c r="BC117">
        <v>2220221</v>
      </c>
      <c r="BE117" s="15">
        <v>201311</v>
      </c>
      <c r="BF117" s="1">
        <f t="shared" si="34"/>
        <v>41365</v>
      </c>
      <c r="BG117" s="3">
        <f t="shared" si="35"/>
        <v>4.61061185907755</v>
      </c>
      <c r="BH117" s="12">
        <f t="shared" si="36"/>
        <v>1835204200.8299999</v>
      </c>
      <c r="BI117" s="3">
        <f t="shared" si="46"/>
        <v>4.6134670357917802</v>
      </c>
      <c r="BJ117" s="12">
        <f t="shared" si="47"/>
        <v>1043332765</v>
      </c>
      <c r="BK117" s="4">
        <f t="shared" si="37"/>
        <v>4.6116467248622115</v>
      </c>
      <c r="BL117" s="3">
        <f t="shared" si="38"/>
        <v>4.6419434039718297</v>
      </c>
      <c r="BM117" s="12">
        <f t="shared" si="39"/>
        <v>14187222582.200001</v>
      </c>
      <c r="BN117" s="3">
        <f t="shared" si="48"/>
        <v>4.59793250704175</v>
      </c>
      <c r="BO117" s="12">
        <f t="shared" si="49"/>
        <v>8209169066</v>
      </c>
      <c r="BP117" s="4">
        <f t="shared" si="40"/>
        <v>4.6258116583174198</v>
      </c>
      <c r="BQ117" s="13">
        <f t="shared" si="41"/>
        <v>-1.4164933455208306</v>
      </c>
    </row>
    <row r="118" spans="1:69" x14ac:dyDescent="0.25">
      <c r="A118" s="1">
        <v>41214</v>
      </c>
      <c r="B118">
        <v>3.7088106795192002</v>
      </c>
      <c r="C118">
        <v>5858738517.5299997</v>
      </c>
      <c r="E118" s="1">
        <v>41214</v>
      </c>
      <c r="F118">
        <v>3.80251749709136</v>
      </c>
      <c r="G118">
        <v>1070839693.41</v>
      </c>
      <c r="I118" s="1">
        <v>42186</v>
      </c>
      <c r="J118">
        <v>4.0816576998933503</v>
      </c>
      <c r="K118">
        <v>1781323424</v>
      </c>
      <c r="M118" s="1">
        <v>42186</v>
      </c>
      <c r="N118">
        <v>4.2419309725037504</v>
      </c>
      <c r="O118">
        <v>825234379</v>
      </c>
      <c r="Q118" s="1">
        <v>41214</v>
      </c>
      <c r="R118" s="3">
        <f t="shared" si="27"/>
        <v>3.7088106795192002</v>
      </c>
      <c r="S118" s="12">
        <f t="shared" si="28"/>
        <v>5858738517.5299997</v>
      </c>
      <c r="T118" s="3">
        <f t="shared" si="42"/>
        <v>3.6842258857779799</v>
      </c>
      <c r="U118" s="12">
        <f t="shared" si="43"/>
        <v>3157395279</v>
      </c>
      <c r="V118" s="4">
        <f t="shared" si="29"/>
        <v>3.7002012341132779</v>
      </c>
      <c r="W118" s="3">
        <f t="shared" si="30"/>
        <v>3.80251749709136</v>
      </c>
      <c r="X118" s="12">
        <f t="shared" si="31"/>
        <v>1070839693.41</v>
      </c>
      <c r="Y118" s="3">
        <f t="shared" si="44"/>
        <v>3.8386087765179902</v>
      </c>
      <c r="Z118" s="12">
        <f t="shared" si="45"/>
        <v>630550157</v>
      </c>
      <c r="AA118" s="4">
        <f t="shared" si="32"/>
        <v>3.8158932451030863</v>
      </c>
      <c r="AB118" s="13">
        <f t="shared" si="33"/>
        <v>-11.56920109898083</v>
      </c>
      <c r="AO118" s="15">
        <v>201109</v>
      </c>
      <c r="AP118">
        <v>4.5687263016276898</v>
      </c>
      <c r="AQ118">
        <v>2129627056.4300001</v>
      </c>
      <c r="AS118" s="15">
        <v>199601</v>
      </c>
      <c r="AT118">
        <v>8.0526710341913503</v>
      </c>
      <c r="AU118">
        <v>3218250.08</v>
      </c>
      <c r="AW118" s="15">
        <v>201305</v>
      </c>
      <c r="AX118">
        <v>3.8063989018614901</v>
      </c>
      <c r="AY118">
        <v>1796019167</v>
      </c>
      <c r="BA118" s="15">
        <v>199609</v>
      </c>
      <c r="BB118">
        <v>7.9047507887724304</v>
      </c>
      <c r="BC118">
        <v>1713105</v>
      </c>
      <c r="BE118" s="15">
        <v>201312</v>
      </c>
      <c r="BF118" s="1">
        <f t="shared" si="34"/>
        <v>41395</v>
      </c>
      <c r="BG118" s="3">
        <f t="shared" si="35"/>
        <v>4.4905389298918896</v>
      </c>
      <c r="BH118" s="12">
        <f t="shared" si="36"/>
        <v>1543800922</v>
      </c>
      <c r="BI118" s="3">
        <f t="shared" si="46"/>
        <v>4.4777196054223403</v>
      </c>
      <c r="BJ118" s="12">
        <f t="shared" si="47"/>
        <v>1218362562</v>
      </c>
      <c r="BK118" s="4">
        <f t="shared" si="37"/>
        <v>4.4848844546610422</v>
      </c>
      <c r="BL118" s="3">
        <f t="shared" si="38"/>
        <v>4.5197710860352096</v>
      </c>
      <c r="BM118" s="12">
        <f t="shared" si="39"/>
        <v>11902384047.469999</v>
      </c>
      <c r="BN118" s="3">
        <f t="shared" si="48"/>
        <v>4.4537309491549602</v>
      </c>
      <c r="BO118" s="12">
        <f t="shared" si="49"/>
        <v>8616347214</v>
      </c>
      <c r="BP118" s="4">
        <f t="shared" si="40"/>
        <v>4.4920391204390313</v>
      </c>
      <c r="BQ118" s="13">
        <f t="shared" si="41"/>
        <v>-0.71546657779890666</v>
      </c>
    </row>
    <row r="119" spans="1:69" x14ac:dyDescent="0.25">
      <c r="A119" s="1">
        <v>41244</v>
      </c>
      <c r="B119">
        <v>3.6252170291732799</v>
      </c>
      <c r="C119">
        <v>2615020839.9200001</v>
      </c>
      <c r="E119" s="1">
        <v>41244</v>
      </c>
      <c r="F119">
        <v>3.7093569284769998</v>
      </c>
      <c r="G119">
        <v>523844843</v>
      </c>
      <c r="I119" s="1">
        <v>42217</v>
      </c>
      <c r="J119">
        <v>4.1578089975116796</v>
      </c>
      <c r="K119">
        <v>1245325174</v>
      </c>
      <c r="M119" s="1">
        <v>42217</v>
      </c>
      <c r="N119">
        <v>4.3263575606327001</v>
      </c>
      <c r="O119">
        <v>728296211</v>
      </c>
      <c r="Q119" s="1">
        <v>41244</v>
      </c>
      <c r="R119" s="3">
        <f t="shared" si="27"/>
        <v>3.6252170291732799</v>
      </c>
      <c r="S119" s="12">
        <f t="shared" si="28"/>
        <v>2615020839.9200001</v>
      </c>
      <c r="T119" s="3">
        <f t="shared" si="42"/>
        <v>3.6520187944123599</v>
      </c>
      <c r="U119" s="12">
        <f t="shared" si="43"/>
        <v>1109764306</v>
      </c>
      <c r="V119" s="4">
        <f t="shared" si="29"/>
        <v>3.6332023602017562</v>
      </c>
      <c r="W119" s="3">
        <f t="shared" si="30"/>
        <v>3.7093569284769998</v>
      </c>
      <c r="X119" s="12">
        <f t="shared" si="31"/>
        <v>523844843</v>
      </c>
      <c r="Y119" s="3">
        <f t="shared" si="44"/>
        <v>3.77964307980201</v>
      </c>
      <c r="Z119" s="12">
        <f t="shared" si="45"/>
        <v>271038864</v>
      </c>
      <c r="AA119" s="4">
        <f t="shared" si="32"/>
        <v>3.7333230488570002</v>
      </c>
      <c r="AB119" s="13">
        <f t="shared" si="33"/>
        <v>-10.012068865524393</v>
      </c>
      <c r="AO119" s="15">
        <v>201110</v>
      </c>
      <c r="AP119">
        <v>4.4036783302696803</v>
      </c>
      <c r="AQ119">
        <v>5084788662.7700005</v>
      </c>
      <c r="AS119" s="15">
        <v>199602</v>
      </c>
      <c r="AT119">
        <v>7.6828660714712997</v>
      </c>
      <c r="AU119">
        <v>5191987.1500000004</v>
      </c>
      <c r="AW119" s="15">
        <v>201306</v>
      </c>
      <c r="AX119">
        <v>3.7288564730645799</v>
      </c>
      <c r="AY119">
        <v>2554376145</v>
      </c>
      <c r="BA119" s="15">
        <v>199610</v>
      </c>
      <c r="BB119">
        <v>8.0224117327334508</v>
      </c>
      <c r="BC119">
        <v>1988846</v>
      </c>
      <c r="BE119" s="15">
        <v>201401</v>
      </c>
      <c r="BF119" s="1">
        <f t="shared" si="34"/>
        <v>41426</v>
      </c>
      <c r="BG119" s="3">
        <f t="shared" si="35"/>
        <v>4.5584983741135101</v>
      </c>
      <c r="BH119" s="12">
        <f t="shared" si="36"/>
        <v>1385609314.26</v>
      </c>
      <c r="BI119" s="3">
        <f t="shared" si="46"/>
        <v>4.5677657284356901</v>
      </c>
      <c r="BJ119" s="12">
        <f t="shared" si="47"/>
        <v>1117025802</v>
      </c>
      <c r="BK119" s="4">
        <f t="shared" si="37"/>
        <v>4.5626347637241622</v>
      </c>
      <c r="BL119" s="3">
        <f t="shared" si="38"/>
        <v>4.5588937221631198</v>
      </c>
      <c r="BM119" s="12">
        <f t="shared" si="39"/>
        <v>11634291678.629999</v>
      </c>
      <c r="BN119" s="3">
        <f t="shared" si="48"/>
        <v>4.5078046661429196</v>
      </c>
      <c r="BO119" s="12">
        <f t="shared" si="49"/>
        <v>8706457838</v>
      </c>
      <c r="BP119" s="4">
        <f t="shared" si="40"/>
        <v>4.5370260563792488</v>
      </c>
      <c r="BQ119" s="13">
        <f t="shared" si="41"/>
        <v>2.5608707344913384</v>
      </c>
    </row>
    <row r="120" spans="1:69" x14ac:dyDescent="0.25">
      <c r="A120" s="1">
        <v>41275</v>
      </c>
      <c r="B120">
        <v>3.6205512170085501</v>
      </c>
      <c r="C120">
        <v>4651009109.4499998</v>
      </c>
      <c r="E120" s="1">
        <v>41275</v>
      </c>
      <c r="F120">
        <v>3.6973956690300098</v>
      </c>
      <c r="G120">
        <v>928511347.50999999</v>
      </c>
      <c r="I120" s="1">
        <v>42248</v>
      </c>
      <c r="J120">
        <v>4.2055466558468799</v>
      </c>
      <c r="K120">
        <v>1021946898</v>
      </c>
      <c r="M120" s="1">
        <v>42248</v>
      </c>
      <c r="N120">
        <v>4.4002295905874904</v>
      </c>
      <c r="O120">
        <v>659708774</v>
      </c>
      <c r="Q120" s="1">
        <v>41275</v>
      </c>
      <c r="R120" s="3">
        <f t="shared" si="27"/>
        <v>3.6205512170085501</v>
      </c>
      <c r="S120" s="12">
        <f t="shared" si="28"/>
        <v>4651009109.4499998</v>
      </c>
      <c r="T120" s="3">
        <f t="shared" si="42"/>
        <v>3.6333638013032901</v>
      </c>
      <c r="U120" s="12">
        <f t="shared" si="43"/>
        <v>2003795573</v>
      </c>
      <c r="V120" s="4">
        <f t="shared" si="29"/>
        <v>3.6244091513753087</v>
      </c>
      <c r="W120" s="3">
        <f t="shared" si="30"/>
        <v>3.6973956690300098</v>
      </c>
      <c r="X120" s="12">
        <f t="shared" si="31"/>
        <v>928511347.50999999</v>
      </c>
      <c r="Y120" s="3">
        <f t="shared" si="44"/>
        <v>3.74872574992665</v>
      </c>
      <c r="Z120" s="12">
        <f t="shared" si="45"/>
        <v>438781611</v>
      </c>
      <c r="AA120" s="4">
        <f t="shared" si="32"/>
        <v>3.7138681414788786</v>
      </c>
      <c r="AB120" s="13">
        <f t="shared" si="33"/>
        <v>-8.9458990103569835</v>
      </c>
      <c r="AO120" s="15">
        <v>201111</v>
      </c>
      <c r="AP120">
        <v>4.2872771684008404</v>
      </c>
      <c r="AQ120">
        <v>2530028291.8699999</v>
      </c>
      <c r="AS120" s="15">
        <v>199603</v>
      </c>
      <c r="AT120">
        <v>7.53851993394606</v>
      </c>
      <c r="AU120">
        <v>5774172.0899999999</v>
      </c>
      <c r="AW120" s="15">
        <v>201307</v>
      </c>
      <c r="AX120">
        <v>3.8509404233649702</v>
      </c>
      <c r="AY120">
        <v>2129190612</v>
      </c>
      <c r="BA120" s="15">
        <v>199611</v>
      </c>
      <c r="BB120">
        <v>7.6756644344792102</v>
      </c>
      <c r="BC120">
        <v>1651743</v>
      </c>
      <c r="BE120" s="15">
        <v>201402</v>
      </c>
      <c r="BF120" s="1">
        <f t="shared" si="34"/>
        <v>41456</v>
      </c>
      <c r="BG120" s="3">
        <f t="shared" si="35"/>
        <v>4.6827246880100297</v>
      </c>
      <c r="BH120" s="12">
        <f t="shared" si="36"/>
        <v>954797717.58000004</v>
      </c>
      <c r="BI120" s="3">
        <f t="shared" si="46"/>
        <v>4.69837537141012</v>
      </c>
      <c r="BJ120" s="12">
        <f t="shared" si="47"/>
        <v>745102196</v>
      </c>
      <c r="BK120" s="4">
        <f t="shared" si="37"/>
        <v>4.6895847145781522</v>
      </c>
      <c r="BL120" s="3">
        <f t="shared" si="38"/>
        <v>4.7049309457372699</v>
      </c>
      <c r="BM120" s="12">
        <f t="shared" si="39"/>
        <v>8795996613.5699997</v>
      </c>
      <c r="BN120" s="3">
        <f t="shared" si="48"/>
        <v>4.6372911222645596</v>
      </c>
      <c r="BO120" s="12">
        <f t="shared" si="49"/>
        <v>5989248516</v>
      </c>
      <c r="BP120" s="4">
        <f t="shared" si="40"/>
        <v>4.6775312165609018</v>
      </c>
      <c r="BQ120" s="13">
        <f t="shared" si="41"/>
        <v>1.2053498017250419</v>
      </c>
    </row>
    <row r="121" spans="1:69" x14ac:dyDescent="0.25">
      <c r="A121" s="1">
        <v>41306</v>
      </c>
      <c r="B121">
        <v>3.6205427239598502</v>
      </c>
      <c r="C121">
        <v>3658707132.04</v>
      </c>
      <c r="E121" s="1">
        <v>41306</v>
      </c>
      <c r="F121">
        <v>3.7047875828117798</v>
      </c>
      <c r="G121">
        <v>857744344.89999998</v>
      </c>
      <c r="I121" s="1">
        <v>42278</v>
      </c>
      <c r="J121">
        <v>4.1983477524589903</v>
      </c>
      <c r="K121">
        <v>921851503</v>
      </c>
      <c r="M121" s="1">
        <v>42278</v>
      </c>
      <c r="N121">
        <v>4.3840273048532703</v>
      </c>
      <c r="O121">
        <v>586113642</v>
      </c>
      <c r="Q121" s="1">
        <v>41306</v>
      </c>
      <c r="R121" s="3">
        <f t="shared" si="27"/>
        <v>3.6205427239598502</v>
      </c>
      <c r="S121" s="12">
        <f t="shared" si="28"/>
        <v>3658707132.04</v>
      </c>
      <c r="T121" s="3">
        <f t="shared" si="42"/>
        <v>3.6299531832230598</v>
      </c>
      <c r="U121" s="12">
        <f t="shared" si="43"/>
        <v>1758004574</v>
      </c>
      <c r="V121" s="4">
        <f t="shared" si="29"/>
        <v>3.6235969072588645</v>
      </c>
      <c r="W121" s="3">
        <f t="shared" si="30"/>
        <v>3.7047875828117798</v>
      </c>
      <c r="X121" s="12">
        <f t="shared" si="31"/>
        <v>857744344.89999998</v>
      </c>
      <c r="Y121" s="3">
        <f t="shared" si="44"/>
        <v>3.77265686140611</v>
      </c>
      <c r="Z121" s="12">
        <f t="shared" si="45"/>
        <v>440990389</v>
      </c>
      <c r="AA121" s="4">
        <f t="shared" si="32"/>
        <v>3.7278328581765079</v>
      </c>
      <c r="AB121" s="13">
        <f t="shared" si="33"/>
        <v>-10.423595091764337</v>
      </c>
      <c r="AO121" s="15">
        <v>201112</v>
      </c>
      <c r="AP121">
        <v>4.25353438385216</v>
      </c>
      <c r="AQ121">
        <v>2696155855.0500002</v>
      </c>
      <c r="AS121" s="15">
        <v>199604</v>
      </c>
      <c r="AT121">
        <v>7.4464500075478002</v>
      </c>
      <c r="AU121">
        <v>4556028.5599999996</v>
      </c>
      <c r="AW121" s="15">
        <v>201308</v>
      </c>
      <c r="AX121">
        <v>4.2198247850496298</v>
      </c>
      <c r="AY121">
        <v>1453371122</v>
      </c>
      <c r="BA121" s="15">
        <v>199612</v>
      </c>
      <c r="BB121">
        <v>7.60845821106534</v>
      </c>
      <c r="BC121">
        <v>2124091</v>
      </c>
      <c r="BE121" s="15">
        <v>201403</v>
      </c>
      <c r="BF121" s="1">
        <f t="shared" si="34"/>
        <v>41487</v>
      </c>
      <c r="BG121" s="3">
        <f t="shared" si="35"/>
        <v>4.6052216314546799</v>
      </c>
      <c r="BH121" s="12">
        <f t="shared" si="36"/>
        <v>983214985.5</v>
      </c>
      <c r="BI121" s="3">
        <f t="shared" si="46"/>
        <v>4.61598737073259</v>
      </c>
      <c r="BJ121" s="12">
        <f t="shared" si="47"/>
        <v>822591182</v>
      </c>
      <c r="BK121" s="4">
        <f t="shared" si="37"/>
        <v>4.6101257027537494</v>
      </c>
      <c r="BL121" s="3">
        <f t="shared" si="38"/>
        <v>4.6755723852233197</v>
      </c>
      <c r="BM121" s="12">
        <f t="shared" si="39"/>
        <v>8344696312.3900003</v>
      </c>
      <c r="BN121" s="3">
        <f t="shared" si="48"/>
        <v>4.6133486060071096</v>
      </c>
      <c r="BO121" s="12">
        <f t="shared" si="49"/>
        <v>5951901828</v>
      </c>
      <c r="BP121" s="4">
        <f t="shared" si="40"/>
        <v>4.6496676335036966</v>
      </c>
      <c r="BQ121" s="13">
        <f t="shared" si="41"/>
        <v>-3.9541930749947163</v>
      </c>
    </row>
    <row r="122" spans="1:69" x14ac:dyDescent="0.25">
      <c r="A122" s="1">
        <v>41334</v>
      </c>
      <c r="B122">
        <v>3.6839315961802499</v>
      </c>
      <c r="C122">
        <v>3220076373.3099999</v>
      </c>
      <c r="E122" s="1">
        <v>41334</v>
      </c>
      <c r="F122">
        <v>3.76323220689184</v>
      </c>
      <c r="G122">
        <v>750868265</v>
      </c>
      <c r="I122" s="1">
        <v>42309</v>
      </c>
      <c r="J122">
        <v>4.1661091798361802</v>
      </c>
      <c r="K122">
        <v>705829077</v>
      </c>
      <c r="M122" s="1">
        <v>42309</v>
      </c>
      <c r="N122">
        <v>4.3632466388916598</v>
      </c>
      <c r="O122">
        <v>466091492</v>
      </c>
      <c r="Q122" s="1">
        <v>41334</v>
      </c>
      <c r="R122" s="3">
        <f t="shared" si="27"/>
        <v>3.6839315961802499</v>
      </c>
      <c r="S122" s="12">
        <f t="shared" si="28"/>
        <v>3220076373.3099999</v>
      </c>
      <c r="T122" s="3">
        <f t="shared" si="42"/>
        <v>3.6476116664209801</v>
      </c>
      <c r="U122" s="12">
        <f t="shared" si="43"/>
        <v>2442071449</v>
      </c>
      <c r="V122" s="4">
        <f t="shared" si="29"/>
        <v>3.6682668932656921</v>
      </c>
      <c r="W122" s="3">
        <f t="shared" si="30"/>
        <v>3.76323220689184</v>
      </c>
      <c r="X122" s="12">
        <f t="shared" si="31"/>
        <v>750868265</v>
      </c>
      <c r="Y122" s="3">
        <f t="shared" si="44"/>
        <v>3.7522502650768299</v>
      </c>
      <c r="Z122" s="12">
        <f t="shared" si="45"/>
        <v>623634284</v>
      </c>
      <c r="AA122" s="4">
        <f t="shared" si="32"/>
        <v>3.75824952030045</v>
      </c>
      <c r="AB122" s="13">
        <f t="shared" si="33"/>
        <v>-8.99826270347579</v>
      </c>
      <c r="AO122" s="15">
        <v>201201</v>
      </c>
      <c r="AP122">
        <v>4.2547284145506801</v>
      </c>
      <c r="AQ122">
        <v>2827504738.4699998</v>
      </c>
      <c r="AS122" s="15">
        <v>199605</v>
      </c>
      <c r="AT122">
        <v>7.2080917446336104</v>
      </c>
      <c r="AU122">
        <v>3704134.69</v>
      </c>
      <c r="AW122" s="15">
        <v>201309</v>
      </c>
      <c r="AX122">
        <v>4.5209002052547804</v>
      </c>
      <c r="AY122">
        <v>1167456360</v>
      </c>
      <c r="BA122" s="15">
        <v>199701</v>
      </c>
      <c r="BB122">
        <v>7.6887244370531702</v>
      </c>
      <c r="BC122">
        <v>2615700</v>
      </c>
      <c r="BE122" s="15">
        <v>201404</v>
      </c>
      <c r="BF122" s="1">
        <f t="shared" si="34"/>
        <v>41518</v>
      </c>
      <c r="BG122" s="3">
        <f t="shared" si="35"/>
        <v>4.5723872522670801</v>
      </c>
      <c r="BH122" s="12">
        <f t="shared" si="36"/>
        <v>1303745581.8599999</v>
      </c>
      <c r="BI122" s="3">
        <f t="shared" si="46"/>
        <v>4.5791442693529998</v>
      </c>
      <c r="BJ122" s="12">
        <f t="shared" si="47"/>
        <v>1057565386</v>
      </c>
      <c r="BK122" s="4">
        <f t="shared" si="37"/>
        <v>4.5754135319396623</v>
      </c>
      <c r="BL122" s="3">
        <f t="shared" si="38"/>
        <v>4.6126039737385698</v>
      </c>
      <c r="BM122" s="12">
        <f t="shared" si="39"/>
        <v>10094965774.690001</v>
      </c>
      <c r="BN122" s="3">
        <f t="shared" si="48"/>
        <v>4.5618033217379397</v>
      </c>
      <c r="BO122" s="12">
        <f t="shared" si="49"/>
        <v>7560180431</v>
      </c>
      <c r="BP122" s="4">
        <f t="shared" si="40"/>
        <v>4.5908504243392771</v>
      </c>
      <c r="BQ122" s="13">
        <f t="shared" si="41"/>
        <v>-1.5436892399614877</v>
      </c>
    </row>
    <row r="123" spans="1:69" x14ac:dyDescent="0.25">
      <c r="A123" s="1">
        <v>41365</v>
      </c>
      <c r="B123">
        <v>3.7319711591047899</v>
      </c>
      <c r="C123">
        <v>3473621038.5599999</v>
      </c>
      <c r="E123" s="1">
        <v>41365</v>
      </c>
      <c r="F123">
        <v>3.8206332041683</v>
      </c>
      <c r="G123">
        <v>923808049.01999998</v>
      </c>
      <c r="I123" s="1">
        <v>42339</v>
      </c>
      <c r="J123">
        <v>4.1351054735638098</v>
      </c>
      <c r="K123">
        <v>359030819</v>
      </c>
      <c r="M123" s="1">
        <v>42339</v>
      </c>
      <c r="N123">
        <v>4.3712525648592102</v>
      </c>
      <c r="O123">
        <v>265674913</v>
      </c>
      <c r="Q123" s="1">
        <v>41365</v>
      </c>
      <c r="R123" s="3">
        <f t="shared" si="27"/>
        <v>3.7319711591047899</v>
      </c>
      <c r="S123" s="12">
        <f t="shared" si="28"/>
        <v>3473621038.5599999</v>
      </c>
      <c r="T123" s="3">
        <f t="shared" si="42"/>
        <v>3.73357757354322</v>
      </c>
      <c r="U123" s="12">
        <f t="shared" si="43"/>
        <v>1406909862</v>
      </c>
      <c r="V123" s="4">
        <f t="shared" si="29"/>
        <v>3.73243423993799</v>
      </c>
      <c r="W123" s="3">
        <f t="shared" si="30"/>
        <v>3.8206332041683</v>
      </c>
      <c r="X123" s="12">
        <f t="shared" si="31"/>
        <v>923808049.01999998</v>
      </c>
      <c r="Y123" s="3">
        <f t="shared" si="44"/>
        <v>3.8492167967153001</v>
      </c>
      <c r="Z123" s="12">
        <f t="shared" si="45"/>
        <v>435434397</v>
      </c>
      <c r="AA123" s="4">
        <f t="shared" si="32"/>
        <v>3.8297899807398679</v>
      </c>
      <c r="AB123" s="13">
        <f t="shared" si="33"/>
        <v>-9.7355740801877921</v>
      </c>
      <c r="AO123" s="15">
        <v>201202</v>
      </c>
      <c r="AP123">
        <v>4.17613306355479</v>
      </c>
      <c r="AQ123">
        <v>3172675531.3899999</v>
      </c>
      <c r="AS123" s="15">
        <v>199606</v>
      </c>
      <c r="AT123">
        <v>7.9428141549808098</v>
      </c>
      <c r="AU123">
        <v>2861438</v>
      </c>
      <c r="AW123" s="15">
        <v>201310</v>
      </c>
      <c r="AX123">
        <v>4.69729283826182</v>
      </c>
      <c r="AY123">
        <v>813187254</v>
      </c>
      <c r="BA123" s="15">
        <v>199702</v>
      </c>
      <c r="BB123">
        <v>7.8238246683524801</v>
      </c>
      <c r="BC123">
        <v>3278330</v>
      </c>
      <c r="BE123" s="15">
        <v>201405</v>
      </c>
      <c r="BF123" s="1">
        <f t="shared" si="34"/>
        <v>41548</v>
      </c>
      <c r="BG123" s="3">
        <f t="shared" si="35"/>
        <v>4.5911348892063399</v>
      </c>
      <c r="BH123" s="12">
        <f t="shared" si="36"/>
        <v>1296606792.0699999</v>
      </c>
      <c r="BI123" s="3">
        <f t="shared" si="46"/>
        <v>4.6015089644404004</v>
      </c>
      <c r="BJ123" s="12">
        <f t="shared" si="47"/>
        <v>1069120555</v>
      </c>
      <c r="BK123" s="4">
        <f t="shared" si="37"/>
        <v>4.5958231459006651</v>
      </c>
      <c r="BL123" s="3">
        <f t="shared" si="38"/>
        <v>4.6303669865879602</v>
      </c>
      <c r="BM123" s="12">
        <f t="shared" si="39"/>
        <v>10615148922.58</v>
      </c>
      <c r="BN123" s="3">
        <f t="shared" si="48"/>
        <v>4.5799147562982103</v>
      </c>
      <c r="BO123" s="12">
        <f t="shared" si="49"/>
        <v>7811056161</v>
      </c>
      <c r="BP123" s="4">
        <f t="shared" si="40"/>
        <v>4.6089797718872978</v>
      </c>
      <c r="BQ123" s="13">
        <f t="shared" si="41"/>
        <v>-1.3156625986632697</v>
      </c>
    </row>
    <row r="124" spans="1:69" x14ac:dyDescent="0.25">
      <c r="A124" s="1">
        <v>41395</v>
      </c>
      <c r="B124">
        <v>3.7642436920987099</v>
      </c>
      <c r="C124">
        <v>3491432924.8699999</v>
      </c>
      <c r="E124" s="1">
        <v>41395</v>
      </c>
      <c r="F124">
        <v>3.8738365215856199</v>
      </c>
      <c r="G124">
        <v>943797573.45000005</v>
      </c>
      <c r="Q124" s="1">
        <v>41395</v>
      </c>
      <c r="R124" s="3">
        <f t="shared" si="27"/>
        <v>3.7642436920987099</v>
      </c>
      <c r="S124" s="12">
        <f t="shared" si="28"/>
        <v>3491432924.8699999</v>
      </c>
      <c r="T124" s="3">
        <f t="shared" si="42"/>
        <v>3.7613040262216999</v>
      </c>
      <c r="U124" s="12">
        <f t="shared" si="43"/>
        <v>1398983889</v>
      </c>
      <c r="V124" s="4">
        <f t="shared" si="29"/>
        <v>3.763402752490185</v>
      </c>
      <c r="W124" s="3">
        <f t="shared" si="30"/>
        <v>3.8738365215856199</v>
      </c>
      <c r="X124" s="12">
        <f t="shared" si="31"/>
        <v>943797573.45000005</v>
      </c>
      <c r="Y124" s="3">
        <f t="shared" si="44"/>
        <v>3.8755758057240701</v>
      </c>
      <c r="Z124" s="12">
        <f t="shared" si="45"/>
        <v>467749117</v>
      </c>
      <c r="AA124" s="4">
        <f t="shared" si="32"/>
        <v>3.874412874196183</v>
      </c>
      <c r="AB124" s="13">
        <f t="shared" si="33"/>
        <v>-11.1010121705998</v>
      </c>
      <c r="AO124" s="15">
        <v>201203</v>
      </c>
      <c r="AP124">
        <v>4.1128968399599799</v>
      </c>
      <c r="AQ124">
        <v>3856539658.7199998</v>
      </c>
      <c r="AS124" s="15">
        <v>199607</v>
      </c>
      <c r="AT124">
        <v>8.2292797760822207</v>
      </c>
      <c r="AU124">
        <v>2296485.7999999998</v>
      </c>
      <c r="AW124" s="15">
        <v>201311</v>
      </c>
      <c r="AX124">
        <v>4.6134670357917802</v>
      </c>
      <c r="AY124">
        <v>1043332765</v>
      </c>
      <c r="BA124" s="15">
        <v>199703</v>
      </c>
      <c r="BB124">
        <v>7.8264594916017503</v>
      </c>
      <c r="BC124">
        <v>2009645</v>
      </c>
      <c r="BE124" s="15">
        <v>201406</v>
      </c>
      <c r="BF124" s="1">
        <f t="shared" si="34"/>
        <v>41579</v>
      </c>
      <c r="BG124" s="3">
        <f t="shared" si="35"/>
        <v>4.5165739778538896</v>
      </c>
      <c r="BH124" s="12">
        <f t="shared" si="36"/>
        <v>1478601825.8699999</v>
      </c>
      <c r="BI124" s="3">
        <f t="shared" si="46"/>
        <v>4.5323509578333496</v>
      </c>
      <c r="BJ124" s="12">
        <f t="shared" si="47"/>
        <v>1235754412</v>
      </c>
      <c r="BK124" s="4">
        <f t="shared" si="37"/>
        <v>4.5237567021940635</v>
      </c>
      <c r="BL124" s="3">
        <f t="shared" si="38"/>
        <v>4.5732640441248797</v>
      </c>
      <c r="BM124" s="12">
        <f t="shared" si="39"/>
        <v>12139069071.860001</v>
      </c>
      <c r="BN124" s="3">
        <f t="shared" si="48"/>
        <v>4.5300964759182696</v>
      </c>
      <c r="BO124" s="12">
        <f t="shared" si="49"/>
        <v>8459702562</v>
      </c>
      <c r="BP124" s="4">
        <f t="shared" si="40"/>
        <v>4.5555355701243965</v>
      </c>
      <c r="BQ124" s="13">
        <f t="shared" si="41"/>
        <v>-3.1778867930333021</v>
      </c>
    </row>
    <row r="125" spans="1:69" x14ac:dyDescent="0.25">
      <c r="A125" s="1">
        <v>41426</v>
      </c>
      <c r="B125">
        <v>3.71670003871303</v>
      </c>
      <c r="C125">
        <v>3574776967.75</v>
      </c>
      <c r="E125" s="1">
        <v>41426</v>
      </c>
      <c r="F125">
        <v>3.8266986279405</v>
      </c>
      <c r="G125">
        <v>920678812.71000004</v>
      </c>
      <c r="Q125" s="1">
        <v>41426</v>
      </c>
      <c r="R125" s="3">
        <f t="shared" si="27"/>
        <v>3.71670003871303</v>
      </c>
      <c r="S125" s="12">
        <f t="shared" si="28"/>
        <v>3574776967.75</v>
      </c>
      <c r="T125" s="3">
        <f t="shared" si="42"/>
        <v>3.7173294637179701</v>
      </c>
      <c r="U125" s="12">
        <f t="shared" si="43"/>
        <v>1626943702</v>
      </c>
      <c r="V125" s="4">
        <f t="shared" si="29"/>
        <v>3.7168969041567328</v>
      </c>
      <c r="W125" s="3">
        <f t="shared" si="30"/>
        <v>3.8266986279405</v>
      </c>
      <c r="X125" s="12">
        <f t="shared" si="31"/>
        <v>920678812.71000004</v>
      </c>
      <c r="Y125" s="3">
        <f t="shared" si="44"/>
        <v>3.8567514481113601</v>
      </c>
      <c r="Z125" s="12">
        <f t="shared" si="45"/>
        <v>505292286</v>
      </c>
      <c r="AA125" s="4">
        <f t="shared" si="32"/>
        <v>3.8373478326955039</v>
      </c>
      <c r="AB125" s="13">
        <f t="shared" si="33"/>
        <v>-12.045092853877115</v>
      </c>
      <c r="AO125" s="15">
        <v>201204</v>
      </c>
      <c r="AP125">
        <v>4.0928997868672301</v>
      </c>
      <c r="AQ125">
        <v>3749272839.71</v>
      </c>
      <c r="AS125" s="15">
        <v>199608</v>
      </c>
      <c r="AT125">
        <v>8.2089603385563699</v>
      </c>
      <c r="AU125">
        <v>2984417.59</v>
      </c>
      <c r="AW125" s="15">
        <v>201312</v>
      </c>
      <c r="AX125">
        <v>4.4777196054223403</v>
      </c>
      <c r="AY125">
        <v>1218362562</v>
      </c>
      <c r="BA125" s="15">
        <v>199704</v>
      </c>
      <c r="BB125">
        <v>7.9097302285673603</v>
      </c>
      <c r="BC125">
        <v>3374060</v>
      </c>
      <c r="BE125" s="15">
        <v>201407</v>
      </c>
      <c r="BF125" s="1">
        <f t="shared" si="34"/>
        <v>41609</v>
      </c>
      <c r="BG125" s="3">
        <f t="shared" si="35"/>
        <v>4.39943087958435</v>
      </c>
      <c r="BH125" s="12">
        <f t="shared" si="36"/>
        <v>1994441051.1199999</v>
      </c>
      <c r="BI125" s="3">
        <f t="shared" si="46"/>
        <v>4.4192571628044304</v>
      </c>
      <c r="BJ125" s="12">
        <f t="shared" si="47"/>
        <v>1653218353</v>
      </c>
      <c r="BK125" s="4">
        <f t="shared" si="37"/>
        <v>4.4084166898423449</v>
      </c>
      <c r="BL125" s="3">
        <f t="shared" si="38"/>
        <v>4.4559119217619001</v>
      </c>
      <c r="BM125" s="12">
        <f t="shared" si="39"/>
        <v>13675313367.65</v>
      </c>
      <c r="BN125" s="3">
        <f t="shared" si="48"/>
        <v>4.4057272116384301</v>
      </c>
      <c r="BO125" s="12">
        <f t="shared" si="49"/>
        <v>10042256705</v>
      </c>
      <c r="BP125" s="4">
        <f t="shared" si="40"/>
        <v>4.4346632128856456</v>
      </c>
      <c r="BQ125" s="13">
        <f t="shared" si="41"/>
        <v>-2.6246523043300662</v>
      </c>
    </row>
    <row r="126" spans="1:69" x14ac:dyDescent="0.25">
      <c r="A126" s="1">
        <v>41456</v>
      </c>
      <c r="B126">
        <v>3.79094825362262</v>
      </c>
      <c r="C126">
        <v>3270979081.1199999</v>
      </c>
      <c r="E126" s="1">
        <v>41456</v>
      </c>
      <c r="F126">
        <v>3.9033375802686501</v>
      </c>
      <c r="G126">
        <v>1046339127.54</v>
      </c>
      <c r="Q126" s="1">
        <v>41456</v>
      </c>
      <c r="R126" s="3">
        <f t="shared" si="27"/>
        <v>3.79094825362262</v>
      </c>
      <c r="S126" s="12">
        <f t="shared" si="28"/>
        <v>3270979081.1199999</v>
      </c>
      <c r="T126" s="3">
        <f t="shared" si="42"/>
        <v>3.7501655405750398</v>
      </c>
      <c r="U126" s="12">
        <f t="shared" si="43"/>
        <v>1504802517</v>
      </c>
      <c r="V126" s="4">
        <f t="shared" si="29"/>
        <v>3.7780980158168864</v>
      </c>
      <c r="W126" s="3">
        <f t="shared" si="30"/>
        <v>3.9033375802686501</v>
      </c>
      <c r="X126" s="12">
        <f t="shared" si="31"/>
        <v>1046339127.54</v>
      </c>
      <c r="Y126" s="3">
        <f t="shared" si="44"/>
        <v>3.9074154519006399</v>
      </c>
      <c r="Z126" s="12">
        <f t="shared" si="45"/>
        <v>500173071</v>
      </c>
      <c r="AA126" s="4">
        <f t="shared" si="32"/>
        <v>3.9046564457643385</v>
      </c>
      <c r="AB126" s="13">
        <f t="shared" si="33"/>
        <v>-12.655842994745203</v>
      </c>
      <c r="AO126" s="15">
        <v>201205</v>
      </c>
      <c r="AP126">
        <v>4.1304713522381</v>
      </c>
      <c r="AQ126">
        <v>3099495912.0599999</v>
      </c>
      <c r="AS126" s="15">
        <v>199609</v>
      </c>
      <c r="AT126">
        <v>7.9810593916391701</v>
      </c>
      <c r="AU126">
        <v>2350165.14</v>
      </c>
      <c r="AW126" s="15">
        <v>201401</v>
      </c>
      <c r="AX126">
        <v>4.5677657284356901</v>
      </c>
      <c r="AY126">
        <v>1117025802</v>
      </c>
      <c r="BA126" s="15">
        <v>199705</v>
      </c>
      <c r="BB126">
        <v>7.8277393221651304</v>
      </c>
      <c r="BC126">
        <v>3081547</v>
      </c>
      <c r="BE126" s="15">
        <v>201408</v>
      </c>
      <c r="BF126" s="1">
        <f t="shared" si="34"/>
        <v>41640</v>
      </c>
      <c r="BG126" s="3">
        <f t="shared" si="35"/>
        <v>4.3764155255456796</v>
      </c>
      <c r="BH126" s="12">
        <f t="shared" si="36"/>
        <v>1880500403.0999999</v>
      </c>
      <c r="BI126" s="3">
        <f t="shared" si="46"/>
        <v>4.3977898595645897</v>
      </c>
      <c r="BJ126" s="12">
        <f t="shared" si="47"/>
        <v>1621150843</v>
      </c>
      <c r="BK126" s="4">
        <f t="shared" si="37"/>
        <v>4.3863111482613659</v>
      </c>
      <c r="BL126" s="3">
        <f t="shared" si="38"/>
        <v>4.4254966954729804</v>
      </c>
      <c r="BM126" s="12">
        <f t="shared" si="39"/>
        <v>13927599730.48</v>
      </c>
      <c r="BN126" s="3">
        <f t="shared" si="48"/>
        <v>4.3735477027958503</v>
      </c>
      <c r="BO126" s="12">
        <f t="shared" si="49"/>
        <v>10647354204</v>
      </c>
      <c r="BP126" s="4">
        <f t="shared" si="40"/>
        <v>4.4029892544804525</v>
      </c>
      <c r="BQ126" s="13">
        <f t="shared" si="41"/>
        <v>-1.6678106219086608</v>
      </c>
    </row>
    <row r="127" spans="1:69" x14ac:dyDescent="0.25">
      <c r="A127" s="1">
        <v>41487</v>
      </c>
      <c r="B127">
        <v>4.0469352970283499</v>
      </c>
      <c r="C127">
        <v>2768165970.2399998</v>
      </c>
      <c r="E127" s="1">
        <v>41487</v>
      </c>
      <c r="F127">
        <v>4.2005281520308504</v>
      </c>
      <c r="G127">
        <v>999000219.96000004</v>
      </c>
      <c r="Q127" s="1">
        <v>41487</v>
      </c>
      <c r="R127" s="3">
        <f t="shared" si="27"/>
        <v>4.0469352970283499</v>
      </c>
      <c r="S127" s="12">
        <f t="shared" si="28"/>
        <v>2768165970.2399998</v>
      </c>
      <c r="T127" s="3">
        <f t="shared" si="42"/>
        <v>3.9373877410215501</v>
      </c>
      <c r="U127" s="12">
        <f t="shared" si="43"/>
        <v>1276360626</v>
      </c>
      <c r="V127" s="4">
        <f t="shared" si="29"/>
        <v>4.0123645793350615</v>
      </c>
      <c r="W127" s="3">
        <f t="shared" si="30"/>
        <v>4.2005281520308504</v>
      </c>
      <c r="X127" s="12">
        <f t="shared" si="31"/>
        <v>999000219.96000004</v>
      </c>
      <c r="Y127" s="3">
        <f t="shared" si="44"/>
        <v>4.0877022672058203</v>
      </c>
      <c r="Z127" s="12">
        <f t="shared" si="45"/>
        <v>499911736</v>
      </c>
      <c r="AA127" s="4">
        <f t="shared" si="32"/>
        <v>4.1628988678528529</v>
      </c>
      <c r="AB127" s="13">
        <f t="shared" si="33"/>
        <v>-15.053428851779138</v>
      </c>
      <c r="AO127" s="15">
        <v>201206</v>
      </c>
      <c r="AP127">
        <v>4.0922501763596397</v>
      </c>
      <c r="AQ127">
        <v>3549728037.8299999</v>
      </c>
      <c r="AS127" s="15">
        <v>199610</v>
      </c>
      <c r="AT127">
        <v>8.3278457704567508</v>
      </c>
      <c r="AU127">
        <v>2185366</v>
      </c>
      <c r="AW127" s="15">
        <v>201402</v>
      </c>
      <c r="AX127">
        <v>4.69837537141012</v>
      </c>
      <c r="AY127">
        <v>745102196</v>
      </c>
      <c r="BA127" s="15">
        <v>199706</v>
      </c>
      <c r="BB127">
        <v>7.9572282512662804</v>
      </c>
      <c r="BC127">
        <v>2637234</v>
      </c>
      <c r="BE127" s="15">
        <v>201409</v>
      </c>
      <c r="BF127" s="1">
        <f t="shared" si="34"/>
        <v>41671</v>
      </c>
      <c r="BG127" s="3">
        <f t="shared" si="35"/>
        <v>4.3742438876721703</v>
      </c>
      <c r="BH127" s="12">
        <f t="shared" si="36"/>
        <v>1823891184.23</v>
      </c>
      <c r="BI127" s="3">
        <f t="shared" si="46"/>
        <v>4.4076692603825496</v>
      </c>
      <c r="BJ127" s="12">
        <f t="shared" si="47"/>
        <v>1497881481</v>
      </c>
      <c r="BK127" s="4">
        <f t="shared" si="37"/>
        <v>4.3893163359773979</v>
      </c>
      <c r="BL127" s="3">
        <f t="shared" si="38"/>
        <v>4.4279894750691602</v>
      </c>
      <c r="BM127" s="12">
        <f t="shared" si="39"/>
        <v>13714956246.34</v>
      </c>
      <c r="BN127" s="3">
        <f t="shared" si="48"/>
        <v>4.3624890755827197</v>
      </c>
      <c r="BO127" s="12">
        <f t="shared" si="49"/>
        <v>10440873099</v>
      </c>
      <c r="BP127" s="4">
        <f t="shared" si="40"/>
        <v>4.3996782401620607</v>
      </c>
      <c r="BQ127" s="13">
        <f t="shared" si="41"/>
        <v>-1.0361904184662762</v>
      </c>
    </row>
    <row r="128" spans="1:69" x14ac:dyDescent="0.25">
      <c r="A128" s="1">
        <v>41518</v>
      </c>
      <c r="B128">
        <v>4.36580623880175</v>
      </c>
      <c r="C128">
        <v>1836066398.5899999</v>
      </c>
      <c r="E128" s="1">
        <v>41518</v>
      </c>
      <c r="F128">
        <v>4.47713911953399</v>
      </c>
      <c r="G128">
        <v>738897404.46000004</v>
      </c>
      <c r="Q128" s="1">
        <v>41518</v>
      </c>
      <c r="R128" s="3">
        <f t="shared" si="27"/>
        <v>4.36580623880175</v>
      </c>
      <c r="S128" s="12">
        <f t="shared" si="28"/>
        <v>1836066398.5899999</v>
      </c>
      <c r="T128" s="3">
        <f t="shared" si="42"/>
        <v>4.3593780671516997</v>
      </c>
      <c r="U128" s="12">
        <f t="shared" si="43"/>
        <v>808096685</v>
      </c>
      <c r="V128" s="4">
        <f t="shared" si="29"/>
        <v>4.3638416912164457</v>
      </c>
      <c r="W128" s="3">
        <f t="shared" si="30"/>
        <v>4.47713911953399</v>
      </c>
      <c r="X128" s="12">
        <f t="shared" si="31"/>
        <v>738897404.46000004</v>
      </c>
      <c r="Y128" s="3">
        <f t="shared" si="44"/>
        <v>4.4930912738587097</v>
      </c>
      <c r="Z128" s="12">
        <f t="shared" si="45"/>
        <v>413868018</v>
      </c>
      <c r="AA128" s="4">
        <f t="shared" si="32"/>
        <v>4.4828662920918836</v>
      </c>
      <c r="AB128" s="13">
        <f t="shared" si="33"/>
        <v>-11.902460087543787</v>
      </c>
      <c r="AO128" s="15">
        <v>201207</v>
      </c>
      <c r="AP128">
        <v>3.99450904803538</v>
      </c>
      <c r="AQ128">
        <v>4767769073.9200001</v>
      </c>
      <c r="AS128" s="15">
        <v>199611</v>
      </c>
      <c r="AT128">
        <v>8.2877523358847007</v>
      </c>
      <c r="AU128">
        <v>2784384</v>
      </c>
      <c r="AW128" s="15">
        <v>201403</v>
      </c>
      <c r="AX128">
        <v>4.61598737073259</v>
      </c>
      <c r="AY128">
        <v>822591182</v>
      </c>
      <c r="BA128" s="15">
        <v>199707</v>
      </c>
      <c r="BB128">
        <v>7.9870407239006997</v>
      </c>
      <c r="BC128">
        <v>3510813</v>
      </c>
      <c r="BE128" s="15">
        <v>201410</v>
      </c>
      <c r="BF128" s="1">
        <f t="shared" si="34"/>
        <v>41699</v>
      </c>
      <c r="BG128" s="3">
        <f t="shared" si="35"/>
        <v>4.3616385994100897</v>
      </c>
      <c r="BH128" s="12">
        <f t="shared" si="36"/>
        <v>1779594922.3099999</v>
      </c>
      <c r="BI128" s="3">
        <f t="shared" si="46"/>
        <v>4.3954875337213997</v>
      </c>
      <c r="BJ128" s="12">
        <f t="shared" si="47"/>
        <v>1457242020</v>
      </c>
      <c r="BK128" s="4">
        <f t="shared" si="37"/>
        <v>4.3768775781692293</v>
      </c>
      <c r="BL128" s="3">
        <f t="shared" si="38"/>
        <v>4.4233494775420397</v>
      </c>
      <c r="BM128" s="12">
        <f t="shared" si="39"/>
        <v>13426039112.1</v>
      </c>
      <c r="BN128" s="3">
        <f t="shared" si="48"/>
        <v>4.3619935282645699</v>
      </c>
      <c r="BO128" s="12">
        <f t="shared" si="49"/>
        <v>9786755461</v>
      </c>
      <c r="BP128" s="4">
        <f t="shared" si="40"/>
        <v>4.3974811716056239</v>
      </c>
      <c r="BQ128" s="13">
        <f t="shared" si="41"/>
        <v>-2.0603593436394618</v>
      </c>
    </row>
    <row r="129" spans="1:69" x14ac:dyDescent="0.25">
      <c r="A129" s="1">
        <v>41548</v>
      </c>
      <c r="B129">
        <v>4.5932204442295896</v>
      </c>
      <c r="C129">
        <v>1595655151.51</v>
      </c>
      <c r="E129" s="1">
        <v>41548</v>
      </c>
      <c r="F129">
        <v>4.7198057486676497</v>
      </c>
      <c r="G129">
        <v>710022601.04999995</v>
      </c>
      <c r="Q129" s="1">
        <v>41548</v>
      </c>
      <c r="R129" s="3">
        <f t="shared" si="27"/>
        <v>4.5932204442295896</v>
      </c>
      <c r="S129" s="12">
        <f t="shared" si="28"/>
        <v>1595655151.51</v>
      </c>
      <c r="T129" s="3">
        <f t="shared" si="42"/>
        <v>4.4147212914983802</v>
      </c>
      <c r="U129" s="12">
        <f t="shared" si="43"/>
        <v>687429712</v>
      </c>
      <c r="V129" s="4">
        <f t="shared" si="29"/>
        <v>4.5394749076026182</v>
      </c>
      <c r="W129" s="3">
        <f t="shared" si="30"/>
        <v>4.7198057486676497</v>
      </c>
      <c r="X129" s="12">
        <f t="shared" si="31"/>
        <v>710022601.04999995</v>
      </c>
      <c r="Y129" s="3">
        <f t="shared" si="44"/>
        <v>4.63066568310854</v>
      </c>
      <c r="Z129" s="12">
        <f t="shared" si="45"/>
        <v>324130990</v>
      </c>
      <c r="AA129" s="4">
        <f t="shared" si="32"/>
        <v>4.6918669028826603</v>
      </c>
      <c r="AB129" s="13">
        <f t="shared" si="33"/>
        <v>-15.23919952800421</v>
      </c>
      <c r="AO129" s="15">
        <v>201208</v>
      </c>
      <c r="AP129">
        <v>3.9121298835158802</v>
      </c>
      <c r="AQ129">
        <v>4934633016.1199999</v>
      </c>
      <c r="AS129" s="15">
        <v>199612</v>
      </c>
      <c r="AT129">
        <v>8.1521519069597606</v>
      </c>
      <c r="AU129">
        <v>3954934</v>
      </c>
      <c r="AW129" s="15">
        <v>201404</v>
      </c>
      <c r="AX129">
        <v>4.5791442693529998</v>
      </c>
      <c r="AY129">
        <v>1057565386</v>
      </c>
      <c r="BA129" s="15">
        <v>199708</v>
      </c>
      <c r="BB129">
        <v>7.8615823603025303</v>
      </c>
      <c r="BC129">
        <v>4111295</v>
      </c>
      <c r="BE129" s="15">
        <v>201411</v>
      </c>
      <c r="BF129" s="1">
        <f t="shared" si="34"/>
        <v>41730</v>
      </c>
      <c r="BG129" s="3">
        <f t="shared" si="35"/>
        <v>4.3412189426543097</v>
      </c>
      <c r="BH129" s="12">
        <f t="shared" si="36"/>
        <v>1914103696.55</v>
      </c>
      <c r="BI129" s="3">
        <f t="shared" si="46"/>
        <v>4.3827506690898801</v>
      </c>
      <c r="BJ129" s="12">
        <f t="shared" si="47"/>
        <v>1460251855</v>
      </c>
      <c r="BK129" s="4">
        <f t="shared" si="37"/>
        <v>4.3591917909930196</v>
      </c>
      <c r="BL129" s="3">
        <f t="shared" si="38"/>
        <v>4.4050707863180198</v>
      </c>
      <c r="BM129" s="12">
        <f t="shared" si="39"/>
        <v>14154744512.610001</v>
      </c>
      <c r="BN129" s="3">
        <f t="shared" si="48"/>
        <v>4.3541719855896197</v>
      </c>
      <c r="BO129" s="12">
        <f t="shared" si="49"/>
        <v>9410943571</v>
      </c>
      <c r="BP129" s="4">
        <f t="shared" si="40"/>
        <v>4.3847443804101136</v>
      </c>
      <c r="BQ129" s="13">
        <f t="shared" si="41"/>
        <v>-2.555258941709404</v>
      </c>
    </row>
    <row r="130" spans="1:69" x14ac:dyDescent="0.25">
      <c r="A130" s="1">
        <v>41579</v>
      </c>
      <c r="B130">
        <v>4.5617060761150796</v>
      </c>
      <c r="C130">
        <v>1317788186.6300001</v>
      </c>
      <c r="E130" s="1">
        <v>41579</v>
      </c>
      <c r="F130">
        <v>4.7187473655486301</v>
      </c>
      <c r="G130">
        <v>608900665.64999998</v>
      </c>
      <c r="Q130" s="1">
        <v>41579</v>
      </c>
      <c r="R130" s="3">
        <f t="shared" si="27"/>
        <v>4.5617060761150796</v>
      </c>
      <c r="S130" s="12">
        <f t="shared" si="28"/>
        <v>1317788186.6300001</v>
      </c>
      <c r="T130" s="3">
        <f t="shared" si="42"/>
        <v>4.5732787235796701</v>
      </c>
      <c r="U130" s="12">
        <f t="shared" si="43"/>
        <v>665825594</v>
      </c>
      <c r="V130" s="4">
        <f t="shared" si="29"/>
        <v>4.565590584756583</v>
      </c>
      <c r="W130" s="3">
        <f t="shared" si="30"/>
        <v>4.7187473655486301</v>
      </c>
      <c r="X130" s="12">
        <f t="shared" si="31"/>
        <v>608900665.64999998</v>
      </c>
      <c r="Y130" s="3">
        <f t="shared" si="44"/>
        <v>4.7296970462135404</v>
      </c>
      <c r="Z130" s="12">
        <f t="shared" si="45"/>
        <v>335637330</v>
      </c>
      <c r="AA130" s="4">
        <f t="shared" si="32"/>
        <v>4.7226382853418496</v>
      </c>
      <c r="AB130" s="13">
        <f t="shared" si="33"/>
        <v>-15.704770058526663</v>
      </c>
      <c r="AO130" s="15">
        <v>201209</v>
      </c>
      <c r="AP130">
        <v>3.8208003610654102</v>
      </c>
      <c r="AQ130">
        <v>5470835584.6899996</v>
      </c>
      <c r="AS130" s="15">
        <v>199701</v>
      </c>
      <c r="AT130">
        <v>7.9256726870185599</v>
      </c>
      <c r="AU130">
        <v>6254549.1200000001</v>
      </c>
      <c r="AW130" s="15">
        <v>201405</v>
      </c>
      <c r="AX130">
        <v>4.6015089644404004</v>
      </c>
      <c r="AY130">
        <v>1069120555</v>
      </c>
      <c r="BA130" s="15">
        <v>199709</v>
      </c>
      <c r="BB130">
        <v>7.7191134921886704</v>
      </c>
      <c r="BC130">
        <v>4583919</v>
      </c>
      <c r="BE130" s="15">
        <v>201412</v>
      </c>
      <c r="BF130" s="1">
        <f t="shared" si="34"/>
        <v>41760</v>
      </c>
      <c r="BG130" s="3">
        <f t="shared" si="35"/>
        <v>4.2085891965335902</v>
      </c>
      <c r="BH130" s="12">
        <f t="shared" si="36"/>
        <v>2231862170.2600002</v>
      </c>
      <c r="BI130" s="3">
        <f t="shared" si="46"/>
        <v>4.25115572254676</v>
      </c>
      <c r="BJ130" s="12">
        <f t="shared" si="47"/>
        <v>1566026931</v>
      </c>
      <c r="BK130" s="4">
        <f t="shared" si="37"/>
        <v>4.2261411377089182</v>
      </c>
      <c r="BL130" s="3">
        <f t="shared" si="38"/>
        <v>4.2835688831196403</v>
      </c>
      <c r="BM130" s="12">
        <f t="shared" si="39"/>
        <v>13811323767.26</v>
      </c>
      <c r="BN130" s="3">
        <f t="shared" si="48"/>
        <v>4.2324682260943201</v>
      </c>
      <c r="BO130" s="12">
        <f t="shared" si="49"/>
        <v>9192442109</v>
      </c>
      <c r="BP130" s="4">
        <f t="shared" si="40"/>
        <v>4.2631487556516463</v>
      </c>
      <c r="BQ130" s="13">
        <f t="shared" si="41"/>
        <v>-3.700761794272811</v>
      </c>
    </row>
    <row r="131" spans="1:69" x14ac:dyDescent="0.25">
      <c r="A131" s="1">
        <v>41609</v>
      </c>
      <c r="B131">
        <v>4.4709243475289204</v>
      </c>
      <c r="C131">
        <v>1113918763</v>
      </c>
      <c r="E131" s="1">
        <v>41609</v>
      </c>
      <c r="F131">
        <v>4.63652373190821</v>
      </c>
      <c r="G131">
        <v>580585361</v>
      </c>
      <c r="Q131" s="1">
        <v>41609</v>
      </c>
      <c r="R131" s="3">
        <f t="shared" si="27"/>
        <v>4.4709243475289204</v>
      </c>
      <c r="S131" s="12">
        <f t="shared" si="28"/>
        <v>1113918763</v>
      </c>
      <c r="T131" s="3">
        <f t="shared" si="42"/>
        <v>4.4794699025000302</v>
      </c>
      <c r="U131" s="12">
        <f t="shared" si="43"/>
        <v>891965563</v>
      </c>
      <c r="V131" s="4">
        <f t="shared" si="29"/>
        <v>4.4747243377138748</v>
      </c>
      <c r="W131" s="3">
        <f t="shared" si="30"/>
        <v>4.63652373190821</v>
      </c>
      <c r="X131" s="12">
        <f t="shared" si="31"/>
        <v>580585361</v>
      </c>
      <c r="Y131" s="3">
        <f t="shared" si="44"/>
        <v>4.6288001751315901</v>
      </c>
      <c r="Z131" s="12">
        <f t="shared" si="45"/>
        <v>420007598</v>
      </c>
      <c r="AA131" s="4">
        <f t="shared" si="32"/>
        <v>4.6332817017693948</v>
      </c>
      <c r="AB131" s="13">
        <f t="shared" si="33"/>
        <v>-15.855736405552001</v>
      </c>
      <c r="AO131" s="15">
        <v>201210</v>
      </c>
      <c r="AP131">
        <v>3.7927916190392601</v>
      </c>
      <c r="AQ131">
        <v>4363506445.96</v>
      </c>
      <c r="AS131" s="15">
        <v>199702</v>
      </c>
      <c r="AT131">
        <v>8.1449942468485492</v>
      </c>
      <c r="AU131">
        <v>3910900</v>
      </c>
      <c r="AW131" s="15">
        <v>201406</v>
      </c>
      <c r="AX131">
        <v>4.5323509578333496</v>
      </c>
      <c r="AY131">
        <v>1235754412</v>
      </c>
      <c r="BA131" s="15">
        <v>199710</v>
      </c>
      <c r="BB131">
        <v>7.6425503974711901</v>
      </c>
      <c r="BC131">
        <v>6458707</v>
      </c>
      <c r="BE131" s="15">
        <v>201501</v>
      </c>
      <c r="BF131" s="1">
        <f t="shared" si="34"/>
        <v>41791</v>
      </c>
      <c r="BG131" s="3">
        <f t="shared" si="35"/>
        <v>4.1743108088401497</v>
      </c>
      <c r="BH131" s="12">
        <f t="shared" si="36"/>
        <v>2219827131.98</v>
      </c>
      <c r="BI131" s="3">
        <f t="shared" si="46"/>
        <v>4.2363358708201497</v>
      </c>
      <c r="BJ131" s="12">
        <f t="shared" si="47"/>
        <v>1699650073</v>
      </c>
      <c r="BK131" s="4">
        <f t="shared" si="37"/>
        <v>4.2012074829650032</v>
      </c>
      <c r="BL131" s="3">
        <f t="shared" si="38"/>
        <v>4.24694893490999</v>
      </c>
      <c r="BM131" s="12">
        <f t="shared" si="39"/>
        <v>15784663877.01</v>
      </c>
      <c r="BN131" s="3">
        <f t="shared" si="48"/>
        <v>4.2002826426629998</v>
      </c>
      <c r="BO131" s="12">
        <f t="shared" si="49"/>
        <v>9878752455</v>
      </c>
      <c r="BP131" s="4">
        <f t="shared" si="40"/>
        <v>4.2289854360859573</v>
      </c>
      <c r="BQ131" s="13">
        <f t="shared" si="41"/>
        <v>-2.7777953120954102</v>
      </c>
    </row>
    <row r="132" spans="1:69" x14ac:dyDescent="0.25">
      <c r="A132" s="1">
        <v>41640</v>
      </c>
      <c r="B132">
        <v>4.5096000956954896</v>
      </c>
      <c r="C132">
        <v>784236734.92999995</v>
      </c>
      <c r="E132" s="1">
        <v>41640</v>
      </c>
      <c r="F132">
        <v>4.6486841384429098</v>
      </c>
      <c r="G132">
        <v>461357404</v>
      </c>
      <c r="Q132" s="1">
        <v>41640</v>
      </c>
      <c r="R132" s="3">
        <f t="shared" ref="R132:R155" si="50">VLOOKUP($Q132,A:C,2,0)</f>
        <v>4.5096000956954896</v>
      </c>
      <c r="S132" s="12">
        <f t="shared" ref="S132:S155" si="51">VLOOKUP($Q132,A:C,3,0)</f>
        <v>784236734.92999995</v>
      </c>
      <c r="T132" s="3">
        <f t="shared" si="42"/>
        <v>4.4929369396430401</v>
      </c>
      <c r="U132" s="12">
        <f t="shared" si="43"/>
        <v>673446965</v>
      </c>
      <c r="V132" s="4">
        <f t="shared" ref="V132:V155" si="52">(R132*S132+T132*U132)/(S132+U132)</f>
        <v>4.5019017507998296</v>
      </c>
      <c r="W132" s="3">
        <f t="shared" ref="W132:W155" si="53">VLOOKUP($Q132,E:G,2,0)</f>
        <v>4.6486841384429098</v>
      </c>
      <c r="X132" s="12">
        <f t="shared" ref="X132:X155" si="54">VLOOKUP($Q132,E:G,3,0)</f>
        <v>461357404</v>
      </c>
      <c r="Y132" s="3">
        <f t="shared" si="44"/>
        <v>4.6508724028325297</v>
      </c>
      <c r="Z132" s="12">
        <f t="shared" si="45"/>
        <v>324385994</v>
      </c>
      <c r="AA132" s="4">
        <f t="shared" ref="AA132:AA155" si="55">(W132*X132+Y132*Z132)/(X132+Z132)</f>
        <v>4.6495875406489846</v>
      </c>
      <c r="AB132" s="13">
        <f t="shared" ref="AB132:AB155" si="56">(V132-AA132)*100</f>
        <v>-14.768578984915504</v>
      </c>
      <c r="AO132" s="15">
        <v>201211</v>
      </c>
      <c r="AP132">
        <v>3.6835004438888999</v>
      </c>
      <c r="AQ132">
        <v>5346936066.96</v>
      </c>
      <c r="AS132" s="15">
        <v>199703</v>
      </c>
      <c r="AT132">
        <v>8.35341107511403</v>
      </c>
      <c r="AU132">
        <v>3635610.06</v>
      </c>
      <c r="AW132" s="15">
        <v>201407</v>
      </c>
      <c r="AX132">
        <v>4.4192571628044304</v>
      </c>
      <c r="AY132">
        <v>1653218353</v>
      </c>
      <c r="BA132" s="15">
        <v>199711</v>
      </c>
      <c r="BB132">
        <v>7.6477569709980502</v>
      </c>
      <c r="BC132">
        <v>4712166</v>
      </c>
      <c r="BE132" s="15">
        <v>201502</v>
      </c>
      <c r="BF132" s="1">
        <f t="shared" ref="BF132:BF142" si="57">DATEVALUE(INT(AW132/100)&amp;"/"&amp;MOD(AW132,100)&amp;"/1")</f>
        <v>41821</v>
      </c>
      <c r="BG132" s="3">
        <f t="shared" ref="BG132:BG142" si="58">VLOOKUP($BE132,AO:AQ,2,0)</f>
        <v>4.05220341405645</v>
      </c>
      <c r="BH132" s="12">
        <f t="shared" ref="BH132:BH142" si="59">VLOOKUP($BE132,AO:AQ,3,0)</f>
        <v>2062609782.3900001</v>
      </c>
      <c r="BI132" s="3">
        <f t="shared" si="46"/>
        <v>4.1012318341374101</v>
      </c>
      <c r="BJ132" s="12">
        <f t="shared" si="47"/>
        <v>1756553252</v>
      </c>
      <c r="BK132" s="4">
        <f t="shared" ref="BK132:BK142" si="60">(BG132*BH132+BI132*BJ132)/(BH132+BJ132)</f>
        <v>4.0747531271632607</v>
      </c>
      <c r="BL132" s="3">
        <f t="shared" ref="BL132:BL142" si="61">VLOOKUP($BE132,AS:AU,2,0)</f>
        <v>4.1265571757160799</v>
      </c>
      <c r="BM132" s="12">
        <f t="shared" ref="BM132:BM142" si="62">VLOOKUP($BE132,AS:AU,3,0)</f>
        <v>13495853642.540001</v>
      </c>
      <c r="BN132" s="3">
        <f t="shared" si="48"/>
        <v>4.0863874157916298</v>
      </c>
      <c r="BO132" s="12">
        <f t="shared" si="49"/>
        <v>9064005670</v>
      </c>
      <c r="BP132" s="4">
        <f t="shared" ref="BP132:BP142" si="63">(BL132*BM132+BN132*BO132)/(BM132+BO132)</f>
        <v>4.1104179380252059</v>
      </c>
      <c r="BQ132" s="13">
        <f t="shared" ref="BQ132:BQ142" si="64">(BK132-BP132)*100</f>
        <v>-3.5664810861945284</v>
      </c>
    </row>
    <row r="133" spans="1:69" x14ac:dyDescent="0.25">
      <c r="A133" s="1">
        <v>41671</v>
      </c>
      <c r="B133">
        <v>4.5941940140378099</v>
      </c>
      <c r="C133">
        <v>699096839.00999999</v>
      </c>
      <c r="E133" s="1">
        <v>41671</v>
      </c>
      <c r="F133">
        <v>4.7325640081626199</v>
      </c>
      <c r="G133">
        <v>473937455.89999998</v>
      </c>
      <c r="Q133" s="1">
        <v>41671</v>
      </c>
      <c r="R133" s="3">
        <f t="shared" si="50"/>
        <v>4.5941940140378099</v>
      </c>
      <c r="S133" s="12">
        <f t="shared" si="51"/>
        <v>699096839.00999999</v>
      </c>
      <c r="T133" s="3">
        <f t="shared" si="42"/>
        <v>4.5707246682131197</v>
      </c>
      <c r="U133" s="12">
        <f t="shared" si="43"/>
        <v>543870516</v>
      </c>
      <c r="V133" s="4">
        <f t="shared" si="52"/>
        <v>4.5839248101263737</v>
      </c>
      <c r="W133" s="3">
        <f t="shared" si="53"/>
        <v>4.7325640081626199</v>
      </c>
      <c r="X133" s="12">
        <f t="shared" si="54"/>
        <v>473937455.89999998</v>
      </c>
      <c r="Y133" s="3">
        <f t="shared" si="44"/>
        <v>4.7295354452043501</v>
      </c>
      <c r="Z133" s="12">
        <f t="shared" si="45"/>
        <v>316818148</v>
      </c>
      <c r="AA133" s="4">
        <f t="shared" si="55"/>
        <v>4.731350607077875</v>
      </c>
      <c r="AB133" s="13">
        <f t="shared" si="56"/>
        <v>-14.742579695150138</v>
      </c>
      <c r="AO133" s="15">
        <v>201212</v>
      </c>
      <c r="AP133">
        <v>3.6287958007157899</v>
      </c>
      <c r="AQ133">
        <v>4966688378.0299997</v>
      </c>
      <c r="AS133" s="15">
        <v>199704</v>
      </c>
      <c r="AT133">
        <v>8.3262300535375608</v>
      </c>
      <c r="AU133">
        <v>4856881.28</v>
      </c>
      <c r="AW133" s="15">
        <v>201408</v>
      </c>
      <c r="AX133">
        <v>4.3977898595645897</v>
      </c>
      <c r="AY133">
        <v>1621150843</v>
      </c>
      <c r="BA133" s="15">
        <v>199712</v>
      </c>
      <c r="BB133">
        <v>7.5538311053697997</v>
      </c>
      <c r="BC133">
        <v>5319731</v>
      </c>
      <c r="BE133" s="15">
        <v>201503</v>
      </c>
      <c r="BF133" s="1">
        <f t="shared" si="57"/>
        <v>41852</v>
      </c>
      <c r="BG133" s="3">
        <f t="shared" si="58"/>
        <v>3.91674111734301</v>
      </c>
      <c r="BH133" s="12">
        <f t="shared" si="59"/>
        <v>2940488158.21</v>
      </c>
      <c r="BI133" s="3">
        <f t="shared" si="46"/>
        <v>3.9332186221052901</v>
      </c>
      <c r="BJ133" s="12">
        <f t="shared" si="47"/>
        <v>2380082139</v>
      </c>
      <c r="BK133" s="4">
        <f t="shared" si="60"/>
        <v>3.9241120968788983</v>
      </c>
      <c r="BL133" s="3">
        <f t="shared" si="61"/>
        <v>3.96193768558744</v>
      </c>
      <c r="BM133" s="12">
        <f t="shared" si="62"/>
        <v>17821414257.66</v>
      </c>
      <c r="BN133" s="3">
        <f t="shared" si="48"/>
        <v>3.8781832047743299</v>
      </c>
      <c r="BO133" s="12">
        <f t="shared" si="49"/>
        <v>12569333776</v>
      </c>
      <c r="BP133" s="4">
        <f t="shared" si="63"/>
        <v>3.9272976029080144</v>
      </c>
      <c r="BQ133" s="13">
        <f t="shared" si="64"/>
        <v>-0.31855060291161585</v>
      </c>
    </row>
    <row r="134" spans="1:69" x14ac:dyDescent="0.25">
      <c r="A134" s="1">
        <v>41699</v>
      </c>
      <c r="B134">
        <v>4.5823284699151996</v>
      </c>
      <c r="C134">
        <v>536692390.5</v>
      </c>
      <c r="E134" s="1">
        <v>41699</v>
      </c>
      <c r="F134">
        <v>4.7193278081579599</v>
      </c>
      <c r="G134">
        <v>372681323</v>
      </c>
      <c r="Q134" s="1">
        <v>41699</v>
      </c>
      <c r="R134" s="3">
        <f t="shared" si="50"/>
        <v>4.5823284699151996</v>
      </c>
      <c r="S134" s="12">
        <f t="shared" si="51"/>
        <v>536692390.5</v>
      </c>
      <c r="T134" s="3">
        <f t="shared" si="42"/>
        <v>4.5929797358076403</v>
      </c>
      <c r="U134" s="12">
        <f t="shared" si="43"/>
        <v>481081744</v>
      </c>
      <c r="V134" s="4">
        <f t="shared" si="52"/>
        <v>4.5873631130620902</v>
      </c>
      <c r="W134" s="3">
        <f t="shared" si="53"/>
        <v>4.7193278081579599</v>
      </c>
      <c r="X134" s="12">
        <f t="shared" si="54"/>
        <v>372681323</v>
      </c>
      <c r="Y134" s="3">
        <f t="shared" si="44"/>
        <v>4.7334097122316896</v>
      </c>
      <c r="Z134" s="12">
        <f t="shared" si="45"/>
        <v>292290700</v>
      </c>
      <c r="AA134" s="4">
        <f t="shared" si="55"/>
        <v>4.7255175566837302</v>
      </c>
      <c r="AB134" s="13">
        <f t="shared" si="56"/>
        <v>-13.815444362163998</v>
      </c>
      <c r="AO134" s="15">
        <v>201301</v>
      </c>
      <c r="AP134">
        <v>3.6270078631487799</v>
      </c>
      <c r="AQ134">
        <v>5220513082.4700003</v>
      </c>
      <c r="AS134" s="15">
        <v>199705</v>
      </c>
      <c r="AT134">
        <v>8.2862029964115091</v>
      </c>
      <c r="AU134">
        <v>4460936</v>
      </c>
      <c r="AW134" s="15">
        <v>201409</v>
      </c>
      <c r="AX134">
        <v>4.4076692603825496</v>
      </c>
      <c r="AY134">
        <v>1497881481</v>
      </c>
      <c r="BA134" s="15">
        <v>199801</v>
      </c>
      <c r="BB134">
        <v>7.4730537934760699</v>
      </c>
      <c r="BC134">
        <v>7902910</v>
      </c>
      <c r="BE134" s="15">
        <v>201504</v>
      </c>
      <c r="BF134" s="1">
        <f t="shared" si="57"/>
        <v>41883</v>
      </c>
      <c r="BG134" s="3">
        <f t="shared" si="58"/>
        <v>3.9621165863191301</v>
      </c>
      <c r="BH134" s="12">
        <f t="shared" si="59"/>
        <v>2941449069.27</v>
      </c>
      <c r="BI134" s="3">
        <f t="shared" si="46"/>
        <v>3.9947419411069802</v>
      </c>
      <c r="BJ134" s="12">
        <f t="shared" si="47"/>
        <v>2512693302</v>
      </c>
      <c r="BK134" s="4">
        <f t="shared" si="60"/>
        <v>3.9771469072881285</v>
      </c>
      <c r="BL134" s="3">
        <f t="shared" si="61"/>
        <v>3.97760536893266</v>
      </c>
      <c r="BM134" s="12">
        <f t="shared" si="62"/>
        <v>21245118276.27</v>
      </c>
      <c r="BN134" s="3">
        <f t="shared" si="48"/>
        <v>3.9255510503600499</v>
      </c>
      <c r="BO134" s="12">
        <f t="shared" si="49"/>
        <v>15006721219</v>
      </c>
      <c r="BP134" s="4">
        <f t="shared" si="63"/>
        <v>3.9560570928192202</v>
      </c>
      <c r="BQ134" s="13">
        <f t="shared" si="64"/>
        <v>2.108981446890823</v>
      </c>
    </row>
    <row r="135" spans="1:69" x14ac:dyDescent="0.25">
      <c r="A135" s="1">
        <v>41730</v>
      </c>
      <c r="B135">
        <v>4.5359750162366401</v>
      </c>
      <c r="C135">
        <v>729557462.5</v>
      </c>
      <c r="E135" s="1">
        <v>41730</v>
      </c>
      <c r="F135">
        <v>4.6752357183211997</v>
      </c>
      <c r="G135">
        <v>460443208</v>
      </c>
      <c r="Q135" s="1">
        <v>41730</v>
      </c>
      <c r="R135" s="3">
        <f t="shared" si="50"/>
        <v>4.5359750162366401</v>
      </c>
      <c r="S135" s="12">
        <f t="shared" si="51"/>
        <v>729557462.5</v>
      </c>
      <c r="T135" s="3">
        <f t="shared" si="42"/>
        <v>4.5438522265321399</v>
      </c>
      <c r="U135" s="12">
        <f t="shared" si="43"/>
        <v>617489603</v>
      </c>
      <c r="V135" s="4">
        <f t="shared" si="52"/>
        <v>4.5395859483136949</v>
      </c>
      <c r="W135" s="3">
        <f t="shared" si="53"/>
        <v>4.6752357183211997</v>
      </c>
      <c r="X135" s="12">
        <f t="shared" si="54"/>
        <v>460443208</v>
      </c>
      <c r="Y135" s="3">
        <f t="shared" si="44"/>
        <v>4.7068270159300898</v>
      </c>
      <c r="Z135" s="12">
        <f t="shared" si="45"/>
        <v>354636615</v>
      </c>
      <c r="AA135" s="4">
        <f t="shared" si="55"/>
        <v>4.6889809130019344</v>
      </c>
      <c r="AB135" s="13">
        <f t="shared" si="56"/>
        <v>-14.939496468823954</v>
      </c>
      <c r="AO135" s="15">
        <v>201302</v>
      </c>
      <c r="AP135">
        <v>3.6411168141428001</v>
      </c>
      <c r="AQ135">
        <v>4517580208.3699999</v>
      </c>
      <c r="AS135" s="15">
        <v>199706</v>
      </c>
      <c r="AT135">
        <v>8.4686488085077407</v>
      </c>
      <c r="AU135">
        <v>4208123.04</v>
      </c>
      <c r="AW135" s="15">
        <v>201410</v>
      </c>
      <c r="AX135">
        <v>4.3954875337213997</v>
      </c>
      <c r="AY135">
        <v>1457242020</v>
      </c>
      <c r="BA135" s="15">
        <v>199802</v>
      </c>
      <c r="BB135">
        <v>7.3188376224709897</v>
      </c>
      <c r="BC135">
        <v>7193132</v>
      </c>
      <c r="BE135" s="15">
        <v>201505</v>
      </c>
      <c r="BF135" s="1">
        <f t="shared" si="57"/>
        <v>41913</v>
      </c>
      <c r="BG135" s="3">
        <f t="shared" si="58"/>
        <v>3.9859845553595799</v>
      </c>
      <c r="BH135" s="12">
        <f t="shared" si="59"/>
        <v>2284166184.8800001</v>
      </c>
      <c r="BI135" s="3">
        <f t="shared" si="46"/>
        <v>4.0316673637279496</v>
      </c>
      <c r="BJ135" s="12">
        <f t="shared" si="47"/>
        <v>2436048841</v>
      </c>
      <c r="BK135" s="4">
        <f t="shared" si="60"/>
        <v>4.0095609288445235</v>
      </c>
      <c r="BL135" s="3">
        <f t="shared" si="61"/>
        <v>4.0224997174525701</v>
      </c>
      <c r="BM135" s="12">
        <f t="shared" si="62"/>
        <v>17767867858.830002</v>
      </c>
      <c r="BN135" s="3">
        <f t="shared" si="48"/>
        <v>3.9836053338939701</v>
      </c>
      <c r="BO135" s="12">
        <f t="shared" si="49"/>
        <v>13829636606</v>
      </c>
      <c r="BP135" s="4">
        <f t="shared" si="63"/>
        <v>4.0054763733708079</v>
      </c>
      <c r="BQ135" s="13">
        <f t="shared" si="64"/>
        <v>0.40845554737156675</v>
      </c>
    </row>
    <row r="136" spans="1:69" x14ac:dyDescent="0.25">
      <c r="A136" s="1">
        <v>41760</v>
      </c>
      <c r="B136">
        <v>4.5437063063434602</v>
      </c>
      <c r="C136">
        <v>712207204.76999998</v>
      </c>
      <c r="E136" s="1">
        <v>41760</v>
      </c>
      <c r="F136">
        <v>4.6867466548070196</v>
      </c>
      <c r="G136">
        <v>458678376.58999997</v>
      </c>
      <c r="Q136" s="1">
        <v>41760</v>
      </c>
      <c r="R136" s="3">
        <f t="shared" si="50"/>
        <v>4.5437063063434602</v>
      </c>
      <c r="S136" s="12">
        <f t="shared" si="51"/>
        <v>712207204.76999998</v>
      </c>
      <c r="T136" s="3">
        <f t="shared" si="42"/>
        <v>4.5334494332254804</v>
      </c>
      <c r="U136" s="12">
        <f t="shared" si="43"/>
        <v>638741937</v>
      </c>
      <c r="V136" s="4">
        <f t="shared" si="52"/>
        <v>4.5388567566451217</v>
      </c>
      <c r="W136" s="3">
        <f t="shared" si="53"/>
        <v>4.6867466548070196</v>
      </c>
      <c r="X136" s="12">
        <f t="shared" si="54"/>
        <v>458678376.58999997</v>
      </c>
      <c r="Y136" s="3">
        <f t="shared" si="44"/>
        <v>4.7044445634736203</v>
      </c>
      <c r="Z136" s="12">
        <f t="shared" si="45"/>
        <v>340490733</v>
      </c>
      <c r="AA136" s="4">
        <f t="shared" si="55"/>
        <v>4.6942869536275653</v>
      </c>
      <c r="AB136" s="13">
        <f t="shared" si="56"/>
        <v>-15.543019698244365</v>
      </c>
      <c r="AO136" s="15">
        <v>201303</v>
      </c>
      <c r="AP136">
        <v>3.7073373545032999</v>
      </c>
      <c r="AQ136">
        <v>3685391709.5700002</v>
      </c>
      <c r="AS136" s="15">
        <v>199707</v>
      </c>
      <c r="AT136">
        <v>8.3633540888926792</v>
      </c>
      <c r="AU136">
        <v>4421466</v>
      </c>
      <c r="AW136" s="15">
        <v>201411</v>
      </c>
      <c r="AX136">
        <v>4.3827506690898801</v>
      </c>
      <c r="AY136">
        <v>1460251855</v>
      </c>
      <c r="BA136" s="15">
        <v>199803</v>
      </c>
      <c r="BB136">
        <v>7.2694636909219099</v>
      </c>
      <c r="BC136">
        <v>10367063</v>
      </c>
      <c r="BE136" s="15">
        <v>201506</v>
      </c>
      <c r="BF136" s="1">
        <f t="shared" si="57"/>
        <v>41944</v>
      </c>
      <c r="BG136" s="3">
        <f t="shared" si="58"/>
        <v>3.9639649916812001</v>
      </c>
      <c r="BH136" s="12">
        <f t="shared" si="59"/>
        <v>2308058361.2800002</v>
      </c>
      <c r="BI136" s="3">
        <f t="shared" si="46"/>
        <v>4.01705837343816</v>
      </c>
      <c r="BJ136" s="12">
        <f t="shared" si="47"/>
        <v>2325359192</v>
      </c>
      <c r="BK136" s="4">
        <f t="shared" si="60"/>
        <v>3.9906108058957015</v>
      </c>
      <c r="BL136" s="3">
        <f t="shared" si="61"/>
        <v>3.9900230768073</v>
      </c>
      <c r="BM136" s="12">
        <f t="shared" si="62"/>
        <v>18084098298.25</v>
      </c>
      <c r="BN136" s="3">
        <f t="shared" si="48"/>
        <v>3.9608827539194098</v>
      </c>
      <c r="BO136" s="12">
        <f t="shared" si="49"/>
        <v>13346909860</v>
      </c>
      <c r="BP136" s="4">
        <f t="shared" si="63"/>
        <v>3.9776488869334736</v>
      </c>
      <c r="BQ136" s="13">
        <f t="shared" si="64"/>
        <v>1.296191896222787</v>
      </c>
    </row>
    <row r="137" spans="1:69" x14ac:dyDescent="0.25">
      <c r="A137" s="1">
        <v>41791</v>
      </c>
      <c r="B137">
        <v>4.4832148096159896</v>
      </c>
      <c r="C137">
        <v>805035149.46000004</v>
      </c>
      <c r="E137" s="1">
        <v>41791</v>
      </c>
      <c r="F137">
        <v>4.6461696320129198</v>
      </c>
      <c r="G137">
        <v>486825036.60000002</v>
      </c>
      <c r="Q137" s="1">
        <v>41791</v>
      </c>
      <c r="R137" s="3">
        <f t="shared" si="50"/>
        <v>4.4832148096159896</v>
      </c>
      <c r="S137" s="12">
        <f t="shared" si="51"/>
        <v>805035149.46000004</v>
      </c>
      <c r="T137" s="3">
        <f t="shared" si="42"/>
        <v>4.49627919838517</v>
      </c>
      <c r="U137" s="12">
        <f t="shared" si="43"/>
        <v>732900120</v>
      </c>
      <c r="V137" s="4">
        <f t="shared" si="52"/>
        <v>4.4894406191716945</v>
      </c>
      <c r="W137" s="3">
        <f t="shared" si="53"/>
        <v>4.6461696320129198</v>
      </c>
      <c r="X137" s="12">
        <f t="shared" si="54"/>
        <v>486825036.60000002</v>
      </c>
      <c r="Y137" s="3">
        <f t="shared" si="44"/>
        <v>4.6578751028706904</v>
      </c>
      <c r="Z137" s="12">
        <f t="shared" si="45"/>
        <v>388053915</v>
      </c>
      <c r="AA137" s="4">
        <f t="shared" si="55"/>
        <v>4.6513616117547674</v>
      </c>
      <c r="AB137" s="13">
        <f t="shared" si="56"/>
        <v>-16.192099258307291</v>
      </c>
      <c r="AO137" s="15">
        <v>201304</v>
      </c>
      <c r="AP137">
        <v>3.7878305034521502</v>
      </c>
      <c r="AQ137">
        <v>4174842792.9499998</v>
      </c>
      <c r="AS137" s="15">
        <v>199708</v>
      </c>
      <c r="AT137">
        <v>8.2791864924701706</v>
      </c>
      <c r="AU137">
        <v>6799896.7400000002</v>
      </c>
      <c r="AW137" s="15">
        <v>201412</v>
      </c>
      <c r="AX137">
        <v>4.25115572254676</v>
      </c>
      <c r="AY137">
        <v>1566026931</v>
      </c>
      <c r="BA137" s="15">
        <v>199804</v>
      </c>
      <c r="BB137">
        <v>7.2486507839699801</v>
      </c>
      <c r="BC137">
        <v>13354848</v>
      </c>
      <c r="BE137" s="15">
        <v>201507</v>
      </c>
      <c r="BF137" s="1">
        <f t="shared" si="57"/>
        <v>41974</v>
      </c>
      <c r="BG137" s="3">
        <f t="shared" si="58"/>
        <v>4.0814402346810299</v>
      </c>
      <c r="BH137" s="12">
        <f t="shared" si="59"/>
        <v>2451310892.1700001</v>
      </c>
      <c r="BI137" s="3">
        <f t="shared" si="46"/>
        <v>4.16568496631416</v>
      </c>
      <c r="BJ137" s="12">
        <f t="shared" si="47"/>
        <v>1960717786</v>
      </c>
      <c r="BK137" s="4">
        <f t="shared" si="60"/>
        <v>4.1188788271605299</v>
      </c>
      <c r="BL137" s="3">
        <f t="shared" si="61"/>
        <v>4.0971962949586</v>
      </c>
      <c r="BM137" s="12">
        <f t="shared" si="62"/>
        <v>19677057899.93</v>
      </c>
      <c r="BN137" s="3">
        <f t="shared" si="48"/>
        <v>4.0691521875750398</v>
      </c>
      <c r="BO137" s="12">
        <f t="shared" si="49"/>
        <v>12704529305</v>
      </c>
      <c r="BP137" s="4">
        <f t="shared" si="63"/>
        <v>4.0861935240989684</v>
      </c>
      <c r="BQ137" s="13">
        <f t="shared" si="64"/>
        <v>3.2685303061561477</v>
      </c>
    </row>
    <row r="138" spans="1:69" x14ac:dyDescent="0.25">
      <c r="A138" s="1">
        <v>41821</v>
      </c>
      <c r="B138">
        <v>4.3779581166224197</v>
      </c>
      <c r="C138">
        <v>1071143146.53</v>
      </c>
      <c r="E138" s="1">
        <v>41821</v>
      </c>
      <c r="F138">
        <v>4.5284228965983502</v>
      </c>
      <c r="G138">
        <v>645522131.61000001</v>
      </c>
      <c r="Q138" s="1">
        <v>41821</v>
      </c>
      <c r="R138" s="3">
        <f t="shared" si="50"/>
        <v>4.3779581166224197</v>
      </c>
      <c r="S138" s="12">
        <f t="shared" si="51"/>
        <v>1071143146.53</v>
      </c>
      <c r="T138" s="3">
        <f t="shared" si="42"/>
        <v>4.4008881048557598</v>
      </c>
      <c r="U138" s="12">
        <f t="shared" si="43"/>
        <v>828187511</v>
      </c>
      <c r="V138" s="4">
        <f t="shared" si="52"/>
        <v>4.3879565493897426</v>
      </c>
      <c r="W138" s="3">
        <f t="shared" si="53"/>
        <v>4.5284228965983502</v>
      </c>
      <c r="X138" s="12">
        <f t="shared" si="54"/>
        <v>645522131.61000001</v>
      </c>
      <c r="Y138" s="3">
        <f t="shared" si="44"/>
        <v>4.5823441415845503</v>
      </c>
      <c r="Z138" s="12">
        <f t="shared" si="45"/>
        <v>449054915</v>
      </c>
      <c r="AA138" s="4">
        <f t="shared" si="55"/>
        <v>4.5505443179811236</v>
      </c>
      <c r="AB138" s="13">
        <f t="shared" si="56"/>
        <v>-16.258776859138102</v>
      </c>
      <c r="AO138" s="15">
        <v>201305</v>
      </c>
      <c r="AP138">
        <v>3.7928109269574102</v>
      </c>
      <c r="AQ138">
        <v>4193005964.6799998</v>
      </c>
      <c r="AS138" s="15">
        <v>199709</v>
      </c>
      <c r="AT138">
        <v>7.7263348456836596</v>
      </c>
      <c r="AU138">
        <v>7372758.2300000004</v>
      </c>
      <c r="AW138" s="15">
        <v>201501</v>
      </c>
      <c r="AX138">
        <v>4.2363358708201497</v>
      </c>
      <c r="AY138">
        <v>1699650073</v>
      </c>
      <c r="BA138" s="15">
        <v>199805</v>
      </c>
      <c r="BB138">
        <v>7.2623966417991701</v>
      </c>
      <c r="BC138">
        <v>11932580</v>
      </c>
      <c r="BE138" s="15">
        <v>201508</v>
      </c>
      <c r="BF138" s="1">
        <f t="shared" si="57"/>
        <v>42005</v>
      </c>
      <c r="BG138" s="3">
        <f t="shared" si="58"/>
        <v>4.2357776201054298</v>
      </c>
      <c r="BH138" s="12">
        <f t="shared" si="59"/>
        <v>1998702994.4200001</v>
      </c>
      <c r="BI138" s="3">
        <f t="shared" si="46"/>
        <v>4.3189660025829797</v>
      </c>
      <c r="BJ138" s="12">
        <f t="shared" si="47"/>
        <v>1684683280</v>
      </c>
      <c r="BK138" s="4">
        <f t="shared" si="60"/>
        <v>4.2738257819350602</v>
      </c>
      <c r="BL138" s="3">
        <f t="shared" si="61"/>
        <v>4.2584690777543601</v>
      </c>
      <c r="BM138" s="12">
        <f t="shared" si="62"/>
        <v>17331369937.5</v>
      </c>
      <c r="BN138" s="3">
        <f t="shared" si="48"/>
        <v>4.2224152370614201</v>
      </c>
      <c r="BO138" s="12">
        <f t="shared" si="49"/>
        <v>11855827958</v>
      </c>
      <c r="BP138" s="4">
        <f t="shared" si="63"/>
        <v>4.2438240222745209</v>
      </c>
      <c r="BQ138" s="13">
        <f t="shared" si="64"/>
        <v>3.0001759660539307</v>
      </c>
    </row>
    <row r="139" spans="1:69" x14ac:dyDescent="0.25">
      <c r="A139" s="1">
        <v>41852</v>
      </c>
      <c r="B139">
        <v>4.3435134417397903</v>
      </c>
      <c r="C139">
        <v>1026962738.37</v>
      </c>
      <c r="E139" s="1">
        <v>41852</v>
      </c>
      <c r="F139">
        <v>4.50843281793576</v>
      </c>
      <c r="G139">
        <v>675165244.45000005</v>
      </c>
      <c r="Q139" s="1">
        <v>41852</v>
      </c>
      <c r="R139" s="3">
        <f t="shared" si="50"/>
        <v>4.3435134417397903</v>
      </c>
      <c r="S139" s="12">
        <f t="shared" si="51"/>
        <v>1026962738.37</v>
      </c>
      <c r="T139" s="3">
        <f t="shared" si="42"/>
        <v>4.3383262701807102</v>
      </c>
      <c r="U139" s="12">
        <f t="shared" si="43"/>
        <v>1129902433</v>
      </c>
      <c r="V139" s="4">
        <f t="shared" si="52"/>
        <v>4.3407960731055377</v>
      </c>
      <c r="W139" s="3">
        <f t="shared" si="53"/>
        <v>4.50843281793576</v>
      </c>
      <c r="X139" s="12">
        <f t="shared" si="54"/>
        <v>675165244.45000005</v>
      </c>
      <c r="Y139" s="3">
        <f t="shared" si="44"/>
        <v>4.5016928261345601</v>
      </c>
      <c r="Z139" s="12">
        <f t="shared" si="45"/>
        <v>629833657</v>
      </c>
      <c r="AA139" s="4">
        <f t="shared" si="55"/>
        <v>4.5051798851711551</v>
      </c>
      <c r="AB139" s="13">
        <f t="shared" si="56"/>
        <v>-16.438381206561736</v>
      </c>
      <c r="AO139" s="15">
        <v>201306</v>
      </c>
      <c r="AP139">
        <v>3.7208529410282001</v>
      </c>
      <c r="AQ139">
        <v>4793428089.71</v>
      </c>
      <c r="AS139" s="15">
        <v>199710</v>
      </c>
      <c r="AT139">
        <v>7.8240961501595399</v>
      </c>
      <c r="AU139">
        <v>8981249.5800000001</v>
      </c>
      <c r="AW139" s="15">
        <v>201502</v>
      </c>
      <c r="AX139">
        <v>4.1012318341374101</v>
      </c>
      <c r="AY139">
        <v>1756553252</v>
      </c>
      <c r="BA139" s="15">
        <v>199806</v>
      </c>
      <c r="BB139">
        <v>7.3014655704177001</v>
      </c>
      <c r="BC139">
        <v>13998645</v>
      </c>
      <c r="BE139" s="15">
        <v>201509</v>
      </c>
      <c r="BF139" s="1">
        <f t="shared" si="57"/>
        <v>42036</v>
      </c>
      <c r="BG139" s="3">
        <f t="shared" si="58"/>
        <v>4.24662757396825</v>
      </c>
      <c r="BH139" s="12">
        <f t="shared" si="59"/>
        <v>1996059932.1199999</v>
      </c>
      <c r="BI139" s="3">
        <f t="shared" si="46"/>
        <v>4.3117933132663397</v>
      </c>
      <c r="BJ139" s="12">
        <f t="shared" si="47"/>
        <v>1433173459</v>
      </c>
      <c r="BK139" s="4">
        <f t="shared" si="60"/>
        <v>4.273862176384049</v>
      </c>
      <c r="BL139" s="3">
        <f t="shared" si="61"/>
        <v>4.2972164434599103</v>
      </c>
      <c r="BM139" s="12">
        <f t="shared" si="62"/>
        <v>15980861598.99</v>
      </c>
      <c r="BN139" s="3">
        <f t="shared" si="48"/>
        <v>4.2593575762103404</v>
      </c>
      <c r="BO139" s="12">
        <f t="shared" si="49"/>
        <v>10846052399</v>
      </c>
      <c r="BP139" s="4">
        <f t="shared" si="63"/>
        <v>4.2819102007073377</v>
      </c>
      <c r="BQ139" s="13">
        <f t="shared" si="64"/>
        <v>-0.80480243232887716</v>
      </c>
    </row>
    <row r="140" spans="1:69" x14ac:dyDescent="0.25">
      <c r="A140" s="1">
        <v>41883</v>
      </c>
      <c r="B140">
        <v>4.3492381075348296</v>
      </c>
      <c r="C140">
        <v>1382557658.9300001</v>
      </c>
      <c r="E140" s="1">
        <v>41883</v>
      </c>
      <c r="F140">
        <v>4.49759714765338</v>
      </c>
      <c r="G140">
        <v>759966032.16999996</v>
      </c>
      <c r="Q140" s="1">
        <v>41883</v>
      </c>
      <c r="R140" s="3">
        <f t="shared" si="50"/>
        <v>4.3492381075348296</v>
      </c>
      <c r="S140" s="12">
        <f t="shared" si="51"/>
        <v>1382557658.9300001</v>
      </c>
      <c r="T140" s="3">
        <f t="shared" si="42"/>
        <v>4.3701793329415404</v>
      </c>
      <c r="U140" s="12">
        <f t="shared" si="43"/>
        <v>919814082</v>
      </c>
      <c r="V140" s="4">
        <f t="shared" si="52"/>
        <v>4.3576042778108981</v>
      </c>
      <c r="W140" s="3">
        <f t="shared" si="53"/>
        <v>4.49759714765338</v>
      </c>
      <c r="X140" s="12">
        <f t="shared" si="54"/>
        <v>759966032.16999996</v>
      </c>
      <c r="Y140" s="3">
        <f t="shared" si="44"/>
        <v>4.5437751078459003</v>
      </c>
      <c r="Z140" s="12">
        <f t="shared" si="45"/>
        <v>564303786</v>
      </c>
      <c r="AA140" s="4">
        <f t="shared" si="55"/>
        <v>4.5172747068704329</v>
      </c>
      <c r="AB140" s="13">
        <f t="shared" si="56"/>
        <v>-15.967042905953477</v>
      </c>
      <c r="AO140" s="15">
        <v>201307</v>
      </c>
      <c r="AP140">
        <v>3.8647952749995</v>
      </c>
      <c r="AQ140">
        <v>4143552869.1399999</v>
      </c>
      <c r="AS140" s="15">
        <v>199711</v>
      </c>
      <c r="AT140">
        <v>7.7509153287783503</v>
      </c>
      <c r="AU140">
        <v>8889914.9600000009</v>
      </c>
      <c r="AW140" s="15">
        <v>201503</v>
      </c>
      <c r="AX140">
        <v>3.9332186221052901</v>
      </c>
      <c r="AY140">
        <v>2380082139</v>
      </c>
      <c r="BA140" s="15">
        <v>199807</v>
      </c>
      <c r="BB140">
        <v>7.2701972735211298</v>
      </c>
      <c r="BC140">
        <v>14630372</v>
      </c>
      <c r="BE140" s="15">
        <v>201510</v>
      </c>
      <c r="BF140" s="1">
        <f t="shared" si="57"/>
        <v>42064</v>
      </c>
      <c r="BG140" s="3">
        <f t="shared" si="58"/>
        <v>4.1684272447909798</v>
      </c>
      <c r="BH140" s="12">
        <f t="shared" si="59"/>
        <v>1889237291.6099999</v>
      </c>
      <c r="BI140" s="3">
        <f t="shared" si="46"/>
        <v>4.24759461460068</v>
      </c>
      <c r="BJ140" s="12">
        <f t="shared" si="47"/>
        <v>1377066093</v>
      </c>
      <c r="BK140" s="4">
        <f t="shared" si="60"/>
        <v>4.2018040282063236</v>
      </c>
      <c r="BL140" s="3">
        <f t="shared" si="61"/>
        <v>4.2422510999707201</v>
      </c>
      <c r="BM140" s="12">
        <f t="shared" si="62"/>
        <v>15470310520.59</v>
      </c>
      <c r="BN140" s="3">
        <f t="shared" si="48"/>
        <v>4.20384947418267</v>
      </c>
      <c r="BO140" s="12">
        <f t="shared" si="49"/>
        <v>10495190879</v>
      </c>
      <c r="BP140" s="4">
        <f t="shared" si="63"/>
        <v>4.2267292586433705</v>
      </c>
      <c r="BQ140" s="13">
        <f t="shared" si="64"/>
        <v>-2.4925230437046864</v>
      </c>
    </row>
    <row r="141" spans="1:69" x14ac:dyDescent="0.25">
      <c r="A141" s="1">
        <v>41913</v>
      </c>
      <c r="B141">
        <v>4.3140294119880798</v>
      </c>
      <c r="C141">
        <v>1228104141.01</v>
      </c>
      <c r="E141" s="1">
        <v>41913</v>
      </c>
      <c r="F141">
        <v>4.4727286066167498</v>
      </c>
      <c r="G141">
        <v>771060524.97000003</v>
      </c>
      <c r="Q141" s="1">
        <v>41913</v>
      </c>
      <c r="R141" s="3">
        <f t="shared" si="50"/>
        <v>4.3140294119880798</v>
      </c>
      <c r="S141" s="12">
        <f t="shared" si="51"/>
        <v>1228104141.01</v>
      </c>
      <c r="T141" s="3">
        <f t="shared" si="42"/>
        <v>4.3439259090313804</v>
      </c>
      <c r="U141" s="12">
        <f t="shared" si="43"/>
        <v>984418295</v>
      </c>
      <c r="V141" s="4">
        <f t="shared" si="52"/>
        <v>4.3273312697079556</v>
      </c>
      <c r="W141" s="3">
        <f t="shared" si="53"/>
        <v>4.4727286066167498</v>
      </c>
      <c r="X141" s="12">
        <f t="shared" si="54"/>
        <v>771060524.97000003</v>
      </c>
      <c r="Y141" s="3">
        <f t="shared" si="44"/>
        <v>4.5079627603474801</v>
      </c>
      <c r="Z141" s="12">
        <f t="shared" si="45"/>
        <v>621725028</v>
      </c>
      <c r="AA141" s="4">
        <f t="shared" si="55"/>
        <v>4.4884567674725844</v>
      </c>
      <c r="AB141" s="13">
        <f t="shared" si="56"/>
        <v>-16.112549776462881</v>
      </c>
      <c r="AO141" s="15">
        <v>201308</v>
      </c>
      <c r="AP141">
        <v>4.25631735601229</v>
      </c>
      <c r="AQ141">
        <v>3084406931.4099998</v>
      </c>
      <c r="AS141" s="15">
        <v>199712</v>
      </c>
      <c r="AT141">
        <v>7.8522486297452501</v>
      </c>
      <c r="AU141">
        <v>9600282.3699999992</v>
      </c>
      <c r="AW141" s="15">
        <v>201504</v>
      </c>
      <c r="AX141">
        <v>3.9947419411069802</v>
      </c>
      <c r="AY141">
        <v>2512693302</v>
      </c>
      <c r="BA141" s="15">
        <v>199808</v>
      </c>
      <c r="BB141">
        <v>7.1532515043663301</v>
      </c>
      <c r="BC141">
        <v>12949306</v>
      </c>
      <c r="BE141" s="15">
        <v>201511</v>
      </c>
      <c r="BF141" s="1">
        <f t="shared" si="57"/>
        <v>42095</v>
      </c>
      <c r="BG141" s="3">
        <f t="shared" si="58"/>
        <v>4.1136040564223597</v>
      </c>
      <c r="BH141" s="12">
        <f t="shared" si="59"/>
        <v>1754797492.5699999</v>
      </c>
      <c r="BI141" s="3">
        <f t="shared" si="46"/>
        <v>4.2134638023325</v>
      </c>
      <c r="BJ141" s="12">
        <f t="shared" si="47"/>
        <v>990928656</v>
      </c>
      <c r="BK141" s="4">
        <f t="shared" si="60"/>
        <v>4.1496432964808676</v>
      </c>
      <c r="BL141" s="3">
        <f t="shared" si="61"/>
        <v>4.1917802549607499</v>
      </c>
      <c r="BM141" s="12">
        <f t="shared" si="62"/>
        <v>14214740018.26</v>
      </c>
      <c r="BN141" s="3">
        <f t="shared" si="48"/>
        <v>4.1840211570390196</v>
      </c>
      <c r="BO141" s="12">
        <f t="shared" si="49"/>
        <v>9188856049</v>
      </c>
      <c r="BP141" s="4">
        <f t="shared" si="63"/>
        <v>4.1887338327926358</v>
      </c>
      <c r="BQ141" s="13">
        <f t="shared" si="64"/>
        <v>-3.9090536311768176</v>
      </c>
    </row>
    <row r="142" spans="1:69" x14ac:dyDescent="0.25">
      <c r="A142" s="1">
        <v>41944</v>
      </c>
      <c r="B142">
        <v>4.3726302289769103</v>
      </c>
      <c r="C142">
        <v>971401429.96000004</v>
      </c>
      <c r="E142" s="1">
        <v>41944</v>
      </c>
      <c r="F142">
        <v>4.4782362975769301</v>
      </c>
      <c r="G142">
        <v>602420300.55999994</v>
      </c>
      <c r="Q142" s="1">
        <v>41944</v>
      </c>
      <c r="R142" s="3">
        <f t="shared" si="50"/>
        <v>4.3726302289769103</v>
      </c>
      <c r="S142" s="12">
        <f t="shared" si="51"/>
        <v>971401429.96000004</v>
      </c>
      <c r="T142" s="3">
        <f t="shared" si="42"/>
        <v>4.3294128761663098</v>
      </c>
      <c r="U142" s="12">
        <f t="shared" si="43"/>
        <v>915680499</v>
      </c>
      <c r="V142" s="4">
        <f t="shared" si="52"/>
        <v>4.3516596041302833</v>
      </c>
      <c r="W142" s="3">
        <f t="shared" si="53"/>
        <v>4.4782362975769301</v>
      </c>
      <c r="X142" s="12">
        <f t="shared" si="54"/>
        <v>602420300.55999994</v>
      </c>
      <c r="Y142" s="3">
        <f t="shared" si="44"/>
        <v>4.4936127349379298</v>
      </c>
      <c r="Z142" s="12">
        <f t="shared" si="45"/>
        <v>547767601</v>
      </c>
      <c r="AA142" s="4">
        <f t="shared" si="55"/>
        <v>4.4855592003771925</v>
      </c>
      <c r="AB142" s="13">
        <f t="shared" si="56"/>
        <v>-13.389959624690917</v>
      </c>
      <c r="AO142" s="15">
        <v>201309</v>
      </c>
      <c r="AP142">
        <v>4.5547250730517996</v>
      </c>
      <c r="AQ142">
        <v>2433879433.75</v>
      </c>
      <c r="AS142" s="15">
        <v>199801</v>
      </c>
      <c r="AT142">
        <v>7.70904148307927</v>
      </c>
      <c r="AU142">
        <v>13766845.18</v>
      </c>
      <c r="AW142" s="15">
        <v>201505</v>
      </c>
      <c r="AX142">
        <v>4.0316673637279496</v>
      </c>
      <c r="AY142">
        <v>2436048841</v>
      </c>
      <c r="BA142" s="15">
        <v>199809</v>
      </c>
      <c r="BB142">
        <v>7.1670274222666999</v>
      </c>
      <c r="BC142">
        <v>12579777</v>
      </c>
      <c r="BE142" s="15">
        <v>201512</v>
      </c>
      <c r="BF142" s="1">
        <f t="shared" si="57"/>
        <v>42125</v>
      </c>
      <c r="BG142" s="3">
        <f t="shared" si="58"/>
        <v>4.0311126036689897</v>
      </c>
      <c r="BH142" s="12">
        <f t="shared" si="59"/>
        <v>682424531</v>
      </c>
      <c r="BI142" s="3">
        <f t="shared" si="46"/>
        <v>4.1665176230984802</v>
      </c>
      <c r="BJ142" s="12">
        <f t="shared" si="47"/>
        <v>229384918</v>
      </c>
      <c r="BK142" s="4">
        <f t="shared" si="60"/>
        <v>4.0651765951232193</v>
      </c>
      <c r="BL142" s="3">
        <f t="shared" si="61"/>
        <v>4.1235666150969799</v>
      </c>
      <c r="BM142" s="12">
        <f t="shared" si="62"/>
        <v>6305450967.2399998</v>
      </c>
      <c r="BN142" s="3">
        <f t="shared" si="48"/>
        <v>4.1206652332877498</v>
      </c>
      <c r="BO142" s="12">
        <f t="shared" si="49"/>
        <v>2734767226</v>
      </c>
      <c r="BP142" s="4">
        <f t="shared" si="63"/>
        <v>4.1226889146131649</v>
      </c>
      <c r="BQ142" s="13">
        <f t="shared" si="64"/>
        <v>-5.7512319489945618</v>
      </c>
    </row>
    <row r="143" spans="1:69" x14ac:dyDescent="0.25">
      <c r="A143" s="1">
        <v>41974</v>
      </c>
      <c r="B143">
        <v>4.22567975546903</v>
      </c>
      <c r="C143">
        <v>1531695961.54</v>
      </c>
      <c r="E143" s="1">
        <v>41974</v>
      </c>
      <c r="F143">
        <v>4.3995218837507899</v>
      </c>
      <c r="G143">
        <v>940379802.50999999</v>
      </c>
      <c r="Q143" s="1">
        <v>41974</v>
      </c>
      <c r="R143" s="3">
        <f t="shared" si="50"/>
        <v>4.22567975546903</v>
      </c>
      <c r="S143" s="12">
        <f t="shared" si="51"/>
        <v>1531695961.54</v>
      </c>
      <c r="T143" s="3">
        <f t="shared" si="42"/>
        <v>4.2521429390292003</v>
      </c>
      <c r="U143" s="12">
        <f t="shared" si="43"/>
        <v>957114028</v>
      </c>
      <c r="V143" s="4">
        <f t="shared" si="52"/>
        <v>4.2358566208454258</v>
      </c>
      <c r="W143" s="3">
        <f t="shared" si="53"/>
        <v>4.3995218837507899</v>
      </c>
      <c r="X143" s="12">
        <f t="shared" si="54"/>
        <v>940379802.50999999</v>
      </c>
      <c r="Y143" s="3">
        <f t="shared" si="44"/>
        <v>4.4312745510803797</v>
      </c>
      <c r="Z143" s="12">
        <f t="shared" si="45"/>
        <v>580111762</v>
      </c>
      <c r="AA143" s="4">
        <f t="shared" si="55"/>
        <v>4.4116364500020691</v>
      </c>
      <c r="AB143" s="13">
        <f t="shared" si="56"/>
        <v>-17.577982915664325</v>
      </c>
      <c r="AO143" s="15">
        <v>201310</v>
      </c>
      <c r="AP143">
        <v>4.69284129165636</v>
      </c>
      <c r="AQ143">
        <v>1934000221.71</v>
      </c>
      <c r="AS143" s="15">
        <v>199802</v>
      </c>
      <c r="AT143">
        <v>7.4410857616965602</v>
      </c>
      <c r="AU143">
        <v>11305206.74</v>
      </c>
      <c r="AW143" s="15">
        <v>201506</v>
      </c>
      <c r="AX143">
        <v>4.01705837343816</v>
      </c>
      <c r="AY143">
        <v>2325359192</v>
      </c>
      <c r="BA143" s="15">
        <v>199810</v>
      </c>
      <c r="BB143">
        <v>7.1528317105879902</v>
      </c>
      <c r="BC143">
        <v>11394579</v>
      </c>
      <c r="BF143" s="1"/>
      <c r="BK143" s="4"/>
      <c r="BL143" s="3"/>
      <c r="BM143" s="12"/>
      <c r="BN143" s="3"/>
      <c r="BO143" s="12"/>
      <c r="BP143" s="4"/>
      <c r="BQ143" s="13"/>
    </row>
    <row r="144" spans="1:69" x14ac:dyDescent="0.25">
      <c r="A144" s="1">
        <v>42005</v>
      </c>
      <c r="B144">
        <v>4.1653066353769699</v>
      </c>
      <c r="C144">
        <v>1243516118.9400001</v>
      </c>
      <c r="E144" s="1">
        <v>42005</v>
      </c>
      <c r="F144">
        <v>4.3245560084478898</v>
      </c>
      <c r="G144">
        <v>758695867.41999996</v>
      </c>
      <c r="Q144" s="1">
        <v>42005</v>
      </c>
      <c r="R144" s="3">
        <f t="shared" si="50"/>
        <v>4.1653066353769699</v>
      </c>
      <c r="S144" s="12">
        <f t="shared" si="51"/>
        <v>1243516118.9400001</v>
      </c>
      <c r="T144" s="3">
        <f t="shared" si="42"/>
        <v>4.1968054631914802</v>
      </c>
      <c r="U144" s="12">
        <f t="shared" si="43"/>
        <v>1006405361</v>
      </c>
      <c r="V144" s="4">
        <f t="shared" si="52"/>
        <v>4.1793962778202189</v>
      </c>
      <c r="W144" s="3">
        <f t="shared" si="53"/>
        <v>4.3245560084478898</v>
      </c>
      <c r="X144" s="12">
        <f t="shared" si="54"/>
        <v>758695867.41999996</v>
      </c>
      <c r="Y144" s="3">
        <f t="shared" si="44"/>
        <v>4.3877782862072401</v>
      </c>
      <c r="Z144" s="12">
        <f t="shared" si="45"/>
        <v>558211370</v>
      </c>
      <c r="AA144" s="4">
        <f t="shared" si="55"/>
        <v>4.3513547026001875</v>
      </c>
      <c r="AB144" s="13">
        <f t="shared" si="56"/>
        <v>-17.195842477996859</v>
      </c>
      <c r="AO144" s="15">
        <v>201311</v>
      </c>
      <c r="AP144">
        <v>4.61061185907755</v>
      </c>
      <c r="AQ144">
        <v>1835204200.8299999</v>
      </c>
      <c r="AS144" s="15">
        <v>199803</v>
      </c>
      <c r="AT144">
        <v>7.3468904540411701</v>
      </c>
      <c r="AU144">
        <v>16441805.789999999</v>
      </c>
      <c r="AW144" s="15">
        <v>201507</v>
      </c>
      <c r="AX144">
        <v>4.16568496631416</v>
      </c>
      <c r="AY144">
        <v>1960717786</v>
      </c>
      <c r="BA144" s="15">
        <v>199811</v>
      </c>
      <c r="BB144">
        <v>6.7989727697677296</v>
      </c>
      <c r="BC144">
        <v>21073489</v>
      </c>
      <c r="BF144" s="1"/>
      <c r="BK144" s="4"/>
      <c r="BL144" s="3"/>
      <c r="BM144" s="12"/>
      <c r="BN144" s="3"/>
      <c r="BO144" s="12"/>
      <c r="BP144" s="4"/>
      <c r="BQ144" s="13"/>
    </row>
    <row r="145" spans="1:69" x14ac:dyDescent="0.25">
      <c r="A145" s="1">
        <v>42036</v>
      </c>
      <c r="B145">
        <v>4.0332638289727303</v>
      </c>
      <c r="C145">
        <v>1327020650.8299999</v>
      </c>
      <c r="E145" s="1">
        <v>42036</v>
      </c>
      <c r="F145">
        <v>4.2382862824552099</v>
      </c>
      <c r="G145">
        <v>707655201.46000004</v>
      </c>
      <c r="Q145" s="1">
        <v>42036</v>
      </c>
      <c r="R145" s="3">
        <f t="shared" si="50"/>
        <v>4.0332638289727303</v>
      </c>
      <c r="S145" s="12">
        <f t="shared" si="51"/>
        <v>1327020650.8299999</v>
      </c>
      <c r="T145" s="3">
        <f t="shared" si="42"/>
        <v>4.0139895735313598</v>
      </c>
      <c r="U145" s="12">
        <f t="shared" si="43"/>
        <v>1583124601</v>
      </c>
      <c r="V145" s="4">
        <f t="shared" si="52"/>
        <v>4.0227785970290659</v>
      </c>
      <c r="W145" s="3">
        <f t="shared" si="53"/>
        <v>4.2382862824552099</v>
      </c>
      <c r="X145" s="12">
        <f t="shared" si="54"/>
        <v>707655201.46000004</v>
      </c>
      <c r="Y145" s="3">
        <f t="shared" si="44"/>
        <v>4.2068484789766796</v>
      </c>
      <c r="Z145" s="12">
        <f t="shared" si="45"/>
        <v>720170420</v>
      </c>
      <c r="AA145" s="4">
        <f t="shared" si="55"/>
        <v>4.2224296009426174</v>
      </c>
      <c r="AB145" s="13">
        <f t="shared" si="56"/>
        <v>-19.965100391355151</v>
      </c>
      <c r="AO145" s="15">
        <v>201312</v>
      </c>
      <c r="AP145">
        <v>4.4905389298918896</v>
      </c>
      <c r="AQ145">
        <v>1543800922</v>
      </c>
      <c r="AS145" s="15">
        <v>199804</v>
      </c>
      <c r="AT145">
        <v>7.3295411240291797</v>
      </c>
      <c r="AU145">
        <v>20353362.66</v>
      </c>
      <c r="AW145" s="15">
        <v>201508</v>
      </c>
      <c r="AX145">
        <v>4.3189660025829797</v>
      </c>
      <c r="AY145">
        <v>1684683280</v>
      </c>
      <c r="BA145" s="15">
        <v>199812</v>
      </c>
      <c r="BB145">
        <v>6.8694030266155997</v>
      </c>
      <c r="BC145">
        <v>22500710</v>
      </c>
      <c r="BF145" s="1"/>
      <c r="BK145" s="4"/>
      <c r="BL145" s="3"/>
      <c r="BM145" s="12"/>
      <c r="BN145" s="3"/>
      <c r="BO145" s="12"/>
      <c r="BP145" s="4"/>
      <c r="BQ145" s="13"/>
    </row>
    <row r="146" spans="1:69" x14ac:dyDescent="0.25">
      <c r="A146" s="1">
        <v>42064</v>
      </c>
      <c r="B146">
        <v>3.9302669464228899</v>
      </c>
      <c r="C146">
        <v>2028078686.6500001</v>
      </c>
      <c r="E146" s="1">
        <v>42064</v>
      </c>
      <c r="F146">
        <v>4.0856669438492501</v>
      </c>
      <c r="G146">
        <v>930382116.25999999</v>
      </c>
      <c r="Q146" s="1">
        <v>42064</v>
      </c>
      <c r="R146" s="3">
        <f t="shared" si="50"/>
        <v>3.9302669464228899</v>
      </c>
      <c r="S146" s="12">
        <f t="shared" si="51"/>
        <v>2028078686.6500001</v>
      </c>
      <c r="T146" s="3">
        <f t="shared" si="42"/>
        <v>3.9431534218242899</v>
      </c>
      <c r="U146" s="12">
        <f t="shared" si="43"/>
        <v>1470042460</v>
      </c>
      <c r="V146" s="4">
        <f t="shared" si="52"/>
        <v>3.9356823294830066</v>
      </c>
      <c r="W146" s="3">
        <f t="shared" si="53"/>
        <v>4.0856669438492501</v>
      </c>
      <c r="X146" s="12">
        <f t="shared" si="54"/>
        <v>930382116.25999999</v>
      </c>
      <c r="Y146" s="3">
        <f t="shared" si="44"/>
        <v>4.1805771471639002</v>
      </c>
      <c r="Z146" s="12">
        <f t="shared" si="45"/>
        <v>624644116</v>
      </c>
      <c r="AA146" s="4">
        <f t="shared" si="55"/>
        <v>4.1237917669673125</v>
      </c>
      <c r="AB146" s="13">
        <f t="shared" si="56"/>
        <v>-18.810943748430596</v>
      </c>
      <c r="AO146" s="15">
        <v>201401</v>
      </c>
      <c r="AP146">
        <v>4.5584983741135101</v>
      </c>
      <c r="AQ146">
        <v>1385609314.26</v>
      </c>
      <c r="AS146" s="15">
        <v>199805</v>
      </c>
      <c r="AT146">
        <v>7.4437001309578497</v>
      </c>
      <c r="AU146">
        <v>20547740.760000002</v>
      </c>
      <c r="AW146" s="15">
        <v>201509</v>
      </c>
      <c r="AX146">
        <v>4.3117933132663397</v>
      </c>
      <c r="AY146">
        <v>1433173459</v>
      </c>
      <c r="BA146" s="15">
        <v>199901</v>
      </c>
      <c r="BB146">
        <v>6.8094578205578502</v>
      </c>
      <c r="BC146">
        <v>24566470</v>
      </c>
      <c r="BF146" s="1"/>
      <c r="BK146" s="4"/>
      <c r="BL146" s="3"/>
      <c r="BM146" s="12"/>
      <c r="BN146" s="3"/>
      <c r="BO146" s="12"/>
      <c r="BP146" s="4"/>
      <c r="BQ146" s="13"/>
    </row>
    <row r="147" spans="1:69" x14ac:dyDescent="0.25">
      <c r="A147" s="1">
        <v>42095</v>
      </c>
      <c r="B147">
        <v>3.9069269810356402</v>
      </c>
      <c r="C147">
        <v>1998801913.9000001</v>
      </c>
      <c r="E147" s="1">
        <v>42095</v>
      </c>
      <c r="F147">
        <v>4.0812877668806102</v>
      </c>
      <c r="G147">
        <v>914906433.22000003</v>
      </c>
      <c r="Q147" s="1">
        <v>42095</v>
      </c>
      <c r="R147" s="3">
        <f t="shared" si="50"/>
        <v>3.9069269810356402</v>
      </c>
      <c r="S147" s="12">
        <f t="shared" si="51"/>
        <v>1998801913.9000001</v>
      </c>
      <c r="T147" s="3">
        <f t="shared" si="42"/>
        <v>3.92506239550021</v>
      </c>
      <c r="U147" s="12">
        <f t="shared" si="43"/>
        <v>1652164942</v>
      </c>
      <c r="V147" s="4">
        <f t="shared" si="52"/>
        <v>3.9151337649286742</v>
      </c>
      <c r="W147" s="3">
        <f t="shared" si="53"/>
        <v>4.0812877668806102</v>
      </c>
      <c r="X147" s="12">
        <f t="shared" si="54"/>
        <v>914906433.22000003</v>
      </c>
      <c r="Y147" s="3">
        <f t="shared" si="44"/>
        <v>4.1154357596153996</v>
      </c>
      <c r="Z147" s="12">
        <f t="shared" si="45"/>
        <v>726906140</v>
      </c>
      <c r="AA147" s="4">
        <f t="shared" si="55"/>
        <v>4.0964066580332776</v>
      </c>
      <c r="AB147" s="13">
        <f t="shared" si="56"/>
        <v>-18.127289310460348</v>
      </c>
      <c r="AO147" s="15">
        <v>201402</v>
      </c>
      <c r="AP147">
        <v>4.6827246880100297</v>
      </c>
      <c r="AQ147">
        <v>954797717.58000004</v>
      </c>
      <c r="AS147" s="15">
        <v>199806</v>
      </c>
      <c r="AT147">
        <v>7.3990357913512597</v>
      </c>
      <c r="AU147">
        <v>16565624.07</v>
      </c>
      <c r="AW147" s="15">
        <v>201510</v>
      </c>
      <c r="AX147">
        <v>4.24759461460068</v>
      </c>
      <c r="AY147">
        <v>1377066093</v>
      </c>
      <c r="BA147" s="15">
        <v>199902</v>
      </c>
      <c r="BB147">
        <v>6.82233746247746</v>
      </c>
      <c r="BC147">
        <v>20948409</v>
      </c>
      <c r="BF147" s="1"/>
      <c r="BK147" s="4"/>
      <c r="BL147" s="3"/>
      <c r="BM147" s="12"/>
      <c r="BN147" s="3"/>
      <c r="BO147" s="12"/>
      <c r="BP147" s="4"/>
      <c r="BQ147" s="13"/>
    </row>
    <row r="148" spans="1:69" x14ac:dyDescent="0.25">
      <c r="A148" s="1">
        <v>42125</v>
      </c>
      <c r="B148">
        <v>3.95537915891359</v>
      </c>
      <c r="C148">
        <v>1793745352.46</v>
      </c>
      <c r="E148" s="1">
        <v>42125</v>
      </c>
      <c r="F148">
        <v>4.1052167651814297</v>
      </c>
      <c r="G148">
        <v>776371405.85000002</v>
      </c>
      <c r="Q148" s="1">
        <v>42125</v>
      </c>
      <c r="R148" s="3">
        <f t="shared" si="50"/>
        <v>3.95537915891359</v>
      </c>
      <c r="S148" s="12">
        <f t="shared" si="51"/>
        <v>1793745352.46</v>
      </c>
      <c r="T148" s="3">
        <f t="shared" si="42"/>
        <v>3.9479226811703301</v>
      </c>
      <c r="U148" s="12">
        <f t="shared" si="43"/>
        <v>1686564910</v>
      </c>
      <c r="V148" s="4">
        <f t="shared" si="52"/>
        <v>3.9517657357514007</v>
      </c>
      <c r="W148" s="3">
        <f t="shared" si="53"/>
        <v>4.1052167651814297</v>
      </c>
      <c r="X148" s="12">
        <f t="shared" si="54"/>
        <v>776371405.85000002</v>
      </c>
      <c r="Y148" s="3">
        <f t="shared" si="44"/>
        <v>4.12618749840966</v>
      </c>
      <c r="Z148" s="12">
        <f t="shared" si="45"/>
        <v>825573461</v>
      </c>
      <c r="AA148" s="4">
        <f t="shared" si="55"/>
        <v>4.1160241788254348</v>
      </c>
      <c r="AB148" s="13">
        <f t="shared" si="56"/>
        <v>-16.425844307403416</v>
      </c>
      <c r="AO148" s="15">
        <v>201403</v>
      </c>
      <c r="AP148">
        <v>4.6052216314546799</v>
      </c>
      <c r="AQ148">
        <v>983214985.5</v>
      </c>
      <c r="AS148" s="15">
        <v>199807</v>
      </c>
      <c r="AT148">
        <v>7.3332871070824996</v>
      </c>
      <c r="AU148">
        <v>26791955.75</v>
      </c>
      <c r="AW148" s="15">
        <v>201511</v>
      </c>
      <c r="AX148">
        <v>4.2134638023325</v>
      </c>
      <c r="AY148">
        <v>990928656</v>
      </c>
      <c r="BA148" s="15">
        <v>199903</v>
      </c>
      <c r="BB148">
        <v>6.8749522356780099</v>
      </c>
      <c r="BC148">
        <v>15597416</v>
      </c>
      <c r="BF148" s="1"/>
      <c r="BK148" s="4"/>
      <c r="BL148" s="3"/>
      <c r="BM148" s="12"/>
      <c r="BN148" s="3"/>
      <c r="BO148" s="12"/>
      <c r="BP148" s="4"/>
      <c r="BQ148" s="13"/>
    </row>
    <row r="149" spans="1:69" x14ac:dyDescent="0.25">
      <c r="A149" s="1">
        <v>42156</v>
      </c>
      <c r="B149">
        <v>3.90299209044379</v>
      </c>
      <c r="C149">
        <v>2271480026.48</v>
      </c>
      <c r="E149" s="1">
        <v>42156</v>
      </c>
      <c r="F149">
        <v>4.0908534100992098</v>
      </c>
      <c r="G149">
        <v>852814593.73000002</v>
      </c>
      <c r="Q149" s="1">
        <v>42156</v>
      </c>
      <c r="R149" s="3">
        <f t="shared" si="50"/>
        <v>3.90299209044379</v>
      </c>
      <c r="S149" s="12">
        <f t="shared" si="51"/>
        <v>2271480026.48</v>
      </c>
      <c r="T149" s="3">
        <f t="shared" si="42"/>
        <v>3.9802143923137998</v>
      </c>
      <c r="U149" s="12">
        <f t="shared" si="43"/>
        <v>1927477915</v>
      </c>
      <c r="V149" s="4">
        <f t="shared" si="52"/>
        <v>3.9384400000142881</v>
      </c>
      <c r="W149" s="3">
        <f t="shared" si="53"/>
        <v>4.0908534100992098</v>
      </c>
      <c r="X149" s="12">
        <f t="shared" si="54"/>
        <v>852814593.73000002</v>
      </c>
      <c r="Y149" s="3">
        <f t="shared" si="44"/>
        <v>4.1294691080122297</v>
      </c>
      <c r="Z149" s="12">
        <f t="shared" si="45"/>
        <v>869728138</v>
      </c>
      <c r="AA149" s="4">
        <f t="shared" si="55"/>
        <v>4.1103508416722025</v>
      </c>
      <c r="AB149" s="13">
        <f t="shared" si="56"/>
        <v>-17.191084165791448</v>
      </c>
      <c r="AO149" s="15">
        <v>201404</v>
      </c>
      <c r="AP149">
        <v>4.5723872522670801</v>
      </c>
      <c r="AQ149">
        <v>1303745581.8599999</v>
      </c>
      <c r="AS149" s="15">
        <v>199808</v>
      </c>
      <c r="AT149">
        <v>7.3212559192837601</v>
      </c>
      <c r="AU149">
        <v>25954854.68</v>
      </c>
      <c r="AW149" s="15">
        <v>201512</v>
      </c>
      <c r="AX149">
        <v>4.1665176230984802</v>
      </c>
      <c r="AY149">
        <v>229384918</v>
      </c>
      <c r="BA149" s="15">
        <v>199904</v>
      </c>
      <c r="BB149">
        <v>6.8726822580409399</v>
      </c>
      <c r="BC149">
        <v>21347124</v>
      </c>
      <c r="BF149" s="1"/>
      <c r="BK149" s="4"/>
      <c r="BL149" s="3"/>
      <c r="BM149" s="12"/>
      <c r="BN149" s="3"/>
      <c r="BO149" s="12"/>
      <c r="BP149" s="4"/>
      <c r="BQ149" s="13"/>
    </row>
    <row r="150" spans="1:69" x14ac:dyDescent="0.25">
      <c r="A150" s="1">
        <v>42186</v>
      </c>
      <c r="B150">
        <v>4.0077296562855196</v>
      </c>
      <c r="C150">
        <v>1559147374.1300001</v>
      </c>
      <c r="E150" s="1">
        <v>42186</v>
      </c>
      <c r="F150">
        <v>4.1935257307349003</v>
      </c>
      <c r="G150">
        <v>859780196.24000001</v>
      </c>
      <c r="Q150" s="1">
        <v>42186</v>
      </c>
      <c r="R150" s="3">
        <f t="shared" si="50"/>
        <v>4.0077296562855196</v>
      </c>
      <c r="S150" s="12">
        <f t="shared" si="51"/>
        <v>1559147374.1300001</v>
      </c>
      <c r="T150" s="3">
        <f t="shared" si="42"/>
        <v>4.0816576998933503</v>
      </c>
      <c r="U150" s="12">
        <f t="shared" si="43"/>
        <v>1781323424</v>
      </c>
      <c r="V150" s="4">
        <f t="shared" si="52"/>
        <v>4.0471521699751598</v>
      </c>
      <c r="W150" s="3">
        <f t="shared" si="53"/>
        <v>4.1935257307349003</v>
      </c>
      <c r="X150" s="12">
        <f t="shared" si="54"/>
        <v>859780196.24000001</v>
      </c>
      <c r="Y150" s="3">
        <f t="shared" si="44"/>
        <v>4.2419309725037504</v>
      </c>
      <c r="Z150" s="12">
        <f t="shared" si="45"/>
        <v>825234379</v>
      </c>
      <c r="AA150" s="4">
        <f t="shared" si="55"/>
        <v>4.2172321545358766</v>
      </c>
      <c r="AB150" s="13">
        <f t="shared" si="56"/>
        <v>-17.007998456071682</v>
      </c>
      <c r="AO150" s="15">
        <v>201405</v>
      </c>
      <c r="AP150">
        <v>4.5911348892063399</v>
      </c>
      <c r="AQ150">
        <v>1296606792.0699999</v>
      </c>
      <c r="AS150" s="15">
        <v>199809</v>
      </c>
      <c r="AT150">
        <v>7.30778734416283</v>
      </c>
      <c r="AU150">
        <v>27123787.98</v>
      </c>
      <c r="BA150" s="15">
        <v>199905</v>
      </c>
      <c r="BB150">
        <v>7.1150378243301198</v>
      </c>
      <c r="BC150">
        <v>15465839</v>
      </c>
      <c r="BF150" s="1"/>
      <c r="BK150" s="4"/>
      <c r="BL150" s="3"/>
      <c r="BM150" s="12"/>
      <c r="BN150" s="3"/>
      <c r="BO150" s="12"/>
      <c r="BP150" s="4"/>
      <c r="BQ150" s="13"/>
    </row>
    <row r="151" spans="1:69" x14ac:dyDescent="0.25">
      <c r="A151" s="1">
        <v>42217</v>
      </c>
      <c r="B151">
        <v>4.0887573694858803</v>
      </c>
      <c r="C151">
        <v>1358892623.2</v>
      </c>
      <c r="E151" s="1">
        <v>42217</v>
      </c>
      <c r="F151">
        <v>4.2860412029358601</v>
      </c>
      <c r="G151">
        <v>786982458.20000005</v>
      </c>
      <c r="Q151" s="1">
        <v>42217</v>
      </c>
      <c r="R151" s="3">
        <f t="shared" si="50"/>
        <v>4.0887573694858803</v>
      </c>
      <c r="S151" s="12">
        <f t="shared" si="51"/>
        <v>1358892623.2</v>
      </c>
      <c r="T151" s="3">
        <f t="shared" si="42"/>
        <v>4.1578089975116796</v>
      </c>
      <c r="U151" s="12">
        <f t="shared" si="43"/>
        <v>1245325174</v>
      </c>
      <c r="V151" s="4">
        <f t="shared" si="52"/>
        <v>4.1217775457471246</v>
      </c>
      <c r="W151" s="3">
        <f t="shared" si="53"/>
        <v>4.2860412029358601</v>
      </c>
      <c r="X151" s="12">
        <f t="shared" si="54"/>
        <v>786982458.20000005</v>
      </c>
      <c r="Y151" s="3">
        <f t="shared" si="44"/>
        <v>4.3263575606327001</v>
      </c>
      <c r="Z151" s="12">
        <f t="shared" si="45"/>
        <v>728296211</v>
      </c>
      <c r="AA151" s="4">
        <f t="shared" si="55"/>
        <v>4.3054186621113608</v>
      </c>
      <c r="AB151" s="13">
        <f t="shared" si="56"/>
        <v>-18.364111636423619</v>
      </c>
      <c r="AO151" s="15">
        <v>201406</v>
      </c>
      <c r="AP151">
        <v>4.5165739778538896</v>
      </c>
      <c r="AQ151">
        <v>1478601825.8699999</v>
      </c>
      <c r="AS151" s="15">
        <v>199810</v>
      </c>
      <c r="AT151">
        <v>7.1786306947223499</v>
      </c>
      <c r="AU151">
        <v>27014516.780000001</v>
      </c>
      <c r="BA151" s="15">
        <v>199906</v>
      </c>
      <c r="BB151">
        <v>7.0994833719874304</v>
      </c>
      <c r="BC151">
        <v>16990004</v>
      </c>
      <c r="BF151" s="1"/>
      <c r="BK151" s="4"/>
      <c r="BL151" s="3"/>
      <c r="BM151" s="12"/>
      <c r="BN151" s="3"/>
      <c r="BO151" s="12"/>
      <c r="BP151" s="4"/>
      <c r="BQ151" s="13"/>
    </row>
    <row r="152" spans="1:69" x14ac:dyDescent="0.25">
      <c r="A152" s="1">
        <v>42248</v>
      </c>
      <c r="B152">
        <v>4.1446256961858703</v>
      </c>
      <c r="C152">
        <v>1298494696.3099999</v>
      </c>
      <c r="E152" s="1">
        <v>42248</v>
      </c>
      <c r="F152">
        <v>4.32334945159882</v>
      </c>
      <c r="G152">
        <v>925582876.22000003</v>
      </c>
      <c r="Q152" s="1">
        <v>42248</v>
      </c>
      <c r="R152" s="3">
        <f t="shared" si="50"/>
        <v>4.1446256961858703</v>
      </c>
      <c r="S152" s="12">
        <f t="shared" si="51"/>
        <v>1298494696.3099999</v>
      </c>
      <c r="T152" s="3">
        <f t="shared" si="42"/>
        <v>4.2055466558468799</v>
      </c>
      <c r="U152" s="12">
        <f t="shared" si="43"/>
        <v>1021946898</v>
      </c>
      <c r="V152" s="4">
        <f t="shared" si="52"/>
        <v>4.1714559279406433</v>
      </c>
      <c r="W152" s="3">
        <f t="shared" si="53"/>
        <v>4.32334945159882</v>
      </c>
      <c r="X152" s="12">
        <f t="shared" si="54"/>
        <v>925582876.22000003</v>
      </c>
      <c r="Y152" s="3">
        <f t="shared" si="44"/>
        <v>4.4002295905874904</v>
      </c>
      <c r="Z152" s="12">
        <f t="shared" si="45"/>
        <v>659708774</v>
      </c>
      <c r="AA152" s="4">
        <f t="shared" si="55"/>
        <v>4.3553426196888223</v>
      </c>
      <c r="AB152" s="13">
        <f t="shared" si="56"/>
        <v>-18.388669174817895</v>
      </c>
      <c r="AO152" s="15">
        <v>201407</v>
      </c>
      <c r="AP152">
        <v>4.39943087958435</v>
      </c>
      <c r="AQ152">
        <v>1994441051.1199999</v>
      </c>
      <c r="AS152" s="15">
        <v>199811</v>
      </c>
      <c r="AT152">
        <v>6.9663790630222504</v>
      </c>
      <c r="AU152">
        <v>35158962.909999996</v>
      </c>
      <c r="BA152" s="15">
        <v>199907</v>
      </c>
      <c r="BB152">
        <v>7.2978413149327501</v>
      </c>
      <c r="BC152">
        <v>14581643</v>
      </c>
      <c r="BF152" s="1"/>
      <c r="BK152" s="4"/>
      <c r="BL152" s="3"/>
      <c r="BM152" s="12"/>
      <c r="BN152" s="3"/>
      <c r="BO152" s="12"/>
      <c r="BP152" s="4"/>
      <c r="BQ152" s="13"/>
    </row>
    <row r="153" spans="1:69" x14ac:dyDescent="0.25">
      <c r="A153" s="1">
        <v>42278</v>
      </c>
      <c r="B153">
        <v>4.1237442126210899</v>
      </c>
      <c r="C153">
        <v>1231696914.6099999</v>
      </c>
      <c r="E153" s="1">
        <v>42278</v>
      </c>
      <c r="F153">
        <v>4.2984814368245301</v>
      </c>
      <c r="G153">
        <v>796764596</v>
      </c>
      <c r="Q153" s="1">
        <v>42278</v>
      </c>
      <c r="R153" s="3">
        <f t="shared" si="50"/>
        <v>4.1237442126210899</v>
      </c>
      <c r="S153" s="12">
        <f t="shared" si="51"/>
        <v>1231696914.6099999</v>
      </c>
      <c r="T153" s="3">
        <f t="shared" si="42"/>
        <v>4.1983477524589903</v>
      </c>
      <c r="U153" s="12">
        <f t="shared" si="43"/>
        <v>921851503</v>
      </c>
      <c r="V153" s="4">
        <f t="shared" si="52"/>
        <v>4.155679127465036</v>
      </c>
      <c r="W153" s="3">
        <f t="shared" si="53"/>
        <v>4.2984814368245301</v>
      </c>
      <c r="X153" s="12">
        <f t="shared" si="54"/>
        <v>796764596</v>
      </c>
      <c r="Y153" s="3">
        <f t="shared" si="44"/>
        <v>4.3840273048532703</v>
      </c>
      <c r="Z153" s="12">
        <f t="shared" si="45"/>
        <v>586113642</v>
      </c>
      <c r="AA153" s="4">
        <f t="shared" si="55"/>
        <v>4.3347388591272278</v>
      </c>
      <c r="AB153" s="13">
        <f t="shared" si="56"/>
        <v>-17.90597316621918</v>
      </c>
      <c r="AO153" s="15">
        <v>201408</v>
      </c>
      <c r="AP153">
        <v>4.3764155255456796</v>
      </c>
      <c r="AQ153">
        <v>1880500403.0999999</v>
      </c>
      <c r="AS153" s="15">
        <v>199812</v>
      </c>
      <c r="AT153">
        <v>6.8634369063481504</v>
      </c>
      <c r="AU153">
        <v>28733844.800000001</v>
      </c>
      <c r="BA153" s="15">
        <v>199908</v>
      </c>
      <c r="BB153">
        <v>7.5042060667457804</v>
      </c>
      <c r="BC153">
        <v>10589763</v>
      </c>
      <c r="BF153" s="1"/>
      <c r="BK153" s="4"/>
      <c r="BL153" s="3"/>
      <c r="BM153" s="12"/>
      <c r="BN153" s="3"/>
      <c r="BO153" s="12"/>
      <c r="BP153" s="4"/>
      <c r="BQ153" s="13"/>
    </row>
    <row r="154" spans="1:69" x14ac:dyDescent="0.25">
      <c r="A154" s="1">
        <v>42309</v>
      </c>
      <c r="B154">
        <v>4.0685352728286199</v>
      </c>
      <c r="C154">
        <v>858750593</v>
      </c>
      <c r="E154" s="1">
        <v>42309</v>
      </c>
      <c r="F154">
        <v>4.2472322816721899</v>
      </c>
      <c r="G154">
        <v>608855467</v>
      </c>
      <c r="Q154" s="1">
        <v>42309</v>
      </c>
      <c r="R154" s="3">
        <f t="shared" si="50"/>
        <v>4.0685352728286199</v>
      </c>
      <c r="S154" s="12">
        <f t="shared" si="51"/>
        <v>858750593</v>
      </c>
      <c r="T154" s="3">
        <f t="shared" si="42"/>
        <v>4.1661091798361802</v>
      </c>
      <c r="U154" s="12">
        <f t="shared" si="43"/>
        <v>705829077</v>
      </c>
      <c r="V154" s="4">
        <f t="shared" si="52"/>
        <v>4.1125538051175061</v>
      </c>
      <c r="W154" s="3">
        <f t="shared" si="53"/>
        <v>4.2472322816721899</v>
      </c>
      <c r="X154" s="12">
        <f t="shared" si="54"/>
        <v>608855467</v>
      </c>
      <c r="Y154" s="3">
        <f t="shared" si="44"/>
        <v>4.3632466388916598</v>
      </c>
      <c r="Z154" s="12">
        <f t="shared" si="45"/>
        <v>466091492</v>
      </c>
      <c r="AA154" s="4">
        <f t="shared" si="55"/>
        <v>4.2975355123545178</v>
      </c>
      <c r="AB154" s="13">
        <f t="shared" si="56"/>
        <v>-18.498170723701168</v>
      </c>
      <c r="AO154" s="15">
        <v>201409</v>
      </c>
      <c r="AP154">
        <v>4.3742438876721703</v>
      </c>
      <c r="AQ154">
        <v>1823891184.23</v>
      </c>
      <c r="AS154" s="15">
        <v>199901</v>
      </c>
      <c r="AT154">
        <v>6.8802572848220702</v>
      </c>
      <c r="AU154">
        <v>36367854.600000001</v>
      </c>
      <c r="BA154" s="15">
        <v>199909</v>
      </c>
      <c r="BB154">
        <v>7.6651314365937004</v>
      </c>
      <c r="BC154">
        <v>8217118</v>
      </c>
      <c r="BF154" s="1"/>
      <c r="BK154" s="4"/>
      <c r="BL154" s="3"/>
      <c r="BM154" s="12"/>
      <c r="BN154" s="3"/>
      <c r="BO154" s="12"/>
      <c r="BP154" s="4"/>
      <c r="BQ154" s="13"/>
    </row>
    <row r="155" spans="1:69" x14ac:dyDescent="0.25">
      <c r="A155" s="1">
        <v>42339</v>
      </c>
      <c r="B155">
        <v>4.0070538061189698</v>
      </c>
      <c r="C155">
        <v>758214493.82000005</v>
      </c>
      <c r="E155" s="1">
        <v>42339</v>
      </c>
      <c r="F155">
        <v>4.2175996537302103</v>
      </c>
      <c r="G155">
        <v>491620669.33999997</v>
      </c>
      <c r="Q155" s="1">
        <v>42339</v>
      </c>
      <c r="R155" s="3">
        <f t="shared" si="50"/>
        <v>4.0070538061189698</v>
      </c>
      <c r="S155" s="12">
        <f t="shared" si="51"/>
        <v>758214493.82000005</v>
      </c>
      <c r="T155" s="3">
        <f t="shared" si="42"/>
        <v>4.1351054735638098</v>
      </c>
      <c r="U155" s="12">
        <f t="shared" si="43"/>
        <v>359030819</v>
      </c>
      <c r="V155" s="4">
        <f t="shared" si="52"/>
        <v>4.0482036722311792</v>
      </c>
      <c r="W155" s="3">
        <f t="shared" si="53"/>
        <v>4.2175996537302103</v>
      </c>
      <c r="X155" s="12">
        <f t="shared" si="54"/>
        <v>491620669.33999997</v>
      </c>
      <c r="Y155" s="3">
        <f t="shared" si="44"/>
        <v>4.3712525648592102</v>
      </c>
      <c r="Z155" s="12">
        <f t="shared" si="45"/>
        <v>265674913</v>
      </c>
      <c r="AA155" s="4">
        <f t="shared" si="55"/>
        <v>4.2715042647544257</v>
      </c>
      <c r="AB155" s="13">
        <f t="shared" si="56"/>
        <v>-22.330059252324652</v>
      </c>
      <c r="AO155" s="15">
        <v>201410</v>
      </c>
      <c r="AP155">
        <v>4.3616385994100897</v>
      </c>
      <c r="AQ155">
        <v>1779594922.3099999</v>
      </c>
      <c r="AS155" s="15">
        <v>199902</v>
      </c>
      <c r="AT155">
        <v>6.9662675805821399</v>
      </c>
      <c r="AU155">
        <v>28157614.949999999</v>
      </c>
      <c r="BA155" s="15">
        <v>199910</v>
      </c>
      <c r="BB155">
        <v>7.8231410440752596</v>
      </c>
      <c r="BC155">
        <v>4527528</v>
      </c>
      <c r="BF155" s="1"/>
      <c r="BK155" s="4"/>
      <c r="BL155" s="3"/>
      <c r="BM155" s="12"/>
      <c r="BN155" s="3"/>
      <c r="BO155" s="12"/>
      <c r="BP155" s="4"/>
      <c r="BQ155" s="13"/>
    </row>
    <row r="156" spans="1:69" x14ac:dyDescent="0.25">
      <c r="AO156" s="15">
        <v>201411</v>
      </c>
      <c r="AP156">
        <v>4.3412189426543097</v>
      </c>
      <c r="AQ156">
        <v>1914103696.55</v>
      </c>
      <c r="AS156" s="15">
        <v>199903</v>
      </c>
      <c r="AT156">
        <v>7.0287795129128297</v>
      </c>
      <c r="AU156">
        <v>31053284.379999999</v>
      </c>
      <c r="BA156" s="15">
        <v>199911</v>
      </c>
      <c r="BB156">
        <v>7.8321126721736496</v>
      </c>
      <c r="BC156">
        <v>2285338</v>
      </c>
    </row>
    <row r="157" spans="1:69" x14ac:dyDescent="0.25">
      <c r="AO157" s="15">
        <v>201412</v>
      </c>
      <c r="AP157">
        <v>4.2085891965335902</v>
      </c>
      <c r="AQ157">
        <v>2231862170.2600002</v>
      </c>
      <c r="AS157" s="15">
        <v>199904</v>
      </c>
      <c r="AT157">
        <v>6.9723802188608097</v>
      </c>
      <c r="AU157">
        <v>31529169.789999999</v>
      </c>
      <c r="BA157" s="15">
        <v>199912</v>
      </c>
      <c r="BB157">
        <v>7.3483215588056998</v>
      </c>
      <c r="BC157">
        <v>2408023</v>
      </c>
    </row>
    <row r="158" spans="1:69" x14ac:dyDescent="0.25">
      <c r="AO158" s="15">
        <v>201501</v>
      </c>
      <c r="AP158">
        <v>4.1743108088401497</v>
      </c>
      <c r="AQ158">
        <v>2219827131.98</v>
      </c>
      <c r="AS158" s="15">
        <v>199905</v>
      </c>
      <c r="AT158">
        <v>7.0432933756838603</v>
      </c>
      <c r="AU158">
        <v>29806467.579999998</v>
      </c>
      <c r="BA158" s="15">
        <v>200001</v>
      </c>
      <c r="BB158">
        <v>6.8947790459089697</v>
      </c>
      <c r="BC158">
        <v>7090749</v>
      </c>
    </row>
    <row r="159" spans="1:69" x14ac:dyDescent="0.25">
      <c r="AO159" s="15">
        <v>201502</v>
      </c>
      <c r="AP159">
        <v>4.05220341405645</v>
      </c>
      <c r="AQ159">
        <v>2062609782.3900001</v>
      </c>
      <c r="AS159" s="15">
        <v>199906</v>
      </c>
      <c r="AT159">
        <v>7.0429130774025799</v>
      </c>
      <c r="AU159">
        <v>24876824.260000002</v>
      </c>
      <c r="BA159" s="15">
        <v>200002</v>
      </c>
      <c r="BB159">
        <v>7.0324159432364803</v>
      </c>
      <c r="BC159">
        <v>1860350</v>
      </c>
    </row>
    <row r="160" spans="1:69" x14ac:dyDescent="0.25">
      <c r="AO160" s="15">
        <v>201503</v>
      </c>
      <c r="AP160">
        <v>3.91674111734301</v>
      </c>
      <c r="AQ160">
        <v>2940488158.21</v>
      </c>
      <c r="AS160" s="15">
        <v>199907</v>
      </c>
      <c r="AT160">
        <v>7.10050629049229</v>
      </c>
      <c r="AU160">
        <v>19912432</v>
      </c>
      <c r="BA160" s="15">
        <v>200003</v>
      </c>
      <c r="BB160">
        <v>7.4260527663114697</v>
      </c>
      <c r="BC160">
        <v>1562550</v>
      </c>
    </row>
    <row r="161" spans="41:55" x14ac:dyDescent="0.25">
      <c r="AO161" s="15">
        <v>201504</v>
      </c>
      <c r="AP161">
        <v>3.9621165863191301</v>
      </c>
      <c r="AQ161">
        <v>2941449069.27</v>
      </c>
      <c r="AS161" s="15">
        <v>199908</v>
      </c>
      <c r="AT161">
        <v>7.3153983600553696</v>
      </c>
      <c r="AU161">
        <v>12442461.619999999</v>
      </c>
      <c r="BA161" s="15">
        <v>200004</v>
      </c>
      <c r="BB161">
        <v>7.9577992464314597</v>
      </c>
      <c r="BC161">
        <v>2102264</v>
      </c>
    </row>
    <row r="162" spans="41:55" x14ac:dyDescent="0.25">
      <c r="AO162" s="15">
        <v>201505</v>
      </c>
      <c r="AP162">
        <v>3.9859845553595799</v>
      </c>
      <c r="AQ162">
        <v>2284166184.8800001</v>
      </c>
      <c r="AS162" s="15">
        <v>199909</v>
      </c>
      <c r="AT162">
        <v>7.5634751978953298</v>
      </c>
      <c r="AU162">
        <v>13298580.279999999</v>
      </c>
      <c r="BA162" s="15">
        <v>200005</v>
      </c>
      <c r="BB162">
        <v>7.9181224045598499</v>
      </c>
      <c r="BC162">
        <v>1207406</v>
      </c>
    </row>
    <row r="163" spans="41:55" x14ac:dyDescent="0.25">
      <c r="AO163" s="15">
        <v>201506</v>
      </c>
      <c r="AP163">
        <v>3.9639649916812001</v>
      </c>
      <c r="AQ163">
        <v>2308058361.2800002</v>
      </c>
      <c r="AS163" s="15">
        <v>199910</v>
      </c>
      <c r="AT163">
        <v>7.7205416689662902</v>
      </c>
      <c r="AU163">
        <v>13081846</v>
      </c>
      <c r="BA163" s="15">
        <v>200006</v>
      </c>
      <c r="BB163">
        <v>7.8895065263248298</v>
      </c>
      <c r="BC163">
        <v>1628405</v>
      </c>
    </row>
    <row r="164" spans="41:55" x14ac:dyDescent="0.25">
      <c r="AO164" s="15">
        <v>201507</v>
      </c>
      <c r="AP164">
        <v>4.0814402346810299</v>
      </c>
      <c r="AQ164">
        <v>2451310892.1700001</v>
      </c>
      <c r="AS164" s="15">
        <v>199911</v>
      </c>
      <c r="AT164">
        <v>7.8621537360350304</v>
      </c>
      <c r="AU164">
        <v>13619555.1</v>
      </c>
      <c r="BA164" s="15">
        <v>200007</v>
      </c>
      <c r="BB164">
        <v>7.8942173658219703</v>
      </c>
      <c r="BC164">
        <v>2020152</v>
      </c>
    </row>
    <row r="165" spans="41:55" x14ac:dyDescent="0.25">
      <c r="AO165" s="15">
        <v>201508</v>
      </c>
      <c r="AP165">
        <v>4.2357776201054298</v>
      </c>
      <c r="AQ165">
        <v>1998702994.4200001</v>
      </c>
      <c r="AS165" s="15">
        <v>199912</v>
      </c>
      <c r="AT165">
        <v>7.7579679189472701</v>
      </c>
      <c r="AU165">
        <v>12350134</v>
      </c>
      <c r="BA165" s="15">
        <v>200008</v>
      </c>
      <c r="BB165">
        <v>8.0122514707758405</v>
      </c>
      <c r="BC165">
        <v>2335842</v>
      </c>
    </row>
    <row r="166" spans="41:55" x14ac:dyDescent="0.25">
      <c r="AO166" s="15">
        <v>201509</v>
      </c>
      <c r="AP166">
        <v>4.24662757396825</v>
      </c>
      <c r="AQ166">
        <v>1996059932.1199999</v>
      </c>
      <c r="AS166" s="15">
        <v>200001</v>
      </c>
      <c r="AT166">
        <v>7.7172797300537397</v>
      </c>
      <c r="AU166">
        <v>12675754.33</v>
      </c>
      <c r="BA166" s="15">
        <v>200009</v>
      </c>
      <c r="BB166">
        <v>8.0880675487637603</v>
      </c>
      <c r="BC166">
        <v>2019430</v>
      </c>
    </row>
    <row r="167" spans="41:55" x14ac:dyDescent="0.25">
      <c r="AO167" s="15">
        <v>201510</v>
      </c>
      <c r="AP167">
        <v>4.1684272447909798</v>
      </c>
      <c r="AQ167">
        <v>1889237291.6099999</v>
      </c>
      <c r="AS167" s="15">
        <v>200002</v>
      </c>
      <c r="AT167">
        <v>7.83627319528438</v>
      </c>
      <c r="AU167">
        <v>8667227.75</v>
      </c>
      <c r="BA167" s="15">
        <v>200010</v>
      </c>
      <c r="BB167">
        <v>7.8260523664395203</v>
      </c>
      <c r="BC167">
        <v>2269908</v>
      </c>
    </row>
    <row r="168" spans="41:55" x14ac:dyDescent="0.25">
      <c r="AO168" s="15">
        <v>201511</v>
      </c>
      <c r="AP168">
        <v>4.1136040564223597</v>
      </c>
      <c r="AQ168">
        <v>1754797492.5699999</v>
      </c>
      <c r="AS168" s="15">
        <v>200003</v>
      </c>
      <c r="AT168">
        <v>8.1419510332811793</v>
      </c>
      <c r="AU168">
        <v>6360543.5999999996</v>
      </c>
      <c r="BA168" s="15">
        <v>200011</v>
      </c>
      <c r="BB168">
        <v>7.7412073609759204</v>
      </c>
      <c r="BC168">
        <v>2791369</v>
      </c>
    </row>
    <row r="169" spans="41:55" x14ac:dyDescent="0.25">
      <c r="AO169" s="15">
        <v>201512</v>
      </c>
      <c r="AP169">
        <v>4.0311126036689897</v>
      </c>
      <c r="AQ169">
        <v>682424531</v>
      </c>
      <c r="AS169" s="15">
        <v>200004</v>
      </c>
      <c r="AT169">
        <v>8.1105462026175008</v>
      </c>
      <c r="AU169">
        <v>7515183.96</v>
      </c>
      <c r="BA169" s="15">
        <v>200012</v>
      </c>
      <c r="BB169">
        <v>7.8741980133094298</v>
      </c>
      <c r="BC169">
        <v>2436917</v>
      </c>
    </row>
    <row r="170" spans="41:55" x14ac:dyDescent="0.25">
      <c r="AO170" s="15">
        <v>201601</v>
      </c>
      <c r="AP170">
        <v>4.0951749567682398</v>
      </c>
      <c r="AQ170">
        <v>22046875</v>
      </c>
      <c r="AS170" s="15">
        <v>200005</v>
      </c>
      <c r="AT170">
        <v>8.1364079087584091</v>
      </c>
      <c r="AU170">
        <v>7421900.75</v>
      </c>
      <c r="BA170" s="15">
        <v>200101</v>
      </c>
      <c r="BB170">
        <v>8.0856922214928098</v>
      </c>
      <c r="BC170">
        <v>4518142</v>
      </c>
    </row>
    <row r="171" spans="41:55" x14ac:dyDescent="0.25">
      <c r="AS171" s="15">
        <v>200006</v>
      </c>
      <c r="AT171">
        <v>8.2303289245119799</v>
      </c>
      <c r="AU171">
        <v>6934244.0800000001</v>
      </c>
      <c r="BA171" s="15">
        <v>200102</v>
      </c>
      <c r="BB171">
        <v>7.4301969851440504</v>
      </c>
      <c r="BC171">
        <v>5294714</v>
      </c>
    </row>
    <row r="172" spans="41:55" x14ac:dyDescent="0.25">
      <c r="AS172" s="15">
        <v>200007</v>
      </c>
      <c r="AT172">
        <v>8.1232476197149701</v>
      </c>
      <c r="AU172">
        <v>5995899.5999999996</v>
      </c>
      <c r="BA172" s="15">
        <v>200103</v>
      </c>
      <c r="BB172">
        <v>6.9063385849309</v>
      </c>
      <c r="BC172">
        <v>20089125</v>
      </c>
    </row>
    <row r="173" spans="41:55" x14ac:dyDescent="0.25">
      <c r="AS173" s="15">
        <v>200008</v>
      </c>
      <c r="AT173">
        <v>8.2256468616477907</v>
      </c>
      <c r="AU173">
        <v>6804324.4100000001</v>
      </c>
      <c r="BA173" s="15">
        <v>200104</v>
      </c>
      <c r="BB173">
        <v>6.7586145273309901</v>
      </c>
      <c r="BC173">
        <v>34011602</v>
      </c>
    </row>
    <row r="174" spans="41:55" x14ac:dyDescent="0.25">
      <c r="AS174" s="15">
        <v>200009</v>
      </c>
      <c r="AT174">
        <v>8.0031631045587304</v>
      </c>
      <c r="AU174">
        <v>10459464.550000001</v>
      </c>
      <c r="BA174" s="15">
        <v>200105</v>
      </c>
      <c r="BB174">
        <v>6.7608830969405496</v>
      </c>
      <c r="BC174">
        <v>19013694</v>
      </c>
    </row>
    <row r="175" spans="41:55" x14ac:dyDescent="0.25">
      <c r="AS175" s="15">
        <v>200010</v>
      </c>
      <c r="AT175">
        <v>7.9930283510458802</v>
      </c>
      <c r="AU175">
        <v>11127138</v>
      </c>
      <c r="BA175" s="15">
        <v>200106</v>
      </c>
      <c r="BB175">
        <v>6.8937126090571601</v>
      </c>
      <c r="BC175">
        <v>14529421</v>
      </c>
    </row>
    <row r="176" spans="41:55" x14ac:dyDescent="0.25">
      <c r="AS176" s="15">
        <v>200011</v>
      </c>
      <c r="AT176">
        <v>7.8465441221218404</v>
      </c>
      <c r="AU176">
        <v>13553256.619999999</v>
      </c>
      <c r="BA176" s="15">
        <v>200107</v>
      </c>
      <c r="BB176">
        <v>6.9710128492804504</v>
      </c>
      <c r="BC176">
        <v>13371955</v>
      </c>
    </row>
    <row r="177" spans="45:55" x14ac:dyDescent="0.25">
      <c r="AS177" s="15">
        <v>200012</v>
      </c>
      <c r="AT177">
        <v>7.6890037743381203</v>
      </c>
      <c r="AU177">
        <v>11427306.869999999</v>
      </c>
      <c r="BA177" s="15">
        <v>200108</v>
      </c>
      <c r="BB177">
        <v>6.9826534083392202</v>
      </c>
      <c r="BC177">
        <v>15321641</v>
      </c>
    </row>
    <row r="178" spans="45:55" x14ac:dyDescent="0.25">
      <c r="AS178" s="15">
        <v>200101</v>
      </c>
      <c r="AT178">
        <v>7.6292254085344799</v>
      </c>
      <c r="AU178">
        <v>15498389.26</v>
      </c>
      <c r="BA178" s="15">
        <v>200109</v>
      </c>
      <c r="BB178">
        <v>6.8372715371433497</v>
      </c>
      <c r="BC178">
        <v>16207558</v>
      </c>
    </row>
    <row r="179" spans="45:55" x14ac:dyDescent="0.25">
      <c r="AS179" s="15">
        <v>200102</v>
      </c>
      <c r="AT179">
        <v>7.3606477689740997</v>
      </c>
      <c r="AU179">
        <v>20976676.32</v>
      </c>
      <c r="BA179" s="15">
        <v>200110</v>
      </c>
      <c r="BB179">
        <v>6.6890921504354699</v>
      </c>
      <c r="BC179">
        <v>13416171</v>
      </c>
    </row>
    <row r="180" spans="45:55" x14ac:dyDescent="0.25">
      <c r="AS180" s="15">
        <v>200103</v>
      </c>
      <c r="AT180">
        <v>7.0625401335196996</v>
      </c>
      <c r="AU180">
        <v>31469256.23</v>
      </c>
      <c r="BA180" s="15">
        <v>200111</v>
      </c>
      <c r="BB180">
        <v>6.4755211237915198</v>
      </c>
      <c r="BC180">
        <v>23946648</v>
      </c>
    </row>
    <row r="181" spans="45:55" x14ac:dyDescent="0.25">
      <c r="AS181" s="15">
        <v>200104</v>
      </c>
      <c r="AT181">
        <v>7.0024494350787396</v>
      </c>
      <c r="AU181">
        <v>43495650.75</v>
      </c>
      <c r="BA181" s="15">
        <v>200112</v>
      </c>
      <c r="BB181">
        <v>6.4275757636142901</v>
      </c>
      <c r="BC181">
        <v>28905234</v>
      </c>
    </row>
    <row r="182" spans="45:55" x14ac:dyDescent="0.25">
      <c r="AS182" s="15">
        <v>200105</v>
      </c>
      <c r="AT182">
        <v>6.9663631635469399</v>
      </c>
      <c r="AU182">
        <v>65298918.020000003</v>
      </c>
      <c r="BA182" s="15">
        <v>200201</v>
      </c>
      <c r="BB182">
        <v>6.4889819226226102</v>
      </c>
      <c r="BC182">
        <v>26516457</v>
      </c>
    </row>
    <row r="183" spans="45:55" x14ac:dyDescent="0.25">
      <c r="AS183" s="15">
        <v>200106</v>
      </c>
      <c r="AT183">
        <v>7.05778513653632</v>
      </c>
      <c r="AU183">
        <v>65480443.390000001</v>
      </c>
      <c r="BA183" s="15">
        <v>200202</v>
      </c>
      <c r="BB183">
        <v>6.5499528836229404</v>
      </c>
      <c r="BC183">
        <v>21437026</v>
      </c>
    </row>
    <row r="184" spans="45:55" x14ac:dyDescent="0.25">
      <c r="AS184" s="15">
        <v>200107</v>
      </c>
      <c r="AT184">
        <v>7.1212583325278596</v>
      </c>
      <c r="AU184">
        <v>64278167.899999999</v>
      </c>
      <c r="BA184" s="15">
        <v>200203</v>
      </c>
      <c r="BB184">
        <v>6.7426046883117499</v>
      </c>
      <c r="BC184">
        <v>18568859</v>
      </c>
    </row>
    <row r="185" spans="45:55" x14ac:dyDescent="0.25">
      <c r="AS185" s="15">
        <v>200108</v>
      </c>
      <c r="AT185">
        <v>7.1371224339865504</v>
      </c>
      <c r="AU185">
        <v>63205174.460000001</v>
      </c>
      <c r="BA185" s="15">
        <v>200204</v>
      </c>
      <c r="BB185">
        <v>6.6267164539327101</v>
      </c>
      <c r="BC185">
        <v>21203715</v>
      </c>
    </row>
    <row r="186" spans="45:55" x14ac:dyDescent="0.25">
      <c r="AS186" s="15">
        <v>200109</v>
      </c>
      <c r="AT186">
        <v>7.0044836121853304</v>
      </c>
      <c r="AU186">
        <v>68858265.609999999</v>
      </c>
      <c r="BA186" s="15">
        <v>200205</v>
      </c>
      <c r="BB186">
        <v>6.64592123582851</v>
      </c>
      <c r="BC186">
        <v>16120845</v>
      </c>
    </row>
    <row r="187" spans="45:55" x14ac:dyDescent="0.25">
      <c r="AS187" s="15">
        <v>200110</v>
      </c>
      <c r="AT187">
        <v>6.93397910801907</v>
      </c>
      <c r="AU187">
        <v>78013861.689999998</v>
      </c>
      <c r="BA187" s="15">
        <v>200206</v>
      </c>
      <c r="BB187">
        <v>6.6305144397406099</v>
      </c>
      <c r="BC187">
        <v>21475178</v>
      </c>
    </row>
    <row r="188" spans="45:55" x14ac:dyDescent="0.25">
      <c r="AS188" s="15">
        <v>200111</v>
      </c>
      <c r="AT188">
        <v>6.6914604839207099</v>
      </c>
      <c r="AU188">
        <v>117994826.89</v>
      </c>
      <c r="BA188" s="15">
        <v>200207</v>
      </c>
      <c r="BB188">
        <v>6.6496303926067197</v>
      </c>
      <c r="BC188">
        <v>21259315</v>
      </c>
    </row>
    <row r="189" spans="45:55" x14ac:dyDescent="0.25">
      <c r="AS189" s="15">
        <v>200112</v>
      </c>
      <c r="AT189">
        <v>6.5649125953060103</v>
      </c>
      <c r="AU189">
        <v>141224903.80000001</v>
      </c>
      <c r="BA189" s="15">
        <v>200208</v>
      </c>
      <c r="BB189">
        <v>6.5181576967139003</v>
      </c>
      <c r="BC189">
        <v>39681740</v>
      </c>
    </row>
    <row r="190" spans="45:55" x14ac:dyDescent="0.25">
      <c r="AS190" s="15">
        <v>200201</v>
      </c>
      <c r="AT190">
        <v>6.6497432097359104</v>
      </c>
      <c r="AU190">
        <v>144380790.22</v>
      </c>
      <c r="BA190" s="15">
        <v>200209</v>
      </c>
      <c r="BB190">
        <v>6.32327245603053</v>
      </c>
      <c r="BC190">
        <v>52043726</v>
      </c>
    </row>
    <row r="191" spans="45:55" x14ac:dyDescent="0.25">
      <c r="AS191" s="15">
        <v>200202</v>
      </c>
      <c r="AT191">
        <v>6.77359559160434</v>
      </c>
      <c r="AU191">
        <v>123837890.95</v>
      </c>
      <c r="BA191" s="15">
        <v>200210</v>
      </c>
      <c r="BB191">
        <v>6.2279085941599801</v>
      </c>
      <c r="BC191">
        <v>72206196</v>
      </c>
    </row>
    <row r="192" spans="45:55" x14ac:dyDescent="0.25">
      <c r="AS192" s="15">
        <v>200203</v>
      </c>
      <c r="AT192">
        <v>6.7947114306788201</v>
      </c>
      <c r="AU192">
        <v>106616033.28</v>
      </c>
      <c r="BA192" s="15">
        <v>200211</v>
      </c>
      <c r="BB192">
        <v>6.0914445763995904</v>
      </c>
      <c r="BC192">
        <v>145929215</v>
      </c>
    </row>
    <row r="193" spans="45:55" x14ac:dyDescent="0.25">
      <c r="AS193" s="15">
        <v>200204</v>
      </c>
      <c r="AT193">
        <v>6.8320575385280904</v>
      </c>
      <c r="AU193">
        <v>118774174.05</v>
      </c>
      <c r="BA193" s="15">
        <v>200212</v>
      </c>
      <c r="BB193">
        <v>6.0317060102753901</v>
      </c>
      <c r="BC193">
        <v>165157956</v>
      </c>
    </row>
    <row r="194" spans="45:55" x14ac:dyDescent="0.25">
      <c r="AS194" s="15">
        <v>200205</v>
      </c>
      <c r="AT194">
        <v>6.8770486495366301</v>
      </c>
      <c r="AU194">
        <v>97181001.650000006</v>
      </c>
      <c r="BA194" s="15">
        <v>200301</v>
      </c>
      <c r="BB194">
        <v>6.00636447008005</v>
      </c>
      <c r="BC194">
        <v>192765022</v>
      </c>
    </row>
    <row r="195" spans="45:55" x14ac:dyDescent="0.25">
      <c r="AS195" s="15">
        <v>200206</v>
      </c>
      <c r="AT195">
        <v>6.8495274573147196</v>
      </c>
      <c r="AU195">
        <v>96884718.939999998</v>
      </c>
      <c r="BA195" s="15">
        <v>200302</v>
      </c>
      <c r="BB195">
        <v>5.95877283944965</v>
      </c>
      <c r="BC195">
        <v>225760256</v>
      </c>
    </row>
    <row r="196" spans="45:55" x14ac:dyDescent="0.25">
      <c r="AS196" s="15">
        <v>200207</v>
      </c>
      <c r="AT196">
        <v>6.7374647701897796</v>
      </c>
      <c r="AU196">
        <v>111442954.17</v>
      </c>
      <c r="BA196" s="15">
        <v>200303</v>
      </c>
      <c r="BB196">
        <v>5.8906219442400696</v>
      </c>
      <c r="BC196">
        <v>186911362</v>
      </c>
    </row>
    <row r="197" spans="45:55" x14ac:dyDescent="0.25">
      <c r="AS197" s="15">
        <v>200208</v>
      </c>
      <c r="AT197">
        <v>6.5861198517967203</v>
      </c>
      <c r="AU197">
        <v>157725568.88</v>
      </c>
      <c r="BA197" s="15">
        <v>200304</v>
      </c>
      <c r="BB197">
        <v>5.8221986683646101</v>
      </c>
      <c r="BC197">
        <v>229310067</v>
      </c>
    </row>
    <row r="198" spans="45:55" x14ac:dyDescent="0.25">
      <c r="AS198" s="15">
        <v>200209</v>
      </c>
      <c r="AT198">
        <v>6.4232863138796104</v>
      </c>
      <c r="AU198">
        <v>247937546.99000001</v>
      </c>
      <c r="BA198" s="15">
        <v>200305</v>
      </c>
      <c r="BB198">
        <v>5.7654768988039802</v>
      </c>
      <c r="BC198">
        <v>203478902</v>
      </c>
    </row>
    <row r="199" spans="45:55" x14ac:dyDescent="0.25">
      <c r="AS199" s="15">
        <v>200210</v>
      </c>
      <c r="AT199">
        <v>6.23867866223849</v>
      </c>
      <c r="AU199">
        <v>412552237.64999998</v>
      </c>
      <c r="BA199" s="15">
        <v>200306</v>
      </c>
      <c r="BB199">
        <v>5.6745532115391599</v>
      </c>
      <c r="BC199">
        <v>206190822</v>
      </c>
    </row>
    <row r="200" spans="45:55" x14ac:dyDescent="0.25">
      <c r="AS200" s="15">
        <v>200211</v>
      </c>
      <c r="AT200">
        <v>6.09580372168484</v>
      </c>
      <c r="AU200">
        <v>735388778.15999997</v>
      </c>
      <c r="BA200" s="15">
        <v>200307</v>
      </c>
      <c r="BB200">
        <v>5.5570564173588997</v>
      </c>
      <c r="BC200">
        <v>323939074</v>
      </c>
    </row>
    <row r="201" spans="45:55" x14ac:dyDescent="0.25">
      <c r="AS201" s="15">
        <v>200212</v>
      </c>
      <c r="AT201">
        <v>6.0702153304055697</v>
      </c>
      <c r="AU201">
        <v>726285096.29999995</v>
      </c>
      <c r="BA201" s="15">
        <v>200308</v>
      </c>
      <c r="BB201">
        <v>5.4783820703129296</v>
      </c>
      <c r="BC201">
        <v>367004141</v>
      </c>
    </row>
    <row r="202" spans="45:55" x14ac:dyDescent="0.25">
      <c r="AS202" s="15">
        <v>200301</v>
      </c>
      <c r="AT202">
        <v>6.05332419985944</v>
      </c>
      <c r="AU202">
        <v>817949628.04999995</v>
      </c>
      <c r="BA202" s="15">
        <v>200309</v>
      </c>
      <c r="BB202">
        <v>5.5165466363651499</v>
      </c>
      <c r="BC202">
        <v>228865167</v>
      </c>
    </row>
    <row r="203" spans="45:55" x14ac:dyDescent="0.25">
      <c r="AS203" s="15">
        <v>200302</v>
      </c>
      <c r="AT203">
        <v>6.0107506562955999</v>
      </c>
      <c r="AU203">
        <v>1096017594.6400001</v>
      </c>
      <c r="BA203" s="15">
        <v>200310</v>
      </c>
      <c r="BB203">
        <v>5.6513678037743302</v>
      </c>
      <c r="BC203">
        <v>177362038</v>
      </c>
    </row>
    <row r="204" spans="45:55" x14ac:dyDescent="0.25">
      <c r="AS204" s="15">
        <v>200303</v>
      </c>
      <c r="AT204">
        <v>5.9408208110018297</v>
      </c>
      <c r="AU204">
        <v>2901342104.3800001</v>
      </c>
      <c r="BA204" s="15">
        <v>200311</v>
      </c>
      <c r="BB204">
        <v>5.7440259986196702</v>
      </c>
      <c r="BC204">
        <v>120184419</v>
      </c>
    </row>
    <row r="205" spans="45:55" x14ac:dyDescent="0.25">
      <c r="AS205" s="15">
        <v>200304</v>
      </c>
      <c r="AT205">
        <v>5.83009306432775</v>
      </c>
      <c r="AU205">
        <v>7641264615.4499998</v>
      </c>
      <c r="BA205" s="15">
        <v>200312</v>
      </c>
      <c r="BB205">
        <v>5.7782292420411103</v>
      </c>
      <c r="BC205">
        <v>86840053</v>
      </c>
    </row>
    <row r="206" spans="45:55" x14ac:dyDescent="0.25">
      <c r="AS206" s="15">
        <v>200305</v>
      </c>
      <c r="AT206">
        <v>5.80009167596317</v>
      </c>
      <c r="AU206">
        <v>9384526423.6000004</v>
      </c>
      <c r="BA206" s="15">
        <v>200401</v>
      </c>
      <c r="BB206">
        <v>5.7826186258266201</v>
      </c>
      <c r="BC206">
        <v>197558813</v>
      </c>
    </row>
    <row r="207" spans="45:55" x14ac:dyDescent="0.25">
      <c r="AS207" s="15">
        <v>200306</v>
      </c>
      <c r="AT207">
        <v>5.7164371199817499</v>
      </c>
      <c r="AU207">
        <v>9393312966.4300003</v>
      </c>
      <c r="BA207" s="15">
        <v>200402</v>
      </c>
      <c r="BB207">
        <v>5.7518440630214203</v>
      </c>
      <c r="BC207">
        <v>205681406</v>
      </c>
    </row>
    <row r="208" spans="45:55" x14ac:dyDescent="0.25">
      <c r="AS208" s="15">
        <v>200307</v>
      </c>
      <c r="AT208">
        <v>5.4386901654651103</v>
      </c>
      <c r="AU208">
        <v>13484596226.780001</v>
      </c>
      <c r="BA208" s="15">
        <v>200403</v>
      </c>
      <c r="BB208">
        <v>5.6893126648382299</v>
      </c>
      <c r="BC208">
        <v>134362790</v>
      </c>
    </row>
    <row r="209" spans="45:55" x14ac:dyDescent="0.25">
      <c r="AS209" s="15">
        <v>200308</v>
      </c>
      <c r="AT209">
        <v>5.3696280874610904</v>
      </c>
      <c r="AU209">
        <v>15363476360.360001</v>
      </c>
      <c r="BA209" s="15">
        <v>200404</v>
      </c>
      <c r="BB209">
        <v>5.5955280072935203</v>
      </c>
      <c r="BC209">
        <v>290078493</v>
      </c>
    </row>
    <row r="210" spans="45:55" x14ac:dyDescent="0.25">
      <c r="AS210" s="15">
        <v>200309</v>
      </c>
      <c r="AT210">
        <v>5.5413135092071499</v>
      </c>
      <c r="AU210">
        <v>10563254937.030001</v>
      </c>
      <c r="BA210" s="15">
        <v>200405</v>
      </c>
      <c r="BB210">
        <v>5.5521517552221402</v>
      </c>
      <c r="BC210">
        <v>458744668</v>
      </c>
    </row>
    <row r="211" spans="45:55" x14ac:dyDescent="0.25">
      <c r="AS211" s="15">
        <v>200310</v>
      </c>
      <c r="AT211">
        <v>5.8175875897832396</v>
      </c>
      <c r="AU211">
        <v>5746519007.25</v>
      </c>
      <c r="BA211" s="15">
        <v>200406</v>
      </c>
      <c r="BB211">
        <v>5.6856944009133397</v>
      </c>
      <c r="BC211">
        <v>224947760</v>
      </c>
    </row>
    <row r="212" spans="45:55" x14ac:dyDescent="0.25">
      <c r="AS212" s="15">
        <v>200311</v>
      </c>
      <c r="AT212">
        <v>5.8896988436563404</v>
      </c>
      <c r="AU212">
        <v>4439747472.1800003</v>
      </c>
      <c r="BA212" s="15">
        <v>200407</v>
      </c>
      <c r="BB212">
        <v>5.9683358205219896</v>
      </c>
      <c r="BC212">
        <v>119655177</v>
      </c>
    </row>
    <row r="213" spans="45:55" x14ac:dyDescent="0.25">
      <c r="AS213" s="15">
        <v>200312</v>
      </c>
      <c r="AT213">
        <v>5.94238245470358</v>
      </c>
      <c r="AU213">
        <v>3338852774.29</v>
      </c>
      <c r="BA213" s="15">
        <v>200408</v>
      </c>
      <c r="BB213">
        <v>6.0041615303069502</v>
      </c>
      <c r="BC213">
        <v>100260696</v>
      </c>
    </row>
    <row r="214" spans="45:55" x14ac:dyDescent="0.25">
      <c r="AS214" s="15">
        <v>200401</v>
      </c>
      <c r="AT214">
        <v>5.9173408707539901</v>
      </c>
      <c r="AU214">
        <v>3536057807.7199998</v>
      </c>
      <c r="BA214" s="15">
        <v>200409</v>
      </c>
      <c r="BB214">
        <v>5.91359082746993</v>
      </c>
      <c r="BC214">
        <v>114929795</v>
      </c>
    </row>
    <row r="215" spans="45:55" x14ac:dyDescent="0.25">
      <c r="AS215" s="15">
        <v>200402</v>
      </c>
      <c r="AT215">
        <v>5.8443411262713099</v>
      </c>
      <c r="AU215">
        <v>3192579118.73</v>
      </c>
      <c r="BA215" s="15">
        <v>200410</v>
      </c>
      <c r="BB215">
        <v>5.8036993981516503</v>
      </c>
      <c r="BC215">
        <v>141634352</v>
      </c>
    </row>
    <row r="216" spans="45:55" x14ac:dyDescent="0.25">
      <c r="AS216" s="15">
        <v>200403</v>
      </c>
      <c r="AT216">
        <v>5.7376004411591701</v>
      </c>
      <c r="AU216">
        <v>4295282722.1199999</v>
      </c>
      <c r="BA216" s="15">
        <v>200411</v>
      </c>
      <c r="BB216">
        <v>5.6930919292493298</v>
      </c>
      <c r="BC216">
        <v>146782728</v>
      </c>
    </row>
    <row r="217" spans="45:55" x14ac:dyDescent="0.25">
      <c r="AS217" s="15">
        <v>200404</v>
      </c>
      <c r="AT217">
        <v>5.62641699896235</v>
      </c>
      <c r="AU217">
        <v>6104640299.54</v>
      </c>
      <c r="BA217" s="15">
        <v>200412</v>
      </c>
      <c r="BB217">
        <v>5.6765615610168902</v>
      </c>
      <c r="BC217">
        <v>166257983</v>
      </c>
    </row>
    <row r="218" spans="45:55" x14ac:dyDescent="0.25">
      <c r="AS218" s="15">
        <v>200405</v>
      </c>
      <c r="AT218">
        <v>5.5566838025138399</v>
      </c>
      <c r="AU218">
        <v>6765371126.29</v>
      </c>
      <c r="BA218" s="15">
        <v>200501</v>
      </c>
      <c r="BB218">
        <v>5.7134164114911501</v>
      </c>
      <c r="BC218">
        <v>181859794</v>
      </c>
    </row>
    <row r="219" spans="45:55" x14ac:dyDescent="0.25">
      <c r="AS219" s="15">
        <v>200406</v>
      </c>
      <c r="AT219">
        <v>5.8412340262018896</v>
      </c>
      <c r="AU219">
        <v>4075548816.3200002</v>
      </c>
      <c r="BA219" s="15">
        <v>200502</v>
      </c>
      <c r="BB219">
        <v>5.72374802376397</v>
      </c>
      <c r="BC219">
        <v>123404415</v>
      </c>
    </row>
    <row r="220" spans="45:55" x14ac:dyDescent="0.25">
      <c r="AS220" s="15">
        <v>200407</v>
      </c>
      <c r="AT220">
        <v>6.2082887024360902</v>
      </c>
      <c r="AU220">
        <v>2691975894.5900002</v>
      </c>
      <c r="BA220" s="15">
        <v>200503</v>
      </c>
      <c r="BB220">
        <v>5.6944782204945898</v>
      </c>
      <c r="BC220">
        <v>182836062</v>
      </c>
    </row>
    <row r="221" spans="45:55" x14ac:dyDescent="0.25">
      <c r="AS221" s="15">
        <v>200408</v>
      </c>
      <c r="AT221">
        <v>6.2411406660992901</v>
      </c>
      <c r="AU221">
        <v>2569135453.2199998</v>
      </c>
      <c r="BA221" s="15">
        <v>200504</v>
      </c>
      <c r="BB221">
        <v>5.6869895540718902</v>
      </c>
      <c r="BC221">
        <v>298983103</v>
      </c>
    </row>
    <row r="222" spans="45:55" x14ac:dyDescent="0.25">
      <c r="AS222" s="15">
        <v>200409</v>
      </c>
      <c r="AT222">
        <v>6.0806725677848101</v>
      </c>
      <c r="AU222">
        <v>3244757206.5300002</v>
      </c>
      <c r="BA222" s="15">
        <v>200505</v>
      </c>
      <c r="BB222">
        <v>5.8643615584292803</v>
      </c>
      <c r="BC222">
        <v>264399113</v>
      </c>
    </row>
    <row r="223" spans="45:55" x14ac:dyDescent="0.25">
      <c r="AS223" s="15">
        <v>200410</v>
      </c>
      <c r="AT223">
        <v>5.9311973730786303</v>
      </c>
      <c r="AU223">
        <v>3533629590.4299998</v>
      </c>
      <c r="BA223" s="15">
        <v>200506</v>
      </c>
      <c r="BB223">
        <v>5.8664698023900899</v>
      </c>
      <c r="BC223">
        <v>337187348</v>
      </c>
    </row>
    <row r="224" spans="45:55" x14ac:dyDescent="0.25">
      <c r="AS224" s="15">
        <v>200411</v>
      </c>
      <c r="AT224">
        <v>5.8462388662454599</v>
      </c>
      <c r="AU224">
        <v>4169068261.1100001</v>
      </c>
      <c r="BA224" s="15">
        <v>200507</v>
      </c>
      <c r="BB224">
        <v>5.7708048491413297</v>
      </c>
      <c r="BC224">
        <v>459042920</v>
      </c>
    </row>
    <row r="225" spans="45:55" x14ac:dyDescent="0.25">
      <c r="AS225" s="15">
        <v>200412</v>
      </c>
      <c r="AT225">
        <v>5.80007723512949</v>
      </c>
      <c r="AU225">
        <v>4051261659.98</v>
      </c>
      <c r="BA225" s="15">
        <v>200508</v>
      </c>
      <c r="BB225">
        <v>5.6843800914420601</v>
      </c>
      <c r="BC225">
        <v>667818656</v>
      </c>
    </row>
    <row r="226" spans="45:55" x14ac:dyDescent="0.25">
      <c r="AS226" s="15">
        <v>200501</v>
      </c>
      <c r="AT226">
        <v>5.8100293726849399</v>
      </c>
      <c r="AU226">
        <v>4077821149.5599999</v>
      </c>
      <c r="BA226" s="15">
        <v>200509</v>
      </c>
      <c r="BB226">
        <v>5.8376684729643102</v>
      </c>
      <c r="BC226">
        <v>1236807421</v>
      </c>
    </row>
    <row r="227" spans="45:55" x14ac:dyDescent="0.25">
      <c r="AS227" s="15">
        <v>200502</v>
      </c>
      <c r="AT227">
        <v>5.79813580396217</v>
      </c>
      <c r="AU227">
        <v>3413556292.6700001</v>
      </c>
      <c r="BA227" s="15">
        <v>200510</v>
      </c>
      <c r="BB227">
        <v>5.8584921784774702</v>
      </c>
      <c r="BC227">
        <v>2763540401</v>
      </c>
    </row>
    <row r="228" spans="45:55" x14ac:dyDescent="0.25">
      <c r="AS228" s="15">
        <v>200503</v>
      </c>
      <c r="AT228">
        <v>5.7116485888007498</v>
      </c>
      <c r="AU228">
        <v>4047470008.75</v>
      </c>
      <c r="BA228" s="15">
        <v>200511</v>
      </c>
      <c r="BB228">
        <v>5.9230782957552099</v>
      </c>
      <c r="BC228">
        <v>10218184048</v>
      </c>
    </row>
    <row r="229" spans="45:55" x14ac:dyDescent="0.25">
      <c r="AS229" s="15">
        <v>200504</v>
      </c>
      <c r="AT229">
        <v>5.7497165185480004</v>
      </c>
      <c r="AU229">
        <v>5200504141.1899996</v>
      </c>
      <c r="BA229" s="15">
        <v>200512</v>
      </c>
      <c r="BB229">
        <v>6.1109528098315797</v>
      </c>
      <c r="BC229">
        <v>16531233269</v>
      </c>
    </row>
    <row r="230" spans="45:55" x14ac:dyDescent="0.25">
      <c r="AS230" s="15">
        <v>200505</v>
      </c>
      <c r="AT230">
        <v>5.95840959036624</v>
      </c>
      <c r="AU230">
        <v>4121758510.7600002</v>
      </c>
      <c r="BA230" s="15">
        <v>200601</v>
      </c>
      <c r="BB230">
        <v>6.2533800890595099</v>
      </c>
      <c r="BC230">
        <v>16324758492</v>
      </c>
    </row>
    <row r="231" spans="45:55" x14ac:dyDescent="0.25">
      <c r="AS231" s="15">
        <v>200506</v>
      </c>
      <c r="AT231">
        <v>5.9011770549984899</v>
      </c>
      <c r="AU231">
        <v>5199018705.9200001</v>
      </c>
      <c r="BA231" s="15">
        <v>200602</v>
      </c>
      <c r="BB231">
        <v>6.2195789893541704</v>
      </c>
      <c r="BC231">
        <v>13493262043</v>
      </c>
    </row>
    <row r="232" spans="45:55" x14ac:dyDescent="0.25">
      <c r="AS232" s="15">
        <v>200507</v>
      </c>
      <c r="AT232">
        <v>5.7589795841846101</v>
      </c>
      <c r="AU232">
        <v>7286902362.1800003</v>
      </c>
      <c r="BA232" s="15">
        <v>200603</v>
      </c>
      <c r="BB232">
        <v>6.1936737470809398</v>
      </c>
      <c r="BC232">
        <v>15309078547</v>
      </c>
    </row>
    <row r="233" spans="45:55" x14ac:dyDescent="0.25">
      <c r="AS233" s="15">
        <v>200508</v>
      </c>
      <c r="AT233">
        <v>5.7047503815757601</v>
      </c>
      <c r="AU233">
        <v>7697508803.2600002</v>
      </c>
      <c r="BA233" s="15">
        <v>200604</v>
      </c>
      <c r="BB233">
        <v>6.2673206396611203</v>
      </c>
      <c r="BC233">
        <v>17632509825</v>
      </c>
    </row>
    <row r="234" spans="45:55" x14ac:dyDescent="0.25">
      <c r="AS234" s="15">
        <v>200509</v>
      </c>
      <c r="AT234">
        <v>5.8242195556146799</v>
      </c>
      <c r="AU234">
        <v>7449325885.9899998</v>
      </c>
      <c r="BA234" s="15">
        <v>200605</v>
      </c>
      <c r="BB234">
        <v>6.3828966763922299</v>
      </c>
      <c r="BC234">
        <v>15350668394</v>
      </c>
    </row>
    <row r="235" spans="45:55" x14ac:dyDescent="0.25">
      <c r="AS235" s="15">
        <v>200510</v>
      </c>
      <c r="AT235">
        <v>5.8668385452507597</v>
      </c>
      <c r="AU235">
        <v>6581796187.7799997</v>
      </c>
      <c r="BA235" s="15">
        <v>200606</v>
      </c>
      <c r="BB235">
        <v>6.5212518416871896</v>
      </c>
      <c r="BC235">
        <v>17233250576</v>
      </c>
    </row>
    <row r="236" spans="45:55" x14ac:dyDescent="0.25">
      <c r="AS236" s="15">
        <v>200511</v>
      </c>
      <c r="AT236">
        <v>5.9339969766683698</v>
      </c>
      <c r="AU236">
        <v>6057307670.6199999</v>
      </c>
      <c r="BA236" s="15">
        <v>200607</v>
      </c>
      <c r="BB236">
        <v>6.6024386814406597</v>
      </c>
      <c r="BC236">
        <v>18989317094</v>
      </c>
    </row>
    <row r="237" spans="45:55" x14ac:dyDescent="0.25">
      <c r="AS237" s="15">
        <v>200512</v>
      </c>
      <c r="AT237">
        <v>6.1687840557540001</v>
      </c>
      <c r="AU237">
        <v>4576728562.9700003</v>
      </c>
      <c r="BA237" s="15">
        <v>200608</v>
      </c>
      <c r="BB237">
        <v>6.7168288786219099</v>
      </c>
      <c r="BC237">
        <v>15796374592</v>
      </c>
    </row>
    <row r="238" spans="45:55" x14ac:dyDescent="0.25">
      <c r="AS238" s="15">
        <v>200601</v>
      </c>
      <c r="AT238">
        <v>6.3605756165062903</v>
      </c>
      <c r="AU238">
        <v>3752971444.9499998</v>
      </c>
      <c r="BA238" s="15">
        <v>200609</v>
      </c>
      <c r="BB238">
        <v>6.6477786080542502</v>
      </c>
      <c r="BC238">
        <v>16766458276</v>
      </c>
    </row>
    <row r="239" spans="45:55" x14ac:dyDescent="0.25">
      <c r="AS239" s="15">
        <v>200602</v>
      </c>
      <c r="AT239">
        <v>6.3242411055360401</v>
      </c>
      <c r="AU239">
        <v>3090150396.3000002</v>
      </c>
      <c r="BA239" s="15">
        <v>200610</v>
      </c>
      <c r="BB239">
        <v>6.4585441129113699</v>
      </c>
      <c r="BC239">
        <v>16202553690</v>
      </c>
    </row>
    <row r="240" spans="45:55" x14ac:dyDescent="0.25">
      <c r="AS240" s="15">
        <v>200603</v>
      </c>
      <c r="AT240">
        <v>6.2959077185125096</v>
      </c>
      <c r="AU240">
        <v>3703295086.29</v>
      </c>
      <c r="BA240" s="15">
        <v>200611</v>
      </c>
      <c r="BB240">
        <v>6.3446023692543996</v>
      </c>
      <c r="BC240">
        <v>19039840988</v>
      </c>
    </row>
    <row r="241" spans="45:55" x14ac:dyDescent="0.25">
      <c r="AS241" s="15">
        <v>200604</v>
      </c>
      <c r="AT241">
        <v>6.3569938114674001</v>
      </c>
      <c r="AU241">
        <v>4554413229.8199997</v>
      </c>
      <c r="BA241" s="15">
        <v>200612</v>
      </c>
      <c r="BB241">
        <v>6.3155299285014603</v>
      </c>
      <c r="BC241">
        <v>17996305801</v>
      </c>
    </row>
    <row r="242" spans="45:55" x14ac:dyDescent="0.25">
      <c r="AS242" s="15">
        <v>200605</v>
      </c>
      <c r="AT242">
        <v>6.4580203776519802</v>
      </c>
      <c r="AU242">
        <v>4000472220.5999999</v>
      </c>
      <c r="BA242" s="15">
        <v>200701</v>
      </c>
      <c r="BB242">
        <v>6.14443674344533</v>
      </c>
      <c r="BC242">
        <v>19447655093</v>
      </c>
    </row>
    <row r="243" spans="45:55" x14ac:dyDescent="0.25">
      <c r="AS243" s="15">
        <v>200606</v>
      </c>
      <c r="AT243">
        <v>6.6250782242150903</v>
      </c>
      <c r="AU243">
        <v>3858255448.73</v>
      </c>
      <c r="BA243" s="15">
        <v>200702</v>
      </c>
      <c r="BB243">
        <v>6.1388584403363602</v>
      </c>
      <c r="BC243">
        <v>16559778229</v>
      </c>
    </row>
    <row r="244" spans="45:55" x14ac:dyDescent="0.25">
      <c r="AS244" s="15">
        <v>200607</v>
      </c>
      <c r="AT244">
        <v>6.7308948192354201</v>
      </c>
      <c r="AU244">
        <v>3621847644.25</v>
      </c>
      <c r="BA244" s="15">
        <v>200703</v>
      </c>
      <c r="BB244">
        <v>6.23481775902997</v>
      </c>
      <c r="BC244">
        <v>16353600217</v>
      </c>
    </row>
    <row r="245" spans="45:55" x14ac:dyDescent="0.25">
      <c r="AS245" s="15">
        <v>200608</v>
      </c>
      <c r="AT245">
        <v>6.8404054070500004</v>
      </c>
      <c r="AU245">
        <v>3112958823.1799998</v>
      </c>
      <c r="BA245" s="15">
        <v>200704</v>
      </c>
      <c r="BB245">
        <v>6.1888058242169599</v>
      </c>
      <c r="BC245">
        <v>21110288744</v>
      </c>
    </row>
    <row r="246" spans="45:55" x14ac:dyDescent="0.25">
      <c r="AS246" s="15">
        <v>200609</v>
      </c>
      <c r="AT246">
        <v>6.7524592178512597</v>
      </c>
      <c r="AU246">
        <v>3811989241.0500002</v>
      </c>
      <c r="BA246" s="15">
        <v>200705</v>
      </c>
      <c r="BB246">
        <v>6.1664867088925499</v>
      </c>
      <c r="BC246">
        <v>20455591540</v>
      </c>
    </row>
    <row r="247" spans="45:55" x14ac:dyDescent="0.25">
      <c r="AS247" s="15">
        <v>200610</v>
      </c>
      <c r="AT247">
        <v>6.5737370318100501</v>
      </c>
      <c r="AU247">
        <v>3953153462.6799998</v>
      </c>
      <c r="BA247" s="15">
        <v>200706</v>
      </c>
      <c r="BB247">
        <v>6.24003998622279</v>
      </c>
      <c r="BC247">
        <v>19399905338</v>
      </c>
    </row>
    <row r="248" spans="45:55" x14ac:dyDescent="0.25">
      <c r="AS248" s="15">
        <v>200611</v>
      </c>
      <c r="AT248">
        <v>6.4541365072694603</v>
      </c>
      <c r="AU248">
        <v>4580498846.71</v>
      </c>
      <c r="BA248" s="15">
        <v>200707</v>
      </c>
      <c r="BB248">
        <v>6.4375154685366098</v>
      </c>
      <c r="BC248">
        <v>17364748539</v>
      </c>
    </row>
    <row r="249" spans="45:55" x14ac:dyDescent="0.25">
      <c r="AS249" s="15">
        <v>200612</v>
      </c>
      <c r="AT249">
        <v>6.3971626449166301</v>
      </c>
      <c r="AU249">
        <v>4443300602.0900002</v>
      </c>
      <c r="BA249" s="15">
        <v>200708</v>
      </c>
      <c r="BB249">
        <v>6.6811284379824603</v>
      </c>
      <c r="BC249">
        <v>15140103088</v>
      </c>
    </row>
    <row r="250" spans="45:55" x14ac:dyDescent="0.25">
      <c r="AS250" s="15">
        <v>200701</v>
      </c>
      <c r="AT250">
        <v>6.2256958256552899</v>
      </c>
      <c r="AU250">
        <v>5310015992.29</v>
      </c>
      <c r="BA250" s="15">
        <v>200709</v>
      </c>
      <c r="BB250">
        <v>6.6843410429758503</v>
      </c>
      <c r="BC250">
        <v>14918196885</v>
      </c>
    </row>
    <row r="251" spans="45:55" x14ac:dyDescent="0.25">
      <c r="AS251" s="15">
        <v>200702</v>
      </c>
      <c r="AT251">
        <v>6.2314540164889198</v>
      </c>
      <c r="AU251">
        <v>4822243379.1499996</v>
      </c>
      <c r="BA251" s="15">
        <v>200710</v>
      </c>
      <c r="BB251">
        <v>6.5481771324422704</v>
      </c>
      <c r="BC251">
        <v>13501033240</v>
      </c>
    </row>
    <row r="252" spans="45:55" x14ac:dyDescent="0.25">
      <c r="AS252" s="15">
        <v>200703</v>
      </c>
      <c r="AT252">
        <v>6.32748978457911</v>
      </c>
      <c r="AU252">
        <v>4474348753.6000004</v>
      </c>
      <c r="BA252" s="15">
        <v>200711</v>
      </c>
      <c r="BB252">
        <v>6.4818337171421101</v>
      </c>
      <c r="BC252">
        <v>15334953232</v>
      </c>
    </row>
    <row r="253" spans="45:55" x14ac:dyDescent="0.25">
      <c r="AS253" s="15">
        <v>200704</v>
      </c>
      <c r="AT253">
        <v>6.2647719978443801</v>
      </c>
      <c r="AU253">
        <v>5589811216.8900003</v>
      </c>
      <c r="BA253" s="15">
        <v>200712</v>
      </c>
      <c r="BB253">
        <v>6.3627998560721704</v>
      </c>
      <c r="BC253">
        <v>13888587684</v>
      </c>
    </row>
    <row r="254" spans="45:55" x14ac:dyDescent="0.25">
      <c r="AS254" s="15">
        <v>200705</v>
      </c>
      <c r="AT254">
        <v>6.2554836623661503</v>
      </c>
      <c r="AU254">
        <v>5926230661.7600002</v>
      </c>
      <c r="BA254" s="15">
        <v>200801</v>
      </c>
      <c r="BB254">
        <v>6.1592494906433402</v>
      </c>
      <c r="BC254">
        <v>17496877468</v>
      </c>
    </row>
    <row r="255" spans="45:55" x14ac:dyDescent="0.25">
      <c r="AS255" s="15">
        <v>200706</v>
      </c>
      <c r="AT255">
        <v>6.2985262506113804</v>
      </c>
      <c r="AU255">
        <v>6213145962.4799995</v>
      </c>
      <c r="BA255" s="15">
        <v>200802</v>
      </c>
      <c r="BB255">
        <v>5.9697976029879198</v>
      </c>
      <c r="BC255">
        <v>16823077209</v>
      </c>
    </row>
    <row r="256" spans="45:55" x14ac:dyDescent="0.25">
      <c r="AS256" s="15">
        <v>200707</v>
      </c>
      <c r="AT256">
        <v>6.4565373515893603</v>
      </c>
      <c r="AU256">
        <v>5134203572.0500002</v>
      </c>
      <c r="BA256" s="15">
        <v>200803</v>
      </c>
      <c r="BB256">
        <v>5.7417982832653003</v>
      </c>
      <c r="BC256">
        <v>26957442268</v>
      </c>
    </row>
    <row r="257" spans="45:55" x14ac:dyDescent="0.25">
      <c r="AS257" s="15">
        <v>200708</v>
      </c>
      <c r="AT257">
        <v>6.7238615693017199</v>
      </c>
      <c r="AU257">
        <v>3925243359.8000002</v>
      </c>
      <c r="BA257" s="15">
        <v>200804</v>
      </c>
      <c r="BB257">
        <v>5.9469058666951904</v>
      </c>
      <c r="BC257">
        <v>21921584877</v>
      </c>
    </row>
    <row r="258" spans="45:55" x14ac:dyDescent="0.25">
      <c r="AS258" s="15">
        <v>200709</v>
      </c>
      <c r="AT258">
        <v>6.7501479385334102</v>
      </c>
      <c r="AU258">
        <v>4118854959.7600002</v>
      </c>
      <c r="BA258" s="15">
        <v>200805</v>
      </c>
      <c r="BB258">
        <v>5.8994412550809896</v>
      </c>
      <c r="BC258">
        <v>22633050041</v>
      </c>
    </row>
    <row r="259" spans="45:55" x14ac:dyDescent="0.25">
      <c r="AS259" s="15">
        <v>200710</v>
      </c>
      <c r="AT259">
        <v>6.5961122503174803</v>
      </c>
      <c r="AU259">
        <v>4082123273.1799998</v>
      </c>
      <c r="BA259" s="15">
        <v>200806</v>
      </c>
      <c r="BB259">
        <v>5.9700820489819204</v>
      </c>
      <c r="BC259">
        <v>16977297649</v>
      </c>
    </row>
    <row r="260" spans="45:55" x14ac:dyDescent="0.25">
      <c r="AS260" s="15">
        <v>200711</v>
      </c>
      <c r="AT260">
        <v>6.5049494220269697</v>
      </c>
      <c r="AU260">
        <v>4914029591.1999998</v>
      </c>
      <c r="BA260" s="15">
        <v>200807</v>
      </c>
      <c r="BB260">
        <v>6.1346948914656396</v>
      </c>
      <c r="BC260">
        <v>14940765697</v>
      </c>
    </row>
    <row r="261" spans="45:55" x14ac:dyDescent="0.25">
      <c r="AS261" s="15">
        <v>200712</v>
      </c>
      <c r="AT261">
        <v>6.4136691423019503</v>
      </c>
      <c r="AU261">
        <v>4892049092.2399998</v>
      </c>
      <c r="BA261" s="15">
        <v>200808</v>
      </c>
      <c r="BB261">
        <v>6.37829678439146</v>
      </c>
      <c r="BC261">
        <v>12141380213</v>
      </c>
    </row>
    <row r="262" spans="45:55" x14ac:dyDescent="0.25">
      <c r="AS262" s="15">
        <v>200801</v>
      </c>
      <c r="AT262">
        <v>6.2301125309096896</v>
      </c>
      <c r="AU262">
        <v>5297387147.8800001</v>
      </c>
      <c r="BA262" s="15">
        <v>200809</v>
      </c>
      <c r="BB262">
        <v>6.4919441371592699</v>
      </c>
      <c r="BC262">
        <v>7994633503</v>
      </c>
    </row>
    <row r="263" spans="45:55" x14ac:dyDescent="0.25">
      <c r="AS263" s="15">
        <v>200802</v>
      </c>
      <c r="AT263">
        <v>6.0117715209173097</v>
      </c>
      <c r="AU263">
        <v>5810267261.29</v>
      </c>
      <c r="BA263" s="15">
        <v>200810</v>
      </c>
      <c r="BB263">
        <v>6.22156838573681</v>
      </c>
      <c r="BC263">
        <v>9411144055</v>
      </c>
    </row>
    <row r="264" spans="45:55" x14ac:dyDescent="0.25">
      <c r="AS264" s="15">
        <v>200803</v>
      </c>
      <c r="AT264">
        <v>5.7342474806436101</v>
      </c>
      <c r="AU264">
        <v>8111191639.4499998</v>
      </c>
      <c r="BA264" s="15">
        <v>200811</v>
      </c>
      <c r="BB264">
        <v>6.0406798720151498</v>
      </c>
      <c r="BC264">
        <v>11957514804</v>
      </c>
    </row>
    <row r="265" spans="45:55" x14ac:dyDescent="0.25">
      <c r="AS265" s="15">
        <v>200804</v>
      </c>
      <c r="AT265">
        <v>5.9266900207218498</v>
      </c>
      <c r="AU265">
        <v>5977417996.3400002</v>
      </c>
      <c r="BA265" s="15">
        <v>200812</v>
      </c>
      <c r="BB265">
        <v>6.2025903707095003</v>
      </c>
      <c r="BC265">
        <v>6205704294</v>
      </c>
    </row>
    <row r="266" spans="45:55" x14ac:dyDescent="0.25">
      <c r="AS266" s="15">
        <v>200805</v>
      </c>
      <c r="AT266">
        <v>5.9598812562807701</v>
      </c>
      <c r="AU266">
        <v>5955467327.1099997</v>
      </c>
      <c r="BA266" s="15">
        <v>200901</v>
      </c>
      <c r="BB266">
        <v>5.4951996074010596</v>
      </c>
      <c r="BC266">
        <v>16450248089</v>
      </c>
    </row>
    <row r="267" spans="45:55" x14ac:dyDescent="0.25">
      <c r="AS267" s="15">
        <v>200806</v>
      </c>
      <c r="AT267">
        <v>6.0394691949369896</v>
      </c>
      <c r="AU267">
        <v>4929001395.9700003</v>
      </c>
      <c r="BA267" s="15">
        <v>200902</v>
      </c>
      <c r="BB267">
        <v>5.0007436653351203</v>
      </c>
      <c r="BC267">
        <v>28609545886</v>
      </c>
    </row>
    <row r="268" spans="45:55" x14ac:dyDescent="0.25">
      <c r="AS268" s="15">
        <v>200807</v>
      </c>
      <c r="AT268">
        <v>6.1979546645809398</v>
      </c>
      <c r="AU268">
        <v>3604945690.0700002</v>
      </c>
      <c r="BA268" s="15">
        <v>200903</v>
      </c>
      <c r="BB268">
        <v>4.9034829013675303</v>
      </c>
      <c r="BC268">
        <v>35807558043</v>
      </c>
    </row>
    <row r="269" spans="45:55" x14ac:dyDescent="0.25">
      <c r="AS269" s="15">
        <v>200808</v>
      </c>
      <c r="AT269">
        <v>6.4764869600073798</v>
      </c>
      <c r="AU269">
        <v>2542245522.48</v>
      </c>
      <c r="BA269" s="15">
        <v>200904</v>
      </c>
      <c r="BB269">
        <v>4.9352788996906103</v>
      </c>
      <c r="BC269">
        <v>38586269301</v>
      </c>
    </row>
    <row r="270" spans="45:55" x14ac:dyDescent="0.25">
      <c r="AS270" s="15">
        <v>200809</v>
      </c>
      <c r="AT270">
        <v>6.6076529979708898</v>
      </c>
      <c r="AU270">
        <v>2295066777.6399999</v>
      </c>
      <c r="BA270" s="15">
        <v>200905</v>
      </c>
      <c r="BB270">
        <v>4.8662959711872498</v>
      </c>
      <c r="BC270">
        <v>36483298104</v>
      </c>
    </row>
    <row r="271" spans="45:55" x14ac:dyDescent="0.25">
      <c r="AS271" s="15">
        <v>200810</v>
      </c>
      <c r="AT271">
        <v>6.3210843110284802</v>
      </c>
      <c r="AU271">
        <v>2542934250.6700001</v>
      </c>
      <c r="BA271" s="15">
        <v>200906</v>
      </c>
      <c r="BB271">
        <v>4.8432188178205404</v>
      </c>
      <c r="BC271">
        <v>34767100555</v>
      </c>
    </row>
    <row r="272" spans="45:55" x14ac:dyDescent="0.25">
      <c r="AS272" s="15">
        <v>200811</v>
      </c>
      <c r="AT272">
        <v>6.1089752889243698</v>
      </c>
      <c r="AU272">
        <v>3101542589.5599999</v>
      </c>
      <c r="BA272" s="15">
        <v>200907</v>
      </c>
      <c r="BB272">
        <v>4.9249931621557197</v>
      </c>
      <c r="BC272">
        <v>32516858088</v>
      </c>
    </row>
    <row r="273" spans="45:55" x14ac:dyDescent="0.25">
      <c r="AS273" s="15">
        <v>200812</v>
      </c>
      <c r="AT273">
        <v>6.1507905298770602</v>
      </c>
      <c r="AU273">
        <v>2320933430.3800001</v>
      </c>
      <c r="BA273" s="15">
        <v>200908</v>
      </c>
      <c r="BB273">
        <v>5.13200105915391</v>
      </c>
      <c r="BC273">
        <v>25480089836</v>
      </c>
    </row>
    <row r="274" spans="45:55" x14ac:dyDescent="0.25">
      <c r="AS274" s="15">
        <v>200901</v>
      </c>
      <c r="AT274">
        <v>5.3820644327657003</v>
      </c>
      <c r="AU274">
        <v>4978906442.5299997</v>
      </c>
      <c r="BA274" s="15">
        <v>200909</v>
      </c>
      <c r="BB274">
        <v>5.2435564102382903</v>
      </c>
      <c r="BC274">
        <v>16115693357</v>
      </c>
    </row>
    <row r="275" spans="45:55" x14ac:dyDescent="0.25">
      <c r="AS275" s="15">
        <v>200902</v>
      </c>
      <c r="AT275">
        <v>4.9119799371195798</v>
      </c>
      <c r="AU275">
        <v>13951203245.459999</v>
      </c>
      <c r="BA275" s="15">
        <v>200910</v>
      </c>
      <c r="BB275">
        <v>5.2245440001504102</v>
      </c>
      <c r="BC275">
        <v>14966842494</v>
      </c>
    </row>
    <row r="276" spans="45:55" x14ac:dyDescent="0.25">
      <c r="AS276" s="15">
        <v>200903</v>
      </c>
      <c r="AT276">
        <v>4.8718963069832402</v>
      </c>
      <c r="AU276">
        <v>16780593013.68</v>
      </c>
      <c r="BA276" s="15">
        <v>200911</v>
      </c>
      <c r="BB276">
        <v>5.0767520905547396</v>
      </c>
      <c r="BC276">
        <v>17998447354</v>
      </c>
    </row>
    <row r="277" spans="45:55" x14ac:dyDescent="0.25">
      <c r="AS277" s="15">
        <v>200904</v>
      </c>
      <c r="AT277">
        <v>4.8995512503139098</v>
      </c>
      <c r="AU277">
        <v>17725345224.66</v>
      </c>
      <c r="BA277" s="15">
        <v>200912</v>
      </c>
      <c r="BB277">
        <v>5.0461427946170296</v>
      </c>
      <c r="BC277">
        <v>17525249761</v>
      </c>
    </row>
    <row r="278" spans="45:55" x14ac:dyDescent="0.25">
      <c r="AS278" s="15">
        <v>200905</v>
      </c>
      <c r="AT278">
        <v>4.8045244639818696</v>
      </c>
      <c r="AU278">
        <v>22924621266.27</v>
      </c>
      <c r="BA278" s="15">
        <v>201001</v>
      </c>
      <c r="BB278">
        <v>4.9894918807978099</v>
      </c>
      <c r="BC278">
        <v>18582996650</v>
      </c>
    </row>
    <row r="279" spans="45:55" x14ac:dyDescent="0.25">
      <c r="AS279" s="15">
        <v>200906</v>
      </c>
      <c r="AT279">
        <v>4.7725770744765601</v>
      </c>
      <c r="AU279">
        <v>29761400099.310001</v>
      </c>
      <c r="BA279" s="15">
        <v>201002</v>
      </c>
      <c r="BB279">
        <v>5.04255400584979</v>
      </c>
      <c r="BC279">
        <v>14496267173</v>
      </c>
    </row>
    <row r="280" spans="45:55" x14ac:dyDescent="0.25">
      <c r="AS280" s="15">
        <v>200907</v>
      </c>
      <c r="AT280">
        <v>4.8511153902880801</v>
      </c>
      <c r="AU280">
        <v>25136749773.049999</v>
      </c>
      <c r="BA280" s="15">
        <v>201003</v>
      </c>
      <c r="BB280">
        <v>5.10336875420984</v>
      </c>
      <c r="BC280">
        <v>12211155593</v>
      </c>
    </row>
    <row r="281" spans="45:55" x14ac:dyDescent="0.25">
      <c r="AS281" s="15">
        <v>200908</v>
      </c>
      <c r="AT281">
        <v>4.9960913693270301</v>
      </c>
      <c r="AU281">
        <v>16223990270.799999</v>
      </c>
      <c r="BA281" s="15">
        <v>201004</v>
      </c>
      <c r="BB281">
        <v>5.0995060634083904</v>
      </c>
      <c r="BC281">
        <v>12612728929</v>
      </c>
    </row>
    <row r="282" spans="45:55" x14ac:dyDescent="0.25">
      <c r="AS282" s="15">
        <v>200909</v>
      </c>
      <c r="AT282">
        <v>5.0996463355406503</v>
      </c>
      <c r="AU282">
        <v>11793537176.18</v>
      </c>
      <c r="BA282" s="15">
        <v>201005</v>
      </c>
      <c r="BB282">
        <v>5.1119570792342497</v>
      </c>
      <c r="BC282">
        <v>12576111602</v>
      </c>
    </row>
    <row r="283" spans="45:55" x14ac:dyDescent="0.25">
      <c r="AS283" s="15">
        <v>200910</v>
      </c>
      <c r="AT283">
        <v>5.1206724832767296</v>
      </c>
      <c r="AU283">
        <v>9856704098.1200008</v>
      </c>
      <c r="BA283" s="15">
        <v>201006</v>
      </c>
      <c r="BB283">
        <v>5.1388823090123097</v>
      </c>
      <c r="BC283">
        <v>11594155592</v>
      </c>
    </row>
    <row r="284" spans="45:55" x14ac:dyDescent="0.25">
      <c r="AS284" s="15">
        <v>200911</v>
      </c>
      <c r="AT284">
        <v>5.0643680196698897</v>
      </c>
      <c r="AU284">
        <v>10323420407.51</v>
      </c>
      <c r="BA284" s="15">
        <v>201007</v>
      </c>
      <c r="BB284">
        <v>4.9839096982801001</v>
      </c>
      <c r="BC284">
        <v>14732056262</v>
      </c>
    </row>
    <row r="285" spans="45:55" x14ac:dyDescent="0.25">
      <c r="AS285" s="15">
        <v>200912</v>
      </c>
      <c r="AT285">
        <v>5.0378208623670098</v>
      </c>
      <c r="AU285">
        <v>10730336777.42</v>
      </c>
      <c r="BA285" s="15">
        <v>201008</v>
      </c>
      <c r="BB285">
        <v>4.8357922659546899</v>
      </c>
      <c r="BC285">
        <v>14369370864</v>
      </c>
    </row>
    <row r="286" spans="45:55" x14ac:dyDescent="0.25">
      <c r="AS286" s="15">
        <v>201001</v>
      </c>
      <c r="AT286">
        <v>4.9966785888429799</v>
      </c>
      <c r="AU286">
        <v>11625686536.379999</v>
      </c>
      <c r="BA286" s="15">
        <v>201009</v>
      </c>
      <c r="BB286">
        <v>4.66011619791791</v>
      </c>
      <c r="BC286">
        <v>16422534355</v>
      </c>
    </row>
    <row r="287" spans="45:55" x14ac:dyDescent="0.25">
      <c r="AS287" s="15">
        <v>201002</v>
      </c>
      <c r="AT287">
        <v>5.0232017321519997</v>
      </c>
      <c r="AU287">
        <v>9050926497.0400009</v>
      </c>
      <c r="BA287" s="15">
        <v>201010</v>
      </c>
      <c r="BB287">
        <v>4.5325395081674804</v>
      </c>
      <c r="BC287">
        <v>16796671317</v>
      </c>
    </row>
    <row r="288" spans="45:55" x14ac:dyDescent="0.25">
      <c r="AS288" s="15">
        <v>201003</v>
      </c>
      <c r="AT288">
        <v>5.1034665586505801</v>
      </c>
      <c r="AU288">
        <v>6581106620.8599997</v>
      </c>
      <c r="BA288" s="15">
        <v>201011</v>
      </c>
      <c r="BB288">
        <v>4.4601726067952603</v>
      </c>
      <c r="BC288">
        <v>18655441236</v>
      </c>
    </row>
    <row r="289" spans="45:55" x14ac:dyDescent="0.25">
      <c r="AS289" s="15">
        <v>201004</v>
      </c>
      <c r="AT289">
        <v>5.1066550119255396</v>
      </c>
      <c r="AU289">
        <v>9521302019.7199993</v>
      </c>
      <c r="BA289" s="15">
        <v>201012</v>
      </c>
      <c r="BB289">
        <v>4.3807526413318696</v>
      </c>
      <c r="BC289">
        <v>17939613706</v>
      </c>
    </row>
    <row r="290" spans="45:55" x14ac:dyDescent="0.25">
      <c r="AS290" s="15">
        <v>201005</v>
      </c>
      <c r="AT290">
        <v>5.1293446816987904</v>
      </c>
      <c r="AU290">
        <v>8671785496.2800007</v>
      </c>
      <c r="BA290" s="15">
        <v>201101</v>
      </c>
      <c r="BB290">
        <v>4.4590741942076502</v>
      </c>
      <c r="BC290">
        <v>16998217771</v>
      </c>
    </row>
    <row r="291" spans="45:55" x14ac:dyDescent="0.25">
      <c r="AS291" s="15">
        <v>201006</v>
      </c>
      <c r="AT291">
        <v>5.1561068066204596</v>
      </c>
      <c r="AU291">
        <v>7864107938.8000002</v>
      </c>
      <c r="BA291" s="15">
        <v>201102</v>
      </c>
      <c r="BB291">
        <v>4.7078057607013797</v>
      </c>
      <c r="BC291">
        <v>12052088592</v>
      </c>
    </row>
    <row r="292" spans="45:55" x14ac:dyDescent="0.25">
      <c r="AS292" s="15">
        <v>201007</v>
      </c>
      <c r="AT292">
        <v>5.0092515584804396</v>
      </c>
      <c r="AU292">
        <v>10403425532.940001</v>
      </c>
      <c r="BA292" s="15">
        <v>201103</v>
      </c>
      <c r="BB292">
        <v>4.8591026113875397</v>
      </c>
      <c r="BC292">
        <v>7649737907</v>
      </c>
    </row>
    <row r="293" spans="45:55" x14ac:dyDescent="0.25">
      <c r="AS293" s="15">
        <v>201008</v>
      </c>
      <c r="AT293">
        <v>4.8082411794809596</v>
      </c>
      <c r="AU293">
        <v>12814951726</v>
      </c>
      <c r="BA293" s="15">
        <v>201104</v>
      </c>
      <c r="BB293">
        <v>4.9758977754276401</v>
      </c>
      <c r="BC293">
        <v>7945747537</v>
      </c>
    </row>
    <row r="294" spans="45:55" x14ac:dyDescent="0.25">
      <c r="AS294" s="15">
        <v>201009</v>
      </c>
      <c r="AT294">
        <v>4.6507716942420201</v>
      </c>
      <c r="AU294">
        <v>18834023012.220001</v>
      </c>
      <c r="BA294" s="15">
        <v>201105</v>
      </c>
      <c r="BB294">
        <v>4.9764774088942403</v>
      </c>
      <c r="BC294">
        <v>7424512630</v>
      </c>
    </row>
    <row r="295" spans="45:55" x14ac:dyDescent="0.25">
      <c r="AS295" s="15">
        <v>201010</v>
      </c>
      <c r="AT295">
        <v>4.5387096617894702</v>
      </c>
      <c r="AU295">
        <v>21649402130.970001</v>
      </c>
      <c r="BA295" s="15">
        <v>201106</v>
      </c>
      <c r="BB295">
        <v>4.9394465369563596</v>
      </c>
      <c r="BC295">
        <v>6773126217</v>
      </c>
    </row>
    <row r="296" spans="45:55" x14ac:dyDescent="0.25">
      <c r="AS296" s="15">
        <v>201011</v>
      </c>
      <c r="AT296">
        <v>4.47265954993322</v>
      </c>
      <c r="AU296">
        <v>21982196766.279999</v>
      </c>
      <c r="BA296" s="15">
        <v>201107</v>
      </c>
      <c r="BB296">
        <v>4.7729721613449696</v>
      </c>
      <c r="BC296">
        <v>9260152717</v>
      </c>
    </row>
    <row r="297" spans="45:55" x14ac:dyDescent="0.25">
      <c r="AS297" s="15">
        <v>201012</v>
      </c>
      <c r="AT297">
        <v>4.3926410636072699</v>
      </c>
      <c r="AU297">
        <v>22640378425.709999</v>
      </c>
      <c r="BA297" s="15">
        <v>201108</v>
      </c>
      <c r="BB297">
        <v>4.6954348529174403</v>
      </c>
      <c r="BC297">
        <v>8621438405</v>
      </c>
    </row>
    <row r="298" spans="45:55" x14ac:dyDescent="0.25">
      <c r="AS298" s="15">
        <v>201101</v>
      </c>
      <c r="AT298">
        <v>4.4684690901518902</v>
      </c>
      <c r="AU298">
        <v>20370746372.080002</v>
      </c>
      <c r="BA298" s="15">
        <v>201109</v>
      </c>
      <c r="BB298">
        <v>4.5818597853794198</v>
      </c>
      <c r="BC298">
        <v>9102835359</v>
      </c>
    </row>
    <row r="299" spans="45:55" x14ac:dyDescent="0.25">
      <c r="AS299" s="15">
        <v>201102</v>
      </c>
      <c r="AT299">
        <v>4.6875598444210702</v>
      </c>
      <c r="AU299">
        <v>13401535360.309999</v>
      </c>
      <c r="BA299" s="15">
        <v>201110</v>
      </c>
      <c r="BB299">
        <v>4.3126639684871098</v>
      </c>
      <c r="BC299">
        <v>11827731646</v>
      </c>
    </row>
    <row r="300" spans="45:55" x14ac:dyDescent="0.25">
      <c r="AS300" s="15">
        <v>201103</v>
      </c>
      <c r="AT300">
        <v>4.8640585806622303</v>
      </c>
      <c r="AU300">
        <v>10570540622.469999</v>
      </c>
      <c r="BA300" s="15">
        <v>201111</v>
      </c>
      <c r="BB300">
        <v>4.1778874606567502</v>
      </c>
      <c r="BC300">
        <v>10364608299</v>
      </c>
    </row>
    <row r="301" spans="45:55" x14ac:dyDescent="0.25">
      <c r="AS301" s="15">
        <v>201104</v>
      </c>
      <c r="AT301">
        <v>5.0404618724954098</v>
      </c>
      <c r="AU301">
        <v>9808513902.5499992</v>
      </c>
      <c r="BA301" s="15">
        <v>201112</v>
      </c>
      <c r="BB301">
        <v>4.1477937780428196</v>
      </c>
      <c r="BC301">
        <v>10644327753</v>
      </c>
    </row>
    <row r="302" spans="45:55" x14ac:dyDescent="0.25">
      <c r="AS302" s="15">
        <v>201105</v>
      </c>
      <c r="AT302">
        <v>5.0639885990912203</v>
      </c>
      <c r="AU302">
        <v>7897249554.5299997</v>
      </c>
      <c r="BA302" s="15">
        <v>201201</v>
      </c>
      <c r="BB302">
        <v>4.1387571398429097</v>
      </c>
      <c r="BC302">
        <v>12437559447</v>
      </c>
    </row>
    <row r="303" spans="45:55" x14ac:dyDescent="0.25">
      <c r="AS303" s="15">
        <v>201106</v>
      </c>
      <c r="AT303">
        <v>5.01741215343141</v>
      </c>
      <c r="AU303">
        <v>7925810462.8100004</v>
      </c>
      <c r="BA303" s="15">
        <v>201202</v>
      </c>
      <c r="BB303">
        <v>4.07794924758924</v>
      </c>
      <c r="BC303">
        <v>9562467631</v>
      </c>
    </row>
    <row r="304" spans="45:55" x14ac:dyDescent="0.25">
      <c r="AS304" s="15">
        <v>201107</v>
      </c>
      <c r="AT304">
        <v>4.8480911353752099</v>
      </c>
      <c r="AU304">
        <v>9070328642.0599995</v>
      </c>
      <c r="BA304" s="15">
        <v>201203</v>
      </c>
      <c r="BB304">
        <v>4.0126530152386204</v>
      </c>
      <c r="BC304">
        <v>9261330092</v>
      </c>
    </row>
    <row r="305" spans="45:55" x14ac:dyDescent="0.25">
      <c r="AS305" s="15">
        <v>201108</v>
      </c>
      <c r="AT305">
        <v>4.7723356780295196</v>
      </c>
      <c r="AU305">
        <v>9118382199.3299999</v>
      </c>
      <c r="BA305" s="15">
        <v>201204</v>
      </c>
      <c r="BB305">
        <v>4.0063397339885398</v>
      </c>
      <c r="BC305">
        <v>9651923480</v>
      </c>
    </row>
    <row r="306" spans="45:55" x14ac:dyDescent="0.25">
      <c r="AS306" s="15">
        <v>201109</v>
      </c>
      <c r="AT306">
        <v>4.6625084857894104</v>
      </c>
      <c r="AU306">
        <v>10926972211</v>
      </c>
      <c r="BA306" s="15">
        <v>201205</v>
      </c>
      <c r="BB306">
        <v>4.0552767953734401</v>
      </c>
      <c r="BC306">
        <v>9157328186</v>
      </c>
    </row>
    <row r="307" spans="45:55" x14ac:dyDescent="0.25">
      <c r="AS307" s="15">
        <v>201110</v>
      </c>
      <c r="AT307">
        <v>4.4122799865839903</v>
      </c>
      <c r="AU307">
        <v>14192988384.9</v>
      </c>
      <c r="BA307" s="15">
        <v>201206</v>
      </c>
      <c r="BB307">
        <v>4.0188174101148499</v>
      </c>
      <c r="BC307">
        <v>11672145137</v>
      </c>
    </row>
    <row r="308" spans="45:55" x14ac:dyDescent="0.25">
      <c r="AS308" s="15">
        <v>201111</v>
      </c>
      <c r="AT308">
        <v>4.2517406025350901</v>
      </c>
      <c r="AU308">
        <v>21152277015.110001</v>
      </c>
      <c r="BA308" s="15">
        <v>201207</v>
      </c>
      <c r="BB308">
        <v>3.9283353978802298</v>
      </c>
      <c r="BC308">
        <v>11390641865</v>
      </c>
    </row>
    <row r="309" spans="45:55" x14ac:dyDescent="0.25">
      <c r="AS309" s="15">
        <v>201112</v>
      </c>
      <c r="AT309">
        <v>4.2119519887329897</v>
      </c>
      <c r="AU309">
        <v>23240013372.52</v>
      </c>
      <c r="BA309" s="15">
        <v>201208</v>
      </c>
      <c r="BB309">
        <v>3.8396290934264901</v>
      </c>
      <c r="BC309">
        <v>12337195849</v>
      </c>
    </row>
    <row r="310" spans="45:55" x14ac:dyDescent="0.25">
      <c r="AS310" s="15">
        <v>201201</v>
      </c>
      <c r="AT310">
        <v>4.2069862007210999</v>
      </c>
      <c r="AU310">
        <v>22950670921.849998</v>
      </c>
      <c r="BA310" s="15">
        <v>201209</v>
      </c>
      <c r="BB310">
        <v>3.73949828057961</v>
      </c>
      <c r="BC310">
        <v>15938221261</v>
      </c>
    </row>
    <row r="311" spans="45:55" x14ac:dyDescent="0.25">
      <c r="AS311" s="15">
        <v>201202</v>
      </c>
      <c r="AT311">
        <v>4.1342699536788201</v>
      </c>
      <c r="AU311">
        <v>23815237428.939999</v>
      </c>
      <c r="BA311" s="15">
        <v>201210</v>
      </c>
      <c r="BB311">
        <v>3.7232680773906002</v>
      </c>
      <c r="BC311">
        <v>17176229016</v>
      </c>
    </row>
    <row r="312" spans="45:55" x14ac:dyDescent="0.25">
      <c r="AS312" s="15">
        <v>201203</v>
      </c>
      <c r="AT312">
        <v>4.0687074217230501</v>
      </c>
      <c r="AU312">
        <v>28017518141.330002</v>
      </c>
      <c r="BA312" s="15">
        <v>201211</v>
      </c>
      <c r="BB312">
        <v>3.6767372555312599</v>
      </c>
      <c r="BC312">
        <v>17322916722</v>
      </c>
    </row>
    <row r="313" spans="45:55" x14ac:dyDescent="0.25">
      <c r="AS313" s="15">
        <v>201204</v>
      </c>
      <c r="AT313">
        <v>4.0596152069353497</v>
      </c>
      <c r="AU313">
        <v>27766173017.18</v>
      </c>
      <c r="BA313" s="15">
        <v>201212</v>
      </c>
      <c r="BB313">
        <v>3.60945698042591</v>
      </c>
      <c r="BC313">
        <v>15299148122</v>
      </c>
    </row>
    <row r="314" spans="45:55" x14ac:dyDescent="0.25">
      <c r="AS314" s="15">
        <v>201205</v>
      </c>
      <c r="AT314">
        <v>4.1180022848541604</v>
      </c>
      <c r="AU314">
        <v>23046328359</v>
      </c>
      <c r="BA314" s="15">
        <v>201301</v>
      </c>
      <c r="BB314">
        <v>3.5959097976316299</v>
      </c>
      <c r="BC314">
        <v>15812198303</v>
      </c>
    </row>
    <row r="315" spans="45:55" x14ac:dyDescent="0.25">
      <c r="AS315" s="15">
        <v>201206</v>
      </c>
      <c r="AT315">
        <v>4.0920001940258901</v>
      </c>
      <c r="AU315">
        <v>21418665862.720001</v>
      </c>
      <c r="BA315" s="15">
        <v>201302</v>
      </c>
      <c r="BB315">
        <v>3.5784922562880999</v>
      </c>
      <c r="BC315">
        <v>17482043797</v>
      </c>
    </row>
    <row r="316" spans="45:55" x14ac:dyDescent="0.25">
      <c r="AS316" s="15">
        <v>201207</v>
      </c>
      <c r="AT316">
        <v>3.9491926358613099</v>
      </c>
      <c r="AU316">
        <v>25993925944.52</v>
      </c>
      <c r="BA316" s="15">
        <v>201303</v>
      </c>
      <c r="BB316">
        <v>3.6234704060745999</v>
      </c>
      <c r="BC316">
        <v>16738904551</v>
      </c>
    </row>
    <row r="317" spans="45:55" x14ac:dyDescent="0.25">
      <c r="AS317" s="15">
        <v>201208</v>
      </c>
      <c r="AT317">
        <v>3.8374227379788999</v>
      </c>
      <c r="AU317">
        <v>27818637023.740002</v>
      </c>
      <c r="BA317" s="15">
        <v>201304</v>
      </c>
      <c r="BB317">
        <v>3.7380084969484502</v>
      </c>
      <c r="BC317">
        <v>14143869729</v>
      </c>
    </row>
    <row r="318" spans="45:55" x14ac:dyDescent="0.25">
      <c r="AS318" s="15">
        <v>201209</v>
      </c>
      <c r="AT318">
        <v>3.7409095346410801</v>
      </c>
      <c r="AU318">
        <v>31970438145.330002</v>
      </c>
      <c r="BA318" s="15">
        <v>201305</v>
      </c>
      <c r="BB318">
        <v>3.7931713317630802</v>
      </c>
      <c r="BC318">
        <v>13431515993</v>
      </c>
    </row>
    <row r="319" spans="45:55" x14ac:dyDescent="0.25">
      <c r="AS319" s="15">
        <v>201210</v>
      </c>
      <c r="AT319">
        <v>3.72267992990133</v>
      </c>
      <c r="AU319">
        <v>26925106879.759998</v>
      </c>
      <c r="BA319" s="15">
        <v>201306</v>
      </c>
      <c r="BB319">
        <v>3.7092086336964201</v>
      </c>
      <c r="BC319">
        <v>17351860984</v>
      </c>
    </row>
    <row r="320" spans="45:55" x14ac:dyDescent="0.25">
      <c r="AS320" s="15">
        <v>201211</v>
      </c>
      <c r="AT320">
        <v>3.6303756064388901</v>
      </c>
      <c r="AU320">
        <v>32032878551.59</v>
      </c>
      <c r="BA320" s="15">
        <v>201307</v>
      </c>
      <c r="BB320">
        <v>3.7751563434090998</v>
      </c>
      <c r="BC320">
        <v>15492371050</v>
      </c>
    </row>
    <row r="321" spans="45:55" x14ac:dyDescent="0.25">
      <c r="AS321" s="15">
        <v>201212</v>
      </c>
      <c r="AT321">
        <v>3.5602407685059898</v>
      </c>
      <c r="AU321">
        <v>32411781327.490002</v>
      </c>
      <c r="BA321" s="15">
        <v>201308</v>
      </c>
      <c r="BB321">
        <v>4.1223859107368801</v>
      </c>
      <c r="BC321">
        <v>12602589856</v>
      </c>
    </row>
    <row r="322" spans="45:55" x14ac:dyDescent="0.25">
      <c r="AS322" s="15">
        <v>201301</v>
      </c>
      <c r="AT322">
        <v>3.5422414649290501</v>
      </c>
      <c r="AU322">
        <v>32307993073.32</v>
      </c>
      <c r="BA322" s="15">
        <v>201309</v>
      </c>
      <c r="BB322">
        <v>4.4486558786119499</v>
      </c>
      <c r="BC322">
        <v>10003168895</v>
      </c>
    </row>
    <row r="323" spans="45:55" x14ac:dyDescent="0.25">
      <c r="AS323" s="15">
        <v>201302</v>
      </c>
      <c r="AT323">
        <v>3.5665734298154099</v>
      </c>
      <c r="AU323">
        <v>29006033703.580002</v>
      </c>
      <c r="BA323" s="15">
        <v>201310</v>
      </c>
      <c r="BB323">
        <v>4.6177680706180002</v>
      </c>
      <c r="BC323">
        <v>7291380779</v>
      </c>
    </row>
    <row r="324" spans="45:55" x14ac:dyDescent="0.25">
      <c r="AS324" s="15">
        <v>201303</v>
      </c>
      <c r="AT324">
        <v>3.6653269709131999</v>
      </c>
      <c r="AU324">
        <v>23219208736.48</v>
      </c>
      <c r="BA324" s="15">
        <v>201311</v>
      </c>
      <c r="BB324">
        <v>4.59793250704175</v>
      </c>
      <c r="BC324">
        <v>8209169066</v>
      </c>
    </row>
    <row r="325" spans="45:55" x14ac:dyDescent="0.25">
      <c r="AS325" s="15">
        <v>201304</v>
      </c>
      <c r="AT325">
        <v>3.7416128110975602</v>
      </c>
      <c r="AU325">
        <v>27534940305.099998</v>
      </c>
      <c r="BA325" s="15">
        <v>201312</v>
      </c>
      <c r="BB325">
        <v>4.4537309491549602</v>
      </c>
      <c r="BC325">
        <v>8616347214</v>
      </c>
    </row>
    <row r="326" spans="45:55" x14ac:dyDescent="0.25">
      <c r="AS326" s="15">
        <v>201305</v>
      </c>
      <c r="AT326">
        <v>3.7684618201620701</v>
      </c>
      <c r="AU326">
        <v>27134658138.880001</v>
      </c>
      <c r="BA326" s="15">
        <v>201401</v>
      </c>
      <c r="BB326">
        <v>4.5078046661429196</v>
      </c>
      <c r="BC326">
        <v>8706457838</v>
      </c>
    </row>
    <row r="327" spans="45:55" x14ac:dyDescent="0.25">
      <c r="AS327" s="15">
        <v>201306</v>
      </c>
      <c r="AT327">
        <v>3.7115390494060598</v>
      </c>
      <c r="AU327">
        <v>26644084102.610001</v>
      </c>
      <c r="BA327" s="15">
        <v>201402</v>
      </c>
      <c r="BB327">
        <v>4.6372911222645596</v>
      </c>
      <c r="BC327">
        <v>5989248516</v>
      </c>
    </row>
    <row r="328" spans="45:55" x14ac:dyDescent="0.25">
      <c r="AS328" s="15">
        <v>201307</v>
      </c>
      <c r="AT328">
        <v>3.8455624178658998</v>
      </c>
      <c r="AU328">
        <v>25305019096.099998</v>
      </c>
      <c r="BA328" s="15">
        <v>201403</v>
      </c>
      <c r="BB328">
        <v>4.6133486060071096</v>
      </c>
      <c r="BC328">
        <v>5951901828</v>
      </c>
    </row>
    <row r="329" spans="45:55" x14ac:dyDescent="0.25">
      <c r="AS329" s="15">
        <v>201308</v>
      </c>
      <c r="AT329">
        <v>4.2164673527645</v>
      </c>
      <c r="AU329">
        <v>22660536646.650002</v>
      </c>
      <c r="BA329" s="15">
        <v>201404</v>
      </c>
      <c r="BB329">
        <v>4.5618033217379397</v>
      </c>
      <c r="BC329">
        <v>7560180431</v>
      </c>
    </row>
    <row r="330" spans="45:55" x14ac:dyDescent="0.25">
      <c r="AS330" s="15">
        <v>201309</v>
      </c>
      <c r="AT330">
        <v>4.5282747620389801</v>
      </c>
      <c r="AU330">
        <v>18994718688.119999</v>
      </c>
      <c r="BA330" s="15">
        <v>201405</v>
      </c>
      <c r="BB330">
        <v>4.5799147562982103</v>
      </c>
      <c r="BC330">
        <v>7811056161</v>
      </c>
    </row>
    <row r="331" spans="45:55" x14ac:dyDescent="0.25">
      <c r="AS331" s="15">
        <v>201310</v>
      </c>
      <c r="AT331">
        <v>4.6840237001599201</v>
      </c>
      <c r="AU331">
        <v>15305841527.07</v>
      </c>
      <c r="BA331" s="15">
        <v>201406</v>
      </c>
      <c r="BB331">
        <v>4.5300964759182696</v>
      </c>
      <c r="BC331">
        <v>8459702562</v>
      </c>
    </row>
    <row r="332" spans="45:55" x14ac:dyDescent="0.25">
      <c r="AS332" s="15">
        <v>201311</v>
      </c>
      <c r="AT332">
        <v>4.6419434039718297</v>
      </c>
      <c r="AU332">
        <v>14187222582.200001</v>
      </c>
      <c r="BA332" s="15">
        <v>201407</v>
      </c>
      <c r="BB332">
        <v>4.4057272116384301</v>
      </c>
      <c r="BC332">
        <v>10042256705</v>
      </c>
    </row>
    <row r="333" spans="45:55" x14ac:dyDescent="0.25">
      <c r="AS333" s="15">
        <v>201312</v>
      </c>
      <c r="AT333">
        <v>4.5197710860352096</v>
      </c>
      <c r="AU333">
        <v>11902384047.469999</v>
      </c>
      <c r="BA333" s="15">
        <v>201408</v>
      </c>
      <c r="BB333">
        <v>4.3735477027958503</v>
      </c>
      <c r="BC333">
        <v>10647354204</v>
      </c>
    </row>
    <row r="334" spans="45:55" x14ac:dyDescent="0.25">
      <c r="AS334" s="15">
        <v>201401</v>
      </c>
      <c r="AT334">
        <v>4.5588937221631198</v>
      </c>
      <c r="AU334">
        <v>11634291678.629999</v>
      </c>
      <c r="BA334" s="15">
        <v>201409</v>
      </c>
      <c r="BB334">
        <v>4.3624890755827197</v>
      </c>
      <c r="BC334">
        <v>10440873099</v>
      </c>
    </row>
    <row r="335" spans="45:55" x14ac:dyDescent="0.25">
      <c r="AS335" s="15">
        <v>201402</v>
      </c>
      <c r="AT335">
        <v>4.7049309457372699</v>
      </c>
      <c r="AU335">
        <v>8795996613.5699997</v>
      </c>
      <c r="BA335" s="15">
        <v>201410</v>
      </c>
      <c r="BB335">
        <v>4.3619935282645699</v>
      </c>
      <c r="BC335">
        <v>9786755461</v>
      </c>
    </row>
    <row r="336" spans="45:55" x14ac:dyDescent="0.25">
      <c r="AS336" s="15">
        <v>201403</v>
      </c>
      <c r="AT336">
        <v>4.6755723852233197</v>
      </c>
      <c r="AU336">
        <v>8344696312.3900003</v>
      </c>
      <c r="BA336" s="15">
        <v>201411</v>
      </c>
      <c r="BB336">
        <v>4.3541719855896197</v>
      </c>
      <c r="BC336">
        <v>9410943571</v>
      </c>
    </row>
    <row r="337" spans="45:55" x14ac:dyDescent="0.25">
      <c r="AS337" s="15">
        <v>201404</v>
      </c>
      <c r="AT337">
        <v>4.6126039737385698</v>
      </c>
      <c r="AU337">
        <v>10094965774.690001</v>
      </c>
      <c r="BA337" s="15">
        <v>201412</v>
      </c>
      <c r="BB337">
        <v>4.2324682260943201</v>
      </c>
      <c r="BC337">
        <v>9192442109</v>
      </c>
    </row>
    <row r="338" spans="45:55" x14ac:dyDescent="0.25">
      <c r="AS338" s="15">
        <v>201405</v>
      </c>
      <c r="AT338">
        <v>4.6303669865879602</v>
      </c>
      <c r="AU338">
        <v>10615148922.58</v>
      </c>
      <c r="BA338" s="15">
        <v>201501</v>
      </c>
      <c r="BB338">
        <v>4.2002826426629998</v>
      </c>
      <c r="BC338">
        <v>9878752455</v>
      </c>
    </row>
    <row r="339" spans="45:55" x14ac:dyDescent="0.25">
      <c r="AS339" s="15">
        <v>201406</v>
      </c>
      <c r="AT339">
        <v>4.5732640441248797</v>
      </c>
      <c r="AU339">
        <v>12139069071.860001</v>
      </c>
      <c r="BA339" s="15">
        <v>201502</v>
      </c>
      <c r="BB339">
        <v>4.0863874157916298</v>
      </c>
      <c r="BC339">
        <v>9064005670</v>
      </c>
    </row>
    <row r="340" spans="45:55" x14ac:dyDescent="0.25">
      <c r="AS340" s="15">
        <v>201407</v>
      </c>
      <c r="AT340">
        <v>4.4559119217619001</v>
      </c>
      <c r="AU340">
        <v>13675313367.65</v>
      </c>
      <c r="BA340" s="15">
        <v>201503</v>
      </c>
      <c r="BB340">
        <v>3.8781832047743299</v>
      </c>
      <c r="BC340">
        <v>12569333776</v>
      </c>
    </row>
    <row r="341" spans="45:55" x14ac:dyDescent="0.25">
      <c r="AS341" s="15">
        <v>201408</v>
      </c>
      <c r="AT341">
        <v>4.4254966954729804</v>
      </c>
      <c r="AU341">
        <v>13927599730.48</v>
      </c>
      <c r="BA341" s="15">
        <v>201504</v>
      </c>
      <c r="BB341">
        <v>3.9255510503600499</v>
      </c>
      <c r="BC341">
        <v>15006721219</v>
      </c>
    </row>
    <row r="342" spans="45:55" x14ac:dyDescent="0.25">
      <c r="AS342" s="15">
        <v>201409</v>
      </c>
      <c r="AT342">
        <v>4.4279894750691602</v>
      </c>
      <c r="AU342">
        <v>13714956246.34</v>
      </c>
      <c r="BA342" s="15">
        <v>201505</v>
      </c>
      <c r="BB342">
        <v>3.9836053338939701</v>
      </c>
      <c r="BC342">
        <v>13829636606</v>
      </c>
    </row>
    <row r="343" spans="45:55" x14ac:dyDescent="0.25">
      <c r="AS343" s="15">
        <v>201410</v>
      </c>
      <c r="AT343">
        <v>4.4233494775420397</v>
      </c>
      <c r="AU343">
        <v>13426039112.1</v>
      </c>
      <c r="BA343" s="15">
        <v>201506</v>
      </c>
      <c r="BB343">
        <v>3.9608827539194098</v>
      </c>
      <c r="BC343">
        <v>13346909860</v>
      </c>
    </row>
    <row r="344" spans="45:55" x14ac:dyDescent="0.25">
      <c r="AS344" s="15">
        <v>201411</v>
      </c>
      <c r="AT344">
        <v>4.4050707863180198</v>
      </c>
      <c r="AU344">
        <v>14154744512.610001</v>
      </c>
      <c r="BA344" s="15">
        <v>201507</v>
      </c>
      <c r="BB344">
        <v>4.0691521875750398</v>
      </c>
      <c r="BC344">
        <v>12704529305</v>
      </c>
    </row>
    <row r="345" spans="45:55" x14ac:dyDescent="0.25">
      <c r="AS345" s="15">
        <v>201412</v>
      </c>
      <c r="AT345">
        <v>4.2835688831196403</v>
      </c>
      <c r="AU345">
        <v>13811323767.26</v>
      </c>
      <c r="BA345" s="15">
        <v>201508</v>
      </c>
      <c r="BB345">
        <v>4.2224152370614201</v>
      </c>
      <c r="BC345">
        <v>11855827958</v>
      </c>
    </row>
    <row r="346" spans="45:55" x14ac:dyDescent="0.25">
      <c r="AS346" s="15">
        <v>201501</v>
      </c>
      <c r="AT346">
        <v>4.24694893490999</v>
      </c>
      <c r="AU346">
        <v>15784663877.01</v>
      </c>
      <c r="BA346" s="15">
        <v>201509</v>
      </c>
      <c r="BB346">
        <v>4.2593575762103404</v>
      </c>
      <c r="BC346">
        <v>10846052399</v>
      </c>
    </row>
    <row r="347" spans="45:55" x14ac:dyDescent="0.25">
      <c r="AS347" s="15">
        <v>201502</v>
      </c>
      <c r="AT347">
        <v>4.1265571757160799</v>
      </c>
      <c r="AU347">
        <v>13495853642.540001</v>
      </c>
      <c r="BA347" s="15">
        <v>201510</v>
      </c>
      <c r="BB347">
        <v>4.20384947418267</v>
      </c>
      <c r="BC347">
        <v>10495190879</v>
      </c>
    </row>
    <row r="348" spans="45:55" x14ac:dyDescent="0.25">
      <c r="AS348" s="15">
        <v>201503</v>
      </c>
      <c r="AT348">
        <v>3.96193768558744</v>
      </c>
      <c r="AU348">
        <v>17821414257.66</v>
      </c>
      <c r="BA348" s="15">
        <v>201511</v>
      </c>
      <c r="BB348">
        <v>4.1840211570390196</v>
      </c>
      <c r="BC348">
        <v>9188856049</v>
      </c>
    </row>
    <row r="349" spans="45:55" x14ac:dyDescent="0.25">
      <c r="AS349" s="15">
        <v>201504</v>
      </c>
      <c r="AT349">
        <v>3.97760536893266</v>
      </c>
      <c r="AU349">
        <v>21245118276.27</v>
      </c>
      <c r="BA349" s="15">
        <v>201512</v>
      </c>
      <c r="BB349">
        <v>4.1206652332877498</v>
      </c>
      <c r="BC349">
        <v>2734767226</v>
      </c>
    </row>
    <row r="350" spans="45:55" x14ac:dyDescent="0.25">
      <c r="AS350" s="15">
        <v>201505</v>
      </c>
      <c r="AT350">
        <v>4.0224997174525701</v>
      </c>
      <c r="AU350">
        <v>17767867858.830002</v>
      </c>
    </row>
    <row r="351" spans="45:55" x14ac:dyDescent="0.25">
      <c r="AS351" s="15">
        <v>201506</v>
      </c>
      <c r="AT351">
        <v>3.9900230768073</v>
      </c>
      <c r="AU351">
        <v>18084098298.25</v>
      </c>
    </row>
    <row r="352" spans="45:55" x14ac:dyDescent="0.25">
      <c r="AS352" s="15">
        <v>201507</v>
      </c>
      <c r="AT352">
        <v>4.0971962949586</v>
      </c>
      <c r="AU352">
        <v>19677057899.93</v>
      </c>
    </row>
    <row r="353" spans="45:47" x14ac:dyDescent="0.25">
      <c r="AS353" s="15">
        <v>201508</v>
      </c>
      <c r="AT353">
        <v>4.2584690777543601</v>
      </c>
      <c r="AU353">
        <v>17331369937.5</v>
      </c>
    </row>
    <row r="354" spans="45:47" x14ac:dyDescent="0.25">
      <c r="AS354" s="15">
        <v>201509</v>
      </c>
      <c r="AT354">
        <v>4.2972164434599103</v>
      </c>
      <c r="AU354">
        <v>15980861598.99</v>
      </c>
    </row>
    <row r="355" spans="45:47" x14ac:dyDescent="0.25">
      <c r="AS355" s="15">
        <v>201510</v>
      </c>
      <c r="AT355">
        <v>4.2422510999707201</v>
      </c>
      <c r="AU355">
        <v>15470310520.59</v>
      </c>
    </row>
    <row r="356" spans="45:47" x14ac:dyDescent="0.25">
      <c r="AS356" s="15">
        <v>201511</v>
      </c>
      <c r="AT356">
        <v>4.1917802549607499</v>
      </c>
      <c r="AU356">
        <v>14214740018.26</v>
      </c>
    </row>
    <row r="357" spans="45:47" x14ac:dyDescent="0.25">
      <c r="AS357" s="15">
        <v>201512</v>
      </c>
      <c r="AT357">
        <v>4.1235666150969799</v>
      </c>
      <c r="AU357">
        <v>6305450967.2399998</v>
      </c>
    </row>
    <row r="358" spans="45:47" x14ac:dyDescent="0.25">
      <c r="AS358" s="15">
        <v>201601</v>
      </c>
      <c r="AT358">
        <v>4.1708141059622603</v>
      </c>
      <c r="AU358">
        <v>378890635</v>
      </c>
    </row>
    <row r="359" spans="45:47" x14ac:dyDescent="0.25">
      <c r="AS359" s="15">
        <v>209903</v>
      </c>
      <c r="AT359">
        <v>-999</v>
      </c>
      <c r="AU359">
        <v>-12987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selection activeCell="T15" sqref="T15"/>
    </sheetView>
  </sheetViews>
  <sheetFormatPr defaultRowHeight="15" x14ac:dyDescent="0.25"/>
  <cols>
    <col min="1" max="1" width="16.7109375" bestFit="1" customWidth="1"/>
    <col min="2" max="2" width="7" bestFit="1" customWidth="1"/>
    <col min="3" max="3" width="12" bestFit="1" customWidth="1"/>
    <col min="4" max="4" width="10.42578125" bestFit="1" customWidth="1"/>
    <col min="5" max="5" width="15.5703125" bestFit="1" customWidth="1"/>
    <col min="6" max="6" width="9.28515625" bestFit="1" customWidth="1"/>
    <col min="7" max="7" width="8.140625" bestFit="1" customWidth="1"/>
    <col min="8" max="8" width="6" bestFit="1" customWidth="1"/>
    <col min="9" max="9" width="10" bestFit="1" customWidth="1"/>
    <col min="10" max="10" width="6" bestFit="1" customWidth="1"/>
    <col min="11" max="11" width="10" bestFit="1" customWidth="1"/>
    <col min="12" max="12" width="5" bestFit="1" customWidth="1"/>
    <col min="13" max="13" width="6" bestFit="1" customWidth="1"/>
    <col min="14" max="14" width="8" bestFit="1" customWidth="1"/>
    <col min="15" max="15" width="17" bestFit="1" customWidth="1"/>
    <col min="16" max="16" width="10.7109375" bestFit="1" customWidth="1"/>
    <col min="17" max="17" width="11" bestFit="1" customWidth="1"/>
    <col min="18" max="18" width="26.28515625" bestFit="1" customWidth="1"/>
  </cols>
  <sheetData>
    <row r="1" spans="1:18" x14ac:dyDescent="0.25">
      <c r="A1" t="s">
        <v>8</v>
      </c>
      <c r="B1" t="s">
        <v>9</v>
      </c>
      <c r="C1" t="s">
        <v>10</v>
      </c>
      <c r="D1" t="s">
        <v>11</v>
      </c>
      <c r="E1" t="s">
        <v>24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</row>
    <row r="2" spans="1:18" x14ac:dyDescent="0.25">
      <c r="A2" s="1">
        <v>39630</v>
      </c>
      <c r="B2">
        <v>260</v>
      </c>
      <c r="C2">
        <v>159528509.38</v>
      </c>
      <c r="D2">
        <v>98.134500000000003</v>
      </c>
      <c r="E2">
        <v>0.1135</v>
      </c>
      <c r="F2">
        <v>38.201500000000003</v>
      </c>
      <c r="G2">
        <v>27.26</v>
      </c>
      <c r="H2">
        <v>2.16</v>
      </c>
      <c r="I2">
        <v>615605.51</v>
      </c>
      <c r="J2">
        <v>75.92</v>
      </c>
      <c r="K2">
        <v>764.69</v>
      </c>
      <c r="L2">
        <v>6.36</v>
      </c>
      <c r="M2">
        <v>35.71</v>
      </c>
      <c r="N2">
        <v>81.19</v>
      </c>
      <c r="O2">
        <v>81.19</v>
      </c>
      <c r="P2">
        <v>33.07</v>
      </c>
      <c r="Q2">
        <v>1.4816559999999999E-2</v>
      </c>
      <c r="R2">
        <v>0.14030000000000001</v>
      </c>
    </row>
    <row r="3" spans="1:18" x14ac:dyDescent="0.25">
      <c r="A3" s="1">
        <v>39661</v>
      </c>
      <c r="B3">
        <v>614</v>
      </c>
      <c r="C3">
        <v>374452513.00999999</v>
      </c>
      <c r="D3">
        <v>98.711500000000001</v>
      </c>
      <c r="E3">
        <v>0.1082</v>
      </c>
      <c r="F3">
        <v>0.5696</v>
      </c>
      <c r="G3">
        <v>24.08</v>
      </c>
      <c r="H3">
        <v>3.03</v>
      </c>
      <c r="I3">
        <v>614827.55000000005</v>
      </c>
      <c r="J3">
        <v>75.12</v>
      </c>
      <c r="K3">
        <v>765.25</v>
      </c>
      <c r="L3">
        <v>6.3</v>
      </c>
      <c r="M3">
        <v>35.21</v>
      </c>
      <c r="N3">
        <v>80.25</v>
      </c>
      <c r="O3">
        <v>80.25</v>
      </c>
      <c r="P3">
        <v>9.27</v>
      </c>
      <c r="Q3">
        <v>1.334158E-2</v>
      </c>
      <c r="R3">
        <v>0.1399</v>
      </c>
    </row>
    <row r="4" spans="1:18" x14ac:dyDescent="0.25">
      <c r="A4" s="1">
        <v>39692</v>
      </c>
      <c r="B4">
        <v>1027</v>
      </c>
      <c r="C4">
        <v>616117627.50999999</v>
      </c>
      <c r="D4">
        <v>98.668400000000005</v>
      </c>
      <c r="E4">
        <v>0.1047</v>
      </c>
      <c r="F4">
        <v>-15.2822</v>
      </c>
      <c r="G4">
        <v>18.55</v>
      </c>
      <c r="H4">
        <v>3.5</v>
      </c>
      <c r="I4">
        <v>611357.4</v>
      </c>
      <c r="J4">
        <v>74.47</v>
      </c>
      <c r="K4">
        <v>764.91</v>
      </c>
      <c r="L4">
        <v>6.24</v>
      </c>
      <c r="M4">
        <v>35.06</v>
      </c>
      <c r="N4">
        <v>79.239999999999995</v>
      </c>
      <c r="O4">
        <v>79.239999999999995</v>
      </c>
      <c r="P4">
        <v>4.7</v>
      </c>
      <c r="Q4">
        <v>3.3527499999999998E-3</v>
      </c>
      <c r="R4">
        <v>0.1404</v>
      </c>
    </row>
    <row r="5" spans="1:18" x14ac:dyDescent="0.25">
      <c r="A5" s="1">
        <v>39722</v>
      </c>
      <c r="B5">
        <v>1277</v>
      </c>
      <c r="C5">
        <v>760487673.14999998</v>
      </c>
      <c r="D5">
        <v>98.619399999999999</v>
      </c>
      <c r="E5">
        <v>0.10730000000000001</v>
      </c>
      <c r="F5">
        <v>-19.611899999999999</v>
      </c>
      <c r="G5">
        <v>17.440000000000001</v>
      </c>
      <c r="H5">
        <v>4.1399999999999997</v>
      </c>
      <c r="I5">
        <v>605427.68999999994</v>
      </c>
      <c r="J5">
        <v>75.44</v>
      </c>
      <c r="K5">
        <v>763.66</v>
      </c>
      <c r="L5">
        <v>6.26</v>
      </c>
      <c r="M5">
        <v>35.119999999999997</v>
      </c>
      <c r="N5">
        <v>78.53</v>
      </c>
      <c r="O5">
        <v>78.53</v>
      </c>
      <c r="P5">
        <v>3.68</v>
      </c>
      <c r="Q5">
        <v>5.8649000000000001E-3</v>
      </c>
      <c r="R5">
        <v>0.1416</v>
      </c>
    </row>
    <row r="6" spans="1:18" x14ac:dyDescent="0.25">
      <c r="A6" s="1">
        <v>39753</v>
      </c>
      <c r="B6">
        <v>1371</v>
      </c>
      <c r="C6">
        <v>811088298.63999999</v>
      </c>
      <c r="D6">
        <v>98.642600000000002</v>
      </c>
      <c r="E6">
        <v>0.1079</v>
      </c>
      <c r="F6">
        <v>25.348400000000002</v>
      </c>
      <c r="G6">
        <v>22.64</v>
      </c>
      <c r="H6">
        <v>4.96</v>
      </c>
      <c r="I6">
        <v>589646.68000000005</v>
      </c>
      <c r="J6">
        <v>76.09</v>
      </c>
      <c r="K6">
        <v>763.83</v>
      </c>
      <c r="L6">
        <v>6.28</v>
      </c>
      <c r="M6">
        <v>34.89</v>
      </c>
      <c r="N6">
        <v>77.87</v>
      </c>
      <c r="O6">
        <v>77.87</v>
      </c>
      <c r="P6">
        <v>21.61</v>
      </c>
      <c r="Q6">
        <v>2.5022119999999998E-2</v>
      </c>
      <c r="R6">
        <v>0.14280000000000001</v>
      </c>
    </row>
    <row r="7" spans="1:18" x14ac:dyDescent="0.25">
      <c r="A7" s="1">
        <v>39783</v>
      </c>
      <c r="B7">
        <v>1595</v>
      </c>
      <c r="C7">
        <v>940198527.44000006</v>
      </c>
      <c r="D7">
        <v>98.714100000000002</v>
      </c>
      <c r="E7">
        <v>0.111</v>
      </c>
      <c r="F7">
        <v>13.747400000000001</v>
      </c>
      <c r="G7">
        <v>26.3</v>
      </c>
      <c r="H7">
        <v>5.51</v>
      </c>
      <c r="I7">
        <v>595465.18000000005</v>
      </c>
      <c r="J7">
        <v>77.11</v>
      </c>
      <c r="K7">
        <v>762.48</v>
      </c>
      <c r="L7">
        <v>6.31</v>
      </c>
      <c r="M7">
        <v>35.24</v>
      </c>
      <c r="N7">
        <v>77.150000000000006</v>
      </c>
      <c r="O7">
        <v>77.150000000000006</v>
      </c>
      <c r="P7">
        <v>16.920000000000002</v>
      </c>
      <c r="Q7">
        <v>1.294941E-2</v>
      </c>
      <c r="R7">
        <v>0.1439</v>
      </c>
    </row>
    <row r="8" spans="1:18" x14ac:dyDescent="0.25">
      <c r="A8" s="1">
        <v>39814</v>
      </c>
      <c r="B8">
        <v>1706</v>
      </c>
      <c r="C8">
        <v>1003960884.02</v>
      </c>
      <c r="D8">
        <v>98.731700000000004</v>
      </c>
      <c r="E8">
        <v>0.1119</v>
      </c>
      <c r="F8">
        <v>21.521799999999999</v>
      </c>
      <c r="G8">
        <v>30.1</v>
      </c>
      <c r="H8">
        <v>6.19</v>
      </c>
      <c r="I8">
        <v>595564.12</v>
      </c>
      <c r="J8">
        <v>77.39</v>
      </c>
      <c r="K8">
        <v>762</v>
      </c>
      <c r="L8">
        <v>6.3</v>
      </c>
      <c r="M8">
        <v>35.159999999999997</v>
      </c>
      <c r="N8">
        <v>77.540000000000006</v>
      </c>
      <c r="O8">
        <v>77.540000000000006</v>
      </c>
      <c r="P8">
        <v>19.21</v>
      </c>
      <c r="Q8">
        <v>1.1381240000000001E-2</v>
      </c>
      <c r="R8">
        <v>0.14360000000000001</v>
      </c>
    </row>
    <row r="9" spans="1:18" x14ac:dyDescent="0.25">
      <c r="A9" s="1">
        <v>39845</v>
      </c>
      <c r="B9">
        <v>1865</v>
      </c>
      <c r="C9">
        <v>1094819840.5</v>
      </c>
      <c r="D9">
        <v>98.734300000000005</v>
      </c>
      <c r="E9">
        <v>0.1158</v>
      </c>
      <c r="F9">
        <v>99.984499999999997</v>
      </c>
      <c r="G9">
        <v>47.95</v>
      </c>
      <c r="H9">
        <v>6.79</v>
      </c>
      <c r="I9">
        <v>587249.27</v>
      </c>
      <c r="J9">
        <v>78</v>
      </c>
      <c r="K9">
        <v>761.57</v>
      </c>
      <c r="L9">
        <v>6.29</v>
      </c>
      <c r="M9">
        <v>35.07</v>
      </c>
      <c r="N9">
        <v>77.87</v>
      </c>
      <c r="O9">
        <v>77.87</v>
      </c>
      <c r="P9">
        <v>91.16</v>
      </c>
      <c r="Q9">
        <v>2.5608929999999999E-2</v>
      </c>
      <c r="R9">
        <v>0.14360000000000001</v>
      </c>
    </row>
    <row r="10" spans="1:18" x14ac:dyDescent="0.25">
      <c r="A10" s="1">
        <v>39873</v>
      </c>
      <c r="B10">
        <v>1888</v>
      </c>
      <c r="C10">
        <v>1114865303.05</v>
      </c>
      <c r="D10">
        <v>98.693200000000004</v>
      </c>
      <c r="E10">
        <v>0.1163</v>
      </c>
      <c r="F10">
        <v>124.7303</v>
      </c>
      <c r="G10">
        <v>71.34</v>
      </c>
      <c r="H10">
        <v>7.57</v>
      </c>
      <c r="I10">
        <v>590988.23</v>
      </c>
      <c r="J10">
        <v>78.41</v>
      </c>
      <c r="K10">
        <v>761.18</v>
      </c>
      <c r="L10">
        <v>6.29</v>
      </c>
      <c r="M10">
        <v>35.200000000000003</v>
      </c>
      <c r="N10">
        <v>77.83</v>
      </c>
      <c r="O10">
        <v>77.83</v>
      </c>
      <c r="P10">
        <v>98.28</v>
      </c>
      <c r="Q10">
        <v>2.5177850000000002E-2</v>
      </c>
      <c r="R10">
        <v>0.14380000000000001</v>
      </c>
    </row>
    <row r="11" spans="1:18" x14ac:dyDescent="0.25">
      <c r="A11" s="1">
        <v>39904</v>
      </c>
      <c r="B11">
        <v>1884</v>
      </c>
      <c r="C11">
        <v>1114025472.71</v>
      </c>
      <c r="D11">
        <v>98.640699999999995</v>
      </c>
      <c r="E11">
        <v>0.1159</v>
      </c>
      <c r="F11">
        <v>114.7606</v>
      </c>
      <c r="G11">
        <v>92.64</v>
      </c>
      <c r="H11">
        <v>8.52</v>
      </c>
      <c r="I11">
        <v>585377.99</v>
      </c>
      <c r="J11">
        <v>78.14</v>
      </c>
      <c r="K11">
        <v>761.08</v>
      </c>
      <c r="L11">
        <v>6.28</v>
      </c>
      <c r="M11">
        <v>35.17</v>
      </c>
      <c r="N11">
        <v>77</v>
      </c>
      <c r="O11">
        <v>77</v>
      </c>
      <c r="P11">
        <v>97.48</v>
      </c>
      <c r="Q11">
        <v>3.5996380000000001E-2</v>
      </c>
      <c r="R11">
        <v>0.14269999999999999</v>
      </c>
    </row>
    <row r="12" spans="1:18" x14ac:dyDescent="0.25">
      <c r="A12" s="1">
        <v>39934</v>
      </c>
      <c r="B12">
        <v>1821</v>
      </c>
      <c r="C12">
        <v>1078889761.24</v>
      </c>
      <c r="D12">
        <v>98.597899999999996</v>
      </c>
      <c r="E12">
        <v>0.1158</v>
      </c>
      <c r="F12">
        <v>127.5227</v>
      </c>
      <c r="G12">
        <v>116.05</v>
      </c>
      <c r="H12">
        <v>9.5</v>
      </c>
      <c r="I12">
        <v>583015.96</v>
      </c>
      <c r="J12">
        <v>78</v>
      </c>
      <c r="K12">
        <v>760.65</v>
      </c>
      <c r="L12">
        <v>6.27</v>
      </c>
      <c r="M12">
        <v>35.22</v>
      </c>
      <c r="N12">
        <v>76.23</v>
      </c>
      <c r="O12">
        <v>76.23</v>
      </c>
      <c r="P12">
        <v>98.59</v>
      </c>
      <c r="Q12">
        <v>4.1607959999999999E-2</v>
      </c>
      <c r="R12">
        <v>0.13850000000000001</v>
      </c>
    </row>
    <row r="13" spans="1:18" x14ac:dyDescent="0.25">
      <c r="A13" s="1">
        <v>39965</v>
      </c>
      <c r="B13">
        <v>1742</v>
      </c>
      <c r="C13">
        <v>1032946237.3200001</v>
      </c>
      <c r="D13">
        <v>98.566599999999994</v>
      </c>
      <c r="E13">
        <v>0.1159</v>
      </c>
      <c r="F13">
        <v>147.072</v>
      </c>
      <c r="G13">
        <v>143.53</v>
      </c>
      <c r="H13">
        <v>10.49</v>
      </c>
      <c r="I13">
        <v>585523.78</v>
      </c>
      <c r="J13">
        <v>77.900000000000006</v>
      </c>
      <c r="K13">
        <v>760.51</v>
      </c>
      <c r="L13">
        <v>6.27</v>
      </c>
      <c r="M13">
        <v>35.31</v>
      </c>
      <c r="N13">
        <v>75.27</v>
      </c>
      <c r="O13">
        <v>75.27</v>
      </c>
      <c r="P13">
        <v>99.58</v>
      </c>
      <c r="Q13">
        <v>3.7323500000000003E-2</v>
      </c>
      <c r="R13">
        <v>0.1363</v>
      </c>
    </row>
    <row r="14" spans="1:18" x14ac:dyDescent="0.25">
      <c r="A14" s="1">
        <v>39995</v>
      </c>
      <c r="B14">
        <v>1675</v>
      </c>
      <c r="C14">
        <v>993372633.86000001</v>
      </c>
      <c r="D14">
        <v>98.556600000000003</v>
      </c>
      <c r="E14">
        <v>0.1157</v>
      </c>
      <c r="F14">
        <v>142.68170000000001</v>
      </c>
      <c r="G14">
        <v>170.89</v>
      </c>
      <c r="H14">
        <v>11.49</v>
      </c>
      <c r="I14">
        <v>579470.77</v>
      </c>
      <c r="J14">
        <v>77.69</v>
      </c>
      <c r="K14">
        <v>760.27</v>
      </c>
      <c r="L14">
        <v>6.27</v>
      </c>
      <c r="M14">
        <v>35.36</v>
      </c>
      <c r="N14">
        <v>75.209999999999994</v>
      </c>
      <c r="O14">
        <v>75.209999999999994</v>
      </c>
      <c r="P14">
        <v>99.26</v>
      </c>
      <c r="Q14">
        <v>4.6610869999999999E-2</v>
      </c>
      <c r="R14">
        <v>0.13400000000000001</v>
      </c>
    </row>
    <row r="15" spans="1:18" x14ac:dyDescent="0.25">
      <c r="A15" s="1">
        <v>40026</v>
      </c>
      <c r="B15">
        <v>1596</v>
      </c>
      <c r="C15">
        <v>946094166.17999995</v>
      </c>
      <c r="D15">
        <v>98.617199999999997</v>
      </c>
      <c r="E15">
        <v>0.11609999999999999</v>
      </c>
      <c r="F15">
        <v>86.160700000000006</v>
      </c>
      <c r="G15">
        <v>187.4</v>
      </c>
      <c r="H15">
        <v>12.48</v>
      </c>
      <c r="I15">
        <v>568531.51</v>
      </c>
      <c r="J15">
        <v>77.66</v>
      </c>
      <c r="K15">
        <v>759.89</v>
      </c>
      <c r="L15">
        <v>6.27</v>
      </c>
      <c r="M15">
        <v>35.450000000000003</v>
      </c>
      <c r="N15">
        <v>75.260000000000005</v>
      </c>
      <c r="O15">
        <v>75.260000000000005</v>
      </c>
      <c r="P15">
        <v>79.87</v>
      </c>
      <c r="Q15">
        <v>6.2231849999999998E-2</v>
      </c>
      <c r="R15">
        <v>0.13239999999999999</v>
      </c>
    </row>
    <row r="16" spans="1:18" x14ac:dyDescent="0.25">
      <c r="A16" s="1">
        <v>40057</v>
      </c>
      <c r="B16">
        <v>1499</v>
      </c>
      <c r="C16">
        <v>886294775.90999997</v>
      </c>
      <c r="D16">
        <v>98.525700000000001</v>
      </c>
      <c r="E16">
        <v>0.1143</v>
      </c>
      <c r="F16">
        <v>105.9145</v>
      </c>
      <c r="G16">
        <v>206.32</v>
      </c>
      <c r="H16">
        <v>13.47</v>
      </c>
      <c r="I16">
        <v>583111.09</v>
      </c>
      <c r="J16">
        <v>77.489999999999995</v>
      </c>
      <c r="K16">
        <v>759.48</v>
      </c>
      <c r="L16">
        <v>6.27</v>
      </c>
      <c r="M16">
        <v>35.4</v>
      </c>
      <c r="N16">
        <v>75.459999999999994</v>
      </c>
      <c r="O16">
        <v>75.459999999999994</v>
      </c>
      <c r="P16">
        <v>93.13</v>
      </c>
      <c r="Q16">
        <v>3.6367879999999998E-2</v>
      </c>
      <c r="R16">
        <v>0.1341</v>
      </c>
    </row>
    <row r="17" spans="1:18" x14ac:dyDescent="0.25">
      <c r="A17" s="1">
        <v>40087</v>
      </c>
      <c r="B17">
        <v>1446</v>
      </c>
      <c r="C17">
        <v>853168012.92999995</v>
      </c>
      <c r="D17">
        <v>98.539599999999993</v>
      </c>
      <c r="E17">
        <v>0.1149</v>
      </c>
      <c r="F17">
        <v>109.3626</v>
      </c>
      <c r="G17">
        <v>226.19</v>
      </c>
      <c r="H17">
        <v>14.47</v>
      </c>
      <c r="I17">
        <v>580712.80000000005</v>
      </c>
      <c r="J17">
        <v>77.489999999999995</v>
      </c>
      <c r="K17">
        <v>759.14</v>
      </c>
      <c r="L17">
        <v>6.27</v>
      </c>
      <c r="M17">
        <v>35.42</v>
      </c>
      <c r="N17">
        <v>76.13</v>
      </c>
      <c r="O17">
        <v>76.13</v>
      </c>
      <c r="P17">
        <v>95.91</v>
      </c>
      <c r="Q17">
        <v>3.8243909999999999E-2</v>
      </c>
      <c r="R17">
        <v>0.13600000000000001</v>
      </c>
    </row>
    <row r="18" spans="1:18" x14ac:dyDescent="0.25">
      <c r="A18" s="1">
        <v>40118</v>
      </c>
      <c r="B18">
        <v>1392</v>
      </c>
      <c r="C18">
        <v>819676595.86000001</v>
      </c>
      <c r="D18">
        <v>98.543599999999998</v>
      </c>
      <c r="E18">
        <v>0.1153</v>
      </c>
      <c r="F18">
        <v>124.5638</v>
      </c>
      <c r="G18">
        <v>248.43</v>
      </c>
      <c r="H18">
        <v>15.48</v>
      </c>
      <c r="I18">
        <v>573779.44999999995</v>
      </c>
      <c r="J18">
        <v>77.599999999999994</v>
      </c>
      <c r="K18">
        <v>759.38</v>
      </c>
      <c r="L18">
        <v>6.26</v>
      </c>
      <c r="M18">
        <v>35.39</v>
      </c>
      <c r="N18">
        <v>76.73</v>
      </c>
      <c r="O18">
        <v>76.73</v>
      </c>
      <c r="P18">
        <v>97.61</v>
      </c>
      <c r="Q18">
        <v>4.8899110000000003E-2</v>
      </c>
      <c r="R18">
        <v>0.13750000000000001</v>
      </c>
    </row>
    <row r="19" spans="1:18" x14ac:dyDescent="0.25">
      <c r="A19" s="1">
        <v>40148</v>
      </c>
      <c r="B19">
        <v>1324</v>
      </c>
      <c r="C19">
        <v>778768457.48000002</v>
      </c>
      <c r="D19">
        <v>98.642200000000003</v>
      </c>
      <c r="E19">
        <v>0.11550000000000001</v>
      </c>
      <c r="F19">
        <v>131.61320000000001</v>
      </c>
      <c r="G19">
        <v>272.44</v>
      </c>
      <c r="H19">
        <v>16.46</v>
      </c>
      <c r="I19">
        <v>565428.46</v>
      </c>
      <c r="J19">
        <v>77.63</v>
      </c>
      <c r="K19">
        <v>759.42</v>
      </c>
      <c r="L19">
        <v>6.26</v>
      </c>
      <c r="M19">
        <v>35.43</v>
      </c>
      <c r="N19">
        <v>77.349999999999994</v>
      </c>
      <c r="O19">
        <v>77.349999999999994</v>
      </c>
      <c r="P19">
        <v>98.03</v>
      </c>
      <c r="Q19">
        <v>6.0673579999999998E-2</v>
      </c>
      <c r="R19">
        <v>0.13950000000000001</v>
      </c>
    </row>
    <row r="20" spans="1:18" x14ac:dyDescent="0.25">
      <c r="A20" s="1">
        <v>40179</v>
      </c>
      <c r="B20">
        <v>1245</v>
      </c>
      <c r="C20">
        <v>730736909.25999999</v>
      </c>
      <c r="D20">
        <v>98.621399999999994</v>
      </c>
      <c r="E20">
        <v>0.11600000000000001</v>
      </c>
      <c r="F20">
        <v>139.70099999999999</v>
      </c>
      <c r="G20">
        <v>298.72000000000003</v>
      </c>
      <c r="H20">
        <v>17.45</v>
      </c>
      <c r="I20">
        <v>552920.31999999995</v>
      </c>
      <c r="J20">
        <v>77.88</v>
      </c>
      <c r="K20">
        <v>759.07</v>
      </c>
      <c r="L20">
        <v>6.26</v>
      </c>
      <c r="M20">
        <v>35.57</v>
      </c>
      <c r="N20">
        <v>78.13</v>
      </c>
      <c r="O20">
        <v>78.13</v>
      </c>
      <c r="P20">
        <v>98.97</v>
      </c>
      <c r="Q20">
        <v>8.0052590000000007E-2</v>
      </c>
      <c r="R20">
        <v>0.1416</v>
      </c>
    </row>
    <row r="21" spans="1:18" x14ac:dyDescent="0.25">
      <c r="A21" s="1">
        <v>40210</v>
      </c>
      <c r="B21">
        <v>1146</v>
      </c>
      <c r="C21">
        <v>671516085.49000001</v>
      </c>
      <c r="D21">
        <v>98.692899999999995</v>
      </c>
      <c r="E21">
        <v>0.1178</v>
      </c>
      <c r="F21">
        <v>134.39869999999999</v>
      </c>
      <c r="G21">
        <v>324.31</v>
      </c>
      <c r="H21">
        <v>18.46</v>
      </c>
      <c r="I21">
        <v>569143.78</v>
      </c>
      <c r="J21">
        <v>78.25</v>
      </c>
      <c r="K21">
        <v>758.19</v>
      </c>
      <c r="L21">
        <v>6.26</v>
      </c>
      <c r="M21">
        <v>35.58</v>
      </c>
      <c r="N21">
        <v>78.92</v>
      </c>
      <c r="O21">
        <v>78.92</v>
      </c>
      <c r="P21">
        <v>98.54</v>
      </c>
      <c r="Q21">
        <v>5.1283679999999998E-2</v>
      </c>
      <c r="R21">
        <v>0.14449999999999999</v>
      </c>
    </row>
    <row r="22" spans="1:18" x14ac:dyDescent="0.25">
      <c r="A22" s="1">
        <v>40238</v>
      </c>
      <c r="B22">
        <v>1088</v>
      </c>
      <c r="C22">
        <v>636386688.49000001</v>
      </c>
      <c r="D22">
        <v>98.808300000000003</v>
      </c>
      <c r="E22">
        <v>0.1182</v>
      </c>
      <c r="F22">
        <v>124.8471</v>
      </c>
      <c r="G22">
        <v>347.09</v>
      </c>
      <c r="H22">
        <v>19.47</v>
      </c>
      <c r="I22">
        <v>560731.06000000006</v>
      </c>
      <c r="J22">
        <v>78.39</v>
      </c>
      <c r="K22">
        <v>758.13</v>
      </c>
      <c r="L22">
        <v>6.26</v>
      </c>
      <c r="M22">
        <v>35.57</v>
      </c>
      <c r="N22">
        <v>79.75</v>
      </c>
      <c r="O22">
        <v>79.75</v>
      </c>
      <c r="P22">
        <v>97.1</v>
      </c>
      <c r="Q22">
        <v>6.2847440000000004E-2</v>
      </c>
      <c r="R22">
        <v>0.1482</v>
      </c>
    </row>
    <row r="23" spans="1:18" x14ac:dyDescent="0.25">
      <c r="A23" s="1">
        <v>40269</v>
      </c>
      <c r="B23">
        <v>1021</v>
      </c>
      <c r="C23">
        <v>595739228.30999994</v>
      </c>
      <c r="D23">
        <v>98.848500000000001</v>
      </c>
      <c r="E23">
        <v>0.1162</v>
      </c>
      <c r="F23">
        <v>126.69199999999999</v>
      </c>
      <c r="G23">
        <v>366.18</v>
      </c>
      <c r="H23">
        <v>20.43</v>
      </c>
      <c r="I23">
        <v>563212.89</v>
      </c>
      <c r="J23">
        <v>77.650000000000006</v>
      </c>
      <c r="K23">
        <v>758.29</v>
      </c>
      <c r="L23">
        <v>6.24</v>
      </c>
      <c r="M23">
        <v>35.6</v>
      </c>
      <c r="N23">
        <v>81.23</v>
      </c>
      <c r="O23">
        <v>81.23</v>
      </c>
      <c r="P23">
        <v>97.79</v>
      </c>
      <c r="Q23">
        <v>5.6293309999999999E-2</v>
      </c>
      <c r="R23">
        <v>0.14610000000000001</v>
      </c>
    </row>
    <row r="24" spans="1:18" x14ac:dyDescent="0.25">
      <c r="A24" s="1">
        <v>40299</v>
      </c>
      <c r="B24">
        <v>965</v>
      </c>
      <c r="C24">
        <v>561584919.41999996</v>
      </c>
      <c r="D24">
        <v>98.780100000000004</v>
      </c>
      <c r="E24">
        <v>0.1157</v>
      </c>
      <c r="F24">
        <v>127.1426</v>
      </c>
      <c r="G24">
        <v>389.22</v>
      </c>
      <c r="H24">
        <v>21.39</v>
      </c>
      <c r="I24">
        <v>564464.64000000001</v>
      </c>
      <c r="J24">
        <v>77.31</v>
      </c>
      <c r="K24">
        <v>758.15</v>
      </c>
      <c r="L24">
        <v>6.24</v>
      </c>
      <c r="M24">
        <v>35.590000000000003</v>
      </c>
      <c r="N24">
        <v>82.79</v>
      </c>
      <c r="O24">
        <v>82.79</v>
      </c>
      <c r="P24">
        <v>97.78</v>
      </c>
      <c r="Q24">
        <v>5.2666989999999997E-2</v>
      </c>
      <c r="R24">
        <v>0.1452</v>
      </c>
    </row>
    <row r="25" spans="1:18" x14ac:dyDescent="0.25">
      <c r="A25" s="1">
        <v>40330</v>
      </c>
      <c r="B25">
        <v>915</v>
      </c>
      <c r="C25">
        <v>531417439.99000001</v>
      </c>
      <c r="D25">
        <v>98.712699999999998</v>
      </c>
      <c r="E25">
        <v>0.115</v>
      </c>
      <c r="F25">
        <v>116.0137</v>
      </c>
      <c r="G25">
        <v>409.28</v>
      </c>
      <c r="H25">
        <v>22.35</v>
      </c>
      <c r="I25">
        <v>561600.17000000004</v>
      </c>
      <c r="J25">
        <v>76.819999999999993</v>
      </c>
      <c r="K25">
        <v>757.83</v>
      </c>
      <c r="L25">
        <v>6.23</v>
      </c>
      <c r="M25">
        <v>35.630000000000003</v>
      </c>
      <c r="N25">
        <v>84.38</v>
      </c>
      <c r="O25">
        <v>84.38</v>
      </c>
      <c r="P25">
        <v>95.8</v>
      </c>
      <c r="Q25">
        <v>5.543178E-2</v>
      </c>
      <c r="R25">
        <v>0.1447</v>
      </c>
    </row>
    <row r="26" spans="1:18" x14ac:dyDescent="0.25">
      <c r="A26" s="1">
        <v>40360</v>
      </c>
      <c r="B26">
        <v>865</v>
      </c>
      <c r="C26">
        <v>501398554.05000001</v>
      </c>
      <c r="D26">
        <v>98.637500000000003</v>
      </c>
      <c r="E26">
        <v>0.1168</v>
      </c>
      <c r="F26">
        <v>135.74019999999999</v>
      </c>
      <c r="G26">
        <v>433.61</v>
      </c>
      <c r="H26">
        <v>23.29</v>
      </c>
      <c r="I26">
        <v>565482.04</v>
      </c>
      <c r="J26">
        <v>77.42</v>
      </c>
      <c r="K26">
        <v>757.91</v>
      </c>
      <c r="L26">
        <v>6.23</v>
      </c>
      <c r="M26">
        <v>35.700000000000003</v>
      </c>
      <c r="N26">
        <v>86.24</v>
      </c>
      <c r="O26">
        <v>86.24</v>
      </c>
      <c r="P26">
        <v>98.81</v>
      </c>
      <c r="Q26">
        <v>4.8202620000000002E-2</v>
      </c>
      <c r="R26">
        <v>0.1474</v>
      </c>
    </row>
    <row r="27" spans="1:18" x14ac:dyDescent="0.25">
      <c r="A27" s="1">
        <v>40391</v>
      </c>
      <c r="B27">
        <v>824</v>
      </c>
      <c r="C27">
        <v>476689849.81999999</v>
      </c>
      <c r="D27">
        <v>98.671099999999996</v>
      </c>
      <c r="E27">
        <v>0.1183</v>
      </c>
      <c r="F27">
        <v>152.8015</v>
      </c>
      <c r="G27">
        <v>461.63</v>
      </c>
      <c r="H27">
        <v>24.29</v>
      </c>
      <c r="I27">
        <v>544670.89</v>
      </c>
      <c r="J27">
        <v>77.87</v>
      </c>
      <c r="K27">
        <v>757.41</v>
      </c>
      <c r="L27">
        <v>6.23</v>
      </c>
      <c r="M27">
        <v>35.85</v>
      </c>
      <c r="N27">
        <v>88.19</v>
      </c>
      <c r="O27">
        <v>88.19</v>
      </c>
      <c r="P27">
        <v>99.9</v>
      </c>
      <c r="Q27">
        <v>8.2414580000000001E-2</v>
      </c>
      <c r="R27">
        <v>0.1515</v>
      </c>
    </row>
    <row r="28" spans="1:18" x14ac:dyDescent="0.25">
      <c r="A28" s="1">
        <v>40422</v>
      </c>
      <c r="B28">
        <v>756</v>
      </c>
      <c r="C28">
        <v>436904741.32999998</v>
      </c>
      <c r="D28">
        <v>98.596199999999996</v>
      </c>
      <c r="E28">
        <v>0.11890000000000001</v>
      </c>
      <c r="F28">
        <v>167.86429999999999</v>
      </c>
      <c r="G28">
        <v>493.99</v>
      </c>
      <c r="H28">
        <v>25.26</v>
      </c>
      <c r="I28">
        <v>552801.87</v>
      </c>
      <c r="J28">
        <v>77.989999999999995</v>
      </c>
      <c r="K28">
        <v>756.56</v>
      </c>
      <c r="L28">
        <v>6.22</v>
      </c>
      <c r="M28">
        <v>35.950000000000003</v>
      </c>
      <c r="N28">
        <v>90.16</v>
      </c>
      <c r="O28">
        <v>90.16</v>
      </c>
      <c r="P28">
        <v>100</v>
      </c>
      <c r="Q28">
        <v>6.7469100000000004E-2</v>
      </c>
      <c r="R28">
        <v>0.15509999999999999</v>
      </c>
    </row>
    <row r="29" spans="1:18" x14ac:dyDescent="0.25">
      <c r="A29" s="1">
        <v>40452</v>
      </c>
      <c r="B29">
        <v>705</v>
      </c>
      <c r="C29">
        <v>406959181.52999997</v>
      </c>
      <c r="D29">
        <v>98.654899999999998</v>
      </c>
      <c r="E29">
        <v>0.1216</v>
      </c>
      <c r="F29">
        <v>181.62540000000001</v>
      </c>
      <c r="G29">
        <v>531.6</v>
      </c>
      <c r="H29">
        <v>26.29</v>
      </c>
      <c r="I29">
        <v>547123.91</v>
      </c>
      <c r="J29">
        <v>78.48</v>
      </c>
      <c r="K29">
        <v>756.34</v>
      </c>
      <c r="L29">
        <v>6.23</v>
      </c>
      <c r="M29">
        <v>36.090000000000003</v>
      </c>
      <c r="N29">
        <v>90.67</v>
      </c>
      <c r="O29">
        <v>90.67</v>
      </c>
      <c r="P29">
        <v>100</v>
      </c>
      <c r="Q29">
        <v>7.4228539999999996E-2</v>
      </c>
      <c r="R29">
        <v>0.1598</v>
      </c>
    </row>
    <row r="30" spans="1:18" x14ac:dyDescent="0.25">
      <c r="A30" s="1">
        <v>40483</v>
      </c>
      <c r="B30">
        <v>654</v>
      </c>
      <c r="C30">
        <v>376316977.31999999</v>
      </c>
      <c r="D30">
        <v>98.700900000000004</v>
      </c>
      <c r="E30">
        <v>0.12379999999999999</v>
      </c>
      <c r="F30">
        <v>190.15600000000001</v>
      </c>
      <c r="G30">
        <v>573.22</v>
      </c>
      <c r="H30">
        <v>27.24</v>
      </c>
      <c r="I30">
        <v>551190.21</v>
      </c>
      <c r="J30">
        <v>78.97</v>
      </c>
      <c r="K30">
        <v>756.03</v>
      </c>
      <c r="L30">
        <v>6.24</v>
      </c>
      <c r="M30">
        <v>36.1</v>
      </c>
      <c r="N30">
        <v>91.16</v>
      </c>
      <c r="O30">
        <v>91.16</v>
      </c>
      <c r="P30">
        <v>100</v>
      </c>
      <c r="Q30">
        <v>6.4813380000000004E-2</v>
      </c>
      <c r="R30">
        <v>0.16420000000000001</v>
      </c>
    </row>
    <row r="31" spans="1:18" x14ac:dyDescent="0.25">
      <c r="A31" s="1">
        <v>40513</v>
      </c>
      <c r="B31">
        <v>613</v>
      </c>
      <c r="C31">
        <v>351517106.62</v>
      </c>
      <c r="D31">
        <v>98.611400000000003</v>
      </c>
      <c r="E31">
        <v>0.1244</v>
      </c>
      <c r="F31">
        <v>200.27359999999999</v>
      </c>
      <c r="G31">
        <v>612.64</v>
      </c>
      <c r="H31">
        <v>28.2</v>
      </c>
      <c r="I31">
        <v>536132.04</v>
      </c>
      <c r="J31">
        <v>79.319999999999993</v>
      </c>
      <c r="K31">
        <v>755.75</v>
      </c>
      <c r="L31">
        <v>6.24</v>
      </c>
      <c r="M31">
        <v>36.24</v>
      </c>
      <c r="N31">
        <v>91.63</v>
      </c>
      <c r="O31">
        <v>91.63</v>
      </c>
      <c r="P31">
        <v>100</v>
      </c>
      <c r="Q31">
        <v>8.6173040000000006E-2</v>
      </c>
      <c r="R31">
        <v>0.16889999999999999</v>
      </c>
    </row>
    <row r="32" spans="1:18" x14ac:dyDescent="0.25">
      <c r="A32" s="1">
        <v>40544</v>
      </c>
      <c r="B32">
        <v>1643</v>
      </c>
      <c r="C32">
        <v>929659309</v>
      </c>
      <c r="D32">
        <v>94.432199999999995</v>
      </c>
      <c r="E32">
        <v>0.1275</v>
      </c>
      <c r="F32">
        <v>76.374300000000005</v>
      </c>
      <c r="G32">
        <v>247.3</v>
      </c>
      <c r="H32">
        <v>11.34</v>
      </c>
      <c r="I32">
        <v>566186.92000000004</v>
      </c>
      <c r="J32">
        <v>72.66</v>
      </c>
      <c r="K32">
        <v>760.23</v>
      </c>
      <c r="L32">
        <v>5.23</v>
      </c>
      <c r="M32">
        <v>35.35</v>
      </c>
      <c r="N32">
        <v>90.99</v>
      </c>
      <c r="O32">
        <v>90.99</v>
      </c>
      <c r="P32">
        <v>46.01</v>
      </c>
      <c r="Q32">
        <v>2.566148E-2</v>
      </c>
      <c r="R32">
        <v>0.1754</v>
      </c>
    </row>
    <row r="33" spans="1:18" x14ac:dyDescent="0.25">
      <c r="A33" s="1">
        <v>40575</v>
      </c>
      <c r="B33">
        <v>2392</v>
      </c>
      <c r="C33">
        <v>1352145452.0599999</v>
      </c>
      <c r="D33">
        <v>93.6494</v>
      </c>
      <c r="E33">
        <v>0.1273</v>
      </c>
      <c r="F33">
        <v>12.627000000000001</v>
      </c>
      <c r="G33">
        <v>172.54</v>
      </c>
      <c r="H33">
        <v>8.59</v>
      </c>
      <c r="I33">
        <v>570867.81000000006</v>
      </c>
      <c r="J33">
        <v>71.739999999999995</v>
      </c>
      <c r="K33">
        <v>761.67</v>
      </c>
      <c r="L33">
        <v>5.01</v>
      </c>
      <c r="M33">
        <v>34.74</v>
      </c>
      <c r="N33">
        <v>90.23</v>
      </c>
      <c r="O33">
        <v>90.23</v>
      </c>
      <c r="P33">
        <v>22.38</v>
      </c>
      <c r="Q33">
        <v>1.5873769999999999E-2</v>
      </c>
      <c r="R33">
        <v>0.1825</v>
      </c>
    </row>
    <row r="34" spans="1:18" x14ac:dyDescent="0.25">
      <c r="A34" s="1">
        <v>40603</v>
      </c>
      <c r="B34">
        <v>4726</v>
      </c>
      <c r="C34">
        <v>2662803141.6700001</v>
      </c>
      <c r="D34">
        <v>94.365899999999996</v>
      </c>
      <c r="E34">
        <v>0.1198</v>
      </c>
      <c r="F34">
        <v>-11.8057</v>
      </c>
      <c r="G34">
        <v>90.82</v>
      </c>
      <c r="H34">
        <v>5.44</v>
      </c>
      <c r="I34">
        <v>574023.26</v>
      </c>
      <c r="J34">
        <v>70.709999999999994</v>
      </c>
      <c r="K34">
        <v>763.48</v>
      </c>
      <c r="L34">
        <v>4.8600000000000003</v>
      </c>
      <c r="M34">
        <v>34.07</v>
      </c>
      <c r="N34">
        <v>89.67</v>
      </c>
      <c r="O34">
        <v>89.67</v>
      </c>
      <c r="P34">
        <v>10.89</v>
      </c>
      <c r="Q34">
        <v>7.44358E-3</v>
      </c>
      <c r="R34">
        <v>0.19040000000000001</v>
      </c>
    </row>
    <row r="35" spans="1:18" x14ac:dyDescent="0.25">
      <c r="A35" s="1">
        <v>40634</v>
      </c>
      <c r="B35">
        <v>5343</v>
      </c>
      <c r="C35">
        <v>3016638435.0599999</v>
      </c>
      <c r="D35">
        <v>94.541300000000007</v>
      </c>
      <c r="E35">
        <v>0.1163</v>
      </c>
      <c r="F35">
        <v>-28.800899999999999</v>
      </c>
      <c r="G35">
        <v>79.34</v>
      </c>
      <c r="H35">
        <v>5.67</v>
      </c>
      <c r="I35">
        <v>575867.88</v>
      </c>
      <c r="J35">
        <v>69.94</v>
      </c>
      <c r="K35">
        <v>763.87</v>
      </c>
      <c r="L35">
        <v>4.84</v>
      </c>
      <c r="M35">
        <v>34.020000000000003</v>
      </c>
      <c r="N35">
        <v>90.42</v>
      </c>
      <c r="O35">
        <v>90.42</v>
      </c>
      <c r="P35">
        <v>8.31</v>
      </c>
      <c r="Q35">
        <v>6.6681099999999997E-3</v>
      </c>
      <c r="R35">
        <v>0.1875</v>
      </c>
    </row>
    <row r="36" spans="1:18" x14ac:dyDescent="0.25">
      <c r="A36" s="1">
        <v>40664</v>
      </c>
      <c r="B36">
        <v>6340</v>
      </c>
      <c r="C36">
        <v>3576630020.0300002</v>
      </c>
      <c r="D36">
        <v>94.275700000000001</v>
      </c>
      <c r="E36">
        <v>0.1152</v>
      </c>
      <c r="F36">
        <v>-12.930199999999999</v>
      </c>
      <c r="G36">
        <v>69.349999999999994</v>
      </c>
      <c r="H36">
        <v>5.77</v>
      </c>
      <c r="I36">
        <v>576746.71</v>
      </c>
      <c r="J36">
        <v>69.39</v>
      </c>
      <c r="K36">
        <v>763.36</v>
      </c>
      <c r="L36">
        <v>4.8600000000000003</v>
      </c>
      <c r="M36">
        <v>34.1</v>
      </c>
      <c r="N36">
        <v>91.16</v>
      </c>
      <c r="O36">
        <v>91.16</v>
      </c>
      <c r="P36">
        <v>8.02</v>
      </c>
      <c r="Q36">
        <v>5.0314399999999999E-3</v>
      </c>
      <c r="R36">
        <v>0.18529999999999999</v>
      </c>
    </row>
    <row r="37" spans="1:18" x14ac:dyDescent="0.25">
      <c r="A37" s="1">
        <v>40695</v>
      </c>
      <c r="B37">
        <v>7541</v>
      </c>
      <c r="C37">
        <v>4260877641.2600002</v>
      </c>
      <c r="D37">
        <v>94.401399999999995</v>
      </c>
      <c r="E37">
        <v>0.11269999999999999</v>
      </c>
      <c r="F37">
        <v>-8.7006999999999994</v>
      </c>
      <c r="G37">
        <v>62.31</v>
      </c>
      <c r="H37">
        <v>5.87</v>
      </c>
      <c r="I37">
        <v>576851.26</v>
      </c>
      <c r="J37">
        <v>69.02</v>
      </c>
      <c r="K37">
        <v>763.39</v>
      </c>
      <c r="L37">
        <v>4.88</v>
      </c>
      <c r="M37">
        <v>34.1</v>
      </c>
      <c r="N37">
        <v>91.94</v>
      </c>
      <c r="O37">
        <v>91.94</v>
      </c>
      <c r="P37">
        <v>6.84</v>
      </c>
      <c r="Q37">
        <v>6.9971800000000004E-3</v>
      </c>
      <c r="R37">
        <v>0.1827</v>
      </c>
    </row>
    <row r="38" spans="1:18" x14ac:dyDescent="0.25">
      <c r="A38" s="1">
        <v>40725</v>
      </c>
      <c r="B38">
        <v>8939</v>
      </c>
      <c r="C38">
        <v>5049480205.1800003</v>
      </c>
      <c r="D38">
        <v>94.422700000000006</v>
      </c>
      <c r="E38">
        <v>0.1123</v>
      </c>
      <c r="F38">
        <v>14.190899999999999</v>
      </c>
      <c r="G38">
        <v>59.29</v>
      </c>
      <c r="H38">
        <v>5.9</v>
      </c>
      <c r="I38">
        <v>574451.80000000005</v>
      </c>
      <c r="J38">
        <v>68.89</v>
      </c>
      <c r="K38">
        <v>763.66</v>
      </c>
      <c r="L38">
        <v>4.8899999999999997</v>
      </c>
      <c r="M38">
        <v>34.28</v>
      </c>
      <c r="N38">
        <v>92.79</v>
      </c>
      <c r="O38">
        <v>92.79</v>
      </c>
      <c r="P38">
        <v>19.43</v>
      </c>
      <c r="Q38">
        <v>1.0736269999999999E-2</v>
      </c>
      <c r="R38">
        <v>0.18190000000000001</v>
      </c>
    </row>
    <row r="39" spans="1:18" x14ac:dyDescent="0.25">
      <c r="A39" s="1">
        <v>40756</v>
      </c>
      <c r="B39">
        <v>9841</v>
      </c>
      <c r="C39">
        <v>5563680395.6199999</v>
      </c>
      <c r="D39">
        <v>94.374200000000002</v>
      </c>
      <c r="E39">
        <v>0.11219999999999999</v>
      </c>
      <c r="F39">
        <v>26.564399999999999</v>
      </c>
      <c r="G39">
        <v>62.27</v>
      </c>
      <c r="H39">
        <v>6.27</v>
      </c>
      <c r="I39">
        <v>572130.57999999996</v>
      </c>
      <c r="J39">
        <v>68.930000000000007</v>
      </c>
      <c r="K39">
        <v>763.95</v>
      </c>
      <c r="L39">
        <v>4.88</v>
      </c>
      <c r="M39">
        <v>34.32</v>
      </c>
      <c r="N39">
        <v>93.62</v>
      </c>
      <c r="O39">
        <v>93.62</v>
      </c>
      <c r="P39">
        <v>25.62</v>
      </c>
      <c r="Q39">
        <v>1.523067E-2</v>
      </c>
      <c r="R39">
        <v>0.18099999999999999</v>
      </c>
    </row>
    <row r="40" spans="1:18" x14ac:dyDescent="0.25">
      <c r="A40" s="1">
        <v>40787</v>
      </c>
      <c r="B40">
        <v>10616</v>
      </c>
      <c r="C40">
        <v>6013879181.4799995</v>
      </c>
      <c r="D40">
        <v>94.461100000000002</v>
      </c>
      <c r="E40">
        <v>0.1125</v>
      </c>
      <c r="F40">
        <v>21.312799999999999</v>
      </c>
      <c r="G40">
        <v>64.739999999999995</v>
      </c>
      <c r="H40">
        <v>6.72</v>
      </c>
      <c r="I40">
        <v>570480.65</v>
      </c>
      <c r="J40">
        <v>68.819999999999993</v>
      </c>
      <c r="K40">
        <v>764.04</v>
      </c>
      <c r="L40">
        <v>4.8600000000000003</v>
      </c>
      <c r="M40">
        <v>34.36</v>
      </c>
      <c r="N40">
        <v>94.47</v>
      </c>
      <c r="O40">
        <v>94.47</v>
      </c>
      <c r="P40">
        <v>19.760000000000002</v>
      </c>
      <c r="Q40">
        <v>2.06526E-2</v>
      </c>
      <c r="R40">
        <v>0.18</v>
      </c>
    </row>
    <row r="41" spans="1:18" x14ac:dyDescent="0.25">
      <c r="A41" s="1">
        <v>40817</v>
      </c>
      <c r="B41">
        <v>11724</v>
      </c>
      <c r="C41">
        <v>6629911151.9899998</v>
      </c>
      <c r="D41">
        <v>94.400999999999996</v>
      </c>
      <c r="E41">
        <v>0.11600000000000001</v>
      </c>
      <c r="F41">
        <v>44.248600000000003</v>
      </c>
      <c r="G41">
        <v>71.41</v>
      </c>
      <c r="H41">
        <v>6.98</v>
      </c>
      <c r="I41">
        <v>545508.88</v>
      </c>
      <c r="J41">
        <v>69.069999999999993</v>
      </c>
      <c r="K41">
        <v>763.88</v>
      </c>
      <c r="L41">
        <v>4.84</v>
      </c>
      <c r="M41">
        <v>34.44</v>
      </c>
      <c r="N41">
        <v>94.5</v>
      </c>
      <c r="O41">
        <v>94.5</v>
      </c>
      <c r="P41">
        <v>43.68</v>
      </c>
      <c r="Q41">
        <v>5.7831880000000002E-2</v>
      </c>
      <c r="R41">
        <v>0.18329999999999999</v>
      </c>
    </row>
    <row r="42" spans="1:18" x14ac:dyDescent="0.25">
      <c r="A42" s="1">
        <v>40848</v>
      </c>
      <c r="B42">
        <v>12891</v>
      </c>
      <c r="C42">
        <v>7276259874.0600004</v>
      </c>
      <c r="D42">
        <v>94.546800000000005</v>
      </c>
      <c r="E42">
        <v>0.1179</v>
      </c>
      <c r="F42">
        <v>53.885300000000001</v>
      </c>
      <c r="G42">
        <v>79.150000000000006</v>
      </c>
      <c r="H42">
        <v>6.99</v>
      </c>
      <c r="I42">
        <v>561276.61</v>
      </c>
      <c r="J42">
        <v>69.11</v>
      </c>
      <c r="K42">
        <v>764.15</v>
      </c>
      <c r="L42">
        <v>4.78</v>
      </c>
      <c r="M42">
        <v>34.29</v>
      </c>
      <c r="N42">
        <v>94.53</v>
      </c>
      <c r="O42">
        <v>94.53</v>
      </c>
      <c r="P42">
        <v>50.76</v>
      </c>
      <c r="Q42">
        <v>3.3680719999999997E-2</v>
      </c>
      <c r="R42">
        <v>0.1865</v>
      </c>
    </row>
    <row r="43" spans="1:18" x14ac:dyDescent="0.25">
      <c r="A43" s="1">
        <v>40878</v>
      </c>
      <c r="B43">
        <v>14106</v>
      </c>
      <c r="C43">
        <v>7936042039.9200001</v>
      </c>
      <c r="D43">
        <v>94.600099999999998</v>
      </c>
      <c r="E43">
        <v>0.11849999999999999</v>
      </c>
      <c r="F43">
        <v>44.638599999999997</v>
      </c>
      <c r="G43">
        <v>86.93</v>
      </c>
      <c r="H43">
        <v>7.22</v>
      </c>
      <c r="I43">
        <v>564194.68999999994</v>
      </c>
      <c r="J43">
        <v>69.17</v>
      </c>
      <c r="K43">
        <v>764.69</v>
      </c>
      <c r="L43">
        <v>4.7300000000000004</v>
      </c>
      <c r="M43">
        <v>34.18</v>
      </c>
      <c r="N43">
        <v>94.56</v>
      </c>
      <c r="O43">
        <v>94.56</v>
      </c>
      <c r="P43">
        <v>42.63</v>
      </c>
      <c r="Q43">
        <v>2.480951E-2</v>
      </c>
      <c r="R43">
        <v>0.1905</v>
      </c>
    </row>
    <row r="44" spans="1:18" x14ac:dyDescent="0.25">
      <c r="A44" s="1">
        <v>40909</v>
      </c>
      <c r="B44">
        <v>14780</v>
      </c>
      <c r="C44">
        <v>8282084242.0299997</v>
      </c>
      <c r="D44">
        <v>94.575199999999995</v>
      </c>
      <c r="E44">
        <v>0.11600000000000001</v>
      </c>
      <c r="F44">
        <v>56.418399999999998</v>
      </c>
      <c r="G44">
        <v>99.1</v>
      </c>
      <c r="H44">
        <v>7.75</v>
      </c>
      <c r="I44">
        <v>563297.06999999995</v>
      </c>
      <c r="J44">
        <v>69.03</v>
      </c>
      <c r="K44">
        <v>764.75</v>
      </c>
      <c r="L44">
        <v>4.7</v>
      </c>
      <c r="M44">
        <v>34.07</v>
      </c>
      <c r="N44">
        <v>94.49</v>
      </c>
      <c r="O44">
        <v>94.49</v>
      </c>
      <c r="P44">
        <v>54.75</v>
      </c>
      <c r="Q44">
        <v>2.2421400000000001E-2</v>
      </c>
      <c r="R44">
        <v>0.19120000000000001</v>
      </c>
    </row>
    <row r="45" spans="1:18" x14ac:dyDescent="0.25">
      <c r="A45" s="1">
        <v>40940</v>
      </c>
      <c r="B45">
        <v>16672</v>
      </c>
      <c r="C45">
        <v>9267256931.6299992</v>
      </c>
      <c r="D45">
        <v>94.912800000000004</v>
      </c>
      <c r="E45">
        <v>0.11219999999999999</v>
      </c>
      <c r="F45">
        <v>56.385300000000001</v>
      </c>
      <c r="G45">
        <v>104.76</v>
      </c>
      <c r="H45">
        <v>7.79</v>
      </c>
      <c r="I45">
        <v>557540.27</v>
      </c>
      <c r="J45">
        <v>68.739999999999995</v>
      </c>
      <c r="K45">
        <v>765.33</v>
      </c>
      <c r="L45">
        <v>4.6399999999999997</v>
      </c>
      <c r="M45">
        <v>33.840000000000003</v>
      </c>
      <c r="N45">
        <v>94.42</v>
      </c>
      <c r="O45">
        <v>94.42</v>
      </c>
      <c r="P45">
        <v>49.91</v>
      </c>
      <c r="Q45">
        <v>2.323273E-2</v>
      </c>
      <c r="R45">
        <v>0.1928</v>
      </c>
    </row>
    <row r="46" spans="1:18" x14ac:dyDescent="0.25">
      <c r="A46" s="1">
        <v>40969</v>
      </c>
      <c r="B46">
        <v>18042</v>
      </c>
      <c r="C46">
        <v>9986128825.1000004</v>
      </c>
      <c r="D46">
        <v>95.154899999999998</v>
      </c>
      <c r="E46">
        <v>0.1094</v>
      </c>
      <c r="F46">
        <v>56.7759</v>
      </c>
      <c r="G46">
        <v>112.31</v>
      </c>
      <c r="H46">
        <v>8.06</v>
      </c>
      <c r="I46">
        <v>549761.62</v>
      </c>
      <c r="J46">
        <v>68.36</v>
      </c>
      <c r="K46">
        <v>765.97</v>
      </c>
      <c r="L46">
        <v>4.59</v>
      </c>
      <c r="M46">
        <v>33.68</v>
      </c>
      <c r="N46">
        <v>94.31</v>
      </c>
      <c r="O46">
        <v>94.31</v>
      </c>
      <c r="P46">
        <v>54.92</v>
      </c>
      <c r="Q46">
        <v>3.1389830000000001E-2</v>
      </c>
      <c r="R46">
        <v>0.19400000000000001</v>
      </c>
    </row>
    <row r="47" spans="1:18" x14ac:dyDescent="0.25">
      <c r="A47" s="1">
        <v>41000</v>
      </c>
      <c r="B47">
        <v>19964</v>
      </c>
      <c r="C47">
        <v>10993804520.98</v>
      </c>
      <c r="D47">
        <v>95.213300000000004</v>
      </c>
      <c r="E47">
        <v>0.1042</v>
      </c>
      <c r="F47">
        <v>55.714399999999998</v>
      </c>
      <c r="G47">
        <v>114.65</v>
      </c>
      <c r="H47">
        <v>8.0399999999999991</v>
      </c>
      <c r="I47">
        <v>548539.52</v>
      </c>
      <c r="J47">
        <v>67.06</v>
      </c>
      <c r="K47">
        <v>766.23</v>
      </c>
      <c r="L47">
        <v>4.53</v>
      </c>
      <c r="M47">
        <v>33.51</v>
      </c>
      <c r="N47">
        <v>94.39</v>
      </c>
      <c r="O47">
        <v>94.39</v>
      </c>
      <c r="P47">
        <v>52.23</v>
      </c>
      <c r="Q47">
        <v>2.7402989999999999E-2</v>
      </c>
      <c r="R47">
        <v>0.18579999999999999</v>
      </c>
    </row>
    <row r="48" spans="1:18" x14ac:dyDescent="0.25">
      <c r="A48" s="1">
        <v>41030</v>
      </c>
      <c r="B48">
        <v>20269</v>
      </c>
      <c r="C48">
        <v>11137309466.620001</v>
      </c>
      <c r="D48">
        <v>95.224599999999995</v>
      </c>
      <c r="E48">
        <v>9.9400000000000002E-2</v>
      </c>
      <c r="F48">
        <v>48.629600000000003</v>
      </c>
      <c r="G48">
        <v>122.32</v>
      </c>
      <c r="H48">
        <v>8.6300000000000008</v>
      </c>
      <c r="I48">
        <v>551772.59</v>
      </c>
      <c r="J48">
        <v>65.92</v>
      </c>
      <c r="K48">
        <v>766.2</v>
      </c>
      <c r="L48">
        <v>4.5</v>
      </c>
      <c r="M48">
        <v>33.46</v>
      </c>
      <c r="N48">
        <v>94.49</v>
      </c>
      <c r="O48">
        <v>94.49</v>
      </c>
      <c r="P48">
        <v>43.06</v>
      </c>
      <c r="Q48">
        <v>1.9436229999999999E-2</v>
      </c>
      <c r="R48">
        <v>0.17810000000000001</v>
      </c>
    </row>
    <row r="49" spans="1:18" x14ac:dyDescent="0.25">
      <c r="A49" s="1">
        <v>41061</v>
      </c>
      <c r="B49">
        <v>21249</v>
      </c>
      <c r="C49">
        <v>11637319998.51</v>
      </c>
      <c r="D49">
        <v>95.113900000000001</v>
      </c>
      <c r="E49">
        <v>9.5399999999999999E-2</v>
      </c>
      <c r="F49">
        <v>54.267400000000002</v>
      </c>
      <c r="G49">
        <v>128.72</v>
      </c>
      <c r="H49">
        <v>9.0500000000000007</v>
      </c>
      <c r="I49">
        <v>547583.77</v>
      </c>
      <c r="J49">
        <v>65.03</v>
      </c>
      <c r="K49">
        <v>766.34</v>
      </c>
      <c r="L49">
        <v>4.4800000000000004</v>
      </c>
      <c r="M49">
        <v>33.43</v>
      </c>
      <c r="N49">
        <v>94.6</v>
      </c>
      <c r="O49">
        <v>94.6</v>
      </c>
      <c r="P49">
        <v>49.5</v>
      </c>
      <c r="Q49">
        <v>2.3303520000000001E-2</v>
      </c>
      <c r="R49">
        <v>0.1709</v>
      </c>
    </row>
    <row r="50" spans="1:18" x14ac:dyDescent="0.25">
      <c r="A50" s="1">
        <v>41091</v>
      </c>
      <c r="B50">
        <v>22616</v>
      </c>
      <c r="C50">
        <v>12346947395.690001</v>
      </c>
      <c r="D50">
        <v>95.139499999999998</v>
      </c>
      <c r="E50">
        <v>9.06E-2</v>
      </c>
      <c r="F50">
        <v>61.827199999999998</v>
      </c>
      <c r="G50">
        <v>135.05000000000001</v>
      </c>
      <c r="H50">
        <v>9.34</v>
      </c>
      <c r="I50">
        <v>541126.77</v>
      </c>
      <c r="J50">
        <v>64.89</v>
      </c>
      <c r="K50">
        <v>766.46</v>
      </c>
      <c r="L50">
        <v>4.4400000000000004</v>
      </c>
      <c r="M50">
        <v>33.43</v>
      </c>
      <c r="N50">
        <v>94.91</v>
      </c>
      <c r="O50">
        <v>94.91</v>
      </c>
      <c r="P50">
        <v>59.71</v>
      </c>
      <c r="Q50">
        <v>3.1178959999999999E-2</v>
      </c>
      <c r="R50">
        <v>0.17</v>
      </c>
    </row>
    <row r="51" spans="1:18" x14ac:dyDescent="0.25">
      <c r="A51" s="1">
        <v>41122</v>
      </c>
      <c r="B51">
        <v>23201</v>
      </c>
      <c r="C51">
        <v>12632374056.389999</v>
      </c>
      <c r="D51">
        <v>94.953699999999998</v>
      </c>
      <c r="E51">
        <v>8.9800000000000005E-2</v>
      </c>
      <c r="F51">
        <v>72.973500000000001</v>
      </c>
      <c r="G51">
        <v>146.59</v>
      </c>
      <c r="H51">
        <v>9.7899999999999991</v>
      </c>
      <c r="I51">
        <v>534427.73</v>
      </c>
      <c r="J51">
        <v>64.63</v>
      </c>
      <c r="K51">
        <v>766.36</v>
      </c>
      <c r="L51">
        <v>4.42</v>
      </c>
      <c r="M51">
        <v>33.39</v>
      </c>
      <c r="N51">
        <v>95.23</v>
      </c>
      <c r="O51">
        <v>95.23</v>
      </c>
      <c r="P51">
        <v>65.86</v>
      </c>
      <c r="Q51">
        <v>3.9740249999999998E-2</v>
      </c>
      <c r="R51">
        <v>0.16900000000000001</v>
      </c>
    </row>
    <row r="52" spans="1:18" x14ac:dyDescent="0.25">
      <c r="A52" s="1">
        <v>41153</v>
      </c>
      <c r="B52">
        <v>23826</v>
      </c>
      <c r="C52">
        <v>12932887655.59</v>
      </c>
      <c r="D52">
        <v>94.807599999999994</v>
      </c>
      <c r="E52">
        <v>9.0399999999999994E-2</v>
      </c>
      <c r="F52">
        <v>81.734800000000007</v>
      </c>
      <c r="G52">
        <v>159.54</v>
      </c>
      <c r="H52">
        <v>10.14</v>
      </c>
      <c r="I52">
        <v>525682.53</v>
      </c>
      <c r="J52">
        <v>64.459999999999994</v>
      </c>
      <c r="K52">
        <v>766.22</v>
      </c>
      <c r="L52">
        <v>4.38</v>
      </c>
      <c r="M52">
        <v>33.409999999999997</v>
      </c>
      <c r="N52">
        <v>95.53</v>
      </c>
      <c r="O52">
        <v>95.53</v>
      </c>
      <c r="P52">
        <v>73.319999999999993</v>
      </c>
      <c r="Q52">
        <v>5.2368520000000002E-2</v>
      </c>
      <c r="R52">
        <v>0.16789999999999999</v>
      </c>
    </row>
    <row r="53" spans="1:18" x14ac:dyDescent="0.25">
      <c r="A53" s="1">
        <v>41183</v>
      </c>
      <c r="B53">
        <v>25203</v>
      </c>
      <c r="C53">
        <v>13643273007.6</v>
      </c>
      <c r="D53">
        <v>94.779799999999994</v>
      </c>
      <c r="E53">
        <v>9.0300000000000005E-2</v>
      </c>
      <c r="F53">
        <v>72.823099999999997</v>
      </c>
      <c r="G53">
        <v>163.96</v>
      </c>
      <c r="H53">
        <v>10.11</v>
      </c>
      <c r="I53">
        <v>531116.99</v>
      </c>
      <c r="J53">
        <v>64.260000000000005</v>
      </c>
      <c r="K53">
        <v>766.39</v>
      </c>
      <c r="L53">
        <v>4.33</v>
      </c>
      <c r="M53">
        <v>33.299999999999997</v>
      </c>
      <c r="N53">
        <v>96.29</v>
      </c>
      <c r="O53">
        <v>96.29</v>
      </c>
      <c r="P53">
        <v>59.8</v>
      </c>
      <c r="Q53">
        <v>3.9619740000000001E-2</v>
      </c>
      <c r="R53">
        <v>0.16969999999999999</v>
      </c>
    </row>
    <row r="54" spans="1:18" x14ac:dyDescent="0.25">
      <c r="A54" s="1">
        <v>41214</v>
      </c>
      <c r="B54">
        <v>27445</v>
      </c>
      <c r="C54">
        <v>14818224709.84</v>
      </c>
      <c r="D54">
        <v>94.9041</v>
      </c>
      <c r="E54">
        <v>8.8800000000000004E-2</v>
      </c>
      <c r="F54">
        <v>77.349500000000006</v>
      </c>
      <c r="G54">
        <v>166.91</v>
      </c>
      <c r="H54">
        <v>9.91</v>
      </c>
      <c r="I54">
        <v>525754.68999999994</v>
      </c>
      <c r="J54">
        <v>63.94</v>
      </c>
      <c r="K54">
        <v>766.61</v>
      </c>
      <c r="L54">
        <v>4.2699999999999996</v>
      </c>
      <c r="M54">
        <v>33.17</v>
      </c>
      <c r="N54">
        <v>97.03</v>
      </c>
      <c r="O54">
        <v>97.03</v>
      </c>
      <c r="P54">
        <v>67.959999999999994</v>
      </c>
      <c r="Q54">
        <v>4.6066459999999997E-2</v>
      </c>
      <c r="R54">
        <v>0.1706</v>
      </c>
    </row>
    <row r="55" spans="1:18" x14ac:dyDescent="0.25">
      <c r="A55" s="1">
        <v>41244</v>
      </c>
      <c r="B55">
        <v>29721</v>
      </c>
      <c r="C55">
        <v>16022956532.57</v>
      </c>
      <c r="D55">
        <v>95.049899999999994</v>
      </c>
      <c r="E55">
        <v>8.6599999999999996E-2</v>
      </c>
      <c r="F55">
        <v>79.998999999999995</v>
      </c>
      <c r="G55">
        <v>170.62</v>
      </c>
      <c r="H55">
        <v>9.7100000000000009</v>
      </c>
      <c r="I55">
        <v>528453.55000000005</v>
      </c>
      <c r="J55">
        <v>63.57</v>
      </c>
      <c r="K55">
        <v>767.09</v>
      </c>
      <c r="L55">
        <v>4.1900000000000004</v>
      </c>
      <c r="M55">
        <v>33.020000000000003</v>
      </c>
      <c r="N55">
        <v>97.79</v>
      </c>
      <c r="O55">
        <v>97.79</v>
      </c>
      <c r="P55">
        <v>74.489999999999995</v>
      </c>
      <c r="Q55">
        <v>3.923517E-2</v>
      </c>
      <c r="R55">
        <v>0.1734</v>
      </c>
    </row>
    <row r="56" spans="1:18" x14ac:dyDescent="0.25">
      <c r="A56" s="1">
        <v>41275</v>
      </c>
      <c r="B56">
        <v>29639</v>
      </c>
      <c r="C56">
        <v>15942873878.620001</v>
      </c>
      <c r="D56">
        <v>94.981499999999997</v>
      </c>
      <c r="E56">
        <v>8.4400000000000003E-2</v>
      </c>
      <c r="F56">
        <v>81.2059</v>
      </c>
      <c r="G56">
        <v>186.49</v>
      </c>
      <c r="H56">
        <v>10.27</v>
      </c>
      <c r="I56">
        <v>526951.74</v>
      </c>
      <c r="J56">
        <v>63.06</v>
      </c>
      <c r="K56">
        <v>766.86</v>
      </c>
      <c r="L56">
        <v>4.17</v>
      </c>
      <c r="M56">
        <v>33.04</v>
      </c>
      <c r="N56">
        <v>99.28</v>
      </c>
      <c r="O56">
        <v>99.28</v>
      </c>
      <c r="P56">
        <v>72.78</v>
      </c>
      <c r="Q56">
        <v>3.9685289999999998E-2</v>
      </c>
      <c r="R56">
        <v>0.1721</v>
      </c>
    </row>
    <row r="57" spans="1:18" x14ac:dyDescent="0.25">
      <c r="A57" s="1">
        <v>41306</v>
      </c>
      <c r="B57">
        <v>30934</v>
      </c>
      <c r="C57">
        <v>16602135755.85</v>
      </c>
      <c r="D57">
        <v>95.071399999999997</v>
      </c>
      <c r="E57">
        <v>8.3000000000000004E-2</v>
      </c>
      <c r="F57">
        <v>77.0428</v>
      </c>
      <c r="G57">
        <v>193.6</v>
      </c>
      <c r="H57">
        <v>10.42</v>
      </c>
      <c r="I57">
        <v>525655.43999999994</v>
      </c>
      <c r="J57">
        <v>62.78</v>
      </c>
      <c r="K57">
        <v>767.01</v>
      </c>
      <c r="L57">
        <v>4.12</v>
      </c>
      <c r="M57">
        <v>32.950000000000003</v>
      </c>
      <c r="N57">
        <v>100.8</v>
      </c>
      <c r="O57">
        <v>100.8</v>
      </c>
      <c r="P57">
        <v>67.34</v>
      </c>
      <c r="Q57">
        <v>3.9111739999999999E-2</v>
      </c>
      <c r="R57">
        <v>0.1724</v>
      </c>
    </row>
    <row r="58" spans="1:18" x14ac:dyDescent="0.25">
      <c r="A58" s="1">
        <v>41334</v>
      </c>
      <c r="B58">
        <v>31709</v>
      </c>
      <c r="C58">
        <v>16976974663.6</v>
      </c>
      <c r="D58">
        <v>95.058899999999994</v>
      </c>
      <c r="E58">
        <v>8.2299999999999998E-2</v>
      </c>
      <c r="F58">
        <v>66.641000000000005</v>
      </c>
      <c r="G58">
        <v>199.93</v>
      </c>
      <c r="H58">
        <v>10.72</v>
      </c>
      <c r="I58">
        <v>531976</v>
      </c>
      <c r="J58">
        <v>62.49</v>
      </c>
      <c r="K58">
        <v>767.01</v>
      </c>
      <c r="L58">
        <v>4.08</v>
      </c>
      <c r="M58">
        <v>32.89</v>
      </c>
      <c r="N58">
        <v>102.33</v>
      </c>
      <c r="O58">
        <v>102.33</v>
      </c>
      <c r="P58">
        <v>57.35</v>
      </c>
      <c r="Q58">
        <v>2.5390579999999999E-2</v>
      </c>
      <c r="R58">
        <v>0.17219999999999999</v>
      </c>
    </row>
    <row r="59" spans="1:18" x14ac:dyDescent="0.25">
      <c r="A59" s="1">
        <v>41365</v>
      </c>
      <c r="B59">
        <v>33403</v>
      </c>
      <c r="C59">
        <v>17848716604.490002</v>
      </c>
      <c r="D59">
        <v>95.002099999999999</v>
      </c>
      <c r="E59">
        <v>7.8399999999999997E-2</v>
      </c>
      <c r="F59">
        <v>49.892099999999999</v>
      </c>
      <c r="G59">
        <v>197.81</v>
      </c>
      <c r="H59">
        <v>10.87</v>
      </c>
      <c r="I59">
        <v>531161.43000000005</v>
      </c>
      <c r="J59">
        <v>61.54</v>
      </c>
      <c r="K59">
        <v>766.96</v>
      </c>
      <c r="L59">
        <v>4.05</v>
      </c>
      <c r="M59">
        <v>32.880000000000003</v>
      </c>
      <c r="N59">
        <v>103.94</v>
      </c>
      <c r="O59">
        <v>103.94</v>
      </c>
      <c r="P59">
        <v>41.59</v>
      </c>
      <c r="Q59">
        <v>2.4237069999999999E-2</v>
      </c>
      <c r="R59">
        <v>0.16500000000000001</v>
      </c>
    </row>
    <row r="60" spans="1:18" x14ac:dyDescent="0.25">
      <c r="A60" s="1">
        <v>41395</v>
      </c>
      <c r="B60">
        <v>33685</v>
      </c>
      <c r="C60">
        <v>17960688007.32</v>
      </c>
      <c r="D60">
        <v>94.930099999999996</v>
      </c>
      <c r="E60">
        <v>7.51E-2</v>
      </c>
      <c r="F60">
        <v>46.325200000000002</v>
      </c>
      <c r="G60">
        <v>201.22</v>
      </c>
      <c r="H60">
        <v>11.4</v>
      </c>
      <c r="I60">
        <v>531348.38</v>
      </c>
      <c r="J60">
        <v>60.48</v>
      </c>
      <c r="K60">
        <v>766.8</v>
      </c>
      <c r="L60">
        <v>4.03</v>
      </c>
      <c r="M60">
        <v>32.89</v>
      </c>
      <c r="N60">
        <v>105.59</v>
      </c>
      <c r="O60">
        <v>105.59</v>
      </c>
      <c r="P60">
        <v>35.08</v>
      </c>
      <c r="Q60">
        <v>2.1812809999999998E-2</v>
      </c>
      <c r="R60">
        <v>0.1593</v>
      </c>
    </row>
    <row r="61" spans="1:18" x14ac:dyDescent="0.25">
      <c r="A61" s="1">
        <v>41426</v>
      </c>
      <c r="B61">
        <v>34347</v>
      </c>
      <c r="C61">
        <v>18275425592.080002</v>
      </c>
      <c r="D61">
        <v>94.847200000000001</v>
      </c>
      <c r="E61">
        <v>7.1999999999999995E-2</v>
      </c>
      <c r="F61">
        <v>57.413899999999998</v>
      </c>
      <c r="G61">
        <v>205.81</v>
      </c>
      <c r="H61">
        <v>11.82</v>
      </c>
      <c r="I61">
        <v>526339.68999999994</v>
      </c>
      <c r="J61">
        <v>59.64</v>
      </c>
      <c r="K61">
        <v>766.7</v>
      </c>
      <c r="L61">
        <v>4.01</v>
      </c>
      <c r="M61">
        <v>32.909999999999997</v>
      </c>
      <c r="N61">
        <v>107.25</v>
      </c>
      <c r="O61">
        <v>107.25</v>
      </c>
      <c r="P61">
        <v>46.09</v>
      </c>
      <c r="Q61">
        <v>2.8982520000000001E-2</v>
      </c>
      <c r="R61">
        <v>0.1547</v>
      </c>
    </row>
    <row r="62" spans="1:18" x14ac:dyDescent="0.25">
      <c r="A62" s="1">
        <v>41456</v>
      </c>
      <c r="B62">
        <v>34739</v>
      </c>
      <c r="C62">
        <v>18453141238.459999</v>
      </c>
      <c r="D62">
        <v>94.762900000000002</v>
      </c>
      <c r="E62">
        <v>7.1300000000000002E-2</v>
      </c>
      <c r="F62">
        <v>47.895600000000002</v>
      </c>
      <c r="G62">
        <v>207.99</v>
      </c>
      <c r="H62">
        <v>12.22</v>
      </c>
      <c r="I62">
        <v>529334.79</v>
      </c>
      <c r="J62">
        <v>59.39</v>
      </c>
      <c r="K62">
        <v>766.53</v>
      </c>
      <c r="L62">
        <v>4</v>
      </c>
      <c r="M62">
        <v>32.94</v>
      </c>
      <c r="N62">
        <v>108.49</v>
      </c>
      <c r="O62">
        <v>108.49</v>
      </c>
      <c r="P62">
        <v>38.53</v>
      </c>
      <c r="Q62">
        <v>2.17964E-2</v>
      </c>
      <c r="R62">
        <v>0.15490000000000001</v>
      </c>
    </row>
    <row r="63" spans="1:18" x14ac:dyDescent="0.25">
      <c r="A63" s="1">
        <v>41487</v>
      </c>
      <c r="B63">
        <v>35351</v>
      </c>
      <c r="C63">
        <v>18743760650.830002</v>
      </c>
      <c r="D63">
        <v>94.626499999999993</v>
      </c>
      <c r="E63">
        <v>7.1499999999999994E-2</v>
      </c>
      <c r="F63">
        <v>-7.5282</v>
      </c>
      <c r="G63">
        <v>201.14</v>
      </c>
      <c r="H63">
        <v>12.66</v>
      </c>
      <c r="I63">
        <v>532687.69999999995</v>
      </c>
      <c r="J63">
        <v>59.12</v>
      </c>
      <c r="K63">
        <v>766.27</v>
      </c>
      <c r="L63">
        <v>3.98</v>
      </c>
      <c r="M63">
        <v>32.979999999999997</v>
      </c>
      <c r="N63">
        <v>109.72</v>
      </c>
      <c r="O63">
        <v>109.72</v>
      </c>
      <c r="P63">
        <v>11.17</v>
      </c>
      <c r="Q63">
        <v>1.3663089999999999E-2</v>
      </c>
      <c r="R63">
        <v>0.1532</v>
      </c>
    </row>
    <row r="64" spans="1:18" x14ac:dyDescent="0.25">
      <c r="A64" s="1">
        <v>41518</v>
      </c>
      <c r="B64">
        <v>36086</v>
      </c>
      <c r="C64">
        <v>19099094161.919998</v>
      </c>
      <c r="D64">
        <v>94.561800000000005</v>
      </c>
      <c r="E64">
        <v>6.9900000000000004E-2</v>
      </c>
      <c r="F64">
        <v>-38.249000000000002</v>
      </c>
      <c r="G64">
        <v>192.84</v>
      </c>
      <c r="H64">
        <v>13.15</v>
      </c>
      <c r="I64">
        <v>534868.55000000005</v>
      </c>
      <c r="J64">
        <v>58.85</v>
      </c>
      <c r="K64">
        <v>766.16</v>
      </c>
      <c r="L64">
        <v>3.98</v>
      </c>
      <c r="M64">
        <v>33.01</v>
      </c>
      <c r="N64">
        <v>110.92</v>
      </c>
      <c r="O64">
        <v>110.92</v>
      </c>
      <c r="P64">
        <v>6.02</v>
      </c>
      <c r="Q64">
        <v>7.9794900000000005E-3</v>
      </c>
      <c r="R64">
        <v>0.15160000000000001</v>
      </c>
    </row>
    <row r="65" spans="1:18" x14ac:dyDescent="0.25">
      <c r="A65" s="1">
        <v>41548</v>
      </c>
      <c r="B65">
        <v>36625</v>
      </c>
      <c r="C65">
        <v>19348624481.349998</v>
      </c>
      <c r="D65">
        <v>94.374600000000001</v>
      </c>
      <c r="E65">
        <v>7.2499999999999995E-2</v>
      </c>
      <c r="F65">
        <v>-47.128799999999998</v>
      </c>
      <c r="G65">
        <v>187.69</v>
      </c>
      <c r="H65">
        <v>13.8</v>
      </c>
      <c r="I65">
        <v>535601.77</v>
      </c>
      <c r="J65">
        <v>59.02</v>
      </c>
      <c r="K65">
        <v>765.95</v>
      </c>
      <c r="L65">
        <v>3.99</v>
      </c>
      <c r="M65">
        <v>33.08</v>
      </c>
      <c r="N65">
        <v>111.77</v>
      </c>
      <c r="O65">
        <v>111.77</v>
      </c>
      <c r="P65">
        <v>3.6</v>
      </c>
      <c r="Q65">
        <v>5.07129E-3</v>
      </c>
      <c r="R65">
        <v>0.1545</v>
      </c>
    </row>
    <row r="66" spans="1:18" x14ac:dyDescent="0.25">
      <c r="A66" s="1">
        <v>41579</v>
      </c>
      <c r="B66">
        <v>37245</v>
      </c>
      <c r="C66">
        <v>19640391661.049999</v>
      </c>
      <c r="D66">
        <v>94.279600000000002</v>
      </c>
      <c r="E66">
        <v>7.3599999999999999E-2</v>
      </c>
      <c r="F66">
        <v>-48.534399999999998</v>
      </c>
      <c r="G66">
        <v>183.89</v>
      </c>
      <c r="H66">
        <v>14.51</v>
      </c>
      <c r="I66">
        <v>534914.24</v>
      </c>
      <c r="J66">
        <v>59.11</v>
      </c>
      <c r="K66">
        <v>765.77</v>
      </c>
      <c r="L66">
        <v>3.99</v>
      </c>
      <c r="M66">
        <v>33.090000000000003</v>
      </c>
      <c r="N66">
        <v>112.6</v>
      </c>
      <c r="O66">
        <v>112.6</v>
      </c>
      <c r="P66">
        <v>3.55</v>
      </c>
      <c r="Q66">
        <v>4.5553099999999999E-3</v>
      </c>
      <c r="R66">
        <v>0.15670000000000001</v>
      </c>
    </row>
    <row r="67" spans="1:18" x14ac:dyDescent="0.25">
      <c r="A67" s="1">
        <v>41609</v>
      </c>
      <c r="B67">
        <v>37745</v>
      </c>
      <c r="C67">
        <v>19867249642.75</v>
      </c>
      <c r="D67">
        <v>94.241100000000003</v>
      </c>
      <c r="E67">
        <v>9.2299999999999993E-2</v>
      </c>
      <c r="F67">
        <v>-19.7681</v>
      </c>
      <c r="G67">
        <v>182.82</v>
      </c>
      <c r="H67">
        <v>15.22</v>
      </c>
      <c r="I67">
        <v>533407.6</v>
      </c>
      <c r="J67">
        <v>59.22</v>
      </c>
      <c r="K67">
        <v>765.61</v>
      </c>
      <c r="L67">
        <v>4</v>
      </c>
      <c r="M67">
        <v>33.130000000000003</v>
      </c>
      <c r="N67">
        <v>113.49</v>
      </c>
      <c r="O67">
        <v>113.49</v>
      </c>
      <c r="P67">
        <v>10.06</v>
      </c>
      <c r="Q67">
        <v>5.4437399999999999E-3</v>
      </c>
      <c r="R67">
        <v>0.18820000000000001</v>
      </c>
    </row>
    <row r="68" spans="1:18" x14ac:dyDescent="0.25">
      <c r="A68" s="1">
        <v>41640</v>
      </c>
      <c r="B68">
        <v>38516</v>
      </c>
      <c r="C68">
        <v>20234687154.330002</v>
      </c>
      <c r="D68">
        <v>94.209699999999998</v>
      </c>
      <c r="E68">
        <v>9.3799999999999994E-2</v>
      </c>
      <c r="F68">
        <v>-25.179200000000002</v>
      </c>
      <c r="G68">
        <v>180.36</v>
      </c>
      <c r="H68">
        <v>15.82</v>
      </c>
      <c r="I68">
        <v>532394.93999999994</v>
      </c>
      <c r="J68">
        <v>59.26</v>
      </c>
      <c r="K68">
        <v>765.37</v>
      </c>
      <c r="L68">
        <v>4.01</v>
      </c>
      <c r="M68">
        <v>33.22</v>
      </c>
      <c r="N68">
        <v>114.61</v>
      </c>
      <c r="O68">
        <v>114.61</v>
      </c>
      <c r="P68">
        <v>8.42</v>
      </c>
      <c r="Q68">
        <v>5.4120599999999998E-3</v>
      </c>
      <c r="R68">
        <v>0.18870000000000001</v>
      </c>
    </row>
    <row r="69" spans="1:18" x14ac:dyDescent="0.25">
      <c r="A69" s="1">
        <v>41671</v>
      </c>
      <c r="B69">
        <v>77389</v>
      </c>
      <c r="C69">
        <v>40635260968.080002</v>
      </c>
      <c r="D69">
        <v>96.121099999999998</v>
      </c>
      <c r="E69">
        <v>8.2000000000000003E-2</v>
      </c>
      <c r="F69">
        <v>-45.219200000000001</v>
      </c>
      <c r="G69">
        <v>105.07</v>
      </c>
      <c r="H69">
        <v>12.91</v>
      </c>
      <c r="I69">
        <v>532277.38</v>
      </c>
      <c r="J69">
        <v>58.44</v>
      </c>
      <c r="K69">
        <v>765.62</v>
      </c>
      <c r="L69">
        <v>3.96</v>
      </c>
      <c r="M69">
        <v>33.17</v>
      </c>
      <c r="N69">
        <v>116.37</v>
      </c>
      <c r="O69">
        <v>116.37</v>
      </c>
      <c r="P69">
        <v>4.07</v>
      </c>
      <c r="Q69">
        <v>3.6759800000000001E-3</v>
      </c>
      <c r="R69">
        <v>0.1948</v>
      </c>
    </row>
    <row r="70" spans="1:18" x14ac:dyDescent="0.25">
      <c r="A70" s="1">
        <v>41699</v>
      </c>
      <c r="B70">
        <v>78242</v>
      </c>
      <c r="C70">
        <v>40993834844.080002</v>
      </c>
      <c r="D70">
        <v>96.1023</v>
      </c>
      <c r="E70">
        <v>8.2199999999999995E-2</v>
      </c>
      <c r="F70">
        <v>-43.457500000000003</v>
      </c>
      <c r="G70">
        <v>105.27</v>
      </c>
      <c r="H70">
        <v>13.75</v>
      </c>
      <c r="I70">
        <v>531311.87</v>
      </c>
      <c r="J70">
        <v>58.37</v>
      </c>
      <c r="K70">
        <v>765.42</v>
      </c>
      <c r="L70">
        <v>3.97</v>
      </c>
      <c r="M70">
        <v>33.22</v>
      </c>
      <c r="N70">
        <v>117.48</v>
      </c>
      <c r="O70">
        <v>117.48</v>
      </c>
      <c r="P70">
        <v>4.22</v>
      </c>
      <c r="Q70">
        <v>3.4605500000000002E-3</v>
      </c>
      <c r="R70">
        <v>0.19600000000000001</v>
      </c>
    </row>
    <row r="71" spans="1:18" x14ac:dyDescent="0.25">
      <c r="A71" s="1">
        <v>41730</v>
      </c>
      <c r="B71">
        <v>79011</v>
      </c>
      <c r="C71">
        <v>41322222584.25</v>
      </c>
      <c r="D71">
        <v>96.085899999999995</v>
      </c>
      <c r="E71">
        <v>7.7299999999999994E-2</v>
      </c>
      <c r="F71">
        <v>-28.252099999999999</v>
      </c>
      <c r="G71">
        <v>105.94</v>
      </c>
      <c r="H71">
        <v>14.57</v>
      </c>
      <c r="I71">
        <v>529254.52</v>
      </c>
      <c r="J71">
        <v>58.09</v>
      </c>
      <c r="K71">
        <v>765.25</v>
      </c>
      <c r="L71">
        <v>3.98</v>
      </c>
      <c r="M71">
        <v>33.270000000000003</v>
      </c>
      <c r="N71">
        <v>118.45</v>
      </c>
      <c r="O71">
        <v>118.45</v>
      </c>
      <c r="P71">
        <v>6.77</v>
      </c>
      <c r="Q71">
        <v>5.56553E-3</v>
      </c>
      <c r="R71">
        <v>0.19589999999999999</v>
      </c>
    </row>
    <row r="72" spans="1:18" x14ac:dyDescent="0.25">
      <c r="A72" s="1">
        <v>41760</v>
      </c>
      <c r="B72">
        <v>79820</v>
      </c>
      <c r="C72">
        <v>41673096009.849998</v>
      </c>
      <c r="D72">
        <v>96.057599999999994</v>
      </c>
      <c r="E72">
        <v>7.6600000000000001E-2</v>
      </c>
      <c r="F72">
        <v>-29.667999999999999</v>
      </c>
      <c r="G72">
        <v>106.25</v>
      </c>
      <c r="H72">
        <v>15.35</v>
      </c>
      <c r="I72">
        <v>528133.97</v>
      </c>
      <c r="J72">
        <v>57.87</v>
      </c>
      <c r="K72">
        <v>765.08</v>
      </c>
      <c r="L72">
        <v>3.99</v>
      </c>
      <c r="M72">
        <v>33.32</v>
      </c>
      <c r="N72">
        <v>119.44</v>
      </c>
      <c r="O72">
        <v>119.44</v>
      </c>
      <c r="P72">
        <v>6.73</v>
      </c>
      <c r="Q72">
        <v>6.0231199999999999E-3</v>
      </c>
      <c r="R72">
        <v>0.1933</v>
      </c>
    </row>
    <row r="73" spans="1:18" x14ac:dyDescent="0.25">
      <c r="A73" s="1">
        <v>41791</v>
      </c>
      <c r="B73">
        <v>80703</v>
      </c>
      <c r="C73">
        <v>42063292650.910004</v>
      </c>
      <c r="D73">
        <v>96.004999999999995</v>
      </c>
      <c r="E73">
        <v>7.6499999999999999E-2</v>
      </c>
      <c r="F73">
        <v>-28.606300000000001</v>
      </c>
      <c r="G73">
        <v>106.27</v>
      </c>
      <c r="H73">
        <v>16.09</v>
      </c>
      <c r="I73">
        <v>527195.6</v>
      </c>
      <c r="J73">
        <v>57.68</v>
      </c>
      <c r="K73">
        <v>764.89</v>
      </c>
      <c r="L73">
        <v>4</v>
      </c>
      <c r="M73">
        <v>33.369999999999997</v>
      </c>
      <c r="N73">
        <v>120.42</v>
      </c>
      <c r="O73">
        <v>120.42</v>
      </c>
      <c r="P73">
        <v>6.76</v>
      </c>
      <c r="Q73">
        <v>6.1728399999999998E-3</v>
      </c>
      <c r="R73">
        <v>0.1913</v>
      </c>
    </row>
    <row r="74" spans="1:18" x14ac:dyDescent="0.25">
      <c r="A74" s="1">
        <v>41821</v>
      </c>
      <c r="B74">
        <v>81560</v>
      </c>
      <c r="C74">
        <v>42433450144.769997</v>
      </c>
      <c r="D74">
        <v>95.995099999999994</v>
      </c>
      <c r="E74">
        <v>7.7100000000000002E-2</v>
      </c>
      <c r="F74">
        <v>-9.9505999999999997</v>
      </c>
      <c r="G74">
        <v>107.81</v>
      </c>
      <c r="H74">
        <v>16.82</v>
      </c>
      <c r="I74">
        <v>523915.72</v>
      </c>
      <c r="J74">
        <v>57.69</v>
      </c>
      <c r="K74">
        <v>764.75</v>
      </c>
      <c r="L74">
        <v>4</v>
      </c>
      <c r="M74">
        <v>33.4</v>
      </c>
      <c r="N74">
        <v>120.47</v>
      </c>
      <c r="O74">
        <v>120.47</v>
      </c>
      <c r="P74">
        <v>10.45</v>
      </c>
      <c r="Q74">
        <v>1.0650089999999999E-2</v>
      </c>
      <c r="R74">
        <v>0.19170000000000001</v>
      </c>
    </row>
    <row r="75" spans="1:18" x14ac:dyDescent="0.25">
      <c r="A75" s="1">
        <v>41852</v>
      </c>
      <c r="B75">
        <v>82753</v>
      </c>
      <c r="C75">
        <v>42977101110.220001</v>
      </c>
      <c r="D75">
        <v>95.9602</v>
      </c>
      <c r="E75">
        <v>7.8600000000000003E-2</v>
      </c>
      <c r="F75">
        <v>-7.6618000000000004</v>
      </c>
      <c r="G75">
        <v>108.88</v>
      </c>
      <c r="H75">
        <v>17.43</v>
      </c>
      <c r="I75">
        <v>523033.23</v>
      </c>
      <c r="J75">
        <v>57.78</v>
      </c>
      <c r="K75">
        <v>764.49</v>
      </c>
      <c r="L75">
        <v>4.01</v>
      </c>
      <c r="M75">
        <v>33.46</v>
      </c>
      <c r="N75">
        <v>120.53</v>
      </c>
      <c r="O75">
        <v>120.53</v>
      </c>
      <c r="P75">
        <v>12.82</v>
      </c>
      <c r="Q75">
        <v>1.058777E-2</v>
      </c>
      <c r="R75">
        <v>0.193</v>
      </c>
    </row>
    <row r="76" spans="1:18" x14ac:dyDescent="0.25">
      <c r="A76" s="1">
        <v>41883</v>
      </c>
      <c r="B76">
        <v>83770</v>
      </c>
      <c r="C76">
        <v>43431849486.18</v>
      </c>
      <c r="D76">
        <v>95.914500000000004</v>
      </c>
      <c r="E76">
        <v>8.0399999999999999E-2</v>
      </c>
      <c r="F76">
        <v>-5.4177999999999997</v>
      </c>
      <c r="G76">
        <v>110.2</v>
      </c>
      <c r="H76">
        <v>18.07</v>
      </c>
      <c r="I76">
        <v>522657.79</v>
      </c>
      <c r="J76">
        <v>57.83</v>
      </c>
      <c r="K76">
        <v>764.3</v>
      </c>
      <c r="L76">
        <v>4.01</v>
      </c>
      <c r="M76">
        <v>33.5</v>
      </c>
      <c r="N76">
        <v>120.55</v>
      </c>
      <c r="O76">
        <v>120.55</v>
      </c>
      <c r="P76">
        <v>12.71</v>
      </c>
      <c r="Q76">
        <v>9.6873399999999991E-3</v>
      </c>
      <c r="R76">
        <v>0.19389999999999999</v>
      </c>
    </row>
    <row r="77" spans="1:18" x14ac:dyDescent="0.25">
      <c r="A77" s="1">
        <v>41913</v>
      </c>
      <c r="B77">
        <v>85357</v>
      </c>
      <c r="C77">
        <v>44202107494.089996</v>
      </c>
      <c r="D77">
        <v>95.870099999999994</v>
      </c>
      <c r="E77">
        <v>8.3099999999999993E-2</v>
      </c>
      <c r="F77">
        <v>-2.6318999999999999</v>
      </c>
      <c r="G77">
        <v>112.92</v>
      </c>
      <c r="H77">
        <v>18.73</v>
      </c>
      <c r="I77">
        <v>522177.28000000003</v>
      </c>
      <c r="J77">
        <v>57.98</v>
      </c>
      <c r="K77">
        <v>763.96</v>
      </c>
      <c r="L77">
        <v>4.0199999999999996</v>
      </c>
      <c r="M77">
        <v>33.549999999999997</v>
      </c>
      <c r="N77">
        <v>120.36</v>
      </c>
      <c r="O77">
        <v>120.36</v>
      </c>
      <c r="P77">
        <v>12.57</v>
      </c>
      <c r="Q77">
        <v>9.68662E-3</v>
      </c>
      <c r="R77">
        <v>0.19589999999999999</v>
      </c>
    </row>
    <row r="78" spans="1:18" x14ac:dyDescent="0.25">
      <c r="A78" s="1">
        <v>41944</v>
      </c>
      <c r="B78">
        <v>86643</v>
      </c>
      <c r="C78">
        <v>44795681842.129997</v>
      </c>
      <c r="D78">
        <v>95.854500000000002</v>
      </c>
      <c r="E78">
        <v>8.5099999999999995E-2</v>
      </c>
      <c r="F78">
        <v>-5.3005000000000004</v>
      </c>
      <c r="G78">
        <v>113.96</v>
      </c>
      <c r="H78">
        <v>19.309999999999999</v>
      </c>
      <c r="I78">
        <v>521070.19</v>
      </c>
      <c r="J78">
        <v>58.13</v>
      </c>
      <c r="K78">
        <v>763.75</v>
      </c>
      <c r="L78">
        <v>4.03</v>
      </c>
      <c r="M78">
        <v>33.6</v>
      </c>
      <c r="N78">
        <v>120.17</v>
      </c>
      <c r="O78">
        <v>120.17</v>
      </c>
      <c r="P78">
        <v>12.16</v>
      </c>
      <c r="Q78">
        <v>1.02021E-2</v>
      </c>
      <c r="R78">
        <v>0.1983</v>
      </c>
    </row>
    <row r="79" spans="1:18" x14ac:dyDescent="0.25">
      <c r="A79" s="1">
        <v>41974</v>
      </c>
      <c r="B79">
        <v>87934</v>
      </c>
      <c r="C79">
        <v>45383469561.580002</v>
      </c>
      <c r="D79">
        <v>95.769499999999994</v>
      </c>
      <c r="E79">
        <v>8.7599999999999997E-2</v>
      </c>
      <c r="F79">
        <v>8.0421999999999993</v>
      </c>
      <c r="G79">
        <v>116.72</v>
      </c>
      <c r="H79">
        <v>19.86</v>
      </c>
      <c r="I79">
        <v>517468.34</v>
      </c>
      <c r="J79">
        <v>58.26</v>
      </c>
      <c r="K79">
        <v>763.45</v>
      </c>
      <c r="L79">
        <v>4.03</v>
      </c>
      <c r="M79">
        <v>33.65</v>
      </c>
      <c r="N79">
        <v>119.98</v>
      </c>
      <c r="O79">
        <v>119.98</v>
      </c>
      <c r="P79">
        <v>18.14</v>
      </c>
      <c r="Q79">
        <v>1.524235E-2</v>
      </c>
      <c r="R79">
        <v>0.19939999999999999</v>
      </c>
    </row>
    <row r="80" spans="1:18" x14ac:dyDescent="0.25">
      <c r="A80" s="1">
        <v>42005</v>
      </c>
      <c r="B80">
        <v>89381</v>
      </c>
      <c r="C80">
        <v>46049446897.589996</v>
      </c>
      <c r="D80">
        <v>95.697800000000001</v>
      </c>
      <c r="E80">
        <v>7.3599999999999999E-2</v>
      </c>
      <c r="F80">
        <v>13.0281</v>
      </c>
      <c r="G80">
        <v>120.07</v>
      </c>
      <c r="H80">
        <v>20.39</v>
      </c>
      <c r="I80">
        <v>515479.74</v>
      </c>
      <c r="J80">
        <v>58.34</v>
      </c>
      <c r="K80">
        <v>763.17</v>
      </c>
      <c r="L80">
        <v>4.04</v>
      </c>
      <c r="M80">
        <v>33.69</v>
      </c>
      <c r="N80">
        <v>119.61</v>
      </c>
      <c r="O80">
        <v>119.61</v>
      </c>
      <c r="P80">
        <v>22.72</v>
      </c>
      <c r="Q80">
        <v>1.7378540000000001E-2</v>
      </c>
      <c r="R80">
        <v>0.16400000000000001</v>
      </c>
    </row>
    <row r="81" spans="1:18" x14ac:dyDescent="0.25">
      <c r="A81" s="1">
        <v>42036</v>
      </c>
      <c r="B81">
        <v>90354</v>
      </c>
      <c r="C81">
        <v>46481910650.510002</v>
      </c>
      <c r="D81">
        <v>95.618200000000002</v>
      </c>
      <c r="E81">
        <v>7.51E-2</v>
      </c>
      <c r="F81">
        <v>24.659099999999999</v>
      </c>
      <c r="G81">
        <v>123.92</v>
      </c>
      <c r="H81">
        <v>20.88</v>
      </c>
      <c r="I81">
        <v>515917.23</v>
      </c>
      <c r="J81">
        <v>58.39</v>
      </c>
      <c r="K81">
        <v>762.95</v>
      </c>
      <c r="L81">
        <v>4.04</v>
      </c>
      <c r="M81">
        <v>33.74</v>
      </c>
      <c r="N81">
        <v>119.24</v>
      </c>
      <c r="O81">
        <v>119.24</v>
      </c>
      <c r="P81">
        <v>25.82</v>
      </c>
      <c r="Q81">
        <v>1.5201320000000001E-2</v>
      </c>
      <c r="R81">
        <v>0.16470000000000001</v>
      </c>
    </row>
    <row r="82" spans="1:18" x14ac:dyDescent="0.25">
      <c r="A82" s="1">
        <v>42064</v>
      </c>
      <c r="B82">
        <v>92548</v>
      </c>
      <c r="C82">
        <v>47542451558.620003</v>
      </c>
      <c r="D82">
        <v>95.585899999999995</v>
      </c>
      <c r="E82">
        <v>7.6399999999999996E-2</v>
      </c>
      <c r="F82">
        <v>41.668700000000001</v>
      </c>
      <c r="G82">
        <v>130.38</v>
      </c>
      <c r="H82">
        <v>21.32</v>
      </c>
      <c r="I82">
        <v>509102.36</v>
      </c>
      <c r="J82">
        <v>58.49</v>
      </c>
      <c r="K82">
        <v>762.79</v>
      </c>
      <c r="L82">
        <v>4.03</v>
      </c>
      <c r="M82">
        <v>33.75</v>
      </c>
      <c r="N82">
        <v>118.88</v>
      </c>
      <c r="O82">
        <v>118.88</v>
      </c>
      <c r="P82">
        <v>36.89</v>
      </c>
      <c r="Q82">
        <v>2.6694590000000001E-2</v>
      </c>
      <c r="R82">
        <v>0.16539999999999999</v>
      </c>
    </row>
    <row r="83" spans="1:18" x14ac:dyDescent="0.25">
      <c r="A83" s="1">
        <v>42095</v>
      </c>
      <c r="B83">
        <v>94093</v>
      </c>
      <c r="C83">
        <v>48293759693.239998</v>
      </c>
      <c r="D83">
        <v>95.486699999999999</v>
      </c>
      <c r="E83">
        <v>7.7399999999999997E-2</v>
      </c>
      <c r="F83">
        <v>36.8414</v>
      </c>
      <c r="G83">
        <v>134.74</v>
      </c>
      <c r="H83">
        <v>21.52</v>
      </c>
      <c r="I83">
        <v>507796.61</v>
      </c>
      <c r="J83">
        <v>58.41</v>
      </c>
      <c r="K83">
        <v>762.57</v>
      </c>
      <c r="L83">
        <v>4.0199999999999996</v>
      </c>
      <c r="M83">
        <v>33.78</v>
      </c>
      <c r="N83">
        <v>118.35</v>
      </c>
      <c r="O83">
        <v>118.35</v>
      </c>
      <c r="P83">
        <v>35.24</v>
      </c>
      <c r="Q83">
        <v>2.8618589999999999E-2</v>
      </c>
      <c r="R83">
        <v>0.16309999999999999</v>
      </c>
    </row>
    <row r="84" spans="1:18" x14ac:dyDescent="0.25">
      <c r="A84" s="1">
        <v>42125</v>
      </c>
      <c r="B84">
        <v>95090</v>
      </c>
      <c r="C84">
        <v>48741521288.940002</v>
      </c>
      <c r="D84">
        <v>95.428100000000001</v>
      </c>
      <c r="E84">
        <v>7.7899999999999997E-2</v>
      </c>
      <c r="F84">
        <v>30.5014</v>
      </c>
      <c r="G84">
        <v>137.09</v>
      </c>
      <c r="H84">
        <v>21.76</v>
      </c>
      <c r="I84">
        <v>511329.4</v>
      </c>
      <c r="J84">
        <v>58.35</v>
      </c>
      <c r="K84">
        <v>762.39</v>
      </c>
      <c r="L84">
        <v>4.01</v>
      </c>
      <c r="M84">
        <v>33.799999999999997</v>
      </c>
      <c r="N84">
        <v>117.83</v>
      </c>
      <c r="O84">
        <v>117.83</v>
      </c>
      <c r="P84">
        <v>29.87</v>
      </c>
      <c r="Q84">
        <v>2.0844540000000002E-2</v>
      </c>
      <c r="R84">
        <v>0.1618</v>
      </c>
    </row>
    <row r="85" spans="1:18" x14ac:dyDescent="0.25">
      <c r="A85" s="1">
        <v>42156</v>
      </c>
      <c r="B85">
        <v>96887</v>
      </c>
      <c r="C85">
        <v>49597262696.519997</v>
      </c>
      <c r="D85">
        <v>95.383799999999994</v>
      </c>
      <c r="E85">
        <v>7.8200000000000006E-2</v>
      </c>
      <c r="F85">
        <v>39.171100000000003</v>
      </c>
      <c r="G85">
        <v>142.27000000000001</v>
      </c>
      <c r="H85">
        <v>22.01</v>
      </c>
      <c r="I85">
        <v>512151.57</v>
      </c>
      <c r="J85">
        <v>58.32</v>
      </c>
      <c r="K85">
        <v>762.28</v>
      </c>
      <c r="L85">
        <v>4.01</v>
      </c>
      <c r="M85">
        <v>33.83</v>
      </c>
      <c r="N85">
        <v>117.33</v>
      </c>
      <c r="O85">
        <v>117.33</v>
      </c>
      <c r="P85">
        <v>33.47</v>
      </c>
      <c r="Q85">
        <v>1.80903E-2</v>
      </c>
      <c r="R85">
        <v>0.16039999999999999</v>
      </c>
    </row>
    <row r="86" spans="1:18" x14ac:dyDescent="0.25">
      <c r="A86" s="1">
        <v>42186</v>
      </c>
      <c r="B86">
        <v>100543</v>
      </c>
      <c r="C86">
        <v>51395747083.050003</v>
      </c>
      <c r="D86">
        <v>95.312799999999996</v>
      </c>
      <c r="E86">
        <v>7.9299999999999995E-2</v>
      </c>
      <c r="F86">
        <v>21.392600000000002</v>
      </c>
      <c r="G86">
        <v>142.05000000000001</v>
      </c>
      <c r="H86">
        <v>22.04</v>
      </c>
      <c r="I86">
        <v>512691.06</v>
      </c>
      <c r="J86">
        <v>58.55</v>
      </c>
      <c r="K86">
        <v>762.3</v>
      </c>
      <c r="L86">
        <v>4</v>
      </c>
      <c r="M86">
        <v>33.83</v>
      </c>
      <c r="N86">
        <v>116.66</v>
      </c>
      <c r="O86">
        <v>116.66</v>
      </c>
      <c r="P86">
        <v>23.72</v>
      </c>
      <c r="Q86">
        <v>1.5724499999999999E-2</v>
      </c>
      <c r="R86">
        <v>0.1608</v>
      </c>
    </row>
    <row r="87" spans="1:18" x14ac:dyDescent="0.25">
      <c r="A87" s="1">
        <v>42217</v>
      </c>
      <c r="B87">
        <v>102990</v>
      </c>
      <c r="C87">
        <v>52580372708.599998</v>
      </c>
      <c r="D87">
        <v>95.254400000000004</v>
      </c>
      <c r="E87">
        <v>8.0699999999999994E-2</v>
      </c>
      <c r="F87">
        <v>6.3834999999999997</v>
      </c>
      <c r="G87">
        <v>142.43</v>
      </c>
      <c r="H87">
        <v>22.37</v>
      </c>
      <c r="I87">
        <v>514609.32</v>
      </c>
      <c r="J87">
        <v>58.69</v>
      </c>
      <c r="K87">
        <v>762.07</v>
      </c>
      <c r="L87">
        <v>4</v>
      </c>
      <c r="M87">
        <v>33.89</v>
      </c>
      <c r="N87">
        <v>116.04</v>
      </c>
      <c r="O87">
        <v>116.04</v>
      </c>
      <c r="P87">
        <v>14.34</v>
      </c>
      <c r="Q87">
        <v>1.097332E-2</v>
      </c>
      <c r="R87">
        <v>0.1615</v>
      </c>
    </row>
    <row r="88" spans="1:18" x14ac:dyDescent="0.25">
      <c r="A88" s="1">
        <v>42248</v>
      </c>
      <c r="B88">
        <v>105370</v>
      </c>
      <c r="C88">
        <v>53771627217.629997</v>
      </c>
      <c r="D88">
        <v>95.180599999999998</v>
      </c>
      <c r="E88">
        <v>0.1371</v>
      </c>
      <c r="F88">
        <v>-4.1201999999999996</v>
      </c>
      <c r="G88">
        <v>141.08000000000001</v>
      </c>
      <c r="H88">
        <v>22.59</v>
      </c>
      <c r="I88">
        <v>515209.71</v>
      </c>
      <c r="J88">
        <v>58.87</v>
      </c>
      <c r="K88">
        <v>761.83</v>
      </c>
      <c r="L88">
        <v>4</v>
      </c>
      <c r="M88">
        <v>33.96</v>
      </c>
      <c r="N88">
        <v>115.43</v>
      </c>
      <c r="O88">
        <v>115.43</v>
      </c>
      <c r="P88">
        <v>9.4700000000000006</v>
      </c>
      <c r="Q88">
        <v>9.5818199999999996E-3</v>
      </c>
      <c r="R88">
        <v>0.15440000000000001</v>
      </c>
    </row>
    <row r="89" spans="1:18" x14ac:dyDescent="0.25">
      <c r="A89" s="1">
        <v>42278</v>
      </c>
      <c r="B89">
        <v>106773</v>
      </c>
      <c r="C89">
        <v>54398426347.5</v>
      </c>
      <c r="D89">
        <v>95.143799999999999</v>
      </c>
      <c r="E89">
        <v>0.1386</v>
      </c>
      <c r="F89">
        <v>10.1279</v>
      </c>
      <c r="G89">
        <v>143.63999999999999</v>
      </c>
      <c r="H89">
        <v>23.07</v>
      </c>
      <c r="I89">
        <v>513882.72</v>
      </c>
      <c r="J89">
        <v>59.08</v>
      </c>
      <c r="K89">
        <v>761.61</v>
      </c>
      <c r="L89">
        <v>4.01</v>
      </c>
      <c r="M89">
        <v>34.01</v>
      </c>
      <c r="N89">
        <v>114.51</v>
      </c>
      <c r="O89">
        <v>114.51</v>
      </c>
      <c r="P89">
        <v>17.3</v>
      </c>
      <c r="Q89">
        <v>1.048223E-2</v>
      </c>
      <c r="R89">
        <v>0.15529999999999999</v>
      </c>
    </row>
    <row r="90" spans="1:18" x14ac:dyDescent="0.25">
      <c r="A90" s="1">
        <v>42309</v>
      </c>
      <c r="B90">
        <v>107795</v>
      </c>
      <c r="C90">
        <v>54844296880.199997</v>
      </c>
      <c r="D90">
        <v>95.084000000000003</v>
      </c>
      <c r="E90">
        <v>0.1396</v>
      </c>
      <c r="F90">
        <v>11.975199999999999</v>
      </c>
      <c r="G90">
        <v>146.94999999999999</v>
      </c>
      <c r="H90">
        <v>23.63</v>
      </c>
      <c r="I90">
        <v>512402.64</v>
      </c>
      <c r="J90">
        <v>59.21</v>
      </c>
      <c r="K90">
        <v>761.44</v>
      </c>
      <c r="L90">
        <v>4.01</v>
      </c>
      <c r="M90">
        <v>34.049999999999997</v>
      </c>
      <c r="N90">
        <v>113.63</v>
      </c>
      <c r="O90">
        <v>113.63</v>
      </c>
      <c r="P90">
        <v>17.22</v>
      </c>
      <c r="Q90">
        <v>1.213584E-2</v>
      </c>
      <c r="R90">
        <v>0.1565</v>
      </c>
    </row>
    <row r="91" spans="1:18" x14ac:dyDescent="0.25">
      <c r="A91" s="1">
        <v>42339</v>
      </c>
      <c r="B91">
        <v>54418</v>
      </c>
      <c r="C91">
        <v>27588424458.419998</v>
      </c>
      <c r="D91">
        <v>92.691800000000001</v>
      </c>
      <c r="E91">
        <v>0.1482</v>
      </c>
      <c r="F91">
        <v>26.213899999999999</v>
      </c>
      <c r="G91">
        <v>202.33</v>
      </c>
      <c r="H91">
        <v>26.26</v>
      </c>
      <c r="I91">
        <v>511326.59</v>
      </c>
      <c r="J91">
        <v>58.17</v>
      </c>
      <c r="K91">
        <v>760.4</v>
      </c>
      <c r="L91">
        <v>4.0599999999999996</v>
      </c>
      <c r="M91">
        <v>34.450000000000003</v>
      </c>
      <c r="N91">
        <v>112.65</v>
      </c>
      <c r="O91">
        <v>112.65</v>
      </c>
      <c r="P91">
        <v>27.47</v>
      </c>
      <c r="Q91">
        <v>1.1927109999999999E-2</v>
      </c>
      <c r="R91">
        <v>0.1348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2"/>
  <sheetViews>
    <sheetView workbookViewId="0">
      <selection activeCell="N47" sqref="N47"/>
    </sheetView>
  </sheetViews>
  <sheetFormatPr defaultRowHeight="15" x14ac:dyDescent="0.25"/>
  <cols>
    <col min="2" max="2" width="9.7109375" bestFit="1" customWidth="1"/>
    <col min="3" max="3" width="12.140625" style="5" customWidth="1"/>
    <col min="4" max="4" width="9.140625" style="5"/>
    <col min="5" max="5" width="14.140625" style="5" customWidth="1"/>
    <col min="6" max="6" width="9.140625" style="5"/>
    <col min="7" max="7" width="12.42578125" style="10" customWidth="1"/>
    <col min="8" max="8" width="16.85546875" style="10" customWidth="1"/>
    <col min="9" max="9" width="19" style="8" customWidth="1"/>
    <col min="10" max="10" width="9.7109375" style="8" bestFit="1" customWidth="1"/>
  </cols>
  <sheetData>
    <row r="1" spans="2:10" x14ac:dyDescent="0.25">
      <c r="C1" s="5" t="s">
        <v>26</v>
      </c>
    </row>
    <row r="2" spans="2:10" s="6" customFormat="1" x14ac:dyDescent="0.25">
      <c r="C2" s="7" t="s">
        <v>28</v>
      </c>
      <c r="D2" s="7" t="s">
        <v>2</v>
      </c>
      <c r="E2" s="7" t="s">
        <v>29</v>
      </c>
      <c r="F2" s="7" t="s">
        <v>27</v>
      </c>
      <c r="G2" s="11" t="s">
        <v>30</v>
      </c>
      <c r="H2" s="11" t="s">
        <v>31</v>
      </c>
      <c r="I2" s="9" t="s">
        <v>32</v>
      </c>
      <c r="J2" s="9" t="s">
        <v>33</v>
      </c>
    </row>
    <row r="3" spans="2:10" x14ac:dyDescent="0.25">
      <c r="B3" s="1">
        <v>39569</v>
      </c>
      <c r="C3" s="5">
        <v>132.36925208</v>
      </c>
      <c r="D3" s="5">
        <v>0.72975000000000001</v>
      </c>
      <c r="E3" s="5">
        <v>559.07428900000002</v>
      </c>
      <c r="F3" s="5">
        <v>159.851958</v>
      </c>
      <c r="G3" s="10">
        <f>C3+E3</f>
        <v>691.44354108000005</v>
      </c>
      <c r="H3" s="10">
        <f>D3+F3</f>
        <v>160.58170799999999</v>
      </c>
      <c r="I3" s="8">
        <f>G3/(G3+H3)</f>
        <v>0.81152940224084558</v>
      </c>
    </row>
    <row r="4" spans="2:10" x14ac:dyDescent="0.25">
      <c r="B4" s="1">
        <v>39600</v>
      </c>
      <c r="C4" s="5">
        <v>103.34249865000001</v>
      </c>
      <c r="D4" s="5">
        <v>17.095829999999999</v>
      </c>
      <c r="E4" s="5">
        <v>381.81671299999999</v>
      </c>
      <c r="F4" s="5">
        <v>218.34703099999999</v>
      </c>
      <c r="G4" s="10">
        <f t="shared" ref="G4:G67" si="0">C4+E4</f>
        <v>485.15921164999997</v>
      </c>
      <c r="H4" s="10">
        <f t="shared" ref="H4:H67" si="1">D4+F4</f>
        <v>235.44286099999999</v>
      </c>
      <c r="I4" s="8">
        <f t="shared" ref="I4:I67" si="2">G4/(G4+H4)</f>
        <v>0.67326924257355591</v>
      </c>
    </row>
    <row r="5" spans="2:10" x14ac:dyDescent="0.25">
      <c r="B5" s="1">
        <v>39630</v>
      </c>
      <c r="C5" s="5">
        <v>78.028532999999996</v>
      </c>
      <c r="D5" s="5">
        <v>93.028347999999994</v>
      </c>
      <c r="E5" s="5">
        <v>245.825515</v>
      </c>
      <c r="F5" s="5">
        <v>247.73361800000001</v>
      </c>
      <c r="G5" s="10">
        <f t="shared" si="0"/>
        <v>323.85404799999998</v>
      </c>
      <c r="H5" s="10">
        <f t="shared" si="1"/>
        <v>340.76196600000003</v>
      </c>
      <c r="I5" s="8">
        <f t="shared" si="2"/>
        <v>0.48727993484670984</v>
      </c>
    </row>
    <row r="6" spans="2:10" x14ac:dyDescent="0.25">
      <c r="B6" s="1">
        <v>39661</v>
      </c>
      <c r="C6" s="5">
        <v>54.922035999999999</v>
      </c>
      <c r="D6" s="5">
        <v>102.63981800000001</v>
      </c>
      <c r="E6" s="5">
        <v>272.29765300000003</v>
      </c>
      <c r="F6" s="5">
        <v>147.42094900000001</v>
      </c>
      <c r="G6" s="10">
        <f t="shared" si="0"/>
        <v>327.21968900000002</v>
      </c>
      <c r="H6" s="10">
        <f t="shared" si="1"/>
        <v>250.060767</v>
      </c>
      <c r="I6" s="8">
        <f t="shared" si="2"/>
        <v>0.5668296676234611</v>
      </c>
    </row>
    <row r="7" spans="2:10" x14ac:dyDescent="0.25">
      <c r="B7" s="1">
        <v>39692</v>
      </c>
      <c r="C7" s="5">
        <v>65.352228999999994</v>
      </c>
      <c r="D7" s="5">
        <v>77.810394000000002</v>
      </c>
      <c r="E7" s="5">
        <v>236.094641</v>
      </c>
      <c r="F7" s="5">
        <v>55.947623</v>
      </c>
      <c r="G7" s="10">
        <f t="shared" si="0"/>
        <v>301.44686999999999</v>
      </c>
      <c r="H7" s="10">
        <f t="shared" si="1"/>
        <v>133.758017</v>
      </c>
      <c r="I7" s="8">
        <f t="shared" si="2"/>
        <v>0.69265506662382681</v>
      </c>
    </row>
    <row r="8" spans="2:10" x14ac:dyDescent="0.25">
      <c r="B8" s="1">
        <v>39722</v>
      </c>
      <c r="C8" s="5">
        <v>57.0178364</v>
      </c>
      <c r="D8" s="5">
        <v>56.615288</v>
      </c>
      <c r="E8" s="5">
        <v>229.29403300000001</v>
      </c>
      <c r="F8" s="5">
        <v>150.966545</v>
      </c>
      <c r="G8" s="10">
        <f t="shared" si="0"/>
        <v>286.31186940000003</v>
      </c>
      <c r="H8" s="10">
        <f t="shared" si="1"/>
        <v>207.58183299999999</v>
      </c>
      <c r="I8" s="8">
        <f t="shared" si="2"/>
        <v>0.57970342202929859</v>
      </c>
    </row>
    <row r="9" spans="2:10" x14ac:dyDescent="0.25">
      <c r="B9" s="1">
        <v>39783</v>
      </c>
      <c r="C9" s="5">
        <v>122.57860297000001</v>
      </c>
      <c r="D9" s="5">
        <v>2.246</v>
      </c>
      <c r="E9" s="5">
        <v>204.88233199999999</v>
      </c>
      <c r="F9" s="5">
        <v>103.565758</v>
      </c>
      <c r="G9" s="10">
        <f t="shared" si="0"/>
        <v>327.46093496999998</v>
      </c>
      <c r="H9" s="10">
        <f t="shared" si="1"/>
        <v>105.811758</v>
      </c>
      <c r="I9" s="8">
        <f t="shared" si="2"/>
        <v>0.75578484470211826</v>
      </c>
    </row>
    <row r="10" spans="2:10" x14ac:dyDescent="0.25">
      <c r="B10" s="1">
        <v>39845</v>
      </c>
      <c r="C10" s="5">
        <v>406.35788145999999</v>
      </c>
      <c r="D10" s="5">
        <v>61.897415000000002</v>
      </c>
      <c r="E10" s="5">
        <v>1080.509033</v>
      </c>
      <c r="F10" s="5">
        <v>28.546523000000001</v>
      </c>
      <c r="G10" s="10">
        <f t="shared" si="0"/>
        <v>1486.8669144600001</v>
      </c>
      <c r="H10" s="10">
        <f t="shared" si="1"/>
        <v>90.443938000000003</v>
      </c>
      <c r="I10" s="8">
        <f t="shared" si="2"/>
        <v>0.94265940803048287</v>
      </c>
    </row>
    <row r="11" spans="2:10" x14ac:dyDescent="0.25">
      <c r="B11" s="1">
        <v>39873</v>
      </c>
      <c r="C11" s="5">
        <v>955.39691114999994</v>
      </c>
      <c r="D11" s="5">
        <v>93.762319000000005</v>
      </c>
      <c r="E11" s="5">
        <v>2316.5188419999999</v>
      </c>
      <c r="F11" s="5">
        <v>6.0747499999999999</v>
      </c>
      <c r="G11" s="10">
        <f t="shared" si="0"/>
        <v>3271.91575315</v>
      </c>
      <c r="H11" s="10">
        <f t="shared" si="1"/>
        <v>99.837069</v>
      </c>
      <c r="I11" s="8">
        <f t="shared" si="2"/>
        <v>0.97039015780037552</v>
      </c>
    </row>
    <row r="12" spans="2:10" x14ac:dyDescent="0.25">
      <c r="B12" s="1">
        <v>39904</v>
      </c>
      <c r="C12" s="5">
        <v>658.96149778999995</v>
      </c>
      <c r="D12" s="5">
        <v>96.552573469999999</v>
      </c>
      <c r="E12" s="5">
        <v>2387.6754449999999</v>
      </c>
      <c r="F12" s="5">
        <v>0</v>
      </c>
      <c r="G12" s="10">
        <f t="shared" si="0"/>
        <v>3046.6369427899999</v>
      </c>
      <c r="H12" s="10">
        <f t="shared" si="1"/>
        <v>96.552573469999999</v>
      </c>
      <c r="I12" s="8">
        <f t="shared" si="2"/>
        <v>0.9692819752132269</v>
      </c>
      <c r="J12" s="8">
        <f t="shared" ref="J12:J75" si="3">AVERAGE(I1:I12)</f>
        <v>0.74493831216839024</v>
      </c>
    </row>
    <row r="13" spans="2:10" x14ac:dyDescent="0.25">
      <c r="B13" s="1">
        <v>39934</v>
      </c>
      <c r="C13" s="5">
        <v>922.47069862000001</v>
      </c>
      <c r="D13" s="5">
        <v>462.91532258999996</v>
      </c>
      <c r="E13" s="5">
        <v>2516.0844419999999</v>
      </c>
      <c r="F13" s="5">
        <v>0</v>
      </c>
      <c r="G13" s="10">
        <f t="shared" si="0"/>
        <v>3438.5551406199997</v>
      </c>
      <c r="H13" s="10">
        <f t="shared" si="1"/>
        <v>462.91532258999996</v>
      </c>
      <c r="I13" s="8">
        <f t="shared" si="2"/>
        <v>0.88134850001936738</v>
      </c>
      <c r="J13" s="8">
        <f t="shared" si="3"/>
        <v>0.75733923833666095</v>
      </c>
    </row>
    <row r="14" spans="2:10" x14ac:dyDescent="0.25">
      <c r="B14" s="1">
        <v>39965</v>
      </c>
      <c r="C14" s="5">
        <v>2217.1040866500002</v>
      </c>
      <c r="D14" s="5">
        <v>248.84250134000001</v>
      </c>
      <c r="E14" s="5">
        <v>3179.438999</v>
      </c>
      <c r="F14" s="5">
        <v>0</v>
      </c>
      <c r="G14" s="10">
        <f t="shared" si="0"/>
        <v>5396.5430856500006</v>
      </c>
      <c r="H14" s="10">
        <f t="shared" si="1"/>
        <v>248.84250134000001</v>
      </c>
      <c r="I14" s="8">
        <f t="shared" si="2"/>
        <v>0.95592107970207263</v>
      </c>
      <c r="J14" s="8">
        <f t="shared" si="3"/>
        <v>0.7738877251171119</v>
      </c>
    </row>
    <row r="15" spans="2:10" x14ac:dyDescent="0.25">
      <c r="B15" s="1">
        <v>39995</v>
      </c>
      <c r="C15" s="5">
        <v>1721.9127329200001</v>
      </c>
      <c r="D15" s="5">
        <v>399.27476736</v>
      </c>
      <c r="E15" s="5">
        <v>2536.30197</v>
      </c>
      <c r="F15" s="5">
        <v>0</v>
      </c>
      <c r="G15" s="10">
        <f t="shared" si="0"/>
        <v>4258.2147029200005</v>
      </c>
      <c r="H15" s="10">
        <f t="shared" si="1"/>
        <v>399.27476736</v>
      </c>
      <c r="I15" s="8">
        <f t="shared" si="2"/>
        <v>0.91427253461165725</v>
      </c>
      <c r="J15" s="8">
        <f t="shared" si="3"/>
        <v>0.78244965281467938</v>
      </c>
    </row>
    <row r="16" spans="2:10" x14ac:dyDescent="0.25">
      <c r="B16" s="1">
        <v>40026</v>
      </c>
      <c r="C16" s="5">
        <v>1254.96738688</v>
      </c>
      <c r="D16" s="5">
        <v>580.64208715999996</v>
      </c>
      <c r="E16" s="5">
        <v>2807.1416880000002</v>
      </c>
      <c r="F16" s="5">
        <v>0</v>
      </c>
      <c r="G16" s="10">
        <f t="shared" si="0"/>
        <v>4062.1090748800002</v>
      </c>
      <c r="H16" s="10">
        <f t="shared" si="1"/>
        <v>580.64208715999996</v>
      </c>
      <c r="I16" s="8">
        <f t="shared" si="2"/>
        <v>0.87493577258513489</v>
      </c>
      <c r="J16" s="8">
        <f t="shared" si="3"/>
        <v>0.79925519698231096</v>
      </c>
    </row>
    <row r="17" spans="2:10" x14ac:dyDescent="0.25">
      <c r="B17" s="1">
        <v>40057</v>
      </c>
      <c r="C17" s="5">
        <v>1125.2468495599999</v>
      </c>
      <c r="D17" s="5">
        <v>904.8334597999999</v>
      </c>
      <c r="E17" s="5">
        <v>1992.28358</v>
      </c>
      <c r="F17" s="5">
        <v>0</v>
      </c>
      <c r="G17" s="10">
        <f t="shared" si="0"/>
        <v>3117.5304295599999</v>
      </c>
      <c r="H17" s="10">
        <f t="shared" si="1"/>
        <v>904.8334597999999</v>
      </c>
      <c r="I17" s="8">
        <f t="shared" si="2"/>
        <v>0.77504932803482174</v>
      </c>
      <c r="J17" s="8">
        <f t="shared" si="3"/>
        <v>0.82323597974798701</v>
      </c>
    </row>
    <row r="18" spans="2:10" x14ac:dyDescent="0.25">
      <c r="B18" s="1">
        <v>40087</v>
      </c>
      <c r="C18" s="5">
        <v>682.32094623</v>
      </c>
      <c r="D18" s="5">
        <v>1188.9364121999999</v>
      </c>
      <c r="E18" s="5">
        <v>1819.1084089999999</v>
      </c>
      <c r="F18" s="5">
        <v>0</v>
      </c>
      <c r="G18" s="10">
        <f t="shared" si="0"/>
        <v>2501.4293552300001</v>
      </c>
      <c r="H18" s="10">
        <f t="shared" si="1"/>
        <v>1188.9364121999999</v>
      </c>
      <c r="I18" s="8">
        <f t="shared" si="2"/>
        <v>0.67782694531442478</v>
      </c>
      <c r="J18" s="8">
        <f t="shared" si="3"/>
        <v>0.8324857528889007</v>
      </c>
    </row>
    <row r="19" spans="2:10" x14ac:dyDescent="0.25">
      <c r="B19" s="1">
        <v>40118</v>
      </c>
      <c r="C19" s="5">
        <v>664.46952251999994</v>
      </c>
      <c r="D19" s="5">
        <v>718.38830945000007</v>
      </c>
      <c r="E19" s="5">
        <v>1702.1827800000001</v>
      </c>
      <c r="F19" s="5">
        <v>0</v>
      </c>
      <c r="G19" s="10">
        <f t="shared" si="0"/>
        <v>2366.6523025199999</v>
      </c>
      <c r="H19" s="10">
        <f t="shared" si="1"/>
        <v>718.38830945000007</v>
      </c>
      <c r="I19" s="8">
        <f t="shared" si="2"/>
        <v>0.76713813534167308</v>
      </c>
      <c r="J19" s="8">
        <f t="shared" si="3"/>
        <v>0.8386926752820546</v>
      </c>
    </row>
    <row r="20" spans="2:10" x14ac:dyDescent="0.25">
      <c r="B20" s="1">
        <v>40148</v>
      </c>
      <c r="C20" s="5">
        <v>947.19441390999998</v>
      </c>
      <c r="D20" s="5">
        <v>788.01932762000001</v>
      </c>
      <c r="E20" s="5">
        <v>2454.5192040000002</v>
      </c>
      <c r="F20" s="5">
        <v>0</v>
      </c>
      <c r="G20" s="10">
        <f t="shared" si="0"/>
        <v>3401.7136179100003</v>
      </c>
      <c r="H20" s="10">
        <f t="shared" si="1"/>
        <v>788.01932762000001</v>
      </c>
      <c r="I20" s="8">
        <f t="shared" si="2"/>
        <v>0.81191657371366999</v>
      </c>
      <c r="J20" s="8">
        <f t="shared" si="3"/>
        <v>0.85804377125575237</v>
      </c>
    </row>
    <row r="21" spans="2:10" x14ac:dyDescent="0.25">
      <c r="B21" s="1">
        <v>40179</v>
      </c>
      <c r="C21" s="5">
        <v>737.94655778999993</v>
      </c>
      <c r="D21" s="5">
        <v>739.15034574000003</v>
      </c>
      <c r="E21" s="5">
        <v>1770.479963</v>
      </c>
      <c r="F21" s="5">
        <v>0</v>
      </c>
      <c r="G21" s="10">
        <f t="shared" si="0"/>
        <v>2508.4265207899998</v>
      </c>
      <c r="H21" s="10">
        <f t="shared" si="1"/>
        <v>739.15034574000003</v>
      </c>
      <c r="I21" s="8">
        <f t="shared" si="2"/>
        <v>0.77239943006190526</v>
      </c>
      <c r="J21" s="8">
        <f t="shared" si="3"/>
        <v>0.85942832003573455</v>
      </c>
    </row>
    <row r="22" spans="2:10" x14ac:dyDescent="0.25">
      <c r="B22" s="1">
        <v>40210</v>
      </c>
      <c r="C22" s="5">
        <v>819.32681758000001</v>
      </c>
      <c r="D22" s="5">
        <v>748.89095595000003</v>
      </c>
      <c r="E22" s="5">
        <v>1891.871069</v>
      </c>
      <c r="F22" s="5">
        <v>0</v>
      </c>
      <c r="G22" s="10">
        <f t="shared" si="0"/>
        <v>2711.1978865800002</v>
      </c>
      <c r="H22" s="10">
        <f t="shared" si="1"/>
        <v>748.89095595000003</v>
      </c>
      <c r="I22" s="8">
        <f t="shared" si="2"/>
        <v>0.78356308463963764</v>
      </c>
      <c r="J22" s="8">
        <f t="shared" si="3"/>
        <v>0.84617029308649749</v>
      </c>
    </row>
    <row r="23" spans="2:10" x14ac:dyDescent="0.25">
      <c r="B23" s="1">
        <v>40238</v>
      </c>
      <c r="C23" s="5">
        <v>716.42430824999997</v>
      </c>
      <c r="D23" s="5">
        <v>718.92873509000003</v>
      </c>
      <c r="E23" s="5">
        <v>2042.534249</v>
      </c>
      <c r="F23" s="5">
        <v>0</v>
      </c>
      <c r="G23" s="10">
        <f t="shared" si="0"/>
        <v>2758.95855725</v>
      </c>
      <c r="H23" s="10">
        <f t="shared" si="1"/>
        <v>718.92873509000003</v>
      </c>
      <c r="I23" s="8">
        <f t="shared" si="2"/>
        <v>0.79328578684150264</v>
      </c>
      <c r="J23" s="8">
        <f t="shared" si="3"/>
        <v>0.83141159550659127</v>
      </c>
    </row>
    <row r="24" spans="2:10" x14ac:dyDescent="0.25">
      <c r="B24" s="1">
        <v>40269</v>
      </c>
      <c r="C24" s="5">
        <v>648.53762725000001</v>
      </c>
      <c r="D24" s="5">
        <v>523.62793020999993</v>
      </c>
      <c r="E24" s="5">
        <v>1335.290105</v>
      </c>
      <c r="F24" s="5">
        <v>0</v>
      </c>
      <c r="G24" s="10">
        <f t="shared" si="0"/>
        <v>1983.8277322500001</v>
      </c>
      <c r="H24" s="10">
        <f t="shared" si="1"/>
        <v>523.62793020999993</v>
      </c>
      <c r="I24" s="8">
        <f t="shared" si="2"/>
        <v>0.79117160951261567</v>
      </c>
      <c r="J24" s="8">
        <f t="shared" si="3"/>
        <v>0.81656906503154014</v>
      </c>
    </row>
    <row r="25" spans="2:10" x14ac:dyDescent="0.25">
      <c r="B25" s="1">
        <v>40299</v>
      </c>
      <c r="C25" s="5">
        <v>595.23562700000002</v>
      </c>
      <c r="D25" s="5">
        <v>511.00573945999997</v>
      </c>
      <c r="E25" s="5">
        <v>1262.7667590000001</v>
      </c>
      <c r="F25" s="5">
        <v>0</v>
      </c>
      <c r="G25" s="10">
        <f t="shared" si="0"/>
        <v>1858.0023860000001</v>
      </c>
      <c r="H25" s="10">
        <f t="shared" si="1"/>
        <v>511.00573945999997</v>
      </c>
      <c r="I25" s="8">
        <f t="shared" si="2"/>
        <v>0.78429548891446887</v>
      </c>
      <c r="J25" s="8">
        <f t="shared" si="3"/>
        <v>0.80848131410613189</v>
      </c>
    </row>
    <row r="26" spans="2:10" x14ac:dyDescent="0.25">
      <c r="B26" s="1">
        <v>40330</v>
      </c>
      <c r="C26" s="5">
        <v>696.97956991000001</v>
      </c>
      <c r="D26" s="5">
        <v>472.80826100999997</v>
      </c>
      <c r="E26" s="5">
        <v>1646.2021360000001</v>
      </c>
      <c r="F26" s="5">
        <v>0</v>
      </c>
      <c r="G26" s="10">
        <f t="shared" si="0"/>
        <v>2343.1817059100003</v>
      </c>
      <c r="H26" s="10">
        <f t="shared" si="1"/>
        <v>472.80826100999997</v>
      </c>
      <c r="I26" s="8">
        <f t="shared" si="2"/>
        <v>0.83209874091734215</v>
      </c>
      <c r="J26" s="8">
        <f t="shared" si="3"/>
        <v>0.79816278587407119</v>
      </c>
    </row>
    <row r="27" spans="2:10" x14ac:dyDescent="0.25">
      <c r="B27" s="1">
        <v>40360</v>
      </c>
      <c r="C27" s="5">
        <v>638.94285279999997</v>
      </c>
      <c r="D27" s="5">
        <v>922.00623085999996</v>
      </c>
      <c r="E27" s="5">
        <v>1506.640936</v>
      </c>
      <c r="F27" s="5">
        <v>0</v>
      </c>
      <c r="G27" s="10">
        <f t="shared" si="0"/>
        <v>2145.5837888000001</v>
      </c>
      <c r="H27" s="10">
        <f t="shared" si="1"/>
        <v>922.00623085999996</v>
      </c>
      <c r="I27" s="8">
        <f t="shared" si="2"/>
        <v>0.69943629202373281</v>
      </c>
      <c r="J27" s="8">
        <f t="shared" si="3"/>
        <v>0.78025976565841082</v>
      </c>
    </row>
    <row r="28" spans="2:10" x14ac:dyDescent="0.25">
      <c r="B28" s="1">
        <v>40391</v>
      </c>
      <c r="C28" s="5">
        <v>747.51592340999991</v>
      </c>
      <c r="D28" s="5">
        <v>1029.4831750399999</v>
      </c>
      <c r="E28" s="5">
        <v>1203.4902549999999</v>
      </c>
      <c r="F28" s="5">
        <v>0</v>
      </c>
      <c r="G28" s="10">
        <f t="shared" si="0"/>
        <v>1951.0061784099998</v>
      </c>
      <c r="H28" s="10">
        <f t="shared" si="1"/>
        <v>1029.4831750399999</v>
      </c>
      <c r="I28" s="8">
        <f t="shared" si="2"/>
        <v>0.6545925675431975</v>
      </c>
      <c r="J28" s="8">
        <f t="shared" si="3"/>
        <v>0.761897831904916</v>
      </c>
    </row>
    <row r="29" spans="2:10" x14ac:dyDescent="0.25">
      <c r="B29" s="1">
        <v>40422</v>
      </c>
      <c r="C29" s="5">
        <v>1296.1718253900001</v>
      </c>
      <c r="D29" s="5">
        <v>1598.88402582</v>
      </c>
      <c r="E29" s="5">
        <v>1710.037296</v>
      </c>
      <c r="F29" s="5">
        <v>0</v>
      </c>
      <c r="G29" s="10">
        <f t="shared" si="0"/>
        <v>3006.2091213900003</v>
      </c>
      <c r="H29" s="10">
        <f t="shared" si="1"/>
        <v>1598.88402582</v>
      </c>
      <c r="I29" s="8">
        <f t="shared" si="2"/>
        <v>0.65280093698241803</v>
      </c>
      <c r="J29" s="8">
        <f t="shared" si="3"/>
        <v>0.75171046598388236</v>
      </c>
    </row>
    <row r="30" spans="2:10" x14ac:dyDescent="0.25">
      <c r="B30" s="1">
        <v>40452</v>
      </c>
      <c r="C30" s="5">
        <v>1364.39387781</v>
      </c>
      <c r="D30" s="5">
        <v>1726.02715997</v>
      </c>
      <c r="E30" s="5">
        <v>1353.1925080000001</v>
      </c>
      <c r="F30" s="5">
        <v>0</v>
      </c>
      <c r="G30" s="10">
        <f t="shared" si="0"/>
        <v>2717.5863858100001</v>
      </c>
      <c r="H30" s="10">
        <f t="shared" si="1"/>
        <v>1726.02715997</v>
      </c>
      <c r="I30" s="8">
        <f t="shared" si="2"/>
        <v>0.61157127140158951</v>
      </c>
      <c r="J30" s="8">
        <f t="shared" si="3"/>
        <v>0.74618915982447931</v>
      </c>
    </row>
    <row r="31" spans="2:10" x14ac:dyDescent="0.25">
      <c r="B31" s="1">
        <v>40483</v>
      </c>
      <c r="C31" s="5">
        <v>1397.82726482</v>
      </c>
      <c r="D31" s="5">
        <v>2022.07656705</v>
      </c>
      <c r="E31" s="5">
        <v>1553.8825549999999</v>
      </c>
      <c r="F31" s="5">
        <v>0</v>
      </c>
      <c r="G31" s="10">
        <f t="shared" si="0"/>
        <v>2951.7098198200001</v>
      </c>
      <c r="H31" s="10">
        <f t="shared" si="1"/>
        <v>2022.07656705</v>
      </c>
      <c r="I31" s="8">
        <f t="shared" si="2"/>
        <v>0.59345327487566435</v>
      </c>
      <c r="J31" s="8">
        <f t="shared" si="3"/>
        <v>0.73171542145231194</v>
      </c>
    </row>
    <row r="32" spans="2:10" x14ac:dyDescent="0.25">
      <c r="B32" s="1">
        <v>40513</v>
      </c>
      <c r="C32" s="5">
        <v>1887.4296508800001</v>
      </c>
      <c r="D32" s="5">
        <v>2649.7062066900003</v>
      </c>
      <c r="E32" s="5">
        <v>1811.3519449999999</v>
      </c>
      <c r="F32" s="5">
        <v>610.37305700000002</v>
      </c>
      <c r="G32" s="10">
        <f t="shared" si="0"/>
        <v>3698.7815958800002</v>
      </c>
      <c r="H32" s="10">
        <f t="shared" si="1"/>
        <v>3260.0792636900005</v>
      </c>
      <c r="I32" s="8">
        <f t="shared" si="2"/>
        <v>0.53152113119108313</v>
      </c>
      <c r="J32" s="8">
        <f t="shared" si="3"/>
        <v>0.7083491345754297</v>
      </c>
    </row>
    <row r="33" spans="2:10" x14ac:dyDescent="0.25">
      <c r="B33" s="1">
        <v>40544</v>
      </c>
      <c r="C33" s="5">
        <v>1624.9102627</v>
      </c>
      <c r="D33" s="5">
        <v>2379.72770292</v>
      </c>
      <c r="E33" s="5">
        <v>1393.0428890000001</v>
      </c>
      <c r="F33" s="5">
        <v>451.456526</v>
      </c>
      <c r="G33" s="10">
        <f t="shared" si="0"/>
        <v>3017.9531517</v>
      </c>
      <c r="H33" s="10">
        <f t="shared" si="1"/>
        <v>2831.1842289199999</v>
      </c>
      <c r="I33" s="8">
        <f t="shared" si="2"/>
        <v>0.51596551000826407</v>
      </c>
      <c r="J33" s="8">
        <f t="shared" si="3"/>
        <v>0.68697964123762645</v>
      </c>
    </row>
    <row r="34" spans="2:10" x14ac:dyDescent="0.25">
      <c r="B34" s="1">
        <v>40575</v>
      </c>
      <c r="C34" s="5">
        <v>1313.8441055200001</v>
      </c>
      <c r="D34" s="5">
        <v>1552.54619598</v>
      </c>
      <c r="E34" s="5">
        <v>1508.2804329999999</v>
      </c>
      <c r="F34" s="5">
        <v>1336.643816</v>
      </c>
      <c r="G34" s="10">
        <f t="shared" si="0"/>
        <v>2822.12453852</v>
      </c>
      <c r="H34" s="10">
        <f t="shared" si="1"/>
        <v>2889.1900119800002</v>
      </c>
      <c r="I34" s="8">
        <f t="shared" si="2"/>
        <v>0.49412871827781496</v>
      </c>
      <c r="J34" s="8">
        <f t="shared" si="3"/>
        <v>0.66286011070747441</v>
      </c>
    </row>
    <row r="35" spans="2:10" x14ac:dyDescent="0.25">
      <c r="B35" s="1">
        <v>40603</v>
      </c>
      <c r="C35" s="5">
        <v>1192.10853873</v>
      </c>
      <c r="D35" s="5">
        <v>1142.9126104500001</v>
      </c>
      <c r="E35" s="5">
        <v>799.51069500000006</v>
      </c>
      <c r="F35" s="5">
        <v>377.89864799999998</v>
      </c>
      <c r="G35" s="10">
        <f t="shared" si="0"/>
        <v>1991.6192337299999</v>
      </c>
      <c r="H35" s="10">
        <f t="shared" si="1"/>
        <v>1520.81125845</v>
      </c>
      <c r="I35" s="8">
        <f t="shared" si="2"/>
        <v>0.56702025510941734</v>
      </c>
      <c r="J35" s="8">
        <f t="shared" si="3"/>
        <v>0.64400464972980076</v>
      </c>
    </row>
    <row r="36" spans="2:10" x14ac:dyDescent="0.25">
      <c r="B36" s="1">
        <v>40634</v>
      </c>
      <c r="C36" s="5">
        <v>616.57182924000006</v>
      </c>
      <c r="D36" s="5">
        <v>602.16349935000005</v>
      </c>
      <c r="E36" s="5">
        <v>798.11460099999999</v>
      </c>
      <c r="F36" s="5">
        <v>585.43603399999995</v>
      </c>
      <c r="G36" s="10">
        <f t="shared" si="0"/>
        <v>1414.6864302399999</v>
      </c>
      <c r="H36" s="10">
        <f t="shared" si="1"/>
        <v>1187.59953335</v>
      </c>
      <c r="I36" s="8">
        <f t="shared" si="2"/>
        <v>0.54363219493693171</v>
      </c>
      <c r="J36" s="8">
        <f t="shared" si="3"/>
        <v>0.62337636518182704</v>
      </c>
    </row>
    <row r="37" spans="2:10" x14ac:dyDescent="0.25">
      <c r="B37" s="1">
        <v>40664</v>
      </c>
      <c r="C37" s="5">
        <v>521.68933636999998</v>
      </c>
      <c r="D37" s="5">
        <v>446.99881456999998</v>
      </c>
      <c r="E37" s="5">
        <v>681.30279900000005</v>
      </c>
      <c r="F37" s="5">
        <v>708.32998799999996</v>
      </c>
      <c r="G37" s="10">
        <f t="shared" si="0"/>
        <v>1202.9921353700001</v>
      </c>
      <c r="H37" s="10">
        <f t="shared" si="1"/>
        <v>1155.3288025699999</v>
      </c>
      <c r="I37" s="8">
        <f t="shared" si="2"/>
        <v>0.51010535335399143</v>
      </c>
      <c r="J37" s="8">
        <f t="shared" si="3"/>
        <v>0.60052718721845399</v>
      </c>
    </row>
    <row r="38" spans="2:10" x14ac:dyDescent="0.25">
      <c r="B38" s="1">
        <v>40695</v>
      </c>
      <c r="C38" s="5">
        <v>591.90932151000004</v>
      </c>
      <c r="D38" s="5">
        <v>602.4657582000001</v>
      </c>
      <c r="E38" s="5">
        <v>805.08011199999999</v>
      </c>
      <c r="F38" s="5">
        <v>834.73699799999997</v>
      </c>
      <c r="G38" s="10">
        <f t="shared" si="0"/>
        <v>1396.98943351</v>
      </c>
      <c r="H38" s="10">
        <f t="shared" si="1"/>
        <v>1437.2027562000001</v>
      </c>
      <c r="I38" s="8">
        <f t="shared" si="2"/>
        <v>0.49290568176074984</v>
      </c>
      <c r="J38" s="8">
        <f t="shared" si="3"/>
        <v>0.57226109895540456</v>
      </c>
    </row>
    <row r="39" spans="2:10" x14ac:dyDescent="0.25">
      <c r="B39" s="1">
        <v>40725</v>
      </c>
      <c r="C39" s="5">
        <v>481.16573707999999</v>
      </c>
      <c r="D39" s="5">
        <v>758.66686860000004</v>
      </c>
      <c r="E39" s="5">
        <v>593.19938100000002</v>
      </c>
      <c r="F39" s="5">
        <v>575.80916200000001</v>
      </c>
      <c r="G39" s="10">
        <f t="shared" si="0"/>
        <v>1074.36511808</v>
      </c>
      <c r="H39" s="10">
        <f t="shared" si="1"/>
        <v>1334.4760306000001</v>
      </c>
      <c r="I39" s="8">
        <f t="shared" si="2"/>
        <v>0.44600911881164601</v>
      </c>
      <c r="J39" s="8">
        <f t="shared" si="3"/>
        <v>0.5511421678543974</v>
      </c>
    </row>
    <row r="40" spans="2:10" x14ac:dyDescent="0.25">
      <c r="B40" s="1">
        <v>40756</v>
      </c>
      <c r="C40" s="5">
        <v>686.01537882000002</v>
      </c>
      <c r="D40" s="5">
        <v>1090.2627758499998</v>
      </c>
      <c r="E40" s="5">
        <v>872.97321699999998</v>
      </c>
      <c r="F40" s="5">
        <v>543.05413299999998</v>
      </c>
      <c r="G40" s="10">
        <f t="shared" si="0"/>
        <v>1558.98859582</v>
      </c>
      <c r="H40" s="10">
        <f t="shared" si="1"/>
        <v>1633.3169088499999</v>
      </c>
      <c r="I40" s="8">
        <f t="shared" si="2"/>
        <v>0.48835820805351088</v>
      </c>
      <c r="J40" s="8">
        <f t="shared" si="3"/>
        <v>0.53728930456359014</v>
      </c>
    </row>
    <row r="41" spans="2:10" x14ac:dyDescent="0.25">
      <c r="B41" s="1">
        <v>40787</v>
      </c>
      <c r="C41" s="5">
        <v>878.92710008000006</v>
      </c>
      <c r="D41" s="5">
        <v>1536.27480816</v>
      </c>
      <c r="E41" s="5">
        <v>907.23337200000003</v>
      </c>
      <c r="F41" s="5">
        <v>749.484915</v>
      </c>
      <c r="G41" s="10">
        <f t="shared" si="0"/>
        <v>1786.1604720800001</v>
      </c>
      <c r="H41" s="10">
        <f t="shared" si="1"/>
        <v>2285.7597231600002</v>
      </c>
      <c r="I41" s="8">
        <f t="shared" si="2"/>
        <v>0.43865311362633991</v>
      </c>
      <c r="J41" s="8">
        <f t="shared" si="3"/>
        <v>0.51944365261725023</v>
      </c>
    </row>
    <row r="42" spans="2:10" x14ac:dyDescent="0.25">
      <c r="B42" s="1">
        <v>40817</v>
      </c>
      <c r="C42" s="5">
        <v>968.60258482000006</v>
      </c>
      <c r="D42" s="5">
        <v>2484.6715368600003</v>
      </c>
      <c r="E42" s="5">
        <v>1098.3930869999999</v>
      </c>
      <c r="F42" s="5">
        <v>1039.8592900000001</v>
      </c>
      <c r="G42" s="10">
        <f t="shared" si="0"/>
        <v>2066.9956718200001</v>
      </c>
      <c r="H42" s="10">
        <f t="shared" si="1"/>
        <v>3524.5308268600002</v>
      </c>
      <c r="I42" s="8">
        <f t="shared" si="2"/>
        <v>0.36966572049832164</v>
      </c>
      <c r="J42" s="8">
        <f t="shared" si="3"/>
        <v>0.49928485670864459</v>
      </c>
    </row>
    <row r="43" spans="2:10" x14ac:dyDescent="0.25">
      <c r="B43" s="1">
        <v>40848</v>
      </c>
      <c r="C43" s="5">
        <v>1245.7427529500001</v>
      </c>
      <c r="D43" s="5">
        <v>2688.4103234999998</v>
      </c>
      <c r="E43" s="5">
        <v>1057.791843</v>
      </c>
      <c r="F43" s="5">
        <v>937.55090399999995</v>
      </c>
      <c r="G43" s="10">
        <f t="shared" si="0"/>
        <v>2303.53459595</v>
      </c>
      <c r="H43" s="10">
        <f t="shared" si="1"/>
        <v>3625.9612274999999</v>
      </c>
      <c r="I43" s="8">
        <f t="shared" si="2"/>
        <v>0.38848743038825828</v>
      </c>
      <c r="J43" s="8">
        <f t="shared" si="3"/>
        <v>0.48220436966802743</v>
      </c>
    </row>
    <row r="44" spans="2:10" x14ac:dyDescent="0.25">
      <c r="B44" s="1">
        <v>40878</v>
      </c>
      <c r="C44" s="5">
        <v>2127.2690954099999</v>
      </c>
      <c r="D44" s="5">
        <v>1246.5573422100001</v>
      </c>
      <c r="E44" s="5">
        <v>785.326233</v>
      </c>
      <c r="F44" s="5">
        <v>554.532825</v>
      </c>
      <c r="G44" s="10">
        <f t="shared" si="0"/>
        <v>2912.5953284099996</v>
      </c>
      <c r="H44" s="10">
        <f t="shared" si="1"/>
        <v>1801.0901672100001</v>
      </c>
      <c r="I44" s="8">
        <f t="shared" si="2"/>
        <v>0.61790192220427309</v>
      </c>
      <c r="J44" s="8">
        <f t="shared" si="3"/>
        <v>0.48940276891912654</v>
      </c>
    </row>
    <row r="45" spans="2:10" x14ac:dyDescent="0.25">
      <c r="B45" s="1">
        <v>40909</v>
      </c>
      <c r="C45" s="5">
        <v>1980.3033357899999</v>
      </c>
      <c r="D45" s="5">
        <v>1473.30083156</v>
      </c>
      <c r="E45" s="5">
        <v>1169.540285</v>
      </c>
      <c r="F45" s="5">
        <v>1187.740691</v>
      </c>
      <c r="G45" s="10">
        <f t="shared" si="0"/>
        <v>3149.8436207899999</v>
      </c>
      <c r="H45" s="10">
        <f t="shared" si="1"/>
        <v>2661.04152256</v>
      </c>
      <c r="I45" s="8">
        <f t="shared" si="2"/>
        <v>0.54205917740341047</v>
      </c>
      <c r="J45" s="8">
        <f t="shared" si="3"/>
        <v>0.49157724120205537</v>
      </c>
    </row>
    <row r="46" spans="2:10" x14ac:dyDescent="0.25">
      <c r="B46" s="1">
        <v>40940</v>
      </c>
      <c r="C46" s="5">
        <v>2127.2095162999999</v>
      </c>
      <c r="D46" s="5">
        <v>1461.1366036099998</v>
      </c>
      <c r="E46" s="5">
        <v>1766.0224599999999</v>
      </c>
      <c r="F46" s="5">
        <v>948.72131400000001</v>
      </c>
      <c r="G46" s="10">
        <f t="shared" si="0"/>
        <v>3893.2319762999996</v>
      </c>
      <c r="H46" s="10">
        <f t="shared" si="1"/>
        <v>2409.8579176099997</v>
      </c>
      <c r="I46" s="8">
        <f t="shared" si="2"/>
        <v>0.6176703873542424</v>
      </c>
      <c r="J46" s="8">
        <f t="shared" si="3"/>
        <v>0.50187238029175762</v>
      </c>
    </row>
    <row r="47" spans="2:10" x14ac:dyDescent="0.25">
      <c r="B47" s="1">
        <v>40969</v>
      </c>
      <c r="C47" s="5">
        <v>3980.86675139</v>
      </c>
      <c r="D47" s="5">
        <v>2736.4703261100003</v>
      </c>
      <c r="E47" s="5">
        <v>1175.0872360000001</v>
      </c>
      <c r="F47" s="5">
        <v>1336.764764</v>
      </c>
      <c r="G47" s="10">
        <f t="shared" si="0"/>
        <v>5155.9539873900003</v>
      </c>
      <c r="H47" s="10">
        <f t="shared" si="1"/>
        <v>4073.2350901100003</v>
      </c>
      <c r="I47" s="8">
        <f t="shared" si="2"/>
        <v>0.55865731475366442</v>
      </c>
      <c r="J47" s="8">
        <f t="shared" si="3"/>
        <v>0.50117546859544493</v>
      </c>
    </row>
    <row r="48" spans="2:10" x14ac:dyDescent="0.25">
      <c r="B48" s="1">
        <v>41000</v>
      </c>
      <c r="C48" s="5">
        <v>1686.15094694</v>
      </c>
      <c r="D48" s="5">
        <v>853.50431047000006</v>
      </c>
      <c r="E48" s="5">
        <v>705.64897599999995</v>
      </c>
      <c r="F48" s="5">
        <v>460.31071900000001</v>
      </c>
      <c r="G48" s="10">
        <f t="shared" si="0"/>
        <v>2391.7999229400002</v>
      </c>
      <c r="H48" s="10">
        <f t="shared" si="1"/>
        <v>1313.8150294700001</v>
      </c>
      <c r="I48" s="8">
        <f t="shared" si="2"/>
        <v>0.64545290151758983</v>
      </c>
      <c r="J48" s="8">
        <f t="shared" si="3"/>
        <v>0.5096605274771665</v>
      </c>
    </row>
    <row r="49" spans="2:10" x14ac:dyDescent="0.25">
      <c r="B49" s="1">
        <v>41030</v>
      </c>
      <c r="C49" s="5">
        <v>2811.50870872</v>
      </c>
      <c r="D49" s="5">
        <v>1599.8055503099999</v>
      </c>
      <c r="E49" s="5">
        <v>654.30118000000004</v>
      </c>
      <c r="F49" s="5">
        <v>733.37060599999995</v>
      </c>
      <c r="G49" s="10">
        <f t="shared" si="0"/>
        <v>3465.8098887199999</v>
      </c>
      <c r="H49" s="10">
        <f t="shared" si="1"/>
        <v>2333.1761563099999</v>
      </c>
      <c r="I49" s="8">
        <f t="shared" si="2"/>
        <v>0.59765791153961467</v>
      </c>
      <c r="J49" s="8">
        <f t="shared" si="3"/>
        <v>0.51695657399263506</v>
      </c>
    </row>
    <row r="50" spans="2:10" x14ac:dyDescent="0.25">
      <c r="B50" s="1">
        <v>41061</v>
      </c>
      <c r="C50" s="5">
        <v>1928.73198873</v>
      </c>
      <c r="D50" s="5">
        <v>1933.5335746800001</v>
      </c>
      <c r="E50" s="5">
        <v>1431.0790280000001</v>
      </c>
      <c r="F50" s="5">
        <v>1000.582467</v>
      </c>
      <c r="G50" s="10">
        <f t="shared" si="0"/>
        <v>3359.8110167300001</v>
      </c>
      <c r="H50" s="10">
        <f t="shared" si="1"/>
        <v>2934.1160416800003</v>
      </c>
      <c r="I50" s="8">
        <f t="shared" si="2"/>
        <v>0.53381791456267214</v>
      </c>
      <c r="J50" s="8">
        <f t="shared" si="3"/>
        <v>0.52036592672612858</v>
      </c>
    </row>
    <row r="51" spans="2:10" x14ac:dyDescent="0.25">
      <c r="B51" s="1">
        <v>41091</v>
      </c>
      <c r="C51" s="5">
        <v>2474.9928784699996</v>
      </c>
      <c r="D51" s="5">
        <v>2650.3830299599999</v>
      </c>
      <c r="E51" s="5">
        <v>838.14435100000003</v>
      </c>
      <c r="F51" s="5">
        <v>689.048269</v>
      </c>
      <c r="G51" s="10">
        <f t="shared" si="0"/>
        <v>3313.1372294699995</v>
      </c>
      <c r="H51" s="10">
        <f t="shared" si="1"/>
        <v>3339.4312989599998</v>
      </c>
      <c r="I51" s="8">
        <f t="shared" si="2"/>
        <v>0.49802376560439537</v>
      </c>
      <c r="J51" s="8">
        <f t="shared" si="3"/>
        <v>0.52470048062552443</v>
      </c>
    </row>
    <row r="52" spans="2:10" x14ac:dyDescent="0.25">
      <c r="B52" s="1">
        <v>41122</v>
      </c>
      <c r="C52" s="5">
        <v>2758.32790204</v>
      </c>
      <c r="D52" s="5">
        <v>3094.3305898600001</v>
      </c>
      <c r="E52" s="5">
        <v>1427.5400569999999</v>
      </c>
      <c r="F52" s="5">
        <v>822.36933799999997</v>
      </c>
      <c r="G52" s="10">
        <f t="shared" si="0"/>
        <v>4185.8679590399997</v>
      </c>
      <c r="H52" s="10">
        <f t="shared" si="1"/>
        <v>3916.6999278600001</v>
      </c>
      <c r="I52" s="8">
        <f t="shared" si="2"/>
        <v>0.51661004479920392</v>
      </c>
      <c r="J52" s="8">
        <f t="shared" si="3"/>
        <v>0.52705480035433216</v>
      </c>
    </row>
    <row r="53" spans="2:10" x14ac:dyDescent="0.25">
      <c r="B53" s="1">
        <v>41153</v>
      </c>
      <c r="C53" s="5">
        <v>3214.4061111300002</v>
      </c>
      <c r="D53" s="5">
        <v>2917.6214632199999</v>
      </c>
      <c r="E53" s="5">
        <v>1315.5551149999999</v>
      </c>
      <c r="F53" s="5">
        <v>1410.1802379999999</v>
      </c>
      <c r="G53" s="10">
        <f t="shared" si="0"/>
        <v>4529.9612261299999</v>
      </c>
      <c r="H53" s="10">
        <f t="shared" si="1"/>
        <v>4327.8017012199998</v>
      </c>
      <c r="I53" s="8">
        <f t="shared" si="2"/>
        <v>0.51141143235420061</v>
      </c>
      <c r="J53" s="8">
        <f t="shared" si="3"/>
        <v>0.5331179935816539</v>
      </c>
    </row>
    <row r="54" spans="2:10" x14ac:dyDescent="0.25">
      <c r="B54" s="1">
        <v>41183</v>
      </c>
      <c r="C54" s="5">
        <v>2336.5656242499999</v>
      </c>
      <c r="D54" s="5">
        <v>2042.1274472</v>
      </c>
      <c r="E54" s="5">
        <v>1971.630467</v>
      </c>
      <c r="F54" s="5">
        <v>1838.4637130000001</v>
      </c>
      <c r="G54" s="10">
        <f t="shared" si="0"/>
        <v>4308.1960912499999</v>
      </c>
      <c r="H54" s="10">
        <f t="shared" si="1"/>
        <v>3880.5911602000001</v>
      </c>
      <c r="I54" s="8">
        <f t="shared" si="2"/>
        <v>0.52610917330733464</v>
      </c>
      <c r="J54" s="8">
        <f t="shared" si="3"/>
        <v>0.54615494798240494</v>
      </c>
    </row>
    <row r="55" spans="2:10" x14ac:dyDescent="0.25">
      <c r="B55" s="1">
        <v>41214</v>
      </c>
      <c r="C55" s="5">
        <v>4573.57854382</v>
      </c>
      <c r="D55" s="5">
        <v>3705.7769991300001</v>
      </c>
      <c r="E55" s="5">
        <v>2324.1323400000001</v>
      </c>
      <c r="F55" s="5">
        <v>1977.6695790000001</v>
      </c>
      <c r="G55" s="10">
        <f t="shared" si="0"/>
        <v>6897.7108838200002</v>
      </c>
      <c r="H55" s="10">
        <f t="shared" si="1"/>
        <v>5683.4465781300005</v>
      </c>
      <c r="I55" s="8">
        <f t="shared" si="2"/>
        <v>0.54825725730571206</v>
      </c>
      <c r="J55" s="8">
        <f t="shared" si="3"/>
        <v>0.55946910022552621</v>
      </c>
    </row>
    <row r="56" spans="2:10" x14ac:dyDescent="0.25">
      <c r="B56" s="1">
        <v>41244</v>
      </c>
      <c r="C56" s="5">
        <v>2507.9353104899997</v>
      </c>
      <c r="D56" s="5">
        <v>1215.7191757000001</v>
      </c>
      <c r="E56" s="5">
        <v>1108.6370750000001</v>
      </c>
      <c r="F56" s="5">
        <v>508.22626700000001</v>
      </c>
      <c r="G56" s="10">
        <f t="shared" si="0"/>
        <v>3616.5723854899998</v>
      </c>
      <c r="H56" s="10">
        <f t="shared" si="1"/>
        <v>1723.9454427000001</v>
      </c>
      <c r="I56" s="8">
        <f t="shared" si="2"/>
        <v>0.67719507767577714</v>
      </c>
      <c r="J56" s="8">
        <f t="shared" si="3"/>
        <v>0.56441019651481816</v>
      </c>
    </row>
    <row r="57" spans="2:10" x14ac:dyDescent="0.25">
      <c r="B57" s="1">
        <v>41275</v>
      </c>
      <c r="C57" s="5">
        <v>3266.92441263</v>
      </c>
      <c r="D57" s="5">
        <v>3316.37946199</v>
      </c>
      <c r="E57" s="5">
        <v>1516.281743</v>
      </c>
      <c r="F57" s="5">
        <v>1318.93094</v>
      </c>
      <c r="G57" s="10">
        <f t="shared" si="0"/>
        <v>4783.2061556299996</v>
      </c>
      <c r="H57" s="10">
        <f t="shared" si="1"/>
        <v>4635.3104019900002</v>
      </c>
      <c r="I57" s="8">
        <f t="shared" si="2"/>
        <v>0.50785132949202838</v>
      </c>
      <c r="J57" s="8">
        <f t="shared" si="3"/>
        <v>0.56155954252220297</v>
      </c>
    </row>
    <row r="58" spans="2:10" x14ac:dyDescent="0.25">
      <c r="B58" s="1">
        <v>41306</v>
      </c>
      <c r="C58" s="5">
        <v>3488.8091495799999</v>
      </c>
      <c r="D58" s="5">
        <v>1890.68509546</v>
      </c>
      <c r="E58" s="5">
        <v>1615.6254799999999</v>
      </c>
      <c r="F58" s="5">
        <v>1051.991712</v>
      </c>
      <c r="G58" s="10">
        <f t="shared" si="0"/>
        <v>5104.4346295799996</v>
      </c>
      <c r="H58" s="10">
        <f t="shared" si="1"/>
        <v>2942.67680746</v>
      </c>
      <c r="I58" s="8">
        <f t="shared" si="2"/>
        <v>0.63431886951196292</v>
      </c>
      <c r="J58" s="8">
        <f t="shared" si="3"/>
        <v>0.56294691603534641</v>
      </c>
    </row>
    <row r="59" spans="2:10" x14ac:dyDescent="0.25">
      <c r="B59" s="1">
        <v>41334</v>
      </c>
      <c r="C59" s="5">
        <v>2657.4002309799998</v>
      </c>
      <c r="D59" s="5">
        <v>2119.3461697500002</v>
      </c>
      <c r="E59" s="5">
        <v>2208.524907</v>
      </c>
      <c r="F59" s="5">
        <v>1363.3183079999999</v>
      </c>
      <c r="G59" s="10">
        <f t="shared" si="0"/>
        <v>4865.9251379799998</v>
      </c>
      <c r="H59" s="10">
        <f t="shared" si="1"/>
        <v>3482.6644777500001</v>
      </c>
      <c r="I59" s="8">
        <f t="shared" si="2"/>
        <v>0.58284397268873589</v>
      </c>
      <c r="J59" s="8">
        <f t="shared" si="3"/>
        <v>0.56496247086326901</v>
      </c>
    </row>
    <row r="60" spans="2:10" x14ac:dyDescent="0.25">
      <c r="B60" s="1">
        <v>41365</v>
      </c>
      <c r="C60" s="5">
        <v>3031.5269466700001</v>
      </c>
      <c r="D60" s="5">
        <v>2274.4226723400002</v>
      </c>
      <c r="E60" s="5">
        <v>1654.8276350000001</v>
      </c>
      <c r="F60" s="5">
        <v>572.66619100000003</v>
      </c>
      <c r="G60" s="10">
        <f t="shared" si="0"/>
        <v>4686.3545816700007</v>
      </c>
      <c r="H60" s="10">
        <f t="shared" si="1"/>
        <v>2847.08886334</v>
      </c>
      <c r="I60" s="8">
        <f t="shared" si="2"/>
        <v>0.62207337399926277</v>
      </c>
      <c r="J60" s="8">
        <f t="shared" si="3"/>
        <v>0.56301417690340838</v>
      </c>
    </row>
    <row r="61" spans="2:10" x14ac:dyDescent="0.25">
      <c r="B61" s="1">
        <v>41395</v>
      </c>
      <c r="C61" s="5">
        <v>3372.1214299600001</v>
      </c>
      <c r="D61" s="5">
        <v>2021.0620334600001</v>
      </c>
      <c r="E61" s="5">
        <v>1583.510845</v>
      </c>
      <c r="F61" s="5">
        <v>735.22635200000002</v>
      </c>
      <c r="G61" s="10">
        <f t="shared" si="0"/>
        <v>4955.6322749600004</v>
      </c>
      <c r="H61" s="10">
        <f t="shared" si="1"/>
        <v>2756.28838546</v>
      </c>
      <c r="I61" s="8">
        <f t="shared" si="2"/>
        <v>0.64259378346484575</v>
      </c>
      <c r="J61" s="8">
        <f t="shared" si="3"/>
        <v>0.56675883289717777</v>
      </c>
    </row>
    <row r="62" spans="2:10" x14ac:dyDescent="0.25">
      <c r="B62" s="1">
        <v>41426</v>
      </c>
      <c r="C62" s="5">
        <v>3112.9677324200002</v>
      </c>
      <c r="D62" s="5">
        <v>2420.6405753700001</v>
      </c>
      <c r="E62" s="5">
        <v>1926.5647819999999</v>
      </c>
      <c r="F62" s="5">
        <v>736.24134500000002</v>
      </c>
      <c r="G62" s="10">
        <f t="shared" si="0"/>
        <v>5039.5325144199996</v>
      </c>
      <c r="H62" s="10">
        <f t="shared" si="1"/>
        <v>3156.88192037</v>
      </c>
      <c r="I62" s="8">
        <f t="shared" si="2"/>
        <v>0.61484598595082107</v>
      </c>
      <c r="J62" s="8">
        <f t="shared" si="3"/>
        <v>0.57351117217952341</v>
      </c>
    </row>
    <row r="63" spans="2:10" x14ac:dyDescent="0.25">
      <c r="B63" s="1">
        <v>41456</v>
      </c>
      <c r="C63" s="5">
        <v>3536.8480260599999</v>
      </c>
      <c r="D63" s="5">
        <v>1887.0407403900001</v>
      </c>
      <c r="E63" s="5">
        <v>1762.4637929999999</v>
      </c>
      <c r="F63" s="5">
        <v>722.77097800000001</v>
      </c>
      <c r="G63" s="10">
        <f t="shared" si="0"/>
        <v>5299.3118190599998</v>
      </c>
      <c r="H63" s="10">
        <f t="shared" si="1"/>
        <v>2609.8117183900004</v>
      </c>
      <c r="I63" s="8">
        <f t="shared" si="2"/>
        <v>0.6700251670071351</v>
      </c>
      <c r="J63" s="8">
        <f t="shared" si="3"/>
        <v>0.58784462229641843</v>
      </c>
    </row>
    <row r="64" spans="2:10" x14ac:dyDescent="0.25">
      <c r="B64" s="1">
        <v>41487</v>
      </c>
      <c r="C64" s="5">
        <v>3201.45095231</v>
      </c>
      <c r="D64" s="5">
        <v>1636.01085556</v>
      </c>
      <c r="E64" s="5">
        <v>1625.280334</v>
      </c>
      <c r="F64" s="5">
        <v>641.97955000000002</v>
      </c>
      <c r="G64" s="10">
        <f t="shared" si="0"/>
        <v>4826.7312863099996</v>
      </c>
      <c r="H64" s="10">
        <f t="shared" si="1"/>
        <v>2277.99040556</v>
      </c>
      <c r="I64" s="8">
        <f t="shared" si="2"/>
        <v>0.67936950884835845</v>
      </c>
      <c r="J64" s="8">
        <f t="shared" si="3"/>
        <v>0.60140791096718116</v>
      </c>
    </row>
    <row r="65" spans="2:10" x14ac:dyDescent="0.25">
      <c r="B65" s="1">
        <v>41518</v>
      </c>
      <c r="C65" s="5">
        <v>2429.21463318</v>
      </c>
      <c r="D65" s="5">
        <v>958.34876932000009</v>
      </c>
      <c r="E65" s="5">
        <v>1137.7817789999999</v>
      </c>
      <c r="F65" s="5">
        <v>444.25852800000001</v>
      </c>
      <c r="G65" s="10">
        <f t="shared" si="0"/>
        <v>3566.9964121799999</v>
      </c>
      <c r="H65" s="10">
        <f t="shared" si="1"/>
        <v>1402.60729732</v>
      </c>
      <c r="I65" s="8">
        <f t="shared" si="2"/>
        <v>0.71776274743220547</v>
      </c>
      <c r="J65" s="8">
        <f t="shared" si="3"/>
        <v>0.61860385389034833</v>
      </c>
    </row>
    <row r="66" spans="2:10" x14ac:dyDescent="0.25">
      <c r="B66" s="1">
        <v>41548</v>
      </c>
      <c r="C66" s="5">
        <v>2234.5704828400003</v>
      </c>
      <c r="D66" s="5">
        <v>842.28239176</v>
      </c>
      <c r="E66" s="5">
        <v>867.52593100000001</v>
      </c>
      <c r="F66" s="5">
        <v>422.31842499999999</v>
      </c>
      <c r="G66" s="10">
        <f t="shared" si="0"/>
        <v>3102.0964138400004</v>
      </c>
      <c r="H66" s="10">
        <f t="shared" si="1"/>
        <v>1264.60081676</v>
      </c>
      <c r="I66" s="8">
        <f t="shared" si="2"/>
        <v>0.71039878654782773</v>
      </c>
      <c r="J66" s="8">
        <f t="shared" si="3"/>
        <v>0.63396132166038932</v>
      </c>
    </row>
    <row r="67" spans="2:10" x14ac:dyDescent="0.25">
      <c r="B67" s="1">
        <v>41579</v>
      </c>
      <c r="C67" s="5">
        <v>1817.0611557</v>
      </c>
      <c r="D67" s="5">
        <v>778.89035117999993</v>
      </c>
      <c r="E67" s="5">
        <v>934.82079399999998</v>
      </c>
      <c r="F67" s="5">
        <v>358.176827</v>
      </c>
      <c r="G67" s="10">
        <f t="shared" si="0"/>
        <v>2751.8819497</v>
      </c>
      <c r="H67" s="10">
        <f t="shared" si="1"/>
        <v>1137.0671781799999</v>
      </c>
      <c r="I67" s="8">
        <f t="shared" si="2"/>
        <v>0.70761582607796825</v>
      </c>
      <c r="J67" s="8">
        <f t="shared" si="3"/>
        <v>0.6472412023914107</v>
      </c>
    </row>
    <row r="68" spans="2:10" x14ac:dyDescent="0.25">
      <c r="B68" s="1">
        <v>41609</v>
      </c>
      <c r="C68" s="5">
        <v>1674.904998</v>
      </c>
      <c r="D68" s="5">
        <v>648.23690099999999</v>
      </c>
      <c r="E68" s="5">
        <v>1143.211818</v>
      </c>
      <c r="F68" s="5">
        <v>508.81415199999998</v>
      </c>
      <c r="G68" s="10">
        <f t="shared" ref="G68:G92" si="4">C68+E68</f>
        <v>2818.1168159999997</v>
      </c>
      <c r="H68" s="10">
        <f t="shared" ref="H68:H92" si="5">D68+F68</f>
        <v>1157.0510529999999</v>
      </c>
      <c r="I68" s="8">
        <f t="shared" ref="I68:I92" si="6">G68/(G68+H68)</f>
        <v>0.7089302663107232</v>
      </c>
      <c r="J68" s="8">
        <f t="shared" si="3"/>
        <v>0.64988580144432284</v>
      </c>
    </row>
    <row r="69" spans="2:10" x14ac:dyDescent="0.25">
      <c r="B69" s="1">
        <v>41640</v>
      </c>
      <c r="C69" s="5">
        <v>1289.4644701</v>
      </c>
      <c r="D69" s="5">
        <v>392.92329312999999</v>
      </c>
      <c r="E69" s="5">
        <v>970.39541499999996</v>
      </c>
      <c r="F69" s="5">
        <v>333.04071299999998</v>
      </c>
      <c r="G69" s="10">
        <f t="shared" si="4"/>
        <v>2259.8598850999997</v>
      </c>
      <c r="H69" s="10">
        <f t="shared" si="5"/>
        <v>725.96400612999992</v>
      </c>
      <c r="I69" s="8">
        <f t="shared" si="6"/>
        <v>0.75686308617788522</v>
      </c>
      <c r="J69" s="8">
        <f t="shared" si="3"/>
        <v>0.67063678116814429</v>
      </c>
    </row>
    <row r="70" spans="2:10" x14ac:dyDescent="0.25">
      <c r="B70" s="1">
        <v>41671</v>
      </c>
      <c r="C70" s="5">
        <v>1289.68425688</v>
      </c>
      <c r="D70" s="5">
        <v>365.05925343000001</v>
      </c>
      <c r="E70" s="5">
        <v>914.67768799999999</v>
      </c>
      <c r="F70" s="5">
        <v>210.52046000000001</v>
      </c>
      <c r="G70" s="10">
        <f t="shared" si="4"/>
        <v>2204.36194488</v>
      </c>
      <c r="H70" s="10">
        <f t="shared" si="5"/>
        <v>575.57971343000008</v>
      </c>
      <c r="I70" s="8">
        <f t="shared" si="6"/>
        <v>0.79295259247278227</v>
      </c>
      <c r="J70" s="8">
        <f t="shared" si="3"/>
        <v>0.68385625808154593</v>
      </c>
    </row>
    <row r="71" spans="2:10" x14ac:dyDescent="0.25">
      <c r="B71" s="1">
        <v>41699</v>
      </c>
      <c r="C71" s="5">
        <v>1083.6101114999999</v>
      </c>
      <c r="D71" s="5">
        <v>230.34604300000001</v>
      </c>
      <c r="E71" s="5">
        <v>676.41484100000002</v>
      </c>
      <c r="F71" s="5">
        <v>306.40432399999997</v>
      </c>
      <c r="G71" s="10">
        <f t="shared" si="4"/>
        <v>1760.0249524999999</v>
      </c>
      <c r="H71" s="10">
        <f t="shared" si="5"/>
        <v>536.75036699999998</v>
      </c>
      <c r="I71" s="8">
        <f t="shared" si="6"/>
        <v>0.76630262331587196</v>
      </c>
      <c r="J71" s="8">
        <f t="shared" si="3"/>
        <v>0.6991444789671406</v>
      </c>
    </row>
    <row r="72" spans="2:10" x14ac:dyDescent="0.25">
      <c r="B72" s="1">
        <v>41730</v>
      </c>
      <c r="C72" s="5">
        <v>1353.4727244999999</v>
      </c>
      <c r="D72" s="5">
        <v>278.39926800000001</v>
      </c>
      <c r="E72" s="5">
        <v>882.30373499999996</v>
      </c>
      <c r="F72" s="5">
        <v>369.74398100000002</v>
      </c>
      <c r="G72" s="10">
        <f t="shared" si="4"/>
        <v>2235.7764594999999</v>
      </c>
      <c r="H72" s="10">
        <f t="shared" si="5"/>
        <v>648.14324899999997</v>
      </c>
      <c r="I72" s="8">
        <f t="shared" si="6"/>
        <v>0.77525613938221749</v>
      </c>
      <c r="J72" s="8">
        <f t="shared" si="3"/>
        <v>0.71190970941572029</v>
      </c>
    </row>
    <row r="73" spans="2:10" x14ac:dyDescent="0.25">
      <c r="B73" s="1">
        <v>41760</v>
      </c>
      <c r="C73" s="5">
        <v>1307.60900225</v>
      </c>
      <c r="D73" s="5">
        <v>337.93402900000001</v>
      </c>
      <c r="E73" s="5">
        <v>922.53741100000002</v>
      </c>
      <c r="F73" s="5">
        <v>371.025644</v>
      </c>
      <c r="G73" s="10">
        <f t="shared" si="4"/>
        <v>2230.14641325</v>
      </c>
      <c r="H73" s="10">
        <f t="shared" si="5"/>
        <v>708.95967300000007</v>
      </c>
      <c r="I73" s="8">
        <f t="shared" si="6"/>
        <v>0.75878391177619575</v>
      </c>
      <c r="J73" s="8">
        <f t="shared" si="3"/>
        <v>0.72159222010833268</v>
      </c>
    </row>
    <row r="74" spans="2:10" x14ac:dyDescent="0.25">
      <c r="B74" s="1">
        <v>41791</v>
      </c>
      <c r="C74" s="5">
        <v>1512.22689494</v>
      </c>
      <c r="D74" s="5">
        <v>320.12184158999997</v>
      </c>
      <c r="E74" s="5">
        <v>1086.9599599999999</v>
      </c>
      <c r="F74" s="5">
        <v>378.30252400000001</v>
      </c>
      <c r="G74" s="10">
        <f t="shared" si="4"/>
        <v>2599.1868549399996</v>
      </c>
      <c r="H74" s="10">
        <f t="shared" si="5"/>
        <v>698.42436558999998</v>
      </c>
      <c r="I74" s="8">
        <f t="shared" si="6"/>
        <v>0.78820293876918956</v>
      </c>
      <c r="J74" s="8">
        <f t="shared" si="3"/>
        <v>0.73603863284319682</v>
      </c>
    </row>
    <row r="75" spans="2:10" x14ac:dyDescent="0.25">
      <c r="B75" s="1">
        <v>41821</v>
      </c>
      <c r="C75" s="5">
        <v>1811.3508416</v>
      </c>
      <c r="D75" s="5">
        <v>563.01381339</v>
      </c>
      <c r="E75" s="5">
        <v>1177.0238199999999</v>
      </c>
      <c r="F75" s="5">
        <v>501.973096</v>
      </c>
      <c r="G75" s="10">
        <f t="shared" si="4"/>
        <v>2988.3746615999999</v>
      </c>
      <c r="H75" s="10">
        <f t="shared" si="5"/>
        <v>1064.9869093899999</v>
      </c>
      <c r="I75" s="8">
        <f t="shared" si="6"/>
        <v>0.73725834946180591</v>
      </c>
      <c r="J75" s="8">
        <f t="shared" si="3"/>
        <v>0.74164139804775264</v>
      </c>
    </row>
    <row r="76" spans="2:10" x14ac:dyDescent="0.25">
      <c r="B76" s="1">
        <v>41852</v>
      </c>
      <c r="C76" s="5">
        <v>1855.7722049200001</v>
      </c>
      <c r="D76" s="5">
        <v>450.38803300000001</v>
      </c>
      <c r="E76" s="5">
        <v>1733.9586429999999</v>
      </c>
      <c r="F76" s="5">
        <v>531.234196</v>
      </c>
      <c r="G76" s="10">
        <f t="shared" si="4"/>
        <v>3589.7308479200001</v>
      </c>
      <c r="H76" s="10">
        <f t="shared" si="5"/>
        <v>981.62222900000006</v>
      </c>
      <c r="I76" s="8">
        <f t="shared" si="6"/>
        <v>0.78526659120774389</v>
      </c>
      <c r="J76" s="8">
        <f t="shared" ref="J76:J91" si="7">AVERAGE(I65:I76)</f>
        <v>0.75046615491103486</v>
      </c>
    </row>
    <row r="77" spans="2:10" x14ac:dyDescent="0.25">
      <c r="B77" s="1">
        <v>41883</v>
      </c>
      <c r="C77" s="5">
        <v>2064.97703929</v>
      </c>
      <c r="D77" s="5">
        <v>761.50597402999995</v>
      </c>
      <c r="E77" s="5">
        <v>1466.6099119999999</v>
      </c>
      <c r="F77" s="5">
        <v>518.46526100000005</v>
      </c>
      <c r="G77" s="10">
        <f t="shared" si="4"/>
        <v>3531.5869512899999</v>
      </c>
      <c r="H77" s="10">
        <f t="shared" si="5"/>
        <v>1279.9712350300001</v>
      </c>
      <c r="I77" s="8">
        <f t="shared" si="6"/>
        <v>0.7339798906164835</v>
      </c>
      <c r="J77" s="8">
        <f t="shared" si="7"/>
        <v>0.75181758350972461</v>
      </c>
    </row>
    <row r="78" spans="2:10" x14ac:dyDescent="0.25">
      <c r="B78" s="1">
        <v>41913</v>
      </c>
      <c r="C78" s="5">
        <v>2210.6425898499997</v>
      </c>
      <c r="D78" s="5">
        <v>542.71253945000001</v>
      </c>
      <c r="E78" s="5">
        <v>1522.533629</v>
      </c>
      <c r="F78" s="5">
        <v>553.547505</v>
      </c>
      <c r="G78" s="10">
        <f t="shared" si="4"/>
        <v>3733.1762188499997</v>
      </c>
      <c r="H78" s="10">
        <f t="shared" si="5"/>
        <v>1096.2600444499999</v>
      </c>
      <c r="I78" s="8">
        <f t="shared" si="6"/>
        <v>0.77300455277135904</v>
      </c>
      <c r="J78" s="8">
        <f t="shared" si="7"/>
        <v>0.75703473069501881</v>
      </c>
    </row>
    <row r="79" spans="2:10" x14ac:dyDescent="0.25">
      <c r="B79" s="1">
        <v>41944</v>
      </c>
      <c r="C79" s="5">
        <v>1566.5152306700002</v>
      </c>
      <c r="D79" s="5">
        <v>549.81780351999998</v>
      </c>
      <c r="E79" s="5">
        <v>1319.977834</v>
      </c>
      <c r="F79" s="5">
        <v>569.81535399999996</v>
      </c>
      <c r="G79" s="10">
        <f t="shared" si="4"/>
        <v>2886.4930646700004</v>
      </c>
      <c r="H79" s="10">
        <f t="shared" si="5"/>
        <v>1119.6331575199999</v>
      </c>
      <c r="I79" s="8">
        <f t="shared" si="6"/>
        <v>0.72051975014707892</v>
      </c>
      <c r="J79" s="8">
        <f t="shared" si="7"/>
        <v>0.75811005770077811</v>
      </c>
    </row>
    <row r="80" spans="2:10" x14ac:dyDescent="0.25">
      <c r="B80" s="1">
        <v>41974</v>
      </c>
      <c r="C80" s="5">
        <v>2631.61870494</v>
      </c>
      <c r="D80" s="5">
        <v>777.34849951000001</v>
      </c>
      <c r="E80" s="5">
        <v>1293.617589</v>
      </c>
      <c r="F80" s="5">
        <v>679.77570600000001</v>
      </c>
      <c r="G80" s="10">
        <f t="shared" si="4"/>
        <v>3925.23629394</v>
      </c>
      <c r="H80" s="10">
        <f t="shared" si="5"/>
        <v>1457.1242055100001</v>
      </c>
      <c r="I80" s="8">
        <f t="shared" si="6"/>
        <v>0.72927785018136615</v>
      </c>
      <c r="J80" s="8">
        <f t="shared" si="7"/>
        <v>0.7598056896899984</v>
      </c>
    </row>
    <row r="81" spans="2:10" x14ac:dyDescent="0.25">
      <c r="B81" s="1">
        <v>42005</v>
      </c>
      <c r="C81" s="5">
        <v>2154.82905669</v>
      </c>
      <c r="D81" s="5">
        <v>668.1967199500001</v>
      </c>
      <c r="E81" s="5">
        <v>1356.544165</v>
      </c>
      <c r="F81" s="5">
        <v>650.85162000000003</v>
      </c>
      <c r="G81" s="10">
        <f t="shared" si="4"/>
        <v>3511.3732216899998</v>
      </c>
      <c r="H81" s="10">
        <f t="shared" si="5"/>
        <v>1319.0483399500001</v>
      </c>
      <c r="I81" s="8">
        <f t="shared" si="6"/>
        <v>0.72692893919963308</v>
      </c>
      <c r="J81" s="8">
        <f t="shared" si="7"/>
        <v>0.75731117744181065</v>
      </c>
    </row>
    <row r="82" spans="2:10" x14ac:dyDescent="0.25">
      <c r="B82" s="1">
        <v>42036</v>
      </c>
      <c r="C82" s="5">
        <v>1934.94598163</v>
      </c>
      <c r="D82" s="5">
        <v>822.18405347999999</v>
      </c>
      <c r="E82" s="5">
        <v>1778.747398</v>
      </c>
      <c r="F82" s="5">
        <v>1043.5737799999999</v>
      </c>
      <c r="G82" s="10">
        <f t="shared" si="4"/>
        <v>3713.69337963</v>
      </c>
      <c r="H82" s="10">
        <f t="shared" si="5"/>
        <v>1865.75783348</v>
      </c>
      <c r="I82" s="8">
        <f t="shared" si="6"/>
        <v>0.66560190918131146</v>
      </c>
      <c r="J82" s="8">
        <f t="shared" si="7"/>
        <v>0.74669862050085467</v>
      </c>
    </row>
    <row r="83" spans="2:10" x14ac:dyDescent="0.25">
      <c r="B83" s="1">
        <v>42064</v>
      </c>
      <c r="C83" s="5">
        <v>2790.07478653</v>
      </c>
      <c r="D83" s="5">
        <v>1012.672909</v>
      </c>
      <c r="E83" s="5">
        <v>1470.927205</v>
      </c>
      <c r="F83" s="5">
        <v>1091.824916</v>
      </c>
      <c r="G83" s="10">
        <f t="shared" si="4"/>
        <v>4261.0019915299999</v>
      </c>
      <c r="H83" s="10">
        <f t="shared" si="5"/>
        <v>2104.4978249999999</v>
      </c>
      <c r="I83" s="8">
        <f t="shared" si="6"/>
        <v>0.66939001089356454</v>
      </c>
      <c r="J83" s="8">
        <f t="shared" si="7"/>
        <v>0.7386225694656624</v>
      </c>
    </row>
    <row r="84" spans="2:10" x14ac:dyDescent="0.25">
      <c r="B84" s="1">
        <v>42095</v>
      </c>
      <c r="C84" s="5">
        <v>2752.1356861500003</v>
      </c>
      <c r="D84" s="5">
        <v>1084.1778756199999</v>
      </c>
      <c r="E84" s="5">
        <v>2126.7917379999999</v>
      </c>
      <c r="F84" s="5">
        <v>835.02711099999999</v>
      </c>
      <c r="G84" s="10">
        <f t="shared" si="4"/>
        <v>4878.9274241500007</v>
      </c>
      <c r="H84" s="10">
        <f t="shared" si="5"/>
        <v>1919.20498662</v>
      </c>
      <c r="I84" s="8">
        <f t="shared" si="6"/>
        <v>0.71768643641311214</v>
      </c>
      <c r="J84" s="8">
        <f t="shared" si="7"/>
        <v>0.73382509421823683</v>
      </c>
    </row>
    <row r="85" spans="2:10" x14ac:dyDescent="0.25">
      <c r="B85" s="1">
        <v>42125</v>
      </c>
      <c r="C85" s="5">
        <v>2546.05884758</v>
      </c>
      <c r="D85" s="5">
        <v>775.87385640000002</v>
      </c>
      <c r="E85" s="5">
        <v>2006.962311</v>
      </c>
      <c r="F85" s="5">
        <v>1187.969632</v>
      </c>
      <c r="G85" s="10">
        <f t="shared" si="4"/>
        <v>4553.0211585799998</v>
      </c>
      <c r="H85" s="10">
        <f t="shared" si="5"/>
        <v>1963.8434884000001</v>
      </c>
      <c r="I85" s="8">
        <f t="shared" si="6"/>
        <v>0.69865209808982753</v>
      </c>
      <c r="J85" s="8">
        <f t="shared" si="7"/>
        <v>0.72881410974437288</v>
      </c>
    </row>
    <row r="86" spans="2:10" x14ac:dyDescent="0.25">
      <c r="B86" s="1">
        <v>42156</v>
      </c>
      <c r="C86" s="5">
        <v>2283.1162021599998</v>
      </c>
      <c r="D86" s="5">
        <v>1629.19225005</v>
      </c>
      <c r="E86" s="5">
        <v>2281.118813</v>
      </c>
      <c r="F86" s="5">
        <v>1180.7884120000001</v>
      </c>
      <c r="G86" s="10">
        <f t="shared" si="4"/>
        <v>4564.2350151600003</v>
      </c>
      <c r="H86" s="10">
        <f t="shared" si="5"/>
        <v>2809.9806620500003</v>
      </c>
      <c r="I86" s="8">
        <f t="shared" si="6"/>
        <v>0.61894514819599866</v>
      </c>
      <c r="J86" s="8">
        <f t="shared" si="7"/>
        <v>0.71470929386327375</v>
      </c>
    </row>
    <row r="87" spans="2:10" x14ac:dyDescent="0.25">
      <c r="B87" s="1">
        <v>42186</v>
      </c>
      <c r="C87" s="5">
        <v>2489.4073492399998</v>
      </c>
      <c r="D87" s="5">
        <v>859.17791709000005</v>
      </c>
      <c r="E87" s="5">
        <v>2056.4049989999999</v>
      </c>
      <c r="F87" s="5">
        <v>1247.0111320000001</v>
      </c>
      <c r="G87" s="10">
        <f t="shared" si="4"/>
        <v>4545.8123482399997</v>
      </c>
      <c r="H87" s="10">
        <f t="shared" si="5"/>
        <v>2106.18904909</v>
      </c>
      <c r="I87" s="8">
        <f t="shared" si="6"/>
        <v>0.68337513429636554</v>
      </c>
      <c r="J87" s="8">
        <f t="shared" si="7"/>
        <v>0.71021902593282038</v>
      </c>
    </row>
    <row r="88" spans="2:10" x14ac:dyDescent="0.25">
      <c r="B88" s="1">
        <v>42217</v>
      </c>
      <c r="C88" s="5">
        <v>2026.7750074200001</v>
      </c>
      <c r="D88" s="5">
        <v>921.54658600000005</v>
      </c>
      <c r="E88" s="5">
        <v>1635.9655749999999</v>
      </c>
      <c r="F88" s="5">
        <v>939.59904100000006</v>
      </c>
      <c r="G88" s="10">
        <f t="shared" si="4"/>
        <v>3662.74058242</v>
      </c>
      <c r="H88" s="10">
        <f t="shared" si="5"/>
        <v>1861.1456270000001</v>
      </c>
      <c r="I88" s="8">
        <f t="shared" si="6"/>
        <v>0.66307314154550301</v>
      </c>
      <c r="J88" s="8">
        <f t="shared" si="7"/>
        <v>0.70003623846096696</v>
      </c>
    </row>
    <row r="89" spans="2:10" x14ac:dyDescent="0.25">
      <c r="B89" s="1">
        <v>42248</v>
      </c>
      <c r="C89" s="5">
        <v>2628.62477833</v>
      </c>
      <c r="D89" s="5">
        <v>658.54760199999998</v>
      </c>
      <c r="E89" s="5">
        <v>1715.5863300000001</v>
      </c>
      <c r="F89" s="5">
        <v>593.17995599999995</v>
      </c>
      <c r="G89" s="10">
        <f t="shared" si="4"/>
        <v>4344.2111083300006</v>
      </c>
      <c r="H89" s="10">
        <f t="shared" si="5"/>
        <v>1251.727558</v>
      </c>
      <c r="I89" s="8">
        <f t="shared" si="6"/>
        <v>0.77631499688667527</v>
      </c>
      <c r="J89" s="8">
        <f t="shared" si="7"/>
        <v>0.70356416398348298</v>
      </c>
    </row>
    <row r="90" spans="2:10" x14ac:dyDescent="0.25">
      <c r="B90" s="1">
        <v>42278</v>
      </c>
      <c r="C90" s="5">
        <v>2318.8741494599999</v>
      </c>
      <c r="D90" s="5">
        <v>615.51446799999997</v>
      </c>
      <c r="E90" s="5">
        <v>1520.0727979999999</v>
      </c>
      <c r="F90" s="5">
        <v>496.14472799999999</v>
      </c>
      <c r="G90" s="10">
        <f t="shared" si="4"/>
        <v>3838.94694746</v>
      </c>
      <c r="H90" s="10">
        <f t="shared" si="5"/>
        <v>1111.6591960000001</v>
      </c>
      <c r="I90" s="8">
        <f t="shared" si="6"/>
        <v>0.77544988153247507</v>
      </c>
      <c r="J90" s="8">
        <f t="shared" si="7"/>
        <v>0.70376794138024268</v>
      </c>
    </row>
    <row r="91" spans="2:10" x14ac:dyDescent="0.25">
      <c r="B91" s="1">
        <v>42309</v>
      </c>
      <c r="C91" s="5">
        <v>1462.5360900000001</v>
      </c>
      <c r="D91" s="5">
        <v>626.75136999999995</v>
      </c>
      <c r="E91" s="5">
        <v>1299.679396</v>
      </c>
      <c r="F91" s="5">
        <v>332.354804</v>
      </c>
      <c r="G91" s="10">
        <f t="shared" si="4"/>
        <v>2762.2154860000001</v>
      </c>
      <c r="H91" s="10">
        <f t="shared" si="5"/>
        <v>959.10617400000001</v>
      </c>
      <c r="I91" s="8">
        <f t="shared" si="6"/>
        <v>0.74226732821585761</v>
      </c>
      <c r="J91" s="8">
        <f t="shared" si="7"/>
        <v>0.70558023955264104</v>
      </c>
    </row>
    <row r="92" spans="2:10" x14ac:dyDescent="0.25">
      <c r="B92" s="1">
        <v>42339</v>
      </c>
      <c r="C92" s="5">
        <v>1557.88292716</v>
      </c>
      <c r="D92" s="5">
        <v>223.20123799999999</v>
      </c>
      <c r="E92" s="5">
        <v>658.72982000000002</v>
      </c>
      <c r="F92" s="5">
        <v>193.53038599999999</v>
      </c>
      <c r="G92" s="10">
        <f t="shared" si="4"/>
        <v>2216.6127471600003</v>
      </c>
      <c r="H92" s="10">
        <f t="shared" si="5"/>
        <v>416.73162400000001</v>
      </c>
      <c r="I92" s="8">
        <f t="shared" si="6"/>
        <v>0.8417481478822203</v>
      </c>
      <c r="J92" s="8">
        <f>AVERAGE(I81:I92)</f>
        <v>0.71495276436104549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topLeftCell="A41" workbookViewId="0">
      <selection activeCell="T8" sqref="T8:V92"/>
    </sheetView>
  </sheetViews>
  <sheetFormatPr defaultRowHeight="15" x14ac:dyDescent="0.25"/>
  <cols>
    <col min="1" max="1" width="9.7109375" bestFit="1" customWidth="1"/>
    <col min="16" max="16" width="9.7109375" bestFit="1" customWidth="1"/>
  </cols>
  <sheetData>
    <row r="1" spans="1:22" x14ac:dyDescent="0.25">
      <c r="A1" t="s">
        <v>34</v>
      </c>
      <c r="B1" t="s">
        <v>53</v>
      </c>
      <c r="C1" t="s">
        <v>54</v>
      </c>
      <c r="D1" t="s">
        <v>55</v>
      </c>
      <c r="P1" t="s">
        <v>0</v>
      </c>
      <c r="Q1" t="s">
        <v>56</v>
      </c>
      <c r="R1" t="s">
        <v>57</v>
      </c>
      <c r="S1" t="s">
        <v>58</v>
      </c>
    </row>
    <row r="2" spans="1:22" x14ac:dyDescent="0.25">
      <c r="A2" s="1">
        <v>39692</v>
      </c>
      <c r="B2" s="19">
        <v>5.9562499999999998</v>
      </c>
      <c r="C2">
        <v>6.0701556241898498</v>
      </c>
      <c r="D2" s="19">
        <v>0.113905624189857</v>
      </c>
      <c r="E2">
        <v>0.11390562418985715</v>
      </c>
      <c r="P2" s="1">
        <v>39295</v>
      </c>
      <c r="Q2" s="19">
        <v>6.7605513961061403</v>
      </c>
      <c r="R2" s="19">
        <v>6.1397826588832798</v>
      </c>
      <c r="S2" s="19">
        <v>-0.62076873722285897</v>
      </c>
    </row>
    <row r="3" spans="1:22" x14ac:dyDescent="0.25">
      <c r="A3" s="1">
        <v>39722</v>
      </c>
      <c r="B3" s="19">
        <v>6.1050000000000004</v>
      </c>
      <c r="C3">
        <v>6.1743564958295796</v>
      </c>
      <c r="D3" s="19">
        <v>6.9356495829580006E-2</v>
      </c>
      <c r="E3">
        <v>6.9356495829580048E-2</v>
      </c>
      <c r="P3" s="1">
        <v>39326</v>
      </c>
      <c r="Q3" s="19">
        <v>6.7752399708706701</v>
      </c>
      <c r="R3" s="19">
        <v>6.1173027181590598</v>
      </c>
      <c r="S3" s="19">
        <v>-0.65793725271161096</v>
      </c>
    </row>
    <row r="4" spans="1:22" x14ac:dyDescent="0.25">
      <c r="A4" s="1">
        <v>39753</v>
      </c>
      <c r="B4" s="19">
        <v>6.0125000000000002</v>
      </c>
      <c r="C4">
        <v>6.0276198967576997</v>
      </c>
      <c r="D4" s="19">
        <v>1.5119896757704801E-2</v>
      </c>
      <c r="E4">
        <v>1.5119896757704856E-2</v>
      </c>
      <c r="P4" s="1">
        <v>39539</v>
      </c>
      <c r="Q4" s="19">
        <v>6.0194095850196199</v>
      </c>
      <c r="R4" s="19">
        <v>6.2597098907410702</v>
      </c>
      <c r="S4" s="19">
        <v>0.240300305721449</v>
      </c>
    </row>
    <row r="5" spans="1:22" x14ac:dyDescent="0.25">
      <c r="A5" s="1">
        <v>39783</v>
      </c>
      <c r="B5" s="19">
        <v>5.2159999999999904</v>
      </c>
      <c r="C5">
        <v>5.2012873773903197</v>
      </c>
      <c r="D5" s="19">
        <v>-1.4712622609676001E-2</v>
      </c>
      <c r="E5">
        <v>-1.4712622609676077E-2</v>
      </c>
      <c r="P5" s="1">
        <v>39569</v>
      </c>
      <c r="Q5" s="19">
        <v>5.9730570435023997</v>
      </c>
      <c r="R5" s="19">
        <v>6.3060541506054699</v>
      </c>
      <c r="S5" s="19">
        <v>0.33299710710306901</v>
      </c>
    </row>
    <row r="6" spans="1:22" x14ac:dyDescent="0.25">
      <c r="A6" s="1">
        <v>39814</v>
      </c>
      <c r="B6" s="19">
        <v>4.9662499999999996</v>
      </c>
      <c r="C6">
        <v>4.9956328615200496</v>
      </c>
      <c r="D6" s="19">
        <v>2.93828615200529E-2</v>
      </c>
      <c r="E6">
        <v>2.9382861520052858E-2</v>
      </c>
      <c r="P6" s="1">
        <v>39600</v>
      </c>
      <c r="Q6" s="19">
        <v>6.0393102462310297</v>
      </c>
      <c r="R6" s="19">
        <v>6.1826150653862202</v>
      </c>
      <c r="S6" s="19">
        <v>0.143304819155192</v>
      </c>
    </row>
    <row r="7" spans="1:22" x14ac:dyDescent="0.25">
      <c r="A7" s="1">
        <v>39845</v>
      </c>
      <c r="B7" s="19">
        <v>5.0612500000000002</v>
      </c>
      <c r="C7">
        <v>5.1343797053094704</v>
      </c>
      <c r="D7" s="19">
        <v>7.3129705309477294E-2</v>
      </c>
      <c r="E7">
        <v>7.3129705309477128E-2</v>
      </c>
      <c r="P7" s="1">
        <v>39630</v>
      </c>
      <c r="Q7" s="19">
        <v>6.1978833021442803</v>
      </c>
      <c r="R7" s="19">
        <v>6.1640205201495801</v>
      </c>
      <c r="S7" s="19">
        <v>-3.3862781994698603E-2</v>
      </c>
    </row>
    <row r="8" spans="1:22" x14ac:dyDescent="0.25">
      <c r="A8" s="1">
        <v>40210</v>
      </c>
      <c r="B8" s="19">
        <v>4.9149999999999903</v>
      </c>
      <c r="C8">
        <v>4.9562004955520802</v>
      </c>
      <c r="D8" s="19">
        <v>4.1200495552083799E-2</v>
      </c>
      <c r="E8">
        <v>9.9277941760562968E-2</v>
      </c>
      <c r="P8" s="1">
        <v>39661</v>
      </c>
      <c r="Q8" s="19">
        <v>6.4281367192970897</v>
      </c>
      <c r="R8" s="19">
        <v>6.4182708217871101</v>
      </c>
      <c r="S8" s="19">
        <v>-9.86589750998061E-3</v>
      </c>
      <c r="T8" s="19">
        <f>AVERAGE(S3:S8)</f>
        <v>2.4893832939033062E-3</v>
      </c>
      <c r="U8">
        <f>VLOOKUP(P8,Sheet1!A:D,4,0)</f>
        <v>6.3962499999999904</v>
      </c>
      <c r="V8" s="19">
        <f>T8+U8</f>
        <v>6.3987393832938935</v>
      </c>
    </row>
    <row r="9" spans="1:22" x14ac:dyDescent="0.25">
      <c r="A9" s="1">
        <v>40238</v>
      </c>
      <c r="B9" s="19">
        <v>4.91</v>
      </c>
      <c r="C9">
        <v>4.96152014487636</v>
      </c>
      <c r="D9" s="19">
        <v>5.1520144876367302E-2</v>
      </c>
      <c r="E9">
        <v>0.16462157392325005</v>
      </c>
      <c r="P9" s="1">
        <v>39692</v>
      </c>
      <c r="Q9" s="19">
        <v>6.5490096781125997</v>
      </c>
      <c r="R9" s="19">
        <v>6.5595698707767198</v>
      </c>
      <c r="S9" s="19">
        <v>1.0560192664111999E-2</v>
      </c>
      <c r="T9" s="19">
        <f>AVERAGE(S4:S9)</f>
        <v>0.11390562418985715</v>
      </c>
      <c r="U9">
        <f>VLOOKUP(P9,Sheet1!A:D,4,0)</f>
        <v>5.9562499999999998</v>
      </c>
      <c r="V9" s="19">
        <f t="shared" ref="V9:V72" si="0">T9+U9</f>
        <v>6.0701556241898569</v>
      </c>
    </row>
    <row r="10" spans="1:22" x14ac:dyDescent="0.25">
      <c r="A10" s="1">
        <v>40452</v>
      </c>
      <c r="B10" s="19">
        <v>4.1749999999999998</v>
      </c>
      <c r="C10">
        <v>4.2005629410036098</v>
      </c>
      <c r="D10" s="19">
        <v>2.55629410036122E-2</v>
      </c>
      <c r="E10">
        <v>0.18756755287463009</v>
      </c>
      <c r="P10" s="1">
        <v>39722</v>
      </c>
      <c r="Q10" s="19">
        <v>6.2767550847350098</v>
      </c>
      <c r="R10" s="19">
        <v>6.2497606202947997</v>
      </c>
      <c r="S10" s="19">
        <v>-2.69944644402135E-2</v>
      </c>
      <c r="T10" s="19">
        <f t="shared" ref="T9:T72" si="1">AVERAGE(S5:S10)</f>
        <v>6.9356495829580048E-2</v>
      </c>
      <c r="U10">
        <f>VLOOKUP(P10,Sheet1!A:D,4,0)</f>
        <v>6.1050000000000004</v>
      </c>
      <c r="V10" s="19">
        <f t="shared" si="0"/>
        <v>6.1743564958295805</v>
      </c>
    </row>
    <row r="11" spans="1:22" x14ac:dyDescent="0.25">
      <c r="A11" s="1">
        <v>40483</v>
      </c>
      <c r="B11" s="19">
        <v>4.2562499999999996</v>
      </c>
      <c r="C11">
        <v>4.2884528249242804</v>
      </c>
      <c r="D11" s="19">
        <v>3.2202824924286597E-2</v>
      </c>
      <c r="E11">
        <v>0.18795972329920396</v>
      </c>
      <c r="P11" s="1">
        <v>39753</v>
      </c>
      <c r="Q11" s="19">
        <v>6.0843538241089599</v>
      </c>
      <c r="R11" s="19">
        <v>6.0919313367807799</v>
      </c>
      <c r="S11" s="19">
        <v>7.5775126718178598E-3</v>
      </c>
      <c r="T11" s="19">
        <f t="shared" si="1"/>
        <v>1.5119896757704856E-2</v>
      </c>
      <c r="U11">
        <f>VLOOKUP(P11,Sheet1!A:D,4,0)</f>
        <v>6.0125000000000002</v>
      </c>
      <c r="V11" s="19">
        <f t="shared" si="0"/>
        <v>6.027619896757705</v>
      </c>
    </row>
    <row r="12" spans="1:22" x14ac:dyDescent="0.25">
      <c r="A12" s="1">
        <v>40513</v>
      </c>
      <c r="B12" s="19">
        <v>4.6489999999999903</v>
      </c>
      <c r="C12">
        <v>4.69174952015549</v>
      </c>
      <c r="D12" s="19">
        <v>4.2749520155496101E-2</v>
      </c>
      <c r="E12">
        <v>0.15595782285560281</v>
      </c>
      <c r="P12" s="1">
        <v>39783</v>
      </c>
      <c r="Q12" s="19">
        <v>6.2010146059014399</v>
      </c>
      <c r="R12" s="19">
        <v>6.1653243088523402</v>
      </c>
      <c r="S12" s="19">
        <v>-3.56902970490936E-2</v>
      </c>
      <c r="T12" s="19">
        <f t="shared" si="1"/>
        <v>-1.4712622609676077E-2</v>
      </c>
      <c r="U12">
        <f>VLOOKUP(P12,Sheet1!A:D,4,0)</f>
        <v>5.2159999999999904</v>
      </c>
      <c r="V12" s="19">
        <f t="shared" si="0"/>
        <v>5.2012873773903143</v>
      </c>
    </row>
    <row r="13" spans="1:22" x14ac:dyDescent="0.25">
      <c r="A13" s="1">
        <v>40544</v>
      </c>
      <c r="B13" s="19">
        <v>4.6987500000000004</v>
      </c>
      <c r="C13">
        <v>4.7419676111626403</v>
      </c>
      <c r="D13" s="19">
        <v>4.3217611162640397E-2</v>
      </c>
      <c r="E13">
        <v>0.12924272008363613</v>
      </c>
      <c r="P13" s="1">
        <v>39814</v>
      </c>
      <c r="Q13" s="19">
        <v>5.4941045666696304</v>
      </c>
      <c r="R13" s="19">
        <v>5.7248146894533001</v>
      </c>
      <c r="S13" s="19">
        <v>0.230710122783675</v>
      </c>
      <c r="T13" s="19">
        <f t="shared" si="1"/>
        <v>2.9382861520052858E-2</v>
      </c>
      <c r="U13">
        <f>VLOOKUP(P13,Sheet1!A:D,4,0)</f>
        <v>4.9662499999999996</v>
      </c>
      <c r="V13" s="19">
        <f t="shared" si="0"/>
        <v>4.9956328615200523</v>
      </c>
    </row>
    <row r="14" spans="1:22" x14ac:dyDescent="0.25">
      <c r="A14" s="1">
        <v>40575</v>
      </c>
      <c r="B14" s="19">
        <v>4.8775000000000004</v>
      </c>
      <c r="C14">
        <v>4.9049883753929597</v>
      </c>
      <c r="D14" s="19">
        <v>2.74883753929639E-2</v>
      </c>
      <c r="E14">
        <v>0.11333346095093237</v>
      </c>
      <c r="P14" s="1">
        <v>39845</v>
      </c>
      <c r="Q14" s="19">
        <v>4.9851842740583603</v>
      </c>
      <c r="R14" s="19">
        <v>5.2377994392849301</v>
      </c>
      <c r="S14" s="19">
        <v>0.25261516522656502</v>
      </c>
      <c r="T14" s="19">
        <f t="shared" si="1"/>
        <v>7.3129705309477128E-2</v>
      </c>
      <c r="U14">
        <f>VLOOKUP(P14,Sheet1!A:D,4,0)</f>
        <v>5.0612500000000002</v>
      </c>
      <c r="V14" s="19">
        <f t="shared" si="0"/>
        <v>5.1343797053094775</v>
      </c>
    </row>
    <row r="15" spans="1:22" x14ac:dyDescent="0.25">
      <c r="A15" s="1">
        <v>40603</v>
      </c>
      <c r="B15" s="19">
        <v>4.7610000000000001</v>
      </c>
      <c r="C15">
        <v>4.7625747614495504</v>
      </c>
      <c r="D15" s="19">
        <v>1.5747614495583799E-3</v>
      </c>
      <c r="E15">
        <v>6.4121135814383709E-2</v>
      </c>
      <c r="P15" s="1">
        <v>39904</v>
      </c>
      <c r="Q15" s="19">
        <v>4.9349450542595203</v>
      </c>
      <c r="R15" s="19">
        <v>5.1023946656301504</v>
      </c>
      <c r="S15" s="19">
        <v>0.167449611370627</v>
      </c>
      <c r="T15" s="19">
        <f t="shared" si="1"/>
        <v>9.9277941760562968E-2</v>
      </c>
      <c r="U15">
        <f>VLOOKUP(P15,Sheet1!A:D,4,0)</f>
        <v>4.7300000000000004</v>
      </c>
      <c r="V15" s="19">
        <f t="shared" si="0"/>
        <v>4.8292779417605631</v>
      </c>
    </row>
    <row r="16" spans="1:22" x14ac:dyDescent="0.25">
      <c r="A16" s="1">
        <v>40634</v>
      </c>
      <c r="B16" s="19">
        <v>4.75875</v>
      </c>
      <c r="C16">
        <v>4.7352885476024502</v>
      </c>
      <c r="D16" s="19">
        <v>-2.3461452397546299E-2</v>
      </c>
      <c r="E16">
        <v>4.1200495552083834E-2</v>
      </c>
      <c r="P16" s="1">
        <v>39934</v>
      </c>
      <c r="Q16" s="19">
        <v>4.8527841317032001</v>
      </c>
      <c r="R16" s="19">
        <v>5.2178514602391104</v>
      </c>
      <c r="S16" s="19">
        <v>0.36506732853590901</v>
      </c>
      <c r="T16" s="19">
        <f t="shared" si="1"/>
        <v>0.16462157392325005</v>
      </c>
      <c r="U16">
        <f>VLOOKUP(P16,Sheet1!A:D,4,0)</f>
        <v>4.7762500000000001</v>
      </c>
      <c r="V16" s="19">
        <f t="shared" si="0"/>
        <v>4.9408715739232498</v>
      </c>
    </row>
    <row r="17" spans="1:22" x14ac:dyDescent="0.25">
      <c r="A17" s="1">
        <v>40664</v>
      </c>
      <c r="B17" s="19">
        <v>4.5625</v>
      </c>
      <c r="C17">
        <v>4.5187503422341004</v>
      </c>
      <c r="D17" s="19">
        <v>-4.3749657765895802E-2</v>
      </c>
      <c r="E17">
        <v>5.1520144876367364E-2</v>
      </c>
      <c r="P17" s="1">
        <v>39995</v>
      </c>
      <c r="Q17" s="19">
        <v>4.9107224837791001</v>
      </c>
      <c r="R17" s="19">
        <v>5.0559758701591901</v>
      </c>
      <c r="S17" s="19">
        <v>0.14525338638009799</v>
      </c>
      <c r="T17" s="19">
        <f t="shared" si="1"/>
        <v>0.18756755287463009</v>
      </c>
      <c r="U17">
        <f>VLOOKUP(P17,Sheet1!A:D,4,0)</f>
        <v>5.1470000000000002</v>
      </c>
      <c r="V17" s="19">
        <f t="shared" si="0"/>
        <v>5.3345675528746304</v>
      </c>
    </row>
    <row r="18" spans="1:22" x14ac:dyDescent="0.25">
      <c r="A18" s="1">
        <v>40695</v>
      </c>
      <c r="B18" s="19">
        <v>4.4349999999999996</v>
      </c>
      <c r="C18">
        <v>4.3671109392398604</v>
      </c>
      <c r="D18" s="19">
        <v>-6.7889060760132694E-2</v>
      </c>
      <c r="E18">
        <v>4.8023845971587799E-2</v>
      </c>
      <c r="P18" s="1">
        <v>40057</v>
      </c>
      <c r="Q18" s="19">
        <v>5.2008485285435002</v>
      </c>
      <c r="R18" s="19">
        <v>5.16751125404185</v>
      </c>
      <c r="S18" s="19">
        <v>-3.3337274501650201E-2</v>
      </c>
      <c r="T18" s="19">
        <f t="shared" si="1"/>
        <v>0.18795972329920396</v>
      </c>
      <c r="U18">
        <f>VLOOKUP(P18,Sheet1!A:D,4,0)</f>
        <v>4.9539999999999997</v>
      </c>
      <c r="V18" s="19">
        <f t="shared" si="0"/>
        <v>5.1419597232992036</v>
      </c>
    </row>
    <row r="19" spans="1:22" x14ac:dyDescent="0.25">
      <c r="A19" s="1">
        <v>40725</v>
      </c>
      <c r="B19" s="19">
        <v>4.4762499999999896</v>
      </c>
      <c r="C19">
        <v>4.39981863181813</v>
      </c>
      <c r="D19" s="19">
        <v>-7.6431368181867895E-2</v>
      </c>
      <c r="E19">
        <v>3.3353369944277046E-2</v>
      </c>
      <c r="P19" s="1">
        <v>40087</v>
      </c>
      <c r="Q19" s="19">
        <v>5.20666140443097</v>
      </c>
      <c r="R19" s="19">
        <v>5.2453601245530299</v>
      </c>
      <c r="S19" s="19">
        <v>3.8698720122068E-2</v>
      </c>
      <c r="T19" s="19">
        <f t="shared" si="1"/>
        <v>0.15595782285560281</v>
      </c>
      <c r="U19">
        <f>VLOOKUP(P19,Sheet1!A:D,4,0)</f>
        <v>4.88</v>
      </c>
      <c r="V19" s="19">
        <f t="shared" si="0"/>
        <v>5.035957822855603</v>
      </c>
    </row>
    <row r="20" spans="1:22" x14ac:dyDescent="0.25">
      <c r="A20" s="1">
        <v>40756</v>
      </c>
      <c r="B20" s="19">
        <v>4.1900000000000004</v>
      </c>
      <c r="C20">
        <v>4.1169985573780803</v>
      </c>
      <c r="D20" s="19">
        <v>-7.3001442621915796E-2</v>
      </c>
      <c r="E20">
        <v>1.9278187927306852E-2</v>
      </c>
      <c r="P20" s="1">
        <v>40118</v>
      </c>
      <c r="Q20" s="19">
        <v>5.1040732087801297</v>
      </c>
      <c r="R20" s="19">
        <v>5.1963977573748998</v>
      </c>
      <c r="S20" s="19">
        <v>9.2324548594764994E-2</v>
      </c>
      <c r="T20" s="19">
        <f t="shared" si="1"/>
        <v>0.12924272008363613</v>
      </c>
      <c r="U20">
        <f>VLOOKUP(P20,Sheet1!A:D,4,0)</f>
        <v>4.8</v>
      </c>
      <c r="V20" s="19">
        <f t="shared" si="0"/>
        <v>4.9292427200836357</v>
      </c>
    </row>
    <row r="21" spans="1:22" x14ac:dyDescent="0.25">
      <c r="A21" s="1">
        <v>40787</v>
      </c>
      <c r="B21" s="19">
        <v>4.0025000000000004</v>
      </c>
      <c r="C21">
        <v>3.93087711892086</v>
      </c>
      <c r="D21" s="19">
        <v>-7.1622881079136794E-2</v>
      </c>
      <c r="E21">
        <v>1.1355765722416681E-2</v>
      </c>
      <c r="P21" s="1">
        <v>40148</v>
      </c>
      <c r="Q21" s="19">
        <v>5.0785057267615601</v>
      </c>
      <c r="R21" s="19">
        <v>5.1504997833359596</v>
      </c>
      <c r="S21" s="19">
        <v>7.19940565744044E-2</v>
      </c>
      <c r="T21" s="19">
        <f t="shared" si="1"/>
        <v>0.11333346095093237</v>
      </c>
      <c r="U21">
        <f>VLOOKUP(P21,Sheet1!A:D,4,0)</f>
        <v>4.8550000000000004</v>
      </c>
      <c r="V21" s="19">
        <f t="shared" si="0"/>
        <v>4.9683334609509329</v>
      </c>
    </row>
    <row r="22" spans="1:22" x14ac:dyDescent="0.25">
      <c r="A22" s="1">
        <v>40817</v>
      </c>
      <c r="B22" s="19">
        <v>4.0175000000000001</v>
      </c>
      <c r="C22">
        <v>3.9615919890013802</v>
      </c>
      <c r="D22" s="19">
        <v>-5.5908010998611903E-2</v>
      </c>
      <c r="E22">
        <v>1.987802263549136E-2</v>
      </c>
      <c r="P22" s="1">
        <v>40179</v>
      </c>
      <c r="Q22" s="19">
        <v>5.03520168394558</v>
      </c>
      <c r="R22" s="19">
        <v>5.1049950616622004</v>
      </c>
      <c r="S22" s="19">
        <v>6.9793377716617006E-2</v>
      </c>
      <c r="T22" s="19">
        <f t="shared" si="1"/>
        <v>6.4121135814383709E-2</v>
      </c>
      <c r="U22">
        <f>VLOOKUP(P22,Sheet1!A:D,4,0)</f>
        <v>4.9487500000000004</v>
      </c>
      <c r="V22" s="19">
        <f t="shared" si="0"/>
        <v>5.0128711358143843</v>
      </c>
    </row>
    <row r="23" spans="1:22" x14ac:dyDescent="0.25">
      <c r="A23" s="1">
        <v>40848</v>
      </c>
      <c r="B23" s="19">
        <v>3.919</v>
      </c>
      <c r="C23">
        <v>3.8848485719571899</v>
      </c>
      <c r="D23" s="19">
        <v>-3.4151428042800802E-2</v>
      </c>
      <c r="E23">
        <v>2.5562941003612265E-2</v>
      </c>
      <c r="P23" s="1">
        <v>40210</v>
      </c>
      <c r="Q23" s="19">
        <v>5.0797235582395697</v>
      </c>
      <c r="R23" s="19">
        <v>5.0874531030458696</v>
      </c>
      <c r="S23" s="19">
        <v>7.7295448062988104E-3</v>
      </c>
      <c r="T23" s="19">
        <f t="shared" si="1"/>
        <v>4.1200495552083834E-2</v>
      </c>
      <c r="U23">
        <f>VLOOKUP(P23,Sheet1!A:D,4,0)</f>
        <v>4.9149999999999903</v>
      </c>
      <c r="V23" s="19">
        <f t="shared" si="0"/>
        <v>4.956200495552074</v>
      </c>
    </row>
    <row r="24" spans="1:22" x14ac:dyDescent="0.25">
      <c r="A24" s="1">
        <v>40878</v>
      </c>
      <c r="B24" s="19">
        <v>3.8787500000000001</v>
      </c>
      <c r="C24">
        <v>3.8712191150512498</v>
      </c>
      <c r="D24" s="19">
        <v>-7.5308849487471501E-3</v>
      </c>
      <c r="E24">
        <v>3.2202824924286659E-2</v>
      </c>
      <c r="P24" s="1">
        <v>40238</v>
      </c>
      <c r="Q24" s="19">
        <v>5.1449206086791897</v>
      </c>
      <c r="R24" s="19">
        <v>5.1735012301232404</v>
      </c>
      <c r="S24" s="19">
        <v>2.8580621444051001E-2</v>
      </c>
      <c r="T24" s="19">
        <f t="shared" si="1"/>
        <v>5.1520144876367364E-2</v>
      </c>
      <c r="U24">
        <f>VLOOKUP(P24,Sheet1!A:D,4,0)</f>
        <v>4.91</v>
      </c>
      <c r="V24" s="19">
        <f t="shared" si="0"/>
        <v>4.9615201448763679</v>
      </c>
    </row>
    <row r="25" spans="1:22" x14ac:dyDescent="0.25">
      <c r="A25" s="1">
        <v>40909</v>
      </c>
      <c r="B25" s="19">
        <v>3.8525</v>
      </c>
      <c r="C25">
        <v>3.8684499925404401</v>
      </c>
      <c r="D25" s="19">
        <v>1.5949992540439401E-2</v>
      </c>
      <c r="E25">
        <v>4.2749520155496122E-2</v>
      </c>
      <c r="P25" s="1">
        <v>40299</v>
      </c>
      <c r="Q25" s="19">
        <v>5.16162244105253</v>
      </c>
      <c r="R25" s="19">
        <v>5.1793433677459202</v>
      </c>
      <c r="S25" s="19">
        <v>1.77209266933906E-2</v>
      </c>
      <c r="T25" s="19">
        <f t="shared" si="1"/>
        <v>4.8023845971587799E-2</v>
      </c>
      <c r="U25">
        <f>VLOOKUP(P25,Sheet1!A:D,4,0)</f>
        <v>4.8125</v>
      </c>
      <c r="V25" s="19">
        <f t="shared" si="0"/>
        <v>4.8605238459715876</v>
      </c>
    </row>
    <row r="26" spans="1:22" x14ac:dyDescent="0.25">
      <c r="A26" s="1">
        <v>40940</v>
      </c>
      <c r="B26" s="19">
        <v>3.8420000000000001</v>
      </c>
      <c r="C26">
        <v>3.87264266862246</v>
      </c>
      <c r="D26" s="19">
        <v>3.0642668622464501E-2</v>
      </c>
      <c r="E26">
        <v>4.3217611162640425E-2</v>
      </c>
      <c r="P26" s="1">
        <v>40330</v>
      </c>
      <c r="Q26" s="19">
        <v>5.18193026331718</v>
      </c>
      <c r="R26" s="19">
        <v>5.18623195574808</v>
      </c>
      <c r="S26" s="19">
        <v>4.30169243090047E-3</v>
      </c>
      <c r="T26" s="19">
        <f t="shared" si="1"/>
        <v>3.3353369944277046E-2</v>
      </c>
      <c r="U26">
        <f>VLOOKUP(P26,Sheet1!A:D,4,0)</f>
        <v>4.6359999999999904</v>
      </c>
      <c r="V26" s="19">
        <f t="shared" si="0"/>
        <v>4.6693533699442673</v>
      </c>
    </row>
    <row r="27" spans="1:22" x14ac:dyDescent="0.25">
      <c r="A27" s="1">
        <v>40969</v>
      </c>
      <c r="B27" s="19">
        <v>3.9112499999999999</v>
      </c>
      <c r="C27">
        <v>3.9630497817230901</v>
      </c>
      <c r="D27" s="19">
        <v>5.1799781723099098E-2</v>
      </c>
      <c r="E27">
        <v>2.7488375392963966E-2</v>
      </c>
      <c r="P27" s="1">
        <v>40360</v>
      </c>
      <c r="Q27" s="19">
        <v>5.0356139676405398</v>
      </c>
      <c r="R27" s="19">
        <v>5.0231569321131202</v>
      </c>
      <c r="S27" s="19">
        <v>-1.2457035527416799E-2</v>
      </c>
      <c r="T27" s="19">
        <f t="shared" si="1"/>
        <v>1.9278187927306852E-2</v>
      </c>
      <c r="U27">
        <f>VLOOKUP(P27,Sheet1!A:D,4,0)</f>
        <v>4.4849999999999897</v>
      </c>
      <c r="V27" s="19">
        <f t="shared" si="0"/>
        <v>4.5042781879272962</v>
      </c>
    </row>
    <row r="28" spans="1:22" x14ac:dyDescent="0.25">
      <c r="A28" s="1">
        <v>41000</v>
      </c>
      <c r="B28" s="19">
        <v>3.8412500000000001</v>
      </c>
      <c r="C28">
        <v>3.89498719377616</v>
      </c>
      <c r="D28" s="19">
        <v>5.37371937761612E-2</v>
      </c>
      <c r="E28">
        <v>1.5747614495583821E-3</v>
      </c>
      <c r="P28" s="1">
        <v>40391</v>
      </c>
      <c r="Q28" s="19">
        <v>4.8717388386204297</v>
      </c>
      <c r="R28" s="19">
        <v>4.8939976831076999</v>
      </c>
      <c r="S28" s="19">
        <v>2.2258844487276001E-2</v>
      </c>
      <c r="T28" s="19">
        <f t="shared" si="1"/>
        <v>1.1355765722416681E-2</v>
      </c>
      <c r="U28">
        <f>VLOOKUP(P28,Sheet1!A:D,4,0)</f>
        <v>4.3525</v>
      </c>
      <c r="V28" s="19">
        <f t="shared" si="0"/>
        <v>4.3638557657224171</v>
      </c>
    </row>
    <row r="29" spans="1:22" x14ac:dyDescent="0.25">
      <c r="A29" s="1">
        <v>41030</v>
      </c>
      <c r="B29" s="19">
        <v>3.738</v>
      </c>
      <c r="C29">
        <v>3.78012643392836</v>
      </c>
      <c r="D29" s="19">
        <v>4.2126433928359297E-2</v>
      </c>
      <c r="E29">
        <v>-2.3461452397546389E-2</v>
      </c>
      <c r="P29" s="1">
        <v>40422</v>
      </c>
      <c r="Q29" s="19">
        <v>4.7084595420125499</v>
      </c>
      <c r="R29" s="19">
        <v>4.7673226282972898</v>
      </c>
      <c r="S29" s="19">
        <v>5.8863086284746902E-2</v>
      </c>
      <c r="T29" s="19">
        <f t="shared" si="1"/>
        <v>1.987802263549136E-2</v>
      </c>
      <c r="U29">
        <f>VLOOKUP(P29,Sheet1!A:D,4,0)</f>
        <v>4.2759999999999998</v>
      </c>
      <c r="V29" s="19">
        <f t="shared" si="0"/>
        <v>4.2958780226354909</v>
      </c>
    </row>
    <row r="30" spans="1:22" x14ac:dyDescent="0.25">
      <c r="A30" s="1">
        <v>41061</v>
      </c>
      <c r="B30" s="19">
        <v>3.6</v>
      </c>
      <c r="C30">
        <v>3.62376692879484</v>
      </c>
      <c r="D30" s="19">
        <v>2.3766928794845599E-2</v>
      </c>
      <c r="E30">
        <v>-4.3749657765895837E-2</v>
      </c>
      <c r="P30" s="1">
        <v>40452</v>
      </c>
      <c r="Q30" s="19">
        <v>4.5849374666031899</v>
      </c>
      <c r="R30" s="19">
        <v>4.6476275982559603</v>
      </c>
      <c r="S30" s="19">
        <v>6.2690131652776399E-2</v>
      </c>
      <c r="T30" s="19">
        <f t="shared" si="1"/>
        <v>2.5562941003612265E-2</v>
      </c>
      <c r="U30">
        <f>VLOOKUP(P30,Sheet1!A:D,4,0)</f>
        <v>4.1749999999999998</v>
      </c>
      <c r="V30" s="19">
        <f t="shared" si="0"/>
        <v>4.2005629410036125</v>
      </c>
    </row>
    <row r="31" spans="1:22" x14ac:dyDescent="0.25">
      <c r="A31" s="1">
        <v>41091</v>
      </c>
      <c r="B31" s="19">
        <v>3.4812500000000002</v>
      </c>
      <c r="C31">
        <v>3.4926958388865699</v>
      </c>
      <c r="D31" s="19">
        <v>1.14458388865703E-2</v>
      </c>
      <c r="E31">
        <v>-6.7889060760132666E-2</v>
      </c>
      <c r="P31" s="1">
        <v>40483</v>
      </c>
      <c r="Q31" s="19">
        <v>4.5146059346933898</v>
      </c>
      <c r="R31" s="19">
        <v>4.5721661649108301</v>
      </c>
      <c r="S31" s="19">
        <v>5.7560230217437003E-2</v>
      </c>
      <c r="T31" s="19">
        <f t="shared" si="1"/>
        <v>3.2202824924286659E-2</v>
      </c>
      <c r="U31">
        <f>VLOOKUP(P31,Sheet1!A:D,4,0)</f>
        <v>4.2562499999999996</v>
      </c>
      <c r="V31" s="19">
        <f t="shared" si="0"/>
        <v>4.2884528249242866</v>
      </c>
    </row>
    <row r="32" spans="1:22" x14ac:dyDescent="0.25">
      <c r="A32" s="1">
        <v>41122</v>
      </c>
      <c r="B32" s="19">
        <v>3.512</v>
      </c>
      <c r="C32">
        <v>3.5256671752050401</v>
      </c>
      <c r="D32" s="19">
        <v>1.3667175205044801E-2</v>
      </c>
      <c r="E32">
        <v>-7.6431368181867868E-2</v>
      </c>
      <c r="P32" s="1">
        <v>40513</v>
      </c>
      <c r="Q32" s="19">
        <v>4.4360544202188699</v>
      </c>
      <c r="R32" s="19">
        <v>4.5036362840370199</v>
      </c>
      <c r="S32" s="19">
        <v>6.7581863818157201E-2</v>
      </c>
      <c r="T32" s="19">
        <f t="shared" si="1"/>
        <v>4.2749520155496122E-2</v>
      </c>
      <c r="U32">
        <f>VLOOKUP(P32,Sheet1!A:D,4,0)</f>
        <v>4.6489999999999903</v>
      </c>
      <c r="V32" s="19">
        <f t="shared" si="0"/>
        <v>4.6917495201554864</v>
      </c>
    </row>
    <row r="33" spans="1:22" x14ac:dyDescent="0.25">
      <c r="A33" s="1">
        <v>41153</v>
      </c>
      <c r="B33" s="19">
        <v>3.4037500000000001</v>
      </c>
      <c r="C33">
        <v>3.42175407432822</v>
      </c>
      <c r="D33" s="19">
        <v>1.8004074328229199E-2</v>
      </c>
      <c r="E33">
        <v>-7.3001442621915755E-2</v>
      </c>
      <c r="P33" s="1">
        <v>40544</v>
      </c>
      <c r="Q33" s="19">
        <v>4.5145333943469703</v>
      </c>
      <c r="R33" s="19">
        <v>4.5048849048624096</v>
      </c>
      <c r="S33" s="19">
        <v>-9.6484894845509199E-3</v>
      </c>
      <c r="T33" s="19">
        <f t="shared" si="1"/>
        <v>4.3217611162640425E-2</v>
      </c>
      <c r="U33">
        <f>VLOOKUP(P33,Sheet1!A:D,4,0)</f>
        <v>4.6987500000000004</v>
      </c>
      <c r="V33" s="19">
        <f t="shared" si="0"/>
        <v>4.7419676111626412</v>
      </c>
    </row>
    <row r="34" spans="1:22" x14ac:dyDescent="0.25">
      <c r="A34" s="1">
        <v>41183</v>
      </c>
      <c r="B34" s="19">
        <v>3.3039999999999998</v>
      </c>
      <c r="C34">
        <v>3.32453128560143</v>
      </c>
      <c r="D34" s="19">
        <v>2.0531285601439499E-2</v>
      </c>
      <c r="E34">
        <v>-7.1622881079136794E-2</v>
      </c>
      <c r="P34" s="1">
        <v>40575</v>
      </c>
      <c r="Q34" s="19">
        <v>4.7437274210884901</v>
      </c>
      <c r="R34" s="19">
        <v>4.6716108509577099</v>
      </c>
      <c r="S34" s="19">
        <v>-7.2116570130782806E-2</v>
      </c>
      <c r="T34" s="19">
        <f t="shared" si="1"/>
        <v>2.7488375392963966E-2</v>
      </c>
      <c r="U34">
        <f>VLOOKUP(P34,Sheet1!A:D,4,0)</f>
        <v>4.8775000000000004</v>
      </c>
      <c r="V34" s="19">
        <f t="shared" si="0"/>
        <v>4.9049883753929642</v>
      </c>
    </row>
    <row r="35" spans="1:22" x14ac:dyDescent="0.25">
      <c r="A35" s="1">
        <v>41214</v>
      </c>
      <c r="B35" s="19">
        <v>3.2737500000000002</v>
      </c>
      <c r="C35">
        <v>3.2946303041713998</v>
      </c>
      <c r="D35" s="19">
        <v>2.08803041714067E-2</v>
      </c>
      <c r="E35">
        <v>-5.5908010998611944E-2</v>
      </c>
      <c r="P35" s="1">
        <v>40603</v>
      </c>
      <c r="Q35" s="19">
        <v>4.9099129368095698</v>
      </c>
      <c r="R35" s="19">
        <v>4.8132943394338898</v>
      </c>
      <c r="S35" s="19">
        <v>-9.6618597375686593E-2</v>
      </c>
      <c r="T35" s="19">
        <f t="shared" si="1"/>
        <v>1.5747614495583821E-3</v>
      </c>
      <c r="U35">
        <f>VLOOKUP(P35,Sheet1!A:D,4,0)</f>
        <v>4.7610000000000001</v>
      </c>
      <c r="V35" s="19">
        <f t="shared" si="0"/>
        <v>4.7625747614495584</v>
      </c>
    </row>
    <row r="36" spans="1:22" x14ac:dyDescent="0.25">
      <c r="A36" s="1">
        <v>41244</v>
      </c>
      <c r="B36" s="19">
        <v>3.27</v>
      </c>
      <c r="C36">
        <v>3.2990100202592498</v>
      </c>
      <c r="D36" s="19">
        <v>2.9010020259250799E-2</v>
      </c>
      <c r="E36">
        <v>-3.4151428042800865E-2</v>
      </c>
      <c r="P36" s="1">
        <v>40634</v>
      </c>
      <c r="Q36" s="19">
        <v>5.0581254328550598</v>
      </c>
      <c r="R36" s="19">
        <v>4.9705982814252003</v>
      </c>
      <c r="S36" s="19">
        <v>-8.7527151429852207E-2</v>
      </c>
      <c r="T36" s="19">
        <f t="shared" si="1"/>
        <v>-2.3461452397546389E-2</v>
      </c>
      <c r="U36">
        <f>VLOOKUP(P36,Sheet1!A:D,4,0)</f>
        <v>4.75875</v>
      </c>
      <c r="V36" s="19">
        <f t="shared" si="0"/>
        <v>4.7352885476024538</v>
      </c>
    </row>
    <row r="37" spans="1:22" x14ac:dyDescent="0.25">
      <c r="A37" s="1">
        <v>41275</v>
      </c>
      <c r="B37" s="19">
        <v>3.339</v>
      </c>
      <c r="C37">
        <v>3.3743234714662198</v>
      </c>
      <c r="D37" s="19">
        <v>3.5323471466228301E-2</v>
      </c>
      <c r="E37">
        <v>-7.5308849487471406E-3</v>
      </c>
      <c r="P37" s="1">
        <v>40664</v>
      </c>
      <c r="Q37" s="19">
        <v>5.0707047706003303</v>
      </c>
      <c r="R37" s="19">
        <v>5.0065357686076704</v>
      </c>
      <c r="S37" s="19">
        <v>-6.4169001992659694E-2</v>
      </c>
      <c r="T37" s="19">
        <f t="shared" si="1"/>
        <v>-4.3749657765895837E-2</v>
      </c>
      <c r="U37">
        <f>VLOOKUP(P37,Sheet1!A:D,4,0)</f>
        <v>4.5625</v>
      </c>
      <c r="V37" s="19">
        <f t="shared" si="0"/>
        <v>4.518750342234104</v>
      </c>
    </row>
    <row r="38" spans="1:22" x14ac:dyDescent="0.25">
      <c r="A38" s="1">
        <v>41306</v>
      </c>
      <c r="B38" s="19">
        <v>3.4824999999999999</v>
      </c>
      <c r="C38">
        <v>3.5155598827533501</v>
      </c>
      <c r="D38" s="19">
        <v>3.3059882753356702E-2</v>
      </c>
      <c r="E38">
        <v>1.5949992540439408E-2</v>
      </c>
      <c r="P38" s="1">
        <v>40695</v>
      </c>
      <c r="Q38" s="19">
        <v>5.0282686971469799</v>
      </c>
      <c r="R38" s="19">
        <v>4.9510141429997203</v>
      </c>
      <c r="S38" s="19">
        <v>-7.7254554147263704E-2</v>
      </c>
      <c r="T38" s="19">
        <f t="shared" si="1"/>
        <v>-6.7889060760132666E-2</v>
      </c>
      <c r="U38">
        <f>VLOOKUP(P38,Sheet1!A:D,4,0)</f>
        <v>4.4349999999999996</v>
      </c>
      <c r="V38" s="19">
        <f t="shared" si="0"/>
        <v>4.3671109392398666</v>
      </c>
    </row>
    <row r="39" spans="1:22" x14ac:dyDescent="0.25">
      <c r="A39" s="1">
        <v>41334</v>
      </c>
      <c r="B39" s="19">
        <v>3.50875</v>
      </c>
      <c r="C39">
        <v>3.5372736993257701</v>
      </c>
      <c r="D39" s="19">
        <v>2.8523699325777301E-2</v>
      </c>
      <c r="E39">
        <v>3.0642668622464578E-2</v>
      </c>
      <c r="P39" s="1">
        <v>40725</v>
      </c>
      <c r="Q39" s="19">
        <v>4.8561517796547102</v>
      </c>
      <c r="R39" s="19">
        <v>4.7952494456397403</v>
      </c>
      <c r="S39" s="19">
        <v>-6.0902334014962201E-2</v>
      </c>
      <c r="T39" s="19">
        <f t="shared" si="1"/>
        <v>-7.6431368181867868E-2</v>
      </c>
      <c r="U39">
        <f>VLOOKUP(P39,Sheet1!A:D,4,0)</f>
        <v>4.4762499999999896</v>
      </c>
      <c r="V39" s="19">
        <f t="shared" si="0"/>
        <v>4.399818631818122</v>
      </c>
    </row>
    <row r="40" spans="1:22" x14ac:dyDescent="0.25">
      <c r="A40" s="1">
        <v>41365</v>
      </c>
      <c r="B40" s="19">
        <v>3.3887499999999999</v>
      </c>
      <c r="C40">
        <v>3.42024688986286</v>
      </c>
      <c r="D40" s="19">
        <v>3.1496889862868097E-2</v>
      </c>
      <c r="E40">
        <v>5.179978172309907E-2</v>
      </c>
      <c r="P40" s="1">
        <v>40756</v>
      </c>
      <c r="Q40" s="19">
        <v>4.7805422367337602</v>
      </c>
      <c r="R40" s="19">
        <v>4.7290052199626897</v>
      </c>
      <c r="S40" s="19">
        <v>-5.1537016771070102E-2</v>
      </c>
      <c r="T40" s="19">
        <f t="shared" si="1"/>
        <v>-7.3001442621915755E-2</v>
      </c>
      <c r="U40">
        <f>VLOOKUP(P40,Sheet1!A:D,4,0)</f>
        <v>4.1900000000000004</v>
      </c>
      <c r="V40" s="19">
        <f t="shared" si="0"/>
        <v>4.1169985573780847</v>
      </c>
    </row>
    <row r="41" spans="1:22" x14ac:dyDescent="0.25">
      <c r="A41" s="1">
        <v>41395</v>
      </c>
      <c r="B41" s="19">
        <v>3.4660000000000002</v>
      </c>
      <c r="C41">
        <v>3.5004916140910498</v>
      </c>
      <c r="D41" s="19">
        <v>3.4491614091056E-2</v>
      </c>
      <c r="E41">
        <v>5.3737193776161207E-2</v>
      </c>
      <c r="P41" s="1">
        <v>40787</v>
      </c>
      <c r="Q41" s="19">
        <v>4.6741572068506896</v>
      </c>
      <c r="R41" s="19">
        <v>4.5858099787316799</v>
      </c>
      <c r="S41" s="19">
        <v>-8.8347228119012897E-2</v>
      </c>
      <c r="T41" s="19">
        <f t="shared" si="1"/>
        <v>-7.1622881079136794E-2</v>
      </c>
      <c r="U41">
        <f>VLOOKUP(P41,Sheet1!A:D,4,0)</f>
        <v>4.0025000000000004</v>
      </c>
      <c r="V41" s="19">
        <f t="shared" si="0"/>
        <v>3.9308771189208636</v>
      </c>
    </row>
    <row r="42" spans="1:22" x14ac:dyDescent="0.25">
      <c r="A42" s="1">
        <v>41426</v>
      </c>
      <c r="B42" s="19">
        <v>4.0075000000000003</v>
      </c>
      <c r="C42">
        <v>4.0356089504141801</v>
      </c>
      <c r="D42" s="19">
        <v>2.8108950414181901E-2</v>
      </c>
      <c r="E42">
        <v>4.2126433928359304E-2</v>
      </c>
      <c r="P42" s="1">
        <v>40817</v>
      </c>
      <c r="Q42" s="19">
        <v>4.4204600731891901</v>
      </c>
      <c r="R42" s="19">
        <v>4.4272221422424902</v>
      </c>
      <c r="S42" s="19">
        <v>6.7620690532969596E-3</v>
      </c>
      <c r="T42" s="19">
        <f t="shared" si="1"/>
        <v>-5.5908010998611944E-2</v>
      </c>
      <c r="U42">
        <f>VLOOKUP(P42,Sheet1!A:D,4,0)</f>
        <v>4.0175000000000001</v>
      </c>
      <c r="V42" s="19">
        <f t="shared" si="0"/>
        <v>3.9615919890013882</v>
      </c>
    </row>
    <row r="43" spans="1:22" x14ac:dyDescent="0.25">
      <c r="A43" s="1">
        <v>41456</v>
      </c>
      <c r="B43" s="19">
        <v>4.3090000000000002</v>
      </c>
      <c r="C43">
        <v>4.3286208817887104</v>
      </c>
      <c r="D43" s="19">
        <v>1.9620881788709101E-2</v>
      </c>
      <c r="E43">
        <v>2.3766928794845665E-2</v>
      </c>
      <c r="P43" s="1">
        <v>40848</v>
      </c>
      <c r="Q43" s="19">
        <v>4.28105375257711</v>
      </c>
      <c r="R43" s="19">
        <v>4.34742424831932</v>
      </c>
      <c r="S43" s="19">
        <v>6.6370495742206798E-2</v>
      </c>
      <c r="T43" s="19">
        <f t="shared" si="1"/>
        <v>-3.4151428042800865E-2</v>
      </c>
      <c r="U43">
        <f>VLOOKUP(P43,Sheet1!A:D,4,0)</f>
        <v>3.919</v>
      </c>
      <c r="V43" s="19">
        <f t="shared" si="0"/>
        <v>3.8848485719571992</v>
      </c>
    </row>
    <row r="44" spans="1:22" x14ac:dyDescent="0.25">
      <c r="A44" s="1">
        <v>41487</v>
      </c>
      <c r="B44" s="19">
        <v>4.4037499999999996</v>
      </c>
      <c r="C44">
        <v>4.4210966635330502</v>
      </c>
      <c r="D44" s="19">
        <v>1.7346663533050401E-2</v>
      </c>
      <c r="E44">
        <v>1.1445838886570315E-2</v>
      </c>
      <c r="P44" s="1">
        <v>40878</v>
      </c>
      <c r="Q44" s="19">
        <v>4.2449824706395098</v>
      </c>
      <c r="R44" s="19">
        <v>4.3274511750565701</v>
      </c>
      <c r="S44" s="19">
        <v>8.24687044170586E-2</v>
      </c>
      <c r="T44" s="19">
        <f t="shared" si="1"/>
        <v>-7.5308849487471406E-3</v>
      </c>
      <c r="U44">
        <f>VLOOKUP(P44,Sheet1!A:D,4,0)</f>
        <v>3.8787500000000001</v>
      </c>
      <c r="V44" s="19">
        <f t="shared" si="0"/>
        <v>3.8712191150512529</v>
      </c>
    </row>
    <row r="45" spans="1:22" x14ac:dyDescent="0.25">
      <c r="A45" s="1">
        <v>41518</v>
      </c>
      <c r="B45" s="19">
        <v>4.4212499999999997</v>
      </c>
      <c r="C45">
        <v>4.4305903133144202</v>
      </c>
      <c r="D45" s="19">
        <v>9.34031331442833E-3</v>
      </c>
      <c r="E45">
        <v>1.3667175205044865E-2</v>
      </c>
      <c r="P45" s="1">
        <v>40909</v>
      </c>
      <c r="Q45" s="19">
        <v>4.2328555439995901</v>
      </c>
      <c r="R45" s="19">
        <v>4.3128384749197402</v>
      </c>
      <c r="S45" s="19">
        <v>7.9982930920157097E-2</v>
      </c>
      <c r="T45" s="19">
        <f t="shared" si="1"/>
        <v>1.5949992540439408E-2</v>
      </c>
      <c r="U45">
        <f>VLOOKUP(P45,Sheet1!A:D,4,0)</f>
        <v>3.8525</v>
      </c>
      <c r="V45" s="19">
        <f t="shared" si="0"/>
        <v>3.8684499925404396</v>
      </c>
    </row>
    <row r="46" spans="1:22" x14ac:dyDescent="0.25">
      <c r="A46" s="1">
        <v>41548</v>
      </c>
      <c r="B46" s="19">
        <v>4.1219999999999999</v>
      </c>
      <c r="C46">
        <v>4.1258068140376096</v>
      </c>
      <c r="D46" s="19">
        <v>3.8068140376138499E-3</v>
      </c>
      <c r="E46">
        <v>1.8004074328229164E-2</v>
      </c>
      <c r="P46" s="1">
        <v>40940</v>
      </c>
      <c r="Q46" s="19">
        <v>4.1717587416729902</v>
      </c>
      <c r="R46" s="19">
        <v>4.2083777813940699</v>
      </c>
      <c r="S46" s="19">
        <v>3.6619039721080902E-2</v>
      </c>
      <c r="T46" s="19">
        <f t="shared" si="1"/>
        <v>3.0642668622464578E-2</v>
      </c>
      <c r="U46">
        <f>VLOOKUP(P46,Sheet1!A:D,4,0)</f>
        <v>3.8420000000000001</v>
      </c>
      <c r="V46" s="19">
        <f t="shared" si="0"/>
        <v>3.8726426686224649</v>
      </c>
    </row>
    <row r="47" spans="1:22" x14ac:dyDescent="0.25">
      <c r="A47" s="1">
        <v>41579</v>
      </c>
      <c r="B47" s="19">
        <v>4.1862499999999896</v>
      </c>
      <c r="C47">
        <v>4.1789123292416201</v>
      </c>
      <c r="D47" s="19">
        <v>-7.3376707583757304E-3</v>
      </c>
      <c r="E47">
        <v>2.0531285601439481E-2</v>
      </c>
      <c r="P47" s="1">
        <v>40969</v>
      </c>
      <c r="Q47" s="19">
        <v>4.1085066318223804</v>
      </c>
      <c r="R47" s="19">
        <v>4.1471020823071703</v>
      </c>
      <c r="S47" s="19">
        <v>3.8595450484794097E-2</v>
      </c>
      <c r="T47" s="19">
        <f t="shared" si="1"/>
        <v>5.179978172309907E-2</v>
      </c>
      <c r="U47">
        <f>VLOOKUP(P47,Sheet1!A:D,4,0)</f>
        <v>3.9112499999999999</v>
      </c>
      <c r="V47" s="19">
        <f t="shared" si="0"/>
        <v>3.963049781723099</v>
      </c>
    </row>
    <row r="48" spans="1:22" x14ac:dyDescent="0.25">
      <c r="A48" s="1">
        <v>41609</v>
      </c>
      <c r="B48" s="19">
        <v>4.37</v>
      </c>
      <c r="C48">
        <v>4.35803447860944</v>
      </c>
      <c r="D48" s="19">
        <v>-1.1965521390558599E-2</v>
      </c>
      <c r="E48">
        <v>2.0880304171406763E-2</v>
      </c>
      <c r="P48" s="1">
        <v>41000</v>
      </c>
      <c r="Q48" s="19">
        <v>4.0984376826363196</v>
      </c>
      <c r="R48" s="19">
        <v>4.1168242240079902</v>
      </c>
      <c r="S48" s="19">
        <v>1.8386541371669701E-2</v>
      </c>
      <c r="T48" s="19">
        <f t="shared" si="1"/>
        <v>5.3737193776161207E-2</v>
      </c>
      <c r="U48">
        <f>VLOOKUP(P48,Sheet1!A:D,4,0)</f>
        <v>3.8412500000000001</v>
      </c>
      <c r="V48" s="19">
        <f t="shared" si="0"/>
        <v>3.8949871937761613</v>
      </c>
    </row>
    <row r="49" spans="1:22" x14ac:dyDescent="0.25">
      <c r="A49" s="1">
        <v>41640</v>
      </c>
      <c r="B49" s="19">
        <v>4.3620000000000001</v>
      </c>
      <c r="C49">
        <v>4.34988874469094</v>
      </c>
      <c r="D49" s="19">
        <v>-1.2111255309052099E-2</v>
      </c>
      <c r="E49">
        <v>2.9010020259250775E-2</v>
      </c>
      <c r="P49" s="1">
        <v>41030</v>
      </c>
      <c r="Q49" s="19">
        <v>4.1538613990018103</v>
      </c>
      <c r="R49" s="19">
        <v>4.1505673356572101</v>
      </c>
      <c r="S49" s="19">
        <v>-3.2940633446045201E-3</v>
      </c>
      <c r="T49" s="19">
        <f t="shared" si="1"/>
        <v>4.2126433928359304E-2</v>
      </c>
      <c r="U49">
        <f>VLOOKUP(P49,Sheet1!A:D,4,0)</f>
        <v>3.738</v>
      </c>
      <c r="V49" s="19">
        <f t="shared" si="0"/>
        <v>3.7801264339283591</v>
      </c>
    </row>
    <row r="50" spans="1:22" x14ac:dyDescent="0.25">
      <c r="A50" s="1">
        <v>41671</v>
      </c>
      <c r="B50" s="19">
        <v>4.2274999999999903</v>
      </c>
      <c r="C50">
        <v>4.2103195355000098</v>
      </c>
      <c r="D50" s="19">
        <v>-1.7180464499981701E-2</v>
      </c>
      <c r="E50">
        <v>3.5323471466228273E-2</v>
      </c>
      <c r="P50" s="1">
        <v>41061</v>
      </c>
      <c r="Q50" s="19">
        <v>4.1184812648829601</v>
      </c>
      <c r="R50" s="19">
        <v>4.0907929384989403</v>
      </c>
      <c r="S50" s="19">
        <v>-2.7688326384023298E-2</v>
      </c>
      <c r="T50" s="19">
        <f t="shared" si="1"/>
        <v>2.3766928794845665E-2</v>
      </c>
      <c r="U50">
        <f>VLOOKUP(P50,Sheet1!A:D,4,0)</f>
        <v>3.6</v>
      </c>
      <c r="V50" s="19">
        <f t="shared" si="0"/>
        <v>3.6237669287948457</v>
      </c>
    </row>
    <row r="51" spans="1:22" x14ac:dyDescent="0.25">
      <c r="A51" s="1">
        <v>41699</v>
      </c>
      <c r="B51" s="19">
        <v>4.2487500000000002</v>
      </c>
      <c r="C51">
        <v>4.2224833869413603</v>
      </c>
      <c r="D51" s="19">
        <v>-2.62666130586365E-2</v>
      </c>
      <c r="E51">
        <v>3.3059882753356674E-2</v>
      </c>
      <c r="P51" s="1">
        <v>41091</v>
      </c>
      <c r="Q51" s="19">
        <v>3.9947052840373001</v>
      </c>
      <c r="R51" s="19">
        <v>4.0007616755077997</v>
      </c>
      <c r="S51" s="19">
        <v>6.0563914705050103E-3</v>
      </c>
      <c r="T51" s="19">
        <f t="shared" si="1"/>
        <v>1.1445838886570315E-2</v>
      </c>
      <c r="U51">
        <f>VLOOKUP(P51,Sheet1!A:D,4,0)</f>
        <v>3.4812500000000002</v>
      </c>
      <c r="V51" s="19">
        <f t="shared" si="0"/>
        <v>3.4926958388865703</v>
      </c>
    </row>
    <row r="52" spans="1:22" x14ac:dyDescent="0.25">
      <c r="A52" s="1">
        <v>41730</v>
      </c>
      <c r="B52" s="19">
        <v>4.2479999999999896</v>
      </c>
      <c r="C52">
        <v>4.21265653102909</v>
      </c>
      <c r="D52" s="19">
        <v>-3.53434689709025E-2</v>
      </c>
      <c r="E52">
        <v>2.8523699325777269E-2</v>
      </c>
      <c r="P52" s="1">
        <v>41122</v>
      </c>
      <c r="Q52" s="19">
        <v>3.8890006468645701</v>
      </c>
      <c r="R52" s="19">
        <v>3.9389477044965</v>
      </c>
      <c r="S52" s="19">
        <v>4.99470576319282E-2</v>
      </c>
      <c r="T52" s="19">
        <f t="shared" si="1"/>
        <v>1.3667175205044865E-2</v>
      </c>
      <c r="U52">
        <f>VLOOKUP(P52,Sheet1!A:D,4,0)</f>
        <v>3.512</v>
      </c>
      <c r="V52" s="19">
        <f t="shared" si="0"/>
        <v>3.525667175205045</v>
      </c>
    </row>
    <row r="53" spans="1:22" x14ac:dyDescent="0.25">
      <c r="A53" s="1">
        <v>41760</v>
      </c>
      <c r="B53" s="19">
        <v>4.0674999999999999</v>
      </c>
      <c r="C53">
        <v>4.0322859109291098</v>
      </c>
      <c r="D53" s="19">
        <v>-3.52140890708834E-2</v>
      </c>
      <c r="E53">
        <v>3.1496889862868062E-2</v>
      </c>
      <c r="P53" s="1">
        <v>41153</v>
      </c>
      <c r="Q53" s="19">
        <v>3.79105006966304</v>
      </c>
      <c r="R53" s="19">
        <v>3.8556669148869398</v>
      </c>
      <c r="S53" s="19">
        <v>6.4616845223899905E-2</v>
      </c>
      <c r="T53" s="19">
        <f t="shared" si="1"/>
        <v>1.8004074328229164E-2</v>
      </c>
      <c r="U53">
        <f>VLOOKUP(P53,Sheet1!A:D,4,0)</f>
        <v>3.4037500000000001</v>
      </c>
      <c r="V53" s="19">
        <f t="shared" si="0"/>
        <v>3.4217540743282293</v>
      </c>
    </row>
    <row r="54" spans="1:22" x14ac:dyDescent="0.25">
      <c r="A54" s="1">
        <v>41791</v>
      </c>
      <c r="B54" s="19">
        <v>4.05</v>
      </c>
      <c r="C54">
        <v>4.0136950262723996</v>
      </c>
      <c r="D54" s="19">
        <v>-3.6304973727599103E-2</v>
      </c>
      <c r="E54">
        <v>3.4491614091056021E-2</v>
      </c>
      <c r="P54" s="1">
        <v>41183</v>
      </c>
      <c r="Q54" s="19">
        <v>3.7716070830820398</v>
      </c>
      <c r="R54" s="19">
        <v>3.8051568920929801</v>
      </c>
      <c r="S54" s="19">
        <v>3.3549809010931603E-2</v>
      </c>
      <c r="T54" s="19">
        <f t="shared" si="1"/>
        <v>2.0531285601439481E-2</v>
      </c>
      <c r="U54">
        <f>VLOOKUP(P54,Sheet1!A:D,4,0)</f>
        <v>3.3039999999999998</v>
      </c>
      <c r="V54" s="19">
        <f t="shared" si="0"/>
        <v>3.3245312856014393</v>
      </c>
    </row>
    <row r="55" spans="1:22" x14ac:dyDescent="0.25">
      <c r="A55" s="1">
        <v>41821</v>
      </c>
      <c r="B55" s="19">
        <v>4.03</v>
      </c>
      <c r="C55">
        <v>3.98727874406163</v>
      </c>
      <c r="D55" s="19">
        <v>-4.2721255938367599E-2</v>
      </c>
      <c r="E55">
        <v>2.8108950414181866E-2</v>
      </c>
      <c r="P55" s="1">
        <v>41214</v>
      </c>
      <c r="Q55" s="19">
        <v>3.69531358228816</v>
      </c>
      <c r="R55" s="19">
        <v>3.6941136303633599</v>
      </c>
      <c r="S55" s="19">
        <v>-1.1999519248008599E-3</v>
      </c>
      <c r="T55" s="19">
        <f t="shared" si="1"/>
        <v>2.0880304171406763E-2</v>
      </c>
      <c r="U55">
        <f>VLOOKUP(P55,Sheet1!A:D,4,0)</f>
        <v>3.2737500000000002</v>
      </c>
      <c r="V55" s="19">
        <f t="shared" si="0"/>
        <v>3.2946303041714069</v>
      </c>
    </row>
    <row r="56" spans="1:22" x14ac:dyDescent="0.25">
      <c r="A56" s="1">
        <v>41852</v>
      </c>
      <c r="B56" s="19">
        <v>4.00875</v>
      </c>
      <c r="C56">
        <v>3.9591714118632302</v>
      </c>
      <c r="D56" s="19">
        <v>-4.9578588136765203E-2</v>
      </c>
      <c r="E56">
        <v>1.9620881788709108E-2</v>
      </c>
      <c r="P56" s="1">
        <v>41244</v>
      </c>
      <c r="Q56" s="19">
        <v>3.6259246818445998</v>
      </c>
      <c r="R56" s="19">
        <v>3.6470146519876399</v>
      </c>
      <c r="S56" s="19">
        <v>2.1089970143040801E-2</v>
      </c>
      <c r="T56" s="19">
        <f t="shared" si="1"/>
        <v>2.9010020259250775E-2</v>
      </c>
      <c r="U56">
        <f>VLOOKUP(P56,Sheet1!A:D,4,0)</f>
        <v>3.27</v>
      </c>
      <c r="V56" s="19">
        <f t="shared" si="0"/>
        <v>3.2990100202592507</v>
      </c>
    </row>
    <row r="57" spans="1:22" x14ac:dyDescent="0.25">
      <c r="A57" s="1">
        <v>41883</v>
      </c>
      <c r="B57" s="19">
        <v>4.0374999999999996</v>
      </c>
      <c r="C57">
        <v>3.9930767549636501</v>
      </c>
      <c r="D57" s="19">
        <v>-4.4423245036342901E-2</v>
      </c>
      <c r="E57">
        <v>1.734666353305039E-2</v>
      </c>
      <c r="P57" s="1">
        <v>41275</v>
      </c>
      <c r="Q57" s="19">
        <v>3.6071261641563699</v>
      </c>
      <c r="R57" s="19">
        <v>3.6510632628687398</v>
      </c>
      <c r="S57" s="19">
        <v>4.3937098712369997E-2</v>
      </c>
      <c r="T57" s="19">
        <f t="shared" si="1"/>
        <v>3.5323471466228273E-2</v>
      </c>
      <c r="U57">
        <f>VLOOKUP(P57,Sheet1!A:D,4,0)</f>
        <v>3.339</v>
      </c>
      <c r="V57" s="19">
        <f t="shared" si="0"/>
        <v>3.3743234714662282</v>
      </c>
    </row>
    <row r="58" spans="1:22" x14ac:dyDescent="0.25">
      <c r="A58" s="1">
        <v>41913</v>
      </c>
      <c r="B58" s="19">
        <v>3.9060000000000001</v>
      </c>
      <c r="C58">
        <v>3.8633744151622098</v>
      </c>
      <c r="D58" s="19">
        <v>-4.2625584837784697E-2</v>
      </c>
      <c r="E58">
        <v>9.340313314428323E-3</v>
      </c>
      <c r="P58" s="1">
        <v>41306</v>
      </c>
      <c r="Q58" s="19">
        <v>3.61990716427426</v>
      </c>
      <c r="R58" s="19">
        <v>3.6562726896289601</v>
      </c>
      <c r="S58" s="19">
        <v>3.63655253546986E-2</v>
      </c>
      <c r="T58" s="19">
        <f t="shared" si="1"/>
        <v>3.3059882753356674E-2</v>
      </c>
      <c r="U58">
        <f>VLOOKUP(P58,Sheet1!A:D,4,0)</f>
        <v>3.4824999999999999</v>
      </c>
      <c r="V58" s="19">
        <f t="shared" si="0"/>
        <v>3.5155598827533567</v>
      </c>
    </row>
    <row r="59" spans="1:22" x14ac:dyDescent="0.25">
      <c r="A59" s="1">
        <v>41944</v>
      </c>
      <c r="B59" s="19">
        <v>3.8725000000000001</v>
      </c>
      <c r="C59">
        <v>3.8296698639792601</v>
      </c>
      <c r="D59" s="19">
        <v>-4.2830136020732899E-2</v>
      </c>
      <c r="E59">
        <v>3.8068140376138564E-3</v>
      </c>
      <c r="P59" s="1">
        <v>41334</v>
      </c>
      <c r="Q59" s="19">
        <v>3.6950426024999001</v>
      </c>
      <c r="R59" s="19">
        <v>3.7324423471583299</v>
      </c>
      <c r="S59" s="19">
        <v>3.7399744658423502E-2</v>
      </c>
      <c r="T59" s="19">
        <f t="shared" si="1"/>
        <v>2.8523699325777269E-2</v>
      </c>
      <c r="U59">
        <f>VLOOKUP(P59,Sheet1!A:D,4,0)</f>
        <v>3.50875</v>
      </c>
      <c r="V59" s="19">
        <f t="shared" si="0"/>
        <v>3.5372736993257772</v>
      </c>
    </row>
    <row r="60" spans="1:22" x14ac:dyDescent="0.25">
      <c r="A60" s="1">
        <v>41974</v>
      </c>
      <c r="B60" s="19">
        <v>3.754</v>
      </c>
      <c r="C60">
        <v>3.7075156358786798</v>
      </c>
      <c r="D60" s="19">
        <v>-4.6484364121316998E-2</v>
      </c>
      <c r="E60">
        <v>-7.3376707583757105E-3</v>
      </c>
      <c r="P60" s="1">
        <v>41365</v>
      </c>
      <c r="Q60" s="19">
        <v>3.7846433714665402</v>
      </c>
      <c r="R60" s="19">
        <v>3.8360323237000098</v>
      </c>
      <c r="S60" s="19">
        <v>5.1388952233476302E-2</v>
      </c>
      <c r="T60" s="19">
        <f t="shared" si="1"/>
        <v>3.1496889862868062E-2</v>
      </c>
      <c r="U60">
        <f>VLOOKUP(P60,Sheet1!A:D,4,0)</f>
        <v>3.3887499999999999</v>
      </c>
      <c r="V60" s="19">
        <f t="shared" si="0"/>
        <v>3.420246889862868</v>
      </c>
    </row>
    <row r="61" spans="1:22" x14ac:dyDescent="0.25">
      <c r="A61" s="1">
        <v>42005</v>
      </c>
      <c r="B61" s="19">
        <v>3.5762499999999999</v>
      </c>
      <c r="C61">
        <v>3.5273912373690899</v>
      </c>
      <c r="D61" s="19">
        <v>-4.8858762630903399E-2</v>
      </c>
      <c r="E61">
        <v>-1.1965521390558643E-2</v>
      </c>
      <c r="P61" s="1">
        <v>41395</v>
      </c>
      <c r="Q61" s="19">
        <v>3.8183808931639698</v>
      </c>
      <c r="R61" s="19">
        <v>3.8351492866082899</v>
      </c>
      <c r="S61" s="19">
        <v>1.6768393444326901E-2</v>
      </c>
      <c r="T61" s="19">
        <f t="shared" si="1"/>
        <v>3.4491614091056021E-2</v>
      </c>
      <c r="U61">
        <f>VLOOKUP(P61,Sheet1!A:D,4,0)</f>
        <v>3.4660000000000002</v>
      </c>
      <c r="V61" s="19">
        <f t="shared" si="0"/>
        <v>3.500491614091056</v>
      </c>
    </row>
    <row r="62" spans="1:22" x14ac:dyDescent="0.25">
      <c r="A62" s="1">
        <v>42036</v>
      </c>
      <c r="B62" s="19">
        <v>3.61625</v>
      </c>
      <c r="C62">
        <v>3.5676426154928298</v>
      </c>
      <c r="D62" s="19">
        <v>-4.8607384507161303E-2</v>
      </c>
      <c r="E62">
        <v>-1.2111255309052152E-2</v>
      </c>
      <c r="P62" s="1">
        <v>41426</v>
      </c>
      <c r="Q62" s="19">
        <v>3.7516011945633401</v>
      </c>
      <c r="R62" s="19">
        <v>3.73439518264514</v>
      </c>
      <c r="S62" s="19">
        <v>-1.72060119182041E-2</v>
      </c>
      <c r="T62" s="19">
        <f t="shared" si="1"/>
        <v>2.8108950414181866E-2</v>
      </c>
      <c r="U62">
        <f>VLOOKUP(P62,Sheet1!A:D,4,0)</f>
        <v>4.0075000000000003</v>
      </c>
      <c r="V62" s="19">
        <f t="shared" si="0"/>
        <v>4.0356089504141819</v>
      </c>
    </row>
    <row r="63" spans="1:22" x14ac:dyDescent="0.25">
      <c r="A63" s="1">
        <v>42064</v>
      </c>
      <c r="B63" s="19">
        <v>3.67</v>
      </c>
      <c r="C63">
        <v>3.6245627798622899</v>
      </c>
      <c r="D63" s="19">
        <v>-4.54372201377026E-2</v>
      </c>
      <c r="E63">
        <v>-1.7180464499981719E-2</v>
      </c>
      <c r="P63" s="1">
        <v>41456</v>
      </c>
      <c r="Q63" s="19">
        <v>3.8634281106647199</v>
      </c>
      <c r="R63" s="19">
        <v>3.8564367976242502</v>
      </c>
      <c r="S63" s="19">
        <v>-6.9913130404665597E-3</v>
      </c>
      <c r="T63" s="19">
        <f t="shared" si="1"/>
        <v>1.9620881788709108E-2</v>
      </c>
      <c r="U63">
        <f>VLOOKUP(P63,Sheet1!A:D,4,0)</f>
        <v>4.3090000000000002</v>
      </c>
      <c r="V63" s="19">
        <f t="shared" si="0"/>
        <v>4.3286208817887095</v>
      </c>
    </row>
    <row r="64" spans="1:22" x14ac:dyDescent="0.25">
      <c r="A64" s="1">
        <v>42095</v>
      </c>
      <c r="B64" s="19">
        <v>3.577</v>
      </c>
      <c r="C64">
        <v>3.5366175135594098</v>
      </c>
      <c r="D64" s="19">
        <v>-4.0382486440589102E-2</v>
      </c>
      <c r="E64">
        <v>-2.6266613058636489E-2</v>
      </c>
      <c r="P64" s="1">
        <v>41487</v>
      </c>
      <c r="Q64" s="19">
        <v>4.2312321278867202</v>
      </c>
      <c r="R64" s="19">
        <v>4.2539523437074598</v>
      </c>
      <c r="S64" s="19">
        <v>2.2720215820746299E-2</v>
      </c>
      <c r="T64" s="19">
        <f t="shared" si="1"/>
        <v>1.734666353305039E-2</v>
      </c>
      <c r="U64">
        <f>VLOOKUP(P64,Sheet1!A:D,4,0)</f>
        <v>4.4037499999999996</v>
      </c>
      <c r="V64" s="19">
        <f t="shared" si="0"/>
        <v>4.4210966635330502</v>
      </c>
    </row>
    <row r="65" spans="1:22" x14ac:dyDescent="0.25">
      <c r="A65" s="1">
        <v>42125</v>
      </c>
      <c r="B65" s="19">
        <v>3.7462499999999999</v>
      </c>
      <c r="C65">
        <v>3.7156837887303</v>
      </c>
      <c r="D65" s="19">
        <v>-3.0566211269692199E-2</v>
      </c>
      <c r="E65">
        <v>-3.5343468970902486E-2</v>
      </c>
      <c r="P65" s="1">
        <v>41518</v>
      </c>
      <c r="Q65" s="19">
        <v>4.5444803765281296</v>
      </c>
      <c r="R65" s="19">
        <v>4.5338420198748199</v>
      </c>
      <c r="S65" s="19">
        <v>-1.06383566533089E-2</v>
      </c>
      <c r="T65" s="19">
        <f t="shared" si="1"/>
        <v>9.340313314428323E-3</v>
      </c>
      <c r="U65">
        <f>VLOOKUP(P65,Sheet1!A:D,4,0)</f>
        <v>4.4212499999999997</v>
      </c>
      <c r="V65" s="19">
        <f t="shared" si="0"/>
        <v>4.4305903133144282</v>
      </c>
    </row>
    <row r="66" spans="1:22" x14ac:dyDescent="0.25">
      <c r="A66" s="1">
        <v>42156</v>
      </c>
      <c r="B66" s="19">
        <v>3.895</v>
      </c>
      <c r="C66">
        <v>3.8747657381329601</v>
      </c>
      <c r="D66" s="19">
        <v>-2.02342618670396E-2</v>
      </c>
      <c r="E66">
        <v>-3.5214089070883386E-2</v>
      </c>
      <c r="P66" s="1">
        <v>41548</v>
      </c>
      <c r="Q66" s="19">
        <v>4.6970968463227596</v>
      </c>
      <c r="R66" s="19">
        <v>4.71528480289534</v>
      </c>
      <c r="S66" s="19">
        <v>1.8187956572589498E-2</v>
      </c>
      <c r="T66" s="19">
        <f t="shared" si="1"/>
        <v>3.8068140376138564E-3</v>
      </c>
      <c r="U66">
        <f>VLOOKUP(P66,Sheet1!A:D,4,0)</f>
        <v>4.1219999999999999</v>
      </c>
      <c r="V66" s="19">
        <f t="shared" si="0"/>
        <v>4.1258068140376141</v>
      </c>
    </row>
    <row r="67" spans="1:22" x14ac:dyDescent="0.25">
      <c r="A67" s="1">
        <v>42186</v>
      </c>
      <c r="B67" s="19">
        <v>3.9460000000000002</v>
      </c>
      <c r="C67">
        <v>3.9348461821090202</v>
      </c>
      <c r="D67" s="19">
        <v>-1.11538178909721E-2</v>
      </c>
      <c r="E67">
        <v>-3.6304973727599055E-2</v>
      </c>
      <c r="P67" s="1">
        <v>41579</v>
      </c>
      <c r="Q67" s="19">
        <v>4.6582283109218201</v>
      </c>
      <c r="R67" s="19">
        <v>4.6081297955902096</v>
      </c>
      <c r="S67" s="19">
        <v>-5.0098515331610499E-2</v>
      </c>
      <c r="T67" s="19">
        <f t="shared" si="1"/>
        <v>-7.3376707583757105E-3</v>
      </c>
      <c r="U67">
        <f>VLOOKUP(P67,Sheet1!A:D,4,0)</f>
        <v>4.1862499999999896</v>
      </c>
      <c r="V67" s="19">
        <f t="shared" si="0"/>
        <v>4.1789123292416139</v>
      </c>
    </row>
    <row r="68" spans="1:22" x14ac:dyDescent="0.25">
      <c r="A68" s="1">
        <v>42217</v>
      </c>
      <c r="B68" s="19">
        <v>3.8050000000000002</v>
      </c>
      <c r="C68">
        <v>3.8014654348039998</v>
      </c>
      <c r="D68" s="19">
        <v>-3.5345651959935299E-3</v>
      </c>
      <c r="E68">
        <v>-4.272125593836764E-2</v>
      </c>
      <c r="P68" s="1">
        <v>41609</v>
      </c>
      <c r="Q68" s="19">
        <v>4.5264742830929299</v>
      </c>
      <c r="R68" s="19">
        <v>4.4815011673816301</v>
      </c>
      <c r="S68" s="19">
        <v>-4.4973115711301699E-2</v>
      </c>
      <c r="T68" s="19">
        <f t="shared" si="1"/>
        <v>-1.1965521390558643E-2</v>
      </c>
      <c r="U68">
        <f>VLOOKUP(P68,Sheet1!A:D,4,0)</f>
        <v>4.37</v>
      </c>
      <c r="V68" s="19">
        <f t="shared" si="0"/>
        <v>4.3580344786094418</v>
      </c>
    </row>
    <row r="69" spans="1:22" x14ac:dyDescent="0.25">
      <c r="A69" s="1">
        <v>42248</v>
      </c>
      <c r="B69" s="19">
        <v>3.7869999999999999</v>
      </c>
      <c r="C69">
        <v>3.78289494464555</v>
      </c>
      <c r="D69" s="19">
        <v>-4.1050553544473203E-3</v>
      </c>
      <c r="E69">
        <v>-4.9578588136765238E-2</v>
      </c>
      <c r="P69" s="1">
        <v>41640</v>
      </c>
      <c r="Q69" s="19">
        <v>4.5690117850196801</v>
      </c>
      <c r="R69" s="19">
        <v>4.5611460684682497</v>
      </c>
      <c r="S69" s="19">
        <v>-7.8657165514276102E-3</v>
      </c>
      <c r="T69" s="19">
        <f t="shared" si="1"/>
        <v>-1.2111255309052152E-2</v>
      </c>
      <c r="U69">
        <f>VLOOKUP(P69,Sheet1!A:D,4,0)</f>
        <v>4.3620000000000001</v>
      </c>
      <c r="V69" s="19">
        <f t="shared" si="0"/>
        <v>4.349888744690948</v>
      </c>
    </row>
    <row r="70" spans="1:22" x14ac:dyDescent="0.25">
      <c r="A70" s="1">
        <v>42278</v>
      </c>
      <c r="B70" s="19">
        <v>3.6825000000000001</v>
      </c>
      <c r="C70">
        <v>3.6683704409794902</v>
      </c>
      <c r="D70" s="19">
        <v>-1.41295590205007E-2</v>
      </c>
      <c r="E70">
        <v>-4.442324503634288E-2</v>
      </c>
      <c r="P70" s="1">
        <v>41671</v>
      </c>
      <c r="Q70" s="19">
        <v>4.7092044061097802</v>
      </c>
      <c r="R70" s="19">
        <v>4.7015093667849497</v>
      </c>
      <c r="S70" s="19">
        <v>-7.6950393248311003E-3</v>
      </c>
      <c r="T70" s="19">
        <f t="shared" si="1"/>
        <v>-1.7180464499981719E-2</v>
      </c>
      <c r="U70">
        <f>VLOOKUP(P70,Sheet1!A:D,4,0)</f>
        <v>4.2274999999999903</v>
      </c>
      <c r="V70" s="19">
        <f t="shared" si="0"/>
        <v>4.2103195355000089</v>
      </c>
    </row>
    <row r="71" spans="1:22" x14ac:dyDescent="0.25">
      <c r="A71" s="1">
        <v>42309</v>
      </c>
      <c r="B71" s="19">
        <v>3.8487499999999999</v>
      </c>
      <c r="C71">
        <v>3.8221859984552502</v>
      </c>
      <c r="D71" s="19">
        <v>-2.65640015447497E-2</v>
      </c>
      <c r="E71">
        <v>-4.2625584837784676E-2</v>
      </c>
      <c r="P71" s="1">
        <v>41699</v>
      </c>
      <c r="Q71" s="19">
        <v>4.6750999377738003</v>
      </c>
      <c r="R71" s="19">
        <v>4.6099446897685601</v>
      </c>
      <c r="S71" s="19">
        <v>-6.5155248005237504E-2</v>
      </c>
      <c r="T71" s="19">
        <f t="shared" si="1"/>
        <v>-2.6266613058636489E-2</v>
      </c>
      <c r="U71">
        <f>VLOOKUP(P71,Sheet1!A:D,4,0)</f>
        <v>4.2487500000000002</v>
      </c>
      <c r="V71" s="19">
        <f t="shared" si="0"/>
        <v>4.2224833869413638</v>
      </c>
    </row>
    <row r="72" spans="1:22" x14ac:dyDescent="0.25">
      <c r="A72" s="1">
        <v>42339</v>
      </c>
      <c r="B72" s="19">
        <v>3.8639999999999999</v>
      </c>
      <c r="C72">
        <v>3.82267100221708</v>
      </c>
      <c r="D72" s="19">
        <v>-4.1328997782915697E-2</v>
      </c>
      <c r="E72">
        <v>-4.2830136020732927E-2</v>
      </c>
      <c r="P72" s="1">
        <v>41730</v>
      </c>
      <c r="Q72" s="19">
        <v>4.6178909577581004</v>
      </c>
      <c r="R72" s="19">
        <v>4.5816177788571002</v>
      </c>
      <c r="S72" s="19">
        <v>-3.6273178901006502E-2</v>
      </c>
      <c r="T72" s="19">
        <f t="shared" si="1"/>
        <v>-3.5343468970902486E-2</v>
      </c>
      <c r="U72">
        <f>VLOOKUP(P72,Sheet1!A:D,4,0)</f>
        <v>4.2479999999999896</v>
      </c>
      <c r="V72" s="19">
        <f t="shared" si="0"/>
        <v>4.2126565310290873</v>
      </c>
    </row>
    <row r="73" spans="1:22" x14ac:dyDescent="0.25">
      <c r="A73" s="1"/>
      <c r="E73">
        <v>-4.6484364121317068E-2</v>
      </c>
      <c r="P73" s="1">
        <v>41760</v>
      </c>
      <c r="Q73" s="19">
        <v>4.6366121089402696</v>
      </c>
      <c r="R73" s="19">
        <v>4.5872898730087703</v>
      </c>
      <c r="S73" s="19">
        <v>-4.93222359314959E-2</v>
      </c>
      <c r="T73" s="19">
        <f t="shared" ref="T73:T92" si="2">AVERAGE(S68:S73)</f>
        <v>-3.5214089070883386E-2</v>
      </c>
      <c r="U73">
        <f>VLOOKUP(P73,Sheet1!A:D,4,0)</f>
        <v>4.0674999999999999</v>
      </c>
      <c r="V73" s="19">
        <f t="shared" ref="V73:V95" si="3">T73+U73</f>
        <v>4.0322859109291169</v>
      </c>
    </row>
    <row r="74" spans="1:22" x14ac:dyDescent="0.25">
      <c r="A74" s="1"/>
      <c r="E74">
        <v>-4.8858762630903364E-2</v>
      </c>
      <c r="P74" s="1">
        <v>41791</v>
      </c>
      <c r="Q74" s="19">
        <v>4.5845787891758301</v>
      </c>
      <c r="R74" s="19">
        <v>4.5330603655242401</v>
      </c>
      <c r="S74" s="19">
        <v>-5.1518423651595702E-2</v>
      </c>
      <c r="T74" s="19">
        <f t="shared" si="2"/>
        <v>-3.6304973727599055E-2</v>
      </c>
      <c r="U74">
        <f>VLOOKUP(P74,Sheet1!A:D,4,0)</f>
        <v>4.05</v>
      </c>
      <c r="V74" s="19">
        <f t="shared" si="3"/>
        <v>4.0136950262724005</v>
      </c>
    </row>
    <row r="75" spans="1:22" x14ac:dyDescent="0.25">
      <c r="A75" s="1"/>
      <c r="E75">
        <v>-4.8607384507161337E-2</v>
      </c>
      <c r="P75" s="1">
        <v>41821</v>
      </c>
      <c r="Q75" s="19">
        <v>4.4652647588713199</v>
      </c>
      <c r="R75" s="19">
        <v>4.4189013490552904</v>
      </c>
      <c r="S75" s="19">
        <v>-4.6363409816039099E-2</v>
      </c>
      <c r="T75" s="19">
        <f t="shared" si="2"/>
        <v>-4.272125593836764E-2</v>
      </c>
      <c r="U75">
        <f>VLOOKUP(P75,Sheet1!A:D,4,0)</f>
        <v>4.03</v>
      </c>
      <c r="V75" s="19">
        <f t="shared" si="3"/>
        <v>3.9872787440616326</v>
      </c>
    </row>
    <row r="76" spans="1:22" x14ac:dyDescent="0.25">
      <c r="A76" s="1"/>
      <c r="E76">
        <v>-4.5437220137702634E-2</v>
      </c>
      <c r="P76" s="1">
        <v>41852</v>
      </c>
      <c r="Q76" s="19">
        <v>4.4335058706054298</v>
      </c>
      <c r="R76" s="19">
        <v>4.3846668380902196</v>
      </c>
      <c r="S76" s="19">
        <v>-4.88390325152167E-2</v>
      </c>
      <c r="T76" s="19">
        <f t="shared" si="2"/>
        <v>-4.9578588136765238E-2</v>
      </c>
      <c r="U76">
        <f>VLOOKUP(P76,Sheet1!A:D,4,0)</f>
        <v>4.00875</v>
      </c>
      <c r="V76" s="19">
        <f t="shared" si="3"/>
        <v>3.9591714118632346</v>
      </c>
    </row>
    <row r="77" spans="1:22" x14ac:dyDescent="0.25">
      <c r="A77" s="1"/>
      <c r="E77">
        <v>-4.0382486440589081E-2</v>
      </c>
      <c r="P77" s="1">
        <v>41883</v>
      </c>
      <c r="Q77" s="19">
        <v>4.43083705740922</v>
      </c>
      <c r="R77" s="19">
        <v>4.3966138680065203</v>
      </c>
      <c r="S77" s="19">
        <v>-3.4223189402703399E-2</v>
      </c>
      <c r="T77" s="19">
        <f t="shared" si="2"/>
        <v>-4.442324503634288E-2</v>
      </c>
      <c r="U77">
        <f>VLOOKUP(P77,Sheet1!A:D,4,0)</f>
        <v>4.0374999999999996</v>
      </c>
      <c r="V77" s="19">
        <f t="shared" si="3"/>
        <v>3.9930767549636568</v>
      </c>
    </row>
    <row r="78" spans="1:22" x14ac:dyDescent="0.25">
      <c r="A78" s="1"/>
      <c r="E78">
        <v>-3.0566211269692247E-2</v>
      </c>
      <c r="P78" s="1">
        <v>41913</v>
      </c>
      <c r="Q78" s="19">
        <v>4.4255704003366603</v>
      </c>
      <c r="R78" s="19">
        <v>4.4000831826270099</v>
      </c>
      <c r="S78" s="19">
        <v>-2.5487217709657301E-2</v>
      </c>
      <c r="T78" s="19">
        <f t="shared" si="2"/>
        <v>-4.2625584837784676E-2</v>
      </c>
      <c r="U78">
        <f>VLOOKUP(P78,Sheet1!A:D,4,0)</f>
        <v>3.9060000000000001</v>
      </c>
      <c r="V78" s="19">
        <f t="shared" si="3"/>
        <v>3.8633744151622156</v>
      </c>
    </row>
    <row r="79" spans="1:22" x14ac:dyDescent="0.25">
      <c r="A79" s="1"/>
      <c r="E79">
        <v>-2.0234261867039628E-2</v>
      </c>
      <c r="P79" s="1">
        <v>41944</v>
      </c>
      <c r="Q79" s="19">
        <v>4.4160870169099402</v>
      </c>
      <c r="R79" s="19">
        <v>4.3655374738807504</v>
      </c>
      <c r="S79" s="19">
        <v>-5.0549543029185302E-2</v>
      </c>
      <c r="T79" s="19">
        <f t="shared" si="2"/>
        <v>-4.2830136020732927E-2</v>
      </c>
      <c r="U79">
        <f>VLOOKUP(P79,Sheet1!A:D,4,0)</f>
        <v>3.8725000000000001</v>
      </c>
      <c r="V79" s="19">
        <f t="shared" si="3"/>
        <v>3.8296698639792672</v>
      </c>
    </row>
    <row r="80" spans="1:22" x14ac:dyDescent="0.25">
      <c r="A80" s="1"/>
      <c r="E80">
        <v>-1.1153817890972167E-2</v>
      </c>
      <c r="P80" s="1">
        <v>41974</v>
      </c>
      <c r="Q80" s="19">
        <v>4.2987060695633703</v>
      </c>
      <c r="R80" s="19">
        <v>4.2252622773082704</v>
      </c>
      <c r="S80" s="19">
        <v>-7.3443792255100601E-2</v>
      </c>
      <c r="T80" s="19">
        <f t="shared" si="2"/>
        <v>-4.6484364121317068E-2</v>
      </c>
      <c r="U80">
        <f>VLOOKUP(P80,Sheet1!A:D,4,0)</f>
        <v>3.754</v>
      </c>
      <c r="V80" s="19">
        <f t="shared" si="3"/>
        <v>3.7075156358786829</v>
      </c>
    </row>
    <row r="81" spans="1:22" x14ac:dyDescent="0.25">
      <c r="A81" s="1"/>
      <c r="E81">
        <v>-3.534565195993523E-3</v>
      </c>
      <c r="P81" s="1">
        <v>42005</v>
      </c>
      <c r="Q81" s="19">
        <v>4.2651183153229804</v>
      </c>
      <c r="R81" s="19">
        <v>4.2045085144494196</v>
      </c>
      <c r="S81" s="19">
        <v>-6.0609800873556899E-2</v>
      </c>
      <c r="T81" s="19">
        <f t="shared" si="2"/>
        <v>-4.8858762630903364E-2</v>
      </c>
      <c r="U81">
        <f>VLOOKUP(P81,Sheet1!A:D,4,0)</f>
        <v>3.5762499999999999</v>
      </c>
      <c r="V81" s="19">
        <f t="shared" si="3"/>
        <v>3.5273912373690965</v>
      </c>
    </row>
    <row r="82" spans="1:22" x14ac:dyDescent="0.25">
      <c r="A82" s="1"/>
      <c r="E82">
        <v>-4.1050553544473073E-3</v>
      </c>
      <c r="P82" s="1">
        <v>42036</v>
      </c>
      <c r="Q82" s="19">
        <v>4.1488948725699704</v>
      </c>
      <c r="R82" s="19">
        <v>4.1015641087972101</v>
      </c>
      <c r="S82" s="19">
        <v>-4.7330763772764503E-2</v>
      </c>
      <c r="T82" s="19">
        <f t="shared" si="2"/>
        <v>-4.8607384507161337E-2</v>
      </c>
      <c r="U82">
        <f>VLOOKUP(P82,Sheet1!A:D,4,0)</f>
        <v>3.61625</v>
      </c>
      <c r="V82" s="19">
        <f t="shared" si="3"/>
        <v>3.5676426154928387</v>
      </c>
    </row>
    <row r="83" spans="1:22" x14ac:dyDescent="0.25">
      <c r="A83" s="1"/>
      <c r="E83">
        <v>-1.4129559020500731E-2</v>
      </c>
      <c r="P83" s="1">
        <v>42064</v>
      </c>
      <c r="Q83" s="19">
        <v>3.9674795773785299</v>
      </c>
      <c r="R83" s="19">
        <v>3.9522773741925801</v>
      </c>
      <c r="S83" s="19">
        <v>-1.52022031859512E-2</v>
      </c>
      <c r="T83" s="19">
        <f t="shared" si="2"/>
        <v>-4.5437220137702634E-2</v>
      </c>
      <c r="U83">
        <f>VLOOKUP(P83,Sheet1!A:D,4,0)</f>
        <v>3.67</v>
      </c>
      <c r="V83" s="19">
        <f t="shared" si="3"/>
        <v>3.6245627798622975</v>
      </c>
    </row>
    <row r="84" spans="1:22" x14ac:dyDescent="0.25">
      <c r="A84" s="1"/>
      <c r="E84">
        <v>-2.6564001544749732E-2</v>
      </c>
      <c r="P84" s="1">
        <v>42095</v>
      </c>
      <c r="Q84" s="19">
        <v>3.9970208450192</v>
      </c>
      <c r="R84" s="19">
        <v>4.00186202949223</v>
      </c>
      <c r="S84" s="19">
        <v>4.8411844730240402E-3</v>
      </c>
      <c r="T84" s="19">
        <f t="shared" si="2"/>
        <v>-4.0382486440589081E-2</v>
      </c>
      <c r="U84">
        <f>VLOOKUP(P84,Sheet1!A:D,4,0)</f>
        <v>3.577</v>
      </c>
      <c r="V84" s="19">
        <f t="shared" si="3"/>
        <v>3.5366175135594107</v>
      </c>
    </row>
    <row r="85" spans="1:22" x14ac:dyDescent="0.25">
      <c r="A85" s="1"/>
      <c r="E85">
        <v>-4.1328997782915579E-2</v>
      </c>
      <c r="P85" s="1">
        <v>42125</v>
      </c>
      <c r="Q85" s="19">
        <v>4.0390502253857701</v>
      </c>
      <c r="R85" s="19">
        <v>4.0473983333819596</v>
      </c>
      <c r="S85" s="19">
        <v>8.3481079961956906E-3</v>
      </c>
      <c r="T85" s="19">
        <f t="shared" si="2"/>
        <v>-3.0566211269692247E-2</v>
      </c>
      <c r="U85">
        <f>VLOOKUP(P85,Sheet1!A:D,4,0)</f>
        <v>3.7462499999999999</v>
      </c>
      <c r="V85" s="19">
        <f t="shared" si="3"/>
        <v>3.7156837887303076</v>
      </c>
    </row>
    <row r="86" spans="1:22" x14ac:dyDescent="0.25">
      <c r="A86" s="1"/>
      <c r="P86" s="1">
        <v>42156</v>
      </c>
      <c r="Q86" s="19">
        <v>4.0110583302025598</v>
      </c>
      <c r="R86" s="19">
        <v>3.99960623436337</v>
      </c>
      <c r="S86" s="19">
        <v>-1.1452095839184899E-2</v>
      </c>
      <c r="T86" s="19">
        <f t="shared" si="2"/>
        <v>-2.0234261867039628E-2</v>
      </c>
      <c r="U86">
        <f>VLOOKUP(P86,Sheet1!A:D,4,0)</f>
        <v>3.895</v>
      </c>
      <c r="V86" s="19">
        <f t="shared" si="3"/>
        <v>3.8747657381329605</v>
      </c>
    </row>
    <row r="87" spans="1:22" x14ac:dyDescent="0.25">
      <c r="A87" s="1"/>
      <c r="P87" s="1">
        <v>42186</v>
      </c>
      <c r="Q87" s="19">
        <v>4.1229709108355097</v>
      </c>
      <c r="R87" s="19">
        <v>4.1168437738183599</v>
      </c>
      <c r="S87" s="19">
        <v>-6.1271370171521403E-3</v>
      </c>
      <c r="T87" s="19">
        <f t="shared" si="2"/>
        <v>-1.1153817890972167E-2</v>
      </c>
      <c r="U87">
        <f>VLOOKUP(P87,Sheet1!A:D,4,0)</f>
        <v>3.9460000000000002</v>
      </c>
      <c r="V87" s="19">
        <f t="shared" si="3"/>
        <v>3.9348461821090281</v>
      </c>
    </row>
    <row r="88" spans="1:22" x14ac:dyDescent="0.25">
      <c r="A88" s="1"/>
      <c r="P88" s="1">
        <v>42217</v>
      </c>
      <c r="Q88" s="19">
        <v>4.2749969186172896</v>
      </c>
      <c r="R88" s="19">
        <v>4.2733816710143904</v>
      </c>
      <c r="S88" s="19">
        <v>-1.6152476028926299E-3</v>
      </c>
      <c r="T88" s="19">
        <f t="shared" si="2"/>
        <v>-3.534565195993523E-3</v>
      </c>
      <c r="U88">
        <f>VLOOKUP(P88,Sheet1!A:D,4,0)</f>
        <v>3.8050000000000002</v>
      </c>
      <c r="V88" s="19">
        <f t="shared" si="3"/>
        <v>3.8014654348040064</v>
      </c>
    </row>
    <row r="89" spans="1:22" x14ac:dyDescent="0.25">
      <c r="P89" s="1">
        <v>42248</v>
      </c>
      <c r="Q89" s="19">
        <v>4.3000665311189499</v>
      </c>
      <c r="R89" s="19">
        <v>4.2814413869822703</v>
      </c>
      <c r="S89" s="19">
        <v>-1.8625144136673901E-2</v>
      </c>
      <c r="T89" s="19">
        <f t="shared" si="2"/>
        <v>-4.1050553544473073E-3</v>
      </c>
      <c r="U89">
        <f>VLOOKUP(P89,Sheet1!A:D,4,0)</f>
        <v>3.7869999999999999</v>
      </c>
      <c r="V89" s="19">
        <f t="shared" si="3"/>
        <v>3.7828949446455526</v>
      </c>
    </row>
    <row r="90" spans="1:22" x14ac:dyDescent="0.25">
      <c r="P90" s="1">
        <v>42278</v>
      </c>
      <c r="Q90" s="19">
        <v>4.2397877007292504</v>
      </c>
      <c r="R90" s="19">
        <v>4.1844818632059599</v>
      </c>
      <c r="S90" s="19">
        <v>-5.53058375232965E-2</v>
      </c>
      <c r="T90" s="19">
        <f t="shared" si="2"/>
        <v>-1.4129559020500731E-2</v>
      </c>
      <c r="U90">
        <f>VLOOKUP(P90,Sheet1!A:D,4,0)</f>
        <v>3.6825000000000001</v>
      </c>
      <c r="V90" s="19">
        <f t="shared" si="3"/>
        <v>3.6683704409794995</v>
      </c>
    </row>
    <row r="91" spans="1:22" x14ac:dyDescent="0.25">
      <c r="P91" s="1">
        <v>42309</v>
      </c>
      <c r="Q91" s="19">
        <v>4.19427410493127</v>
      </c>
      <c r="R91" s="19">
        <v>4.1280155577819704</v>
      </c>
      <c r="S91" s="19">
        <v>-6.6258547149298297E-2</v>
      </c>
      <c r="T91" s="19">
        <f t="shared" si="2"/>
        <v>-2.6564001544749732E-2</v>
      </c>
      <c r="U91">
        <f>VLOOKUP(P91,Sheet1!A:D,4,0)</f>
        <v>3.8487499999999999</v>
      </c>
      <c r="V91" s="19">
        <f t="shared" si="3"/>
        <v>3.8221859984552502</v>
      </c>
    </row>
    <row r="92" spans="1:22" x14ac:dyDescent="0.25">
      <c r="P92" s="1">
        <v>42339</v>
      </c>
      <c r="Q92" s="19">
        <v>4.15119589335771</v>
      </c>
      <c r="R92" s="19">
        <v>4.0511538200895298</v>
      </c>
      <c r="S92" s="19">
        <v>-0.10004207326818</v>
      </c>
      <c r="T92" s="19">
        <f t="shared" si="2"/>
        <v>-4.1328997782915579E-2</v>
      </c>
      <c r="U92">
        <f>VLOOKUP(P92,Sheet1!A:D,4,0)</f>
        <v>3.8639999999999999</v>
      </c>
      <c r="V92" s="19">
        <f t="shared" si="3"/>
        <v>3.8226710022170844</v>
      </c>
    </row>
    <row r="93" spans="1:22" x14ac:dyDescent="0.25">
      <c r="U93" t="e">
        <f>VLOOKUP(P93,Sheet1!A:D,4,0)</f>
        <v>#N/A</v>
      </c>
      <c r="V93" s="19" t="e">
        <f t="shared" si="3"/>
        <v>#N/A</v>
      </c>
    </row>
    <row r="94" spans="1:22" x14ac:dyDescent="0.25">
      <c r="U94" t="e">
        <f>VLOOKUP(P94,Sheet1!A:D,4,0)</f>
        <v>#N/A</v>
      </c>
      <c r="V94" s="19" t="e">
        <f t="shared" si="3"/>
        <v>#N/A</v>
      </c>
    </row>
    <row r="95" spans="1:22" x14ac:dyDescent="0.25">
      <c r="U95" t="e">
        <f>VLOOKUP(P95,Sheet1!A:D,4,0)</f>
        <v>#N/A</v>
      </c>
      <c r="V95" s="19" t="e">
        <f t="shared" si="3"/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selection activeCell="J39" sqref="J39"/>
    </sheetView>
  </sheetViews>
  <sheetFormatPr defaultRowHeight="15" x14ac:dyDescent="0.25"/>
  <cols>
    <col min="2" max="3" width="9.7109375" bestFit="1" customWidth="1"/>
  </cols>
  <sheetData>
    <row r="1" spans="1:4" x14ac:dyDescent="0.25">
      <c r="A1" t="s">
        <v>59</v>
      </c>
      <c r="B1" t="s">
        <v>60</v>
      </c>
      <c r="C1" t="s">
        <v>61</v>
      </c>
      <c r="D1" t="s">
        <v>53</v>
      </c>
    </row>
    <row r="2" spans="1:4" x14ac:dyDescent="0.25">
      <c r="A2" s="1">
        <v>39479</v>
      </c>
      <c r="B2" s="1">
        <v>39508</v>
      </c>
      <c r="C2" s="1">
        <v>39539</v>
      </c>
      <c r="D2">
        <v>5.7862499999999999</v>
      </c>
    </row>
    <row r="3" spans="1:4" x14ac:dyDescent="0.25">
      <c r="A3" s="1">
        <v>39508</v>
      </c>
      <c r="B3" s="1">
        <v>39539</v>
      </c>
      <c r="C3" s="1">
        <v>39569</v>
      </c>
      <c r="D3">
        <v>5.8387500000000001</v>
      </c>
    </row>
    <row r="4" spans="1:4" x14ac:dyDescent="0.25">
      <c r="A4" s="1">
        <v>39539</v>
      </c>
      <c r="B4" s="1">
        <v>39569</v>
      </c>
      <c r="C4" s="1">
        <v>39600</v>
      </c>
      <c r="D4">
        <v>5.8010000000000002</v>
      </c>
    </row>
    <row r="5" spans="1:4" x14ac:dyDescent="0.25">
      <c r="A5" s="1">
        <v>39569</v>
      </c>
      <c r="B5" s="1">
        <v>39600</v>
      </c>
      <c r="C5" s="1">
        <v>39630</v>
      </c>
      <c r="D5">
        <v>5.9050000000000002</v>
      </c>
    </row>
    <row r="6" spans="1:4" x14ac:dyDescent="0.25">
      <c r="A6" s="1">
        <v>39600</v>
      </c>
      <c r="B6" s="1">
        <v>39630</v>
      </c>
      <c r="C6" s="1">
        <v>39661</v>
      </c>
      <c r="D6">
        <v>6.2324999999999999</v>
      </c>
    </row>
    <row r="7" spans="1:4" x14ac:dyDescent="0.25">
      <c r="A7" s="1">
        <v>39630</v>
      </c>
      <c r="B7" s="1">
        <v>39661</v>
      </c>
      <c r="C7" s="1">
        <v>39692</v>
      </c>
      <c r="D7">
        <v>6.3310000000000004</v>
      </c>
    </row>
    <row r="8" spans="1:4" x14ac:dyDescent="0.25">
      <c r="A8" s="1">
        <v>39661</v>
      </c>
      <c r="B8" s="1">
        <v>39692</v>
      </c>
      <c r="C8" s="1">
        <v>39722</v>
      </c>
      <c r="D8">
        <v>6.3962499999999904</v>
      </c>
    </row>
    <row r="9" spans="1:4" x14ac:dyDescent="0.25">
      <c r="A9" s="1">
        <v>39692</v>
      </c>
      <c r="B9" s="1">
        <v>39722</v>
      </c>
      <c r="C9" s="1">
        <v>39753</v>
      </c>
      <c r="D9">
        <v>5.9562499999999998</v>
      </c>
    </row>
    <row r="10" spans="1:4" x14ac:dyDescent="0.25">
      <c r="A10" s="1">
        <v>39722</v>
      </c>
      <c r="B10" s="1">
        <v>39753</v>
      </c>
      <c r="C10" s="1">
        <v>39783</v>
      </c>
      <c r="D10">
        <v>6.1050000000000004</v>
      </c>
    </row>
    <row r="11" spans="1:4" x14ac:dyDescent="0.25">
      <c r="A11" s="1">
        <v>39753</v>
      </c>
      <c r="B11" s="1">
        <v>39783</v>
      </c>
      <c r="C11" s="1">
        <v>39814</v>
      </c>
      <c r="D11">
        <v>6.0125000000000002</v>
      </c>
    </row>
    <row r="12" spans="1:4" x14ac:dyDescent="0.25">
      <c r="A12" s="1">
        <v>39783</v>
      </c>
      <c r="B12" s="1">
        <v>39814</v>
      </c>
      <c r="C12" s="1">
        <v>39845</v>
      </c>
      <c r="D12">
        <v>5.2159999999999904</v>
      </c>
    </row>
    <row r="13" spans="1:4" x14ac:dyDescent="0.25">
      <c r="A13" s="1">
        <v>39814</v>
      </c>
      <c r="B13" s="1">
        <v>39845</v>
      </c>
      <c r="C13" s="1">
        <v>39873</v>
      </c>
      <c r="D13">
        <v>4.9662499999999996</v>
      </c>
    </row>
    <row r="14" spans="1:4" x14ac:dyDescent="0.25">
      <c r="A14" s="1">
        <v>39845</v>
      </c>
      <c r="B14" s="1">
        <v>39873</v>
      </c>
      <c r="C14" s="1">
        <v>39904</v>
      </c>
      <c r="D14">
        <v>5.0612500000000002</v>
      </c>
    </row>
    <row r="15" spans="1:4" x14ac:dyDescent="0.25">
      <c r="A15" s="1">
        <v>39873</v>
      </c>
      <c r="B15" s="1">
        <v>39904</v>
      </c>
      <c r="C15" s="1">
        <v>39934</v>
      </c>
      <c r="D15">
        <v>4.9275000000000002</v>
      </c>
    </row>
    <row r="16" spans="1:4" x14ac:dyDescent="0.25">
      <c r="A16" s="1">
        <v>39904</v>
      </c>
      <c r="B16" s="1">
        <v>39934</v>
      </c>
      <c r="C16" s="1">
        <v>39965</v>
      </c>
      <c r="D16">
        <v>4.7300000000000004</v>
      </c>
    </row>
    <row r="17" spans="1:4" x14ac:dyDescent="0.25">
      <c r="A17" s="1">
        <v>39934</v>
      </c>
      <c r="B17" s="1">
        <v>39965</v>
      </c>
      <c r="C17" s="1">
        <v>39995</v>
      </c>
      <c r="D17">
        <v>4.7762500000000001</v>
      </c>
    </row>
    <row r="18" spans="1:4" x14ac:dyDescent="0.25">
      <c r="A18" s="1">
        <v>39965</v>
      </c>
      <c r="B18" s="1">
        <v>39995</v>
      </c>
      <c r="C18" s="1">
        <v>40026</v>
      </c>
      <c r="D18">
        <v>5.3449999999999998</v>
      </c>
    </row>
    <row r="19" spans="1:4" x14ac:dyDescent="0.25">
      <c r="A19" s="1">
        <v>39995</v>
      </c>
      <c r="B19" s="1">
        <v>40026</v>
      </c>
      <c r="C19" s="1">
        <v>40057</v>
      </c>
      <c r="D19">
        <v>5.1470000000000002</v>
      </c>
    </row>
    <row r="20" spans="1:4" x14ac:dyDescent="0.25">
      <c r="A20" s="1">
        <v>40026</v>
      </c>
      <c r="B20" s="1">
        <v>40057</v>
      </c>
      <c r="C20" s="1">
        <v>40087</v>
      </c>
      <c r="D20">
        <v>5.1112500000000001</v>
      </c>
    </row>
    <row r="21" spans="1:4" x14ac:dyDescent="0.25">
      <c r="A21" s="1">
        <v>40057</v>
      </c>
      <c r="B21" s="1">
        <v>40087</v>
      </c>
      <c r="C21" s="1">
        <v>40118</v>
      </c>
      <c r="D21">
        <v>4.9539999999999997</v>
      </c>
    </row>
    <row r="22" spans="1:4" x14ac:dyDescent="0.25">
      <c r="A22" s="1">
        <v>40087</v>
      </c>
      <c r="B22" s="1">
        <v>40118</v>
      </c>
      <c r="C22" s="1">
        <v>40148</v>
      </c>
      <c r="D22">
        <v>4.88</v>
      </c>
    </row>
    <row r="23" spans="1:4" x14ac:dyDescent="0.25">
      <c r="A23" s="1">
        <v>40118</v>
      </c>
      <c r="B23" s="1">
        <v>40148</v>
      </c>
      <c r="C23" s="1">
        <v>40179</v>
      </c>
      <c r="D23">
        <v>4.8</v>
      </c>
    </row>
    <row r="24" spans="1:4" x14ac:dyDescent="0.25">
      <c r="A24" s="1">
        <v>40148</v>
      </c>
      <c r="B24" s="1">
        <v>40179</v>
      </c>
      <c r="C24" s="1">
        <v>40210</v>
      </c>
      <c r="D24">
        <v>4.8550000000000004</v>
      </c>
    </row>
    <row r="25" spans="1:4" x14ac:dyDescent="0.25">
      <c r="A25" s="1">
        <v>40179</v>
      </c>
      <c r="B25" s="1">
        <v>40210</v>
      </c>
      <c r="C25" s="1">
        <v>40238</v>
      </c>
      <c r="D25">
        <v>4.9487500000000004</v>
      </c>
    </row>
    <row r="26" spans="1:4" x14ac:dyDescent="0.25">
      <c r="A26" s="1">
        <v>40210</v>
      </c>
      <c r="B26" s="1">
        <v>40238</v>
      </c>
      <c r="C26" s="1">
        <v>40269</v>
      </c>
      <c r="D26">
        <v>4.9149999999999903</v>
      </c>
    </row>
    <row r="27" spans="1:4" x14ac:dyDescent="0.25">
      <c r="A27" s="1">
        <v>40238</v>
      </c>
      <c r="B27" s="1">
        <v>40269</v>
      </c>
      <c r="C27" s="1">
        <v>40299</v>
      </c>
      <c r="D27">
        <v>4.91</v>
      </c>
    </row>
    <row r="28" spans="1:4" x14ac:dyDescent="0.25">
      <c r="A28" s="1">
        <v>40269</v>
      </c>
      <c r="B28" s="1">
        <v>40299</v>
      </c>
      <c r="C28" s="1">
        <v>40330</v>
      </c>
      <c r="D28">
        <v>5.0149999999999997</v>
      </c>
    </row>
    <row r="29" spans="1:4" x14ac:dyDescent="0.25">
      <c r="A29" s="1">
        <v>40299</v>
      </c>
      <c r="B29" s="1">
        <v>40330</v>
      </c>
      <c r="C29" s="1">
        <v>40360</v>
      </c>
      <c r="D29">
        <v>4.8125</v>
      </c>
    </row>
    <row r="30" spans="1:4" x14ac:dyDescent="0.25">
      <c r="A30" s="1">
        <v>40330</v>
      </c>
      <c r="B30" s="1">
        <v>40360</v>
      </c>
      <c r="C30" s="1">
        <v>40391</v>
      </c>
      <c r="D30">
        <v>4.6359999999999904</v>
      </c>
    </row>
    <row r="31" spans="1:4" x14ac:dyDescent="0.25">
      <c r="A31" s="1">
        <v>40360</v>
      </c>
      <c r="B31" s="1">
        <v>40391</v>
      </c>
      <c r="C31" s="1">
        <v>40422</v>
      </c>
      <c r="D31">
        <v>4.4849999999999897</v>
      </c>
    </row>
    <row r="32" spans="1:4" x14ac:dyDescent="0.25">
      <c r="A32" s="1">
        <v>40391</v>
      </c>
      <c r="B32" s="1">
        <v>40422</v>
      </c>
      <c r="C32" s="1">
        <v>40452</v>
      </c>
      <c r="D32">
        <v>4.3525</v>
      </c>
    </row>
    <row r="33" spans="1:4" x14ac:dyDescent="0.25">
      <c r="A33" s="1">
        <v>40422</v>
      </c>
      <c r="B33" s="1">
        <v>40452</v>
      </c>
      <c r="C33" s="1">
        <v>40483</v>
      </c>
      <c r="D33">
        <v>4.2759999999999998</v>
      </c>
    </row>
    <row r="34" spans="1:4" x14ac:dyDescent="0.25">
      <c r="A34" s="1">
        <v>40452</v>
      </c>
      <c r="B34" s="1">
        <v>40483</v>
      </c>
      <c r="C34" s="1">
        <v>40513</v>
      </c>
      <c r="D34">
        <v>4.1749999999999998</v>
      </c>
    </row>
    <row r="35" spans="1:4" x14ac:dyDescent="0.25">
      <c r="A35" s="1">
        <v>40483</v>
      </c>
      <c r="B35" s="1">
        <v>40513</v>
      </c>
      <c r="C35" s="1">
        <v>40544</v>
      </c>
      <c r="D35">
        <v>4.2562499999999996</v>
      </c>
    </row>
    <row r="36" spans="1:4" x14ac:dyDescent="0.25">
      <c r="A36" s="1">
        <v>40513</v>
      </c>
      <c r="B36" s="1">
        <v>40544</v>
      </c>
      <c r="C36" s="1">
        <v>40575</v>
      </c>
      <c r="D36">
        <v>4.6489999999999903</v>
      </c>
    </row>
    <row r="37" spans="1:4" x14ac:dyDescent="0.25">
      <c r="A37" s="1">
        <v>40544</v>
      </c>
      <c r="B37" s="1">
        <v>40575</v>
      </c>
      <c r="C37" s="1">
        <v>40603</v>
      </c>
      <c r="D37">
        <v>4.6987500000000004</v>
      </c>
    </row>
    <row r="38" spans="1:4" x14ac:dyDescent="0.25">
      <c r="A38" s="1">
        <v>40575</v>
      </c>
      <c r="B38" s="1">
        <v>40603</v>
      </c>
      <c r="C38" s="1">
        <v>40634</v>
      </c>
      <c r="D38">
        <v>4.8775000000000004</v>
      </c>
    </row>
    <row r="39" spans="1:4" x14ac:dyDescent="0.25">
      <c r="A39" s="1">
        <v>40603</v>
      </c>
      <c r="B39" s="1">
        <v>40634</v>
      </c>
      <c r="C39" s="1">
        <v>40664</v>
      </c>
      <c r="D39">
        <v>4.7610000000000001</v>
      </c>
    </row>
    <row r="40" spans="1:4" x14ac:dyDescent="0.25">
      <c r="A40" s="1">
        <v>40634</v>
      </c>
      <c r="B40" s="1">
        <v>40664</v>
      </c>
      <c r="C40" s="1">
        <v>40695</v>
      </c>
      <c r="D40">
        <v>4.75875</v>
      </c>
    </row>
    <row r="41" spans="1:4" x14ac:dyDescent="0.25">
      <c r="A41" s="1">
        <v>40664</v>
      </c>
      <c r="B41" s="1">
        <v>40695</v>
      </c>
      <c r="C41" s="1">
        <v>40725</v>
      </c>
      <c r="D41">
        <v>4.5625</v>
      </c>
    </row>
    <row r="42" spans="1:4" x14ac:dyDescent="0.25">
      <c r="A42" s="1">
        <v>40695</v>
      </c>
      <c r="B42" s="1">
        <v>40725</v>
      </c>
      <c r="C42" s="1">
        <v>40756</v>
      </c>
      <c r="D42">
        <v>4.4349999999999996</v>
      </c>
    </row>
    <row r="43" spans="1:4" x14ac:dyDescent="0.25">
      <c r="A43" s="1">
        <v>40725</v>
      </c>
      <c r="B43" s="1">
        <v>40756</v>
      </c>
      <c r="C43" s="1">
        <v>40787</v>
      </c>
      <c r="D43">
        <v>4.4762499999999896</v>
      </c>
    </row>
    <row r="44" spans="1:4" x14ac:dyDescent="0.25">
      <c r="A44" s="1">
        <v>40756</v>
      </c>
      <c r="B44" s="1">
        <v>40787</v>
      </c>
      <c r="C44" s="1">
        <v>40817</v>
      </c>
      <c r="D44">
        <v>4.1900000000000004</v>
      </c>
    </row>
    <row r="45" spans="1:4" x14ac:dyDescent="0.25">
      <c r="A45" s="1">
        <v>40787</v>
      </c>
      <c r="B45" s="1">
        <v>40817</v>
      </c>
      <c r="C45" s="1">
        <v>40848</v>
      </c>
      <c r="D45">
        <v>4.0025000000000004</v>
      </c>
    </row>
    <row r="46" spans="1:4" x14ac:dyDescent="0.25">
      <c r="A46" s="1">
        <v>40817</v>
      </c>
      <c r="B46" s="1">
        <v>40848</v>
      </c>
      <c r="C46" s="1">
        <v>40878</v>
      </c>
      <c r="D46">
        <v>4.0175000000000001</v>
      </c>
    </row>
    <row r="47" spans="1:4" x14ac:dyDescent="0.25">
      <c r="A47" s="1">
        <v>40848</v>
      </c>
      <c r="B47" s="1">
        <v>40878</v>
      </c>
      <c r="C47" s="1">
        <v>40909</v>
      </c>
      <c r="D47">
        <v>3.919</v>
      </c>
    </row>
    <row r="48" spans="1:4" x14ac:dyDescent="0.25">
      <c r="A48" s="1">
        <v>40878</v>
      </c>
      <c r="B48" s="1">
        <v>40909</v>
      </c>
      <c r="C48" s="1">
        <v>40940</v>
      </c>
      <c r="D48">
        <v>3.8787500000000001</v>
      </c>
    </row>
    <row r="49" spans="1:4" x14ac:dyDescent="0.25">
      <c r="A49" s="1">
        <v>40909</v>
      </c>
      <c r="B49" s="1">
        <v>40940</v>
      </c>
      <c r="C49" s="1">
        <v>40969</v>
      </c>
      <c r="D49">
        <v>3.8525</v>
      </c>
    </row>
    <row r="50" spans="1:4" x14ac:dyDescent="0.25">
      <c r="A50" s="1">
        <v>40940</v>
      </c>
      <c r="B50" s="1">
        <v>40969</v>
      </c>
      <c r="C50" s="1">
        <v>41000</v>
      </c>
      <c r="D50">
        <v>3.8420000000000001</v>
      </c>
    </row>
    <row r="51" spans="1:4" x14ac:dyDescent="0.25">
      <c r="A51" s="1">
        <v>40969</v>
      </c>
      <c r="B51" s="1">
        <v>41000</v>
      </c>
      <c r="C51" s="1">
        <v>41030</v>
      </c>
      <c r="D51">
        <v>3.9112499999999999</v>
      </c>
    </row>
    <row r="52" spans="1:4" x14ac:dyDescent="0.25">
      <c r="A52" s="1">
        <v>41000</v>
      </c>
      <c r="B52" s="1">
        <v>41030</v>
      </c>
      <c r="C52" s="1">
        <v>41061</v>
      </c>
      <c r="D52">
        <v>3.8412500000000001</v>
      </c>
    </row>
    <row r="53" spans="1:4" x14ac:dyDescent="0.25">
      <c r="A53" s="1">
        <v>41030</v>
      </c>
      <c r="B53" s="1">
        <v>41061</v>
      </c>
      <c r="C53" s="1">
        <v>41091</v>
      </c>
      <c r="D53">
        <v>3.738</v>
      </c>
    </row>
    <row r="54" spans="1:4" x14ac:dyDescent="0.25">
      <c r="A54" s="1">
        <v>41061</v>
      </c>
      <c r="B54" s="1">
        <v>41091</v>
      </c>
      <c r="C54" s="1">
        <v>41122</v>
      </c>
      <c r="D54">
        <v>3.6</v>
      </c>
    </row>
    <row r="55" spans="1:4" x14ac:dyDescent="0.25">
      <c r="A55" s="1">
        <v>41091</v>
      </c>
      <c r="B55" s="1">
        <v>41122</v>
      </c>
      <c r="C55" s="1">
        <v>41153</v>
      </c>
      <c r="D55">
        <v>3.4812500000000002</v>
      </c>
    </row>
    <row r="56" spans="1:4" x14ac:dyDescent="0.25">
      <c r="A56" s="1">
        <v>41122</v>
      </c>
      <c r="B56" s="1">
        <v>41153</v>
      </c>
      <c r="C56" s="1">
        <v>41183</v>
      </c>
      <c r="D56">
        <v>3.512</v>
      </c>
    </row>
    <row r="57" spans="1:4" x14ac:dyDescent="0.25">
      <c r="A57" s="1">
        <v>41153</v>
      </c>
      <c r="B57" s="1">
        <v>41183</v>
      </c>
      <c r="C57" s="1">
        <v>41214</v>
      </c>
      <c r="D57">
        <v>3.4037500000000001</v>
      </c>
    </row>
    <row r="58" spans="1:4" x14ac:dyDescent="0.25">
      <c r="A58" s="1">
        <v>41183</v>
      </c>
      <c r="B58" s="1">
        <v>41214</v>
      </c>
      <c r="C58" s="1">
        <v>41244</v>
      </c>
      <c r="D58">
        <v>3.3039999999999998</v>
      </c>
    </row>
    <row r="59" spans="1:4" x14ac:dyDescent="0.25">
      <c r="A59" s="1">
        <v>41214</v>
      </c>
      <c r="B59" s="1">
        <v>41244</v>
      </c>
      <c r="C59" s="1">
        <v>41275</v>
      </c>
      <c r="D59">
        <v>3.2737500000000002</v>
      </c>
    </row>
    <row r="60" spans="1:4" x14ac:dyDescent="0.25">
      <c r="A60" s="1">
        <v>41244</v>
      </c>
      <c r="B60" s="1">
        <v>41275</v>
      </c>
      <c r="C60" s="1">
        <v>41306</v>
      </c>
      <c r="D60">
        <v>3.27</v>
      </c>
    </row>
    <row r="61" spans="1:4" x14ac:dyDescent="0.25">
      <c r="A61" s="1">
        <v>41275</v>
      </c>
      <c r="B61" s="1">
        <v>41306</v>
      </c>
      <c r="C61" s="1">
        <v>41334</v>
      </c>
      <c r="D61">
        <v>3.339</v>
      </c>
    </row>
    <row r="62" spans="1:4" x14ac:dyDescent="0.25">
      <c r="A62" s="1">
        <v>41306</v>
      </c>
      <c r="B62" s="1">
        <v>41334</v>
      </c>
      <c r="C62" s="1">
        <v>41365</v>
      </c>
      <c r="D62">
        <v>3.4824999999999999</v>
      </c>
    </row>
    <row r="63" spans="1:4" x14ac:dyDescent="0.25">
      <c r="A63" s="1">
        <v>41334</v>
      </c>
      <c r="B63" s="1">
        <v>41365</v>
      </c>
      <c r="C63" s="1">
        <v>41395</v>
      </c>
      <c r="D63">
        <v>3.50875</v>
      </c>
    </row>
    <row r="64" spans="1:4" x14ac:dyDescent="0.25">
      <c r="A64" s="1">
        <v>41365</v>
      </c>
      <c r="B64" s="1">
        <v>41395</v>
      </c>
      <c r="C64" s="1">
        <v>41426</v>
      </c>
      <c r="D64">
        <v>3.3887499999999999</v>
      </c>
    </row>
    <row r="65" spans="1:4" x14ac:dyDescent="0.25">
      <c r="A65" s="1">
        <v>41395</v>
      </c>
      <c r="B65" s="1">
        <v>41426</v>
      </c>
      <c r="C65" s="1">
        <v>41456</v>
      </c>
      <c r="D65">
        <v>3.4660000000000002</v>
      </c>
    </row>
    <row r="66" spans="1:4" x14ac:dyDescent="0.25">
      <c r="A66" s="1">
        <v>41426</v>
      </c>
      <c r="B66" s="1">
        <v>41456</v>
      </c>
      <c r="C66" s="1">
        <v>41487</v>
      </c>
      <c r="D66">
        <v>4.0075000000000003</v>
      </c>
    </row>
    <row r="67" spans="1:4" x14ac:dyDescent="0.25">
      <c r="A67" s="1">
        <v>41456</v>
      </c>
      <c r="B67" s="1">
        <v>41487</v>
      </c>
      <c r="C67" s="1">
        <v>41518</v>
      </c>
      <c r="D67">
        <v>4.3090000000000002</v>
      </c>
    </row>
    <row r="68" spans="1:4" x14ac:dyDescent="0.25">
      <c r="A68" s="1">
        <v>41487</v>
      </c>
      <c r="B68" s="1">
        <v>41518</v>
      </c>
      <c r="C68" s="1">
        <v>41548</v>
      </c>
      <c r="D68">
        <v>4.4037499999999996</v>
      </c>
    </row>
    <row r="69" spans="1:4" x14ac:dyDescent="0.25">
      <c r="A69" s="1">
        <v>41518</v>
      </c>
      <c r="B69" s="1">
        <v>41548</v>
      </c>
      <c r="C69" s="1">
        <v>41579</v>
      </c>
      <c r="D69">
        <v>4.4212499999999997</v>
      </c>
    </row>
    <row r="70" spans="1:4" x14ac:dyDescent="0.25">
      <c r="A70" s="1">
        <v>41548</v>
      </c>
      <c r="B70" s="1">
        <v>41579</v>
      </c>
      <c r="C70" s="1">
        <v>41609</v>
      </c>
      <c r="D70">
        <v>4.1219999999999999</v>
      </c>
    </row>
    <row r="71" spans="1:4" x14ac:dyDescent="0.25">
      <c r="A71" s="1">
        <v>41579</v>
      </c>
      <c r="B71" s="1">
        <v>41609</v>
      </c>
      <c r="C71" s="1">
        <v>41640</v>
      </c>
      <c r="D71">
        <v>4.1862499999999896</v>
      </c>
    </row>
    <row r="72" spans="1:4" x14ac:dyDescent="0.25">
      <c r="A72" s="1">
        <v>41609</v>
      </c>
      <c r="B72" s="1">
        <v>41640</v>
      </c>
      <c r="C72" s="1">
        <v>41671</v>
      </c>
      <c r="D72">
        <v>4.37</v>
      </c>
    </row>
    <row r="73" spans="1:4" x14ac:dyDescent="0.25">
      <c r="A73" s="1">
        <v>41640</v>
      </c>
      <c r="B73" s="1">
        <v>41671</v>
      </c>
      <c r="C73" s="1">
        <v>41699</v>
      </c>
      <c r="D73">
        <v>4.3620000000000001</v>
      </c>
    </row>
    <row r="74" spans="1:4" x14ac:dyDescent="0.25">
      <c r="A74" s="1">
        <v>41671</v>
      </c>
      <c r="B74" s="1">
        <v>41699</v>
      </c>
      <c r="C74" s="1">
        <v>41730</v>
      </c>
      <c r="D74">
        <v>4.2274999999999903</v>
      </c>
    </row>
    <row r="75" spans="1:4" x14ac:dyDescent="0.25">
      <c r="A75" s="1">
        <v>41699</v>
      </c>
      <c r="B75" s="1">
        <v>41730</v>
      </c>
      <c r="C75" s="1">
        <v>41760</v>
      </c>
      <c r="D75">
        <v>4.2487500000000002</v>
      </c>
    </row>
    <row r="76" spans="1:4" x14ac:dyDescent="0.25">
      <c r="A76" s="1">
        <v>41730</v>
      </c>
      <c r="B76" s="1">
        <v>41760</v>
      </c>
      <c r="C76" s="1">
        <v>41791</v>
      </c>
      <c r="D76">
        <v>4.2479999999999896</v>
      </c>
    </row>
    <row r="77" spans="1:4" x14ac:dyDescent="0.25">
      <c r="A77" s="1">
        <v>41760</v>
      </c>
      <c r="B77" s="1">
        <v>41791</v>
      </c>
      <c r="C77" s="1">
        <v>41821</v>
      </c>
      <c r="D77">
        <v>4.0674999999999999</v>
      </c>
    </row>
    <row r="78" spans="1:4" x14ac:dyDescent="0.25">
      <c r="A78" s="1">
        <v>41791</v>
      </c>
      <c r="B78" s="1">
        <v>41821</v>
      </c>
      <c r="C78" s="1">
        <v>41852</v>
      </c>
      <c r="D78">
        <v>4.05</v>
      </c>
    </row>
    <row r="79" spans="1:4" x14ac:dyDescent="0.25">
      <c r="A79" s="1">
        <v>41821</v>
      </c>
      <c r="B79" s="1">
        <v>41852</v>
      </c>
      <c r="C79" s="1">
        <v>41883</v>
      </c>
      <c r="D79">
        <v>4.03</v>
      </c>
    </row>
    <row r="80" spans="1:4" x14ac:dyDescent="0.25">
      <c r="A80" s="1">
        <v>41852</v>
      </c>
      <c r="B80" s="1">
        <v>41883</v>
      </c>
      <c r="C80" s="1">
        <v>41913</v>
      </c>
      <c r="D80">
        <v>4.00875</v>
      </c>
    </row>
    <row r="81" spans="1:4" x14ac:dyDescent="0.25">
      <c r="A81" s="1">
        <v>41883</v>
      </c>
      <c r="B81" s="1">
        <v>41913</v>
      </c>
      <c r="C81" s="1">
        <v>41944</v>
      </c>
      <c r="D81">
        <v>4.0374999999999996</v>
      </c>
    </row>
    <row r="82" spans="1:4" x14ac:dyDescent="0.25">
      <c r="A82" s="1">
        <v>41913</v>
      </c>
      <c r="B82" s="1">
        <v>41944</v>
      </c>
      <c r="C82" s="1">
        <v>41974</v>
      </c>
      <c r="D82">
        <v>3.9060000000000001</v>
      </c>
    </row>
    <row r="83" spans="1:4" x14ac:dyDescent="0.25">
      <c r="A83" s="1">
        <v>41944</v>
      </c>
      <c r="B83" s="1">
        <v>41974</v>
      </c>
      <c r="C83" s="1">
        <v>42005</v>
      </c>
      <c r="D83">
        <v>3.8725000000000001</v>
      </c>
    </row>
    <row r="84" spans="1:4" x14ac:dyDescent="0.25">
      <c r="A84" s="1">
        <v>41974</v>
      </c>
      <c r="B84" s="1">
        <v>42005</v>
      </c>
      <c r="C84" s="1">
        <v>42036</v>
      </c>
      <c r="D84">
        <v>3.754</v>
      </c>
    </row>
    <row r="85" spans="1:4" x14ac:dyDescent="0.25">
      <c r="A85" s="1">
        <v>42005</v>
      </c>
      <c r="B85" s="1">
        <v>42036</v>
      </c>
      <c r="C85" s="1">
        <v>42064</v>
      </c>
      <c r="D85">
        <v>3.5762499999999999</v>
      </c>
    </row>
    <row r="86" spans="1:4" x14ac:dyDescent="0.25">
      <c r="A86" s="1">
        <v>42036</v>
      </c>
      <c r="B86" s="1">
        <v>42064</v>
      </c>
      <c r="C86" s="1">
        <v>42095</v>
      </c>
      <c r="D86">
        <v>3.61625</v>
      </c>
    </row>
    <row r="87" spans="1:4" x14ac:dyDescent="0.25">
      <c r="A87" s="1">
        <v>42064</v>
      </c>
      <c r="B87" s="1">
        <v>42095</v>
      </c>
      <c r="C87" s="1">
        <v>42125</v>
      </c>
      <c r="D87">
        <v>3.67</v>
      </c>
    </row>
    <row r="88" spans="1:4" x14ac:dyDescent="0.25">
      <c r="A88" s="1">
        <v>42095</v>
      </c>
      <c r="B88" s="1">
        <v>42125</v>
      </c>
      <c r="C88" s="1">
        <v>42156</v>
      </c>
      <c r="D88">
        <v>3.577</v>
      </c>
    </row>
    <row r="89" spans="1:4" x14ac:dyDescent="0.25">
      <c r="A89" s="1">
        <v>42125</v>
      </c>
      <c r="B89" s="1">
        <v>42156</v>
      </c>
      <c r="C89" s="1">
        <v>42186</v>
      </c>
      <c r="D89">
        <v>3.7462499999999999</v>
      </c>
    </row>
    <row r="90" spans="1:4" x14ac:dyDescent="0.25">
      <c r="A90" s="1">
        <v>42156</v>
      </c>
      <c r="B90" s="1">
        <v>42186</v>
      </c>
      <c r="C90" s="1">
        <v>42217</v>
      </c>
      <c r="D90">
        <v>3.895</v>
      </c>
    </row>
    <row r="91" spans="1:4" x14ac:dyDescent="0.25">
      <c r="A91" s="1">
        <v>42186</v>
      </c>
      <c r="B91" s="1">
        <v>42217</v>
      </c>
      <c r="C91" s="1">
        <v>42248</v>
      </c>
      <c r="D91">
        <v>3.9460000000000002</v>
      </c>
    </row>
    <row r="92" spans="1:4" x14ac:dyDescent="0.25">
      <c r="A92" s="1">
        <v>42217</v>
      </c>
      <c r="B92" s="1">
        <v>42248</v>
      </c>
      <c r="C92" s="1">
        <v>42278</v>
      </c>
      <c r="D92">
        <v>3.8050000000000002</v>
      </c>
    </row>
    <row r="93" spans="1:4" x14ac:dyDescent="0.25">
      <c r="A93" s="1">
        <v>42248</v>
      </c>
      <c r="B93" s="1">
        <v>42278</v>
      </c>
      <c r="C93" s="1">
        <v>42309</v>
      </c>
      <c r="D93">
        <v>3.7869999999999999</v>
      </c>
    </row>
    <row r="94" spans="1:4" x14ac:dyDescent="0.25">
      <c r="A94" s="1">
        <v>42278</v>
      </c>
      <c r="B94" s="1">
        <v>42309</v>
      </c>
      <c r="C94" s="1">
        <v>42339</v>
      </c>
      <c r="D94">
        <v>3.6825000000000001</v>
      </c>
    </row>
    <row r="95" spans="1:4" x14ac:dyDescent="0.25">
      <c r="A95" s="1">
        <v>42309</v>
      </c>
      <c r="B95" s="1">
        <v>42339</v>
      </c>
      <c r="C95" s="1">
        <v>42370</v>
      </c>
      <c r="D95">
        <v>3.8487499999999999</v>
      </c>
    </row>
    <row r="96" spans="1:4" x14ac:dyDescent="0.25">
      <c r="A96" s="1">
        <v>42339</v>
      </c>
      <c r="B96" s="1">
        <v>42370</v>
      </c>
      <c r="C96" s="1">
        <v>42401</v>
      </c>
      <c r="D96">
        <v>3.8639999999999999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>
      <selection activeCell="S15" sqref="S15"/>
    </sheetView>
  </sheetViews>
  <sheetFormatPr defaultRowHeight="15" x14ac:dyDescent="0.25"/>
  <sheetData>
    <row r="1" spans="1:4" x14ac:dyDescent="0.25">
      <c r="A1" t="s">
        <v>0</v>
      </c>
      <c r="B1" t="s">
        <v>56</v>
      </c>
      <c r="C1" t="s">
        <v>57</v>
      </c>
      <c r="D1" t="s">
        <v>58</v>
      </c>
    </row>
    <row r="2" spans="1:4" x14ac:dyDescent="0.25">
      <c r="A2" s="1">
        <v>39295</v>
      </c>
      <c r="B2">
        <v>6.6891133223864196</v>
      </c>
      <c r="C2">
        <v>6.1397826588832798</v>
      </c>
      <c r="D2">
        <v>-0.54933066350314697</v>
      </c>
    </row>
    <row r="3" spans="1:4" x14ac:dyDescent="0.25">
      <c r="A3" s="1">
        <v>39326</v>
      </c>
      <c r="B3">
        <v>6.6980185062907802</v>
      </c>
      <c r="C3">
        <v>6.1173027181590598</v>
      </c>
      <c r="D3">
        <v>-0.58071578813172198</v>
      </c>
    </row>
    <row r="4" spans="1:4" x14ac:dyDescent="0.25">
      <c r="A4" s="1">
        <v>39539</v>
      </c>
      <c r="B4">
        <v>5.9414644015974396</v>
      </c>
      <c r="C4">
        <v>6.2527295683358197</v>
      </c>
      <c r="D4">
        <v>0.311265166738387</v>
      </c>
    </row>
    <row r="5" spans="1:4" x14ac:dyDescent="0.25">
      <c r="A5" s="1">
        <v>39569</v>
      </c>
      <c r="B5">
        <v>5.9107015263472498</v>
      </c>
      <c r="C5">
        <v>6.2870761404759703</v>
      </c>
      <c r="D5">
        <v>0.37637461412871498</v>
      </c>
    </row>
    <row r="6" spans="1:4" x14ac:dyDescent="0.25">
      <c r="A6" s="1">
        <v>39600</v>
      </c>
      <c r="B6">
        <v>5.9847448312247202</v>
      </c>
      <c r="C6">
        <v>6.1510234485023396</v>
      </c>
      <c r="D6">
        <v>0.166278617277618</v>
      </c>
    </row>
    <row r="7" spans="1:4" x14ac:dyDescent="0.25">
      <c r="A7" s="1">
        <v>39630</v>
      </c>
      <c r="B7">
        <v>6.1462785848141799</v>
      </c>
      <c r="C7">
        <v>6.15581322682175</v>
      </c>
      <c r="D7">
        <v>9.5346420075665198E-3</v>
      </c>
    </row>
    <row r="8" spans="1:4" x14ac:dyDescent="0.25">
      <c r="A8" s="1">
        <v>39661</v>
      </c>
      <c r="B8">
        <v>6.3945693249944302</v>
      </c>
      <c r="C8">
        <v>6.4198237085979803</v>
      </c>
      <c r="D8">
        <v>2.5254383603548699E-2</v>
      </c>
    </row>
    <row r="9" spans="1:4" x14ac:dyDescent="0.25">
      <c r="A9" s="1">
        <v>39692</v>
      </c>
      <c r="B9">
        <v>6.5166181281964697</v>
      </c>
      <c r="C9">
        <v>6.5538507153036401</v>
      </c>
      <c r="D9">
        <v>3.7232587107168202E-2</v>
      </c>
    </row>
    <row r="10" spans="1:4" x14ac:dyDescent="0.25">
      <c r="A10" s="1">
        <v>39722</v>
      </c>
      <c r="B10">
        <v>6.2419459984537697</v>
      </c>
      <c r="C10">
        <v>6.2380986543246797</v>
      </c>
      <c r="D10">
        <v>-3.8473441290951299E-3</v>
      </c>
    </row>
    <row r="11" spans="1:4" x14ac:dyDescent="0.25">
      <c r="A11" s="1">
        <v>39753</v>
      </c>
      <c r="B11">
        <v>6.05331388517234</v>
      </c>
      <c r="C11">
        <v>6.078613792654</v>
      </c>
      <c r="D11">
        <v>2.52999074816543E-2</v>
      </c>
    </row>
    <row r="12" spans="1:4" x14ac:dyDescent="0.25">
      <c r="A12" s="1">
        <v>39783</v>
      </c>
      <c r="B12">
        <v>6.1865226531193098</v>
      </c>
      <c r="C12">
        <v>6.1374979320854104</v>
      </c>
      <c r="D12">
        <v>-4.9024721033900001E-2</v>
      </c>
    </row>
    <row r="13" spans="1:4" x14ac:dyDescent="0.25">
      <c r="A13" s="1">
        <v>39814</v>
      </c>
      <c r="B13">
        <v>5.4681978598645298</v>
      </c>
      <c r="C13">
        <v>5.7077234459192798</v>
      </c>
      <c r="D13">
        <v>0.239525586054749</v>
      </c>
    </row>
    <row r="14" spans="1:4" x14ac:dyDescent="0.25">
      <c r="A14" s="1">
        <v>39845</v>
      </c>
      <c r="B14">
        <v>4.9738463695244599</v>
      </c>
      <c r="C14">
        <v>5.22404062956746</v>
      </c>
      <c r="D14">
        <v>0.25019426004299899</v>
      </c>
    </row>
    <row r="15" spans="1:4" x14ac:dyDescent="0.25">
      <c r="A15" s="1">
        <v>39904</v>
      </c>
      <c r="B15">
        <v>4.9244860990394503</v>
      </c>
      <c r="C15">
        <v>5.0791156521744902</v>
      </c>
      <c r="D15">
        <v>0.15462955313503501</v>
      </c>
    </row>
    <row r="16" spans="1:4" x14ac:dyDescent="0.25">
      <c r="A16" s="1">
        <v>39934</v>
      </c>
      <c r="B16">
        <v>4.8455197185468002</v>
      </c>
      <c r="C16">
        <v>5.2076694141499003</v>
      </c>
      <c r="D16">
        <v>0.36214969560309701</v>
      </c>
    </row>
    <row r="17" spans="1:4" x14ac:dyDescent="0.25">
      <c r="A17" s="1">
        <v>39995</v>
      </c>
      <c r="B17">
        <v>4.89435494614386</v>
      </c>
      <c r="C17">
        <v>5.0490977790125697</v>
      </c>
      <c r="D17">
        <v>0.15474283286871299</v>
      </c>
    </row>
    <row r="18" spans="1:4" x14ac:dyDescent="0.25">
      <c r="A18" s="1">
        <v>40057</v>
      </c>
      <c r="B18">
        <v>5.1828709283411403</v>
      </c>
      <c r="C18">
        <v>5.1552959392642697</v>
      </c>
      <c r="D18">
        <v>-2.7574989076868901E-2</v>
      </c>
    </row>
    <row r="19" spans="1:4" x14ac:dyDescent="0.25">
      <c r="A19" s="1">
        <v>40087</v>
      </c>
      <c r="B19">
        <v>5.1828847327966603</v>
      </c>
      <c r="C19">
        <v>5.2307464979003599</v>
      </c>
      <c r="D19">
        <v>4.7861765103700202E-2</v>
      </c>
    </row>
    <row r="20" spans="1:4" x14ac:dyDescent="0.25">
      <c r="A20" s="1">
        <v>40118</v>
      </c>
      <c r="B20">
        <v>5.0741161202052396</v>
      </c>
      <c r="C20">
        <v>5.1767295892177199</v>
      </c>
      <c r="D20">
        <v>0.102613469012481</v>
      </c>
    </row>
    <row r="21" spans="1:4" x14ac:dyDescent="0.25">
      <c r="A21" s="1">
        <v>40148</v>
      </c>
      <c r="B21">
        <v>5.0461692064473196</v>
      </c>
      <c r="C21">
        <v>5.1352778235255503</v>
      </c>
      <c r="D21">
        <v>8.9108617078228994E-2</v>
      </c>
    </row>
    <row r="22" spans="1:4" x14ac:dyDescent="0.25">
      <c r="A22" s="1">
        <v>40179</v>
      </c>
      <c r="B22">
        <v>4.9960570604693002</v>
      </c>
      <c r="C22">
        <v>5.0831406156849699</v>
      </c>
      <c r="D22">
        <v>8.7083555215673403E-2</v>
      </c>
    </row>
    <row r="23" spans="1:4" x14ac:dyDescent="0.25">
      <c r="A23" s="1">
        <v>40210</v>
      </c>
      <c r="B23">
        <v>5.0396581874657702</v>
      </c>
      <c r="C23">
        <v>5.0598699145059101</v>
      </c>
      <c r="D23">
        <v>2.0211727040137802E-2</v>
      </c>
    </row>
    <row r="24" spans="1:4" x14ac:dyDescent="0.25">
      <c r="A24" s="1">
        <v>40238</v>
      </c>
      <c r="B24">
        <v>5.1047070349752302</v>
      </c>
      <c r="C24">
        <v>5.1385991293995197</v>
      </c>
      <c r="D24">
        <v>3.3892094424289199E-2</v>
      </c>
    </row>
    <row r="25" spans="1:4" x14ac:dyDescent="0.25">
      <c r="A25" s="1">
        <v>40299</v>
      </c>
      <c r="B25">
        <v>5.12095017649039</v>
      </c>
      <c r="C25">
        <v>5.1537901488213604</v>
      </c>
      <c r="D25">
        <v>3.2839972330962697E-2</v>
      </c>
    </row>
    <row r="26" spans="1:4" x14ac:dyDescent="0.25">
      <c r="A26" s="1">
        <v>40330</v>
      </c>
      <c r="B26">
        <v>5.1461920059075297</v>
      </c>
      <c r="C26">
        <v>5.1650297022864002</v>
      </c>
      <c r="D26">
        <v>1.8837696378874801E-2</v>
      </c>
    </row>
    <row r="27" spans="1:4" x14ac:dyDescent="0.25">
      <c r="A27" s="1">
        <v>40360</v>
      </c>
      <c r="B27">
        <v>4.9956275682079498</v>
      </c>
      <c r="C27">
        <v>5.00968353379489</v>
      </c>
      <c r="D27">
        <v>1.40559655869411E-2</v>
      </c>
    </row>
    <row r="28" spans="1:4" x14ac:dyDescent="0.25">
      <c r="A28" s="1">
        <v>40391</v>
      </c>
      <c r="B28">
        <v>4.8252712391728503</v>
      </c>
      <c r="C28">
        <v>4.8859454172855799</v>
      </c>
      <c r="D28">
        <v>6.0674178112730202E-2</v>
      </c>
    </row>
    <row r="29" spans="1:4" x14ac:dyDescent="0.25">
      <c r="A29" s="1">
        <v>40422</v>
      </c>
      <c r="B29">
        <v>4.6589112052542099</v>
      </c>
      <c r="C29">
        <v>4.7565068599256</v>
      </c>
      <c r="D29">
        <v>9.7595654671384105E-2</v>
      </c>
    </row>
    <row r="30" spans="1:4" x14ac:dyDescent="0.25">
      <c r="A30" s="1">
        <v>40452</v>
      </c>
      <c r="B30">
        <v>4.5386987892087598</v>
      </c>
      <c r="C30">
        <v>4.6387086804864301</v>
      </c>
      <c r="D30">
        <v>0.100009891277676</v>
      </c>
    </row>
    <row r="31" spans="1:4" x14ac:dyDescent="0.25">
      <c r="A31" s="1">
        <v>40483</v>
      </c>
      <c r="B31">
        <v>4.4680517221194904</v>
      </c>
      <c r="C31">
        <v>4.5663520378012601</v>
      </c>
      <c r="D31">
        <v>9.83003156817642E-2</v>
      </c>
    </row>
    <row r="32" spans="1:4" x14ac:dyDescent="0.25">
      <c r="A32" s="1">
        <v>40513</v>
      </c>
      <c r="B32">
        <v>4.3890384232592501</v>
      </c>
      <c r="C32">
        <v>4.4983020559045199</v>
      </c>
      <c r="D32">
        <v>0.109263632645262</v>
      </c>
    </row>
    <row r="33" spans="1:4" x14ac:dyDescent="0.25">
      <c r="A33" s="1">
        <v>40544</v>
      </c>
      <c r="B33">
        <v>4.4660704739610697</v>
      </c>
      <c r="C33">
        <v>4.4990545599754501</v>
      </c>
      <c r="D33">
        <v>3.2984086014374699E-2</v>
      </c>
    </row>
    <row r="34" spans="1:4" x14ac:dyDescent="0.25">
      <c r="A34" s="1">
        <v>40575</v>
      </c>
      <c r="B34">
        <v>4.6952844446342503</v>
      </c>
      <c r="C34">
        <v>4.6606860402016403</v>
      </c>
      <c r="D34">
        <v>-3.4598404432617302E-2</v>
      </c>
    </row>
    <row r="35" spans="1:4" x14ac:dyDescent="0.25">
      <c r="A35" s="1">
        <v>40603</v>
      </c>
      <c r="B35">
        <v>4.8620813046905802</v>
      </c>
      <c r="C35">
        <v>4.7996693555755003</v>
      </c>
      <c r="D35">
        <v>-6.24119491150813E-2</v>
      </c>
    </row>
    <row r="36" spans="1:4" x14ac:dyDescent="0.25">
      <c r="A36" s="1">
        <v>40634</v>
      </c>
      <c r="B36">
        <v>5.0101983656826903</v>
      </c>
      <c r="C36">
        <v>4.9601133988252801</v>
      </c>
      <c r="D36">
        <v>-5.00849668574119E-2</v>
      </c>
    </row>
    <row r="37" spans="1:4" x14ac:dyDescent="0.25">
      <c r="A37" s="1">
        <v>40664</v>
      </c>
      <c r="B37">
        <v>5.0207793426115304</v>
      </c>
      <c r="C37">
        <v>4.9970040836459697</v>
      </c>
      <c r="D37">
        <v>-2.37752589655644E-2</v>
      </c>
    </row>
    <row r="38" spans="1:4" x14ac:dyDescent="0.25">
      <c r="A38" s="1">
        <v>40695</v>
      </c>
      <c r="B38">
        <v>4.9797224325791296</v>
      </c>
      <c r="C38">
        <v>4.9410355765970504</v>
      </c>
      <c r="D38">
        <v>-3.8686855982081401E-2</v>
      </c>
    </row>
    <row r="39" spans="1:4" x14ac:dyDescent="0.25">
      <c r="A39" s="1">
        <v>40725</v>
      </c>
      <c r="B39">
        <v>4.8086365036569099</v>
      </c>
      <c r="C39">
        <v>4.7811637704894103</v>
      </c>
      <c r="D39">
        <v>-2.7472733167504201E-2</v>
      </c>
    </row>
    <row r="40" spans="1:4" x14ac:dyDescent="0.25">
      <c r="A40" s="1">
        <v>40756</v>
      </c>
      <c r="B40">
        <v>4.73392167426951</v>
      </c>
      <c r="C40">
        <v>4.7179535089852003</v>
      </c>
      <c r="D40">
        <v>-1.5968165284313801E-2</v>
      </c>
    </row>
    <row r="41" spans="1:4" x14ac:dyDescent="0.25">
      <c r="A41" s="1">
        <v>40787</v>
      </c>
      <c r="B41">
        <v>4.6219683194976398</v>
      </c>
      <c r="C41">
        <v>4.5727223905450396</v>
      </c>
      <c r="D41">
        <v>-4.9245928952602401E-2</v>
      </c>
    </row>
    <row r="42" spans="1:4" x14ac:dyDescent="0.25">
      <c r="A42" s="1">
        <v>40817</v>
      </c>
      <c r="B42">
        <v>4.3662215340669102</v>
      </c>
      <c r="C42">
        <v>4.4189086134033904</v>
      </c>
      <c r="D42">
        <v>5.2687079336479502E-2</v>
      </c>
    </row>
    <row r="43" spans="1:4" x14ac:dyDescent="0.25">
      <c r="A43" s="1">
        <v>40848</v>
      </c>
      <c r="B43">
        <v>4.2275380880739899</v>
      </c>
      <c r="C43">
        <v>4.3364168543068899</v>
      </c>
      <c r="D43">
        <v>0.108878766232903</v>
      </c>
    </row>
    <row r="44" spans="1:4" x14ac:dyDescent="0.25">
      <c r="A44" s="1">
        <v>40878</v>
      </c>
      <c r="B44">
        <v>4.1926051080995403</v>
      </c>
      <c r="C44">
        <v>4.3170124611418004</v>
      </c>
      <c r="D44">
        <v>0.124407353042255</v>
      </c>
    </row>
    <row r="45" spans="1:4" x14ac:dyDescent="0.25">
      <c r="A45" s="1">
        <v>40909</v>
      </c>
      <c r="B45">
        <v>4.1848099593679802</v>
      </c>
      <c r="C45">
        <v>4.3024752231442198</v>
      </c>
      <c r="D45">
        <v>0.11766526377624199</v>
      </c>
    </row>
    <row r="46" spans="1:4" x14ac:dyDescent="0.25">
      <c r="A46" s="1">
        <v>40940</v>
      </c>
      <c r="B46">
        <v>4.1198292334541797</v>
      </c>
      <c r="C46">
        <v>4.1976254015686498</v>
      </c>
      <c r="D46">
        <v>7.7796168114476302E-2</v>
      </c>
    </row>
    <row r="47" spans="1:4" x14ac:dyDescent="0.25">
      <c r="A47" s="1">
        <v>40969</v>
      </c>
      <c r="B47">
        <v>4.0554270274797002</v>
      </c>
      <c r="C47">
        <v>4.1337998394600701</v>
      </c>
      <c r="D47">
        <v>7.8372811980372395E-2</v>
      </c>
    </row>
    <row r="48" spans="1:4" x14ac:dyDescent="0.25">
      <c r="A48" s="1">
        <v>41000</v>
      </c>
      <c r="B48">
        <v>4.0475314616110998</v>
      </c>
      <c r="C48">
        <v>4.10119135928137</v>
      </c>
      <c r="D48">
        <v>5.3659897670271899E-2</v>
      </c>
    </row>
    <row r="49" spans="1:4" x14ac:dyDescent="0.25">
      <c r="A49" s="1">
        <v>41030</v>
      </c>
      <c r="B49">
        <v>4.1014307622836599</v>
      </c>
      <c r="C49">
        <v>4.1372032038285598</v>
      </c>
      <c r="D49">
        <v>3.57724415449042E-2</v>
      </c>
    </row>
    <row r="50" spans="1:4" x14ac:dyDescent="0.25">
      <c r="A50" s="1">
        <v>41061</v>
      </c>
      <c r="B50">
        <v>4.0674766840361603</v>
      </c>
      <c r="C50">
        <v>4.0792362062960397</v>
      </c>
      <c r="D50">
        <v>1.1759522259883999E-2</v>
      </c>
    </row>
    <row r="51" spans="1:4" x14ac:dyDescent="0.25">
      <c r="A51" s="1">
        <v>41091</v>
      </c>
      <c r="B51">
        <v>3.9444086207220401</v>
      </c>
      <c r="C51">
        <v>3.99199069359529</v>
      </c>
      <c r="D51">
        <v>4.7582072873255402E-2</v>
      </c>
    </row>
    <row r="52" spans="1:4" x14ac:dyDescent="0.25">
      <c r="A52" s="1">
        <v>41122</v>
      </c>
      <c r="B52">
        <v>3.8397480189692001</v>
      </c>
      <c r="C52">
        <v>3.9297915582093101</v>
      </c>
      <c r="D52">
        <v>9.0043539240110507E-2</v>
      </c>
    </row>
    <row r="53" spans="1:4" x14ac:dyDescent="0.25">
      <c r="A53" s="1">
        <v>41153</v>
      </c>
      <c r="B53">
        <v>3.7439110192634</v>
      </c>
      <c r="C53">
        <v>3.8437267712583099</v>
      </c>
      <c r="D53">
        <v>9.9815751994910107E-2</v>
      </c>
    </row>
    <row r="54" spans="1:4" x14ac:dyDescent="0.25">
      <c r="A54" s="1">
        <v>41183</v>
      </c>
      <c r="B54">
        <v>3.7271590271181099</v>
      </c>
      <c r="C54">
        <v>3.7926820096394298</v>
      </c>
      <c r="D54">
        <v>6.5522982521323103E-2</v>
      </c>
    </row>
    <row r="55" spans="1:4" x14ac:dyDescent="0.25">
      <c r="A55" s="1">
        <v>41214</v>
      </c>
      <c r="B55">
        <v>3.6495927227189799</v>
      </c>
      <c r="C55">
        <v>3.6805811425071702</v>
      </c>
      <c r="D55">
        <v>3.0988419788188701E-2</v>
      </c>
    </row>
    <row r="56" spans="1:4" x14ac:dyDescent="0.25">
      <c r="A56" s="1">
        <v>41244</v>
      </c>
      <c r="B56">
        <v>3.5808893039916199</v>
      </c>
      <c r="C56">
        <v>3.63837748171294</v>
      </c>
      <c r="D56">
        <v>5.74881777213197E-2</v>
      </c>
    </row>
    <row r="57" spans="1:4" x14ac:dyDescent="0.25">
      <c r="A57" s="1">
        <v>41275</v>
      </c>
      <c r="B57">
        <v>3.5641154557378698</v>
      </c>
      <c r="C57">
        <v>3.6415976505241798</v>
      </c>
      <c r="D57">
        <v>7.7482194786315295E-2</v>
      </c>
    </row>
    <row r="58" spans="1:4" x14ac:dyDescent="0.25">
      <c r="A58" s="1">
        <v>41306</v>
      </c>
      <c r="B58">
        <v>3.5762163899608801</v>
      </c>
      <c r="C58">
        <v>3.6475792056195502</v>
      </c>
      <c r="D58">
        <v>7.1362815658664994E-2</v>
      </c>
    </row>
    <row r="59" spans="1:4" x14ac:dyDescent="0.25">
      <c r="A59" s="1">
        <v>41334</v>
      </c>
      <c r="B59">
        <v>3.6517294843282802</v>
      </c>
      <c r="C59">
        <v>3.7201194366541701</v>
      </c>
      <c r="D59">
        <v>6.8389952325896106E-2</v>
      </c>
    </row>
    <row r="60" spans="1:4" x14ac:dyDescent="0.25">
      <c r="A60" s="1">
        <v>41365</v>
      </c>
      <c r="B60">
        <v>3.7432614641822299</v>
      </c>
      <c r="C60">
        <v>3.8185979977958602</v>
      </c>
      <c r="D60">
        <v>7.5336533613634599E-2</v>
      </c>
    </row>
    <row r="61" spans="1:4" x14ac:dyDescent="0.25">
      <c r="A61" s="1">
        <v>41395</v>
      </c>
      <c r="B61">
        <v>3.7772670591833299</v>
      </c>
      <c r="C61">
        <v>3.8153673038600102</v>
      </c>
      <c r="D61">
        <v>3.8100244676681001E-2</v>
      </c>
    </row>
    <row r="62" spans="1:4" x14ac:dyDescent="0.25">
      <c r="A62" s="1">
        <v>41426</v>
      </c>
      <c r="B62">
        <v>3.7120543133843298</v>
      </c>
      <c r="C62">
        <v>3.7197154812831301</v>
      </c>
      <c r="D62">
        <v>7.6611678987977497E-3</v>
      </c>
    </row>
    <row r="63" spans="1:4" x14ac:dyDescent="0.25">
      <c r="A63" s="1">
        <v>41456</v>
      </c>
      <c r="B63">
        <v>3.82364261170168</v>
      </c>
      <c r="C63">
        <v>3.8381549383786302</v>
      </c>
      <c r="D63">
        <v>1.4512326676948699E-2</v>
      </c>
    </row>
    <row r="64" spans="1:4" x14ac:dyDescent="0.25">
      <c r="A64" s="1">
        <v>41487</v>
      </c>
      <c r="B64">
        <v>4.1880700984374402</v>
      </c>
      <c r="C64">
        <v>4.2341442189948104</v>
      </c>
      <c r="D64">
        <v>4.6074120557378001E-2</v>
      </c>
    </row>
    <row r="65" spans="1:4" x14ac:dyDescent="0.25">
      <c r="A65" s="1">
        <v>41518</v>
      </c>
      <c r="B65">
        <v>4.5051710245980701</v>
      </c>
      <c r="C65">
        <v>4.5162275101877096</v>
      </c>
      <c r="D65">
        <v>1.1056485589641601E-2</v>
      </c>
    </row>
    <row r="66" spans="1:4" x14ac:dyDescent="0.25">
      <c r="A66" s="1">
        <v>41548</v>
      </c>
      <c r="B66">
        <v>4.6648980510043598</v>
      </c>
      <c r="C66">
        <v>4.6975239215006104</v>
      </c>
      <c r="D66">
        <v>3.2625870496251701E-2</v>
      </c>
    </row>
    <row r="67" spans="1:4" x14ac:dyDescent="0.25">
      <c r="A67" s="1">
        <v>41579</v>
      </c>
      <c r="B67">
        <v>4.6254800098711604</v>
      </c>
      <c r="C67">
        <v>4.59061860117228</v>
      </c>
      <c r="D67">
        <v>-3.4861408698878098E-2</v>
      </c>
    </row>
    <row r="68" spans="1:4" x14ac:dyDescent="0.25">
      <c r="A68" s="1">
        <v>41609</v>
      </c>
      <c r="B68">
        <v>4.4922637610602498</v>
      </c>
      <c r="C68">
        <v>4.4622502610567203</v>
      </c>
      <c r="D68">
        <v>-3.00135000035287E-2</v>
      </c>
    </row>
    <row r="69" spans="1:4" x14ac:dyDescent="0.25">
      <c r="A69" s="1">
        <v>41640</v>
      </c>
      <c r="B69">
        <v>4.5396148245375301</v>
      </c>
      <c r="C69">
        <v>4.5465924718164299</v>
      </c>
      <c r="D69">
        <v>6.9776472788975197E-3</v>
      </c>
    </row>
    <row r="70" spans="1:4" x14ac:dyDescent="0.25">
      <c r="A70" s="1">
        <v>41671</v>
      </c>
      <c r="B70">
        <v>4.6786697284620997</v>
      </c>
      <c r="C70">
        <v>4.6820243124374299</v>
      </c>
      <c r="D70">
        <v>3.3545839753262E-3</v>
      </c>
    </row>
    <row r="71" spans="1:4" x14ac:dyDescent="0.25">
      <c r="A71" s="1">
        <v>41699</v>
      </c>
      <c r="B71">
        <v>4.6469416715909597</v>
      </c>
      <c r="C71">
        <v>4.5897976667054898</v>
      </c>
      <c r="D71">
        <v>-5.7144004885469897E-2</v>
      </c>
    </row>
    <row r="72" spans="1:4" x14ac:dyDescent="0.25">
      <c r="A72" s="1">
        <v>41730</v>
      </c>
      <c r="B72">
        <v>4.58993013681176</v>
      </c>
      <c r="C72">
        <v>4.5620497811637097</v>
      </c>
      <c r="D72">
        <v>-2.7880355648046602E-2</v>
      </c>
    </row>
    <row r="73" spans="1:4" x14ac:dyDescent="0.25">
      <c r="A73" s="1">
        <v>41760</v>
      </c>
      <c r="B73">
        <v>4.6088463064543399</v>
      </c>
      <c r="C73">
        <v>4.5621410729059004</v>
      </c>
      <c r="D73">
        <v>-4.6705233548440798E-2</v>
      </c>
    </row>
    <row r="74" spans="1:4" x14ac:dyDescent="0.25">
      <c r="A74" s="1">
        <v>41791</v>
      </c>
      <c r="B74">
        <v>4.5530970603761496</v>
      </c>
      <c r="C74">
        <v>4.5155374225915397</v>
      </c>
      <c r="D74">
        <v>-3.7559637784612999E-2</v>
      </c>
    </row>
    <row r="75" spans="1:4" x14ac:dyDescent="0.25">
      <c r="A75" s="1">
        <v>41821</v>
      </c>
      <c r="B75">
        <v>4.4326245871277603</v>
      </c>
      <c r="C75">
        <v>4.3943173693742201</v>
      </c>
      <c r="D75">
        <v>-3.83072177535397E-2</v>
      </c>
    </row>
    <row r="76" spans="1:4" x14ac:dyDescent="0.25">
      <c r="A76" s="1">
        <v>41852</v>
      </c>
      <c r="B76">
        <v>4.4025150421367201</v>
      </c>
      <c r="C76">
        <v>4.3578462572170498</v>
      </c>
      <c r="D76">
        <v>-4.4668784919663598E-2</v>
      </c>
    </row>
    <row r="77" spans="1:4" x14ac:dyDescent="0.25">
      <c r="A77" s="1">
        <v>41883</v>
      </c>
      <c r="B77">
        <v>4.3995686450764602</v>
      </c>
      <c r="C77">
        <v>4.3652671574617798</v>
      </c>
      <c r="D77">
        <v>-3.4301487614675399E-2</v>
      </c>
    </row>
    <row r="78" spans="1:4" x14ac:dyDescent="0.25">
      <c r="A78" s="1">
        <v>41913</v>
      </c>
      <c r="B78">
        <v>4.3959239697670602</v>
      </c>
      <c r="C78">
        <v>4.3692570194633404</v>
      </c>
      <c r="D78">
        <v>-2.66669503037276E-2</v>
      </c>
    </row>
    <row r="79" spans="1:4" x14ac:dyDescent="0.25">
      <c r="A79" s="1">
        <v>41944</v>
      </c>
      <c r="B79">
        <v>4.38310328464138</v>
      </c>
      <c r="C79">
        <v>4.3410982272591996</v>
      </c>
      <c r="D79">
        <v>-4.20050573821781E-2</v>
      </c>
    </row>
    <row r="80" spans="1:4" x14ac:dyDescent="0.25">
      <c r="A80" s="1">
        <v>41974</v>
      </c>
      <c r="B80">
        <v>4.2610172095231196</v>
      </c>
      <c r="C80">
        <v>4.1962677693010697</v>
      </c>
      <c r="D80">
        <v>-6.4749440222048302E-2</v>
      </c>
    </row>
    <row r="81" spans="1:4" x14ac:dyDescent="0.25">
      <c r="A81" s="1">
        <v>42005</v>
      </c>
      <c r="B81">
        <v>4.22769349439048</v>
      </c>
      <c r="C81">
        <v>4.17590640030543</v>
      </c>
      <c r="D81">
        <v>-5.1787094085050597E-2</v>
      </c>
    </row>
    <row r="82" spans="1:4" x14ac:dyDescent="0.25">
      <c r="A82" s="1">
        <v>42036</v>
      </c>
      <c r="B82">
        <v>4.1072026608360597</v>
      </c>
      <c r="C82">
        <v>4.0656287638383901</v>
      </c>
      <c r="D82">
        <v>-4.15738969976766E-2</v>
      </c>
    </row>
    <row r="83" spans="1:4" x14ac:dyDescent="0.25">
      <c r="A83" s="1">
        <v>42064</v>
      </c>
      <c r="B83">
        <v>3.9269736247412301</v>
      </c>
      <c r="C83">
        <v>3.92411071370391</v>
      </c>
      <c r="D83">
        <v>-2.8629110373152998E-3</v>
      </c>
    </row>
    <row r="84" spans="1:4" x14ac:dyDescent="0.25">
      <c r="A84" s="1">
        <v>42095</v>
      </c>
      <c r="B84">
        <v>3.9584790036878301</v>
      </c>
      <c r="C84">
        <v>3.9663574334264502</v>
      </c>
      <c r="D84">
        <v>7.8784297386174495E-3</v>
      </c>
    </row>
    <row r="85" spans="1:4" x14ac:dyDescent="0.25">
      <c r="A85" s="1">
        <v>42125</v>
      </c>
      <c r="B85">
        <v>4.0053537600919</v>
      </c>
      <c r="C85">
        <v>4.0215612564663799</v>
      </c>
      <c r="D85">
        <v>1.6207496374479002E-2</v>
      </c>
    </row>
    <row r="86" spans="1:4" x14ac:dyDescent="0.25">
      <c r="A86" s="1">
        <v>42156</v>
      </c>
      <c r="B86">
        <v>3.9794640116365798</v>
      </c>
      <c r="C86">
        <v>3.9734988009018402</v>
      </c>
      <c r="D86">
        <v>-5.96521073474E-3</v>
      </c>
    </row>
    <row r="87" spans="1:4" x14ac:dyDescent="0.25">
      <c r="A87" s="1">
        <v>42186</v>
      </c>
      <c r="B87">
        <v>4.0900441711577296</v>
      </c>
      <c r="C87">
        <v>4.0908755938188603</v>
      </c>
      <c r="D87">
        <v>8.3142266113215603E-4</v>
      </c>
    </row>
    <row r="88" spans="1:4" x14ac:dyDescent="0.25">
      <c r="A88" s="1">
        <v>42217</v>
      </c>
      <c r="B88">
        <v>4.2472274060642103</v>
      </c>
      <c r="C88">
        <v>4.2471825452462904</v>
      </c>
      <c r="D88">
        <v>-4.48608179214056E-5</v>
      </c>
    </row>
    <row r="89" spans="1:4" x14ac:dyDescent="0.25">
      <c r="A89" s="1">
        <v>42248</v>
      </c>
      <c r="B89">
        <v>4.2817066694966597</v>
      </c>
      <c r="C89">
        <v>4.2666345319841499</v>
      </c>
      <c r="D89">
        <v>-1.50721375125076E-2</v>
      </c>
    </row>
    <row r="90" spans="1:4" x14ac:dyDescent="0.25">
      <c r="A90" s="1">
        <v>42278</v>
      </c>
      <c r="B90">
        <v>4.2268377998769102</v>
      </c>
      <c r="C90">
        <v>4.1629553644332997</v>
      </c>
      <c r="D90">
        <v>-6.3882435443610594E-2</v>
      </c>
    </row>
    <row r="91" spans="1:4" x14ac:dyDescent="0.25">
      <c r="A91" s="1">
        <v>42309</v>
      </c>
      <c r="B91">
        <v>4.18157221586213</v>
      </c>
      <c r="C91">
        <v>4.1057848857761199</v>
      </c>
      <c r="D91">
        <v>-7.5787330086014598E-2</v>
      </c>
    </row>
    <row r="92" spans="1:4" x14ac:dyDescent="0.25">
      <c r="A92" s="1">
        <v>42339</v>
      </c>
      <c r="B92">
        <v>4.1354552080280298</v>
      </c>
      <c r="C92">
        <v>4.0209703679956696</v>
      </c>
      <c r="D92">
        <v>-0.11448484003235999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WAC Differences</vt:lpstr>
      <vt:lpstr>Rate Differences - Credit</vt:lpstr>
      <vt:lpstr>LLPA Differences</vt:lpstr>
      <vt:lpstr>Issuance</vt:lpstr>
      <vt:lpstr>Rate Differences</vt:lpstr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2015-11-23T17:56:11Z</dcterms:created>
  <dcterms:modified xsi:type="dcterms:W3CDTF">2016-01-05T20:56:59Z</dcterms:modified>
</cp:coreProperties>
</file>