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40" yWindow="255" windowWidth="17760" windowHeight="10500" activeTab="4"/>
  </bookViews>
  <sheets>
    <sheet name="WAC Differences" sheetId="3" r:id="rId1"/>
    <sheet name="LLPA Differences" sheetId="4" r:id="rId2"/>
    <sheet name="Issuance" sheetId="5" r:id="rId3"/>
    <sheet name="Rate Differences" sheetId="6" r:id="rId4"/>
    <sheet name="Rate Differences - Credit" sheetId="8" r:id="rId5"/>
  </sheets>
  <externalReferences>
    <externalReference r:id="rId6"/>
    <externalReference r:id="rId7"/>
  </externalReferences>
  <calcPr calcId="145621"/>
</workbook>
</file>

<file path=xl/calcChain.xml><?xml version="1.0" encoding="utf-8"?>
<calcChain xmlns="http://schemas.openxmlformats.org/spreadsheetml/2006/main">
  <c r="Z155" i="8" l="1"/>
  <c r="Y155" i="8"/>
  <c r="X155" i="8"/>
  <c r="W155" i="8"/>
  <c r="AA155" i="8" s="1"/>
  <c r="U155" i="8"/>
  <c r="T155" i="8"/>
  <c r="S155" i="8"/>
  <c r="R155" i="8"/>
  <c r="V155" i="8" s="1"/>
  <c r="AB155" i="8" s="1"/>
  <c r="Z154" i="8"/>
  <c r="Y154" i="8"/>
  <c r="X154" i="8"/>
  <c r="W154" i="8"/>
  <c r="AA154" i="8" s="1"/>
  <c r="U154" i="8"/>
  <c r="T154" i="8"/>
  <c r="S154" i="8"/>
  <c r="R154" i="8"/>
  <c r="V154" i="8" s="1"/>
  <c r="AB154" i="8" s="1"/>
  <c r="Z153" i="8"/>
  <c r="Y153" i="8"/>
  <c r="X153" i="8"/>
  <c r="W153" i="8"/>
  <c r="AA153" i="8" s="1"/>
  <c r="U153" i="8"/>
  <c r="T153" i="8"/>
  <c r="S153" i="8"/>
  <c r="R153" i="8"/>
  <c r="V153" i="8" s="1"/>
  <c r="AB153" i="8" s="1"/>
  <c r="Z152" i="8"/>
  <c r="Y152" i="8"/>
  <c r="X152" i="8"/>
  <c r="W152" i="8"/>
  <c r="AA152" i="8" s="1"/>
  <c r="U152" i="8"/>
  <c r="T152" i="8"/>
  <c r="S152" i="8"/>
  <c r="R152" i="8"/>
  <c r="Z151" i="8"/>
  <c r="Y151" i="8"/>
  <c r="X151" i="8"/>
  <c r="W151" i="8"/>
  <c r="AA151" i="8" s="1"/>
  <c r="U151" i="8"/>
  <c r="T151" i="8"/>
  <c r="S151" i="8"/>
  <c r="R151" i="8"/>
  <c r="V151" i="8" s="1"/>
  <c r="AB151" i="8" s="1"/>
  <c r="Z150" i="8"/>
  <c r="Y150" i="8"/>
  <c r="X150" i="8"/>
  <c r="W150" i="8"/>
  <c r="AA150" i="8" s="1"/>
  <c r="U150" i="8"/>
  <c r="T150" i="8"/>
  <c r="S150" i="8"/>
  <c r="R150" i="8"/>
  <c r="V150" i="8" s="1"/>
  <c r="AB150" i="8" s="1"/>
  <c r="Z149" i="8"/>
  <c r="Y149" i="8"/>
  <c r="X149" i="8"/>
  <c r="W149" i="8"/>
  <c r="U149" i="8"/>
  <c r="T149" i="8"/>
  <c r="S149" i="8"/>
  <c r="R149" i="8"/>
  <c r="V149" i="8" s="1"/>
  <c r="Z148" i="8"/>
  <c r="Y148" i="8"/>
  <c r="X148" i="8"/>
  <c r="W148" i="8"/>
  <c r="AA148" i="8" s="1"/>
  <c r="U148" i="8"/>
  <c r="T148" i="8"/>
  <c r="S148" i="8"/>
  <c r="R148" i="8"/>
  <c r="V148" i="8" s="1"/>
  <c r="AB148" i="8" s="1"/>
  <c r="Z147" i="8"/>
  <c r="Y147" i="8"/>
  <c r="X147" i="8"/>
  <c r="W147" i="8"/>
  <c r="AA147" i="8" s="1"/>
  <c r="U147" i="8"/>
  <c r="T147" i="8"/>
  <c r="S147" i="8"/>
  <c r="R147" i="8"/>
  <c r="V147" i="8" s="1"/>
  <c r="AB147" i="8" s="1"/>
  <c r="Z146" i="8"/>
  <c r="Y146" i="8"/>
  <c r="X146" i="8"/>
  <c r="W146" i="8"/>
  <c r="AA146" i="8" s="1"/>
  <c r="U146" i="8"/>
  <c r="T146" i="8"/>
  <c r="S146" i="8"/>
  <c r="R146" i="8"/>
  <c r="V146" i="8" s="1"/>
  <c r="AB146" i="8" s="1"/>
  <c r="Z145" i="8"/>
  <c r="Y145" i="8"/>
  <c r="X145" i="8"/>
  <c r="W145" i="8"/>
  <c r="U145" i="8"/>
  <c r="T145" i="8"/>
  <c r="S145" i="8"/>
  <c r="R145" i="8"/>
  <c r="V145" i="8" s="1"/>
  <c r="Z144" i="8"/>
  <c r="Y144" i="8"/>
  <c r="X144" i="8"/>
  <c r="W144" i="8"/>
  <c r="AA144" i="8" s="1"/>
  <c r="U144" i="8"/>
  <c r="T144" i="8"/>
  <c r="S144" i="8"/>
  <c r="R144" i="8"/>
  <c r="Z143" i="8"/>
  <c r="Y143" i="8"/>
  <c r="X143" i="8"/>
  <c r="W143" i="8"/>
  <c r="AA143" i="8" s="1"/>
  <c r="U143" i="8"/>
  <c r="T143" i="8"/>
  <c r="S143" i="8"/>
  <c r="R143" i="8"/>
  <c r="V143" i="8" s="1"/>
  <c r="AB143" i="8" s="1"/>
  <c r="Z142" i="8"/>
  <c r="Y142" i="8"/>
  <c r="X142" i="8"/>
  <c r="W142" i="8"/>
  <c r="AA142" i="8" s="1"/>
  <c r="U142" i="8"/>
  <c r="T142" i="8"/>
  <c r="S142" i="8"/>
  <c r="R142" i="8"/>
  <c r="V142" i="8" s="1"/>
  <c r="AB142" i="8" s="1"/>
  <c r="Z141" i="8"/>
  <c r="Y141" i="8"/>
  <c r="X141" i="8"/>
  <c r="W141" i="8"/>
  <c r="U141" i="8"/>
  <c r="T141" i="8"/>
  <c r="S141" i="8"/>
  <c r="R141" i="8"/>
  <c r="V141" i="8" s="1"/>
  <c r="Z140" i="8"/>
  <c r="Y140" i="8"/>
  <c r="X140" i="8"/>
  <c r="W140" i="8"/>
  <c r="AA140" i="8" s="1"/>
  <c r="U140" i="8"/>
  <c r="T140" i="8"/>
  <c r="S140" i="8"/>
  <c r="R140" i="8"/>
  <c r="Z139" i="8"/>
  <c r="Y139" i="8"/>
  <c r="X139" i="8"/>
  <c r="W139" i="8"/>
  <c r="AA139" i="8" s="1"/>
  <c r="U139" i="8"/>
  <c r="T139" i="8"/>
  <c r="S139" i="8"/>
  <c r="R139" i="8"/>
  <c r="V139" i="8" s="1"/>
  <c r="AB139" i="8" s="1"/>
  <c r="Z138" i="8"/>
  <c r="Y138" i="8"/>
  <c r="X138" i="8"/>
  <c r="W138" i="8"/>
  <c r="AA138" i="8" s="1"/>
  <c r="U138" i="8"/>
  <c r="T138" i="8"/>
  <c r="S138" i="8"/>
  <c r="R138" i="8"/>
  <c r="V138" i="8" s="1"/>
  <c r="AB138" i="8" s="1"/>
  <c r="Z137" i="8"/>
  <c r="Y137" i="8"/>
  <c r="X137" i="8"/>
  <c r="W137" i="8"/>
  <c r="AA137" i="8" s="1"/>
  <c r="U137" i="8"/>
  <c r="T137" i="8"/>
  <c r="S137" i="8"/>
  <c r="R137" i="8"/>
  <c r="V137" i="8" s="1"/>
  <c r="AB137" i="8" s="1"/>
  <c r="Z136" i="8"/>
  <c r="Y136" i="8"/>
  <c r="X136" i="8"/>
  <c r="W136" i="8"/>
  <c r="AA136" i="8" s="1"/>
  <c r="U136" i="8"/>
  <c r="T136" i="8"/>
  <c r="S136" i="8"/>
  <c r="R136" i="8"/>
  <c r="Z135" i="8"/>
  <c r="Y135" i="8"/>
  <c r="X135" i="8"/>
  <c r="W135" i="8"/>
  <c r="AA135" i="8" s="1"/>
  <c r="U135" i="8"/>
  <c r="T135" i="8"/>
  <c r="S135" i="8"/>
  <c r="R135" i="8"/>
  <c r="V135" i="8" s="1"/>
  <c r="AB135" i="8" s="1"/>
  <c r="Z134" i="8"/>
  <c r="Y134" i="8"/>
  <c r="X134" i="8"/>
  <c r="W134" i="8"/>
  <c r="AA134" i="8" s="1"/>
  <c r="U134" i="8"/>
  <c r="T134" i="8"/>
  <c r="S134" i="8"/>
  <c r="R134" i="8"/>
  <c r="V134" i="8" s="1"/>
  <c r="AB134" i="8" s="1"/>
  <c r="Z133" i="8"/>
  <c r="Y133" i="8"/>
  <c r="X133" i="8"/>
  <c r="W133" i="8"/>
  <c r="U133" i="8"/>
  <c r="T133" i="8"/>
  <c r="S133" i="8"/>
  <c r="R133" i="8"/>
  <c r="V133" i="8" s="1"/>
  <c r="Z132" i="8"/>
  <c r="Y132" i="8"/>
  <c r="X132" i="8"/>
  <c r="W132" i="8"/>
  <c r="AA132" i="8" s="1"/>
  <c r="U132" i="8"/>
  <c r="T132" i="8"/>
  <c r="S132" i="8"/>
  <c r="R132" i="8"/>
  <c r="V132" i="8" s="1"/>
  <c r="AB132" i="8" s="1"/>
  <c r="Z131" i="8"/>
  <c r="Y131" i="8"/>
  <c r="X131" i="8"/>
  <c r="W131" i="8"/>
  <c r="AA131" i="8" s="1"/>
  <c r="U131" i="8"/>
  <c r="T131" i="8"/>
  <c r="S131" i="8"/>
  <c r="R131" i="8"/>
  <c r="V131" i="8" s="1"/>
  <c r="AB131" i="8" s="1"/>
  <c r="Z130" i="8"/>
  <c r="Y130" i="8"/>
  <c r="X130" i="8"/>
  <c r="W130" i="8"/>
  <c r="AA130" i="8" s="1"/>
  <c r="U130" i="8"/>
  <c r="T130" i="8"/>
  <c r="S130" i="8"/>
  <c r="R130" i="8"/>
  <c r="V130" i="8" s="1"/>
  <c r="AB130" i="8" s="1"/>
  <c r="Z129" i="8"/>
  <c r="Y129" i="8"/>
  <c r="X129" i="8"/>
  <c r="W129" i="8"/>
  <c r="U129" i="8"/>
  <c r="T129" i="8"/>
  <c r="S129" i="8"/>
  <c r="R129" i="8"/>
  <c r="V129" i="8" s="1"/>
  <c r="Z128" i="8"/>
  <c r="Y128" i="8"/>
  <c r="X128" i="8"/>
  <c r="W128" i="8"/>
  <c r="AA128" i="8" s="1"/>
  <c r="U128" i="8"/>
  <c r="T128" i="8"/>
  <c r="S128" i="8"/>
  <c r="R128" i="8"/>
  <c r="Z127" i="8"/>
  <c r="Y127" i="8"/>
  <c r="X127" i="8"/>
  <c r="W127" i="8"/>
  <c r="AA127" i="8" s="1"/>
  <c r="U127" i="8"/>
  <c r="T127" i="8"/>
  <c r="S127" i="8"/>
  <c r="R127" i="8"/>
  <c r="V127" i="8" s="1"/>
  <c r="AB127" i="8" s="1"/>
  <c r="Z126" i="8"/>
  <c r="Y126" i="8"/>
  <c r="X126" i="8"/>
  <c r="W126" i="8"/>
  <c r="AA126" i="8" s="1"/>
  <c r="U126" i="8"/>
  <c r="T126" i="8"/>
  <c r="S126" i="8"/>
  <c r="R126" i="8"/>
  <c r="V126" i="8" s="1"/>
  <c r="AB126" i="8" s="1"/>
  <c r="Z125" i="8"/>
  <c r="Y125" i="8"/>
  <c r="X125" i="8"/>
  <c r="W125" i="8"/>
  <c r="U125" i="8"/>
  <c r="T125" i="8"/>
  <c r="S125" i="8"/>
  <c r="R125" i="8"/>
  <c r="V125" i="8" s="1"/>
  <c r="Z124" i="8"/>
  <c r="Y124" i="8"/>
  <c r="X124" i="8"/>
  <c r="W124" i="8"/>
  <c r="AA124" i="8" s="1"/>
  <c r="U124" i="8"/>
  <c r="T124" i="8"/>
  <c r="S124" i="8"/>
  <c r="R124" i="8"/>
  <c r="Z123" i="8"/>
  <c r="Y123" i="8"/>
  <c r="X123" i="8"/>
  <c r="W123" i="8"/>
  <c r="AA123" i="8" s="1"/>
  <c r="U123" i="8"/>
  <c r="T123" i="8"/>
  <c r="S123" i="8"/>
  <c r="R123" i="8"/>
  <c r="V123" i="8" s="1"/>
  <c r="AB123" i="8" s="1"/>
  <c r="Z122" i="8"/>
  <c r="Y122" i="8"/>
  <c r="X122" i="8"/>
  <c r="W122" i="8"/>
  <c r="AA122" i="8" s="1"/>
  <c r="U122" i="8"/>
  <c r="T122" i="8"/>
  <c r="S122" i="8"/>
  <c r="R122" i="8"/>
  <c r="V122" i="8" s="1"/>
  <c r="AB122" i="8" s="1"/>
  <c r="Z121" i="8"/>
  <c r="Y121" i="8"/>
  <c r="X121" i="8"/>
  <c r="W121" i="8"/>
  <c r="AA121" i="8" s="1"/>
  <c r="U121" i="8"/>
  <c r="T121" i="8"/>
  <c r="S121" i="8"/>
  <c r="R121" i="8"/>
  <c r="V121" i="8" s="1"/>
  <c r="AB121" i="8" s="1"/>
  <c r="Z120" i="8"/>
  <c r="Y120" i="8"/>
  <c r="X120" i="8"/>
  <c r="W120" i="8"/>
  <c r="AA120" i="8" s="1"/>
  <c r="U120" i="8"/>
  <c r="T120" i="8"/>
  <c r="S120" i="8"/>
  <c r="R120" i="8"/>
  <c r="Z119" i="8"/>
  <c r="Y119" i="8"/>
  <c r="X119" i="8"/>
  <c r="W119" i="8"/>
  <c r="AA119" i="8" s="1"/>
  <c r="U119" i="8"/>
  <c r="T119" i="8"/>
  <c r="S119" i="8"/>
  <c r="R119" i="8"/>
  <c r="V119" i="8" s="1"/>
  <c r="AB119" i="8" s="1"/>
  <c r="Z118" i="8"/>
  <c r="Y118" i="8"/>
  <c r="X118" i="8"/>
  <c r="W118" i="8"/>
  <c r="AA118" i="8" s="1"/>
  <c r="U118" i="8"/>
  <c r="T118" i="8"/>
  <c r="S118" i="8"/>
  <c r="R118" i="8"/>
  <c r="V118" i="8" s="1"/>
  <c r="AB118" i="8" s="1"/>
  <c r="Z117" i="8"/>
  <c r="Y117" i="8"/>
  <c r="X117" i="8"/>
  <c r="W117" i="8"/>
  <c r="U117" i="8"/>
  <c r="T117" i="8"/>
  <c r="S117" i="8"/>
  <c r="R117" i="8"/>
  <c r="V117" i="8" s="1"/>
  <c r="Z116" i="8"/>
  <c r="Y116" i="8"/>
  <c r="X116" i="8"/>
  <c r="W116" i="8"/>
  <c r="AA116" i="8" s="1"/>
  <c r="U116" i="8"/>
  <c r="T116" i="8"/>
  <c r="S116" i="8"/>
  <c r="R116" i="8"/>
  <c r="V116" i="8" s="1"/>
  <c r="AB116" i="8" s="1"/>
  <c r="Z115" i="8"/>
  <c r="Y115" i="8"/>
  <c r="X115" i="8"/>
  <c r="W115" i="8"/>
  <c r="AA115" i="8" s="1"/>
  <c r="U115" i="8"/>
  <c r="T115" i="8"/>
  <c r="S115" i="8"/>
  <c r="R115" i="8"/>
  <c r="V115" i="8" s="1"/>
  <c r="AB115" i="8" s="1"/>
  <c r="Z114" i="8"/>
  <c r="Y114" i="8"/>
  <c r="X114" i="8"/>
  <c r="W114" i="8"/>
  <c r="AA114" i="8" s="1"/>
  <c r="U114" i="8"/>
  <c r="T114" i="8"/>
  <c r="S114" i="8"/>
  <c r="R114" i="8"/>
  <c r="V114" i="8" s="1"/>
  <c r="AB114" i="8" s="1"/>
  <c r="Z113" i="8"/>
  <c r="Y113" i="8"/>
  <c r="X113" i="8"/>
  <c r="W113" i="8"/>
  <c r="U113" i="8"/>
  <c r="T113" i="8"/>
  <c r="S113" i="8"/>
  <c r="R113" i="8"/>
  <c r="V113" i="8" s="1"/>
  <c r="Z112" i="8"/>
  <c r="Y112" i="8"/>
  <c r="X112" i="8"/>
  <c r="W112" i="8"/>
  <c r="AA112" i="8" s="1"/>
  <c r="U112" i="8"/>
  <c r="T112" i="8"/>
  <c r="S112" i="8"/>
  <c r="R112" i="8"/>
  <c r="Z111" i="8"/>
  <c r="Y111" i="8"/>
  <c r="X111" i="8"/>
  <c r="W111" i="8"/>
  <c r="AA111" i="8" s="1"/>
  <c r="U111" i="8"/>
  <c r="T111" i="8"/>
  <c r="S111" i="8"/>
  <c r="R111" i="8"/>
  <c r="V111" i="8" s="1"/>
  <c r="AB111" i="8" s="1"/>
  <c r="Z110" i="8"/>
  <c r="Y110" i="8"/>
  <c r="X110" i="8"/>
  <c r="W110" i="8"/>
  <c r="AA110" i="8" s="1"/>
  <c r="U110" i="8"/>
  <c r="T110" i="8"/>
  <c r="S110" i="8"/>
  <c r="R110" i="8"/>
  <c r="V110" i="8" s="1"/>
  <c r="AB110" i="8" s="1"/>
  <c r="Z109" i="8"/>
  <c r="Y109" i="8"/>
  <c r="X109" i="8"/>
  <c r="W109" i="8"/>
  <c r="U109" i="8"/>
  <c r="T109" i="8"/>
  <c r="S109" i="8"/>
  <c r="R109" i="8"/>
  <c r="V109" i="8" s="1"/>
  <c r="Z108" i="8"/>
  <c r="Y108" i="8"/>
  <c r="X108" i="8"/>
  <c r="W108" i="8"/>
  <c r="AA108" i="8" s="1"/>
  <c r="U108" i="8"/>
  <c r="T108" i="8"/>
  <c r="S108" i="8"/>
  <c r="R108" i="8"/>
  <c r="Z107" i="8"/>
  <c r="Y107" i="8"/>
  <c r="X107" i="8"/>
  <c r="W107" i="8"/>
  <c r="AA107" i="8" s="1"/>
  <c r="U107" i="8"/>
  <c r="T107" i="8"/>
  <c r="S107" i="8"/>
  <c r="R107" i="8"/>
  <c r="V107" i="8" s="1"/>
  <c r="AB107" i="8" s="1"/>
  <c r="Z106" i="8"/>
  <c r="Y106" i="8"/>
  <c r="X106" i="8"/>
  <c r="W106" i="8"/>
  <c r="AA106" i="8" s="1"/>
  <c r="U106" i="8"/>
  <c r="T106" i="8"/>
  <c r="S106" i="8"/>
  <c r="R106" i="8"/>
  <c r="V106" i="8" s="1"/>
  <c r="AB106" i="8" s="1"/>
  <c r="Z105" i="8"/>
  <c r="Y105" i="8"/>
  <c r="X105" i="8"/>
  <c r="W105" i="8"/>
  <c r="AA105" i="8" s="1"/>
  <c r="U105" i="8"/>
  <c r="T105" i="8"/>
  <c r="S105" i="8"/>
  <c r="R105" i="8"/>
  <c r="V105" i="8" s="1"/>
  <c r="AB105" i="8" s="1"/>
  <c r="Z104" i="8"/>
  <c r="Y104" i="8"/>
  <c r="X104" i="8"/>
  <c r="W104" i="8"/>
  <c r="AA104" i="8" s="1"/>
  <c r="U104" i="8"/>
  <c r="T104" i="8"/>
  <c r="S104" i="8"/>
  <c r="R104" i="8"/>
  <c r="Z103" i="8"/>
  <c r="Y103" i="8"/>
  <c r="X103" i="8"/>
  <c r="W103" i="8"/>
  <c r="AA103" i="8" s="1"/>
  <c r="U103" i="8"/>
  <c r="T103" i="8"/>
  <c r="S103" i="8"/>
  <c r="R103" i="8"/>
  <c r="V103" i="8" s="1"/>
  <c r="AB103" i="8" s="1"/>
  <c r="Z102" i="8"/>
  <c r="Y102" i="8"/>
  <c r="X102" i="8"/>
  <c r="W102" i="8"/>
  <c r="AA102" i="8" s="1"/>
  <c r="U102" i="8"/>
  <c r="T102" i="8"/>
  <c r="S102" i="8"/>
  <c r="R102" i="8"/>
  <c r="V102" i="8" s="1"/>
  <c r="AB102" i="8" s="1"/>
  <c r="Z101" i="8"/>
  <c r="Y101" i="8"/>
  <c r="X101" i="8"/>
  <c r="W101" i="8"/>
  <c r="U101" i="8"/>
  <c r="T101" i="8"/>
  <c r="S101" i="8"/>
  <c r="R101" i="8"/>
  <c r="V101" i="8" s="1"/>
  <c r="Z100" i="8"/>
  <c r="Y100" i="8"/>
  <c r="X100" i="8"/>
  <c r="W100" i="8"/>
  <c r="AA100" i="8" s="1"/>
  <c r="U100" i="8"/>
  <c r="T100" i="8"/>
  <c r="S100" i="8"/>
  <c r="R100" i="8"/>
  <c r="V100" i="8" s="1"/>
  <c r="AB100" i="8" s="1"/>
  <c r="Z99" i="8"/>
  <c r="Y99" i="8"/>
  <c r="X99" i="8"/>
  <c r="W99" i="8"/>
  <c r="AA99" i="8" s="1"/>
  <c r="U99" i="8"/>
  <c r="T99" i="8"/>
  <c r="S99" i="8"/>
  <c r="R99" i="8"/>
  <c r="V99" i="8" s="1"/>
  <c r="AB99" i="8" s="1"/>
  <c r="Z98" i="8"/>
  <c r="Y98" i="8"/>
  <c r="X98" i="8"/>
  <c r="W98" i="8"/>
  <c r="AA98" i="8" s="1"/>
  <c r="U98" i="8"/>
  <c r="T98" i="8"/>
  <c r="S98" i="8"/>
  <c r="R98" i="8"/>
  <c r="V98" i="8" s="1"/>
  <c r="AB98" i="8" s="1"/>
  <c r="Z97" i="8"/>
  <c r="Y97" i="8"/>
  <c r="X97" i="8"/>
  <c r="W97" i="8"/>
  <c r="U97" i="8"/>
  <c r="T97" i="8"/>
  <c r="S97" i="8"/>
  <c r="R97" i="8"/>
  <c r="V97" i="8" s="1"/>
  <c r="Z96" i="8"/>
  <c r="Y96" i="8"/>
  <c r="X96" i="8"/>
  <c r="W96" i="8"/>
  <c r="AA96" i="8" s="1"/>
  <c r="U96" i="8"/>
  <c r="T96" i="8"/>
  <c r="S96" i="8"/>
  <c r="R96" i="8"/>
  <c r="Z95" i="8"/>
  <c r="Y95" i="8"/>
  <c r="X95" i="8"/>
  <c r="W95" i="8"/>
  <c r="AA95" i="8" s="1"/>
  <c r="U95" i="8"/>
  <c r="T95" i="8"/>
  <c r="S95" i="8"/>
  <c r="R95" i="8"/>
  <c r="V95" i="8" s="1"/>
  <c r="AB95" i="8" s="1"/>
  <c r="Z94" i="8"/>
  <c r="Y94" i="8"/>
  <c r="X94" i="8"/>
  <c r="W94" i="8"/>
  <c r="AA94" i="8" s="1"/>
  <c r="U94" i="8"/>
  <c r="T94" i="8"/>
  <c r="S94" i="8"/>
  <c r="R94" i="8"/>
  <c r="V94" i="8" s="1"/>
  <c r="Z93" i="8"/>
  <c r="Y93" i="8"/>
  <c r="X93" i="8"/>
  <c r="W93" i="8"/>
  <c r="U93" i="8"/>
  <c r="T93" i="8"/>
  <c r="S93" i="8"/>
  <c r="R93" i="8"/>
  <c r="V93" i="8" s="1"/>
  <c r="Z92" i="8"/>
  <c r="Y92" i="8"/>
  <c r="X92" i="8"/>
  <c r="W92" i="8"/>
  <c r="AA92" i="8" s="1"/>
  <c r="U92" i="8"/>
  <c r="T92" i="8"/>
  <c r="S92" i="8"/>
  <c r="R92" i="8"/>
  <c r="Z91" i="8"/>
  <c r="Y91" i="8"/>
  <c r="X91" i="8"/>
  <c r="W91" i="8"/>
  <c r="AA91" i="8" s="1"/>
  <c r="U91" i="8"/>
  <c r="T91" i="8"/>
  <c r="S91" i="8"/>
  <c r="R91" i="8"/>
  <c r="V91" i="8" s="1"/>
  <c r="Z90" i="8"/>
  <c r="Y90" i="8"/>
  <c r="X90" i="8"/>
  <c r="W90" i="8"/>
  <c r="AA90" i="8" s="1"/>
  <c r="U90" i="8"/>
  <c r="T90" i="8"/>
  <c r="S90" i="8"/>
  <c r="R90" i="8"/>
  <c r="V90" i="8" s="1"/>
  <c r="AB90" i="8" s="1"/>
  <c r="Z89" i="8"/>
  <c r="Y89" i="8"/>
  <c r="X89" i="8"/>
  <c r="W89" i="8"/>
  <c r="AA89" i="8" s="1"/>
  <c r="U89" i="8"/>
  <c r="T89" i="8"/>
  <c r="S89" i="8"/>
  <c r="R89" i="8"/>
  <c r="V89" i="8" s="1"/>
  <c r="AB89" i="8" s="1"/>
  <c r="Z88" i="8"/>
  <c r="Y88" i="8"/>
  <c r="X88" i="8"/>
  <c r="W88" i="8"/>
  <c r="AA88" i="8" s="1"/>
  <c r="U88" i="8"/>
  <c r="T88" i="8"/>
  <c r="S88" i="8"/>
  <c r="R88" i="8"/>
  <c r="Z87" i="8"/>
  <c r="Y87" i="8"/>
  <c r="X87" i="8"/>
  <c r="W87" i="8"/>
  <c r="AA87" i="8" s="1"/>
  <c r="U87" i="8"/>
  <c r="T87" i="8"/>
  <c r="S87" i="8"/>
  <c r="R87" i="8"/>
  <c r="V87" i="8" s="1"/>
  <c r="AB87" i="8" s="1"/>
  <c r="Z86" i="8"/>
  <c r="Y86" i="8"/>
  <c r="X86" i="8"/>
  <c r="W86" i="8"/>
  <c r="AA86" i="8" s="1"/>
  <c r="U86" i="8"/>
  <c r="T86" i="8"/>
  <c r="S86" i="8"/>
  <c r="R86" i="8"/>
  <c r="V86" i="8" s="1"/>
  <c r="AB86" i="8" s="1"/>
  <c r="Z85" i="8"/>
  <c r="Y85" i="8"/>
  <c r="X85" i="8"/>
  <c r="W85" i="8"/>
  <c r="U85" i="8"/>
  <c r="T85" i="8"/>
  <c r="S85" i="8"/>
  <c r="R85" i="8"/>
  <c r="V85" i="8" s="1"/>
  <c r="Z84" i="8"/>
  <c r="Y84" i="8"/>
  <c r="X84" i="8"/>
  <c r="W84" i="8"/>
  <c r="AA84" i="8" s="1"/>
  <c r="U84" i="8"/>
  <c r="T84" i="8"/>
  <c r="S84" i="8"/>
  <c r="R84" i="8"/>
  <c r="V84" i="8" s="1"/>
  <c r="Z83" i="8"/>
  <c r="Y83" i="8"/>
  <c r="X83" i="8"/>
  <c r="W83" i="8"/>
  <c r="AA83" i="8" s="1"/>
  <c r="U83" i="8"/>
  <c r="T83" i="8"/>
  <c r="S83" i="8"/>
  <c r="R83" i="8"/>
  <c r="V83" i="8" s="1"/>
  <c r="AB83" i="8" s="1"/>
  <c r="Z82" i="8"/>
  <c r="Y82" i="8"/>
  <c r="X82" i="8"/>
  <c r="W82" i="8"/>
  <c r="AA82" i="8" s="1"/>
  <c r="U82" i="8"/>
  <c r="T82" i="8"/>
  <c r="S82" i="8"/>
  <c r="R82" i="8"/>
  <c r="V82" i="8" s="1"/>
  <c r="AB82" i="8" s="1"/>
  <c r="Z81" i="8"/>
  <c r="Y81" i="8"/>
  <c r="X81" i="8"/>
  <c r="W81" i="8"/>
  <c r="U81" i="8"/>
  <c r="T81" i="8"/>
  <c r="S81" i="8"/>
  <c r="R81" i="8"/>
  <c r="V81" i="8" s="1"/>
  <c r="Z80" i="8"/>
  <c r="Y80" i="8"/>
  <c r="X80" i="8"/>
  <c r="W80" i="8"/>
  <c r="AA80" i="8" s="1"/>
  <c r="U80" i="8"/>
  <c r="T80" i="8"/>
  <c r="S80" i="8"/>
  <c r="R80" i="8"/>
  <c r="Z79" i="8"/>
  <c r="Y79" i="8"/>
  <c r="X79" i="8"/>
  <c r="W79" i="8"/>
  <c r="AA79" i="8" s="1"/>
  <c r="U79" i="8"/>
  <c r="T79" i="8"/>
  <c r="S79" i="8"/>
  <c r="R79" i="8"/>
  <c r="V79" i="8" s="1"/>
  <c r="AB79" i="8" s="1"/>
  <c r="Z78" i="8"/>
  <c r="Y78" i="8"/>
  <c r="X78" i="8"/>
  <c r="W78" i="8"/>
  <c r="AA78" i="8" s="1"/>
  <c r="U78" i="8"/>
  <c r="T78" i="8"/>
  <c r="S78" i="8"/>
  <c r="R78" i="8"/>
  <c r="V78" i="8" s="1"/>
  <c r="AB78" i="8" s="1"/>
  <c r="Z77" i="8"/>
  <c r="Y77" i="8"/>
  <c r="X77" i="8"/>
  <c r="W77" i="8"/>
  <c r="U77" i="8"/>
  <c r="T77" i="8"/>
  <c r="S77" i="8"/>
  <c r="R77" i="8"/>
  <c r="V77" i="8" s="1"/>
  <c r="Z76" i="8"/>
  <c r="Y76" i="8"/>
  <c r="X76" i="8"/>
  <c r="W76" i="8"/>
  <c r="AA76" i="8" s="1"/>
  <c r="U76" i="8"/>
  <c r="T76" i="8"/>
  <c r="S76" i="8"/>
  <c r="R76" i="8"/>
  <c r="Z75" i="8"/>
  <c r="Y75" i="8"/>
  <c r="X75" i="8"/>
  <c r="W75" i="8"/>
  <c r="AA75" i="8" s="1"/>
  <c r="U75" i="8"/>
  <c r="T75" i="8"/>
  <c r="S75" i="8"/>
  <c r="R75" i="8"/>
  <c r="V75" i="8" s="1"/>
  <c r="AB75" i="8" s="1"/>
  <c r="Z74" i="8"/>
  <c r="Y74" i="8"/>
  <c r="X74" i="8"/>
  <c r="W74" i="8"/>
  <c r="AA74" i="8" s="1"/>
  <c r="U74" i="8"/>
  <c r="T74" i="8"/>
  <c r="S74" i="8"/>
  <c r="R74" i="8"/>
  <c r="V74" i="8" s="1"/>
  <c r="AB74" i="8" s="1"/>
  <c r="Z73" i="8"/>
  <c r="Y73" i="8"/>
  <c r="X73" i="8"/>
  <c r="W73" i="8"/>
  <c r="AA73" i="8" s="1"/>
  <c r="U73" i="8"/>
  <c r="T73" i="8"/>
  <c r="S73" i="8"/>
  <c r="R73" i="8"/>
  <c r="V73" i="8" s="1"/>
  <c r="AB73" i="8" s="1"/>
  <c r="Z72" i="8"/>
  <c r="Y72" i="8"/>
  <c r="X72" i="8"/>
  <c r="W72" i="8"/>
  <c r="AA72" i="8" s="1"/>
  <c r="U72" i="8"/>
  <c r="T72" i="8"/>
  <c r="S72" i="8"/>
  <c r="R72" i="8"/>
  <c r="Z71" i="8"/>
  <c r="Y71" i="8"/>
  <c r="X71" i="8"/>
  <c r="W71" i="8"/>
  <c r="AA71" i="8" s="1"/>
  <c r="U71" i="8"/>
  <c r="T71" i="8"/>
  <c r="S71" i="8"/>
  <c r="R71" i="8"/>
  <c r="V71" i="8" s="1"/>
  <c r="AB71" i="8" s="1"/>
  <c r="Z70" i="8"/>
  <c r="Y70" i="8"/>
  <c r="X70" i="8"/>
  <c r="W70" i="8"/>
  <c r="AA70" i="8" s="1"/>
  <c r="U70" i="8"/>
  <c r="T70" i="8"/>
  <c r="S70" i="8"/>
  <c r="R70" i="8"/>
  <c r="V70" i="8" s="1"/>
  <c r="AB70" i="8" s="1"/>
  <c r="Z69" i="8"/>
  <c r="Y69" i="8"/>
  <c r="X69" i="8"/>
  <c r="W69" i="8"/>
  <c r="U69" i="8"/>
  <c r="T69" i="8"/>
  <c r="S69" i="8"/>
  <c r="R69" i="8"/>
  <c r="V69" i="8" s="1"/>
  <c r="Z68" i="8"/>
  <c r="Y68" i="8"/>
  <c r="X68" i="8"/>
  <c r="W68" i="8"/>
  <c r="AA68" i="8" s="1"/>
  <c r="U68" i="8"/>
  <c r="T68" i="8"/>
  <c r="S68" i="8"/>
  <c r="R68" i="8"/>
  <c r="V68" i="8" s="1"/>
  <c r="Z67" i="8"/>
  <c r="Y67" i="8"/>
  <c r="X67" i="8"/>
  <c r="W67" i="8"/>
  <c r="AA67" i="8" s="1"/>
  <c r="U67" i="8"/>
  <c r="T67" i="8"/>
  <c r="S67" i="8"/>
  <c r="R67" i="8"/>
  <c r="V67" i="8" s="1"/>
  <c r="AB67" i="8" s="1"/>
  <c r="Z66" i="8"/>
  <c r="Y66" i="8"/>
  <c r="X66" i="8"/>
  <c r="W66" i="8"/>
  <c r="AA66" i="8" s="1"/>
  <c r="U66" i="8"/>
  <c r="T66" i="8"/>
  <c r="S66" i="8"/>
  <c r="R66" i="8"/>
  <c r="V66" i="8" s="1"/>
  <c r="AB66" i="8" s="1"/>
  <c r="Z65" i="8"/>
  <c r="Y65" i="8"/>
  <c r="X65" i="8"/>
  <c r="W65" i="8"/>
  <c r="U65" i="8"/>
  <c r="T65" i="8"/>
  <c r="S65" i="8"/>
  <c r="R65" i="8"/>
  <c r="V65" i="8" s="1"/>
  <c r="Z64" i="8"/>
  <c r="Y64" i="8"/>
  <c r="X64" i="8"/>
  <c r="W64" i="8"/>
  <c r="AA64" i="8" s="1"/>
  <c r="U64" i="8"/>
  <c r="T64" i="8"/>
  <c r="S64" i="8"/>
  <c r="R64" i="8"/>
  <c r="Z63" i="8"/>
  <c r="Y63" i="8"/>
  <c r="X63" i="8"/>
  <c r="W63" i="8"/>
  <c r="AA63" i="8" s="1"/>
  <c r="U63" i="8"/>
  <c r="T63" i="8"/>
  <c r="S63" i="8"/>
  <c r="R63" i="8"/>
  <c r="V63" i="8" s="1"/>
  <c r="AB63" i="8" s="1"/>
  <c r="Z62" i="8"/>
  <c r="Y62" i="8"/>
  <c r="X62" i="8"/>
  <c r="W62" i="8"/>
  <c r="AA62" i="8" s="1"/>
  <c r="U62" i="8"/>
  <c r="T62" i="8"/>
  <c r="S62" i="8"/>
  <c r="R62" i="8"/>
  <c r="V62" i="8" s="1"/>
  <c r="AB62" i="8" s="1"/>
  <c r="Z61" i="8"/>
  <c r="Y61" i="8"/>
  <c r="X61" i="8"/>
  <c r="W61" i="8"/>
  <c r="U61" i="8"/>
  <c r="T61" i="8"/>
  <c r="S61" i="8"/>
  <c r="R61" i="8"/>
  <c r="V61" i="8" s="1"/>
  <c r="Z60" i="8"/>
  <c r="Y60" i="8"/>
  <c r="X60" i="8"/>
  <c r="W60" i="8"/>
  <c r="AA60" i="8" s="1"/>
  <c r="U60" i="8"/>
  <c r="T60" i="8"/>
  <c r="S60" i="8"/>
  <c r="R60" i="8"/>
  <c r="Z59" i="8"/>
  <c r="Y59" i="8"/>
  <c r="X59" i="8"/>
  <c r="W59" i="8"/>
  <c r="AA59" i="8" s="1"/>
  <c r="U59" i="8"/>
  <c r="T59" i="8"/>
  <c r="S59" i="8"/>
  <c r="R59" i="8"/>
  <c r="V59" i="8" s="1"/>
  <c r="AB59" i="8" s="1"/>
  <c r="Z58" i="8"/>
  <c r="Y58" i="8"/>
  <c r="X58" i="8"/>
  <c r="W58" i="8"/>
  <c r="AA58" i="8" s="1"/>
  <c r="U58" i="8"/>
  <c r="T58" i="8"/>
  <c r="S58" i="8"/>
  <c r="R58" i="8"/>
  <c r="V58" i="8" s="1"/>
  <c r="AB58" i="8" s="1"/>
  <c r="Z57" i="8"/>
  <c r="Y57" i="8"/>
  <c r="X57" i="8"/>
  <c r="W57" i="8"/>
  <c r="AA57" i="8" s="1"/>
  <c r="U57" i="8"/>
  <c r="T57" i="8"/>
  <c r="S57" i="8"/>
  <c r="R57" i="8"/>
  <c r="V57" i="8" s="1"/>
  <c r="AB57" i="8" s="1"/>
  <c r="Z56" i="8"/>
  <c r="Y56" i="8"/>
  <c r="X56" i="8"/>
  <c r="W56" i="8"/>
  <c r="AA56" i="8" s="1"/>
  <c r="U56" i="8"/>
  <c r="T56" i="8"/>
  <c r="S56" i="8"/>
  <c r="R56" i="8"/>
  <c r="Z55" i="8"/>
  <c r="Y55" i="8"/>
  <c r="X55" i="8"/>
  <c r="W55" i="8"/>
  <c r="AA55" i="8" s="1"/>
  <c r="U55" i="8"/>
  <c r="T55" i="8"/>
  <c r="S55" i="8"/>
  <c r="R55" i="8"/>
  <c r="V55" i="8" s="1"/>
  <c r="AB55" i="8" s="1"/>
  <c r="Z54" i="8"/>
  <c r="Y54" i="8"/>
  <c r="X54" i="8"/>
  <c r="W54" i="8"/>
  <c r="AA54" i="8" s="1"/>
  <c r="U54" i="8"/>
  <c r="T54" i="8"/>
  <c r="S54" i="8"/>
  <c r="R54" i="8"/>
  <c r="V54" i="8" s="1"/>
  <c r="AB54" i="8" s="1"/>
  <c r="Z53" i="8"/>
  <c r="Y53" i="8"/>
  <c r="X53" i="8"/>
  <c r="W53" i="8"/>
  <c r="U53" i="8"/>
  <c r="T53" i="8"/>
  <c r="S53" i="8"/>
  <c r="R53" i="8"/>
  <c r="V53" i="8" s="1"/>
  <c r="Z52" i="8"/>
  <c r="Y52" i="8"/>
  <c r="X52" i="8"/>
  <c r="W52" i="8"/>
  <c r="AA52" i="8" s="1"/>
  <c r="U52" i="8"/>
  <c r="T52" i="8"/>
  <c r="S52" i="8"/>
  <c r="R52" i="8"/>
  <c r="V52" i="8" s="1"/>
  <c r="Z51" i="8"/>
  <c r="Y51" i="8"/>
  <c r="X51" i="8"/>
  <c r="W51" i="8"/>
  <c r="AA51" i="8" s="1"/>
  <c r="U51" i="8"/>
  <c r="T51" i="8"/>
  <c r="S51" i="8"/>
  <c r="R51" i="8"/>
  <c r="V51" i="8" s="1"/>
  <c r="AB51" i="8" s="1"/>
  <c r="Z50" i="8"/>
  <c r="Y50" i="8"/>
  <c r="X50" i="8"/>
  <c r="W50" i="8"/>
  <c r="AA50" i="8" s="1"/>
  <c r="U50" i="8"/>
  <c r="T50" i="8"/>
  <c r="S50" i="8"/>
  <c r="R50" i="8"/>
  <c r="V50" i="8" s="1"/>
  <c r="AB50" i="8" s="1"/>
  <c r="Z49" i="8"/>
  <c r="Y49" i="8"/>
  <c r="X49" i="8"/>
  <c r="W49" i="8"/>
  <c r="U49" i="8"/>
  <c r="T49" i="8"/>
  <c r="S49" i="8"/>
  <c r="R49" i="8"/>
  <c r="V49" i="8" s="1"/>
  <c r="Z48" i="8"/>
  <c r="Y48" i="8"/>
  <c r="X48" i="8"/>
  <c r="W48" i="8"/>
  <c r="AA48" i="8" s="1"/>
  <c r="U48" i="8"/>
  <c r="T48" i="8"/>
  <c r="S48" i="8"/>
  <c r="R48" i="8"/>
  <c r="Z47" i="8"/>
  <c r="Y47" i="8"/>
  <c r="X47" i="8"/>
  <c r="W47" i="8"/>
  <c r="AA47" i="8" s="1"/>
  <c r="U47" i="8"/>
  <c r="T47" i="8"/>
  <c r="S47" i="8"/>
  <c r="R47" i="8"/>
  <c r="V47" i="8" s="1"/>
  <c r="AB47" i="8" s="1"/>
  <c r="Z46" i="8"/>
  <c r="Y46" i="8"/>
  <c r="X46" i="8"/>
  <c r="W46" i="8"/>
  <c r="AA46" i="8" s="1"/>
  <c r="U46" i="8"/>
  <c r="T46" i="8"/>
  <c r="S46" i="8"/>
  <c r="R46" i="8"/>
  <c r="V46" i="8" s="1"/>
  <c r="AB46" i="8" s="1"/>
  <c r="Z45" i="8"/>
  <c r="Y45" i="8"/>
  <c r="X45" i="8"/>
  <c r="W45" i="8"/>
  <c r="U45" i="8"/>
  <c r="T45" i="8"/>
  <c r="S45" i="8"/>
  <c r="R45" i="8"/>
  <c r="V45" i="8" s="1"/>
  <c r="Z44" i="8"/>
  <c r="Y44" i="8"/>
  <c r="X44" i="8"/>
  <c r="W44" i="8"/>
  <c r="AA44" i="8" s="1"/>
  <c r="U44" i="8"/>
  <c r="T44" i="8"/>
  <c r="S44" i="8"/>
  <c r="R44" i="8"/>
  <c r="Z43" i="8"/>
  <c r="Y43" i="8"/>
  <c r="X43" i="8"/>
  <c r="W43" i="8"/>
  <c r="AA43" i="8" s="1"/>
  <c r="U43" i="8"/>
  <c r="T43" i="8"/>
  <c r="S43" i="8"/>
  <c r="R43" i="8"/>
  <c r="V43" i="8" s="1"/>
  <c r="AB43" i="8" s="1"/>
  <c r="Z42" i="8"/>
  <c r="Y42" i="8"/>
  <c r="X42" i="8"/>
  <c r="W42" i="8"/>
  <c r="AA42" i="8" s="1"/>
  <c r="U42" i="8"/>
  <c r="T42" i="8"/>
  <c r="S42" i="8"/>
  <c r="R42" i="8"/>
  <c r="V42" i="8" s="1"/>
  <c r="AB42" i="8" s="1"/>
  <c r="Z41" i="8"/>
  <c r="Y41" i="8"/>
  <c r="X41" i="8"/>
  <c r="W41" i="8"/>
  <c r="U41" i="8"/>
  <c r="T41" i="8"/>
  <c r="S41" i="8"/>
  <c r="R41" i="8"/>
  <c r="Z40" i="8"/>
  <c r="Y40" i="8"/>
  <c r="X40" i="8"/>
  <c r="W40" i="8"/>
  <c r="AA40" i="8" s="1"/>
  <c r="U40" i="8"/>
  <c r="T40" i="8"/>
  <c r="S40" i="8"/>
  <c r="R40" i="8"/>
  <c r="V40" i="8" s="1"/>
  <c r="AB40" i="8" s="1"/>
  <c r="Z39" i="8"/>
  <c r="Y39" i="8"/>
  <c r="X39" i="8"/>
  <c r="W39" i="8"/>
  <c r="U39" i="8"/>
  <c r="T39" i="8"/>
  <c r="S39" i="8"/>
  <c r="R39" i="8"/>
  <c r="V39" i="8" s="1"/>
  <c r="Z38" i="8"/>
  <c r="Y38" i="8"/>
  <c r="X38" i="8"/>
  <c r="W38" i="8"/>
  <c r="U38" i="8"/>
  <c r="T38" i="8"/>
  <c r="S38" i="8"/>
  <c r="R38" i="8"/>
  <c r="Z37" i="8"/>
  <c r="Y37" i="8"/>
  <c r="X37" i="8"/>
  <c r="W37" i="8"/>
  <c r="AA37" i="8" s="1"/>
  <c r="U37" i="8"/>
  <c r="T37" i="8"/>
  <c r="S37" i="8"/>
  <c r="R37" i="8"/>
  <c r="Z36" i="8"/>
  <c r="Y36" i="8"/>
  <c r="X36" i="8"/>
  <c r="W36" i="8"/>
  <c r="AA36" i="8" s="1"/>
  <c r="U36" i="8"/>
  <c r="T36" i="8"/>
  <c r="S36" i="8"/>
  <c r="R36" i="8"/>
  <c r="V36" i="8" s="1"/>
  <c r="AB36" i="8" s="1"/>
  <c r="Z35" i="8"/>
  <c r="Y35" i="8"/>
  <c r="X35" i="8"/>
  <c r="W35" i="8"/>
  <c r="U35" i="8"/>
  <c r="T35" i="8"/>
  <c r="S35" i="8"/>
  <c r="R35" i="8"/>
  <c r="V35" i="8" s="1"/>
  <c r="X34" i="8"/>
  <c r="W34" i="8"/>
  <c r="AA34" i="8" s="1"/>
  <c r="V34" i="8"/>
  <c r="AB34" i="8" s="1"/>
  <c r="S34" i="8"/>
  <c r="R34" i="8"/>
  <c r="AA33" i="8"/>
  <c r="X33" i="8"/>
  <c r="W33" i="8"/>
  <c r="S33" i="8"/>
  <c r="V33" i="8" s="1"/>
  <c r="AB33" i="8" s="1"/>
  <c r="R33" i="8"/>
  <c r="AA32" i="8"/>
  <c r="X32" i="8"/>
  <c r="W32" i="8"/>
  <c r="S32" i="8"/>
  <c r="V32" i="8" s="1"/>
  <c r="AB32" i="8" s="1"/>
  <c r="R32" i="8"/>
  <c r="X31" i="8"/>
  <c r="W31" i="8"/>
  <c r="AA31" i="8" s="1"/>
  <c r="S31" i="8"/>
  <c r="R31" i="8"/>
  <c r="V31" i="8" s="1"/>
  <c r="X30" i="8"/>
  <c r="W30" i="8"/>
  <c r="S30" i="8"/>
  <c r="R30" i="8"/>
  <c r="V30" i="8" s="1"/>
  <c r="X29" i="8"/>
  <c r="W29" i="8"/>
  <c r="AA29" i="8" s="1"/>
  <c r="S29" i="8"/>
  <c r="V29" i="8" s="1"/>
  <c r="AB29" i="8" s="1"/>
  <c r="R29" i="8"/>
  <c r="X28" i="8"/>
  <c r="AA28" i="8" s="1"/>
  <c r="W28" i="8"/>
  <c r="V28" i="8"/>
  <c r="AB28" i="8" s="1"/>
  <c r="S28" i="8"/>
  <c r="R28" i="8"/>
  <c r="X27" i="8"/>
  <c r="AA27" i="8" s="1"/>
  <c r="W27" i="8"/>
  <c r="S27" i="8"/>
  <c r="R27" i="8"/>
  <c r="AB26" i="8"/>
  <c r="X26" i="8"/>
  <c r="W26" i="8"/>
  <c r="AA26" i="8" s="1"/>
  <c r="V26" i="8"/>
  <c r="S26" i="8"/>
  <c r="R26" i="8"/>
  <c r="AA25" i="8"/>
  <c r="X25" i="8"/>
  <c r="W25" i="8"/>
  <c r="V25" i="8"/>
  <c r="AB25" i="8" s="1"/>
  <c r="S25" i="8"/>
  <c r="R25" i="8"/>
  <c r="AA24" i="8"/>
  <c r="X24" i="8"/>
  <c r="W24" i="8"/>
  <c r="S24" i="8"/>
  <c r="R24" i="8"/>
  <c r="V24" i="8" s="1"/>
  <c r="AB24" i="8" s="1"/>
  <c r="AA23" i="8"/>
  <c r="X23" i="8"/>
  <c r="W23" i="8"/>
  <c r="S23" i="8"/>
  <c r="R23" i="8"/>
  <c r="V23" i="8" s="1"/>
  <c r="AB23" i="8" s="1"/>
  <c r="X22" i="8"/>
  <c r="W22" i="8"/>
  <c r="V22" i="8"/>
  <c r="S22" i="8"/>
  <c r="R22" i="8"/>
  <c r="AA21" i="8"/>
  <c r="X21" i="8"/>
  <c r="W21" i="8"/>
  <c r="S21" i="8"/>
  <c r="V21" i="8" s="1"/>
  <c r="AB21" i="8" s="1"/>
  <c r="R21" i="8"/>
  <c r="X20" i="8"/>
  <c r="AA20" i="8" s="1"/>
  <c r="W20" i="8"/>
  <c r="S20" i="8"/>
  <c r="R20" i="8"/>
  <c r="V20" i="8" s="1"/>
  <c r="X19" i="8"/>
  <c r="W19" i="8"/>
  <c r="AA19" i="8" s="1"/>
  <c r="S19" i="8"/>
  <c r="R19" i="8"/>
  <c r="X18" i="8"/>
  <c r="W18" i="8"/>
  <c r="AA18" i="8" s="1"/>
  <c r="S18" i="8"/>
  <c r="R18" i="8"/>
  <c r="V18" i="8" s="1"/>
  <c r="AB18" i="8" s="1"/>
  <c r="X17" i="8"/>
  <c r="W17" i="8"/>
  <c r="AA17" i="8" s="1"/>
  <c r="V17" i="8"/>
  <c r="S17" i="8"/>
  <c r="R17" i="8"/>
  <c r="AA16" i="8"/>
  <c r="X16" i="8"/>
  <c r="W16" i="8"/>
  <c r="S16" i="8"/>
  <c r="V16" i="8" s="1"/>
  <c r="AB16" i="8" s="1"/>
  <c r="R16" i="8"/>
  <c r="X15" i="8"/>
  <c r="AA15" i="8" s="1"/>
  <c r="W15" i="8"/>
  <c r="S15" i="8"/>
  <c r="R15" i="8"/>
  <c r="V15" i="8" s="1"/>
  <c r="AB15" i="8" s="1"/>
  <c r="X14" i="8"/>
  <c r="W14" i="8"/>
  <c r="AA14" i="8" s="1"/>
  <c r="S14" i="8"/>
  <c r="R14" i="8"/>
  <c r="V14" i="8" s="1"/>
  <c r="AB14" i="8" s="1"/>
  <c r="X13" i="8"/>
  <c r="W13" i="8"/>
  <c r="AA13" i="8" s="1"/>
  <c r="V13" i="8"/>
  <c r="AB13" i="8" s="1"/>
  <c r="S13" i="8"/>
  <c r="R13" i="8"/>
  <c r="AA12" i="8"/>
  <c r="X12" i="8"/>
  <c r="W12" i="8"/>
  <c r="S12" i="8"/>
  <c r="V12" i="8" s="1"/>
  <c r="AB12" i="8" s="1"/>
  <c r="R12" i="8"/>
  <c r="X11" i="8"/>
  <c r="AA11" i="8" s="1"/>
  <c r="W11" i="8"/>
  <c r="S11" i="8"/>
  <c r="R11" i="8"/>
  <c r="V11" i="8" s="1"/>
  <c r="X10" i="8"/>
  <c r="W10" i="8"/>
  <c r="AA10" i="8" s="1"/>
  <c r="S10" i="8"/>
  <c r="R10" i="8"/>
  <c r="V10" i="8" s="1"/>
  <c r="X9" i="8"/>
  <c r="W9" i="8"/>
  <c r="AA9" i="8" s="1"/>
  <c r="V9" i="8"/>
  <c r="S9" i="8"/>
  <c r="R9" i="8"/>
  <c r="AA8" i="8"/>
  <c r="X8" i="8"/>
  <c r="W8" i="8"/>
  <c r="S8" i="8"/>
  <c r="V8" i="8" s="1"/>
  <c r="AB8" i="8" s="1"/>
  <c r="R8" i="8"/>
  <c r="X7" i="8"/>
  <c r="AA7" i="8" s="1"/>
  <c r="W7" i="8"/>
  <c r="S7" i="8"/>
  <c r="R7" i="8"/>
  <c r="V7" i="8" s="1"/>
  <c r="AB7" i="8" s="1"/>
  <c r="X6" i="8"/>
  <c r="W6" i="8"/>
  <c r="AA6" i="8" s="1"/>
  <c r="S6" i="8"/>
  <c r="R6" i="8"/>
  <c r="V6" i="8" s="1"/>
  <c r="AB6" i="8" s="1"/>
  <c r="X5" i="8"/>
  <c r="W5" i="8"/>
  <c r="AA5" i="8" s="1"/>
  <c r="V5" i="8"/>
  <c r="AB5" i="8" s="1"/>
  <c r="S5" i="8"/>
  <c r="R5" i="8"/>
  <c r="AA4" i="8"/>
  <c r="X4" i="8"/>
  <c r="W4" i="8"/>
  <c r="S4" i="8"/>
  <c r="V4" i="8" s="1"/>
  <c r="AB4" i="8" s="1"/>
  <c r="R4" i="8"/>
  <c r="X3" i="8"/>
  <c r="AA3" i="8" s="1"/>
  <c r="W3" i="8"/>
  <c r="S3" i="8"/>
  <c r="R3" i="8"/>
  <c r="V3" i="8" s="1"/>
  <c r="AB10" i="8" l="1"/>
  <c r="AB11" i="8"/>
  <c r="AB20" i="8"/>
  <c r="AB39" i="8"/>
  <c r="AB3" i="8"/>
  <c r="AB9" i="8"/>
  <c r="AB17" i="8"/>
  <c r="AB22" i="8"/>
  <c r="AB52" i="8"/>
  <c r="AB84" i="8"/>
  <c r="AB117" i="8"/>
  <c r="AB129" i="8"/>
  <c r="AB149" i="8"/>
  <c r="AB65" i="8"/>
  <c r="AB68" i="8"/>
  <c r="AA22" i="8"/>
  <c r="V27" i="8"/>
  <c r="AB27" i="8" s="1"/>
  <c r="V37" i="8"/>
  <c r="AB37" i="8" s="1"/>
  <c r="AA39" i="8"/>
  <c r="AB53" i="8"/>
  <c r="AB85" i="8"/>
  <c r="AB94" i="8"/>
  <c r="AB31" i="8"/>
  <c r="AB91" i="8"/>
  <c r="AB97" i="8"/>
  <c r="V19" i="8"/>
  <c r="AB19" i="8" s="1"/>
  <c r="AA30" i="8"/>
  <c r="AB30" i="8" s="1"/>
  <c r="AA35" i="8"/>
  <c r="AB35" i="8" s="1"/>
  <c r="V38" i="8"/>
  <c r="AA38" i="8"/>
  <c r="V41" i="8"/>
  <c r="AB41" i="8" s="1"/>
  <c r="AA41" i="8"/>
  <c r="V44" i="8"/>
  <c r="AB44" i="8" s="1"/>
  <c r="AA49" i="8"/>
  <c r="AB49" i="8" s="1"/>
  <c r="V60" i="8"/>
  <c r="AB60" i="8" s="1"/>
  <c r="AA65" i="8"/>
  <c r="V76" i="8"/>
  <c r="AB76" i="8" s="1"/>
  <c r="AA81" i="8"/>
  <c r="AB81" i="8" s="1"/>
  <c r="V92" i="8"/>
  <c r="AB92" i="8" s="1"/>
  <c r="AA97" i="8"/>
  <c r="V108" i="8"/>
  <c r="AB108" i="8" s="1"/>
  <c r="AA113" i="8"/>
  <c r="AB113" i="8" s="1"/>
  <c r="V124" i="8"/>
  <c r="AB124" i="8" s="1"/>
  <c r="AA129" i="8"/>
  <c r="V140" i="8"/>
  <c r="AB140" i="8" s="1"/>
  <c r="AA145" i="8"/>
  <c r="AB145" i="8" s="1"/>
  <c r="V48" i="8"/>
  <c r="AB48" i="8" s="1"/>
  <c r="AA53" i="8"/>
  <c r="V64" i="8"/>
  <c r="AB64" i="8" s="1"/>
  <c r="AA69" i="8"/>
  <c r="AB69" i="8" s="1"/>
  <c r="V80" i="8"/>
  <c r="AB80" i="8" s="1"/>
  <c r="AA85" i="8"/>
  <c r="V96" i="8"/>
  <c r="AB96" i="8" s="1"/>
  <c r="AA101" i="8"/>
  <c r="AB101" i="8" s="1"/>
  <c r="V112" i="8"/>
  <c r="AB112" i="8" s="1"/>
  <c r="AA117" i="8"/>
  <c r="V128" i="8"/>
  <c r="AB128" i="8" s="1"/>
  <c r="AA133" i="8"/>
  <c r="AB133" i="8" s="1"/>
  <c r="V144" i="8"/>
  <c r="AB144" i="8" s="1"/>
  <c r="AA149" i="8"/>
  <c r="AA45" i="8"/>
  <c r="AB45" i="8" s="1"/>
  <c r="V56" i="8"/>
  <c r="AB56" i="8" s="1"/>
  <c r="AA61" i="8"/>
  <c r="AB61" i="8" s="1"/>
  <c r="V72" i="8"/>
  <c r="AB72" i="8" s="1"/>
  <c r="AA77" i="8"/>
  <c r="AB77" i="8" s="1"/>
  <c r="V88" i="8"/>
  <c r="AB88" i="8" s="1"/>
  <c r="AA93" i="8"/>
  <c r="AB93" i="8" s="1"/>
  <c r="V104" i="8"/>
  <c r="AB104" i="8" s="1"/>
  <c r="AA109" i="8"/>
  <c r="AB109" i="8" s="1"/>
  <c r="V120" i="8"/>
  <c r="AB120" i="8" s="1"/>
  <c r="AA125" i="8"/>
  <c r="AB125" i="8" s="1"/>
  <c r="V136" i="8"/>
  <c r="AB136" i="8" s="1"/>
  <c r="AA141" i="8"/>
  <c r="AB141" i="8" s="1"/>
  <c r="V152" i="8"/>
  <c r="AB152" i="8" s="1"/>
  <c r="AB38" i="8" l="1"/>
  <c r="J91" i="5" l="1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J77" i="5"/>
  <c r="J76" i="5"/>
  <c r="J75" i="5"/>
  <c r="J74" i="5"/>
  <c r="J73" i="5"/>
  <c r="J72" i="5"/>
  <c r="J71" i="5"/>
  <c r="J70" i="5"/>
  <c r="J69" i="5"/>
  <c r="J68" i="5"/>
  <c r="J67" i="5"/>
  <c r="J66" i="5"/>
  <c r="J65" i="5"/>
  <c r="J64" i="5"/>
  <c r="J63" i="5"/>
  <c r="J62" i="5"/>
  <c r="J61" i="5"/>
  <c r="J60" i="5"/>
  <c r="J59" i="5"/>
  <c r="J58" i="5"/>
  <c r="J57" i="5"/>
  <c r="J56" i="5"/>
  <c r="J55" i="5"/>
  <c r="J54" i="5"/>
  <c r="J53" i="5"/>
  <c r="J52" i="5"/>
  <c r="J51" i="5"/>
  <c r="J50" i="5"/>
  <c r="J49" i="5"/>
  <c r="J48" i="5"/>
  <c r="J47" i="5"/>
  <c r="J46" i="5"/>
  <c r="J45" i="5"/>
  <c r="J44" i="5"/>
  <c r="J43" i="5"/>
  <c r="J42" i="5"/>
  <c r="J41" i="5"/>
  <c r="J40" i="5"/>
  <c r="J39" i="5"/>
  <c r="J38" i="5"/>
  <c r="J37" i="5"/>
  <c r="J36" i="5"/>
  <c r="J35" i="5"/>
  <c r="J34" i="5"/>
  <c r="J33" i="5"/>
  <c r="J32" i="5"/>
  <c r="J31" i="5"/>
  <c r="J30" i="5"/>
  <c r="J29" i="5"/>
  <c r="J28" i="5"/>
  <c r="J27" i="5"/>
  <c r="J26" i="5"/>
  <c r="J25" i="5"/>
  <c r="J24" i="5"/>
  <c r="J23" i="5"/>
  <c r="J22" i="5"/>
  <c r="J21" i="5"/>
  <c r="J20" i="5"/>
  <c r="J19" i="5"/>
  <c r="J18" i="5"/>
  <c r="J17" i="5"/>
  <c r="J16" i="5"/>
  <c r="J15" i="5"/>
  <c r="J14" i="5"/>
  <c r="J13" i="5"/>
  <c r="J12" i="5"/>
  <c r="J92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H92" i="5"/>
  <c r="H91" i="5"/>
  <c r="H90" i="5"/>
  <c r="H89" i="5"/>
  <c r="H88" i="5"/>
  <c r="H87" i="5"/>
  <c r="H86" i="5"/>
  <c r="H85" i="5"/>
  <c r="H84" i="5"/>
  <c r="H83" i="5"/>
  <c r="H82" i="5"/>
  <c r="H81" i="5"/>
  <c r="H80" i="5"/>
  <c r="H79" i="5"/>
  <c r="H78" i="5"/>
  <c r="H77" i="5"/>
  <c r="H76" i="5"/>
  <c r="H75" i="5"/>
  <c r="H74" i="5"/>
  <c r="H73" i="5"/>
  <c r="H72" i="5"/>
  <c r="H71" i="5"/>
  <c r="H70" i="5"/>
  <c r="H69" i="5"/>
  <c r="H68" i="5"/>
  <c r="H67" i="5"/>
  <c r="H66" i="5"/>
  <c r="H65" i="5"/>
  <c r="H64" i="5"/>
  <c r="H63" i="5"/>
  <c r="H62" i="5"/>
  <c r="H61" i="5"/>
  <c r="H60" i="5"/>
  <c r="H59" i="5"/>
  <c r="H58" i="5"/>
  <c r="H57" i="5"/>
  <c r="H56" i="5"/>
  <c r="H55" i="5"/>
  <c r="H54" i="5"/>
  <c r="H53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92" i="5"/>
  <c r="G91" i="5"/>
  <c r="G90" i="5"/>
  <c r="G89" i="5"/>
  <c r="G88" i="5"/>
  <c r="G87" i="5"/>
  <c r="G86" i="5"/>
  <c r="G85" i="5"/>
  <c r="G84" i="5"/>
  <c r="G83" i="5"/>
  <c r="G82" i="5"/>
  <c r="G81" i="5"/>
  <c r="G80" i="5"/>
  <c r="G79" i="5"/>
  <c r="G78" i="5"/>
  <c r="G77" i="5"/>
  <c r="G76" i="5"/>
  <c r="G75" i="5"/>
  <c r="G74" i="5"/>
  <c r="G73" i="5"/>
  <c r="G72" i="5"/>
  <c r="G71" i="5"/>
  <c r="G70" i="5"/>
  <c r="G69" i="5"/>
  <c r="G68" i="5"/>
  <c r="G67" i="5"/>
  <c r="G66" i="5"/>
  <c r="G65" i="5"/>
  <c r="G64" i="5"/>
  <c r="G63" i="5"/>
  <c r="G62" i="5"/>
  <c r="G61" i="5"/>
  <c r="G60" i="5"/>
  <c r="G59" i="5"/>
  <c r="G58" i="5"/>
  <c r="G57" i="5"/>
  <c r="G56" i="5"/>
  <c r="G55" i="5"/>
  <c r="G54" i="5"/>
  <c r="G53" i="5"/>
  <c r="G52" i="5"/>
  <c r="G51" i="5"/>
  <c r="G50" i="5"/>
  <c r="G49" i="5"/>
  <c r="G48" i="5"/>
  <c r="G47" i="5"/>
  <c r="G46" i="5"/>
  <c r="G45" i="5"/>
  <c r="G44" i="5"/>
  <c r="G43" i="5"/>
  <c r="G42" i="5"/>
  <c r="G41" i="5"/>
  <c r="G40" i="5"/>
  <c r="G39" i="5"/>
  <c r="G38" i="5"/>
  <c r="G37" i="5"/>
  <c r="G36" i="5"/>
  <c r="G35" i="5"/>
  <c r="G34" i="5"/>
  <c r="G33" i="5"/>
  <c r="G32" i="5"/>
  <c r="G31" i="5"/>
  <c r="G30" i="5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O92" i="3" l="1"/>
  <c r="O91" i="3"/>
  <c r="O90" i="3"/>
  <c r="O89" i="3"/>
  <c r="O88" i="3"/>
  <c r="O87" i="3"/>
  <c r="O86" i="3"/>
  <c r="O85" i="3"/>
  <c r="O84" i="3"/>
  <c r="O83" i="3"/>
  <c r="O82" i="3"/>
  <c r="O81" i="3"/>
  <c r="O80" i="3"/>
  <c r="O79" i="3"/>
  <c r="O78" i="3"/>
  <c r="O77" i="3"/>
  <c r="O76" i="3"/>
  <c r="O75" i="3"/>
  <c r="O74" i="3"/>
  <c r="O73" i="3"/>
  <c r="O72" i="3"/>
  <c r="O71" i="3"/>
  <c r="O70" i="3"/>
  <c r="O69" i="3"/>
  <c r="O68" i="3"/>
  <c r="O67" i="3"/>
  <c r="O66" i="3"/>
  <c r="O65" i="3"/>
  <c r="O64" i="3"/>
  <c r="O63" i="3"/>
  <c r="O62" i="3"/>
  <c r="O61" i="3"/>
  <c r="O60" i="3"/>
  <c r="O59" i="3"/>
  <c r="O58" i="3"/>
  <c r="O57" i="3"/>
  <c r="O56" i="3"/>
  <c r="O55" i="3"/>
  <c r="O54" i="3"/>
  <c r="O53" i="3"/>
  <c r="O52" i="3"/>
  <c r="O51" i="3"/>
  <c r="O50" i="3"/>
  <c r="O49" i="3"/>
  <c r="O48" i="3"/>
  <c r="O47" i="3"/>
  <c r="O46" i="3"/>
  <c r="O45" i="3"/>
  <c r="O44" i="3"/>
  <c r="O43" i="3"/>
  <c r="O42" i="3"/>
  <c r="O41" i="3"/>
  <c r="O40" i="3"/>
  <c r="O39" i="3"/>
  <c r="O38" i="3"/>
  <c r="O37" i="3"/>
  <c r="O36" i="3"/>
  <c r="O35" i="3"/>
  <c r="O34" i="3"/>
  <c r="O33" i="3"/>
  <c r="O32" i="3"/>
  <c r="O31" i="3"/>
  <c r="O30" i="3"/>
  <c r="O29" i="3"/>
  <c r="O28" i="3"/>
  <c r="O27" i="3"/>
  <c r="O26" i="3"/>
  <c r="O25" i="3"/>
  <c r="O24" i="3"/>
  <c r="O23" i="3"/>
  <c r="O22" i="3"/>
  <c r="O21" i="3"/>
  <c r="O20" i="3"/>
  <c r="O19" i="3"/>
  <c r="O18" i="3"/>
  <c r="O17" i="3"/>
  <c r="O16" i="3"/>
  <c r="O15" i="3"/>
  <c r="O14" i="3"/>
  <c r="O13" i="3"/>
  <c r="O12" i="3"/>
  <c r="O11" i="3"/>
  <c r="O10" i="3"/>
  <c r="O9" i="3"/>
  <c r="O8" i="3"/>
  <c r="O7" i="3"/>
  <c r="O6" i="3"/>
  <c r="O5" i="3"/>
  <c r="O4" i="3"/>
  <c r="O3" i="3"/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3" i="3"/>
</calcChain>
</file>

<file path=xl/sharedStrings.xml><?xml version="1.0" encoding="utf-8"?>
<sst xmlns="http://schemas.openxmlformats.org/spreadsheetml/2006/main" count="80" uniqueCount="46">
  <si>
    <t>issueDate</t>
  </si>
  <si>
    <t>WAC</t>
  </si>
  <si>
    <t>FNCK</t>
  </si>
  <si>
    <t>FNCL</t>
  </si>
  <si>
    <t>issueAmount1</t>
  </si>
  <si>
    <t>Diff</t>
  </si>
  <si>
    <t>CK-CL</t>
  </si>
  <si>
    <t>Mkt Share</t>
  </si>
  <si>
    <t>originationMonth</t>
  </si>
  <si>
    <t>cnt</t>
  </si>
  <si>
    <t>bal</t>
  </si>
  <si>
    <t>pct_owner</t>
  </si>
  <si>
    <t>incentive</t>
  </si>
  <si>
    <t>burnout</t>
  </si>
  <si>
    <t>wala</t>
  </si>
  <si>
    <t>wacls</t>
  </si>
  <si>
    <t>ccltv</t>
  </si>
  <si>
    <t>fico_score</t>
  </si>
  <si>
    <t>wac</t>
  </si>
  <si>
    <t>dti</t>
  </si>
  <si>
    <t>hpa_2yr</t>
  </si>
  <si>
    <t>credit_availability</t>
  </si>
  <si>
    <t>media_refi</t>
  </si>
  <si>
    <t>smm</t>
  </si>
  <si>
    <t>Jumbo Conforming LLPA</t>
  </si>
  <si>
    <t>Conforming LLPA</t>
  </si>
  <si>
    <t>Amount (M)</t>
  </si>
  <si>
    <t>FGT6</t>
  </si>
  <si>
    <t>FNCL Jumbo</t>
  </si>
  <si>
    <t>FGLMC Jumbo</t>
  </si>
  <si>
    <t>TBA Jumbo</t>
  </si>
  <si>
    <t>Specified Jumbo</t>
  </si>
  <si>
    <t>TBA Share of Jumbo</t>
  </si>
  <si>
    <t>TBA Share of Jumbo - MA</t>
  </si>
  <si>
    <t>Jumbo Rate</t>
  </si>
  <si>
    <t>PMMS Rate</t>
  </si>
  <si>
    <t>asof</t>
  </si>
  <si>
    <t xml:space="preserve">FNM </t>
  </si>
  <si>
    <t>&gt;417</t>
  </si>
  <si>
    <t>FNM</t>
  </si>
  <si>
    <t>&lt;= 417</t>
  </si>
  <si>
    <t>FHL</t>
  </si>
  <si>
    <t>&gt; 417</t>
  </si>
  <si>
    <t>Amount</t>
  </si>
  <si>
    <t>Large Loan Size</t>
  </si>
  <si>
    <t>Small Loan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</si>
</sst>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0.0"/>
    <numFmt numFmtId="165" formatCode="_(* #,##0_);_(* \(#,##0\);_(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4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43" fontId="0" fillId="0" borderId="0" xfId="2" applyFont="1"/>
    <xf numFmtId="43" fontId="0" fillId="0" borderId="0" xfId="0" applyNumberFormat="1"/>
    <xf numFmtId="2" fontId="0" fillId="0" borderId="0" xfId="0" applyNumberFormat="1" applyAlignment="1">
      <alignment horizontal="center"/>
    </xf>
    <xf numFmtId="0" fontId="2" fillId="0" borderId="0" xfId="0" applyFont="1"/>
    <xf numFmtId="2" fontId="2" fillId="0" borderId="0" xfId="0" applyNumberFormat="1" applyFont="1" applyAlignment="1">
      <alignment horizontal="center"/>
    </xf>
    <xf numFmtId="9" fontId="0" fillId="0" borderId="0" xfId="0" applyNumberFormat="1" applyAlignment="1">
      <alignment horizontal="center"/>
    </xf>
    <xf numFmtId="9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2" fillId="0" borderId="0" xfId="0" applyNumberFormat="1" applyFont="1" applyAlignment="1">
      <alignment horizontal="center"/>
    </xf>
    <xf numFmtId="165" fontId="0" fillId="0" borderId="0" xfId="2" applyNumberFormat="1" applyFont="1"/>
    <xf numFmtId="165" fontId="0" fillId="0" borderId="0" xfId="0" applyNumberFormat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2"/>
          <c:order val="0"/>
          <c:tx>
            <c:strRef>
              <c:f>'WAC Differences'!$N$2</c:f>
              <c:strCache>
                <c:ptCount val="1"/>
                <c:pt idx="0">
                  <c:v>Diff</c:v>
                </c:pt>
              </c:strCache>
            </c:strRef>
          </c:tx>
          <c:marker>
            <c:symbol val="none"/>
          </c:marker>
          <c:cat>
            <c:numRef>
              <c:f>'WAC Differences'!$K$3:$K$92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'WAC Differences'!$N$3:$N$92</c:f>
              <c:numCache>
                <c:formatCode>General</c:formatCode>
                <c:ptCount val="90"/>
                <c:pt idx="0">
                  <c:v>28.526506881109981</c:v>
                </c:pt>
                <c:pt idx="1">
                  <c:v>15.081553997819963</c:v>
                </c:pt>
                <c:pt idx="2">
                  <c:v>-4.2281843973039912</c:v>
                </c:pt>
                <c:pt idx="3">
                  <c:v>-7.9017460862709221</c:v>
                </c:pt>
                <c:pt idx="4">
                  <c:v>-7.6730342103129345</c:v>
                </c:pt>
                <c:pt idx="5">
                  <c:v>-2.7540397921160142</c:v>
                </c:pt>
                <c:pt idx="6">
                  <c:v>64.004815714393004</c:v>
                </c:pt>
                <c:pt idx="7">
                  <c:v>47.683750220801002</c:v>
                </c:pt>
                <c:pt idx="8">
                  <c:v>34.474911503874054</c:v>
                </c:pt>
                <c:pt idx="9">
                  <c:v>15.892520755487993</c:v>
                </c:pt>
                <c:pt idx="10">
                  <c:v>51.890263686452002</c:v>
                </c:pt>
                <c:pt idx="11">
                  <c:v>97.024332753450977</c:v>
                </c:pt>
                <c:pt idx="12">
                  <c:v>37.819079350448973</c:v>
                </c:pt>
                <c:pt idx="13">
                  <c:v>29.018398525484024</c:v>
                </c:pt>
                <c:pt idx="14">
                  <c:v>3.2549493785089645</c:v>
                </c:pt>
                <c:pt idx="15">
                  <c:v>2.9969575324510167</c:v>
                </c:pt>
                <c:pt idx="16">
                  <c:v>29.790311898565047</c:v>
                </c:pt>
                <c:pt idx="17">
                  <c:v>24.076027247460008</c:v>
                </c:pt>
                <c:pt idx="18">
                  <c:v>19.148365886630003</c:v>
                </c:pt>
                <c:pt idx="19">
                  <c:v>18.972731718594993</c:v>
                </c:pt>
                <c:pt idx="20">
                  <c:v>17.783458334599</c:v>
                </c:pt>
                <c:pt idx="21">
                  <c:v>7.2192301163470418</c:v>
                </c:pt>
                <c:pt idx="22">
                  <c:v>5.8563012857030472</c:v>
                </c:pt>
                <c:pt idx="23">
                  <c:v>4.6801109649400097</c:v>
                </c:pt>
                <c:pt idx="24">
                  <c:v>-2.3106121091389653</c:v>
                </c:pt>
                <c:pt idx="25">
                  <c:v>5.9839197742530104</c:v>
                </c:pt>
                <c:pt idx="26">
                  <c:v>7.8251246985439948</c:v>
                </c:pt>
                <c:pt idx="27">
                  <c:v>9.7660875946080417</c:v>
                </c:pt>
                <c:pt idx="28">
                  <c:v>7.00154175090697</c:v>
                </c:pt>
                <c:pt idx="29">
                  <c:v>7.131768293259011</c:v>
                </c:pt>
                <c:pt idx="30">
                  <c:v>1.0359678759369828</c:v>
                </c:pt>
                <c:pt idx="31">
                  <c:v>-5.7629456631369536</c:v>
                </c:pt>
                <c:pt idx="32">
                  <c:v>-9.9919634317360284</c:v>
                </c:pt>
                <c:pt idx="33">
                  <c:v>-12.758765483719969</c:v>
                </c:pt>
                <c:pt idx="34">
                  <c:v>-12.093593427514016</c:v>
                </c:pt>
                <c:pt idx="35">
                  <c:v>-12.933808628950061</c:v>
                </c:pt>
                <c:pt idx="36">
                  <c:v>-7.868374565704972</c:v>
                </c:pt>
                <c:pt idx="37">
                  <c:v>-14.963671761221953</c:v>
                </c:pt>
                <c:pt idx="38">
                  <c:v>-7.0890798033260261</c:v>
                </c:pt>
                <c:pt idx="39">
                  <c:v>-3.6907664330060541</c:v>
                </c:pt>
                <c:pt idx="40">
                  <c:v>4.7875578513440153</c:v>
                </c:pt>
                <c:pt idx="41">
                  <c:v>7.4737964294190107</c:v>
                </c:pt>
                <c:pt idx="42">
                  <c:v>6.4236258407110114</c:v>
                </c:pt>
                <c:pt idx="43">
                  <c:v>8.3218260459620552</c:v>
                </c:pt>
                <c:pt idx="44">
                  <c:v>6.6962570812370004</c:v>
                </c:pt>
                <c:pt idx="45">
                  <c:v>2.8063660212310104</c:v>
                </c:pt>
                <c:pt idx="46">
                  <c:v>-2.4107298719620474</c:v>
                </c:pt>
                <c:pt idx="47">
                  <c:v>-5.9091151998780234</c:v>
                </c:pt>
                <c:pt idx="48">
                  <c:v>-0.29866363109096739</c:v>
                </c:pt>
                <c:pt idx="49">
                  <c:v>5.952745713801999</c:v>
                </c:pt>
                <c:pt idx="50">
                  <c:v>6.1268363729380049</c:v>
                </c:pt>
                <c:pt idx="51">
                  <c:v>4.2052222705100117</c:v>
                </c:pt>
                <c:pt idx="52">
                  <c:v>4.0662413149899823</c:v>
                </c:pt>
                <c:pt idx="53">
                  <c:v>2.1860355422850031</c:v>
                </c:pt>
                <c:pt idx="54">
                  <c:v>6.033045914396995</c:v>
                </c:pt>
                <c:pt idx="55">
                  <c:v>5.7154816781920026</c:v>
                </c:pt>
                <c:pt idx="56">
                  <c:v>4.7405713542880257</c:v>
                </c:pt>
                <c:pt idx="57">
                  <c:v>-2.1220765081309878</c:v>
                </c:pt>
                <c:pt idx="58">
                  <c:v>2.8400675657580088</c:v>
                </c:pt>
                <c:pt idx="59">
                  <c:v>-3.1891975799499761</c:v>
                </c:pt>
                <c:pt idx="60">
                  <c:v>-2.7580090049760031</c:v>
                </c:pt>
                <c:pt idx="61">
                  <c:v>-3.9830386684979402</c:v>
                </c:pt>
                <c:pt idx="62">
                  <c:v>-8.9640679217029451</c:v>
                </c:pt>
                <c:pt idx="63">
                  <c:v>-2.3190680206229608</c:v>
                </c:pt>
                <c:pt idx="64">
                  <c:v>-3.0285722596440579</c:v>
                </c:pt>
                <c:pt idx="65">
                  <c:v>-6.4541610020770079</c:v>
                </c:pt>
                <c:pt idx="66">
                  <c:v>-7.1845008721879822</c:v>
                </c:pt>
                <c:pt idx="67">
                  <c:v>0.53532965589999648</c:v>
                </c:pt>
                <c:pt idx="68">
                  <c:v>-4.3081076381650263</c:v>
                </c:pt>
                <c:pt idx="69">
                  <c:v>-4.7809568240909428</c:v>
                </c:pt>
                <c:pt idx="70">
                  <c:v>-5.707377220848997</c:v>
                </c:pt>
                <c:pt idx="71">
                  <c:v>-5.7116284001199169</c:v>
                </c:pt>
                <c:pt idx="72">
                  <c:v>-9.1304794048300053</c:v>
                </c:pt>
                <c:pt idx="73">
                  <c:v>-7.2601712339780633</c:v>
                </c:pt>
                <c:pt idx="74">
                  <c:v>-0.38331974956999915</c:v>
                </c:pt>
                <c:pt idx="75">
                  <c:v>-11.619695971341049</c:v>
                </c:pt>
                <c:pt idx="76">
                  <c:v>-14.169789919533038</c:v>
                </c:pt>
                <c:pt idx="77">
                  <c:v>-8.9475996205020003</c:v>
                </c:pt>
                <c:pt idx="78">
                  <c:v>-8.9621029618989212</c:v>
                </c:pt>
                <c:pt idx="79">
                  <c:v>-15.363618902200038</c:v>
                </c:pt>
                <c:pt idx="80">
                  <c:v>-7.2877185558079649</c:v>
                </c:pt>
                <c:pt idx="81">
                  <c:v>-3.7638844613600231</c:v>
                </c:pt>
                <c:pt idx="82">
                  <c:v>-5.9953505675820029</c:v>
                </c:pt>
                <c:pt idx="83">
                  <c:v>-9.235885836339941</c:v>
                </c:pt>
                <c:pt idx="84">
                  <c:v>-5.5343245628310278</c:v>
                </c:pt>
                <c:pt idx="85">
                  <c:v>-18.593606363739035</c:v>
                </c:pt>
                <c:pt idx="86">
                  <c:v>-10.305755201872024</c:v>
                </c:pt>
                <c:pt idx="87">
                  <c:v>-10.070879546685951</c:v>
                </c:pt>
                <c:pt idx="88">
                  <c:v>-13.529088637247</c:v>
                </c:pt>
                <c:pt idx="89">
                  <c:v>-5.0505814093889434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949056"/>
        <c:axId val="65231872"/>
      </c:lineChart>
      <c:lineChart>
        <c:grouping val="standard"/>
        <c:varyColors val="0"/>
        <c:ser>
          <c:idx val="0"/>
          <c:order val="1"/>
          <c:tx>
            <c:strRef>
              <c:f>'WAC Differences'!$O$2</c:f>
              <c:strCache>
                <c:ptCount val="1"/>
                <c:pt idx="0">
                  <c:v>Mkt Share</c:v>
                </c:pt>
              </c:strCache>
            </c:strRef>
          </c:tx>
          <c:spPr>
            <a:ln>
              <a:prstDash val="dash"/>
            </a:ln>
          </c:spPr>
          <c:marker>
            <c:symbol val="none"/>
          </c:marker>
          <c:cat>
            <c:numRef>
              <c:f>'WAC Differences'!$K$3:$K$92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'WAC Differences'!$O$3:$O$92</c:f>
              <c:numCache>
                <c:formatCode>0.00%</c:formatCode>
                <c:ptCount val="90"/>
                <c:pt idx="0">
                  <c:v>2.9165871398595167E-4</c:v>
                </c:pt>
                <c:pt idx="1">
                  <c:v>1.0583837708653275E-2</c:v>
                </c:pt>
                <c:pt idx="2">
                  <c:v>6.4944641105330547E-2</c:v>
                </c:pt>
                <c:pt idx="3">
                  <c:v>9.2590993222294665E-2</c:v>
                </c:pt>
                <c:pt idx="4">
                  <c:v>8.3133750535719697E-2</c:v>
                </c:pt>
                <c:pt idx="5">
                  <c:v>6.1816447022908318E-2</c:v>
                </c:pt>
                <c:pt idx="6">
                  <c:v>3.5490679374334898E-4</c:v>
                </c:pt>
                <c:pt idx="7">
                  <c:v>1.5250839249050558E-2</c:v>
                </c:pt>
                <c:pt idx="8">
                  <c:v>8.139954075242194E-3</c:v>
                </c:pt>
                <c:pt idx="9">
                  <c:v>1.0957839710351944E-2</c:v>
                </c:pt>
                <c:pt idx="10">
                  <c:v>6.5335356111700729E-2</c:v>
                </c:pt>
                <c:pt idx="11">
                  <c:v>2.4668686175981558E-2</c:v>
                </c:pt>
                <c:pt idx="12">
                  <c:v>2.5640931383379272E-2</c:v>
                </c:pt>
                <c:pt idx="13">
                  <c:v>5.0619804086324681E-2</c:v>
                </c:pt>
                <c:pt idx="14">
                  <c:v>8.6720315539991488E-2</c:v>
                </c:pt>
                <c:pt idx="15">
                  <c:v>0.19388769396695821</c:v>
                </c:pt>
                <c:pt idx="16">
                  <c:v>0.12281276126308358</c:v>
                </c:pt>
                <c:pt idx="17">
                  <c:v>8.9618259017496912E-2</c:v>
                </c:pt>
                <c:pt idx="18">
                  <c:v>0.10271581239762505</c:v>
                </c:pt>
                <c:pt idx="19">
                  <c:v>9.7957271276644484E-2</c:v>
                </c:pt>
                <c:pt idx="20">
                  <c:v>0.12330188931480089</c:v>
                </c:pt>
                <c:pt idx="21">
                  <c:v>8.0616790293127405E-2</c:v>
                </c:pt>
                <c:pt idx="22">
                  <c:v>8.4148722824238742E-2</c:v>
                </c:pt>
                <c:pt idx="23">
                  <c:v>6.4072806140162031E-2</c:v>
                </c:pt>
                <c:pt idx="24">
                  <c:v>0.13968968264700857</c:v>
                </c:pt>
                <c:pt idx="25">
                  <c:v>0.12714417739454253</c:v>
                </c:pt>
                <c:pt idx="26">
                  <c:v>0.11188284220550029</c:v>
                </c:pt>
                <c:pt idx="27">
                  <c:v>0.10726848859242477</c:v>
                </c:pt>
                <c:pt idx="28">
                  <c:v>0.11528515040528932</c:v>
                </c:pt>
                <c:pt idx="29">
                  <c:v>0.11547432300014933</c:v>
                </c:pt>
                <c:pt idx="30">
                  <c:v>0.12575351130932561</c:v>
                </c:pt>
                <c:pt idx="31">
                  <c:v>9.9747275006174391E-2</c:v>
                </c:pt>
                <c:pt idx="32">
                  <c:v>7.1708042263663854E-2</c:v>
                </c:pt>
                <c:pt idx="33">
                  <c:v>7.5750445158143109E-2</c:v>
                </c:pt>
                <c:pt idx="34">
                  <c:v>6.7986387631479739E-2</c:v>
                </c:pt>
                <c:pt idx="35">
                  <c:v>7.3976690219158731E-2</c:v>
                </c:pt>
                <c:pt idx="36">
                  <c:v>0.11598394825001339</c:v>
                </c:pt>
                <c:pt idx="37">
                  <c:v>0.1103454584128272</c:v>
                </c:pt>
                <c:pt idx="38">
                  <c:v>0.11974209374914661</c:v>
                </c:pt>
                <c:pt idx="39">
                  <c:v>0.19177279735194777</c:v>
                </c:pt>
                <c:pt idx="40">
                  <c:v>0.14820120215482879</c:v>
                </c:pt>
                <c:pt idx="41">
                  <c:v>4.7502048406932021E-2</c:v>
                </c:pt>
                <c:pt idx="42">
                  <c:v>4.6978842036904625E-2</c:v>
                </c:pt>
                <c:pt idx="43">
                  <c:v>4.5112761341461208E-2</c:v>
                </c:pt>
                <c:pt idx="44">
                  <c:v>4.9814105840484242E-2</c:v>
                </c:pt>
                <c:pt idx="45">
                  <c:v>3.11783018031998E-2</c:v>
                </c:pt>
                <c:pt idx="46">
                  <c:v>3.8173350457004866E-2</c:v>
                </c:pt>
                <c:pt idx="47">
                  <c:v>5.8878731880906053E-2</c:v>
                </c:pt>
                <c:pt idx="48">
                  <c:v>6.7486381490393876E-2</c:v>
                </c:pt>
                <c:pt idx="49">
                  <c:v>7.0083696565919618E-2</c:v>
                </c:pt>
                <c:pt idx="50">
                  <c:v>6.057320211684613E-2</c:v>
                </c:pt>
                <c:pt idx="51">
                  <c:v>6.2290784501129584E-2</c:v>
                </c:pt>
                <c:pt idx="52">
                  <c:v>5.8328897495237605E-2</c:v>
                </c:pt>
                <c:pt idx="53">
                  <c:v>3.2757091383272104E-2</c:v>
                </c:pt>
                <c:pt idx="54">
                  <c:v>6.558295534343514E-2</c:v>
                </c:pt>
                <c:pt idx="55">
                  <c:v>3.9851926171040795E-2</c:v>
                </c:pt>
                <c:pt idx="56">
                  <c:v>5.6369696008458016E-2</c:v>
                </c:pt>
                <c:pt idx="57">
                  <c:v>5.3573421455493431E-2</c:v>
                </c:pt>
                <c:pt idx="58">
                  <c:v>4.4413837811272519E-2</c:v>
                </c:pt>
                <c:pt idx="59">
                  <c:v>5.9075810216759131E-2</c:v>
                </c:pt>
                <c:pt idx="60">
                  <c:v>4.1505470991041966E-2</c:v>
                </c:pt>
                <c:pt idx="61">
                  <c:v>3.9097590282544954E-2</c:v>
                </c:pt>
                <c:pt idx="62">
                  <c:v>2.8184905638979525E-2</c:v>
                </c:pt>
                <c:pt idx="63">
                  <c:v>2.7027325398194746E-2</c:v>
                </c:pt>
                <c:pt idx="64">
                  <c:v>2.9951467012610311E-2</c:v>
                </c:pt>
                <c:pt idx="65">
                  <c:v>2.8139244206623254E-2</c:v>
                </c:pt>
                <c:pt idx="66">
                  <c:v>2.2170581957836197E-2</c:v>
                </c:pt>
                <c:pt idx="67">
                  <c:v>2.0310582416310088E-2</c:v>
                </c:pt>
                <c:pt idx="68">
                  <c:v>1.4979353778191594E-2</c:v>
                </c:pt>
                <c:pt idx="69">
                  <c:v>1.5303886589454318E-2</c:v>
                </c:pt>
                <c:pt idx="70">
                  <c:v>1.8572409158052878E-2</c:v>
                </c:pt>
                <c:pt idx="71">
                  <c:v>1.4926694347252236E-2</c:v>
                </c:pt>
                <c:pt idx="72">
                  <c:v>2.2695480917624123E-2</c:v>
                </c:pt>
                <c:pt idx="73">
                  <c:v>1.9106390175511863E-2</c:v>
                </c:pt>
                <c:pt idx="74">
                  <c:v>2.7283775412606494E-2</c:v>
                </c:pt>
                <c:pt idx="75">
                  <c:v>1.9456325502446078E-2</c:v>
                </c:pt>
                <c:pt idx="76">
                  <c:v>2.5615777783813829E-2</c:v>
                </c:pt>
                <c:pt idx="77">
                  <c:v>2.5004838925815627E-2</c:v>
                </c:pt>
                <c:pt idx="78">
                  <c:v>2.6127057963396365E-2</c:v>
                </c:pt>
                <c:pt idx="79">
                  <c:v>3.3560735280295476E-2</c:v>
                </c:pt>
                <c:pt idx="80">
                  <c:v>3.2710942586512019E-2</c:v>
                </c:pt>
                <c:pt idx="81">
                  <c:v>3.2920895192787715E-2</c:v>
                </c:pt>
                <c:pt idx="82">
                  <c:v>2.5247300078463802E-2</c:v>
                </c:pt>
                <c:pt idx="83">
                  <c:v>5.2812628619025921E-2</c:v>
                </c:pt>
                <c:pt idx="84">
                  <c:v>2.5687590443477702E-2</c:v>
                </c:pt>
                <c:pt idx="85">
                  <c:v>3.2841933586379102E-2</c:v>
                </c:pt>
                <c:pt idx="86">
                  <c:v>1.9307365695388944E-2</c:v>
                </c:pt>
                <c:pt idx="87">
                  <c:v>2.0052139326341676E-2</c:v>
                </c:pt>
                <c:pt idx="88">
                  <c:v>3.2346047248457382E-2</c:v>
                </c:pt>
                <c:pt idx="89">
                  <c:v>5.4609199851666877E-3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377216"/>
        <c:axId val="66332544"/>
      </c:lineChart>
      <c:dateAx>
        <c:axId val="6394905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65231872"/>
        <c:crosses val="autoZero"/>
        <c:auto val="1"/>
        <c:lblOffset val="100"/>
        <c:baseTimeUnit val="months"/>
        <c:majorUnit val="6"/>
        <c:majorTimeUnit val="months"/>
      </c:dateAx>
      <c:valAx>
        <c:axId val="65231872"/>
        <c:scaling>
          <c:orientation val="minMax"/>
          <c:max val="100"/>
          <c:min val="-2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CK - CL WAC (bps)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63949056"/>
        <c:crosses val="autoZero"/>
        <c:crossBetween val="between"/>
      </c:valAx>
      <c:valAx>
        <c:axId val="66332544"/>
        <c:scaling>
          <c:orientation val="minMax"/>
          <c:max val="0.2"/>
        </c:scaling>
        <c:delete val="0"/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CK Market Share (%)</a:t>
                </a:r>
              </a:p>
            </c:rich>
          </c:tx>
          <c:layout/>
          <c:overlay val="0"/>
        </c:title>
        <c:numFmt formatCode="0%" sourceLinked="0"/>
        <c:majorTickMark val="out"/>
        <c:minorTickMark val="none"/>
        <c:tickLblPos val="nextTo"/>
        <c:crossAx val="66377216"/>
        <c:crosses val="max"/>
        <c:crossBetween val="between"/>
      </c:valAx>
      <c:dateAx>
        <c:axId val="66377216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66332544"/>
        <c:crosses val="autoZero"/>
        <c:auto val="1"/>
        <c:lblOffset val="100"/>
        <c:baseTimeUnit val="months"/>
        <c:majorUnit val="1"/>
        <c:minorUnit val="1"/>
      </c:dateAx>
      <c:spPr>
        <a:ln>
          <a:noFill/>
        </a:ln>
      </c:spPr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'LLPA Differences'!$E$1</c:f>
              <c:strCache>
                <c:ptCount val="1"/>
                <c:pt idx="0">
                  <c:v>Jumbo Conforming LLPA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'LLPA Differences'!$A$2:$A$92</c:f>
              <c:numCache>
                <c:formatCode>m/d/yyyy</c:formatCode>
                <c:ptCount val="91"/>
                <c:pt idx="0">
                  <c:v>39630</c:v>
                </c:pt>
                <c:pt idx="1">
                  <c:v>39661</c:v>
                </c:pt>
                <c:pt idx="2">
                  <c:v>39692</c:v>
                </c:pt>
                <c:pt idx="3">
                  <c:v>39722</c:v>
                </c:pt>
                <c:pt idx="4">
                  <c:v>39753</c:v>
                </c:pt>
                <c:pt idx="5">
                  <c:v>39783</c:v>
                </c:pt>
                <c:pt idx="6">
                  <c:v>39814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'LLPA Differences'!$E$2:$E$92</c:f>
              <c:numCache>
                <c:formatCode>General</c:formatCode>
                <c:ptCount val="91"/>
                <c:pt idx="0">
                  <c:v>0.1135</c:v>
                </c:pt>
                <c:pt idx="1">
                  <c:v>0.1082</c:v>
                </c:pt>
                <c:pt idx="2">
                  <c:v>0.1047</c:v>
                </c:pt>
                <c:pt idx="3">
                  <c:v>0.10730000000000001</c:v>
                </c:pt>
                <c:pt idx="4">
                  <c:v>0.1079</c:v>
                </c:pt>
                <c:pt idx="5">
                  <c:v>0.111</c:v>
                </c:pt>
                <c:pt idx="6">
                  <c:v>0.1119</c:v>
                </c:pt>
                <c:pt idx="7">
                  <c:v>0.1158</c:v>
                </c:pt>
                <c:pt idx="8">
                  <c:v>0.1163</c:v>
                </c:pt>
                <c:pt idx="9">
                  <c:v>0.1159</c:v>
                </c:pt>
                <c:pt idx="10">
                  <c:v>0.1158</c:v>
                </c:pt>
                <c:pt idx="11">
                  <c:v>0.1159</c:v>
                </c:pt>
                <c:pt idx="12">
                  <c:v>0.1157</c:v>
                </c:pt>
                <c:pt idx="13">
                  <c:v>0.11609999999999999</c:v>
                </c:pt>
                <c:pt idx="14">
                  <c:v>0.1143</c:v>
                </c:pt>
                <c:pt idx="15">
                  <c:v>0.1149</c:v>
                </c:pt>
                <c:pt idx="16">
                  <c:v>0.1153</c:v>
                </c:pt>
                <c:pt idx="17">
                  <c:v>0.11550000000000001</c:v>
                </c:pt>
                <c:pt idx="18">
                  <c:v>0.11600000000000001</c:v>
                </c:pt>
                <c:pt idx="19">
                  <c:v>0.1178</c:v>
                </c:pt>
                <c:pt idx="20">
                  <c:v>0.1182</c:v>
                </c:pt>
                <c:pt idx="21">
                  <c:v>0.1162</c:v>
                </c:pt>
                <c:pt idx="22">
                  <c:v>0.1157</c:v>
                </c:pt>
                <c:pt idx="23">
                  <c:v>0.115</c:v>
                </c:pt>
                <c:pt idx="24">
                  <c:v>0.1168</c:v>
                </c:pt>
                <c:pt idx="25">
                  <c:v>0.1183</c:v>
                </c:pt>
                <c:pt idx="26">
                  <c:v>0.11890000000000001</c:v>
                </c:pt>
                <c:pt idx="27">
                  <c:v>0.1216</c:v>
                </c:pt>
                <c:pt idx="28">
                  <c:v>0.12379999999999999</c:v>
                </c:pt>
                <c:pt idx="29">
                  <c:v>0.1244</c:v>
                </c:pt>
                <c:pt idx="30">
                  <c:v>0.1275</c:v>
                </c:pt>
                <c:pt idx="31">
                  <c:v>0.1273</c:v>
                </c:pt>
                <c:pt idx="32">
                  <c:v>0.1198</c:v>
                </c:pt>
                <c:pt idx="33">
                  <c:v>0.1163</c:v>
                </c:pt>
                <c:pt idx="34">
                  <c:v>0.1152</c:v>
                </c:pt>
                <c:pt idx="35">
                  <c:v>0.11269999999999999</c:v>
                </c:pt>
                <c:pt idx="36">
                  <c:v>0.1123</c:v>
                </c:pt>
                <c:pt idx="37">
                  <c:v>0.11219999999999999</c:v>
                </c:pt>
                <c:pt idx="38">
                  <c:v>0.1125</c:v>
                </c:pt>
                <c:pt idx="39">
                  <c:v>0.11600000000000001</c:v>
                </c:pt>
                <c:pt idx="40">
                  <c:v>0.1179</c:v>
                </c:pt>
                <c:pt idx="41">
                  <c:v>0.11849999999999999</c:v>
                </c:pt>
                <c:pt idx="42">
                  <c:v>0.11600000000000001</c:v>
                </c:pt>
                <c:pt idx="43">
                  <c:v>0.11219999999999999</c:v>
                </c:pt>
                <c:pt idx="44">
                  <c:v>0.1094</c:v>
                </c:pt>
                <c:pt idx="45">
                  <c:v>0.1042</c:v>
                </c:pt>
                <c:pt idx="46">
                  <c:v>9.9400000000000002E-2</c:v>
                </c:pt>
                <c:pt idx="47">
                  <c:v>9.5399999999999999E-2</c:v>
                </c:pt>
                <c:pt idx="48">
                  <c:v>9.06E-2</c:v>
                </c:pt>
                <c:pt idx="49">
                  <c:v>8.9800000000000005E-2</c:v>
                </c:pt>
                <c:pt idx="50">
                  <c:v>9.0399999999999994E-2</c:v>
                </c:pt>
                <c:pt idx="51">
                  <c:v>9.0300000000000005E-2</c:v>
                </c:pt>
                <c:pt idx="52">
                  <c:v>8.8800000000000004E-2</c:v>
                </c:pt>
                <c:pt idx="53">
                  <c:v>8.6599999999999996E-2</c:v>
                </c:pt>
                <c:pt idx="54">
                  <c:v>8.4400000000000003E-2</c:v>
                </c:pt>
                <c:pt idx="55">
                  <c:v>8.3000000000000004E-2</c:v>
                </c:pt>
                <c:pt idx="56">
                  <c:v>8.2299999999999998E-2</c:v>
                </c:pt>
                <c:pt idx="57">
                  <c:v>7.8399999999999997E-2</c:v>
                </c:pt>
                <c:pt idx="58">
                  <c:v>7.51E-2</c:v>
                </c:pt>
                <c:pt idx="59">
                  <c:v>7.1999999999999995E-2</c:v>
                </c:pt>
                <c:pt idx="60">
                  <c:v>7.1300000000000002E-2</c:v>
                </c:pt>
                <c:pt idx="61">
                  <c:v>7.1499999999999994E-2</c:v>
                </c:pt>
                <c:pt idx="62">
                  <c:v>6.9900000000000004E-2</c:v>
                </c:pt>
                <c:pt idx="63">
                  <c:v>7.2499999999999995E-2</c:v>
                </c:pt>
                <c:pt idx="64">
                  <c:v>7.3599999999999999E-2</c:v>
                </c:pt>
                <c:pt idx="65">
                  <c:v>9.2299999999999993E-2</c:v>
                </c:pt>
                <c:pt idx="66">
                  <c:v>9.3799999999999994E-2</c:v>
                </c:pt>
                <c:pt idx="67">
                  <c:v>8.2000000000000003E-2</c:v>
                </c:pt>
                <c:pt idx="68">
                  <c:v>8.2199999999999995E-2</c:v>
                </c:pt>
                <c:pt idx="69">
                  <c:v>7.7299999999999994E-2</c:v>
                </c:pt>
                <c:pt idx="70">
                  <c:v>7.6600000000000001E-2</c:v>
                </c:pt>
                <c:pt idx="71">
                  <c:v>7.6499999999999999E-2</c:v>
                </c:pt>
                <c:pt idx="72">
                  <c:v>7.7100000000000002E-2</c:v>
                </c:pt>
                <c:pt idx="73">
                  <c:v>7.8600000000000003E-2</c:v>
                </c:pt>
                <c:pt idx="74">
                  <c:v>8.0399999999999999E-2</c:v>
                </c:pt>
                <c:pt idx="75">
                  <c:v>8.3099999999999993E-2</c:v>
                </c:pt>
                <c:pt idx="76">
                  <c:v>8.5099999999999995E-2</c:v>
                </c:pt>
                <c:pt idx="77">
                  <c:v>8.7599999999999997E-2</c:v>
                </c:pt>
                <c:pt idx="78">
                  <c:v>7.3599999999999999E-2</c:v>
                </c:pt>
                <c:pt idx="79">
                  <c:v>7.51E-2</c:v>
                </c:pt>
                <c:pt idx="80">
                  <c:v>7.6399999999999996E-2</c:v>
                </c:pt>
                <c:pt idx="81">
                  <c:v>7.7399999999999997E-2</c:v>
                </c:pt>
                <c:pt idx="82">
                  <c:v>7.7899999999999997E-2</c:v>
                </c:pt>
                <c:pt idx="83">
                  <c:v>7.8200000000000006E-2</c:v>
                </c:pt>
                <c:pt idx="84">
                  <c:v>7.9299999999999995E-2</c:v>
                </c:pt>
                <c:pt idx="85">
                  <c:v>8.0699999999999994E-2</c:v>
                </c:pt>
                <c:pt idx="86">
                  <c:v>0.1371</c:v>
                </c:pt>
                <c:pt idx="87">
                  <c:v>0.1386</c:v>
                </c:pt>
                <c:pt idx="88">
                  <c:v>0.1396</c:v>
                </c:pt>
                <c:pt idx="89">
                  <c:v>0.1482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'LLPA Differences'!$R$1</c:f>
              <c:strCache>
                <c:ptCount val="1"/>
                <c:pt idx="0">
                  <c:v>Conforming LLPA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'LLPA Differences'!$A$2:$A$92</c:f>
              <c:numCache>
                <c:formatCode>m/d/yyyy</c:formatCode>
                <c:ptCount val="91"/>
                <c:pt idx="0">
                  <c:v>39630</c:v>
                </c:pt>
                <c:pt idx="1">
                  <c:v>39661</c:v>
                </c:pt>
                <c:pt idx="2">
                  <c:v>39692</c:v>
                </c:pt>
                <c:pt idx="3">
                  <c:v>39722</c:v>
                </c:pt>
                <c:pt idx="4">
                  <c:v>39753</c:v>
                </c:pt>
                <c:pt idx="5">
                  <c:v>39783</c:v>
                </c:pt>
                <c:pt idx="6">
                  <c:v>39814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'LLPA Differences'!$R$2:$R$92</c:f>
              <c:numCache>
                <c:formatCode>General</c:formatCode>
                <c:ptCount val="91"/>
                <c:pt idx="0">
                  <c:v>0.14030000000000001</c:v>
                </c:pt>
                <c:pt idx="1">
                  <c:v>0.1399</c:v>
                </c:pt>
                <c:pt idx="2">
                  <c:v>0.1404</c:v>
                </c:pt>
                <c:pt idx="3">
                  <c:v>0.1416</c:v>
                </c:pt>
                <c:pt idx="4">
                  <c:v>0.14280000000000001</c:v>
                </c:pt>
                <c:pt idx="5">
                  <c:v>0.1439</c:v>
                </c:pt>
                <c:pt idx="6">
                  <c:v>0.14360000000000001</c:v>
                </c:pt>
                <c:pt idx="7">
                  <c:v>0.14360000000000001</c:v>
                </c:pt>
                <c:pt idx="8">
                  <c:v>0.14380000000000001</c:v>
                </c:pt>
                <c:pt idx="9">
                  <c:v>0.14269999999999999</c:v>
                </c:pt>
                <c:pt idx="10">
                  <c:v>0.13850000000000001</c:v>
                </c:pt>
                <c:pt idx="11">
                  <c:v>0.1363</c:v>
                </c:pt>
                <c:pt idx="12">
                  <c:v>0.13400000000000001</c:v>
                </c:pt>
                <c:pt idx="13">
                  <c:v>0.13239999999999999</c:v>
                </c:pt>
                <c:pt idx="14">
                  <c:v>0.1341</c:v>
                </c:pt>
                <c:pt idx="15">
                  <c:v>0.13600000000000001</c:v>
                </c:pt>
                <c:pt idx="16">
                  <c:v>0.13750000000000001</c:v>
                </c:pt>
                <c:pt idx="17">
                  <c:v>0.13950000000000001</c:v>
                </c:pt>
                <c:pt idx="18">
                  <c:v>0.1416</c:v>
                </c:pt>
                <c:pt idx="19">
                  <c:v>0.14449999999999999</c:v>
                </c:pt>
                <c:pt idx="20">
                  <c:v>0.1482</c:v>
                </c:pt>
                <c:pt idx="21">
                  <c:v>0.14610000000000001</c:v>
                </c:pt>
                <c:pt idx="22">
                  <c:v>0.1452</c:v>
                </c:pt>
                <c:pt idx="23">
                  <c:v>0.1447</c:v>
                </c:pt>
                <c:pt idx="24">
                  <c:v>0.1474</c:v>
                </c:pt>
                <c:pt idx="25">
                  <c:v>0.1515</c:v>
                </c:pt>
                <c:pt idx="26">
                  <c:v>0.15509999999999999</c:v>
                </c:pt>
                <c:pt idx="27">
                  <c:v>0.1598</c:v>
                </c:pt>
                <c:pt idx="28">
                  <c:v>0.16420000000000001</c:v>
                </c:pt>
                <c:pt idx="29">
                  <c:v>0.16889999999999999</c:v>
                </c:pt>
                <c:pt idx="30">
                  <c:v>0.1754</c:v>
                </c:pt>
                <c:pt idx="31">
                  <c:v>0.1825</c:v>
                </c:pt>
                <c:pt idx="32">
                  <c:v>0.19040000000000001</c:v>
                </c:pt>
                <c:pt idx="33">
                  <c:v>0.1875</c:v>
                </c:pt>
                <c:pt idx="34">
                  <c:v>0.18529999999999999</c:v>
                </c:pt>
                <c:pt idx="35">
                  <c:v>0.1827</c:v>
                </c:pt>
                <c:pt idx="36">
                  <c:v>0.18190000000000001</c:v>
                </c:pt>
                <c:pt idx="37">
                  <c:v>0.18099999999999999</c:v>
                </c:pt>
                <c:pt idx="38">
                  <c:v>0.18</c:v>
                </c:pt>
                <c:pt idx="39">
                  <c:v>0.18329999999999999</c:v>
                </c:pt>
                <c:pt idx="40">
                  <c:v>0.1865</c:v>
                </c:pt>
                <c:pt idx="41">
                  <c:v>0.1905</c:v>
                </c:pt>
                <c:pt idx="42">
                  <c:v>0.19120000000000001</c:v>
                </c:pt>
                <c:pt idx="43">
                  <c:v>0.1928</c:v>
                </c:pt>
                <c:pt idx="44">
                  <c:v>0.19400000000000001</c:v>
                </c:pt>
                <c:pt idx="45">
                  <c:v>0.18579999999999999</c:v>
                </c:pt>
                <c:pt idx="46">
                  <c:v>0.17810000000000001</c:v>
                </c:pt>
                <c:pt idx="47">
                  <c:v>0.1709</c:v>
                </c:pt>
                <c:pt idx="48">
                  <c:v>0.17</c:v>
                </c:pt>
                <c:pt idx="49">
                  <c:v>0.16900000000000001</c:v>
                </c:pt>
                <c:pt idx="50">
                  <c:v>0.16789999999999999</c:v>
                </c:pt>
                <c:pt idx="51">
                  <c:v>0.16969999999999999</c:v>
                </c:pt>
                <c:pt idx="52">
                  <c:v>0.1706</c:v>
                </c:pt>
                <c:pt idx="53">
                  <c:v>0.1734</c:v>
                </c:pt>
                <c:pt idx="54">
                  <c:v>0.1721</c:v>
                </c:pt>
                <c:pt idx="55">
                  <c:v>0.1724</c:v>
                </c:pt>
                <c:pt idx="56">
                  <c:v>0.17219999999999999</c:v>
                </c:pt>
                <c:pt idx="57">
                  <c:v>0.16500000000000001</c:v>
                </c:pt>
                <c:pt idx="58">
                  <c:v>0.1593</c:v>
                </c:pt>
                <c:pt idx="59">
                  <c:v>0.1547</c:v>
                </c:pt>
                <c:pt idx="60">
                  <c:v>0.15490000000000001</c:v>
                </c:pt>
                <c:pt idx="61">
                  <c:v>0.1532</c:v>
                </c:pt>
                <c:pt idx="62">
                  <c:v>0.15160000000000001</c:v>
                </c:pt>
                <c:pt idx="63">
                  <c:v>0.1545</c:v>
                </c:pt>
                <c:pt idx="64">
                  <c:v>0.15670000000000001</c:v>
                </c:pt>
                <c:pt idx="65">
                  <c:v>0.18820000000000001</c:v>
                </c:pt>
                <c:pt idx="66">
                  <c:v>0.18870000000000001</c:v>
                </c:pt>
                <c:pt idx="67">
                  <c:v>0.1948</c:v>
                </c:pt>
                <c:pt idx="68">
                  <c:v>0.19600000000000001</c:v>
                </c:pt>
                <c:pt idx="69">
                  <c:v>0.19589999999999999</c:v>
                </c:pt>
                <c:pt idx="70">
                  <c:v>0.1933</c:v>
                </c:pt>
                <c:pt idx="71">
                  <c:v>0.1913</c:v>
                </c:pt>
                <c:pt idx="72">
                  <c:v>0.19170000000000001</c:v>
                </c:pt>
                <c:pt idx="73">
                  <c:v>0.193</c:v>
                </c:pt>
                <c:pt idx="74">
                  <c:v>0.19389999999999999</c:v>
                </c:pt>
                <c:pt idx="75">
                  <c:v>0.19589999999999999</c:v>
                </c:pt>
                <c:pt idx="76">
                  <c:v>0.1983</c:v>
                </c:pt>
                <c:pt idx="77">
                  <c:v>0.19939999999999999</c:v>
                </c:pt>
                <c:pt idx="78">
                  <c:v>0.16400000000000001</c:v>
                </c:pt>
                <c:pt idx="79">
                  <c:v>0.16470000000000001</c:v>
                </c:pt>
                <c:pt idx="80">
                  <c:v>0.16539999999999999</c:v>
                </c:pt>
                <c:pt idx="81">
                  <c:v>0.16309999999999999</c:v>
                </c:pt>
                <c:pt idx="82">
                  <c:v>0.1618</c:v>
                </c:pt>
                <c:pt idx="83">
                  <c:v>0.16039999999999999</c:v>
                </c:pt>
                <c:pt idx="84">
                  <c:v>0.1608</c:v>
                </c:pt>
                <c:pt idx="85">
                  <c:v>0.1615</c:v>
                </c:pt>
                <c:pt idx="86">
                  <c:v>0.15440000000000001</c:v>
                </c:pt>
                <c:pt idx="87">
                  <c:v>0.15529999999999999</c:v>
                </c:pt>
                <c:pt idx="88">
                  <c:v>0.1565</c:v>
                </c:pt>
                <c:pt idx="89">
                  <c:v>0.1348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5691904"/>
        <c:axId val="265693440"/>
      </c:lineChart>
      <c:dateAx>
        <c:axId val="26569190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93440"/>
        <c:crosses val="autoZero"/>
        <c:auto val="1"/>
        <c:lblOffset val="100"/>
        <c:baseTimeUnit val="months"/>
      </c:dateAx>
      <c:valAx>
        <c:axId val="26569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569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6"/>
          <c:order val="0"/>
          <c:tx>
            <c:strRef>
              <c:f>Issuance!$I$2</c:f>
              <c:strCache>
                <c:ptCount val="1"/>
                <c:pt idx="0">
                  <c:v>TBA Share of Jumbo</c:v>
                </c:pt>
              </c:strCache>
            </c:strRef>
          </c:tx>
          <c:marker>
            <c:symbol val="none"/>
          </c:marker>
          <c:cat>
            <c:numRef>
              <c:f>Issuance!$B$3:$B$92</c:f>
              <c:numCache>
                <c:formatCode>m/d/yyyy</c:formatCode>
                <c:ptCount val="90"/>
                <c:pt idx="0">
                  <c:v>39569</c:v>
                </c:pt>
                <c:pt idx="1">
                  <c:v>39600</c:v>
                </c:pt>
                <c:pt idx="2">
                  <c:v>39630</c:v>
                </c:pt>
                <c:pt idx="3">
                  <c:v>39661</c:v>
                </c:pt>
                <c:pt idx="4">
                  <c:v>39692</c:v>
                </c:pt>
                <c:pt idx="5">
                  <c:v>39722</c:v>
                </c:pt>
                <c:pt idx="6">
                  <c:v>39783</c:v>
                </c:pt>
                <c:pt idx="7">
                  <c:v>39845</c:v>
                </c:pt>
                <c:pt idx="8">
                  <c:v>39873</c:v>
                </c:pt>
                <c:pt idx="9">
                  <c:v>39904</c:v>
                </c:pt>
                <c:pt idx="10">
                  <c:v>39934</c:v>
                </c:pt>
                <c:pt idx="11">
                  <c:v>39965</c:v>
                </c:pt>
                <c:pt idx="12">
                  <c:v>39995</c:v>
                </c:pt>
                <c:pt idx="13">
                  <c:v>40026</c:v>
                </c:pt>
                <c:pt idx="14">
                  <c:v>40057</c:v>
                </c:pt>
                <c:pt idx="15">
                  <c:v>40087</c:v>
                </c:pt>
                <c:pt idx="16">
                  <c:v>40118</c:v>
                </c:pt>
                <c:pt idx="17">
                  <c:v>40148</c:v>
                </c:pt>
                <c:pt idx="18">
                  <c:v>40179</c:v>
                </c:pt>
                <c:pt idx="19">
                  <c:v>40210</c:v>
                </c:pt>
                <c:pt idx="20">
                  <c:v>40238</c:v>
                </c:pt>
                <c:pt idx="21">
                  <c:v>40269</c:v>
                </c:pt>
                <c:pt idx="22">
                  <c:v>40299</c:v>
                </c:pt>
                <c:pt idx="23">
                  <c:v>40330</c:v>
                </c:pt>
                <c:pt idx="24">
                  <c:v>40360</c:v>
                </c:pt>
                <c:pt idx="25">
                  <c:v>40391</c:v>
                </c:pt>
                <c:pt idx="26">
                  <c:v>40422</c:v>
                </c:pt>
                <c:pt idx="27">
                  <c:v>40452</c:v>
                </c:pt>
                <c:pt idx="28">
                  <c:v>40483</c:v>
                </c:pt>
                <c:pt idx="29">
                  <c:v>40513</c:v>
                </c:pt>
                <c:pt idx="30">
                  <c:v>40544</c:v>
                </c:pt>
                <c:pt idx="31">
                  <c:v>40575</c:v>
                </c:pt>
                <c:pt idx="32">
                  <c:v>40603</c:v>
                </c:pt>
                <c:pt idx="33">
                  <c:v>40634</c:v>
                </c:pt>
                <c:pt idx="34">
                  <c:v>40664</c:v>
                </c:pt>
                <c:pt idx="35">
                  <c:v>40695</c:v>
                </c:pt>
                <c:pt idx="36">
                  <c:v>40725</c:v>
                </c:pt>
                <c:pt idx="37">
                  <c:v>40756</c:v>
                </c:pt>
                <c:pt idx="38">
                  <c:v>40787</c:v>
                </c:pt>
                <c:pt idx="39">
                  <c:v>40817</c:v>
                </c:pt>
                <c:pt idx="40">
                  <c:v>40848</c:v>
                </c:pt>
                <c:pt idx="41">
                  <c:v>40878</c:v>
                </c:pt>
                <c:pt idx="42">
                  <c:v>40909</c:v>
                </c:pt>
                <c:pt idx="43">
                  <c:v>40940</c:v>
                </c:pt>
                <c:pt idx="44">
                  <c:v>40969</c:v>
                </c:pt>
                <c:pt idx="45">
                  <c:v>41000</c:v>
                </c:pt>
                <c:pt idx="46">
                  <c:v>41030</c:v>
                </c:pt>
                <c:pt idx="47">
                  <c:v>41061</c:v>
                </c:pt>
                <c:pt idx="48">
                  <c:v>41091</c:v>
                </c:pt>
                <c:pt idx="49">
                  <c:v>41122</c:v>
                </c:pt>
                <c:pt idx="50">
                  <c:v>41153</c:v>
                </c:pt>
                <c:pt idx="51">
                  <c:v>41183</c:v>
                </c:pt>
                <c:pt idx="52">
                  <c:v>41214</c:v>
                </c:pt>
                <c:pt idx="53">
                  <c:v>41244</c:v>
                </c:pt>
                <c:pt idx="54">
                  <c:v>41275</c:v>
                </c:pt>
                <c:pt idx="55">
                  <c:v>41306</c:v>
                </c:pt>
                <c:pt idx="56">
                  <c:v>41334</c:v>
                </c:pt>
                <c:pt idx="57">
                  <c:v>41365</c:v>
                </c:pt>
                <c:pt idx="58">
                  <c:v>41395</c:v>
                </c:pt>
                <c:pt idx="59">
                  <c:v>41426</c:v>
                </c:pt>
                <c:pt idx="60">
                  <c:v>41456</c:v>
                </c:pt>
                <c:pt idx="61">
                  <c:v>41487</c:v>
                </c:pt>
                <c:pt idx="62">
                  <c:v>41518</c:v>
                </c:pt>
                <c:pt idx="63">
                  <c:v>41548</c:v>
                </c:pt>
                <c:pt idx="64">
                  <c:v>41579</c:v>
                </c:pt>
                <c:pt idx="65">
                  <c:v>41609</c:v>
                </c:pt>
                <c:pt idx="66">
                  <c:v>41640</c:v>
                </c:pt>
                <c:pt idx="67">
                  <c:v>41671</c:v>
                </c:pt>
                <c:pt idx="68">
                  <c:v>41699</c:v>
                </c:pt>
                <c:pt idx="69">
                  <c:v>41730</c:v>
                </c:pt>
                <c:pt idx="70">
                  <c:v>41760</c:v>
                </c:pt>
                <c:pt idx="71">
                  <c:v>41791</c:v>
                </c:pt>
                <c:pt idx="72">
                  <c:v>41821</c:v>
                </c:pt>
                <c:pt idx="73">
                  <c:v>41852</c:v>
                </c:pt>
                <c:pt idx="74">
                  <c:v>41883</c:v>
                </c:pt>
                <c:pt idx="75">
                  <c:v>41913</c:v>
                </c:pt>
                <c:pt idx="76">
                  <c:v>41944</c:v>
                </c:pt>
                <c:pt idx="77">
                  <c:v>41974</c:v>
                </c:pt>
                <c:pt idx="78">
                  <c:v>42005</c:v>
                </c:pt>
                <c:pt idx="79">
                  <c:v>42036</c:v>
                </c:pt>
                <c:pt idx="80">
                  <c:v>42064</c:v>
                </c:pt>
                <c:pt idx="81">
                  <c:v>42095</c:v>
                </c:pt>
                <c:pt idx="82">
                  <c:v>42125</c:v>
                </c:pt>
                <c:pt idx="83">
                  <c:v>42156</c:v>
                </c:pt>
                <c:pt idx="84">
                  <c:v>42186</c:v>
                </c:pt>
                <c:pt idx="85">
                  <c:v>42217</c:v>
                </c:pt>
                <c:pt idx="86">
                  <c:v>42248</c:v>
                </c:pt>
                <c:pt idx="87">
                  <c:v>42278</c:v>
                </c:pt>
                <c:pt idx="88">
                  <c:v>42309</c:v>
                </c:pt>
                <c:pt idx="89">
                  <c:v>42339</c:v>
                </c:pt>
              </c:numCache>
            </c:numRef>
          </c:cat>
          <c:val>
            <c:numRef>
              <c:f>Issuance!$I$3:$I$92</c:f>
              <c:numCache>
                <c:formatCode>0%</c:formatCode>
                <c:ptCount val="90"/>
                <c:pt idx="0">
                  <c:v>0.81152940224084558</c:v>
                </c:pt>
                <c:pt idx="1">
                  <c:v>0.67326924257355591</c:v>
                </c:pt>
                <c:pt idx="2">
                  <c:v>0.48727993484670984</c:v>
                </c:pt>
                <c:pt idx="3">
                  <c:v>0.5668296676234611</c:v>
                </c:pt>
                <c:pt idx="4">
                  <c:v>0.69265506662382681</c:v>
                </c:pt>
                <c:pt idx="5">
                  <c:v>0.57970342202929859</c:v>
                </c:pt>
                <c:pt idx="6">
                  <c:v>0.75578484470211826</c:v>
                </c:pt>
                <c:pt idx="7">
                  <c:v>0.94265940803048287</c:v>
                </c:pt>
                <c:pt idx="8">
                  <c:v>0.97039015780037552</c:v>
                </c:pt>
                <c:pt idx="9">
                  <c:v>0.9692819752132269</c:v>
                </c:pt>
                <c:pt idx="10">
                  <c:v>0.88134850001936738</c:v>
                </c:pt>
                <c:pt idx="11">
                  <c:v>0.95592107970207263</c:v>
                </c:pt>
                <c:pt idx="12">
                  <c:v>0.91427253461165725</c:v>
                </c:pt>
                <c:pt idx="13">
                  <c:v>0.87493577258513489</c:v>
                </c:pt>
                <c:pt idx="14">
                  <c:v>0.77504932803482174</c:v>
                </c:pt>
                <c:pt idx="15">
                  <c:v>0.67782694531442478</c:v>
                </c:pt>
                <c:pt idx="16">
                  <c:v>0.76713813534167308</c:v>
                </c:pt>
                <c:pt idx="17">
                  <c:v>0.81191657371366999</c:v>
                </c:pt>
                <c:pt idx="18">
                  <c:v>0.77239943006190526</c:v>
                </c:pt>
                <c:pt idx="19">
                  <c:v>0.78356308463963764</c:v>
                </c:pt>
                <c:pt idx="20">
                  <c:v>0.79328578684150264</c:v>
                </c:pt>
                <c:pt idx="21">
                  <c:v>0.79117160951261567</c:v>
                </c:pt>
                <c:pt idx="22">
                  <c:v>0.78429548891446887</c:v>
                </c:pt>
                <c:pt idx="23">
                  <c:v>0.83209874091734215</c:v>
                </c:pt>
                <c:pt idx="24">
                  <c:v>0.69943629202373281</c:v>
                </c:pt>
                <c:pt idx="25">
                  <c:v>0.6545925675431975</c:v>
                </c:pt>
                <c:pt idx="26">
                  <c:v>0.65280093698241803</c:v>
                </c:pt>
                <c:pt idx="27">
                  <c:v>0.61157127140158951</c:v>
                </c:pt>
                <c:pt idx="28">
                  <c:v>0.59345327487566435</c:v>
                </c:pt>
                <c:pt idx="29">
                  <c:v>0.53152113119108313</c:v>
                </c:pt>
                <c:pt idx="30">
                  <c:v>0.51596551000826407</c:v>
                </c:pt>
                <c:pt idx="31">
                  <c:v>0.49412871827781496</c:v>
                </c:pt>
                <c:pt idx="32">
                  <c:v>0.56702025510941734</c:v>
                </c:pt>
                <c:pt idx="33">
                  <c:v>0.54363219493693171</c:v>
                </c:pt>
                <c:pt idx="34">
                  <c:v>0.51010535335399143</c:v>
                </c:pt>
                <c:pt idx="35">
                  <c:v>0.49290568176074984</c:v>
                </c:pt>
                <c:pt idx="36">
                  <c:v>0.44600911881164601</c:v>
                </c:pt>
                <c:pt idx="37">
                  <c:v>0.48835820805351088</c:v>
                </c:pt>
                <c:pt idx="38">
                  <c:v>0.43865311362633991</c:v>
                </c:pt>
                <c:pt idx="39">
                  <c:v>0.36966572049832164</c:v>
                </c:pt>
                <c:pt idx="40">
                  <c:v>0.38848743038825828</c:v>
                </c:pt>
                <c:pt idx="41">
                  <c:v>0.61790192220427309</c:v>
                </c:pt>
                <c:pt idx="42">
                  <c:v>0.54205917740341047</c:v>
                </c:pt>
                <c:pt idx="43">
                  <c:v>0.6176703873542424</c:v>
                </c:pt>
                <c:pt idx="44">
                  <c:v>0.55865731475366442</c:v>
                </c:pt>
                <c:pt idx="45">
                  <c:v>0.64545290151758983</c:v>
                </c:pt>
                <c:pt idx="46">
                  <c:v>0.59765791153961467</c:v>
                </c:pt>
                <c:pt idx="47">
                  <c:v>0.53381791456267214</c:v>
                </c:pt>
                <c:pt idx="48">
                  <c:v>0.49802376560439537</c:v>
                </c:pt>
                <c:pt idx="49">
                  <c:v>0.51661004479920392</c:v>
                </c:pt>
                <c:pt idx="50">
                  <c:v>0.51141143235420061</c:v>
                </c:pt>
                <c:pt idx="51">
                  <c:v>0.52610917330733464</c:v>
                </c:pt>
                <c:pt idx="52">
                  <c:v>0.54825725730571206</c:v>
                </c:pt>
                <c:pt idx="53">
                  <c:v>0.67719507767577714</c:v>
                </c:pt>
                <c:pt idx="54">
                  <c:v>0.50785132949202838</c:v>
                </c:pt>
                <c:pt idx="55">
                  <c:v>0.63431886951196292</c:v>
                </c:pt>
                <c:pt idx="56">
                  <c:v>0.58284397268873589</c:v>
                </c:pt>
                <c:pt idx="57">
                  <c:v>0.62207337399926277</c:v>
                </c:pt>
                <c:pt idx="58">
                  <c:v>0.64259378346484575</c:v>
                </c:pt>
                <c:pt idx="59">
                  <c:v>0.61484598595082107</c:v>
                </c:pt>
                <c:pt idx="60">
                  <c:v>0.6700251670071351</c:v>
                </c:pt>
                <c:pt idx="61">
                  <c:v>0.67936950884835845</c:v>
                </c:pt>
                <c:pt idx="62">
                  <c:v>0.71776274743220547</c:v>
                </c:pt>
                <c:pt idx="63">
                  <c:v>0.71039878654782773</c:v>
                </c:pt>
                <c:pt idx="64">
                  <c:v>0.70761582607796825</c:v>
                </c:pt>
                <c:pt idx="65">
                  <c:v>0.7089302663107232</c:v>
                </c:pt>
                <c:pt idx="66">
                  <c:v>0.75686308617788522</c:v>
                </c:pt>
                <c:pt idx="67">
                  <c:v>0.79295259247278227</c:v>
                </c:pt>
                <c:pt idx="68">
                  <c:v>0.76630262331587196</c:v>
                </c:pt>
                <c:pt idx="69">
                  <c:v>0.77525613938221749</c:v>
                </c:pt>
                <c:pt idx="70">
                  <c:v>0.75878391177619575</c:v>
                </c:pt>
                <c:pt idx="71">
                  <c:v>0.78820293876918956</c:v>
                </c:pt>
                <c:pt idx="72">
                  <c:v>0.73725834946180591</c:v>
                </c:pt>
                <c:pt idx="73">
                  <c:v>0.78526659120774389</c:v>
                </c:pt>
                <c:pt idx="74">
                  <c:v>0.7339798906164835</c:v>
                </c:pt>
                <c:pt idx="75">
                  <c:v>0.77300455277135904</c:v>
                </c:pt>
                <c:pt idx="76">
                  <c:v>0.72051975014707892</c:v>
                </c:pt>
                <c:pt idx="77">
                  <c:v>0.72927785018136615</c:v>
                </c:pt>
                <c:pt idx="78">
                  <c:v>0.72692893919963308</c:v>
                </c:pt>
                <c:pt idx="79">
                  <c:v>0.66560190918131146</c:v>
                </c:pt>
                <c:pt idx="80">
                  <c:v>0.66939001089356454</c:v>
                </c:pt>
                <c:pt idx="81">
                  <c:v>0.71768643641311214</c:v>
                </c:pt>
                <c:pt idx="82">
                  <c:v>0.69865209808982753</c:v>
                </c:pt>
                <c:pt idx="83">
                  <c:v>0.61894514819599866</c:v>
                </c:pt>
                <c:pt idx="84">
                  <c:v>0.68337513429636554</c:v>
                </c:pt>
                <c:pt idx="85">
                  <c:v>0.66307314154550301</c:v>
                </c:pt>
                <c:pt idx="86">
                  <c:v>0.77631499688667527</c:v>
                </c:pt>
                <c:pt idx="87">
                  <c:v>0.77544988153247507</c:v>
                </c:pt>
                <c:pt idx="88">
                  <c:v>0.74226732821585761</c:v>
                </c:pt>
                <c:pt idx="89">
                  <c:v>0.8417481478822203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342208"/>
        <c:axId val="205343744"/>
      </c:lineChart>
      <c:dateAx>
        <c:axId val="20534220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205343744"/>
        <c:crosses val="autoZero"/>
        <c:auto val="1"/>
        <c:lblOffset val="100"/>
        <c:baseTimeUnit val="months"/>
      </c:dateAx>
      <c:valAx>
        <c:axId val="205343744"/>
        <c:scaling>
          <c:orientation val="minMax"/>
          <c:max val="1"/>
          <c:min val="0.30000000000000004"/>
        </c:scaling>
        <c:delete val="0"/>
        <c:axPos val="l"/>
        <c:majorGridlines>
          <c:spPr>
            <a:ln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ysDash"/>
            </a:ln>
          </c:spPr>
        </c:majorGridlines>
        <c:numFmt formatCode="0%" sourceLinked="1"/>
        <c:majorTickMark val="out"/>
        <c:minorTickMark val="none"/>
        <c:tickLblPos val="nextTo"/>
        <c:crossAx val="205342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'Rate Differences'!$B$1</c:f>
              <c:strCache>
                <c:ptCount val="1"/>
                <c:pt idx="0">
                  <c:v>PMMS Rate</c:v>
                </c:pt>
              </c:strCache>
            </c:strRef>
          </c:tx>
          <c:marker>
            <c:symbol val="none"/>
          </c:marker>
          <c:cat>
            <c:numRef>
              <c:f>'Rate Differences'!$A$2:$A$88</c:f>
              <c:numCache>
                <c:formatCode>m/d/yyyy</c:formatCode>
                <c:ptCount val="87"/>
                <c:pt idx="0">
                  <c:v>39722</c:v>
                </c:pt>
                <c:pt idx="1">
                  <c:v>39753</c:v>
                </c:pt>
                <c:pt idx="2">
                  <c:v>39783</c:v>
                </c:pt>
                <c:pt idx="3">
                  <c:v>39814</c:v>
                </c:pt>
                <c:pt idx="4">
                  <c:v>39845</c:v>
                </c:pt>
                <c:pt idx="5">
                  <c:v>39873</c:v>
                </c:pt>
                <c:pt idx="6">
                  <c:v>39904</c:v>
                </c:pt>
                <c:pt idx="7">
                  <c:v>39934</c:v>
                </c:pt>
                <c:pt idx="8">
                  <c:v>39965</c:v>
                </c:pt>
                <c:pt idx="9">
                  <c:v>39995</c:v>
                </c:pt>
                <c:pt idx="10">
                  <c:v>40026</c:v>
                </c:pt>
                <c:pt idx="11">
                  <c:v>40057</c:v>
                </c:pt>
                <c:pt idx="12">
                  <c:v>40087</c:v>
                </c:pt>
                <c:pt idx="13">
                  <c:v>40118</c:v>
                </c:pt>
                <c:pt idx="14">
                  <c:v>40148</c:v>
                </c:pt>
                <c:pt idx="15">
                  <c:v>40179</c:v>
                </c:pt>
                <c:pt idx="16">
                  <c:v>40210</c:v>
                </c:pt>
                <c:pt idx="17">
                  <c:v>40238</c:v>
                </c:pt>
                <c:pt idx="18">
                  <c:v>40269</c:v>
                </c:pt>
                <c:pt idx="19">
                  <c:v>40299</c:v>
                </c:pt>
                <c:pt idx="20">
                  <c:v>40330</c:v>
                </c:pt>
                <c:pt idx="21">
                  <c:v>40360</c:v>
                </c:pt>
                <c:pt idx="22">
                  <c:v>40391</c:v>
                </c:pt>
                <c:pt idx="23">
                  <c:v>40422</c:v>
                </c:pt>
                <c:pt idx="24">
                  <c:v>40452</c:v>
                </c:pt>
                <c:pt idx="25">
                  <c:v>40483</c:v>
                </c:pt>
                <c:pt idx="26">
                  <c:v>40513</c:v>
                </c:pt>
                <c:pt idx="27">
                  <c:v>40544</c:v>
                </c:pt>
                <c:pt idx="28">
                  <c:v>40575</c:v>
                </c:pt>
                <c:pt idx="29">
                  <c:v>40603</c:v>
                </c:pt>
                <c:pt idx="30">
                  <c:v>40634</c:v>
                </c:pt>
                <c:pt idx="31">
                  <c:v>40664</c:v>
                </c:pt>
                <c:pt idx="32">
                  <c:v>40695</c:v>
                </c:pt>
                <c:pt idx="33">
                  <c:v>40725</c:v>
                </c:pt>
                <c:pt idx="34">
                  <c:v>40756</c:v>
                </c:pt>
                <c:pt idx="35">
                  <c:v>40787</c:v>
                </c:pt>
                <c:pt idx="36">
                  <c:v>40817</c:v>
                </c:pt>
                <c:pt idx="37">
                  <c:v>40848</c:v>
                </c:pt>
                <c:pt idx="38">
                  <c:v>40878</c:v>
                </c:pt>
                <c:pt idx="39">
                  <c:v>40909</c:v>
                </c:pt>
                <c:pt idx="40">
                  <c:v>40940</c:v>
                </c:pt>
                <c:pt idx="41">
                  <c:v>40969</c:v>
                </c:pt>
                <c:pt idx="42">
                  <c:v>41000</c:v>
                </c:pt>
                <c:pt idx="43">
                  <c:v>41030</c:v>
                </c:pt>
                <c:pt idx="44">
                  <c:v>41061</c:v>
                </c:pt>
                <c:pt idx="45">
                  <c:v>41091</c:v>
                </c:pt>
                <c:pt idx="46">
                  <c:v>41122</c:v>
                </c:pt>
                <c:pt idx="47">
                  <c:v>41153</c:v>
                </c:pt>
                <c:pt idx="48">
                  <c:v>41183</c:v>
                </c:pt>
                <c:pt idx="49">
                  <c:v>41214</c:v>
                </c:pt>
                <c:pt idx="50">
                  <c:v>41244</c:v>
                </c:pt>
                <c:pt idx="51">
                  <c:v>41275</c:v>
                </c:pt>
                <c:pt idx="52">
                  <c:v>41306</c:v>
                </c:pt>
                <c:pt idx="53">
                  <c:v>41334</c:v>
                </c:pt>
                <c:pt idx="54">
                  <c:v>41365</c:v>
                </c:pt>
                <c:pt idx="55">
                  <c:v>41395</c:v>
                </c:pt>
                <c:pt idx="56">
                  <c:v>41426</c:v>
                </c:pt>
                <c:pt idx="57">
                  <c:v>41456</c:v>
                </c:pt>
                <c:pt idx="58">
                  <c:v>41487</c:v>
                </c:pt>
                <c:pt idx="59">
                  <c:v>41518</c:v>
                </c:pt>
                <c:pt idx="60">
                  <c:v>41548</c:v>
                </c:pt>
                <c:pt idx="61">
                  <c:v>41579</c:v>
                </c:pt>
                <c:pt idx="62">
                  <c:v>41609</c:v>
                </c:pt>
                <c:pt idx="63">
                  <c:v>41640</c:v>
                </c:pt>
                <c:pt idx="64">
                  <c:v>41671</c:v>
                </c:pt>
                <c:pt idx="65">
                  <c:v>41699</c:v>
                </c:pt>
                <c:pt idx="66">
                  <c:v>41730</c:v>
                </c:pt>
                <c:pt idx="67">
                  <c:v>41760</c:v>
                </c:pt>
                <c:pt idx="68">
                  <c:v>41791</c:v>
                </c:pt>
                <c:pt idx="69">
                  <c:v>41821</c:v>
                </c:pt>
                <c:pt idx="70">
                  <c:v>41852</c:v>
                </c:pt>
                <c:pt idx="71">
                  <c:v>41883</c:v>
                </c:pt>
                <c:pt idx="72">
                  <c:v>41913</c:v>
                </c:pt>
                <c:pt idx="73">
                  <c:v>41944</c:v>
                </c:pt>
                <c:pt idx="74">
                  <c:v>41974</c:v>
                </c:pt>
                <c:pt idx="75">
                  <c:v>42005</c:v>
                </c:pt>
                <c:pt idx="76">
                  <c:v>42036</c:v>
                </c:pt>
                <c:pt idx="77">
                  <c:v>42064</c:v>
                </c:pt>
                <c:pt idx="78">
                  <c:v>42095</c:v>
                </c:pt>
                <c:pt idx="79">
                  <c:v>42125</c:v>
                </c:pt>
                <c:pt idx="80">
                  <c:v>42156</c:v>
                </c:pt>
                <c:pt idx="81">
                  <c:v>42186</c:v>
                </c:pt>
                <c:pt idx="82">
                  <c:v>42217</c:v>
                </c:pt>
                <c:pt idx="83">
                  <c:v>42248</c:v>
                </c:pt>
                <c:pt idx="84">
                  <c:v>42278</c:v>
                </c:pt>
                <c:pt idx="85">
                  <c:v>42309</c:v>
                </c:pt>
                <c:pt idx="86">
                  <c:v>42339</c:v>
                </c:pt>
              </c:numCache>
            </c:numRef>
          </c:cat>
          <c:val>
            <c:numRef>
              <c:f>'Rate Differences'!$B$2:$B$88</c:f>
              <c:numCache>
                <c:formatCode>General</c:formatCode>
                <c:ptCount val="87"/>
                <c:pt idx="0">
                  <c:v>6.1050000000000004</c:v>
                </c:pt>
                <c:pt idx="1">
                  <c:v>6.0125000000000002</c:v>
                </c:pt>
                <c:pt idx="2">
                  <c:v>5.2159999999999904</c:v>
                </c:pt>
                <c:pt idx="3">
                  <c:v>4.9662499999999996</c:v>
                </c:pt>
                <c:pt idx="4">
                  <c:v>5.0612500000000002</c:v>
                </c:pt>
                <c:pt idx="5">
                  <c:v>4.9275000000000002</c:v>
                </c:pt>
                <c:pt idx="6">
                  <c:v>4.7300000000000004</c:v>
                </c:pt>
                <c:pt idx="7">
                  <c:v>4.7762500000000001</c:v>
                </c:pt>
                <c:pt idx="8">
                  <c:v>5.3449999999999998</c:v>
                </c:pt>
                <c:pt idx="9">
                  <c:v>5.1470000000000002</c:v>
                </c:pt>
                <c:pt idx="10">
                  <c:v>5.1112500000000001</c:v>
                </c:pt>
                <c:pt idx="11">
                  <c:v>4.9539999999999997</c:v>
                </c:pt>
                <c:pt idx="12">
                  <c:v>4.88</c:v>
                </c:pt>
                <c:pt idx="13">
                  <c:v>4.8</c:v>
                </c:pt>
                <c:pt idx="14">
                  <c:v>4.8550000000000004</c:v>
                </c:pt>
                <c:pt idx="15">
                  <c:v>4.9487500000000004</c:v>
                </c:pt>
                <c:pt idx="16">
                  <c:v>4.9149999999999903</c:v>
                </c:pt>
                <c:pt idx="17">
                  <c:v>4.91</c:v>
                </c:pt>
                <c:pt idx="18">
                  <c:v>5.0149999999999997</c:v>
                </c:pt>
                <c:pt idx="19">
                  <c:v>4.8125</c:v>
                </c:pt>
                <c:pt idx="20">
                  <c:v>4.6359999999999904</c:v>
                </c:pt>
                <c:pt idx="21">
                  <c:v>4.4849999999999897</c:v>
                </c:pt>
                <c:pt idx="22">
                  <c:v>4.3525</c:v>
                </c:pt>
                <c:pt idx="23">
                  <c:v>4.2759999999999998</c:v>
                </c:pt>
                <c:pt idx="24">
                  <c:v>4.1749999999999998</c:v>
                </c:pt>
                <c:pt idx="25">
                  <c:v>4.2562499999999996</c:v>
                </c:pt>
                <c:pt idx="26">
                  <c:v>4.6489999999999903</c:v>
                </c:pt>
                <c:pt idx="27">
                  <c:v>4.6987500000000004</c:v>
                </c:pt>
                <c:pt idx="28">
                  <c:v>4.8775000000000004</c:v>
                </c:pt>
                <c:pt idx="29">
                  <c:v>4.7610000000000001</c:v>
                </c:pt>
                <c:pt idx="30">
                  <c:v>4.75875</c:v>
                </c:pt>
                <c:pt idx="31">
                  <c:v>4.5625</c:v>
                </c:pt>
                <c:pt idx="32">
                  <c:v>4.4349999999999996</c:v>
                </c:pt>
                <c:pt idx="33">
                  <c:v>4.4762499999999896</c:v>
                </c:pt>
                <c:pt idx="34">
                  <c:v>4.1900000000000004</c:v>
                </c:pt>
                <c:pt idx="35">
                  <c:v>4.0025000000000004</c:v>
                </c:pt>
                <c:pt idx="36">
                  <c:v>4.0175000000000001</c:v>
                </c:pt>
                <c:pt idx="37">
                  <c:v>3.919</c:v>
                </c:pt>
                <c:pt idx="38">
                  <c:v>3.8787500000000001</c:v>
                </c:pt>
                <c:pt idx="39">
                  <c:v>3.8525</c:v>
                </c:pt>
                <c:pt idx="40">
                  <c:v>3.8420000000000001</c:v>
                </c:pt>
                <c:pt idx="41">
                  <c:v>3.9112499999999999</c:v>
                </c:pt>
                <c:pt idx="42">
                  <c:v>3.8412500000000001</c:v>
                </c:pt>
                <c:pt idx="43">
                  <c:v>3.738</c:v>
                </c:pt>
                <c:pt idx="44">
                  <c:v>3.6</c:v>
                </c:pt>
                <c:pt idx="45">
                  <c:v>3.4812500000000002</c:v>
                </c:pt>
                <c:pt idx="46">
                  <c:v>3.512</c:v>
                </c:pt>
                <c:pt idx="47">
                  <c:v>3.4037500000000001</c:v>
                </c:pt>
                <c:pt idx="48">
                  <c:v>3.3039999999999998</c:v>
                </c:pt>
                <c:pt idx="49">
                  <c:v>3.2737500000000002</c:v>
                </c:pt>
                <c:pt idx="50">
                  <c:v>3.27</c:v>
                </c:pt>
                <c:pt idx="51">
                  <c:v>3.339</c:v>
                </c:pt>
                <c:pt idx="52">
                  <c:v>3.4824999999999999</c:v>
                </c:pt>
                <c:pt idx="53">
                  <c:v>3.50875</c:v>
                </c:pt>
                <c:pt idx="54">
                  <c:v>3.3887499999999999</c:v>
                </c:pt>
                <c:pt idx="55">
                  <c:v>3.4660000000000002</c:v>
                </c:pt>
                <c:pt idx="56">
                  <c:v>4.0075000000000003</c:v>
                </c:pt>
                <c:pt idx="57">
                  <c:v>4.3090000000000002</c:v>
                </c:pt>
                <c:pt idx="58">
                  <c:v>4.4037499999999996</c:v>
                </c:pt>
                <c:pt idx="59">
                  <c:v>4.4212499999999997</c:v>
                </c:pt>
                <c:pt idx="60">
                  <c:v>4.1219999999999999</c:v>
                </c:pt>
                <c:pt idx="61">
                  <c:v>4.1862499999999896</c:v>
                </c:pt>
                <c:pt idx="62">
                  <c:v>4.37</c:v>
                </c:pt>
                <c:pt idx="63">
                  <c:v>4.3620000000000001</c:v>
                </c:pt>
                <c:pt idx="64">
                  <c:v>4.2274999999999903</c:v>
                </c:pt>
                <c:pt idx="65">
                  <c:v>4.2487500000000002</c:v>
                </c:pt>
                <c:pt idx="66">
                  <c:v>4.2479999999999896</c:v>
                </c:pt>
                <c:pt idx="67">
                  <c:v>4.0674999999999999</c:v>
                </c:pt>
                <c:pt idx="68">
                  <c:v>4.05</c:v>
                </c:pt>
                <c:pt idx="69">
                  <c:v>4.03</c:v>
                </c:pt>
                <c:pt idx="70">
                  <c:v>4.00875</c:v>
                </c:pt>
                <c:pt idx="71">
                  <c:v>4.0374999999999996</c:v>
                </c:pt>
                <c:pt idx="72">
                  <c:v>3.9060000000000001</c:v>
                </c:pt>
                <c:pt idx="73">
                  <c:v>3.8725000000000001</c:v>
                </c:pt>
                <c:pt idx="74">
                  <c:v>3.754</c:v>
                </c:pt>
                <c:pt idx="75">
                  <c:v>3.5762499999999999</c:v>
                </c:pt>
                <c:pt idx="76">
                  <c:v>3.61625</c:v>
                </c:pt>
                <c:pt idx="77">
                  <c:v>3.67</c:v>
                </c:pt>
                <c:pt idx="78">
                  <c:v>3.577</c:v>
                </c:pt>
                <c:pt idx="79">
                  <c:v>3.7462499999999999</c:v>
                </c:pt>
                <c:pt idx="80">
                  <c:v>3.895</c:v>
                </c:pt>
                <c:pt idx="81">
                  <c:v>3.9460000000000002</c:v>
                </c:pt>
                <c:pt idx="82">
                  <c:v>3.8050000000000002</c:v>
                </c:pt>
                <c:pt idx="83">
                  <c:v>3.7869999999999999</c:v>
                </c:pt>
                <c:pt idx="84">
                  <c:v>3.6825000000000001</c:v>
                </c:pt>
                <c:pt idx="85">
                  <c:v>3.8487499999999999</c:v>
                </c:pt>
                <c:pt idx="86">
                  <c:v>3.83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'Rate Differences'!$C$1</c:f>
              <c:strCache>
                <c:ptCount val="1"/>
                <c:pt idx="0">
                  <c:v>Jumbo Rate</c:v>
                </c:pt>
              </c:strCache>
            </c:strRef>
          </c:tx>
          <c:marker>
            <c:symbol val="none"/>
          </c:marker>
          <c:cat>
            <c:numRef>
              <c:f>'Rate Differences'!$A$2:$A$88</c:f>
              <c:numCache>
                <c:formatCode>m/d/yyyy</c:formatCode>
                <c:ptCount val="87"/>
                <c:pt idx="0">
                  <c:v>39722</c:v>
                </c:pt>
                <c:pt idx="1">
                  <c:v>39753</c:v>
                </c:pt>
                <c:pt idx="2">
                  <c:v>39783</c:v>
                </c:pt>
                <c:pt idx="3">
                  <c:v>39814</c:v>
                </c:pt>
                <c:pt idx="4">
                  <c:v>39845</c:v>
                </c:pt>
                <c:pt idx="5">
                  <c:v>39873</c:v>
                </c:pt>
                <c:pt idx="6">
                  <c:v>39904</c:v>
                </c:pt>
                <c:pt idx="7">
                  <c:v>39934</c:v>
                </c:pt>
                <c:pt idx="8">
                  <c:v>39965</c:v>
                </c:pt>
                <c:pt idx="9">
                  <c:v>39995</c:v>
                </c:pt>
                <c:pt idx="10">
                  <c:v>40026</c:v>
                </c:pt>
                <c:pt idx="11">
                  <c:v>40057</c:v>
                </c:pt>
                <c:pt idx="12">
                  <c:v>40087</c:v>
                </c:pt>
                <c:pt idx="13">
                  <c:v>40118</c:v>
                </c:pt>
                <c:pt idx="14">
                  <c:v>40148</c:v>
                </c:pt>
                <c:pt idx="15">
                  <c:v>40179</c:v>
                </c:pt>
                <c:pt idx="16">
                  <c:v>40210</c:v>
                </c:pt>
                <c:pt idx="17">
                  <c:v>40238</c:v>
                </c:pt>
                <c:pt idx="18">
                  <c:v>40269</c:v>
                </c:pt>
                <c:pt idx="19">
                  <c:v>40299</c:v>
                </c:pt>
                <c:pt idx="20">
                  <c:v>40330</c:v>
                </c:pt>
                <c:pt idx="21">
                  <c:v>40360</c:v>
                </c:pt>
                <c:pt idx="22">
                  <c:v>40391</c:v>
                </c:pt>
                <c:pt idx="23">
                  <c:v>40422</c:v>
                </c:pt>
                <c:pt idx="24">
                  <c:v>40452</c:v>
                </c:pt>
                <c:pt idx="25">
                  <c:v>40483</c:v>
                </c:pt>
                <c:pt idx="26">
                  <c:v>40513</c:v>
                </c:pt>
                <c:pt idx="27">
                  <c:v>40544</c:v>
                </c:pt>
                <c:pt idx="28">
                  <c:v>40575</c:v>
                </c:pt>
                <c:pt idx="29">
                  <c:v>40603</c:v>
                </c:pt>
                <c:pt idx="30">
                  <c:v>40634</c:v>
                </c:pt>
                <c:pt idx="31">
                  <c:v>40664</c:v>
                </c:pt>
                <c:pt idx="32">
                  <c:v>40695</c:v>
                </c:pt>
                <c:pt idx="33">
                  <c:v>40725</c:v>
                </c:pt>
                <c:pt idx="34">
                  <c:v>40756</c:v>
                </c:pt>
                <c:pt idx="35">
                  <c:v>40787</c:v>
                </c:pt>
                <c:pt idx="36">
                  <c:v>40817</c:v>
                </c:pt>
                <c:pt idx="37">
                  <c:v>40848</c:v>
                </c:pt>
                <c:pt idx="38">
                  <c:v>40878</c:v>
                </c:pt>
                <c:pt idx="39">
                  <c:v>40909</c:v>
                </c:pt>
                <c:pt idx="40">
                  <c:v>40940</c:v>
                </c:pt>
                <c:pt idx="41">
                  <c:v>40969</c:v>
                </c:pt>
                <c:pt idx="42">
                  <c:v>41000</c:v>
                </c:pt>
                <c:pt idx="43">
                  <c:v>41030</c:v>
                </c:pt>
                <c:pt idx="44">
                  <c:v>41061</c:v>
                </c:pt>
                <c:pt idx="45">
                  <c:v>41091</c:v>
                </c:pt>
                <c:pt idx="46">
                  <c:v>41122</c:v>
                </c:pt>
                <c:pt idx="47">
                  <c:v>41153</c:v>
                </c:pt>
                <c:pt idx="48">
                  <c:v>41183</c:v>
                </c:pt>
                <c:pt idx="49">
                  <c:v>41214</c:v>
                </c:pt>
                <c:pt idx="50">
                  <c:v>41244</c:v>
                </c:pt>
                <c:pt idx="51">
                  <c:v>41275</c:v>
                </c:pt>
                <c:pt idx="52">
                  <c:v>41306</c:v>
                </c:pt>
                <c:pt idx="53">
                  <c:v>41334</c:v>
                </c:pt>
                <c:pt idx="54">
                  <c:v>41365</c:v>
                </c:pt>
                <c:pt idx="55">
                  <c:v>41395</c:v>
                </c:pt>
                <c:pt idx="56">
                  <c:v>41426</c:v>
                </c:pt>
                <c:pt idx="57">
                  <c:v>41456</c:v>
                </c:pt>
                <c:pt idx="58">
                  <c:v>41487</c:v>
                </c:pt>
                <c:pt idx="59">
                  <c:v>41518</c:v>
                </c:pt>
                <c:pt idx="60">
                  <c:v>41548</c:v>
                </c:pt>
                <c:pt idx="61">
                  <c:v>41579</c:v>
                </c:pt>
                <c:pt idx="62">
                  <c:v>41609</c:v>
                </c:pt>
                <c:pt idx="63">
                  <c:v>41640</c:v>
                </c:pt>
                <c:pt idx="64">
                  <c:v>41671</c:v>
                </c:pt>
                <c:pt idx="65">
                  <c:v>41699</c:v>
                </c:pt>
                <c:pt idx="66">
                  <c:v>41730</c:v>
                </c:pt>
                <c:pt idx="67">
                  <c:v>41760</c:v>
                </c:pt>
                <c:pt idx="68">
                  <c:v>41791</c:v>
                </c:pt>
                <c:pt idx="69">
                  <c:v>41821</c:v>
                </c:pt>
                <c:pt idx="70">
                  <c:v>41852</c:v>
                </c:pt>
                <c:pt idx="71">
                  <c:v>41883</c:v>
                </c:pt>
                <c:pt idx="72">
                  <c:v>41913</c:v>
                </c:pt>
                <c:pt idx="73">
                  <c:v>41944</c:v>
                </c:pt>
                <c:pt idx="74">
                  <c:v>41974</c:v>
                </c:pt>
                <c:pt idx="75">
                  <c:v>42005</c:v>
                </c:pt>
                <c:pt idx="76">
                  <c:v>42036</c:v>
                </c:pt>
                <c:pt idx="77">
                  <c:v>42064</c:v>
                </c:pt>
                <c:pt idx="78">
                  <c:v>42095</c:v>
                </c:pt>
                <c:pt idx="79">
                  <c:v>42125</c:v>
                </c:pt>
                <c:pt idx="80">
                  <c:v>42156</c:v>
                </c:pt>
                <c:pt idx="81">
                  <c:v>42186</c:v>
                </c:pt>
                <c:pt idx="82">
                  <c:v>42217</c:v>
                </c:pt>
                <c:pt idx="83">
                  <c:v>42248</c:v>
                </c:pt>
                <c:pt idx="84">
                  <c:v>42278</c:v>
                </c:pt>
                <c:pt idx="85">
                  <c:v>42309</c:v>
                </c:pt>
                <c:pt idx="86">
                  <c:v>42339</c:v>
                </c:pt>
              </c:numCache>
            </c:numRef>
          </c:cat>
          <c:val>
            <c:numRef>
              <c:f>'Rate Differences'!$C$2:$C$88</c:f>
              <c:numCache>
                <c:formatCode>General</c:formatCode>
                <c:ptCount val="87"/>
                <c:pt idx="0">
                  <c:v>6.2120830074751696</c:v>
                </c:pt>
                <c:pt idx="1">
                  <c:v>6.0449934798132903</c:v>
                </c:pt>
                <c:pt idx="2">
                  <c:v>5.3956309748460596</c:v>
                </c:pt>
                <c:pt idx="3">
                  <c:v>5.1525802006855397</c:v>
                </c:pt>
                <c:pt idx="4">
                  <c:v>5.3384231571682301</c:v>
                </c:pt>
                <c:pt idx="5">
                  <c:v>5.2418526098352896</c:v>
                </c:pt>
                <c:pt idx="6">
                  <c:v>5.0419526810643296</c:v>
                </c:pt>
                <c:pt idx="7">
                  <c:v>5.1807310195560596</c:v>
                </c:pt>
                <c:pt idx="8">
                  <c:v>5.6971207267755704</c:v>
                </c:pt>
                <c:pt idx="9">
                  <c:v>5.5546057532600104</c:v>
                </c:pt>
                <c:pt idx="10">
                  <c:v>5.4686735039534504</c:v>
                </c:pt>
                <c:pt idx="11">
                  <c:v>5.2861124173272396</c:v>
                </c:pt>
                <c:pt idx="12">
                  <c:v>5.2019100525212698</c:v>
                </c:pt>
                <c:pt idx="13">
                  <c:v>5.07876627166221</c:v>
                </c:pt>
                <c:pt idx="14">
                  <c:v>5.0466136363993703</c:v>
                </c:pt>
                <c:pt idx="15">
                  <c:v>5.1146041678810299</c:v>
                </c:pt>
                <c:pt idx="16">
                  <c:v>5.0727193305039799</c:v>
                </c:pt>
                <c:pt idx="17">
                  <c:v>5.0756795268804904</c:v>
                </c:pt>
                <c:pt idx="18">
                  <c:v>5.1918191013729498</c:v>
                </c:pt>
                <c:pt idx="19">
                  <c:v>4.9507729307363402</c:v>
                </c:pt>
                <c:pt idx="20">
                  <c:v>4.7449397808713503</c:v>
                </c:pt>
                <c:pt idx="21">
                  <c:v>4.5646013588973204</c:v>
                </c:pt>
                <c:pt idx="22">
                  <c:v>4.4194439533094299</c:v>
                </c:pt>
                <c:pt idx="23">
                  <c:v>4.3383997014559803</c:v>
                </c:pt>
                <c:pt idx="24">
                  <c:v>4.2380927211069404</c:v>
                </c:pt>
                <c:pt idx="25">
                  <c:v>4.3217021600346897</c:v>
                </c:pt>
                <c:pt idx="26">
                  <c:v>4.7224447860714998</c:v>
                </c:pt>
                <c:pt idx="27">
                  <c:v>4.7762678708668203</c:v>
                </c:pt>
                <c:pt idx="28">
                  <c:v>4.9324800180571602</c:v>
                </c:pt>
                <c:pt idx="29">
                  <c:v>4.7824779026591404</c:v>
                </c:pt>
                <c:pt idx="30">
                  <c:v>4.7335144039638797</c:v>
                </c:pt>
                <c:pt idx="31">
                  <c:v>4.5055538676710301</c:v>
                </c:pt>
                <c:pt idx="32">
                  <c:v>4.3432217306994598</c:v>
                </c:pt>
                <c:pt idx="33">
                  <c:v>4.3716474258097202</c:v>
                </c:pt>
                <c:pt idx="34">
                  <c:v>4.0722275307457698</c:v>
                </c:pt>
                <c:pt idx="35">
                  <c:v>3.8965008685552198</c:v>
                </c:pt>
                <c:pt idx="36">
                  <c:v>3.9404376364006901</c:v>
                </c:pt>
                <c:pt idx="37">
                  <c:v>3.8732765776790701</c:v>
                </c:pt>
                <c:pt idx="38">
                  <c:v>3.8778210839776999</c:v>
                </c:pt>
                <c:pt idx="39">
                  <c:v>3.8790750336573501</c:v>
                </c:pt>
                <c:pt idx="40">
                  <c:v>3.9108175007338501</c:v>
                </c:pt>
                <c:pt idx="41">
                  <c:v>4.0047235772367697</c:v>
                </c:pt>
                <c:pt idx="42">
                  <c:v>3.9467437331526498</c:v>
                </c:pt>
                <c:pt idx="43">
                  <c:v>3.8381818565535601</c:v>
                </c:pt>
                <c:pt idx="44">
                  <c:v>3.67245427665677</c:v>
                </c:pt>
                <c:pt idx="45">
                  <c:v>3.5414071551156598</c:v>
                </c:pt>
                <c:pt idx="46">
                  <c:v>3.5681726577671999</c:v>
                </c:pt>
                <c:pt idx="47">
                  <c:v>3.4657369605024702</c:v>
                </c:pt>
                <c:pt idx="48">
                  <c:v>3.3690583349368701</c:v>
                </c:pt>
                <c:pt idx="49">
                  <c:v>3.34367330554951</c:v>
                </c:pt>
                <c:pt idx="50">
                  <c:v>3.35409771334038</c:v>
                </c:pt>
                <c:pt idx="51">
                  <c:v>3.4330043102427901</c:v>
                </c:pt>
                <c:pt idx="52">
                  <c:v>3.57699487263285</c:v>
                </c:pt>
                <c:pt idx="53">
                  <c:v>3.59603114309088</c:v>
                </c:pt>
                <c:pt idx="54">
                  <c:v>3.4655269480099999</c:v>
                </c:pt>
                <c:pt idx="55">
                  <c:v>3.53895047597736</c:v>
                </c:pt>
                <c:pt idx="56">
                  <c:v>4.0693267260012602</c:v>
                </c:pt>
                <c:pt idx="57">
                  <c:v>4.3571972071547904</c:v>
                </c:pt>
                <c:pt idx="58">
                  <c:v>4.4332666736445603</c:v>
                </c:pt>
                <c:pt idx="59">
                  <c:v>4.4275749019395096</c:v>
                </c:pt>
                <c:pt idx="60">
                  <c:v>4.1296081182439597</c:v>
                </c:pt>
                <c:pt idx="61">
                  <c:v>4.1839223885830599</c:v>
                </c:pt>
                <c:pt idx="62">
                  <c:v>4.3622263196340496</c:v>
                </c:pt>
                <c:pt idx="63">
                  <c:v>4.3456507382677696</c:v>
                </c:pt>
                <c:pt idx="64">
                  <c:v>4.2176853665775003</c:v>
                </c:pt>
                <c:pt idx="65">
                  <c:v>4.2446502584699397</c:v>
                </c:pt>
                <c:pt idx="66">
                  <c:v>4.2391278128867604</c:v>
                </c:pt>
                <c:pt idx="67">
                  <c:v>4.0554996591999197</c:v>
                </c:pt>
                <c:pt idx="68">
                  <c:v>4.04090661510185</c:v>
                </c:pt>
                <c:pt idx="69">
                  <c:v>4.02030722420945</c:v>
                </c:pt>
                <c:pt idx="70">
                  <c:v>3.98771540548183</c:v>
                </c:pt>
                <c:pt idx="71">
                  <c:v>4.0262541846448503</c:v>
                </c:pt>
                <c:pt idx="72">
                  <c:v>3.8862305355441</c:v>
                </c:pt>
                <c:pt idx="73">
                  <c:v>3.8366546532383499</c:v>
                </c:pt>
                <c:pt idx="74">
                  <c:v>3.7136077354555002</c:v>
                </c:pt>
                <c:pt idx="75">
                  <c:v>3.5361851060963501</c:v>
                </c:pt>
                <c:pt idx="76">
                  <c:v>3.5679843266399001</c:v>
                </c:pt>
                <c:pt idx="77">
                  <c:v>3.6109384304935399</c:v>
                </c:pt>
                <c:pt idx="78">
                  <c:v>3.5285237157778</c:v>
                </c:pt>
                <c:pt idx="79">
                  <c:v>3.7180163093762002</c:v>
                </c:pt>
                <c:pt idx="80">
                  <c:v>3.8677106347465</c:v>
                </c:pt>
                <c:pt idx="81">
                  <c:v>3.92242920615546</c:v>
                </c:pt>
                <c:pt idx="82">
                  <c:v>3.7698427881356</c:v>
                </c:pt>
                <c:pt idx="83">
                  <c:v>3.7415268696059201</c:v>
                </c:pt>
                <c:pt idx="84">
                  <c:v>3.6240012099730698</c:v>
                </c:pt>
                <c:pt idx="85">
                  <c:v>3.7726245840750301</c:v>
                </c:pt>
                <c:pt idx="86">
                  <c:v>3.7009960786874401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3862144"/>
        <c:axId val="73908992"/>
      </c:lineChart>
      <c:dateAx>
        <c:axId val="7386214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73908992"/>
        <c:crosses val="autoZero"/>
        <c:auto val="1"/>
        <c:lblOffset val="100"/>
        <c:baseTimeUnit val="months"/>
      </c:dateAx>
      <c:valAx>
        <c:axId val="73908992"/>
        <c:scaling>
          <c:orientation val="minMax"/>
          <c:min val="3"/>
        </c:scaling>
        <c:delete val="0"/>
        <c:axPos val="l"/>
        <c:majorGridlines>
          <c:spPr>
            <a:ln>
              <a:prstDash val="sysDash"/>
            </a:ln>
          </c:spPr>
        </c:majorGridlines>
        <c:numFmt formatCode="#,##0.00" sourceLinked="0"/>
        <c:majorTickMark val="out"/>
        <c:minorTickMark val="none"/>
        <c:tickLblPos val="nextTo"/>
        <c:crossAx val="73862144"/>
        <c:crosses val="autoZero"/>
        <c:crossBetween val="between"/>
      </c:valAx>
    </c:plotArea>
    <c:legend>
      <c:legendPos val="b"/>
      <c:layout/>
      <c:overlay val="0"/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Diff = Rate(Large) - Rate(Small)</c:v>
          </c:tx>
          <c:marker>
            <c:symbol val="none"/>
          </c:marker>
          <c:cat>
            <c:numRef>
              <c:f>'Rate Differences - Credit'!$Q$3:$Q$155</c:f>
              <c:numCache>
                <c:formatCode>m/d/yyyy</c:formatCode>
                <c:ptCount val="153"/>
                <c:pt idx="0">
                  <c:v>37712</c:v>
                </c:pt>
                <c:pt idx="1">
                  <c:v>37742</c:v>
                </c:pt>
                <c:pt idx="2">
                  <c:v>37773</c:v>
                </c:pt>
                <c:pt idx="3">
                  <c:v>37803</c:v>
                </c:pt>
                <c:pt idx="4">
                  <c:v>37834</c:v>
                </c:pt>
                <c:pt idx="5">
                  <c:v>37865</c:v>
                </c:pt>
                <c:pt idx="6">
                  <c:v>37895</c:v>
                </c:pt>
                <c:pt idx="7">
                  <c:v>37926</c:v>
                </c:pt>
                <c:pt idx="8">
                  <c:v>37956</c:v>
                </c:pt>
                <c:pt idx="9">
                  <c:v>37987</c:v>
                </c:pt>
                <c:pt idx="10">
                  <c:v>38018</c:v>
                </c:pt>
                <c:pt idx="11">
                  <c:v>38047</c:v>
                </c:pt>
                <c:pt idx="12">
                  <c:v>38078</c:v>
                </c:pt>
                <c:pt idx="13">
                  <c:v>38108</c:v>
                </c:pt>
                <c:pt idx="14">
                  <c:v>38139</c:v>
                </c:pt>
                <c:pt idx="15">
                  <c:v>38169</c:v>
                </c:pt>
                <c:pt idx="16">
                  <c:v>38200</c:v>
                </c:pt>
                <c:pt idx="17">
                  <c:v>38231</c:v>
                </c:pt>
                <c:pt idx="18">
                  <c:v>38261</c:v>
                </c:pt>
                <c:pt idx="19">
                  <c:v>38292</c:v>
                </c:pt>
                <c:pt idx="20">
                  <c:v>38322</c:v>
                </c:pt>
                <c:pt idx="21">
                  <c:v>38353</c:v>
                </c:pt>
                <c:pt idx="22">
                  <c:v>38384</c:v>
                </c:pt>
                <c:pt idx="23">
                  <c:v>38412</c:v>
                </c:pt>
                <c:pt idx="24">
                  <c:v>38443</c:v>
                </c:pt>
                <c:pt idx="25">
                  <c:v>38473</c:v>
                </c:pt>
                <c:pt idx="26">
                  <c:v>38504</c:v>
                </c:pt>
                <c:pt idx="27">
                  <c:v>38534</c:v>
                </c:pt>
                <c:pt idx="28">
                  <c:v>38565</c:v>
                </c:pt>
                <c:pt idx="29">
                  <c:v>38596</c:v>
                </c:pt>
                <c:pt idx="30">
                  <c:v>38626</c:v>
                </c:pt>
                <c:pt idx="31">
                  <c:v>38657</c:v>
                </c:pt>
                <c:pt idx="32">
                  <c:v>38687</c:v>
                </c:pt>
                <c:pt idx="33">
                  <c:v>38718</c:v>
                </c:pt>
                <c:pt idx="34">
                  <c:v>38749</c:v>
                </c:pt>
                <c:pt idx="35">
                  <c:v>38777</c:v>
                </c:pt>
                <c:pt idx="36">
                  <c:v>38808</c:v>
                </c:pt>
                <c:pt idx="37">
                  <c:v>38838</c:v>
                </c:pt>
                <c:pt idx="38">
                  <c:v>38869</c:v>
                </c:pt>
                <c:pt idx="39">
                  <c:v>38899</c:v>
                </c:pt>
                <c:pt idx="40">
                  <c:v>38930</c:v>
                </c:pt>
                <c:pt idx="41">
                  <c:v>38961</c:v>
                </c:pt>
                <c:pt idx="42">
                  <c:v>38991</c:v>
                </c:pt>
                <c:pt idx="43">
                  <c:v>39022</c:v>
                </c:pt>
                <c:pt idx="44">
                  <c:v>39052</c:v>
                </c:pt>
                <c:pt idx="45">
                  <c:v>39083</c:v>
                </c:pt>
                <c:pt idx="46">
                  <c:v>39114</c:v>
                </c:pt>
                <c:pt idx="47">
                  <c:v>39142</c:v>
                </c:pt>
                <c:pt idx="48">
                  <c:v>39173</c:v>
                </c:pt>
                <c:pt idx="49">
                  <c:v>39203</c:v>
                </c:pt>
                <c:pt idx="50">
                  <c:v>39234</c:v>
                </c:pt>
                <c:pt idx="51">
                  <c:v>39264</c:v>
                </c:pt>
                <c:pt idx="52">
                  <c:v>39295</c:v>
                </c:pt>
                <c:pt idx="53">
                  <c:v>39326</c:v>
                </c:pt>
                <c:pt idx="54">
                  <c:v>39356</c:v>
                </c:pt>
                <c:pt idx="55">
                  <c:v>39387</c:v>
                </c:pt>
                <c:pt idx="56">
                  <c:v>39417</c:v>
                </c:pt>
                <c:pt idx="57">
                  <c:v>39448</c:v>
                </c:pt>
                <c:pt idx="58">
                  <c:v>39479</c:v>
                </c:pt>
                <c:pt idx="59">
                  <c:v>39508</c:v>
                </c:pt>
                <c:pt idx="60">
                  <c:v>39539</c:v>
                </c:pt>
                <c:pt idx="61">
                  <c:v>39569</c:v>
                </c:pt>
                <c:pt idx="62">
                  <c:v>39600</c:v>
                </c:pt>
                <c:pt idx="63">
                  <c:v>39630</c:v>
                </c:pt>
                <c:pt idx="64">
                  <c:v>39661</c:v>
                </c:pt>
                <c:pt idx="65">
                  <c:v>39692</c:v>
                </c:pt>
                <c:pt idx="66">
                  <c:v>39722</c:v>
                </c:pt>
                <c:pt idx="67">
                  <c:v>39753</c:v>
                </c:pt>
                <c:pt idx="68">
                  <c:v>39783</c:v>
                </c:pt>
                <c:pt idx="69">
                  <c:v>39814</c:v>
                </c:pt>
                <c:pt idx="70">
                  <c:v>39845</c:v>
                </c:pt>
                <c:pt idx="71">
                  <c:v>39873</c:v>
                </c:pt>
                <c:pt idx="72">
                  <c:v>39904</c:v>
                </c:pt>
                <c:pt idx="73">
                  <c:v>39934</c:v>
                </c:pt>
                <c:pt idx="74">
                  <c:v>39965</c:v>
                </c:pt>
                <c:pt idx="75">
                  <c:v>39995</c:v>
                </c:pt>
                <c:pt idx="76">
                  <c:v>40026</c:v>
                </c:pt>
                <c:pt idx="77">
                  <c:v>40057</c:v>
                </c:pt>
                <c:pt idx="78">
                  <c:v>40087</c:v>
                </c:pt>
                <c:pt idx="79">
                  <c:v>40118</c:v>
                </c:pt>
                <c:pt idx="80">
                  <c:v>40148</c:v>
                </c:pt>
                <c:pt idx="81">
                  <c:v>40179</c:v>
                </c:pt>
                <c:pt idx="82">
                  <c:v>40210</c:v>
                </c:pt>
                <c:pt idx="83">
                  <c:v>40238</c:v>
                </c:pt>
                <c:pt idx="84">
                  <c:v>40269</c:v>
                </c:pt>
                <c:pt idx="85">
                  <c:v>40299</c:v>
                </c:pt>
                <c:pt idx="86">
                  <c:v>40330</c:v>
                </c:pt>
                <c:pt idx="87">
                  <c:v>40360</c:v>
                </c:pt>
                <c:pt idx="88">
                  <c:v>40391</c:v>
                </c:pt>
                <c:pt idx="89">
                  <c:v>40422</c:v>
                </c:pt>
                <c:pt idx="90">
                  <c:v>40452</c:v>
                </c:pt>
                <c:pt idx="91">
                  <c:v>40483</c:v>
                </c:pt>
                <c:pt idx="92">
                  <c:v>40513</c:v>
                </c:pt>
                <c:pt idx="93">
                  <c:v>40544</c:v>
                </c:pt>
                <c:pt idx="94">
                  <c:v>40575</c:v>
                </c:pt>
                <c:pt idx="95">
                  <c:v>40603</c:v>
                </c:pt>
                <c:pt idx="96">
                  <c:v>40634</c:v>
                </c:pt>
                <c:pt idx="97">
                  <c:v>40664</c:v>
                </c:pt>
                <c:pt idx="98">
                  <c:v>40695</c:v>
                </c:pt>
                <c:pt idx="99">
                  <c:v>40725</c:v>
                </c:pt>
                <c:pt idx="100">
                  <c:v>40756</c:v>
                </c:pt>
                <c:pt idx="101">
                  <c:v>40787</c:v>
                </c:pt>
                <c:pt idx="102">
                  <c:v>40817</c:v>
                </c:pt>
                <c:pt idx="103">
                  <c:v>40848</c:v>
                </c:pt>
                <c:pt idx="104">
                  <c:v>40878</c:v>
                </c:pt>
                <c:pt idx="105">
                  <c:v>40909</c:v>
                </c:pt>
                <c:pt idx="106">
                  <c:v>40940</c:v>
                </c:pt>
                <c:pt idx="107">
                  <c:v>40969</c:v>
                </c:pt>
                <c:pt idx="108">
                  <c:v>41000</c:v>
                </c:pt>
                <c:pt idx="109">
                  <c:v>41030</c:v>
                </c:pt>
                <c:pt idx="110">
                  <c:v>41061</c:v>
                </c:pt>
                <c:pt idx="111">
                  <c:v>41091</c:v>
                </c:pt>
                <c:pt idx="112">
                  <c:v>41122</c:v>
                </c:pt>
                <c:pt idx="113">
                  <c:v>41153</c:v>
                </c:pt>
                <c:pt idx="114">
                  <c:v>41183</c:v>
                </c:pt>
                <c:pt idx="115">
                  <c:v>41214</c:v>
                </c:pt>
                <c:pt idx="116">
                  <c:v>41244</c:v>
                </c:pt>
                <c:pt idx="117">
                  <c:v>41275</c:v>
                </c:pt>
                <c:pt idx="118">
                  <c:v>41306</c:v>
                </c:pt>
                <c:pt idx="119">
                  <c:v>41334</c:v>
                </c:pt>
                <c:pt idx="120">
                  <c:v>41365</c:v>
                </c:pt>
                <c:pt idx="121">
                  <c:v>41395</c:v>
                </c:pt>
                <c:pt idx="122">
                  <c:v>41426</c:v>
                </c:pt>
                <c:pt idx="123">
                  <c:v>41456</c:v>
                </c:pt>
                <c:pt idx="124">
                  <c:v>41487</c:v>
                </c:pt>
                <c:pt idx="125">
                  <c:v>41518</c:v>
                </c:pt>
                <c:pt idx="126">
                  <c:v>41548</c:v>
                </c:pt>
                <c:pt idx="127">
                  <c:v>41579</c:v>
                </c:pt>
                <c:pt idx="128">
                  <c:v>41609</c:v>
                </c:pt>
                <c:pt idx="129">
                  <c:v>41640</c:v>
                </c:pt>
                <c:pt idx="130">
                  <c:v>41671</c:v>
                </c:pt>
                <c:pt idx="131">
                  <c:v>41699</c:v>
                </c:pt>
                <c:pt idx="132">
                  <c:v>41730</c:v>
                </c:pt>
                <c:pt idx="133">
                  <c:v>41760</c:v>
                </c:pt>
                <c:pt idx="134">
                  <c:v>41791</c:v>
                </c:pt>
                <c:pt idx="135">
                  <c:v>41821</c:v>
                </c:pt>
                <c:pt idx="136">
                  <c:v>41852</c:v>
                </c:pt>
                <c:pt idx="137">
                  <c:v>41883</c:v>
                </c:pt>
                <c:pt idx="138">
                  <c:v>41913</c:v>
                </c:pt>
                <c:pt idx="139">
                  <c:v>41944</c:v>
                </c:pt>
                <c:pt idx="140">
                  <c:v>41974</c:v>
                </c:pt>
                <c:pt idx="141">
                  <c:v>42005</c:v>
                </c:pt>
                <c:pt idx="142">
                  <c:v>42036</c:v>
                </c:pt>
                <c:pt idx="143">
                  <c:v>42064</c:v>
                </c:pt>
                <c:pt idx="144">
                  <c:v>42095</c:v>
                </c:pt>
                <c:pt idx="145">
                  <c:v>42125</c:v>
                </c:pt>
                <c:pt idx="146">
                  <c:v>42156</c:v>
                </c:pt>
                <c:pt idx="147">
                  <c:v>42186</c:v>
                </c:pt>
                <c:pt idx="148">
                  <c:v>42217</c:v>
                </c:pt>
                <c:pt idx="149">
                  <c:v>42248</c:v>
                </c:pt>
                <c:pt idx="150">
                  <c:v>42278</c:v>
                </c:pt>
                <c:pt idx="151">
                  <c:v>42309</c:v>
                </c:pt>
                <c:pt idx="152">
                  <c:v>42339</c:v>
                </c:pt>
              </c:numCache>
            </c:numRef>
          </c:cat>
          <c:val>
            <c:numRef>
              <c:f>'Rate Differences - Credit'!$AB$3:$AB$155</c:f>
              <c:numCache>
                <c:formatCode>_(* #,##0_);_(* \(#,##0\);_(* "-"??_);_(@_)</c:formatCode>
                <c:ptCount val="153"/>
                <c:pt idx="0">
                  <c:v>-10.238081299320978</c:v>
                </c:pt>
                <c:pt idx="1">
                  <c:v>43.32594235033298</c:v>
                </c:pt>
                <c:pt idx="2">
                  <c:v>41.644624471754014</c:v>
                </c:pt>
                <c:pt idx="3">
                  <c:v>-25.30621780220299</c:v>
                </c:pt>
                <c:pt idx="4">
                  <c:v>-34.459556472451865</c:v>
                </c:pt>
                <c:pt idx="5">
                  <c:v>2.9280713200209973</c:v>
                </c:pt>
                <c:pt idx="6">
                  <c:v>-24.44784366450401</c:v>
                </c:pt>
                <c:pt idx="7">
                  <c:v>-37.845001324606017</c:v>
                </c:pt>
                <c:pt idx="8">
                  <c:v>-34.253259733071047</c:v>
                </c:pt>
                <c:pt idx="9">
                  <c:v>42.858537607335023</c:v>
                </c:pt>
                <c:pt idx="10">
                  <c:v>9.5486800765590019</c:v>
                </c:pt>
                <c:pt idx="11">
                  <c:v>-27.413610718214976</c:v>
                </c:pt>
                <c:pt idx="12">
                  <c:v>-0.78395598422202895</c:v>
                </c:pt>
                <c:pt idx="13">
                  <c:v>9.7219348905668745</c:v>
                </c:pt>
                <c:pt idx="14">
                  <c:v>-0.72535587945594671</c:v>
                </c:pt>
                <c:pt idx="15">
                  <c:v>12.010532912804983</c:v>
                </c:pt>
                <c:pt idx="16">
                  <c:v>1.4236916455221404</c:v>
                </c:pt>
                <c:pt idx="17">
                  <c:v>-2.0847994370160272</c:v>
                </c:pt>
                <c:pt idx="18">
                  <c:v>0.2332782980309922</c:v>
                </c:pt>
                <c:pt idx="19">
                  <c:v>-3.3325855627550638</c:v>
                </c:pt>
                <c:pt idx="20">
                  <c:v>7.008503304941982</c:v>
                </c:pt>
                <c:pt idx="21">
                  <c:v>-3.7758046748039398</c:v>
                </c:pt>
                <c:pt idx="22">
                  <c:v>18.864074373365014</c:v>
                </c:pt>
                <c:pt idx="23">
                  <c:v>-13.27044188016302</c:v>
                </c:pt>
                <c:pt idx="24">
                  <c:v>-11.004917918947044</c:v>
                </c:pt>
                <c:pt idx="25">
                  <c:v>34.735221715055076</c:v>
                </c:pt>
                <c:pt idx="26">
                  <c:v>-9.9533957017760244</c:v>
                </c:pt>
                <c:pt idx="27">
                  <c:v>23.019897246464005</c:v>
                </c:pt>
                <c:pt idx="28">
                  <c:v>-0.96422214368194759</c:v>
                </c:pt>
                <c:pt idx="29">
                  <c:v>-15.451331535869972</c:v>
                </c:pt>
                <c:pt idx="30">
                  <c:v>-0.17079361842000651</c:v>
                </c:pt>
                <c:pt idx="31">
                  <c:v>10.364328513785992</c:v>
                </c:pt>
                <c:pt idx="32">
                  <c:v>-5.466920661676955</c:v>
                </c:pt>
                <c:pt idx="33">
                  <c:v>1.6540831552353197</c:v>
                </c:pt>
                <c:pt idx="34">
                  <c:v>-12.166684485594637</c:v>
                </c:pt>
                <c:pt idx="35">
                  <c:v>-8.3802773683622434</c:v>
                </c:pt>
                <c:pt idx="36">
                  <c:v>-8.793038644849549</c:v>
                </c:pt>
                <c:pt idx="37">
                  <c:v>-7.9770610360058392</c:v>
                </c:pt>
                <c:pt idx="38">
                  <c:v>-7.4553637436631348</c:v>
                </c:pt>
                <c:pt idx="39">
                  <c:v>-10.249821353356037</c:v>
                </c:pt>
                <c:pt idx="40">
                  <c:v>-7.1911430898294881</c:v>
                </c:pt>
                <c:pt idx="41">
                  <c:v>-7.9722081814632695</c:v>
                </c:pt>
                <c:pt idx="42">
                  <c:v>-3.9591084093788531</c:v>
                </c:pt>
                <c:pt idx="43">
                  <c:v>-9.4629202313678107</c:v>
                </c:pt>
                <c:pt idx="44">
                  <c:v>-9.7887106746561869</c:v>
                </c:pt>
                <c:pt idx="45">
                  <c:v>-9.0478271673433142</c:v>
                </c:pt>
                <c:pt idx="46">
                  <c:v>-7.4161454968902696</c:v>
                </c:pt>
                <c:pt idx="47">
                  <c:v>-11.978925657790995</c:v>
                </c:pt>
                <c:pt idx="48">
                  <c:v>-1.1389208373338455</c:v>
                </c:pt>
                <c:pt idx="49">
                  <c:v>-12.187487446609069</c:v>
                </c:pt>
                <c:pt idx="50">
                  <c:v>-4.9349142704940618</c:v>
                </c:pt>
                <c:pt idx="51">
                  <c:v>-9.6295534874660582</c:v>
                </c:pt>
                <c:pt idx="52">
                  <c:v>-12.230852477931542</c:v>
                </c:pt>
                <c:pt idx="53">
                  <c:v>-13.115312499909404</c:v>
                </c:pt>
                <c:pt idx="54">
                  <c:v>-13.82198928358207</c:v>
                </c:pt>
                <c:pt idx="55">
                  <c:v>-5.2400586056755571</c:v>
                </c:pt>
                <c:pt idx="56">
                  <c:v>-18.599594810487297</c:v>
                </c:pt>
                <c:pt idx="57">
                  <c:v>-0.58289719279258634</c:v>
                </c:pt>
                <c:pt idx="58">
                  <c:v>-13.835442757453098</c:v>
                </c:pt>
                <c:pt idx="59">
                  <c:v>-4.7844526473809879</c:v>
                </c:pt>
                <c:pt idx="60">
                  <c:v>-11.537690827003289</c:v>
                </c:pt>
                <c:pt idx="61">
                  <c:v>4.2123830156458375</c:v>
                </c:pt>
                <c:pt idx="62">
                  <c:v>3.2755693746537418</c:v>
                </c:pt>
                <c:pt idx="63">
                  <c:v>-5.8071206633372618</c:v>
                </c:pt>
                <c:pt idx="64">
                  <c:v>-4.2974718038072623</c:v>
                </c:pt>
                <c:pt idx="65">
                  <c:v>-9.5444016099049733</c:v>
                </c:pt>
                <c:pt idx="66">
                  <c:v>-7.8494802085590898</c:v>
                </c:pt>
                <c:pt idx="67">
                  <c:v>-15.217390133580988</c:v>
                </c:pt>
                <c:pt idx="68">
                  <c:v>-10.80087303705719</c:v>
                </c:pt>
                <c:pt idx="69">
                  <c:v>-15.966345832676865</c:v>
                </c:pt>
                <c:pt idx="70">
                  <c:v>-9.928646137858621</c:v>
                </c:pt>
                <c:pt idx="71">
                  <c:v>-4.162828598996704</c:v>
                </c:pt>
                <c:pt idx="72">
                  <c:v>-7.2813994234024015</c:v>
                </c:pt>
                <c:pt idx="73">
                  <c:v>-16.64411252933915</c:v>
                </c:pt>
                <c:pt idx="74">
                  <c:v>-12.408473831946765</c:v>
                </c:pt>
                <c:pt idx="75">
                  <c:v>-9.4805486011098061</c:v>
                </c:pt>
                <c:pt idx="76">
                  <c:v>-9.1601808904803406</c:v>
                </c:pt>
                <c:pt idx="77">
                  <c:v>-10.944170478664983</c:v>
                </c:pt>
                <c:pt idx="78">
                  <c:v>-6.4900091387820602</c:v>
                </c:pt>
                <c:pt idx="79">
                  <c:v>-13.012448543787958</c:v>
                </c:pt>
                <c:pt idx="80">
                  <c:v>-11.638978031627634</c:v>
                </c:pt>
                <c:pt idx="81">
                  <c:v>-10.4711992836096</c:v>
                </c:pt>
                <c:pt idx="82">
                  <c:v>-10.290192051460512</c:v>
                </c:pt>
                <c:pt idx="83">
                  <c:v>-12.089847154236377</c:v>
                </c:pt>
                <c:pt idx="84">
                  <c:v>-8.5893414733147821</c:v>
                </c:pt>
                <c:pt idx="85">
                  <c:v>-8.1837237831443588</c:v>
                </c:pt>
                <c:pt idx="86">
                  <c:v>-10.296106011187334</c:v>
                </c:pt>
                <c:pt idx="87">
                  <c:v>-7.5327663498928388</c:v>
                </c:pt>
                <c:pt idx="88">
                  <c:v>-8.9588505366472226</c:v>
                </c:pt>
                <c:pt idx="89">
                  <c:v>-10.486378374323291</c:v>
                </c:pt>
                <c:pt idx="90">
                  <c:v>-9.7634788440698728</c:v>
                </c:pt>
                <c:pt idx="91">
                  <c:v>-8.3012644179340178</c:v>
                </c:pt>
                <c:pt idx="92">
                  <c:v>-12.016539854336195</c:v>
                </c:pt>
                <c:pt idx="93">
                  <c:v>-10.175071823553061</c:v>
                </c:pt>
                <c:pt idx="94">
                  <c:v>-10.942454040571814</c:v>
                </c:pt>
                <c:pt idx="95">
                  <c:v>-10.302696120874444</c:v>
                </c:pt>
                <c:pt idx="96">
                  <c:v>-9.8939733718188982</c:v>
                </c:pt>
                <c:pt idx="97">
                  <c:v>-7.6714323170119059</c:v>
                </c:pt>
                <c:pt idx="98">
                  <c:v>-10.065047750133349</c:v>
                </c:pt>
                <c:pt idx="99">
                  <c:v>-12.047749187629009</c:v>
                </c:pt>
                <c:pt idx="100">
                  <c:v>-12.614714668433624</c:v>
                </c:pt>
                <c:pt idx="101">
                  <c:v>-13.036367635126744</c:v>
                </c:pt>
                <c:pt idx="102">
                  <c:v>-13.681019238411452</c:v>
                </c:pt>
                <c:pt idx="103">
                  <c:v>-9.5820633180734305</c:v>
                </c:pt>
                <c:pt idx="104">
                  <c:v>-13.345720407462469</c:v>
                </c:pt>
                <c:pt idx="105">
                  <c:v>-11.391125243130951</c:v>
                </c:pt>
                <c:pt idx="106">
                  <c:v>-12.442356795349685</c:v>
                </c:pt>
                <c:pt idx="107">
                  <c:v>-13.323704137680714</c:v>
                </c:pt>
                <c:pt idx="108">
                  <c:v>-10.763111559995764</c:v>
                </c:pt>
                <c:pt idx="109">
                  <c:v>-12.719013489022402</c:v>
                </c:pt>
                <c:pt idx="110">
                  <c:v>-12.488101052612066</c:v>
                </c:pt>
                <c:pt idx="111">
                  <c:v>-10.26052457117328</c:v>
                </c:pt>
                <c:pt idx="112">
                  <c:v>-11.458283807819791</c:v>
                </c:pt>
                <c:pt idx="113">
                  <c:v>-10.345206481692948</c:v>
                </c:pt>
                <c:pt idx="114">
                  <c:v>-11.452897920989047</c:v>
                </c:pt>
                <c:pt idx="115">
                  <c:v>-11.56920109898083</c:v>
                </c:pt>
                <c:pt idx="116">
                  <c:v>-10.012068865524393</c:v>
                </c:pt>
                <c:pt idx="117">
                  <c:v>-8.9458990103569835</c:v>
                </c:pt>
                <c:pt idx="118">
                  <c:v>-10.423595091764337</c:v>
                </c:pt>
                <c:pt idx="119">
                  <c:v>-8.99826270347579</c:v>
                </c:pt>
                <c:pt idx="120">
                  <c:v>-9.7355740801877921</c:v>
                </c:pt>
                <c:pt idx="121">
                  <c:v>-11.1010121705998</c:v>
                </c:pt>
                <c:pt idx="122">
                  <c:v>-12.045092853877115</c:v>
                </c:pt>
                <c:pt idx="123">
                  <c:v>-12.655842994745203</c:v>
                </c:pt>
                <c:pt idx="124">
                  <c:v>-15.053428851779138</c:v>
                </c:pt>
                <c:pt idx="125">
                  <c:v>-11.902460087543787</c:v>
                </c:pt>
                <c:pt idx="126">
                  <c:v>-15.23919952800421</c:v>
                </c:pt>
                <c:pt idx="127">
                  <c:v>-15.704770058526663</c:v>
                </c:pt>
                <c:pt idx="128">
                  <c:v>-15.855736405552001</c:v>
                </c:pt>
                <c:pt idx="129">
                  <c:v>-14.768578984915504</c:v>
                </c:pt>
                <c:pt idx="130">
                  <c:v>-14.742579695150138</c:v>
                </c:pt>
                <c:pt idx="131">
                  <c:v>-13.815444362163998</c:v>
                </c:pt>
                <c:pt idx="132">
                  <c:v>-14.939496468823954</c:v>
                </c:pt>
                <c:pt idx="133">
                  <c:v>-15.543019698244365</c:v>
                </c:pt>
                <c:pt idx="134">
                  <c:v>-16.192099258307291</c:v>
                </c:pt>
                <c:pt idx="135">
                  <c:v>-16.258776859138102</c:v>
                </c:pt>
                <c:pt idx="136">
                  <c:v>-16.438381206561736</c:v>
                </c:pt>
                <c:pt idx="137">
                  <c:v>-15.967042905953477</c:v>
                </c:pt>
                <c:pt idx="138">
                  <c:v>-16.112549776462881</c:v>
                </c:pt>
                <c:pt idx="139">
                  <c:v>-13.389959624690917</c:v>
                </c:pt>
                <c:pt idx="140">
                  <c:v>-17.577982915664325</c:v>
                </c:pt>
                <c:pt idx="141">
                  <c:v>-17.195842477996859</c:v>
                </c:pt>
                <c:pt idx="142">
                  <c:v>-19.965100391355151</c:v>
                </c:pt>
                <c:pt idx="143">
                  <c:v>-18.810943748430596</c:v>
                </c:pt>
                <c:pt idx="144">
                  <c:v>-18.127289310460348</c:v>
                </c:pt>
                <c:pt idx="145">
                  <c:v>-16.425844307403416</c:v>
                </c:pt>
                <c:pt idx="146">
                  <c:v>-17.191084165791448</c:v>
                </c:pt>
                <c:pt idx="147">
                  <c:v>-17.007998456071682</c:v>
                </c:pt>
                <c:pt idx="148">
                  <c:v>-18.364111636423619</c:v>
                </c:pt>
                <c:pt idx="149">
                  <c:v>-18.388669174817895</c:v>
                </c:pt>
                <c:pt idx="150">
                  <c:v>-17.90597316621918</c:v>
                </c:pt>
                <c:pt idx="151">
                  <c:v>-18.498170723701168</c:v>
                </c:pt>
                <c:pt idx="152">
                  <c:v>-22.330059252324652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345472"/>
        <c:axId val="72347008"/>
      </c:lineChart>
      <c:dateAx>
        <c:axId val="72345472"/>
        <c:scaling>
          <c:orientation val="minMax"/>
        </c:scaling>
        <c:delete val="0"/>
        <c:axPos val="b"/>
        <c:numFmt formatCode="m/d/yyyy" sourceLinked="1"/>
        <c:majorTickMark val="out"/>
        <c:minorTickMark val="out"/>
        <c:tickLblPos val="low"/>
        <c:crossAx val="72347008"/>
        <c:crosses val="autoZero"/>
        <c:auto val="1"/>
        <c:lblOffset val="100"/>
        <c:baseTimeUnit val="months"/>
      </c:dateAx>
      <c:valAx>
        <c:axId val="72347008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723454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61912</xdr:colOff>
      <xdr:row>9</xdr:row>
      <xdr:rowOff>100012</xdr:rowOff>
    </xdr:from>
    <xdr:to>
      <xdr:col>32</xdr:col>
      <xdr:colOff>304800</xdr:colOff>
      <xdr:row>26</xdr:row>
      <xdr:rowOff>152400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857249</xdr:colOff>
      <xdr:row>5</xdr:row>
      <xdr:rowOff>38100</xdr:rowOff>
    </xdr:from>
    <xdr:to>
      <xdr:col>18</xdr:col>
      <xdr:colOff>228600</xdr:colOff>
      <xdr:row>44</xdr:row>
      <xdr:rowOff>57150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171450</xdr:colOff>
      <xdr:row>4</xdr:row>
      <xdr:rowOff>47625</xdr:rowOff>
    </xdr:from>
    <xdr:to>
      <xdr:col>18</xdr:col>
      <xdr:colOff>476250</xdr:colOff>
      <xdr:row>18</xdr:row>
      <xdr:rowOff>123825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323850</xdr:colOff>
      <xdr:row>2</xdr:row>
      <xdr:rowOff>185737</xdr:rowOff>
    </xdr:from>
    <xdr:to>
      <xdr:col>14</xdr:col>
      <xdr:colOff>19050</xdr:colOff>
      <xdr:row>17</xdr:row>
      <xdr:rowOff>71437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533400</xdr:colOff>
      <xdr:row>11</xdr:row>
      <xdr:rowOff>109536</xdr:rowOff>
    </xdr:from>
    <xdr:to>
      <xdr:col>39</xdr:col>
      <xdr:colOff>304800</xdr:colOff>
      <xdr:row>29</xdr:row>
      <xdr:rowOff>171449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38100</xdr:colOff>
      <xdr:row>31</xdr:row>
      <xdr:rowOff>180974</xdr:rowOff>
    </xdr:from>
    <xdr:to>
      <xdr:col>39</xdr:col>
      <xdr:colOff>38100</xdr:colOff>
      <xdr:row>65</xdr:row>
      <xdr:rowOff>114299</xdr:rowOff>
    </xdr:to>
    <xdr:sp macro="" textlink="">
      <xdr:nvSpPr>
        <xdr:cNvPr id="3" name="TextBox 2"/>
        <xdr:cNvSpPr txBox="1"/>
      </xdr:nvSpPr>
      <xdr:spPr>
        <a:xfrm>
          <a:off x="13973175" y="6086474"/>
          <a:ext cx="6096000" cy="6410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select p.issueDate,</a:t>
          </a:r>
        </a:p>
        <a:p>
          <a:r>
            <a:rPr lang="en-US" sz="1100"/>
            <a:t>WAC = sum(l.origNoteRate * l.originalLoanAmount) / sum(l.originalLoanAmount),</a:t>
          </a:r>
        </a:p>
        <a:p>
          <a:r>
            <a:rPr lang="en-US" sz="1100"/>
            <a:t>Amount = sum(l.originalLoanAmount)</a:t>
          </a:r>
        </a:p>
        <a:p>
          <a:r>
            <a:rPr lang="en-US" sz="1100"/>
            <a:t>--into #WAC_FNCL</a:t>
          </a:r>
        </a:p>
        <a:p>
          <a:r>
            <a:rPr lang="en-US" sz="1100"/>
            <a:t>from fnm.sec p, fnm.Cello_Loan l</a:t>
          </a:r>
        </a:p>
        <a:p>
          <a:r>
            <a:rPr lang="en-US" sz="1100"/>
            <a:t>where p.issueId = l.issueId</a:t>
          </a:r>
        </a:p>
        <a:p>
          <a:r>
            <a:rPr lang="en-US" sz="1100"/>
            <a:t>and p.collateralType = 'LOAN' </a:t>
          </a:r>
        </a:p>
        <a:p>
          <a:r>
            <a:rPr lang="en-US" sz="1100"/>
            <a:t>and l.marketTicker in ('FNCL', 'FNCK')</a:t>
          </a:r>
        </a:p>
        <a:p>
          <a:r>
            <a:rPr lang="en-US" sz="1100"/>
            <a:t>and l.marketTicker = p.marketTicker</a:t>
          </a:r>
        </a:p>
        <a:p>
          <a:r>
            <a:rPr lang="en-US" sz="1100"/>
            <a:t>and l.cs &lt;= 740</a:t>
          </a:r>
        </a:p>
        <a:p>
          <a:r>
            <a:rPr lang="en-US" sz="1100"/>
            <a:t>and l.originalLoanAmount &gt; 417000</a:t>
          </a:r>
        </a:p>
        <a:p>
          <a:r>
            <a:rPr lang="en-US" sz="1100"/>
            <a:t>and l.numUnits = 1</a:t>
          </a:r>
        </a:p>
        <a:p>
          <a:r>
            <a:rPr lang="en-US" sz="1100"/>
            <a:t>and origLTV &lt;= 80</a:t>
          </a:r>
        </a:p>
        <a:p>
          <a:r>
            <a:rPr lang="en-US" sz="1100"/>
            <a:t>group by p.issueDate</a:t>
          </a:r>
        </a:p>
        <a:p>
          <a:r>
            <a:rPr lang="en-US" sz="1100"/>
            <a:t>order by p.issueDate</a:t>
          </a:r>
        </a:p>
        <a:p>
          <a:r>
            <a:rPr lang="en-US" sz="1100"/>
            <a:t>;</a:t>
          </a:r>
        </a:p>
        <a:p>
          <a:endParaRPr lang="en-US" sz="1100"/>
        </a:p>
        <a:p>
          <a:endParaRPr lang="en-US" sz="1100"/>
        </a:p>
        <a:p>
          <a:r>
            <a:rPr lang="en-US" sz="1100"/>
            <a:t>select p.issueDate,</a:t>
          </a:r>
        </a:p>
        <a:p>
          <a:r>
            <a:rPr lang="en-US" sz="1100"/>
            <a:t>WAC = sum(l.origNoteRate * l.originalLoanAmount) / sum(l.originalLoanAmount),</a:t>
          </a:r>
        </a:p>
        <a:p>
          <a:r>
            <a:rPr lang="en-US" sz="1100"/>
            <a:t>Amount = sum(l.originalLoanAmount)</a:t>
          </a:r>
        </a:p>
        <a:p>
          <a:r>
            <a:rPr lang="en-US" sz="1100"/>
            <a:t>--into #WAC_FNCL</a:t>
          </a:r>
        </a:p>
        <a:p>
          <a:r>
            <a:rPr lang="en-US" sz="1100"/>
            <a:t>from fhl.sec p, fhl.Cello_Loan l</a:t>
          </a:r>
        </a:p>
        <a:p>
          <a:r>
            <a:rPr lang="en-US" sz="1100"/>
            <a:t>where p.issueId = l.issueId</a:t>
          </a:r>
        </a:p>
        <a:p>
          <a:r>
            <a:rPr lang="en-US" sz="1100"/>
            <a:t>and p.collateralType = 'LOAN' </a:t>
          </a:r>
        </a:p>
        <a:p>
          <a:r>
            <a:rPr lang="en-US" sz="1100"/>
            <a:t>and l.marketTicker in ('FGLMC', 'FGT6')</a:t>
          </a:r>
        </a:p>
        <a:p>
          <a:r>
            <a:rPr lang="en-US" sz="1100"/>
            <a:t>and l.marketTicker = p.marketTicker</a:t>
          </a:r>
        </a:p>
        <a:p>
          <a:r>
            <a:rPr lang="en-US" sz="1100"/>
            <a:t>and l.cs &gt; 740</a:t>
          </a:r>
        </a:p>
        <a:p>
          <a:r>
            <a:rPr lang="en-US" sz="1100"/>
            <a:t>and l.originalLoanAmount &gt; 417000</a:t>
          </a:r>
        </a:p>
        <a:p>
          <a:r>
            <a:rPr lang="en-US" sz="1100"/>
            <a:t>and l.numUnits = 1</a:t>
          </a:r>
        </a:p>
        <a:p>
          <a:r>
            <a:rPr lang="en-US" sz="1100"/>
            <a:t>and origLTV &lt;= 80</a:t>
          </a:r>
        </a:p>
        <a:p>
          <a:r>
            <a:rPr lang="en-US" sz="1100"/>
            <a:t>group by p.issueDate</a:t>
          </a:r>
        </a:p>
        <a:p>
          <a:r>
            <a:rPr lang="en-US" sz="1100"/>
            <a:t>order by p.issueDate</a:t>
          </a:r>
        </a:p>
        <a:p>
          <a:r>
            <a:rPr lang="en-US" sz="1100"/>
            <a:t>;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rad.chaudhary\Desktop\Jumbo_LLPA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harad.chaudhary\Desktop\compare%20loan%20level%20note%20rates%20with%20loan%20siz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</sheetNames>
    <sheetDataSet>
      <sheetData sheetId="0">
        <row r="1">
          <cell r="E1" t="str">
            <v>llpa_adjustment</v>
          </cell>
          <cell r="R1" t="str">
            <v>convential_llpa_adjustment</v>
          </cell>
        </row>
        <row r="2">
          <cell r="A2">
            <v>39630</v>
          </cell>
          <cell r="E2">
            <v>0.1135</v>
          </cell>
          <cell r="R2">
            <v>0.14030000000000001</v>
          </cell>
        </row>
        <row r="3">
          <cell r="A3">
            <v>39661</v>
          </cell>
          <cell r="E3">
            <v>0.1082</v>
          </cell>
          <cell r="R3">
            <v>0.1399</v>
          </cell>
        </row>
        <row r="4">
          <cell r="A4">
            <v>39692</v>
          </cell>
          <cell r="E4">
            <v>0.1047</v>
          </cell>
          <cell r="R4">
            <v>0.1404</v>
          </cell>
        </row>
        <row r="5">
          <cell r="A5">
            <v>39722</v>
          </cell>
          <cell r="E5">
            <v>0.10730000000000001</v>
          </cell>
          <cell r="R5">
            <v>0.1416</v>
          </cell>
        </row>
        <row r="6">
          <cell r="A6">
            <v>39753</v>
          </cell>
          <cell r="E6">
            <v>0.1079</v>
          </cell>
          <cell r="R6">
            <v>0.14280000000000001</v>
          </cell>
        </row>
        <row r="7">
          <cell r="A7">
            <v>39783</v>
          </cell>
          <cell r="E7">
            <v>0.111</v>
          </cell>
          <cell r="R7">
            <v>0.1439</v>
          </cell>
        </row>
        <row r="8">
          <cell r="A8">
            <v>39814</v>
          </cell>
          <cell r="E8">
            <v>0.1119</v>
          </cell>
          <cell r="R8">
            <v>0.14360000000000001</v>
          </cell>
        </row>
        <row r="9">
          <cell r="A9">
            <v>39845</v>
          </cell>
          <cell r="E9">
            <v>0.1158</v>
          </cell>
          <cell r="R9">
            <v>0.14360000000000001</v>
          </cell>
        </row>
        <row r="10">
          <cell r="A10">
            <v>39873</v>
          </cell>
          <cell r="E10">
            <v>0.1163</v>
          </cell>
          <cell r="R10">
            <v>0.14380000000000001</v>
          </cell>
        </row>
        <row r="11">
          <cell r="A11">
            <v>39904</v>
          </cell>
          <cell r="E11">
            <v>0.1159</v>
          </cell>
          <cell r="R11">
            <v>0.14269999999999999</v>
          </cell>
        </row>
        <row r="12">
          <cell r="A12">
            <v>39934</v>
          </cell>
          <cell r="E12">
            <v>0.1158</v>
          </cell>
          <cell r="R12">
            <v>0.13850000000000001</v>
          </cell>
        </row>
        <row r="13">
          <cell r="A13">
            <v>39965</v>
          </cell>
          <cell r="E13">
            <v>0.1159</v>
          </cell>
          <cell r="R13">
            <v>0.1363</v>
          </cell>
        </row>
        <row r="14">
          <cell r="A14">
            <v>39995</v>
          </cell>
          <cell r="E14">
            <v>0.1157</v>
          </cell>
          <cell r="R14">
            <v>0.13400000000000001</v>
          </cell>
        </row>
        <row r="15">
          <cell r="A15">
            <v>40026</v>
          </cell>
          <cell r="E15">
            <v>0.11609999999999999</v>
          </cell>
          <cell r="R15">
            <v>0.13239999999999999</v>
          </cell>
        </row>
        <row r="16">
          <cell r="A16">
            <v>40057</v>
          </cell>
          <cell r="E16">
            <v>0.1143</v>
          </cell>
          <cell r="R16">
            <v>0.1341</v>
          </cell>
        </row>
        <row r="17">
          <cell r="A17">
            <v>40087</v>
          </cell>
          <cell r="E17">
            <v>0.1149</v>
          </cell>
          <cell r="R17">
            <v>0.13600000000000001</v>
          </cell>
        </row>
        <row r="18">
          <cell r="A18">
            <v>40118</v>
          </cell>
          <cell r="E18">
            <v>0.1153</v>
          </cell>
          <cell r="R18">
            <v>0.13750000000000001</v>
          </cell>
        </row>
        <row r="19">
          <cell r="A19">
            <v>40148</v>
          </cell>
          <cell r="E19">
            <v>0.11550000000000001</v>
          </cell>
          <cell r="R19">
            <v>0.13950000000000001</v>
          </cell>
        </row>
        <row r="20">
          <cell r="A20">
            <v>40179</v>
          </cell>
          <cell r="E20">
            <v>0.11600000000000001</v>
          </cell>
          <cell r="R20">
            <v>0.1416</v>
          </cell>
        </row>
        <row r="21">
          <cell r="A21">
            <v>40210</v>
          </cell>
          <cell r="E21">
            <v>0.1178</v>
          </cell>
          <cell r="R21">
            <v>0.14449999999999999</v>
          </cell>
        </row>
        <row r="22">
          <cell r="A22">
            <v>40238</v>
          </cell>
          <cell r="E22">
            <v>0.1182</v>
          </cell>
          <cell r="R22">
            <v>0.1482</v>
          </cell>
        </row>
        <row r="23">
          <cell r="A23">
            <v>40269</v>
          </cell>
          <cell r="E23">
            <v>0.1162</v>
          </cell>
          <cell r="R23">
            <v>0.14610000000000001</v>
          </cell>
        </row>
        <row r="24">
          <cell r="A24">
            <v>40299</v>
          </cell>
          <cell r="E24">
            <v>0.1157</v>
          </cell>
          <cell r="R24">
            <v>0.1452</v>
          </cell>
        </row>
        <row r="25">
          <cell r="A25">
            <v>40330</v>
          </cell>
          <cell r="E25">
            <v>0.115</v>
          </cell>
          <cell r="R25">
            <v>0.1447</v>
          </cell>
        </row>
        <row r="26">
          <cell r="A26">
            <v>40360</v>
          </cell>
          <cell r="E26">
            <v>0.1168</v>
          </cell>
          <cell r="R26">
            <v>0.1474</v>
          </cell>
        </row>
        <row r="27">
          <cell r="A27">
            <v>40391</v>
          </cell>
          <cell r="E27">
            <v>0.1183</v>
          </cell>
          <cell r="R27">
            <v>0.1515</v>
          </cell>
        </row>
        <row r="28">
          <cell r="A28">
            <v>40422</v>
          </cell>
          <cell r="E28">
            <v>0.11890000000000001</v>
          </cell>
          <cell r="R28">
            <v>0.15509999999999999</v>
          </cell>
        </row>
        <row r="29">
          <cell r="A29">
            <v>40452</v>
          </cell>
          <cell r="E29">
            <v>0.1216</v>
          </cell>
          <cell r="R29">
            <v>0.1598</v>
          </cell>
        </row>
        <row r="30">
          <cell r="A30">
            <v>40483</v>
          </cell>
          <cell r="E30">
            <v>0.12379999999999999</v>
          </cell>
          <cell r="R30">
            <v>0.16420000000000001</v>
          </cell>
        </row>
        <row r="31">
          <cell r="A31">
            <v>40513</v>
          </cell>
          <cell r="E31">
            <v>0.1244</v>
          </cell>
          <cell r="R31">
            <v>0.16889999999999999</v>
          </cell>
        </row>
        <row r="32">
          <cell r="A32">
            <v>40544</v>
          </cell>
          <cell r="E32">
            <v>0.1275</v>
          </cell>
          <cell r="R32">
            <v>0.1754</v>
          </cell>
        </row>
        <row r="33">
          <cell r="A33">
            <v>40575</v>
          </cell>
          <cell r="E33">
            <v>0.1273</v>
          </cell>
          <cell r="R33">
            <v>0.1825</v>
          </cell>
        </row>
        <row r="34">
          <cell r="A34">
            <v>40603</v>
          </cell>
          <cell r="E34">
            <v>0.1198</v>
          </cell>
          <cell r="R34">
            <v>0.19040000000000001</v>
          </cell>
        </row>
        <row r="35">
          <cell r="A35">
            <v>40634</v>
          </cell>
          <cell r="E35">
            <v>0.1163</v>
          </cell>
          <cell r="R35">
            <v>0.1875</v>
          </cell>
        </row>
        <row r="36">
          <cell r="A36">
            <v>40664</v>
          </cell>
          <cell r="E36">
            <v>0.1152</v>
          </cell>
          <cell r="R36">
            <v>0.18529999999999999</v>
          </cell>
        </row>
        <row r="37">
          <cell r="A37">
            <v>40695</v>
          </cell>
          <cell r="E37">
            <v>0.11269999999999999</v>
          </cell>
          <cell r="R37">
            <v>0.1827</v>
          </cell>
        </row>
        <row r="38">
          <cell r="A38">
            <v>40725</v>
          </cell>
          <cell r="E38">
            <v>0.1123</v>
          </cell>
          <cell r="R38">
            <v>0.18190000000000001</v>
          </cell>
        </row>
        <row r="39">
          <cell r="A39">
            <v>40756</v>
          </cell>
          <cell r="E39">
            <v>0.11219999999999999</v>
          </cell>
          <cell r="R39">
            <v>0.18099999999999999</v>
          </cell>
        </row>
        <row r="40">
          <cell r="A40">
            <v>40787</v>
          </cell>
          <cell r="E40">
            <v>0.1125</v>
          </cell>
          <cell r="R40">
            <v>0.18</v>
          </cell>
        </row>
        <row r="41">
          <cell r="A41">
            <v>40817</v>
          </cell>
          <cell r="E41">
            <v>0.11600000000000001</v>
          </cell>
          <cell r="R41">
            <v>0.18329999999999999</v>
          </cell>
        </row>
        <row r="42">
          <cell r="A42">
            <v>40848</v>
          </cell>
          <cell r="E42">
            <v>0.1179</v>
          </cell>
          <cell r="R42">
            <v>0.1865</v>
          </cell>
        </row>
        <row r="43">
          <cell r="A43">
            <v>40878</v>
          </cell>
          <cell r="E43">
            <v>0.11849999999999999</v>
          </cell>
          <cell r="R43">
            <v>0.1905</v>
          </cell>
        </row>
        <row r="44">
          <cell r="A44">
            <v>40909</v>
          </cell>
          <cell r="E44">
            <v>0.11600000000000001</v>
          </cell>
          <cell r="R44">
            <v>0.19120000000000001</v>
          </cell>
        </row>
        <row r="45">
          <cell r="A45">
            <v>40940</v>
          </cell>
          <cell r="E45">
            <v>0.11219999999999999</v>
          </cell>
          <cell r="R45">
            <v>0.1928</v>
          </cell>
        </row>
        <row r="46">
          <cell r="A46">
            <v>40969</v>
          </cell>
          <cell r="E46">
            <v>0.1094</v>
          </cell>
          <cell r="R46">
            <v>0.19400000000000001</v>
          </cell>
        </row>
        <row r="47">
          <cell r="A47">
            <v>41000</v>
          </cell>
          <cell r="E47">
            <v>0.1042</v>
          </cell>
          <cell r="R47">
            <v>0.18579999999999999</v>
          </cell>
        </row>
        <row r="48">
          <cell r="A48">
            <v>41030</v>
          </cell>
          <cell r="E48">
            <v>9.9400000000000002E-2</v>
          </cell>
          <cell r="R48">
            <v>0.17810000000000001</v>
          </cell>
        </row>
        <row r="49">
          <cell r="A49">
            <v>41061</v>
          </cell>
          <cell r="E49">
            <v>9.5399999999999999E-2</v>
          </cell>
          <cell r="R49">
            <v>0.1709</v>
          </cell>
        </row>
        <row r="50">
          <cell r="A50">
            <v>41091</v>
          </cell>
          <cell r="E50">
            <v>9.06E-2</v>
          </cell>
          <cell r="R50">
            <v>0.17</v>
          </cell>
        </row>
        <row r="51">
          <cell r="A51">
            <v>41122</v>
          </cell>
          <cell r="E51">
            <v>8.9800000000000005E-2</v>
          </cell>
          <cell r="R51">
            <v>0.16900000000000001</v>
          </cell>
        </row>
        <row r="52">
          <cell r="A52">
            <v>41153</v>
          </cell>
          <cell r="E52">
            <v>9.0399999999999994E-2</v>
          </cell>
          <cell r="R52">
            <v>0.16789999999999999</v>
          </cell>
        </row>
        <row r="53">
          <cell r="A53">
            <v>41183</v>
          </cell>
          <cell r="E53">
            <v>9.0300000000000005E-2</v>
          </cell>
          <cell r="R53">
            <v>0.16969999999999999</v>
          </cell>
        </row>
        <row r="54">
          <cell r="A54">
            <v>41214</v>
          </cell>
          <cell r="E54">
            <v>8.8800000000000004E-2</v>
          </cell>
          <cell r="R54">
            <v>0.1706</v>
          </cell>
        </row>
        <row r="55">
          <cell r="A55">
            <v>41244</v>
          </cell>
          <cell r="E55">
            <v>8.6599999999999996E-2</v>
          </cell>
          <cell r="R55">
            <v>0.1734</v>
          </cell>
        </row>
        <row r="56">
          <cell r="A56">
            <v>41275</v>
          </cell>
          <cell r="E56">
            <v>8.4400000000000003E-2</v>
          </cell>
          <cell r="R56">
            <v>0.1721</v>
          </cell>
        </row>
        <row r="57">
          <cell r="A57">
            <v>41306</v>
          </cell>
          <cell r="E57">
            <v>8.3000000000000004E-2</v>
          </cell>
          <cell r="R57">
            <v>0.1724</v>
          </cell>
        </row>
        <row r="58">
          <cell r="A58">
            <v>41334</v>
          </cell>
          <cell r="E58">
            <v>8.2299999999999998E-2</v>
          </cell>
          <cell r="R58">
            <v>0.17219999999999999</v>
          </cell>
        </row>
        <row r="59">
          <cell r="A59">
            <v>41365</v>
          </cell>
          <cell r="E59">
            <v>7.8399999999999997E-2</v>
          </cell>
          <cell r="R59">
            <v>0.16500000000000001</v>
          </cell>
        </row>
        <row r="60">
          <cell r="A60">
            <v>41395</v>
          </cell>
          <cell r="E60">
            <v>7.51E-2</v>
          </cell>
          <cell r="R60">
            <v>0.1593</v>
          </cell>
        </row>
        <row r="61">
          <cell r="A61">
            <v>41426</v>
          </cell>
          <cell r="E61">
            <v>7.1999999999999995E-2</v>
          </cell>
          <cell r="R61">
            <v>0.1547</v>
          </cell>
        </row>
        <row r="62">
          <cell r="A62">
            <v>41456</v>
          </cell>
          <cell r="E62">
            <v>7.1300000000000002E-2</v>
          </cell>
          <cell r="R62">
            <v>0.15490000000000001</v>
          </cell>
        </row>
        <row r="63">
          <cell r="A63">
            <v>41487</v>
          </cell>
          <cell r="E63">
            <v>7.1499999999999994E-2</v>
          </cell>
          <cell r="R63">
            <v>0.1532</v>
          </cell>
        </row>
        <row r="64">
          <cell r="A64">
            <v>41518</v>
          </cell>
          <cell r="E64">
            <v>6.9900000000000004E-2</v>
          </cell>
          <cell r="R64">
            <v>0.15160000000000001</v>
          </cell>
        </row>
        <row r="65">
          <cell r="A65">
            <v>41548</v>
          </cell>
          <cell r="E65">
            <v>7.2499999999999995E-2</v>
          </cell>
          <cell r="R65">
            <v>0.1545</v>
          </cell>
        </row>
        <row r="66">
          <cell r="A66">
            <v>41579</v>
          </cell>
          <cell r="E66">
            <v>7.3599999999999999E-2</v>
          </cell>
          <cell r="R66">
            <v>0.15670000000000001</v>
          </cell>
        </row>
        <row r="67">
          <cell r="A67">
            <v>41609</v>
          </cell>
          <cell r="E67">
            <v>9.2299999999999993E-2</v>
          </cell>
          <cell r="R67">
            <v>0.18820000000000001</v>
          </cell>
        </row>
        <row r="68">
          <cell r="A68">
            <v>41640</v>
          </cell>
          <cell r="E68">
            <v>9.3799999999999994E-2</v>
          </cell>
          <cell r="R68">
            <v>0.18870000000000001</v>
          </cell>
        </row>
        <row r="69">
          <cell r="A69">
            <v>41671</v>
          </cell>
          <cell r="E69">
            <v>8.2000000000000003E-2</v>
          </cell>
          <cell r="R69">
            <v>0.1948</v>
          </cell>
        </row>
        <row r="70">
          <cell r="A70">
            <v>41699</v>
          </cell>
          <cell r="E70">
            <v>8.2199999999999995E-2</v>
          </cell>
          <cell r="R70">
            <v>0.19600000000000001</v>
          </cell>
        </row>
        <row r="71">
          <cell r="A71">
            <v>41730</v>
          </cell>
          <cell r="E71">
            <v>7.7299999999999994E-2</v>
          </cell>
          <cell r="R71">
            <v>0.19589999999999999</v>
          </cell>
        </row>
        <row r="72">
          <cell r="A72">
            <v>41760</v>
          </cell>
          <cell r="E72">
            <v>7.6600000000000001E-2</v>
          </cell>
          <cell r="R72">
            <v>0.1933</v>
          </cell>
        </row>
        <row r="73">
          <cell r="A73">
            <v>41791</v>
          </cell>
          <cell r="E73">
            <v>7.6499999999999999E-2</v>
          </cell>
          <cell r="R73">
            <v>0.1913</v>
          </cell>
        </row>
        <row r="74">
          <cell r="A74">
            <v>41821</v>
          </cell>
          <cell r="E74">
            <v>7.7100000000000002E-2</v>
          </cell>
          <cell r="R74">
            <v>0.19170000000000001</v>
          </cell>
        </row>
        <row r="75">
          <cell r="A75">
            <v>41852</v>
          </cell>
          <cell r="E75">
            <v>7.8600000000000003E-2</v>
          </cell>
          <cell r="R75">
            <v>0.193</v>
          </cell>
        </row>
        <row r="76">
          <cell r="A76">
            <v>41883</v>
          </cell>
          <cell r="E76">
            <v>8.0399999999999999E-2</v>
          </cell>
          <cell r="R76">
            <v>0.19389999999999999</v>
          </cell>
        </row>
        <row r="77">
          <cell r="A77">
            <v>41913</v>
          </cell>
          <cell r="E77">
            <v>8.3099999999999993E-2</v>
          </cell>
          <cell r="R77">
            <v>0.19589999999999999</v>
          </cell>
        </row>
        <row r="78">
          <cell r="A78">
            <v>41944</v>
          </cell>
          <cell r="E78">
            <v>8.5099999999999995E-2</v>
          </cell>
          <cell r="R78">
            <v>0.1983</v>
          </cell>
        </row>
        <row r="79">
          <cell r="A79">
            <v>41974</v>
          </cell>
          <cell r="E79">
            <v>8.7599999999999997E-2</v>
          </cell>
          <cell r="R79">
            <v>0.19939999999999999</v>
          </cell>
        </row>
        <row r="80">
          <cell r="A80">
            <v>42005</v>
          </cell>
          <cell r="E80">
            <v>7.3599999999999999E-2</v>
          </cell>
          <cell r="R80">
            <v>0.16400000000000001</v>
          </cell>
        </row>
        <row r="81">
          <cell r="A81">
            <v>42036</v>
          </cell>
          <cell r="E81">
            <v>7.51E-2</v>
          </cell>
          <cell r="R81">
            <v>0.16470000000000001</v>
          </cell>
        </row>
        <row r="82">
          <cell r="A82">
            <v>42064</v>
          </cell>
          <cell r="E82">
            <v>7.6399999999999996E-2</v>
          </cell>
          <cell r="R82">
            <v>0.16539999999999999</v>
          </cell>
        </row>
        <row r="83">
          <cell r="A83">
            <v>42095</v>
          </cell>
          <cell r="E83">
            <v>7.7399999999999997E-2</v>
          </cell>
          <cell r="R83">
            <v>0.16309999999999999</v>
          </cell>
        </row>
        <row r="84">
          <cell r="A84">
            <v>42125</v>
          </cell>
          <cell r="E84">
            <v>7.7899999999999997E-2</v>
          </cell>
          <cell r="R84">
            <v>0.1618</v>
          </cell>
        </row>
        <row r="85">
          <cell r="A85">
            <v>42156</v>
          </cell>
          <cell r="E85">
            <v>7.8200000000000006E-2</v>
          </cell>
          <cell r="R85">
            <v>0.16039999999999999</v>
          </cell>
        </row>
        <row r="86">
          <cell r="A86">
            <v>42186</v>
          </cell>
          <cell r="E86">
            <v>7.9299999999999995E-2</v>
          </cell>
          <cell r="R86">
            <v>0.1608</v>
          </cell>
        </row>
        <row r="87">
          <cell r="A87">
            <v>42217</v>
          </cell>
          <cell r="E87">
            <v>8.0699999999999994E-2</v>
          </cell>
          <cell r="R87">
            <v>0.1615</v>
          </cell>
        </row>
        <row r="88">
          <cell r="A88">
            <v>42248</v>
          </cell>
          <cell r="E88">
            <v>0.1371</v>
          </cell>
          <cell r="R88">
            <v>0.15440000000000001</v>
          </cell>
        </row>
        <row r="89">
          <cell r="A89">
            <v>42278</v>
          </cell>
          <cell r="E89">
            <v>0.1386</v>
          </cell>
          <cell r="R89">
            <v>0.15529999999999999</v>
          </cell>
        </row>
        <row r="90">
          <cell r="A90">
            <v>42309</v>
          </cell>
          <cell r="E90">
            <v>0.1396</v>
          </cell>
          <cell r="R90">
            <v>0.1565</v>
          </cell>
        </row>
        <row r="91">
          <cell r="A91">
            <v>42339</v>
          </cell>
          <cell r="E91">
            <v>0.1482</v>
          </cell>
          <cell r="R91">
            <v>0.1348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ol Level"/>
      <sheetName val="Loan Level"/>
      <sheetName val="Issue Amount"/>
      <sheetName val="Sheet1"/>
    </sheetNames>
    <sheetDataSet>
      <sheetData sheetId="0"/>
      <sheetData sheetId="1"/>
      <sheetData sheetId="2"/>
      <sheetData sheetId="3">
        <row r="3">
          <cell r="Q3">
            <v>37712</v>
          </cell>
          <cell r="AB3">
            <v>-10.238081299320978</v>
          </cell>
        </row>
        <row r="4">
          <cell r="Q4">
            <v>37742</v>
          </cell>
          <cell r="AB4">
            <v>43.32594235033298</v>
          </cell>
        </row>
        <row r="5">
          <cell r="Q5">
            <v>37773</v>
          </cell>
          <cell r="AB5">
            <v>41.644624471754014</v>
          </cell>
        </row>
        <row r="6">
          <cell r="Q6">
            <v>37803</v>
          </cell>
          <cell r="AB6">
            <v>-25.30621780220299</v>
          </cell>
        </row>
        <row r="7">
          <cell r="Q7">
            <v>37834</v>
          </cell>
          <cell r="AB7">
            <v>-34.459556472451865</v>
          </cell>
        </row>
        <row r="8">
          <cell r="Q8">
            <v>37865</v>
          </cell>
          <cell r="AB8">
            <v>2.9280713200209973</v>
          </cell>
        </row>
        <row r="9">
          <cell r="Q9">
            <v>37895</v>
          </cell>
          <cell r="AB9">
            <v>-24.44784366450401</v>
          </cell>
        </row>
        <row r="10">
          <cell r="Q10">
            <v>37926</v>
          </cell>
          <cell r="AB10">
            <v>-37.845001324606017</v>
          </cell>
        </row>
        <row r="11">
          <cell r="Q11">
            <v>37956</v>
          </cell>
          <cell r="AB11">
            <v>-34.253259733071047</v>
          </cell>
        </row>
        <row r="12">
          <cell r="Q12">
            <v>37987</v>
          </cell>
          <cell r="AB12">
            <v>42.858537607335023</v>
          </cell>
        </row>
        <row r="13">
          <cell r="Q13">
            <v>38018</v>
          </cell>
          <cell r="AB13">
            <v>9.5486800765590019</v>
          </cell>
        </row>
        <row r="14">
          <cell r="Q14">
            <v>38047</v>
          </cell>
          <cell r="AB14">
            <v>-27.413610718214976</v>
          </cell>
        </row>
        <row r="15">
          <cell r="Q15">
            <v>38078</v>
          </cell>
          <cell r="AB15">
            <v>-0.78395598422202895</v>
          </cell>
        </row>
        <row r="16">
          <cell r="Q16">
            <v>38108</v>
          </cell>
          <cell r="AB16">
            <v>9.7219348905668745</v>
          </cell>
        </row>
        <row r="17">
          <cell r="Q17">
            <v>38139</v>
          </cell>
          <cell r="AB17">
            <v>-0.72535587945594671</v>
          </cell>
        </row>
        <row r="18">
          <cell r="Q18">
            <v>38169</v>
          </cell>
          <cell r="AB18">
            <v>12.010532912804983</v>
          </cell>
        </row>
        <row r="19">
          <cell r="Q19">
            <v>38200</v>
          </cell>
          <cell r="AB19">
            <v>1.4236916455221404</v>
          </cell>
        </row>
        <row r="20">
          <cell r="Q20">
            <v>38231</v>
          </cell>
          <cell r="AB20">
            <v>-2.0847994370160272</v>
          </cell>
        </row>
        <row r="21">
          <cell r="Q21">
            <v>38261</v>
          </cell>
          <cell r="AB21">
            <v>0.2332782980309922</v>
          </cell>
        </row>
        <row r="22">
          <cell r="Q22">
            <v>38292</v>
          </cell>
          <cell r="AB22">
            <v>-3.3325855627550638</v>
          </cell>
        </row>
        <row r="23">
          <cell r="Q23">
            <v>38322</v>
          </cell>
          <cell r="AB23">
            <v>7.008503304941982</v>
          </cell>
        </row>
        <row r="24">
          <cell r="Q24">
            <v>38353</v>
          </cell>
          <cell r="AB24">
            <v>-3.7758046748039398</v>
          </cell>
        </row>
        <row r="25">
          <cell r="Q25">
            <v>38384</v>
          </cell>
          <cell r="AB25">
            <v>18.864074373365014</v>
          </cell>
        </row>
        <row r="26">
          <cell r="Q26">
            <v>38412</v>
          </cell>
          <cell r="AB26">
            <v>-13.27044188016302</v>
          </cell>
        </row>
        <row r="27">
          <cell r="Q27">
            <v>38443</v>
          </cell>
          <cell r="AB27">
            <v>-11.004917918947044</v>
          </cell>
        </row>
        <row r="28">
          <cell r="Q28">
            <v>38473</v>
          </cell>
          <cell r="AB28">
            <v>34.735221715055076</v>
          </cell>
        </row>
        <row r="29">
          <cell r="Q29">
            <v>38504</v>
          </cell>
          <cell r="AB29">
            <v>-9.9533957017760244</v>
          </cell>
        </row>
        <row r="30">
          <cell r="Q30">
            <v>38534</v>
          </cell>
          <cell r="AB30">
            <v>23.019897246464005</v>
          </cell>
        </row>
        <row r="31">
          <cell r="Q31">
            <v>38565</v>
          </cell>
          <cell r="AB31">
            <v>-0.96422214368194759</v>
          </cell>
        </row>
        <row r="32">
          <cell r="Q32">
            <v>38596</v>
          </cell>
          <cell r="AB32">
            <v>-15.451331535869972</v>
          </cell>
        </row>
        <row r="33">
          <cell r="Q33">
            <v>38626</v>
          </cell>
          <cell r="AB33">
            <v>-0.17079361842000651</v>
          </cell>
        </row>
        <row r="34">
          <cell r="Q34">
            <v>38657</v>
          </cell>
          <cell r="AB34">
            <v>10.364328513785992</v>
          </cell>
        </row>
        <row r="35">
          <cell r="Q35">
            <v>38687</v>
          </cell>
          <cell r="AB35">
            <v>-5.466920661676955</v>
          </cell>
        </row>
        <row r="36">
          <cell r="Q36">
            <v>38718</v>
          </cell>
          <cell r="AB36">
            <v>1.6540831552353197</v>
          </cell>
        </row>
        <row r="37">
          <cell r="Q37">
            <v>38749</v>
          </cell>
          <cell r="AB37">
            <v>-12.166684485594637</v>
          </cell>
        </row>
        <row r="38">
          <cell r="Q38">
            <v>38777</v>
          </cell>
          <cell r="AB38">
            <v>-8.3802773683622434</v>
          </cell>
        </row>
        <row r="39">
          <cell r="Q39">
            <v>38808</v>
          </cell>
          <cell r="AB39">
            <v>-8.793038644849549</v>
          </cell>
        </row>
        <row r="40">
          <cell r="Q40">
            <v>38838</v>
          </cell>
          <cell r="AB40">
            <v>-7.9770610360058392</v>
          </cell>
        </row>
        <row r="41">
          <cell r="Q41">
            <v>38869</v>
          </cell>
          <cell r="AB41">
            <v>-7.4553637436631348</v>
          </cell>
        </row>
        <row r="42">
          <cell r="Q42">
            <v>38899</v>
          </cell>
          <cell r="AB42">
            <v>-10.249821353356037</v>
          </cell>
        </row>
        <row r="43">
          <cell r="Q43">
            <v>38930</v>
          </cell>
          <cell r="AB43">
            <v>-7.1911430898294881</v>
          </cell>
        </row>
        <row r="44">
          <cell r="Q44">
            <v>38961</v>
          </cell>
          <cell r="AB44">
            <v>-7.9722081814632695</v>
          </cell>
        </row>
        <row r="45">
          <cell r="Q45">
            <v>38991</v>
          </cell>
          <cell r="AB45">
            <v>-3.9591084093788531</v>
          </cell>
        </row>
        <row r="46">
          <cell r="Q46">
            <v>39022</v>
          </cell>
          <cell r="AB46">
            <v>-9.4629202313678107</v>
          </cell>
        </row>
        <row r="47">
          <cell r="Q47">
            <v>39052</v>
          </cell>
          <cell r="AB47">
            <v>-9.7887106746561869</v>
          </cell>
        </row>
        <row r="48">
          <cell r="Q48">
            <v>39083</v>
          </cell>
          <cell r="AB48">
            <v>-9.0478271673433142</v>
          </cell>
        </row>
        <row r="49">
          <cell r="Q49">
            <v>39114</v>
          </cell>
          <cell r="AB49">
            <v>-7.4161454968902696</v>
          </cell>
        </row>
        <row r="50">
          <cell r="Q50">
            <v>39142</v>
          </cell>
          <cell r="AB50">
            <v>-11.978925657790995</v>
          </cell>
        </row>
        <row r="51">
          <cell r="Q51">
            <v>39173</v>
          </cell>
          <cell r="AB51">
            <v>-1.1389208373338455</v>
          </cell>
        </row>
        <row r="52">
          <cell r="Q52">
            <v>39203</v>
          </cell>
          <cell r="AB52">
            <v>-12.187487446609069</v>
          </cell>
        </row>
        <row r="53">
          <cell r="Q53">
            <v>39234</v>
          </cell>
          <cell r="AB53">
            <v>-4.9349142704940618</v>
          </cell>
        </row>
        <row r="54">
          <cell r="Q54">
            <v>39264</v>
          </cell>
          <cell r="AB54">
            <v>-9.6295534874660582</v>
          </cell>
        </row>
        <row r="55">
          <cell r="Q55">
            <v>39295</v>
          </cell>
          <cell r="AB55">
            <v>-12.230852477931542</v>
          </cell>
        </row>
        <row r="56">
          <cell r="Q56">
            <v>39326</v>
          </cell>
          <cell r="AB56">
            <v>-13.115312499909404</v>
          </cell>
        </row>
        <row r="57">
          <cell r="Q57">
            <v>39356</v>
          </cell>
          <cell r="AB57">
            <v>-13.82198928358207</v>
          </cell>
        </row>
        <row r="58">
          <cell r="Q58">
            <v>39387</v>
          </cell>
          <cell r="AB58">
            <v>-5.2400586056755571</v>
          </cell>
        </row>
        <row r="59">
          <cell r="Q59">
            <v>39417</v>
          </cell>
          <cell r="AB59">
            <v>-18.599594810487297</v>
          </cell>
        </row>
        <row r="60">
          <cell r="Q60">
            <v>39448</v>
          </cell>
          <cell r="AB60">
            <v>-0.58289719279258634</v>
          </cell>
        </row>
        <row r="61">
          <cell r="Q61">
            <v>39479</v>
          </cell>
          <cell r="AB61">
            <v>-13.835442757453098</v>
          </cell>
        </row>
        <row r="62">
          <cell r="Q62">
            <v>39508</v>
          </cell>
          <cell r="AB62">
            <v>-4.7844526473809879</v>
          </cell>
        </row>
        <row r="63">
          <cell r="Q63">
            <v>39539</v>
          </cell>
          <cell r="AB63">
            <v>-11.537690827003289</v>
          </cell>
        </row>
        <row r="64">
          <cell r="Q64">
            <v>39569</v>
          </cell>
          <cell r="AB64">
            <v>4.2123830156458375</v>
          </cell>
        </row>
        <row r="65">
          <cell r="Q65">
            <v>39600</v>
          </cell>
          <cell r="AB65">
            <v>3.2755693746537418</v>
          </cell>
        </row>
        <row r="66">
          <cell r="Q66">
            <v>39630</v>
          </cell>
          <cell r="AB66">
            <v>-5.8071206633372618</v>
          </cell>
        </row>
        <row r="67">
          <cell r="Q67">
            <v>39661</v>
          </cell>
          <cell r="AB67">
            <v>-4.2974718038072623</v>
          </cell>
        </row>
        <row r="68">
          <cell r="Q68">
            <v>39692</v>
          </cell>
          <cell r="AB68">
            <v>-9.5444016099049733</v>
          </cell>
        </row>
        <row r="69">
          <cell r="Q69">
            <v>39722</v>
          </cell>
          <cell r="AB69">
            <v>-7.8494802085590898</v>
          </cell>
        </row>
        <row r="70">
          <cell r="Q70">
            <v>39753</v>
          </cell>
          <cell r="AB70">
            <v>-15.217390133580988</v>
          </cell>
        </row>
        <row r="71">
          <cell r="Q71">
            <v>39783</v>
          </cell>
          <cell r="AB71">
            <v>-10.80087303705719</v>
          </cell>
        </row>
        <row r="72">
          <cell r="Q72">
            <v>39814</v>
          </cell>
          <cell r="AB72">
            <v>-15.966345832676865</v>
          </cell>
        </row>
        <row r="73">
          <cell r="Q73">
            <v>39845</v>
          </cell>
          <cell r="AB73">
            <v>-9.928646137858621</v>
          </cell>
        </row>
        <row r="74">
          <cell r="Q74">
            <v>39873</v>
          </cell>
          <cell r="AB74">
            <v>-4.162828598996704</v>
          </cell>
        </row>
        <row r="75">
          <cell r="Q75">
            <v>39904</v>
          </cell>
          <cell r="AB75">
            <v>-7.2813994234024015</v>
          </cell>
        </row>
        <row r="76">
          <cell r="Q76">
            <v>39934</v>
          </cell>
          <cell r="AB76">
            <v>-16.64411252933915</v>
          </cell>
        </row>
        <row r="77">
          <cell r="Q77">
            <v>39965</v>
          </cell>
          <cell r="AB77">
            <v>-12.408473831946765</v>
          </cell>
        </row>
        <row r="78">
          <cell r="Q78">
            <v>39995</v>
          </cell>
          <cell r="AB78">
            <v>-9.4805486011098061</v>
          </cell>
        </row>
        <row r="79">
          <cell r="Q79">
            <v>40026</v>
          </cell>
          <cell r="AB79">
            <v>-9.1601808904803406</v>
          </cell>
        </row>
        <row r="80">
          <cell r="Q80">
            <v>40057</v>
          </cell>
          <cell r="AB80">
            <v>-10.944170478664983</v>
          </cell>
        </row>
        <row r="81">
          <cell r="Q81">
            <v>40087</v>
          </cell>
          <cell r="AB81">
            <v>-6.4900091387820602</v>
          </cell>
        </row>
        <row r="82">
          <cell r="Q82">
            <v>40118</v>
          </cell>
          <cell r="AB82">
            <v>-13.012448543787958</v>
          </cell>
        </row>
        <row r="83">
          <cell r="Q83">
            <v>40148</v>
          </cell>
          <cell r="AB83">
            <v>-11.638978031627634</v>
          </cell>
        </row>
        <row r="84">
          <cell r="Q84">
            <v>40179</v>
          </cell>
          <cell r="AB84">
            <v>-10.4711992836096</v>
          </cell>
        </row>
        <row r="85">
          <cell r="Q85">
            <v>40210</v>
          </cell>
          <cell r="AB85">
            <v>-10.290192051460512</v>
          </cell>
        </row>
        <row r="86">
          <cell r="Q86">
            <v>40238</v>
          </cell>
          <cell r="AB86">
            <v>-12.089847154236377</v>
          </cell>
        </row>
        <row r="87">
          <cell r="Q87">
            <v>40269</v>
          </cell>
          <cell r="AB87">
            <v>-8.5893414733147821</v>
          </cell>
        </row>
        <row r="88">
          <cell r="Q88">
            <v>40299</v>
          </cell>
          <cell r="AB88">
            <v>-8.1837237831443588</v>
          </cell>
        </row>
        <row r="89">
          <cell r="Q89">
            <v>40330</v>
          </cell>
          <cell r="AB89">
            <v>-10.296106011187334</v>
          </cell>
        </row>
        <row r="90">
          <cell r="Q90">
            <v>40360</v>
          </cell>
          <cell r="AB90">
            <v>-7.5327663498928388</v>
          </cell>
        </row>
        <row r="91">
          <cell r="Q91">
            <v>40391</v>
          </cell>
          <cell r="AB91">
            <v>-8.9588505366472226</v>
          </cell>
        </row>
        <row r="92">
          <cell r="Q92">
            <v>40422</v>
          </cell>
          <cell r="AB92">
            <v>-10.486378374323291</v>
          </cell>
        </row>
        <row r="93">
          <cell r="Q93">
            <v>40452</v>
          </cell>
          <cell r="AB93">
            <v>-9.7634788440698728</v>
          </cell>
        </row>
        <row r="94">
          <cell r="Q94">
            <v>40483</v>
          </cell>
          <cell r="AB94">
            <v>-8.3012644179340178</v>
          </cell>
        </row>
        <row r="95">
          <cell r="Q95">
            <v>40513</v>
          </cell>
          <cell r="AB95">
            <v>-12.016539854336195</v>
          </cell>
        </row>
        <row r="96">
          <cell r="Q96">
            <v>40544</v>
          </cell>
          <cell r="AB96">
            <v>-10.175071823553061</v>
          </cell>
        </row>
        <row r="97">
          <cell r="Q97">
            <v>40575</v>
          </cell>
          <cell r="AB97">
            <v>-10.942454040571814</v>
          </cell>
        </row>
        <row r="98">
          <cell r="Q98">
            <v>40603</v>
          </cell>
          <cell r="AB98">
            <v>-10.302696120874444</v>
          </cell>
        </row>
        <row r="99">
          <cell r="Q99">
            <v>40634</v>
          </cell>
          <cell r="AB99">
            <v>-9.8939733718188982</v>
          </cell>
        </row>
        <row r="100">
          <cell r="Q100">
            <v>40664</v>
          </cell>
          <cell r="AB100">
            <v>-7.6714323170119059</v>
          </cell>
        </row>
        <row r="101">
          <cell r="Q101">
            <v>40695</v>
          </cell>
          <cell r="AB101">
            <v>-10.065047750133349</v>
          </cell>
        </row>
        <row r="102">
          <cell r="Q102">
            <v>40725</v>
          </cell>
          <cell r="AB102">
            <v>-12.047749187629009</v>
          </cell>
        </row>
        <row r="103">
          <cell r="Q103">
            <v>40756</v>
          </cell>
          <cell r="AB103">
            <v>-12.614714668433624</v>
          </cell>
        </row>
        <row r="104">
          <cell r="Q104">
            <v>40787</v>
          </cell>
          <cell r="AB104">
            <v>-13.036367635126744</v>
          </cell>
        </row>
        <row r="105">
          <cell r="Q105">
            <v>40817</v>
          </cell>
          <cell r="AB105">
            <v>-13.681019238411452</v>
          </cell>
        </row>
        <row r="106">
          <cell r="Q106">
            <v>40848</v>
          </cell>
          <cell r="AB106">
            <v>-9.5820633180734305</v>
          </cell>
        </row>
        <row r="107">
          <cell r="Q107">
            <v>40878</v>
          </cell>
          <cell r="AB107">
            <v>-13.345720407462469</v>
          </cell>
        </row>
        <row r="108">
          <cell r="Q108">
            <v>40909</v>
          </cell>
          <cell r="AB108">
            <v>-11.391125243130951</v>
          </cell>
        </row>
        <row r="109">
          <cell r="Q109">
            <v>40940</v>
          </cell>
          <cell r="AB109">
            <v>-12.442356795349685</v>
          </cell>
        </row>
        <row r="110">
          <cell r="Q110">
            <v>40969</v>
          </cell>
          <cell r="AB110">
            <v>-13.323704137680714</v>
          </cell>
        </row>
        <row r="111">
          <cell r="Q111">
            <v>41000</v>
          </cell>
          <cell r="AB111">
            <v>-10.763111559995764</v>
          </cell>
        </row>
        <row r="112">
          <cell r="Q112">
            <v>41030</v>
          </cell>
          <cell r="AB112">
            <v>-12.719013489022402</v>
          </cell>
        </row>
        <row r="113">
          <cell r="Q113">
            <v>41061</v>
          </cell>
          <cell r="AB113">
            <v>-12.488101052612066</v>
          </cell>
        </row>
        <row r="114">
          <cell r="Q114">
            <v>41091</v>
          </cell>
          <cell r="AB114">
            <v>-10.26052457117328</v>
          </cell>
        </row>
        <row r="115">
          <cell r="Q115">
            <v>41122</v>
          </cell>
          <cell r="AB115">
            <v>-11.458283807819791</v>
          </cell>
        </row>
        <row r="116">
          <cell r="Q116">
            <v>41153</v>
          </cell>
          <cell r="AB116">
            <v>-10.345206481692948</v>
          </cell>
        </row>
        <row r="117">
          <cell r="Q117">
            <v>41183</v>
          </cell>
          <cell r="AB117">
            <v>-11.452897920989047</v>
          </cell>
        </row>
        <row r="118">
          <cell r="Q118">
            <v>41214</v>
          </cell>
          <cell r="AB118">
            <v>-11.56920109898083</v>
          </cell>
        </row>
        <row r="119">
          <cell r="Q119">
            <v>41244</v>
          </cell>
          <cell r="AB119">
            <v>-10.012068865524393</v>
          </cell>
        </row>
        <row r="120">
          <cell r="Q120">
            <v>41275</v>
          </cell>
          <cell r="AB120">
            <v>-8.9458990103569835</v>
          </cell>
        </row>
        <row r="121">
          <cell r="Q121">
            <v>41306</v>
          </cell>
          <cell r="AB121">
            <v>-10.423595091764337</v>
          </cell>
        </row>
        <row r="122">
          <cell r="Q122">
            <v>41334</v>
          </cell>
          <cell r="AB122">
            <v>-8.99826270347579</v>
          </cell>
        </row>
        <row r="123">
          <cell r="Q123">
            <v>41365</v>
          </cell>
          <cell r="AB123">
            <v>-9.7355740801877921</v>
          </cell>
        </row>
        <row r="124">
          <cell r="Q124">
            <v>41395</v>
          </cell>
          <cell r="AB124">
            <v>-11.1010121705998</v>
          </cell>
        </row>
        <row r="125">
          <cell r="Q125">
            <v>41426</v>
          </cell>
          <cell r="AB125">
            <v>-12.045092853877115</v>
          </cell>
        </row>
        <row r="126">
          <cell r="Q126">
            <v>41456</v>
          </cell>
          <cell r="AB126">
            <v>-12.655842994745203</v>
          </cell>
        </row>
        <row r="127">
          <cell r="Q127">
            <v>41487</v>
          </cell>
          <cell r="AB127">
            <v>-15.053428851779138</v>
          </cell>
        </row>
        <row r="128">
          <cell r="Q128">
            <v>41518</v>
          </cell>
          <cell r="AB128">
            <v>-11.902460087543787</v>
          </cell>
        </row>
        <row r="129">
          <cell r="Q129">
            <v>41548</v>
          </cell>
          <cell r="AB129">
            <v>-15.23919952800421</v>
          </cell>
        </row>
        <row r="130">
          <cell r="Q130">
            <v>41579</v>
          </cell>
          <cell r="AB130">
            <v>-15.704770058526663</v>
          </cell>
        </row>
        <row r="131">
          <cell r="Q131">
            <v>41609</v>
          </cell>
          <cell r="AB131">
            <v>-15.855736405552001</v>
          </cell>
        </row>
        <row r="132">
          <cell r="Q132">
            <v>41640</v>
          </cell>
          <cell r="AB132">
            <v>-14.768578984915504</v>
          </cell>
        </row>
        <row r="133">
          <cell r="Q133">
            <v>41671</v>
          </cell>
          <cell r="AB133">
            <v>-14.742579695150138</v>
          </cell>
        </row>
        <row r="134">
          <cell r="Q134">
            <v>41699</v>
          </cell>
          <cell r="AB134">
            <v>-13.815444362163998</v>
          </cell>
        </row>
        <row r="135">
          <cell r="Q135">
            <v>41730</v>
          </cell>
          <cell r="AB135">
            <v>-14.939496468823954</v>
          </cell>
        </row>
        <row r="136">
          <cell r="Q136">
            <v>41760</v>
          </cell>
          <cell r="AB136">
            <v>-15.543019698244365</v>
          </cell>
        </row>
        <row r="137">
          <cell r="Q137">
            <v>41791</v>
          </cell>
          <cell r="AB137">
            <v>-16.192099258307291</v>
          </cell>
        </row>
        <row r="138">
          <cell r="Q138">
            <v>41821</v>
          </cell>
          <cell r="AB138">
            <v>-16.258776859138102</v>
          </cell>
        </row>
        <row r="139">
          <cell r="Q139">
            <v>41852</v>
          </cell>
          <cell r="AB139">
            <v>-16.438381206561736</v>
          </cell>
        </row>
        <row r="140">
          <cell r="Q140">
            <v>41883</v>
          </cell>
          <cell r="AB140">
            <v>-15.967042905953477</v>
          </cell>
        </row>
        <row r="141">
          <cell r="Q141">
            <v>41913</v>
          </cell>
          <cell r="AB141">
            <v>-16.112549776462881</v>
          </cell>
        </row>
        <row r="142">
          <cell r="Q142">
            <v>41944</v>
          </cell>
          <cell r="AB142">
            <v>-13.389959624690917</v>
          </cell>
        </row>
        <row r="143">
          <cell r="Q143">
            <v>41974</v>
          </cell>
          <cell r="AB143">
            <v>-17.577982915664325</v>
          </cell>
        </row>
        <row r="144">
          <cell r="Q144">
            <v>42005</v>
          </cell>
          <cell r="AB144">
            <v>-17.195842477996859</v>
          </cell>
        </row>
        <row r="145">
          <cell r="Q145">
            <v>42036</v>
          </cell>
          <cell r="AB145">
            <v>-19.965100391355151</v>
          </cell>
        </row>
        <row r="146">
          <cell r="Q146">
            <v>42064</v>
          </cell>
          <cell r="AB146">
            <v>-18.810943748430596</v>
          </cell>
        </row>
        <row r="147">
          <cell r="Q147">
            <v>42095</v>
          </cell>
          <cell r="AB147">
            <v>-18.127289310460348</v>
          </cell>
        </row>
        <row r="148">
          <cell r="Q148">
            <v>42125</v>
          </cell>
          <cell r="AB148">
            <v>-16.425844307403416</v>
          </cell>
        </row>
        <row r="149">
          <cell r="Q149">
            <v>42156</v>
          </cell>
          <cell r="AB149">
            <v>-17.191084165791448</v>
          </cell>
        </row>
        <row r="150">
          <cell r="Q150">
            <v>42186</v>
          </cell>
          <cell r="AB150">
            <v>-17.007998456071682</v>
          </cell>
        </row>
        <row r="151">
          <cell r="Q151">
            <v>42217</v>
          </cell>
          <cell r="AB151">
            <v>-18.364111636423619</v>
          </cell>
        </row>
        <row r="152">
          <cell r="Q152">
            <v>42248</v>
          </cell>
          <cell r="AB152">
            <v>-18.388669174817895</v>
          </cell>
        </row>
        <row r="153">
          <cell r="Q153">
            <v>42278</v>
          </cell>
          <cell r="AB153">
            <v>-17.90597316621918</v>
          </cell>
        </row>
        <row r="154">
          <cell r="Q154">
            <v>42309</v>
          </cell>
          <cell r="AB154">
            <v>-18.498170723701168</v>
          </cell>
        </row>
        <row r="155">
          <cell r="Q155">
            <v>42339</v>
          </cell>
          <cell r="AB155">
            <v>-22.330059252324652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O415"/>
  <sheetViews>
    <sheetView workbookViewId="0">
      <selection activeCell="L51" sqref="L51"/>
    </sheetView>
  </sheetViews>
  <sheetFormatPr defaultRowHeight="15" x14ac:dyDescent="0.25"/>
  <cols>
    <col min="1" max="1" width="9.7109375" bestFit="1" customWidth="1"/>
    <col min="5" max="5" width="10.7109375" bestFit="1" customWidth="1"/>
    <col min="11" max="11" width="9.7109375" bestFit="1" customWidth="1"/>
    <col min="15" max="15" width="12" bestFit="1" customWidth="1"/>
  </cols>
  <sheetData>
    <row r="1" spans="1:15" x14ac:dyDescent="0.25">
      <c r="A1" t="s">
        <v>2</v>
      </c>
      <c r="E1" t="s">
        <v>3</v>
      </c>
      <c r="N1" t="s">
        <v>6</v>
      </c>
    </row>
    <row r="2" spans="1:15" x14ac:dyDescent="0.25">
      <c r="A2" t="s">
        <v>0</v>
      </c>
      <c r="B2" t="s">
        <v>1</v>
      </c>
      <c r="C2" t="s">
        <v>4</v>
      </c>
      <c r="E2" t="s">
        <v>0</v>
      </c>
      <c r="F2" t="s">
        <v>1</v>
      </c>
      <c r="G2" t="s">
        <v>4</v>
      </c>
      <c r="K2" t="s">
        <v>0</v>
      </c>
      <c r="L2" t="s">
        <v>2</v>
      </c>
      <c r="M2" t="s">
        <v>3</v>
      </c>
      <c r="N2" t="s">
        <v>5</v>
      </c>
      <c r="O2" t="s">
        <v>7</v>
      </c>
    </row>
    <row r="3" spans="1:15" x14ac:dyDescent="0.25">
      <c r="A3" s="1">
        <v>39569</v>
      </c>
      <c r="B3">
        <v>6.2993169893947298</v>
      </c>
      <c r="C3">
        <v>1161378160</v>
      </c>
      <c r="E3" s="1">
        <v>29891</v>
      </c>
      <c r="F3">
        <v>10.5179143862369</v>
      </c>
      <c r="G3">
        <v>89799701650.919998</v>
      </c>
      <c r="K3" s="1">
        <v>39569</v>
      </c>
      <c r="L3">
        <v>6.2993169893947298</v>
      </c>
      <c r="M3">
        <f>VLOOKUP(K3,E:G,2,0)</f>
        <v>6.01405192058363</v>
      </c>
      <c r="N3">
        <f>(L3-M3)*100</f>
        <v>28.526506881109981</v>
      </c>
      <c r="O3" s="2">
        <f>C3/VLOOKUP(K3,E:G,3,0)</f>
        <v>2.9165871398595167E-4</v>
      </c>
    </row>
    <row r="4" spans="1:15" x14ac:dyDescent="0.25">
      <c r="A4" s="1">
        <v>39600</v>
      </c>
      <c r="B4">
        <v>6.1448270312832296</v>
      </c>
      <c r="C4">
        <v>35713732492</v>
      </c>
      <c r="E4" s="1">
        <v>29921</v>
      </c>
      <c r="F4">
        <v>12.6252429750883</v>
      </c>
      <c r="G4">
        <v>13422202227.719999</v>
      </c>
      <c r="K4" s="1">
        <v>39600</v>
      </c>
      <c r="L4">
        <v>6.1448270312832296</v>
      </c>
      <c r="M4">
        <f t="shared" ref="M4:M67" si="0">VLOOKUP(K4,E:G,2,0)</f>
        <v>5.99401149130503</v>
      </c>
      <c r="N4">
        <f t="shared" ref="N4:N67" si="1">(L4-M4)*100</f>
        <v>15.081553997819963</v>
      </c>
      <c r="O4" s="2">
        <f t="shared" ref="O4:O67" si="2">C4/VLOOKUP(K4,E:G,3,0)</f>
        <v>1.0583837708653275E-2</v>
      </c>
    </row>
    <row r="5" spans="1:15" x14ac:dyDescent="0.25">
      <c r="A5" s="1">
        <v>39630</v>
      </c>
      <c r="B5">
        <v>6.0746575060433798</v>
      </c>
      <c r="C5">
        <v>149039315115</v>
      </c>
      <c r="E5" s="1">
        <v>29952</v>
      </c>
      <c r="F5">
        <v>9.7391655989883095</v>
      </c>
      <c r="G5">
        <v>60262819312.580002</v>
      </c>
      <c r="K5" s="1">
        <v>39630</v>
      </c>
      <c r="L5">
        <v>6.0746575060433798</v>
      </c>
      <c r="M5">
        <f t="shared" si="0"/>
        <v>6.1169393500164198</v>
      </c>
      <c r="N5">
        <f t="shared" si="1"/>
        <v>-4.2281843973039912</v>
      </c>
      <c r="O5" s="2">
        <f t="shared" si="2"/>
        <v>6.4944641105330547E-2</v>
      </c>
    </row>
    <row r="6" spans="1:15" x14ac:dyDescent="0.25">
      <c r="A6" s="1">
        <v>39661</v>
      </c>
      <c r="B6">
        <v>6.2552582149466804</v>
      </c>
      <c r="C6">
        <v>172002858607</v>
      </c>
      <c r="E6" s="1">
        <v>29983</v>
      </c>
      <c r="F6">
        <v>10.266598374498599</v>
      </c>
      <c r="G6">
        <v>69871323420.710007</v>
      </c>
      <c r="K6" s="1">
        <v>39661</v>
      </c>
      <c r="L6">
        <v>6.2552582149466804</v>
      </c>
      <c r="M6">
        <f t="shared" si="0"/>
        <v>6.3342756758093897</v>
      </c>
      <c r="N6">
        <f t="shared" si="1"/>
        <v>-7.9017460862709221</v>
      </c>
      <c r="O6" s="2">
        <f t="shared" si="2"/>
        <v>9.2590993222294665E-2</v>
      </c>
    </row>
    <row r="7" spans="1:15" x14ac:dyDescent="0.25">
      <c r="A7" s="1">
        <v>39692</v>
      </c>
      <c r="B7">
        <v>6.3763621045402203</v>
      </c>
      <c r="C7">
        <v>198709500499</v>
      </c>
      <c r="E7" s="1">
        <v>30011</v>
      </c>
      <c r="F7">
        <v>9.6542115078759192</v>
      </c>
      <c r="G7">
        <v>139375008429.89999</v>
      </c>
      <c r="K7" s="1">
        <v>39692</v>
      </c>
      <c r="L7">
        <v>6.3763621045402203</v>
      </c>
      <c r="M7">
        <f t="shared" si="0"/>
        <v>6.4530924466433497</v>
      </c>
      <c r="N7">
        <f t="shared" si="1"/>
        <v>-7.6730342103129345</v>
      </c>
      <c r="O7" s="2">
        <f t="shared" si="2"/>
        <v>8.3133750535719697E-2</v>
      </c>
    </row>
    <row r="8" spans="1:15" x14ac:dyDescent="0.25">
      <c r="A8" s="1">
        <v>39722</v>
      </c>
      <c r="B8">
        <v>6.3160939264723099</v>
      </c>
      <c r="C8">
        <v>111855954373</v>
      </c>
      <c r="E8" s="1">
        <v>30042</v>
      </c>
      <c r="F8">
        <v>9.6723304089128597</v>
      </c>
      <c r="G8">
        <v>103912813271.2</v>
      </c>
      <c r="K8" s="1">
        <v>39722</v>
      </c>
      <c r="L8">
        <v>6.3160939264723099</v>
      </c>
      <c r="M8">
        <f t="shared" si="0"/>
        <v>6.3436343243934701</v>
      </c>
      <c r="N8">
        <f t="shared" si="1"/>
        <v>-2.7540397921160142</v>
      </c>
      <c r="O8" s="2">
        <f t="shared" si="2"/>
        <v>6.1816447022908318E-2</v>
      </c>
    </row>
    <row r="9" spans="1:15" x14ac:dyDescent="0.25">
      <c r="A9" s="1">
        <v>39783</v>
      </c>
      <c r="B9">
        <v>6.61508899457022</v>
      </c>
      <c r="C9">
        <v>965831396</v>
      </c>
      <c r="E9" s="1">
        <v>30072</v>
      </c>
      <c r="F9">
        <v>9.6530214683803202</v>
      </c>
      <c r="G9">
        <v>109087546221.67999</v>
      </c>
      <c r="K9" s="1">
        <v>39783</v>
      </c>
      <c r="L9">
        <v>6.61508899457022</v>
      </c>
      <c r="M9">
        <f t="shared" si="0"/>
        <v>5.97504083742629</v>
      </c>
      <c r="N9">
        <f t="shared" si="1"/>
        <v>64.004815714393004</v>
      </c>
      <c r="O9" s="2">
        <f t="shared" si="2"/>
        <v>3.5490679374334898E-4</v>
      </c>
    </row>
    <row r="10" spans="1:15" x14ac:dyDescent="0.25">
      <c r="A10" s="1">
        <v>39845</v>
      </c>
      <c r="B10">
        <v>5.5408758457515797</v>
      </c>
      <c r="C10">
        <v>44994601171</v>
      </c>
      <c r="E10" s="1">
        <v>30086</v>
      </c>
      <c r="F10">
        <v>8.83</v>
      </c>
      <c r="G10">
        <v>496615826.51999998</v>
      </c>
      <c r="K10" s="1">
        <v>39845</v>
      </c>
      <c r="L10">
        <v>5.5408758457515797</v>
      </c>
      <c r="M10">
        <f t="shared" si="0"/>
        <v>5.0640383435435696</v>
      </c>
      <c r="N10">
        <f t="shared" si="1"/>
        <v>47.683750220801002</v>
      </c>
      <c r="O10" s="2">
        <f t="shared" si="2"/>
        <v>1.5250839249050558E-2</v>
      </c>
    </row>
    <row r="11" spans="1:15" x14ac:dyDescent="0.25">
      <c r="A11" s="1">
        <v>39873</v>
      </c>
      <c r="B11">
        <v>5.3354414409587303</v>
      </c>
      <c r="C11">
        <v>47649314668</v>
      </c>
      <c r="E11" s="1">
        <v>30103</v>
      </c>
      <c r="F11">
        <v>9.6148224263757491</v>
      </c>
      <c r="G11">
        <v>41110765665.68</v>
      </c>
      <c r="K11" s="1">
        <v>39873</v>
      </c>
      <c r="L11">
        <v>5.3354414409587303</v>
      </c>
      <c r="M11">
        <f t="shared" si="0"/>
        <v>4.9906923259199898</v>
      </c>
      <c r="N11">
        <f t="shared" si="1"/>
        <v>34.474911503874054</v>
      </c>
      <c r="O11" s="2">
        <f t="shared" si="2"/>
        <v>8.139954075242194E-3</v>
      </c>
    </row>
    <row r="12" spans="1:15" x14ac:dyDescent="0.25">
      <c r="A12" s="1">
        <v>39904</v>
      </c>
      <c r="B12">
        <v>5.0985473440799298</v>
      </c>
      <c r="C12">
        <v>36818027973</v>
      </c>
      <c r="E12" s="1">
        <v>30133</v>
      </c>
      <c r="F12">
        <v>10.904000557948899</v>
      </c>
      <c r="G12">
        <v>76841925304.800003</v>
      </c>
      <c r="K12" s="1">
        <v>39904</v>
      </c>
      <c r="L12">
        <v>5.0985473440799298</v>
      </c>
      <c r="M12">
        <f t="shared" si="0"/>
        <v>4.9396221365250499</v>
      </c>
      <c r="N12">
        <f t="shared" si="1"/>
        <v>15.892520755487993</v>
      </c>
      <c r="O12" s="2">
        <f t="shared" si="2"/>
        <v>1.0957839710351944E-2</v>
      </c>
    </row>
    <row r="13" spans="1:15" x14ac:dyDescent="0.25">
      <c r="A13" s="1">
        <v>39934</v>
      </c>
      <c r="B13">
        <v>5.94871326378503</v>
      </c>
      <c r="C13">
        <v>524521902921</v>
      </c>
      <c r="E13" s="1">
        <v>30164</v>
      </c>
      <c r="F13">
        <v>10.3635999599176</v>
      </c>
      <c r="G13">
        <v>109291018119.82001</v>
      </c>
      <c r="K13" s="1">
        <v>39934</v>
      </c>
      <c r="L13">
        <v>5.94871326378503</v>
      </c>
      <c r="M13">
        <f t="shared" si="0"/>
        <v>5.42981062692051</v>
      </c>
      <c r="N13">
        <f t="shared" si="1"/>
        <v>51.890263686452002</v>
      </c>
      <c r="O13" s="2">
        <f t="shared" si="2"/>
        <v>6.5335356111700729E-2</v>
      </c>
    </row>
    <row r="14" spans="1:15" x14ac:dyDescent="0.25">
      <c r="A14" s="1">
        <v>39965</v>
      </c>
      <c r="B14">
        <v>6.0411523126401399</v>
      </c>
      <c r="C14">
        <v>170048580527</v>
      </c>
      <c r="E14" s="1">
        <v>30195</v>
      </c>
      <c r="F14">
        <v>9.9629691462418801</v>
      </c>
      <c r="G14">
        <v>141219916281.39001</v>
      </c>
      <c r="K14" s="1">
        <v>39965</v>
      </c>
      <c r="L14">
        <v>6.0411523126401399</v>
      </c>
      <c r="M14">
        <f t="shared" si="0"/>
        <v>5.0709089851056302</v>
      </c>
      <c r="N14">
        <f t="shared" si="1"/>
        <v>97.024332753450977</v>
      </c>
      <c r="O14" s="2">
        <f t="shared" si="2"/>
        <v>2.4668686175981558E-2</v>
      </c>
    </row>
    <row r="15" spans="1:15" x14ac:dyDescent="0.25">
      <c r="A15" s="1">
        <v>39995</v>
      </c>
      <c r="B15">
        <v>5.25258091814261</v>
      </c>
      <c r="C15">
        <v>119670314273</v>
      </c>
      <c r="E15" s="1">
        <v>30225</v>
      </c>
      <c r="F15">
        <v>12.161604994205501</v>
      </c>
      <c r="G15">
        <v>312855254512.21002</v>
      </c>
      <c r="K15" s="1">
        <v>39995</v>
      </c>
      <c r="L15">
        <v>5.25258091814261</v>
      </c>
      <c r="M15">
        <f t="shared" si="0"/>
        <v>4.8743901246381203</v>
      </c>
      <c r="N15">
        <f t="shared" si="1"/>
        <v>37.819079350448973</v>
      </c>
      <c r="O15" s="2">
        <f t="shared" si="2"/>
        <v>2.5640931383379272E-2</v>
      </c>
    </row>
    <row r="16" spans="1:15" x14ac:dyDescent="0.25">
      <c r="A16" s="1">
        <v>40026</v>
      </c>
      <c r="B16">
        <v>5.3019297697116299</v>
      </c>
      <c r="C16">
        <v>171046032353</v>
      </c>
      <c r="E16" s="1">
        <v>30235</v>
      </c>
      <c r="F16">
        <v>8.64</v>
      </c>
      <c r="G16">
        <v>2383513538.7199998</v>
      </c>
      <c r="K16" s="1">
        <v>40026</v>
      </c>
      <c r="L16">
        <v>5.3019297697116299</v>
      </c>
      <c r="M16">
        <f t="shared" si="0"/>
        <v>5.0117457844567896</v>
      </c>
      <c r="N16">
        <f t="shared" si="1"/>
        <v>29.018398525484024</v>
      </c>
      <c r="O16" s="2">
        <f t="shared" si="2"/>
        <v>5.0619804086324681E-2</v>
      </c>
    </row>
    <row r="17" spans="1:15" x14ac:dyDescent="0.25">
      <c r="A17" s="1">
        <v>40057</v>
      </c>
      <c r="B17">
        <v>5.3079660068142296</v>
      </c>
      <c r="C17">
        <v>278101063847</v>
      </c>
      <c r="E17" s="1">
        <v>30256</v>
      </c>
      <c r="F17">
        <v>11.026192923441</v>
      </c>
      <c r="G17">
        <v>182795013796.57999</v>
      </c>
      <c r="K17" s="1">
        <v>40057</v>
      </c>
      <c r="L17">
        <v>5.3079660068142296</v>
      </c>
      <c r="M17">
        <f t="shared" si="0"/>
        <v>5.2754165130291399</v>
      </c>
      <c r="N17">
        <f t="shared" si="1"/>
        <v>3.2549493785089645</v>
      </c>
      <c r="O17" s="2">
        <f t="shared" si="2"/>
        <v>8.6720315539991488E-2</v>
      </c>
    </row>
    <row r="18" spans="1:15" x14ac:dyDescent="0.25">
      <c r="A18" s="1">
        <v>40087</v>
      </c>
      <c r="B18">
        <v>5.1737070860492098</v>
      </c>
      <c r="C18">
        <v>345111931532</v>
      </c>
      <c r="E18" s="1">
        <v>30286</v>
      </c>
      <c r="F18">
        <v>9.6085636843857198</v>
      </c>
      <c r="G18">
        <v>281333198895.69</v>
      </c>
      <c r="K18" s="1">
        <v>40087</v>
      </c>
      <c r="L18">
        <v>5.1737070860492098</v>
      </c>
      <c r="M18">
        <f t="shared" si="0"/>
        <v>5.1437375107246996</v>
      </c>
      <c r="N18">
        <f t="shared" si="1"/>
        <v>2.9969575324510167</v>
      </c>
      <c r="O18" s="2">
        <f t="shared" si="2"/>
        <v>0.19388769396695821</v>
      </c>
    </row>
    <row r="19" spans="1:15" x14ac:dyDescent="0.25">
      <c r="A19" s="1">
        <v>40118</v>
      </c>
      <c r="B19">
        <v>5.4206972136522804</v>
      </c>
      <c r="C19">
        <v>226250741009</v>
      </c>
      <c r="E19" s="1">
        <v>30317</v>
      </c>
      <c r="F19">
        <v>13.315437321258299</v>
      </c>
      <c r="G19">
        <v>119941101682.64999</v>
      </c>
      <c r="K19" s="1">
        <v>40118</v>
      </c>
      <c r="L19">
        <v>5.4206972136522804</v>
      </c>
      <c r="M19">
        <f t="shared" si="0"/>
        <v>5.1227940946666299</v>
      </c>
      <c r="N19">
        <f t="shared" si="1"/>
        <v>29.790311898565047</v>
      </c>
      <c r="O19" s="2">
        <f t="shared" si="2"/>
        <v>0.12281276126308358</v>
      </c>
    </row>
    <row r="20" spans="1:15" x14ac:dyDescent="0.25">
      <c r="A20" s="1">
        <v>40148</v>
      </c>
      <c r="B20">
        <v>5.3051625635030302</v>
      </c>
      <c r="C20">
        <v>206304228919</v>
      </c>
      <c r="E20" s="1">
        <v>30348</v>
      </c>
      <c r="F20">
        <v>12.700890162097</v>
      </c>
      <c r="G20">
        <v>189355031841.60001</v>
      </c>
      <c r="K20" s="1">
        <v>40148</v>
      </c>
      <c r="L20">
        <v>5.3051625635030302</v>
      </c>
      <c r="M20">
        <f t="shared" si="0"/>
        <v>5.0644022910284301</v>
      </c>
      <c r="N20">
        <f t="shared" si="1"/>
        <v>24.076027247460008</v>
      </c>
      <c r="O20" s="2">
        <f t="shared" si="2"/>
        <v>8.9618259017496912E-2</v>
      </c>
    </row>
    <row r="21" spans="1:15" x14ac:dyDescent="0.25">
      <c r="A21" s="1">
        <v>40179</v>
      </c>
      <c r="B21">
        <v>5.2422195151643001</v>
      </c>
      <c r="C21">
        <v>186317286888</v>
      </c>
      <c r="E21" s="1">
        <v>30371</v>
      </c>
      <c r="F21">
        <v>10.119999999999999</v>
      </c>
      <c r="G21">
        <v>245978661.88</v>
      </c>
      <c r="K21" s="1">
        <v>40179</v>
      </c>
      <c r="L21">
        <v>5.2422195151643001</v>
      </c>
      <c r="M21">
        <f t="shared" si="0"/>
        <v>5.050735856298</v>
      </c>
      <c r="N21">
        <f t="shared" si="1"/>
        <v>19.148365886630003</v>
      </c>
      <c r="O21" s="2">
        <f t="shared" si="2"/>
        <v>0.10271581239762505</v>
      </c>
    </row>
    <row r="22" spans="1:15" x14ac:dyDescent="0.25">
      <c r="A22" s="1">
        <v>40210</v>
      </c>
      <c r="B22">
        <v>5.2274340202475598</v>
      </c>
      <c r="C22">
        <v>178121476717</v>
      </c>
      <c r="E22" s="1">
        <v>30376</v>
      </c>
      <c r="F22">
        <v>12.913322290927599</v>
      </c>
      <c r="G22">
        <v>228346573908.38</v>
      </c>
      <c r="K22" s="1">
        <v>40210</v>
      </c>
      <c r="L22">
        <v>5.2274340202475598</v>
      </c>
      <c r="M22">
        <f t="shared" si="0"/>
        <v>5.0377067030616098</v>
      </c>
      <c r="N22">
        <f t="shared" si="1"/>
        <v>18.972731718594993</v>
      </c>
      <c r="O22" s="2">
        <f t="shared" si="2"/>
        <v>9.7957271276644484E-2</v>
      </c>
    </row>
    <row r="23" spans="1:15" x14ac:dyDescent="0.25">
      <c r="A23" s="1">
        <v>40238</v>
      </c>
      <c r="B23">
        <v>5.2833886604944702</v>
      </c>
      <c r="C23">
        <v>184995232695</v>
      </c>
      <c r="E23" s="1">
        <v>30407</v>
      </c>
      <c r="F23">
        <v>11.159818312327101</v>
      </c>
      <c r="G23">
        <v>67252070306.57</v>
      </c>
      <c r="K23" s="1">
        <v>40238</v>
      </c>
      <c r="L23">
        <v>5.2833886604944702</v>
      </c>
      <c r="M23">
        <f t="shared" si="0"/>
        <v>5.1055540771484802</v>
      </c>
      <c r="N23">
        <f t="shared" si="1"/>
        <v>17.783458334599</v>
      </c>
      <c r="O23" s="2">
        <f t="shared" si="2"/>
        <v>0.12330188931480089</v>
      </c>
    </row>
    <row r="24" spans="1:15" x14ac:dyDescent="0.25">
      <c r="A24" s="1">
        <v>40269</v>
      </c>
      <c r="B24">
        <v>5.1830298059280802</v>
      </c>
      <c r="C24">
        <v>124266801177</v>
      </c>
      <c r="E24" s="1">
        <v>30437</v>
      </c>
      <c r="F24">
        <v>11.296044621406301</v>
      </c>
      <c r="G24">
        <v>121726047270.32001</v>
      </c>
      <c r="K24" s="1">
        <v>40269</v>
      </c>
      <c r="L24">
        <v>5.1830298059280802</v>
      </c>
      <c r="M24">
        <f t="shared" si="0"/>
        <v>5.1108375047646097</v>
      </c>
      <c r="N24">
        <f t="shared" si="1"/>
        <v>7.2192301163470418</v>
      </c>
      <c r="O24" s="2">
        <f t="shared" si="2"/>
        <v>8.0616790293127405E-2</v>
      </c>
    </row>
    <row r="25" spans="1:15" x14ac:dyDescent="0.25">
      <c r="A25" s="1">
        <v>40299</v>
      </c>
      <c r="B25">
        <v>5.2037674446010502</v>
      </c>
      <c r="C25">
        <v>120588519601</v>
      </c>
      <c r="E25" s="1">
        <v>30468</v>
      </c>
      <c r="F25">
        <v>11.045234610827301</v>
      </c>
      <c r="G25">
        <v>84113899145.259995</v>
      </c>
      <c r="K25" s="1">
        <v>40299</v>
      </c>
      <c r="L25">
        <v>5.2037674446010502</v>
      </c>
      <c r="M25">
        <f t="shared" si="0"/>
        <v>5.1452044317440198</v>
      </c>
      <c r="N25">
        <f t="shared" si="1"/>
        <v>5.8563012857030472</v>
      </c>
      <c r="O25" s="2">
        <f t="shared" si="2"/>
        <v>8.4148722824238742E-2</v>
      </c>
    </row>
    <row r="26" spans="1:15" x14ac:dyDescent="0.25">
      <c r="A26" s="1">
        <v>40330</v>
      </c>
      <c r="B26">
        <v>5.2268019319845598</v>
      </c>
      <c r="C26">
        <v>107215134264</v>
      </c>
      <c r="E26" s="1">
        <v>30498</v>
      </c>
      <c r="F26">
        <v>13.5119453234167</v>
      </c>
      <c r="G26">
        <v>216246089360.32999</v>
      </c>
      <c r="K26" s="1">
        <v>40330</v>
      </c>
      <c r="L26">
        <v>5.2268019319845598</v>
      </c>
      <c r="M26">
        <f t="shared" si="0"/>
        <v>5.1800008223351597</v>
      </c>
      <c r="N26">
        <f t="shared" si="1"/>
        <v>4.6801109649400097</v>
      </c>
      <c r="O26" s="2">
        <f t="shared" si="2"/>
        <v>6.4072806140162031E-2</v>
      </c>
    </row>
    <row r="27" spans="1:15" x14ac:dyDescent="0.25">
      <c r="A27" s="1">
        <v>40360</v>
      </c>
      <c r="B27">
        <v>5.0358254105692204</v>
      </c>
      <c r="C27">
        <v>214501705334</v>
      </c>
      <c r="E27" s="1">
        <v>30529</v>
      </c>
      <c r="F27">
        <v>12.079785894420599</v>
      </c>
      <c r="G27">
        <v>90626883920.149994</v>
      </c>
      <c r="K27" s="1">
        <v>40360</v>
      </c>
      <c r="L27">
        <v>5.0358254105692204</v>
      </c>
      <c r="M27">
        <f t="shared" si="0"/>
        <v>5.05893153166061</v>
      </c>
      <c r="N27">
        <f t="shared" si="1"/>
        <v>-2.3106121091389653</v>
      </c>
      <c r="O27" s="2">
        <f t="shared" si="2"/>
        <v>0.13968968264700857</v>
      </c>
    </row>
    <row r="28" spans="1:15" x14ac:dyDescent="0.25">
      <c r="A28" s="1">
        <v>40391</v>
      </c>
      <c r="B28">
        <v>4.9350697557393897</v>
      </c>
      <c r="C28">
        <v>213292955017</v>
      </c>
      <c r="E28" s="1">
        <v>30560</v>
      </c>
      <c r="F28">
        <v>13.295479426976801</v>
      </c>
      <c r="G28">
        <v>91109612049.279999</v>
      </c>
      <c r="K28" s="1">
        <v>40391</v>
      </c>
      <c r="L28">
        <v>4.9350697557393897</v>
      </c>
      <c r="M28">
        <f t="shared" si="0"/>
        <v>4.8752305579968596</v>
      </c>
      <c r="N28">
        <f t="shared" si="1"/>
        <v>5.9839197742530104</v>
      </c>
      <c r="O28" s="2">
        <f t="shared" si="2"/>
        <v>0.12714417739454253</v>
      </c>
    </row>
    <row r="29" spans="1:15" x14ac:dyDescent="0.25">
      <c r="A29" s="1">
        <v>40422</v>
      </c>
      <c r="B29">
        <v>4.8004870789717398</v>
      </c>
      <c r="C29">
        <v>284906181934</v>
      </c>
      <c r="E29" s="1">
        <v>30590</v>
      </c>
      <c r="F29">
        <v>14.121399745802099</v>
      </c>
      <c r="G29">
        <v>67562584562.410004</v>
      </c>
      <c r="K29" s="1">
        <v>40422</v>
      </c>
      <c r="L29">
        <v>4.8004870789717398</v>
      </c>
      <c r="M29">
        <f t="shared" si="0"/>
        <v>4.7222358319862998</v>
      </c>
      <c r="N29">
        <f t="shared" si="1"/>
        <v>7.8251246985439948</v>
      </c>
      <c r="O29" s="2">
        <f t="shared" si="2"/>
        <v>0.11188284220550029</v>
      </c>
    </row>
    <row r="30" spans="1:15" x14ac:dyDescent="0.25">
      <c r="A30" s="1">
        <v>40452</v>
      </c>
      <c r="B30">
        <v>4.7051352128635102</v>
      </c>
      <c r="C30">
        <v>259043209502</v>
      </c>
      <c r="E30" s="1">
        <v>30621</v>
      </c>
      <c r="F30">
        <v>11.96675076162</v>
      </c>
      <c r="G30">
        <v>26913527381.119999</v>
      </c>
      <c r="K30" s="1">
        <v>40452</v>
      </c>
      <c r="L30">
        <v>4.7051352128635102</v>
      </c>
      <c r="M30">
        <f t="shared" si="0"/>
        <v>4.6074743369174298</v>
      </c>
      <c r="N30">
        <f t="shared" si="1"/>
        <v>9.7660875946080417</v>
      </c>
      <c r="O30" s="2">
        <f t="shared" si="2"/>
        <v>0.10726848859242477</v>
      </c>
    </row>
    <row r="31" spans="1:15" x14ac:dyDescent="0.25">
      <c r="A31" s="1">
        <v>40483</v>
      </c>
      <c r="B31">
        <v>4.6083655391721301</v>
      </c>
      <c r="C31">
        <v>270042704820</v>
      </c>
      <c r="E31" s="1">
        <v>30651</v>
      </c>
      <c r="F31">
        <v>12.045695030108501</v>
      </c>
      <c r="G31">
        <v>114944558444.25999</v>
      </c>
      <c r="K31" s="1">
        <v>40483</v>
      </c>
      <c r="L31">
        <v>4.6083655391721301</v>
      </c>
      <c r="M31">
        <f t="shared" si="0"/>
        <v>4.5383501216630604</v>
      </c>
      <c r="N31">
        <f t="shared" si="1"/>
        <v>7.00154175090697</v>
      </c>
      <c r="O31" s="2">
        <f t="shared" si="2"/>
        <v>0.11528515040528932</v>
      </c>
    </row>
    <row r="32" spans="1:15" x14ac:dyDescent="0.25">
      <c r="A32" s="1">
        <v>40513</v>
      </c>
      <c r="B32">
        <v>4.5304927831705797</v>
      </c>
      <c r="C32">
        <v>303437367355</v>
      </c>
      <c r="E32" s="1">
        <v>30682</v>
      </c>
      <c r="F32">
        <v>12.1035179420682</v>
      </c>
      <c r="G32">
        <v>19376271209.099998</v>
      </c>
      <c r="K32" s="1">
        <v>40513</v>
      </c>
      <c r="L32">
        <v>4.5304927831705797</v>
      </c>
      <c r="M32">
        <f t="shared" si="0"/>
        <v>4.4591751002379896</v>
      </c>
      <c r="N32">
        <f t="shared" si="1"/>
        <v>7.131768293259011</v>
      </c>
      <c r="O32" s="2">
        <f t="shared" si="2"/>
        <v>0.11547432300014933</v>
      </c>
    </row>
    <row r="33" spans="1:15" x14ac:dyDescent="0.25">
      <c r="A33" s="1">
        <v>40544</v>
      </c>
      <c r="B33">
        <v>4.4915021240579902</v>
      </c>
      <c r="C33">
        <v>252293748284</v>
      </c>
      <c r="E33" s="1">
        <v>30713</v>
      </c>
      <c r="F33">
        <v>13.094667924702099</v>
      </c>
      <c r="G33">
        <v>88791033224.399994</v>
      </c>
      <c r="K33" s="1">
        <v>40544</v>
      </c>
      <c r="L33">
        <v>4.4915021240579902</v>
      </c>
      <c r="M33">
        <f t="shared" si="0"/>
        <v>4.4811424452986204</v>
      </c>
      <c r="N33">
        <f t="shared" si="1"/>
        <v>1.0359678759369828</v>
      </c>
      <c r="O33" s="2">
        <f t="shared" si="2"/>
        <v>0.12575351130932561</v>
      </c>
    </row>
    <row r="34" spans="1:15" x14ac:dyDescent="0.25">
      <c r="A34" s="1">
        <v>40575</v>
      </c>
      <c r="B34">
        <v>4.57399460783272</v>
      </c>
      <c r="C34">
        <v>161419412118</v>
      </c>
      <c r="E34" s="1">
        <v>30742</v>
      </c>
      <c r="F34">
        <v>10.8744331962166</v>
      </c>
      <c r="G34">
        <v>148366976515.25</v>
      </c>
      <c r="K34" s="1">
        <v>40575</v>
      </c>
      <c r="L34">
        <v>4.57399460783272</v>
      </c>
      <c r="M34">
        <f t="shared" si="0"/>
        <v>4.6316240644640896</v>
      </c>
      <c r="N34">
        <f t="shared" si="1"/>
        <v>-5.7629456631369536</v>
      </c>
      <c r="O34" s="2">
        <f t="shared" si="2"/>
        <v>9.9747275006174391E-2</v>
      </c>
    </row>
    <row r="35" spans="1:15" x14ac:dyDescent="0.25">
      <c r="A35" s="1">
        <v>40603</v>
      </c>
      <c r="B35">
        <v>4.7881749717719098</v>
      </c>
      <c r="C35">
        <v>127794337003</v>
      </c>
      <c r="E35" s="1">
        <v>30773</v>
      </c>
      <c r="F35">
        <v>13.203144965820099</v>
      </c>
      <c r="G35">
        <v>69221318448.639999</v>
      </c>
      <c r="K35" s="1">
        <v>40603</v>
      </c>
      <c r="L35">
        <v>4.7881749717719098</v>
      </c>
      <c r="M35">
        <f t="shared" si="0"/>
        <v>4.88809460608927</v>
      </c>
      <c r="N35">
        <f t="shared" si="1"/>
        <v>-9.9919634317360284</v>
      </c>
      <c r="O35" s="2">
        <f t="shared" si="2"/>
        <v>7.1708042263663854E-2</v>
      </c>
    </row>
    <row r="36" spans="1:15" x14ac:dyDescent="0.25">
      <c r="A36" s="1">
        <v>40634</v>
      </c>
      <c r="B36">
        <v>4.8920397527883601</v>
      </c>
      <c r="C36">
        <v>75973260747</v>
      </c>
      <c r="E36" s="1">
        <v>30803</v>
      </c>
      <c r="F36">
        <v>11.0532404395185</v>
      </c>
      <c r="G36">
        <v>42309688282.870003</v>
      </c>
      <c r="K36" s="1">
        <v>40634</v>
      </c>
      <c r="L36">
        <v>4.8920397527883601</v>
      </c>
      <c r="M36">
        <f t="shared" si="0"/>
        <v>5.0196274076255598</v>
      </c>
      <c r="N36">
        <f t="shared" si="1"/>
        <v>-12.758765483719969</v>
      </c>
      <c r="O36" s="2">
        <f t="shared" si="2"/>
        <v>7.5750445158143109E-2</v>
      </c>
    </row>
    <row r="37" spans="1:15" x14ac:dyDescent="0.25">
      <c r="A37" s="1">
        <v>40664</v>
      </c>
      <c r="B37">
        <v>4.9487228635947798</v>
      </c>
      <c r="C37">
        <v>63730036359</v>
      </c>
      <c r="E37" s="1">
        <v>30834</v>
      </c>
      <c r="F37">
        <v>10.303243551774299</v>
      </c>
      <c r="G37">
        <v>40958301453.290001</v>
      </c>
      <c r="K37" s="1">
        <v>40664</v>
      </c>
      <c r="L37">
        <v>4.9487228635947798</v>
      </c>
      <c r="M37">
        <f t="shared" si="0"/>
        <v>5.0696587978699199</v>
      </c>
      <c r="N37">
        <f t="shared" si="1"/>
        <v>-12.093593427514016</v>
      </c>
      <c r="O37" s="2">
        <f t="shared" si="2"/>
        <v>6.7986387631479739E-2</v>
      </c>
    </row>
    <row r="38" spans="1:15" x14ac:dyDescent="0.25">
      <c r="A38" s="1">
        <v>40695</v>
      </c>
      <c r="B38">
        <v>4.9220140046788998</v>
      </c>
      <c r="C38">
        <v>78213378772</v>
      </c>
      <c r="E38" s="1">
        <v>30864</v>
      </c>
      <c r="F38">
        <v>10.0937931757038</v>
      </c>
      <c r="G38">
        <v>42584719595.449997</v>
      </c>
      <c r="K38" s="1">
        <v>40695</v>
      </c>
      <c r="L38">
        <v>4.9220140046788998</v>
      </c>
      <c r="M38">
        <f t="shared" si="0"/>
        <v>5.0513520909684004</v>
      </c>
      <c r="N38">
        <f t="shared" si="1"/>
        <v>-12.933808628950061</v>
      </c>
      <c r="O38" s="2">
        <f t="shared" si="2"/>
        <v>7.3976690219158731E-2</v>
      </c>
    </row>
    <row r="39" spans="1:15" x14ac:dyDescent="0.25">
      <c r="A39" s="1">
        <v>40725</v>
      </c>
      <c r="B39">
        <v>4.8272303918235604</v>
      </c>
      <c r="C39">
        <v>92925559857</v>
      </c>
      <c r="E39" s="1">
        <v>30895</v>
      </c>
      <c r="F39">
        <v>11.4752391405216</v>
      </c>
      <c r="G39">
        <v>154901376153.48999</v>
      </c>
      <c r="K39" s="1">
        <v>40725</v>
      </c>
      <c r="L39">
        <v>4.8272303918235604</v>
      </c>
      <c r="M39">
        <f t="shared" si="0"/>
        <v>4.9059141374806101</v>
      </c>
      <c r="N39">
        <f t="shared" si="1"/>
        <v>-7.868374565704972</v>
      </c>
      <c r="O39" s="2">
        <f t="shared" si="2"/>
        <v>0.11598394825001339</v>
      </c>
    </row>
    <row r="40" spans="1:15" x14ac:dyDescent="0.25">
      <c r="A40" s="1">
        <v>40756</v>
      </c>
      <c r="B40">
        <v>4.7115447718514103</v>
      </c>
      <c r="C40">
        <v>114898772416</v>
      </c>
      <c r="E40" s="1">
        <v>30926</v>
      </c>
      <c r="F40">
        <v>11.174353099961699</v>
      </c>
      <c r="G40">
        <v>112099730457.38</v>
      </c>
      <c r="K40" s="1">
        <v>40756</v>
      </c>
      <c r="L40">
        <v>4.7115447718514103</v>
      </c>
      <c r="M40">
        <f t="shared" si="0"/>
        <v>4.8611814894636298</v>
      </c>
      <c r="N40">
        <f t="shared" si="1"/>
        <v>-14.963671761221953</v>
      </c>
      <c r="O40" s="2">
        <f t="shared" si="2"/>
        <v>0.1103454584128272</v>
      </c>
    </row>
    <row r="41" spans="1:15" x14ac:dyDescent="0.25">
      <c r="A41" s="1">
        <v>40787</v>
      </c>
      <c r="B41">
        <v>4.64086255441822</v>
      </c>
      <c r="C41">
        <v>143232759522</v>
      </c>
      <c r="E41" s="1">
        <v>30956</v>
      </c>
      <c r="F41">
        <v>11.7172935541232</v>
      </c>
      <c r="G41">
        <v>90787703579.160004</v>
      </c>
      <c r="K41" s="1">
        <v>40787</v>
      </c>
      <c r="L41">
        <v>4.64086255441822</v>
      </c>
      <c r="M41">
        <f t="shared" si="0"/>
        <v>4.7117533524514803</v>
      </c>
      <c r="N41">
        <f t="shared" si="1"/>
        <v>-7.0890798033260261</v>
      </c>
      <c r="O41" s="2">
        <f t="shared" si="2"/>
        <v>0.11974209374914661</v>
      </c>
    </row>
    <row r="42" spans="1:15" x14ac:dyDescent="0.25">
      <c r="A42" s="1">
        <v>40817</v>
      </c>
      <c r="B42">
        <v>4.4423498001928898</v>
      </c>
      <c r="C42">
        <v>220448045824</v>
      </c>
      <c r="E42" s="1">
        <v>30987</v>
      </c>
      <c r="F42">
        <v>11.816920606891699</v>
      </c>
      <c r="G42">
        <v>78531676591.820007</v>
      </c>
      <c r="K42" s="1">
        <v>40817</v>
      </c>
      <c r="L42">
        <v>4.4423498001928898</v>
      </c>
      <c r="M42">
        <f t="shared" si="0"/>
        <v>4.4792574645229504</v>
      </c>
      <c r="N42">
        <f t="shared" si="1"/>
        <v>-3.6907664330060541</v>
      </c>
      <c r="O42" s="2">
        <f t="shared" si="2"/>
        <v>0.19177279735194777</v>
      </c>
    </row>
    <row r="43" spans="1:15" x14ac:dyDescent="0.25">
      <c r="A43" s="1">
        <v>40848</v>
      </c>
      <c r="B43">
        <v>4.3965564312482099</v>
      </c>
      <c r="C43">
        <v>220777302650</v>
      </c>
      <c r="E43" s="1">
        <v>31017</v>
      </c>
      <c r="F43">
        <v>11.573794212343801</v>
      </c>
      <c r="G43">
        <v>135677523627.03</v>
      </c>
      <c r="K43" s="1">
        <v>40848</v>
      </c>
      <c r="L43">
        <v>4.3965564312482099</v>
      </c>
      <c r="M43">
        <f t="shared" si="0"/>
        <v>4.3486808527347698</v>
      </c>
      <c r="N43">
        <f t="shared" si="1"/>
        <v>4.7875578513440153</v>
      </c>
      <c r="O43" s="2">
        <f t="shared" si="2"/>
        <v>0.14820120215482879</v>
      </c>
    </row>
    <row r="44" spans="1:15" x14ac:dyDescent="0.25">
      <c r="A44" s="1">
        <v>40878</v>
      </c>
      <c r="B44">
        <v>4.3703571463322097</v>
      </c>
      <c r="C44">
        <v>100506758496</v>
      </c>
      <c r="E44" s="1">
        <v>31048</v>
      </c>
      <c r="F44">
        <v>12.0765656385746</v>
      </c>
      <c r="G44">
        <v>78253083893.910004</v>
      </c>
      <c r="K44" s="1">
        <v>40878</v>
      </c>
      <c r="L44">
        <v>4.3703571463322097</v>
      </c>
      <c r="M44">
        <f t="shared" si="0"/>
        <v>4.2956191820380196</v>
      </c>
      <c r="N44">
        <f t="shared" si="1"/>
        <v>7.4737964294190107</v>
      </c>
      <c r="O44" s="2">
        <f t="shared" si="2"/>
        <v>4.7502048406932021E-2</v>
      </c>
    </row>
    <row r="45" spans="1:15" x14ac:dyDescent="0.25">
      <c r="A45" s="1">
        <v>40909</v>
      </c>
      <c r="B45">
        <v>4.3304920959802304</v>
      </c>
      <c r="C45">
        <v>69075948179</v>
      </c>
      <c r="E45" s="1">
        <v>31079</v>
      </c>
      <c r="F45">
        <v>12.4239794695923</v>
      </c>
      <c r="G45">
        <v>79587024050.229996</v>
      </c>
      <c r="K45" s="1">
        <v>40909</v>
      </c>
      <c r="L45">
        <v>4.3304920959802304</v>
      </c>
      <c r="M45">
        <f t="shared" si="0"/>
        <v>4.2662558375731203</v>
      </c>
      <c r="N45">
        <f t="shared" si="1"/>
        <v>6.4236258407110114</v>
      </c>
      <c r="O45" s="2">
        <f t="shared" si="2"/>
        <v>4.6978842036904625E-2</v>
      </c>
    </row>
    <row r="46" spans="1:15" x14ac:dyDescent="0.25">
      <c r="A46" s="1">
        <v>40940</v>
      </c>
      <c r="B46">
        <v>4.2820606026268901</v>
      </c>
      <c r="C46">
        <v>67151065098</v>
      </c>
      <c r="E46" s="1">
        <v>31107</v>
      </c>
      <c r="F46">
        <v>11.2705623798789</v>
      </c>
      <c r="G46">
        <v>106849956470.94</v>
      </c>
      <c r="K46" s="1">
        <v>40940</v>
      </c>
      <c r="L46">
        <v>4.2820606026268901</v>
      </c>
      <c r="M46">
        <f t="shared" si="0"/>
        <v>4.1988423421672696</v>
      </c>
      <c r="N46">
        <f t="shared" si="1"/>
        <v>8.3218260459620552</v>
      </c>
      <c r="O46" s="2">
        <f t="shared" si="2"/>
        <v>4.5112761341461208E-2</v>
      </c>
    </row>
    <row r="47" spans="1:15" x14ac:dyDescent="0.25">
      <c r="A47" s="1">
        <v>40969</v>
      </c>
      <c r="B47">
        <v>4.2005100835491902</v>
      </c>
      <c r="C47">
        <v>123026084745</v>
      </c>
      <c r="E47" s="1">
        <v>31138</v>
      </c>
      <c r="F47">
        <v>10.61693063455</v>
      </c>
      <c r="G47">
        <v>105321312299.2</v>
      </c>
      <c r="K47" s="1">
        <v>40969</v>
      </c>
      <c r="L47">
        <v>4.2005100835491902</v>
      </c>
      <c r="M47">
        <f t="shared" si="0"/>
        <v>4.1335475127368202</v>
      </c>
      <c r="N47">
        <f t="shared" si="1"/>
        <v>6.6962570812370004</v>
      </c>
      <c r="O47" s="2">
        <f t="shared" si="2"/>
        <v>4.9814105840484242E-2</v>
      </c>
    </row>
    <row r="48" spans="1:15" x14ac:dyDescent="0.25">
      <c r="A48" s="1">
        <v>41000</v>
      </c>
      <c r="B48">
        <v>4.1349457633603803</v>
      </c>
      <c r="C48">
        <v>37449262054</v>
      </c>
      <c r="E48" s="1">
        <v>31168</v>
      </c>
      <c r="F48">
        <v>11.994248682287701</v>
      </c>
      <c r="G48">
        <v>61486148501.959999</v>
      </c>
      <c r="K48" s="1">
        <v>41000</v>
      </c>
      <c r="L48">
        <v>4.1349457633603803</v>
      </c>
      <c r="M48">
        <f t="shared" si="0"/>
        <v>4.1068821031480702</v>
      </c>
      <c r="N48">
        <f t="shared" si="1"/>
        <v>2.8063660212310104</v>
      </c>
      <c r="O48" s="2">
        <f t="shared" si="2"/>
        <v>3.11783018031998E-2</v>
      </c>
    </row>
    <row r="49" spans="1:15" x14ac:dyDescent="0.25">
      <c r="A49" s="1">
        <v>41030</v>
      </c>
      <c r="B49">
        <v>4.1709410121458896</v>
      </c>
      <c r="C49">
        <v>68716926962</v>
      </c>
      <c r="E49" s="1">
        <v>31199</v>
      </c>
      <c r="F49">
        <v>11.7747473724872</v>
      </c>
      <c r="G49">
        <v>108537784011.88</v>
      </c>
      <c r="K49" s="1">
        <v>41030</v>
      </c>
      <c r="L49">
        <v>4.1709410121458896</v>
      </c>
      <c r="M49">
        <f t="shared" si="0"/>
        <v>4.1950483108655101</v>
      </c>
      <c r="N49">
        <f t="shared" si="1"/>
        <v>-2.4107298719620474</v>
      </c>
      <c r="O49" s="2">
        <f t="shared" si="2"/>
        <v>3.8173350457004866E-2</v>
      </c>
    </row>
    <row r="50" spans="1:15" x14ac:dyDescent="0.25">
      <c r="A50" s="1">
        <v>41061</v>
      </c>
      <c r="B50">
        <v>4.1056670559846502</v>
      </c>
      <c r="C50">
        <v>80978812202</v>
      </c>
      <c r="E50" s="1">
        <v>31229</v>
      </c>
      <c r="F50">
        <v>11.949329454656301</v>
      </c>
      <c r="G50">
        <v>148990251149.54001</v>
      </c>
      <c r="K50" s="1">
        <v>41061</v>
      </c>
      <c r="L50">
        <v>4.1056670559846502</v>
      </c>
      <c r="M50">
        <f t="shared" si="0"/>
        <v>4.1647582079834304</v>
      </c>
      <c r="N50">
        <f t="shared" si="1"/>
        <v>-5.9091151998780234</v>
      </c>
      <c r="O50" s="2">
        <f t="shared" si="2"/>
        <v>5.8878731880906053E-2</v>
      </c>
    </row>
    <row r="51" spans="1:15" x14ac:dyDescent="0.25">
      <c r="A51" s="1">
        <v>41091</v>
      </c>
      <c r="B51">
        <v>4.0249987787435701</v>
      </c>
      <c r="C51">
        <v>108606372064</v>
      </c>
      <c r="E51" s="1">
        <v>31260</v>
      </c>
      <c r="F51">
        <v>11.2761012446426</v>
      </c>
      <c r="G51">
        <v>179756517369.60001</v>
      </c>
      <c r="K51" s="1">
        <v>41091</v>
      </c>
      <c r="L51">
        <v>4.0249987787435701</v>
      </c>
      <c r="M51">
        <f t="shared" si="0"/>
        <v>4.0279854150544798</v>
      </c>
      <c r="N51">
        <f t="shared" si="1"/>
        <v>-0.29866363109096739</v>
      </c>
      <c r="O51" s="2">
        <f t="shared" si="2"/>
        <v>6.7486381490393876E-2</v>
      </c>
    </row>
    <row r="52" spans="1:15" x14ac:dyDescent="0.25">
      <c r="A52" s="1">
        <v>41122</v>
      </c>
      <c r="B52">
        <v>3.9681743278952499</v>
      </c>
      <c r="C52">
        <v>123674283664</v>
      </c>
      <c r="E52" s="1">
        <v>31291</v>
      </c>
      <c r="F52">
        <v>11.3846229772897</v>
      </c>
      <c r="G52">
        <v>223752476761.26999</v>
      </c>
      <c r="K52" s="1">
        <v>41122</v>
      </c>
      <c r="L52">
        <v>3.9681743278952499</v>
      </c>
      <c r="M52">
        <f t="shared" si="0"/>
        <v>3.9086468707572299</v>
      </c>
      <c r="N52">
        <f t="shared" si="1"/>
        <v>5.952745713801999</v>
      </c>
      <c r="O52" s="2">
        <f t="shared" si="2"/>
        <v>7.0083696565919618E-2</v>
      </c>
    </row>
    <row r="53" spans="1:15" x14ac:dyDescent="0.25">
      <c r="A53" s="1">
        <v>41153</v>
      </c>
      <c r="B53">
        <v>3.9138608575900999</v>
      </c>
      <c r="C53">
        <v>113620801610</v>
      </c>
      <c r="E53" s="1">
        <v>31321</v>
      </c>
      <c r="F53">
        <v>11.521316095427901</v>
      </c>
      <c r="G53">
        <v>170614969182.22</v>
      </c>
      <c r="K53" s="1">
        <v>41153</v>
      </c>
      <c r="L53">
        <v>3.9138608575900999</v>
      </c>
      <c r="M53">
        <f t="shared" si="0"/>
        <v>3.8525924938607199</v>
      </c>
      <c r="N53">
        <f t="shared" si="1"/>
        <v>6.1268363729380049</v>
      </c>
      <c r="O53" s="2">
        <f t="shared" si="2"/>
        <v>6.057320211684613E-2</v>
      </c>
    </row>
    <row r="54" spans="1:15" x14ac:dyDescent="0.25">
      <c r="A54" s="1">
        <v>41183</v>
      </c>
      <c r="B54">
        <v>3.8298094011821702</v>
      </c>
      <c r="C54">
        <v>77537800226</v>
      </c>
      <c r="E54" s="1">
        <v>31352</v>
      </c>
      <c r="F54">
        <v>11.706504079639201</v>
      </c>
      <c r="G54">
        <v>164035870467.01999</v>
      </c>
      <c r="K54" s="1">
        <v>41183</v>
      </c>
      <c r="L54">
        <v>3.8298094011821702</v>
      </c>
      <c r="M54">
        <f t="shared" si="0"/>
        <v>3.7877571784770701</v>
      </c>
      <c r="N54">
        <f t="shared" si="1"/>
        <v>4.2052222705100117</v>
      </c>
      <c r="O54" s="2">
        <f t="shared" si="2"/>
        <v>6.2290784501129584E-2</v>
      </c>
    </row>
    <row r="55" spans="1:15" x14ac:dyDescent="0.25">
      <c r="A55" s="1">
        <v>41214</v>
      </c>
      <c r="B55">
        <v>3.7393841468248099</v>
      </c>
      <c r="C55">
        <v>136999096894</v>
      </c>
      <c r="E55" s="1">
        <v>31382</v>
      </c>
      <c r="F55">
        <v>10.884865485068699</v>
      </c>
      <c r="G55">
        <v>237239539541.25</v>
      </c>
      <c r="K55" s="1">
        <v>41214</v>
      </c>
      <c r="L55">
        <v>3.7393841468248099</v>
      </c>
      <c r="M55">
        <f t="shared" si="0"/>
        <v>3.6987217336749101</v>
      </c>
      <c r="N55">
        <f t="shared" si="1"/>
        <v>4.0662413149899823</v>
      </c>
      <c r="O55" s="2">
        <f t="shared" si="2"/>
        <v>5.8328897495237605E-2</v>
      </c>
    </row>
    <row r="56" spans="1:15" x14ac:dyDescent="0.25">
      <c r="A56" s="1">
        <v>41244</v>
      </c>
      <c r="B56">
        <v>3.6469091265269999</v>
      </c>
      <c r="C56">
        <v>43732884384</v>
      </c>
      <c r="E56" s="1">
        <v>31413</v>
      </c>
      <c r="F56">
        <v>10.414737220422399</v>
      </c>
      <c r="G56">
        <v>201569387062.73999</v>
      </c>
      <c r="K56" s="1">
        <v>41244</v>
      </c>
      <c r="L56">
        <v>3.6469091265269999</v>
      </c>
      <c r="M56">
        <f t="shared" si="0"/>
        <v>3.6250487711041499</v>
      </c>
      <c r="N56">
        <f t="shared" si="1"/>
        <v>2.1860355422850031</v>
      </c>
      <c r="O56" s="2">
        <f t="shared" si="2"/>
        <v>3.2757091383272104E-2</v>
      </c>
    </row>
    <row r="57" spans="1:15" x14ac:dyDescent="0.25">
      <c r="A57" s="1">
        <v>41275</v>
      </c>
      <c r="B57">
        <v>3.6630548639343501</v>
      </c>
      <c r="C57">
        <v>112072454380</v>
      </c>
      <c r="E57" s="1">
        <v>31444</v>
      </c>
      <c r="F57">
        <v>11.3066295838749</v>
      </c>
      <c r="G57">
        <v>124033332998.59</v>
      </c>
      <c r="K57" s="1">
        <v>41275</v>
      </c>
      <c r="L57">
        <v>3.6630548639343501</v>
      </c>
      <c r="M57">
        <f t="shared" si="0"/>
        <v>3.6027244047903801</v>
      </c>
      <c r="N57">
        <f t="shared" si="1"/>
        <v>6.033045914396995</v>
      </c>
      <c r="O57" s="2">
        <f t="shared" si="2"/>
        <v>6.558295534343514E-2</v>
      </c>
    </row>
    <row r="58" spans="1:15" x14ac:dyDescent="0.25">
      <c r="A58" s="1">
        <v>41306</v>
      </c>
      <c r="B58">
        <v>3.6573033588281398</v>
      </c>
      <c r="C58">
        <v>64194569788</v>
      </c>
      <c r="E58" s="1">
        <v>31472</v>
      </c>
      <c r="F58">
        <v>10.757928721751901</v>
      </c>
      <c r="G58">
        <v>168688439060.48999</v>
      </c>
      <c r="K58" s="1">
        <v>41306</v>
      </c>
      <c r="L58">
        <v>3.6573033588281398</v>
      </c>
      <c r="M58">
        <f t="shared" si="0"/>
        <v>3.6001485420462198</v>
      </c>
      <c r="N58">
        <f t="shared" si="1"/>
        <v>5.7154816781920026</v>
      </c>
      <c r="O58" s="2">
        <f t="shared" si="2"/>
        <v>3.9851926171040795E-2</v>
      </c>
    </row>
    <row r="59" spans="1:15" x14ac:dyDescent="0.25">
      <c r="A59" s="1">
        <v>41334</v>
      </c>
      <c r="B59">
        <v>3.7374103519442601</v>
      </c>
      <c r="C59">
        <v>69807369148</v>
      </c>
      <c r="E59" s="1">
        <v>31503</v>
      </c>
      <c r="F59">
        <v>10.562571440027</v>
      </c>
      <c r="G59">
        <v>197751664615.92001</v>
      </c>
      <c r="K59" s="1">
        <v>41334</v>
      </c>
      <c r="L59">
        <v>3.7374103519442601</v>
      </c>
      <c r="M59">
        <f t="shared" si="0"/>
        <v>3.6900046384013798</v>
      </c>
      <c r="N59">
        <f t="shared" si="1"/>
        <v>4.7405713542880257</v>
      </c>
      <c r="O59" s="2">
        <f t="shared" si="2"/>
        <v>5.6369696008458016E-2</v>
      </c>
    </row>
    <row r="60" spans="1:15" x14ac:dyDescent="0.25">
      <c r="A60" s="1">
        <v>41365</v>
      </c>
      <c r="B60">
        <v>3.7627008845457102</v>
      </c>
      <c r="C60">
        <v>72682942124</v>
      </c>
      <c r="E60" s="1">
        <v>31533</v>
      </c>
      <c r="F60">
        <v>10.180275219139</v>
      </c>
      <c r="G60">
        <v>310150201129.26001</v>
      </c>
      <c r="K60" s="1">
        <v>41365</v>
      </c>
      <c r="L60">
        <v>3.7627008845457102</v>
      </c>
      <c r="M60">
        <f t="shared" si="0"/>
        <v>3.78392164962702</v>
      </c>
      <c r="N60">
        <f t="shared" si="1"/>
        <v>-2.1220765081309878</v>
      </c>
      <c r="O60" s="2">
        <f t="shared" si="2"/>
        <v>5.3573421455493431E-2</v>
      </c>
    </row>
    <row r="61" spans="1:15" x14ac:dyDescent="0.25">
      <c r="A61" s="1">
        <v>41395</v>
      </c>
      <c r="B61">
        <v>3.8286783849430699</v>
      </c>
      <c r="C61">
        <v>62595392975</v>
      </c>
      <c r="E61" s="1">
        <v>31564</v>
      </c>
      <c r="F61">
        <v>10.3292222793189</v>
      </c>
      <c r="G61">
        <v>593470829793</v>
      </c>
      <c r="K61" s="1">
        <v>41395</v>
      </c>
      <c r="L61">
        <v>3.8286783849430699</v>
      </c>
      <c r="M61">
        <f t="shared" si="0"/>
        <v>3.8002777092854898</v>
      </c>
      <c r="N61">
        <f t="shared" si="1"/>
        <v>2.8400675657580088</v>
      </c>
      <c r="O61" s="2">
        <f t="shared" si="2"/>
        <v>4.4413837811272519E-2</v>
      </c>
    </row>
    <row r="62" spans="1:15" x14ac:dyDescent="0.25">
      <c r="A62" s="1">
        <v>41426</v>
      </c>
      <c r="B62">
        <v>3.7511989689374801</v>
      </c>
      <c r="C62">
        <v>72554817210</v>
      </c>
      <c r="E62" s="1">
        <v>31594</v>
      </c>
      <c r="F62">
        <v>9.98151500046297</v>
      </c>
      <c r="G62">
        <v>522215041801</v>
      </c>
      <c r="K62" s="1">
        <v>41426</v>
      </c>
      <c r="L62">
        <v>3.7511989689374801</v>
      </c>
      <c r="M62">
        <f t="shared" si="0"/>
        <v>3.7830909447369798</v>
      </c>
      <c r="N62">
        <f t="shared" si="1"/>
        <v>-3.1891975799499761</v>
      </c>
      <c r="O62" s="2">
        <f t="shared" si="2"/>
        <v>5.9075810216759131E-2</v>
      </c>
    </row>
    <row r="63" spans="1:15" x14ac:dyDescent="0.25">
      <c r="A63" s="1">
        <v>41456</v>
      </c>
      <c r="B63">
        <v>3.8247008277566401</v>
      </c>
      <c r="C63">
        <v>54672712202</v>
      </c>
      <c r="E63" s="1">
        <v>31625</v>
      </c>
      <c r="F63">
        <v>10.0989940565526</v>
      </c>
      <c r="G63">
        <v>494301486101</v>
      </c>
      <c r="K63" s="1">
        <v>41456</v>
      </c>
      <c r="L63">
        <v>3.8247008277566401</v>
      </c>
      <c r="M63">
        <f t="shared" si="0"/>
        <v>3.8522809178064001</v>
      </c>
      <c r="N63">
        <f t="shared" si="1"/>
        <v>-2.7580090049760031</v>
      </c>
      <c r="O63" s="2">
        <f t="shared" si="2"/>
        <v>4.1505470991041966E-2</v>
      </c>
    </row>
    <row r="64" spans="1:15" x14ac:dyDescent="0.25">
      <c r="A64" s="1">
        <v>41487</v>
      </c>
      <c r="B64">
        <v>4.1181097567553602</v>
      </c>
      <c r="C64">
        <v>44426807861</v>
      </c>
      <c r="E64" s="1">
        <v>31656</v>
      </c>
      <c r="F64">
        <v>10.070040994590901</v>
      </c>
      <c r="G64">
        <v>1099085400765</v>
      </c>
      <c r="K64" s="1">
        <v>41487</v>
      </c>
      <c r="L64">
        <v>4.1181097567553602</v>
      </c>
      <c r="M64">
        <f t="shared" si="0"/>
        <v>4.1579401434403396</v>
      </c>
      <c r="N64">
        <f t="shared" si="1"/>
        <v>-3.9830386684979402</v>
      </c>
      <c r="O64" s="2">
        <f t="shared" si="2"/>
        <v>3.9097590282544954E-2</v>
      </c>
    </row>
    <row r="65" spans="1:15" x14ac:dyDescent="0.25">
      <c r="A65" s="1">
        <v>41518</v>
      </c>
      <c r="B65">
        <v>4.3725375979349703</v>
      </c>
      <c r="C65">
        <v>25842813921</v>
      </c>
      <c r="E65" s="1">
        <v>31686</v>
      </c>
      <c r="F65">
        <v>10.0552243404069</v>
      </c>
      <c r="G65">
        <v>415593688730</v>
      </c>
      <c r="K65" s="1">
        <v>41518</v>
      </c>
      <c r="L65">
        <v>4.3725375979349703</v>
      </c>
      <c r="M65">
        <f t="shared" si="0"/>
        <v>4.4621782771519998</v>
      </c>
      <c r="N65">
        <f t="shared" si="1"/>
        <v>-8.9640679217029451</v>
      </c>
      <c r="O65" s="2">
        <f t="shared" si="2"/>
        <v>2.8184905638979525E-2</v>
      </c>
    </row>
    <row r="66" spans="1:15" x14ac:dyDescent="0.25">
      <c r="A66" s="1">
        <v>41548</v>
      </c>
      <c r="B66">
        <v>4.6377010048072602</v>
      </c>
      <c r="C66">
        <v>21868109772</v>
      </c>
      <c r="E66" s="1">
        <v>31717</v>
      </c>
      <c r="F66">
        <v>9.9708493277937595</v>
      </c>
      <c r="G66">
        <v>438686823457</v>
      </c>
      <c r="K66" s="1">
        <v>41548</v>
      </c>
      <c r="L66">
        <v>4.6377010048072602</v>
      </c>
      <c r="M66">
        <f t="shared" si="0"/>
        <v>4.6608916850134898</v>
      </c>
      <c r="N66">
        <f t="shared" si="1"/>
        <v>-2.3190680206229608</v>
      </c>
      <c r="O66" s="2">
        <f t="shared" si="2"/>
        <v>2.7027325398194746E-2</v>
      </c>
    </row>
    <row r="67" spans="1:15" x14ac:dyDescent="0.25">
      <c r="A67" s="1">
        <v>41579</v>
      </c>
      <c r="B67">
        <v>4.6261168959492096</v>
      </c>
      <c r="C67">
        <v>19335574921</v>
      </c>
      <c r="E67" s="1">
        <v>31747</v>
      </c>
      <c r="F67">
        <v>9.7450574447159397</v>
      </c>
      <c r="G67">
        <v>421876475032</v>
      </c>
      <c r="K67" s="1">
        <v>41579</v>
      </c>
      <c r="L67">
        <v>4.6261168959492096</v>
      </c>
      <c r="M67">
        <f t="shared" si="0"/>
        <v>4.6564026185456502</v>
      </c>
      <c r="N67">
        <f t="shared" si="1"/>
        <v>-3.0285722596440579</v>
      </c>
      <c r="O67" s="2">
        <f t="shared" si="2"/>
        <v>2.9951467012610311E-2</v>
      </c>
    </row>
    <row r="68" spans="1:15" x14ac:dyDescent="0.25">
      <c r="A68" s="1">
        <v>41609</v>
      </c>
      <c r="B68">
        <v>4.5166229545902503</v>
      </c>
      <c r="C68">
        <v>15549308472</v>
      </c>
      <c r="E68" s="1">
        <v>31778</v>
      </c>
      <c r="F68">
        <v>9.6791983365754106</v>
      </c>
      <c r="G68">
        <v>559887156050</v>
      </c>
      <c r="K68" s="1">
        <v>41609</v>
      </c>
      <c r="L68">
        <v>4.5166229545902503</v>
      </c>
      <c r="M68">
        <f t="shared" ref="M68:M92" si="3">VLOOKUP(K68,E:G,2,0)</f>
        <v>4.5811645646110204</v>
      </c>
      <c r="N68">
        <f t="shared" ref="N68:N92" si="4">(L68-M68)*100</f>
        <v>-6.4541610020770079</v>
      </c>
      <c r="O68" s="2">
        <f t="shared" ref="O68:O92" si="5">C68/VLOOKUP(K68,E:G,3,0)</f>
        <v>2.8139244206623254E-2</v>
      </c>
    </row>
    <row r="69" spans="1:15" x14ac:dyDescent="0.25">
      <c r="A69" s="1">
        <v>41640</v>
      </c>
      <c r="B69">
        <v>4.5358987960019004</v>
      </c>
      <c r="C69">
        <v>9028775120</v>
      </c>
      <c r="E69" s="1">
        <v>31809</v>
      </c>
      <c r="F69">
        <v>9.5086546707449902</v>
      </c>
      <c r="G69">
        <v>504687757719</v>
      </c>
      <c r="K69" s="1">
        <v>41640</v>
      </c>
      <c r="L69">
        <v>4.5358987960019004</v>
      </c>
      <c r="M69">
        <f t="shared" si="3"/>
        <v>4.6077438047237802</v>
      </c>
      <c r="N69">
        <f t="shared" si="4"/>
        <v>-7.1845008721879822</v>
      </c>
      <c r="O69" s="2">
        <f t="shared" si="5"/>
        <v>2.2170581957836197E-2</v>
      </c>
    </row>
    <row r="70" spans="1:15" x14ac:dyDescent="0.25">
      <c r="A70" s="1">
        <v>41671</v>
      </c>
      <c r="B70">
        <v>4.6829117389245498</v>
      </c>
      <c r="C70">
        <v>7971365820</v>
      </c>
      <c r="E70" s="1">
        <v>31837</v>
      </c>
      <c r="F70">
        <v>9.2973291557103099</v>
      </c>
      <c r="G70">
        <v>584459371528</v>
      </c>
      <c r="K70" s="1">
        <v>41671</v>
      </c>
      <c r="L70">
        <v>4.6829117389245498</v>
      </c>
      <c r="M70">
        <f t="shared" si="3"/>
        <v>4.6775584423655499</v>
      </c>
      <c r="N70">
        <f t="shared" si="4"/>
        <v>0.53532965589999648</v>
      </c>
      <c r="O70" s="2">
        <f t="shared" si="5"/>
        <v>2.0310582416310088E-2</v>
      </c>
    </row>
    <row r="71" spans="1:15" x14ac:dyDescent="0.25">
      <c r="A71" s="1">
        <v>41699</v>
      </c>
      <c r="B71">
        <v>4.6516147860401098</v>
      </c>
      <c r="C71">
        <v>4828687155</v>
      </c>
      <c r="E71" s="1">
        <v>31868</v>
      </c>
      <c r="F71">
        <v>9.3336192316251996</v>
      </c>
      <c r="G71">
        <v>1016683989204</v>
      </c>
      <c r="K71" s="1">
        <v>41699</v>
      </c>
      <c r="L71">
        <v>4.6516147860401098</v>
      </c>
      <c r="M71">
        <f t="shared" si="3"/>
        <v>4.6946958624217601</v>
      </c>
      <c r="N71">
        <f t="shared" si="4"/>
        <v>-4.3081076381650263</v>
      </c>
      <c r="O71" s="2">
        <f t="shared" si="5"/>
        <v>1.4979353778191594E-2</v>
      </c>
    </row>
    <row r="72" spans="1:15" x14ac:dyDescent="0.25">
      <c r="A72" s="1">
        <v>41730</v>
      </c>
      <c r="B72">
        <v>4.5888709313498204</v>
      </c>
      <c r="C72">
        <v>5551415212</v>
      </c>
      <c r="E72" s="1">
        <v>31898</v>
      </c>
      <c r="F72">
        <v>9.1241331176059806</v>
      </c>
      <c r="G72">
        <v>884604932461</v>
      </c>
      <c r="K72" s="1">
        <v>41730</v>
      </c>
      <c r="L72">
        <v>4.5888709313498204</v>
      </c>
      <c r="M72">
        <f t="shared" si="3"/>
        <v>4.6366804995907298</v>
      </c>
      <c r="N72">
        <f t="shared" si="4"/>
        <v>-4.7809568240909428</v>
      </c>
      <c r="O72" s="2">
        <f t="shared" si="5"/>
        <v>1.5303886589454318E-2</v>
      </c>
    </row>
    <row r="73" spans="1:15" x14ac:dyDescent="0.25">
      <c r="A73" s="1">
        <v>41760</v>
      </c>
      <c r="B73">
        <v>4.5857503385038596</v>
      </c>
      <c r="C73">
        <v>6416089252</v>
      </c>
      <c r="E73" s="1">
        <v>31929</v>
      </c>
      <c r="F73">
        <v>9.2746505892850895</v>
      </c>
      <c r="G73">
        <v>737601199461</v>
      </c>
      <c r="K73" s="1">
        <v>41760</v>
      </c>
      <c r="L73">
        <v>4.5857503385038596</v>
      </c>
      <c r="M73">
        <f t="shared" si="3"/>
        <v>4.6428241107123496</v>
      </c>
      <c r="N73">
        <f t="shared" si="4"/>
        <v>-5.707377220848997</v>
      </c>
      <c r="O73" s="2">
        <f t="shared" si="5"/>
        <v>1.8572409158052878E-2</v>
      </c>
    </row>
    <row r="74" spans="1:15" x14ac:dyDescent="0.25">
      <c r="A74" s="1">
        <v>41791</v>
      </c>
      <c r="B74">
        <v>4.5417801890084304</v>
      </c>
      <c r="C74">
        <v>5755164048</v>
      </c>
      <c r="E74" s="1">
        <v>31959</v>
      </c>
      <c r="F74">
        <v>9.7244484574652592</v>
      </c>
      <c r="G74">
        <v>712631244656</v>
      </c>
      <c r="K74" s="1">
        <v>41791</v>
      </c>
      <c r="L74">
        <v>4.5417801890084304</v>
      </c>
      <c r="M74">
        <f t="shared" si="3"/>
        <v>4.5988964730096296</v>
      </c>
      <c r="N74">
        <f t="shared" si="4"/>
        <v>-5.7116284001199169</v>
      </c>
      <c r="O74" s="2">
        <f t="shared" si="5"/>
        <v>1.4926694347252236E-2</v>
      </c>
    </row>
    <row r="75" spans="1:15" x14ac:dyDescent="0.25">
      <c r="A75" s="1">
        <v>41821</v>
      </c>
      <c r="B75">
        <v>4.4287287355081997</v>
      </c>
      <c r="C75">
        <v>9556424834</v>
      </c>
      <c r="E75" s="1">
        <v>31990</v>
      </c>
      <c r="F75">
        <v>10.066640424822999</v>
      </c>
      <c r="G75">
        <v>432425211568</v>
      </c>
      <c r="K75" s="1">
        <v>41821</v>
      </c>
      <c r="L75">
        <v>4.4287287355081997</v>
      </c>
      <c r="M75">
        <f t="shared" si="3"/>
        <v>4.5200335295564997</v>
      </c>
      <c r="N75">
        <f t="shared" si="4"/>
        <v>-9.1304794048300053</v>
      </c>
      <c r="O75" s="2">
        <f t="shared" si="5"/>
        <v>2.2695480917624123E-2</v>
      </c>
    </row>
    <row r="76" spans="1:15" x14ac:dyDescent="0.25">
      <c r="A76" s="1">
        <v>41852</v>
      </c>
      <c r="B76">
        <v>4.3955978354090197</v>
      </c>
      <c r="C76">
        <v>7190404190</v>
      </c>
      <c r="E76" s="1">
        <v>32021</v>
      </c>
      <c r="F76">
        <v>10.235150739928899</v>
      </c>
      <c r="G76">
        <v>489153118413</v>
      </c>
      <c r="K76" s="1">
        <v>41852</v>
      </c>
      <c r="L76">
        <v>4.3955978354090197</v>
      </c>
      <c r="M76">
        <f t="shared" si="3"/>
        <v>4.4681995477488003</v>
      </c>
      <c r="N76">
        <f t="shared" si="4"/>
        <v>-7.2601712339780633</v>
      </c>
      <c r="O76" s="2">
        <f t="shared" si="5"/>
        <v>1.9106390175511863E-2</v>
      </c>
    </row>
    <row r="77" spans="1:15" x14ac:dyDescent="0.25">
      <c r="A77" s="1">
        <v>41883</v>
      </c>
      <c r="B77">
        <v>4.4317024593860097</v>
      </c>
      <c r="C77">
        <v>11193961575</v>
      </c>
      <c r="E77" s="1">
        <v>32051</v>
      </c>
      <c r="F77">
        <v>10.3912629014162</v>
      </c>
      <c r="G77">
        <v>396307150156</v>
      </c>
      <c r="K77" s="1">
        <v>41883</v>
      </c>
      <c r="L77">
        <v>4.4317024593860097</v>
      </c>
      <c r="M77">
        <f t="shared" si="3"/>
        <v>4.4355356568817097</v>
      </c>
      <c r="N77">
        <f t="shared" si="4"/>
        <v>-0.38331974956999915</v>
      </c>
      <c r="O77" s="2">
        <f t="shared" si="5"/>
        <v>2.7283775412606494E-2</v>
      </c>
    </row>
    <row r="78" spans="1:15" x14ac:dyDescent="0.25">
      <c r="A78" s="1">
        <v>41913</v>
      </c>
      <c r="B78">
        <v>4.3594237575960699</v>
      </c>
      <c r="C78">
        <v>7587676558</v>
      </c>
      <c r="E78" s="1">
        <v>32082</v>
      </c>
      <c r="F78">
        <v>10.4873919070914</v>
      </c>
      <c r="G78">
        <v>314959351627</v>
      </c>
      <c r="K78" s="1">
        <v>41913</v>
      </c>
      <c r="L78">
        <v>4.3594237575960699</v>
      </c>
      <c r="M78">
        <f t="shared" si="3"/>
        <v>4.4756207173094804</v>
      </c>
      <c r="N78">
        <f t="shared" si="4"/>
        <v>-11.619695971341049</v>
      </c>
      <c r="O78" s="2">
        <f t="shared" si="5"/>
        <v>1.9456325502446078E-2</v>
      </c>
    </row>
    <row r="79" spans="1:15" x14ac:dyDescent="0.25">
      <c r="A79" s="1">
        <v>41944</v>
      </c>
      <c r="B79">
        <v>4.3466391693390198</v>
      </c>
      <c r="C79">
        <v>7141513626</v>
      </c>
      <c r="E79" s="1">
        <v>32112</v>
      </c>
      <c r="F79">
        <v>9.8122379892677891</v>
      </c>
      <c r="G79">
        <v>428339791756</v>
      </c>
      <c r="K79" s="1">
        <v>41944</v>
      </c>
      <c r="L79">
        <v>4.3466391693390198</v>
      </c>
      <c r="M79">
        <f t="shared" si="3"/>
        <v>4.4883370685343502</v>
      </c>
      <c r="N79">
        <f t="shared" si="4"/>
        <v>-14.169789919533038</v>
      </c>
      <c r="O79" s="2">
        <f t="shared" si="5"/>
        <v>2.5615777783813829E-2</v>
      </c>
    </row>
    <row r="80" spans="1:15" x14ac:dyDescent="0.25">
      <c r="A80" s="1">
        <v>41974</v>
      </c>
      <c r="B80">
        <v>4.2734385976748097</v>
      </c>
      <c r="C80">
        <v>9135015902</v>
      </c>
      <c r="E80" s="1">
        <v>32143</v>
      </c>
      <c r="F80">
        <v>10.6321869063318</v>
      </c>
      <c r="G80">
        <v>152084807905</v>
      </c>
      <c r="K80" s="1">
        <v>41974</v>
      </c>
      <c r="L80">
        <v>4.2734385976748097</v>
      </c>
      <c r="M80">
        <f t="shared" si="3"/>
        <v>4.3629145938798297</v>
      </c>
      <c r="N80">
        <f t="shared" si="4"/>
        <v>-8.9475996205020003</v>
      </c>
      <c r="O80" s="2">
        <f t="shared" si="5"/>
        <v>2.5004838925815627E-2</v>
      </c>
    </row>
    <row r="81" spans="1:15" x14ac:dyDescent="0.25">
      <c r="A81" s="1">
        <v>42005</v>
      </c>
      <c r="B81">
        <v>4.2115290009692004</v>
      </c>
      <c r="C81">
        <v>7341781821</v>
      </c>
      <c r="E81" s="1">
        <v>32174</v>
      </c>
      <c r="F81">
        <v>10.6164956916028</v>
      </c>
      <c r="G81">
        <v>325710109638</v>
      </c>
      <c r="K81" s="1">
        <v>42005</v>
      </c>
      <c r="L81">
        <v>4.2115290009692004</v>
      </c>
      <c r="M81">
        <f t="shared" si="3"/>
        <v>4.3011500305881896</v>
      </c>
      <c r="N81">
        <f t="shared" si="4"/>
        <v>-8.9621029618989212</v>
      </c>
      <c r="O81" s="2">
        <f t="shared" si="5"/>
        <v>2.6127057963396365E-2</v>
      </c>
    </row>
    <row r="82" spans="1:15" x14ac:dyDescent="0.25">
      <c r="A82" s="1">
        <v>42036</v>
      </c>
      <c r="B82">
        <v>4.05603288397357</v>
      </c>
      <c r="C82">
        <v>8211282600</v>
      </c>
      <c r="E82" s="1">
        <v>32203</v>
      </c>
      <c r="F82">
        <v>9.9337165983576998</v>
      </c>
      <c r="G82">
        <v>439466748109</v>
      </c>
      <c r="K82" s="1">
        <v>42036</v>
      </c>
      <c r="L82">
        <v>4.05603288397357</v>
      </c>
      <c r="M82">
        <f t="shared" si="3"/>
        <v>4.2096690729955704</v>
      </c>
      <c r="N82">
        <f t="shared" si="4"/>
        <v>-15.363618902200038</v>
      </c>
      <c r="O82" s="2">
        <f t="shared" si="5"/>
        <v>3.3560735280295476E-2</v>
      </c>
    </row>
    <row r="83" spans="1:15" x14ac:dyDescent="0.25">
      <c r="A83" s="1">
        <v>42064</v>
      </c>
      <c r="B83">
        <v>3.9601078610645701</v>
      </c>
      <c r="C83">
        <v>9108242199</v>
      </c>
      <c r="E83" s="1">
        <v>32234</v>
      </c>
      <c r="F83">
        <v>9.9773990565931197</v>
      </c>
      <c r="G83">
        <v>478179551443</v>
      </c>
      <c r="K83" s="1">
        <v>42064</v>
      </c>
      <c r="L83">
        <v>3.9601078610645701</v>
      </c>
      <c r="M83">
        <f t="shared" si="3"/>
        <v>4.0329850466226498</v>
      </c>
      <c r="N83">
        <f t="shared" si="4"/>
        <v>-7.2877185558079649</v>
      </c>
      <c r="O83" s="2">
        <f t="shared" si="5"/>
        <v>3.2710942586512019E-2</v>
      </c>
    </row>
    <row r="84" spans="1:15" x14ac:dyDescent="0.25">
      <c r="A84" s="1">
        <v>42095</v>
      </c>
      <c r="B84">
        <v>3.9694244775480398</v>
      </c>
      <c r="C84">
        <v>8664975872</v>
      </c>
      <c r="E84" s="1">
        <v>32264</v>
      </c>
      <c r="F84">
        <v>9.9117348740687596</v>
      </c>
      <c r="G84">
        <v>394017316378</v>
      </c>
      <c r="K84" s="1">
        <v>42095</v>
      </c>
      <c r="L84">
        <v>3.9694244775480398</v>
      </c>
      <c r="M84">
        <f t="shared" si="3"/>
        <v>4.0070633221616401</v>
      </c>
      <c r="N84">
        <f t="shared" si="4"/>
        <v>-3.7638844613600231</v>
      </c>
      <c r="O84" s="2">
        <f t="shared" si="5"/>
        <v>3.2920895192787715E-2</v>
      </c>
    </row>
    <row r="85" spans="1:15" x14ac:dyDescent="0.25">
      <c r="A85" s="1">
        <v>42125</v>
      </c>
      <c r="B85">
        <v>3.9935501846671202</v>
      </c>
      <c r="C85">
        <v>5381318019</v>
      </c>
      <c r="E85" s="1">
        <v>32295</v>
      </c>
      <c r="F85">
        <v>10.0699639447422</v>
      </c>
      <c r="G85">
        <v>446603895882</v>
      </c>
      <c r="K85" s="1">
        <v>42125</v>
      </c>
      <c r="L85">
        <v>3.9935501846671202</v>
      </c>
      <c r="M85">
        <f t="shared" si="3"/>
        <v>4.0535036903429402</v>
      </c>
      <c r="N85">
        <f t="shared" si="4"/>
        <v>-5.9953505675820029</v>
      </c>
      <c r="O85" s="2">
        <f t="shared" si="5"/>
        <v>2.5247300078463802E-2</v>
      </c>
    </row>
    <row r="86" spans="1:15" x14ac:dyDescent="0.25">
      <c r="A86" s="1">
        <v>42156</v>
      </c>
      <c r="B86">
        <v>3.9466098859248802</v>
      </c>
      <c r="C86">
        <v>9656455976</v>
      </c>
      <c r="E86" s="1">
        <v>32325</v>
      </c>
      <c r="F86">
        <v>10.1782457012529</v>
      </c>
      <c r="G86">
        <v>613279851694</v>
      </c>
      <c r="K86" s="1">
        <v>42156</v>
      </c>
      <c r="L86">
        <v>3.9466098859248802</v>
      </c>
      <c r="M86">
        <f t="shared" si="3"/>
        <v>4.0389687442882796</v>
      </c>
      <c r="N86">
        <f t="shared" si="4"/>
        <v>-9.235885836339941</v>
      </c>
      <c r="O86" s="2">
        <f t="shared" si="5"/>
        <v>5.2812628619025921E-2</v>
      </c>
    </row>
    <row r="87" spans="1:15" x14ac:dyDescent="0.25">
      <c r="A87" s="1">
        <v>42186</v>
      </c>
      <c r="B87">
        <v>4.0549893147499896</v>
      </c>
      <c r="C87">
        <v>4293685220</v>
      </c>
      <c r="E87" s="1">
        <v>32356</v>
      </c>
      <c r="F87">
        <v>10.1830225303666</v>
      </c>
      <c r="G87">
        <v>357328576291</v>
      </c>
      <c r="K87" s="1">
        <v>42186</v>
      </c>
      <c r="L87">
        <v>4.0549893147499896</v>
      </c>
      <c r="M87">
        <f t="shared" si="3"/>
        <v>4.1103325603782999</v>
      </c>
      <c r="N87">
        <f t="shared" si="4"/>
        <v>-5.5343245628310278</v>
      </c>
      <c r="O87" s="2">
        <f t="shared" si="5"/>
        <v>2.5687590443477702E-2</v>
      </c>
    </row>
    <row r="88" spans="1:15" x14ac:dyDescent="0.25">
      <c r="A88" s="1">
        <v>42217</v>
      </c>
      <c r="B88">
        <v>4.0696513008361999</v>
      </c>
      <c r="C88">
        <v>3683574764</v>
      </c>
      <c r="E88" s="1">
        <v>32387</v>
      </c>
      <c r="F88">
        <v>10.3163324115934</v>
      </c>
      <c r="G88">
        <v>366817308038</v>
      </c>
      <c r="K88" s="1">
        <v>42217</v>
      </c>
      <c r="L88">
        <v>4.0696513008361999</v>
      </c>
      <c r="M88">
        <f t="shared" si="3"/>
        <v>4.2555873644735902</v>
      </c>
      <c r="N88">
        <f t="shared" si="4"/>
        <v>-18.593606363739035</v>
      </c>
      <c r="O88" s="2">
        <f t="shared" si="5"/>
        <v>3.2841933586379102E-2</v>
      </c>
    </row>
    <row r="89" spans="1:15" x14ac:dyDescent="0.25">
      <c r="A89" s="1">
        <v>42248</v>
      </c>
      <c r="B89">
        <v>4.1661401988232196</v>
      </c>
      <c r="C89">
        <v>1938949142</v>
      </c>
      <c r="E89" s="1">
        <v>32417</v>
      </c>
      <c r="F89">
        <v>10.407167186236601</v>
      </c>
      <c r="G89">
        <v>454960939412</v>
      </c>
      <c r="K89" s="1">
        <v>42248</v>
      </c>
      <c r="L89">
        <v>4.1661401988232196</v>
      </c>
      <c r="M89">
        <f t="shared" si="3"/>
        <v>4.2691977508419399</v>
      </c>
      <c r="N89">
        <f t="shared" si="4"/>
        <v>-10.305755201872024</v>
      </c>
      <c r="O89" s="2">
        <f t="shared" si="5"/>
        <v>1.9307365695388944E-2</v>
      </c>
    </row>
    <row r="90" spans="1:15" x14ac:dyDescent="0.25">
      <c r="A90" s="1">
        <v>42278</v>
      </c>
      <c r="B90">
        <v>4.1537853390636101</v>
      </c>
      <c r="C90">
        <v>1225724328</v>
      </c>
      <c r="E90" s="1">
        <v>32448</v>
      </c>
      <c r="F90">
        <v>10.2772126285615</v>
      </c>
      <c r="G90">
        <v>514891497061</v>
      </c>
      <c r="K90" s="1">
        <v>42278</v>
      </c>
      <c r="L90">
        <v>4.1537853390636101</v>
      </c>
      <c r="M90">
        <f t="shared" si="3"/>
        <v>4.2544941345304697</v>
      </c>
      <c r="N90">
        <f t="shared" si="4"/>
        <v>-10.070879546685951</v>
      </c>
      <c r="O90" s="2">
        <f t="shared" si="5"/>
        <v>2.0052139326341676E-2</v>
      </c>
    </row>
    <row r="91" spans="1:15" x14ac:dyDescent="0.25">
      <c r="A91" s="1">
        <v>42309</v>
      </c>
      <c r="B91">
        <v>4.0864136001973099</v>
      </c>
      <c r="C91">
        <v>626259208</v>
      </c>
      <c r="E91" s="1">
        <v>32478</v>
      </c>
      <c r="F91">
        <v>10.1102380492813</v>
      </c>
      <c r="G91">
        <v>544774286207</v>
      </c>
      <c r="K91" s="1">
        <v>42309</v>
      </c>
      <c r="L91">
        <v>4.0864136001973099</v>
      </c>
      <c r="M91">
        <f t="shared" si="3"/>
        <v>4.2217044865697799</v>
      </c>
      <c r="N91">
        <f t="shared" si="4"/>
        <v>-13.529088637247</v>
      </c>
      <c r="O91" s="2">
        <f t="shared" si="5"/>
        <v>3.2346047248457382E-2</v>
      </c>
    </row>
    <row r="92" spans="1:15" x14ac:dyDescent="0.25">
      <c r="A92" s="1">
        <v>42339</v>
      </c>
      <c r="B92">
        <v>4.1293286560685303</v>
      </c>
      <c r="C92">
        <v>51527836</v>
      </c>
      <c r="E92" s="1">
        <v>32509</v>
      </c>
      <c r="F92">
        <v>10.2305985697029</v>
      </c>
      <c r="G92">
        <v>531738717456</v>
      </c>
      <c r="K92" s="1">
        <v>42339</v>
      </c>
      <c r="L92">
        <v>4.1293286560685303</v>
      </c>
      <c r="M92">
        <f t="shared" si="3"/>
        <v>4.1798344701624197</v>
      </c>
      <c r="N92">
        <f t="shared" si="4"/>
        <v>-5.0505814093889434</v>
      </c>
      <c r="O92" s="2">
        <f t="shared" si="5"/>
        <v>5.4609199851666877E-3</v>
      </c>
    </row>
    <row r="93" spans="1:15" x14ac:dyDescent="0.25">
      <c r="E93" s="1">
        <v>32540</v>
      </c>
      <c r="F93">
        <v>10.3711125474792</v>
      </c>
      <c r="G93">
        <v>457673159860</v>
      </c>
    </row>
    <row r="94" spans="1:15" x14ac:dyDescent="0.25">
      <c r="E94" s="1">
        <v>32568</v>
      </c>
      <c r="F94">
        <v>10.543022408973499</v>
      </c>
      <c r="G94">
        <v>391904063422</v>
      </c>
    </row>
    <row r="95" spans="1:15" x14ac:dyDescent="0.25">
      <c r="E95" s="1">
        <v>32599</v>
      </c>
      <c r="F95">
        <v>10.477661989757999</v>
      </c>
      <c r="G95">
        <v>336057672745</v>
      </c>
    </row>
    <row r="96" spans="1:15" x14ac:dyDescent="0.25">
      <c r="E96" s="1">
        <v>32629</v>
      </c>
      <c r="F96">
        <v>10.6560419489971</v>
      </c>
      <c r="G96">
        <v>362916754943</v>
      </c>
    </row>
    <row r="97" spans="5:7" x14ac:dyDescent="0.25">
      <c r="E97" s="1">
        <v>32660</v>
      </c>
      <c r="F97">
        <v>10.7464747784829</v>
      </c>
      <c r="G97">
        <v>503529757559</v>
      </c>
    </row>
    <row r="98" spans="5:7" x14ac:dyDescent="0.25">
      <c r="E98" s="1">
        <v>32690</v>
      </c>
      <c r="F98">
        <v>10.608008949016799</v>
      </c>
      <c r="G98">
        <v>559445046338</v>
      </c>
    </row>
    <row r="99" spans="5:7" x14ac:dyDescent="0.25">
      <c r="E99" s="1">
        <v>32721</v>
      </c>
      <c r="F99">
        <v>10.242439177813701</v>
      </c>
      <c r="G99">
        <v>653227969075</v>
      </c>
    </row>
    <row r="100" spans="5:7" x14ac:dyDescent="0.25">
      <c r="E100" s="1">
        <v>32752</v>
      </c>
      <c r="F100">
        <v>10.0068247822985</v>
      </c>
      <c r="G100">
        <v>871811656909</v>
      </c>
    </row>
    <row r="101" spans="5:7" x14ac:dyDescent="0.25">
      <c r="E101" s="1">
        <v>32782</v>
      </c>
      <c r="F101">
        <v>9.9354067690270504</v>
      </c>
      <c r="G101">
        <v>862150992305</v>
      </c>
    </row>
    <row r="102" spans="5:7" x14ac:dyDescent="0.25">
      <c r="E102" s="1">
        <v>32813</v>
      </c>
      <c r="F102">
        <v>9.9648791118197</v>
      </c>
      <c r="G102">
        <v>1214779703446</v>
      </c>
    </row>
    <row r="103" spans="5:7" x14ac:dyDescent="0.25">
      <c r="E103" s="1">
        <v>32843</v>
      </c>
      <c r="F103">
        <v>9.9697027160936003</v>
      </c>
      <c r="G103">
        <v>1270191337114</v>
      </c>
    </row>
    <row r="104" spans="5:7" x14ac:dyDescent="0.25">
      <c r="E104" s="1">
        <v>32874</v>
      </c>
      <c r="F104">
        <v>9.8695633545496104</v>
      </c>
      <c r="G104">
        <v>1201163707111</v>
      </c>
    </row>
    <row r="105" spans="5:7" x14ac:dyDescent="0.25">
      <c r="E105" s="1">
        <v>32905</v>
      </c>
      <c r="F105">
        <v>9.7938581512429295</v>
      </c>
      <c r="G105">
        <v>1108581827013</v>
      </c>
    </row>
    <row r="106" spans="5:7" x14ac:dyDescent="0.25">
      <c r="E106" s="1">
        <v>32933</v>
      </c>
      <c r="F106">
        <v>9.8580733740653699</v>
      </c>
      <c r="G106">
        <v>1043534640113</v>
      </c>
    </row>
    <row r="107" spans="5:7" x14ac:dyDescent="0.25">
      <c r="E107" s="1">
        <v>32964</v>
      </c>
      <c r="F107">
        <v>10.034175890681899</v>
      </c>
      <c r="G107">
        <v>1010938259502</v>
      </c>
    </row>
    <row r="108" spans="5:7" x14ac:dyDescent="0.25">
      <c r="E108" s="1">
        <v>32994</v>
      </c>
      <c r="F108">
        <v>10.1485118859334</v>
      </c>
      <c r="G108">
        <v>804398739818</v>
      </c>
    </row>
    <row r="109" spans="5:7" x14ac:dyDescent="0.25">
      <c r="E109" s="1">
        <v>33025</v>
      </c>
      <c r="F109">
        <v>10.2729130928945</v>
      </c>
      <c r="G109">
        <v>990381336520</v>
      </c>
    </row>
    <row r="110" spans="5:7" x14ac:dyDescent="0.25">
      <c r="E110" s="1">
        <v>33055</v>
      </c>
      <c r="F110">
        <v>10.260974642576899</v>
      </c>
      <c r="G110">
        <v>867909032560</v>
      </c>
    </row>
    <row r="111" spans="5:7" x14ac:dyDescent="0.25">
      <c r="E111" s="1">
        <v>33086</v>
      </c>
      <c r="F111">
        <v>10.1180928074867</v>
      </c>
      <c r="G111">
        <v>1228195369157</v>
      </c>
    </row>
    <row r="112" spans="5:7" x14ac:dyDescent="0.25">
      <c r="E112" s="1">
        <v>33117</v>
      </c>
      <c r="F112">
        <v>9.9946331665506598</v>
      </c>
      <c r="G112">
        <v>1035706847012</v>
      </c>
    </row>
    <row r="113" spans="5:7" x14ac:dyDescent="0.25">
      <c r="E113" s="1">
        <v>33147</v>
      </c>
      <c r="F113">
        <v>10.0698062769108</v>
      </c>
      <c r="G113">
        <v>1056511289251</v>
      </c>
    </row>
    <row r="114" spans="5:7" x14ac:dyDescent="0.25">
      <c r="E114" s="1">
        <v>33178</v>
      </c>
      <c r="F114">
        <v>10.052010895545401</v>
      </c>
      <c r="G114">
        <v>895891099316</v>
      </c>
    </row>
    <row r="115" spans="5:7" x14ac:dyDescent="0.25">
      <c r="E115" s="1">
        <v>33208</v>
      </c>
      <c r="F115">
        <v>10.1078106527756</v>
      </c>
      <c r="G115">
        <v>794767938545</v>
      </c>
    </row>
    <row r="116" spans="5:7" x14ac:dyDescent="0.25">
      <c r="E116" s="1">
        <v>33239</v>
      </c>
      <c r="F116">
        <v>10.051682548381001</v>
      </c>
      <c r="G116">
        <v>508973260450</v>
      </c>
    </row>
    <row r="117" spans="5:7" x14ac:dyDescent="0.25">
      <c r="E117" s="1">
        <v>33270</v>
      </c>
      <c r="F117">
        <v>9.8754542203805205</v>
      </c>
      <c r="G117">
        <v>659600464375</v>
      </c>
    </row>
    <row r="118" spans="5:7" x14ac:dyDescent="0.25">
      <c r="E118" s="1">
        <v>33298</v>
      </c>
      <c r="F118">
        <v>9.6853402291324908</v>
      </c>
      <c r="G118">
        <v>695218708214</v>
      </c>
    </row>
    <row r="119" spans="5:7" x14ac:dyDescent="0.25">
      <c r="E119" s="1">
        <v>33329</v>
      </c>
      <c r="F119">
        <v>9.5894198437986695</v>
      </c>
      <c r="G119">
        <v>834629669420</v>
      </c>
    </row>
    <row r="120" spans="5:7" x14ac:dyDescent="0.25">
      <c r="E120" s="1">
        <v>33359</v>
      </c>
      <c r="F120">
        <v>9.5052637142141005</v>
      </c>
      <c r="G120">
        <v>1098631435097</v>
      </c>
    </row>
    <row r="121" spans="5:7" x14ac:dyDescent="0.25">
      <c r="E121" s="1">
        <v>33390</v>
      </c>
      <c r="F121">
        <v>9.4592539053643101</v>
      </c>
      <c r="G121">
        <v>1404820308399</v>
      </c>
    </row>
    <row r="122" spans="5:7" x14ac:dyDescent="0.25">
      <c r="E122" s="1">
        <v>33420</v>
      </c>
      <c r="F122">
        <v>9.5490803510352897</v>
      </c>
      <c r="G122">
        <v>1188725423183</v>
      </c>
    </row>
    <row r="123" spans="5:7" x14ac:dyDescent="0.25">
      <c r="E123" s="1">
        <v>33451</v>
      </c>
      <c r="F123">
        <v>9.6120834009917093</v>
      </c>
      <c r="G123">
        <v>1479249783966</v>
      </c>
    </row>
    <row r="124" spans="5:7" x14ac:dyDescent="0.25">
      <c r="E124" s="1">
        <v>33482</v>
      </c>
      <c r="F124">
        <v>9.5467414031969593</v>
      </c>
      <c r="G124">
        <v>1335483688351</v>
      </c>
    </row>
    <row r="125" spans="5:7" x14ac:dyDescent="0.25">
      <c r="E125" s="1">
        <v>33512</v>
      </c>
      <c r="F125">
        <v>9.4485240256801308</v>
      </c>
      <c r="G125">
        <v>1302753565990</v>
      </c>
    </row>
    <row r="126" spans="5:7" x14ac:dyDescent="0.25">
      <c r="E126" s="1">
        <v>33543</v>
      </c>
      <c r="F126">
        <v>9.2407893624921709</v>
      </c>
      <c r="G126">
        <v>1357648939952</v>
      </c>
    </row>
    <row r="127" spans="5:7" x14ac:dyDescent="0.25">
      <c r="E127" s="1">
        <v>33573</v>
      </c>
      <c r="F127">
        <v>9.0157122425973597</v>
      </c>
      <c r="G127">
        <v>1429771646573</v>
      </c>
    </row>
    <row r="128" spans="5:7" x14ac:dyDescent="0.25">
      <c r="E128" s="1">
        <v>33604</v>
      </c>
      <c r="F128">
        <v>8.8243246887023901</v>
      </c>
      <c r="G128">
        <v>1345337044760</v>
      </c>
    </row>
    <row r="129" spans="5:7" x14ac:dyDescent="0.25">
      <c r="E129" s="1">
        <v>33635</v>
      </c>
      <c r="F129">
        <v>8.6491747279706903</v>
      </c>
      <c r="G129">
        <v>1478889749010</v>
      </c>
    </row>
    <row r="130" spans="5:7" x14ac:dyDescent="0.25">
      <c r="E130" s="1">
        <v>33664</v>
      </c>
      <c r="F130">
        <v>8.6709365069427005</v>
      </c>
      <c r="G130">
        <v>2002492075573</v>
      </c>
    </row>
    <row r="131" spans="5:7" x14ac:dyDescent="0.25">
      <c r="E131" s="1">
        <v>33695</v>
      </c>
      <c r="F131">
        <v>8.69719287736865</v>
      </c>
      <c r="G131">
        <v>1828282892523</v>
      </c>
    </row>
    <row r="132" spans="5:7" x14ac:dyDescent="0.25">
      <c r="E132" s="1">
        <v>33725</v>
      </c>
      <c r="F132">
        <v>8.7995773044139796</v>
      </c>
      <c r="G132">
        <v>2063981353784</v>
      </c>
    </row>
    <row r="133" spans="5:7" x14ac:dyDescent="0.25">
      <c r="E133" s="1">
        <v>33756</v>
      </c>
      <c r="F133">
        <v>8.8658213215270294</v>
      </c>
      <c r="G133">
        <v>1901794020794</v>
      </c>
    </row>
    <row r="134" spans="5:7" x14ac:dyDescent="0.25">
      <c r="E134" s="1">
        <v>33786</v>
      </c>
      <c r="F134">
        <v>8.7560934009515492</v>
      </c>
      <c r="G134">
        <v>1542001389264</v>
      </c>
    </row>
    <row r="135" spans="5:7" x14ac:dyDescent="0.25">
      <c r="E135" s="1">
        <v>33817</v>
      </c>
      <c r="F135">
        <v>8.6570007858819</v>
      </c>
      <c r="G135">
        <v>1683251247774</v>
      </c>
    </row>
    <row r="136" spans="5:7" x14ac:dyDescent="0.25">
      <c r="E136" s="1">
        <v>33848</v>
      </c>
      <c r="F136">
        <v>8.3404719132522498</v>
      </c>
      <c r="G136">
        <v>1779311108533</v>
      </c>
    </row>
    <row r="137" spans="5:7" x14ac:dyDescent="0.25">
      <c r="E137" s="1">
        <v>33878</v>
      </c>
      <c r="F137">
        <v>8.2209021690210005</v>
      </c>
      <c r="G137">
        <v>2297529251705</v>
      </c>
    </row>
    <row r="138" spans="5:7" x14ac:dyDescent="0.25">
      <c r="E138" s="1">
        <v>33909</v>
      </c>
      <c r="F138">
        <v>8.0936953861579202</v>
      </c>
      <c r="G138">
        <v>2280962312571</v>
      </c>
    </row>
    <row r="139" spans="5:7" x14ac:dyDescent="0.25">
      <c r="E139" s="1">
        <v>33939</v>
      </c>
      <c r="F139">
        <v>8.1655339898418404</v>
      </c>
      <c r="G139">
        <v>2132063531907</v>
      </c>
    </row>
    <row r="140" spans="5:7" x14ac:dyDescent="0.25">
      <c r="E140" s="1">
        <v>33970</v>
      </c>
      <c r="F140">
        <v>8.2664721652611508</v>
      </c>
      <c r="G140">
        <v>2154579460463</v>
      </c>
    </row>
    <row r="141" spans="5:7" x14ac:dyDescent="0.25">
      <c r="E141" s="1">
        <v>34001</v>
      </c>
      <c r="F141">
        <v>8.3268184290669396</v>
      </c>
      <c r="G141">
        <v>1541913057718</v>
      </c>
    </row>
    <row r="142" spans="5:7" x14ac:dyDescent="0.25">
      <c r="E142" s="1">
        <v>34029</v>
      </c>
      <c r="F142">
        <v>8.1665393174351895</v>
      </c>
      <c r="G142">
        <v>1208429390262</v>
      </c>
    </row>
    <row r="143" spans="5:7" x14ac:dyDescent="0.25">
      <c r="E143" s="1">
        <v>34060</v>
      </c>
      <c r="F143">
        <v>7.9382402880982799</v>
      </c>
      <c r="G143">
        <v>1646867830484</v>
      </c>
    </row>
    <row r="144" spans="5:7" x14ac:dyDescent="0.25">
      <c r="E144" s="1">
        <v>34090</v>
      </c>
      <c r="F144">
        <v>7.7243951985175201</v>
      </c>
      <c r="G144">
        <v>2198866088395</v>
      </c>
    </row>
    <row r="145" spans="5:7" x14ac:dyDescent="0.25">
      <c r="E145" s="1">
        <v>34121</v>
      </c>
      <c r="F145">
        <v>7.6360701086689797</v>
      </c>
      <c r="G145">
        <v>2357059572301</v>
      </c>
    </row>
    <row r="146" spans="5:7" x14ac:dyDescent="0.25">
      <c r="E146" s="1">
        <v>34151</v>
      </c>
      <c r="F146">
        <v>7.6221514273945301</v>
      </c>
      <c r="G146">
        <v>2547868562473</v>
      </c>
    </row>
    <row r="147" spans="5:7" x14ac:dyDescent="0.25">
      <c r="E147" s="1">
        <v>34182</v>
      </c>
      <c r="F147">
        <v>7.6064419744098704</v>
      </c>
      <c r="G147">
        <v>2399919891246</v>
      </c>
    </row>
    <row r="148" spans="5:7" x14ac:dyDescent="0.25">
      <c r="E148" s="1">
        <v>34213</v>
      </c>
      <c r="F148">
        <v>7.45576100893995</v>
      </c>
      <c r="G148">
        <v>3432768572182</v>
      </c>
    </row>
    <row r="149" spans="5:7" x14ac:dyDescent="0.25">
      <c r="E149" s="1">
        <v>34243</v>
      </c>
      <c r="F149">
        <v>7.2802731458255101</v>
      </c>
      <c r="G149">
        <v>3531900869157</v>
      </c>
    </row>
    <row r="150" spans="5:7" x14ac:dyDescent="0.25">
      <c r="E150" s="1">
        <v>34274</v>
      </c>
      <c r="F150">
        <v>7.1784790852592</v>
      </c>
      <c r="G150">
        <v>2756085894889</v>
      </c>
    </row>
    <row r="151" spans="5:7" x14ac:dyDescent="0.25">
      <c r="E151" s="1">
        <v>34304</v>
      </c>
      <c r="F151">
        <v>7.11707739154234</v>
      </c>
      <c r="G151">
        <v>2846465559187</v>
      </c>
    </row>
    <row r="152" spans="5:7" x14ac:dyDescent="0.25">
      <c r="E152" s="1">
        <v>34335</v>
      </c>
      <c r="F152">
        <v>7.1784030897462499</v>
      </c>
      <c r="G152">
        <v>3166367704916</v>
      </c>
    </row>
    <row r="153" spans="5:7" x14ac:dyDescent="0.25">
      <c r="E153" s="1">
        <v>34366</v>
      </c>
      <c r="F153">
        <v>7.3124343494853701</v>
      </c>
      <c r="G153">
        <v>2697934997987</v>
      </c>
    </row>
    <row r="154" spans="5:7" x14ac:dyDescent="0.25">
      <c r="E154" s="1">
        <v>34394</v>
      </c>
      <c r="F154">
        <v>7.2995634040485902</v>
      </c>
      <c r="G154">
        <v>1914539692302</v>
      </c>
    </row>
    <row r="155" spans="5:7" x14ac:dyDescent="0.25">
      <c r="E155" s="1">
        <v>34425</v>
      </c>
      <c r="F155">
        <v>7.3789785280127598</v>
      </c>
      <c r="G155">
        <v>1885998819167</v>
      </c>
    </row>
    <row r="156" spans="5:7" x14ac:dyDescent="0.25">
      <c r="E156" s="1">
        <v>34455</v>
      </c>
      <c r="F156">
        <v>7.6349973409426397</v>
      </c>
      <c r="G156">
        <v>1602339835694</v>
      </c>
    </row>
    <row r="157" spans="5:7" x14ac:dyDescent="0.25">
      <c r="E157" s="1">
        <v>34486</v>
      </c>
      <c r="F157">
        <v>8.1227113507907394</v>
      </c>
      <c r="G157">
        <v>1163295440842</v>
      </c>
    </row>
    <row r="158" spans="5:7" x14ac:dyDescent="0.25">
      <c r="E158" s="1">
        <v>34516</v>
      </c>
      <c r="F158">
        <v>8.4775906768648603</v>
      </c>
      <c r="G158">
        <v>986597311153</v>
      </c>
    </row>
    <row r="159" spans="5:7" x14ac:dyDescent="0.25">
      <c r="E159" s="1">
        <v>34547</v>
      </c>
      <c r="F159">
        <v>8.5893803871905199</v>
      </c>
      <c r="G159">
        <v>783069980814</v>
      </c>
    </row>
    <row r="160" spans="5:7" x14ac:dyDescent="0.25">
      <c r="E160" s="1">
        <v>34578</v>
      </c>
      <c r="F160">
        <v>8.6653177983101894</v>
      </c>
      <c r="G160">
        <v>814776376647</v>
      </c>
    </row>
    <row r="161" spans="5:7" x14ac:dyDescent="0.25">
      <c r="E161" s="1">
        <v>34608</v>
      </c>
      <c r="F161">
        <v>8.7318931201138295</v>
      </c>
      <c r="G161">
        <v>764579816780</v>
      </c>
    </row>
    <row r="162" spans="5:7" x14ac:dyDescent="0.25">
      <c r="E162" s="1">
        <v>34639</v>
      </c>
      <c r="F162">
        <v>8.8767889246037601</v>
      </c>
      <c r="G162">
        <v>881251050834</v>
      </c>
    </row>
    <row r="163" spans="5:7" x14ac:dyDescent="0.25">
      <c r="E163" s="1">
        <v>34669</v>
      </c>
      <c r="F163">
        <v>8.9693276255042491</v>
      </c>
      <c r="G163">
        <v>858967640923</v>
      </c>
    </row>
    <row r="164" spans="5:7" x14ac:dyDescent="0.25">
      <c r="E164" s="1">
        <v>34700</v>
      </c>
      <c r="F164">
        <v>9.2680436581706793</v>
      </c>
      <c r="G164">
        <v>532490402210</v>
      </c>
    </row>
    <row r="165" spans="5:7" x14ac:dyDescent="0.25">
      <c r="E165" s="1">
        <v>34731</v>
      </c>
      <c r="F165">
        <v>9.2949159179788197</v>
      </c>
      <c r="G165">
        <v>450680603345</v>
      </c>
    </row>
    <row r="166" spans="5:7" x14ac:dyDescent="0.25">
      <c r="E166" s="1">
        <v>34759</v>
      </c>
      <c r="F166">
        <v>9.00940430141506</v>
      </c>
      <c r="G166">
        <v>396618038242</v>
      </c>
    </row>
    <row r="167" spans="5:7" x14ac:dyDescent="0.25">
      <c r="E167" s="1">
        <v>34790</v>
      </c>
      <c r="F167">
        <v>9.0783826900079294</v>
      </c>
      <c r="G167">
        <v>513492654076</v>
      </c>
    </row>
    <row r="168" spans="5:7" x14ac:dyDescent="0.25">
      <c r="E168" s="1">
        <v>34820</v>
      </c>
      <c r="F168">
        <v>8.8181758668752703</v>
      </c>
      <c r="G168">
        <v>717658553729</v>
      </c>
    </row>
    <row r="169" spans="5:7" x14ac:dyDescent="0.25">
      <c r="E169" s="1">
        <v>34851</v>
      </c>
      <c r="F169">
        <v>8.5354555043561504</v>
      </c>
      <c r="G169">
        <v>1129307921633</v>
      </c>
    </row>
    <row r="170" spans="5:7" x14ac:dyDescent="0.25">
      <c r="E170" s="1">
        <v>34881</v>
      </c>
      <c r="F170">
        <v>8.1913882672338492</v>
      </c>
      <c r="G170">
        <v>1528169400550</v>
      </c>
    </row>
    <row r="171" spans="5:7" x14ac:dyDescent="0.25">
      <c r="E171" s="1">
        <v>34912</v>
      </c>
      <c r="F171">
        <v>7.92737775571148</v>
      </c>
      <c r="G171">
        <v>1651075811791</v>
      </c>
    </row>
    <row r="172" spans="5:7" x14ac:dyDescent="0.25">
      <c r="E172" s="1">
        <v>34943</v>
      </c>
      <c r="F172">
        <v>7.9223613445476904</v>
      </c>
      <c r="G172">
        <v>1649078454206</v>
      </c>
    </row>
    <row r="173" spans="5:7" x14ac:dyDescent="0.25">
      <c r="E173" s="1">
        <v>34973</v>
      </c>
      <c r="F173">
        <v>7.9795421719538204</v>
      </c>
      <c r="G173">
        <v>1623728618457</v>
      </c>
    </row>
    <row r="174" spans="5:7" x14ac:dyDescent="0.25">
      <c r="E174" s="1">
        <v>35004</v>
      </c>
      <c r="F174">
        <v>7.9245659312810002</v>
      </c>
      <c r="G174">
        <v>1837722872738</v>
      </c>
    </row>
    <row r="175" spans="5:7" x14ac:dyDescent="0.25">
      <c r="E175" s="1">
        <v>35034</v>
      </c>
      <c r="F175">
        <v>7.78000007339622</v>
      </c>
      <c r="G175">
        <v>1853297831892</v>
      </c>
    </row>
    <row r="176" spans="5:7" x14ac:dyDescent="0.25">
      <c r="E176" s="1">
        <v>35065</v>
      </c>
      <c r="F176">
        <v>7.6944452786878097</v>
      </c>
      <c r="G176">
        <v>1712836039046</v>
      </c>
    </row>
    <row r="177" spans="5:7" x14ac:dyDescent="0.25">
      <c r="E177" s="1">
        <v>35096</v>
      </c>
      <c r="F177">
        <v>7.5579415959063203</v>
      </c>
      <c r="G177">
        <v>1836450207894</v>
      </c>
    </row>
    <row r="178" spans="5:7" x14ac:dyDescent="0.25">
      <c r="E178" s="1">
        <v>35125</v>
      </c>
      <c r="F178">
        <v>7.4284731719948098</v>
      </c>
      <c r="G178">
        <v>1855129982345</v>
      </c>
    </row>
    <row r="179" spans="5:7" x14ac:dyDescent="0.25">
      <c r="E179" s="1">
        <v>35156</v>
      </c>
      <c r="F179">
        <v>7.5245545118500701</v>
      </c>
      <c r="G179">
        <v>1967638777589</v>
      </c>
    </row>
    <row r="180" spans="5:7" x14ac:dyDescent="0.25">
      <c r="E180" s="1">
        <v>35186</v>
      </c>
      <c r="F180">
        <v>7.7763396275646004</v>
      </c>
      <c r="G180">
        <v>1863925152680</v>
      </c>
    </row>
    <row r="181" spans="5:7" x14ac:dyDescent="0.25">
      <c r="E181" s="1">
        <v>35217</v>
      </c>
      <c r="F181">
        <v>8.0357948798059393</v>
      </c>
      <c r="G181">
        <v>1799721095014</v>
      </c>
    </row>
    <row r="182" spans="5:7" x14ac:dyDescent="0.25">
      <c r="E182" s="1">
        <v>35247</v>
      </c>
      <c r="F182">
        <v>8.1827658030687491</v>
      </c>
      <c r="G182">
        <v>1386654766571</v>
      </c>
    </row>
    <row r="183" spans="5:7" x14ac:dyDescent="0.25">
      <c r="E183" s="1">
        <v>35278</v>
      </c>
      <c r="F183">
        <v>8.3468522128644391</v>
      </c>
      <c r="G183">
        <v>1132637002731</v>
      </c>
    </row>
    <row r="184" spans="5:7" x14ac:dyDescent="0.25">
      <c r="E184" s="1">
        <v>35309</v>
      </c>
      <c r="F184">
        <v>8.3888340643160593</v>
      </c>
      <c r="G184">
        <v>1510337580491</v>
      </c>
    </row>
    <row r="185" spans="5:7" x14ac:dyDescent="0.25">
      <c r="E185" s="1">
        <v>35339</v>
      </c>
      <c r="F185">
        <v>8.3029761386891998</v>
      </c>
      <c r="G185">
        <v>1117653011659</v>
      </c>
    </row>
    <row r="186" spans="5:7" x14ac:dyDescent="0.25">
      <c r="E186" s="1">
        <v>35370</v>
      </c>
      <c r="F186">
        <v>8.3117543512762104</v>
      </c>
      <c r="G186">
        <v>993680464103</v>
      </c>
    </row>
    <row r="187" spans="5:7" x14ac:dyDescent="0.25">
      <c r="E187" s="1">
        <v>35400</v>
      </c>
      <c r="F187">
        <v>8.1507331806927095</v>
      </c>
      <c r="G187">
        <v>1098712156519</v>
      </c>
    </row>
    <row r="188" spans="5:7" x14ac:dyDescent="0.25">
      <c r="E188" s="1">
        <v>35431</v>
      </c>
      <c r="F188">
        <v>7.9846056649362298</v>
      </c>
      <c r="G188">
        <v>1025312293612</v>
      </c>
    </row>
    <row r="189" spans="5:7" x14ac:dyDescent="0.25">
      <c r="E189" s="1">
        <v>35462</v>
      </c>
      <c r="F189">
        <v>7.9404190953595402</v>
      </c>
      <c r="G189">
        <v>1195296221260</v>
      </c>
    </row>
    <row r="190" spans="5:7" x14ac:dyDescent="0.25">
      <c r="E190" s="1">
        <v>35490</v>
      </c>
      <c r="F190">
        <v>7.9683998404156302</v>
      </c>
      <c r="G190">
        <v>1075764763614</v>
      </c>
    </row>
    <row r="191" spans="5:7" x14ac:dyDescent="0.25">
      <c r="E191" s="1">
        <v>35521</v>
      </c>
      <c r="F191">
        <v>7.9762754821961401</v>
      </c>
      <c r="G191">
        <v>1059202189509</v>
      </c>
    </row>
    <row r="192" spans="5:7" x14ac:dyDescent="0.25">
      <c r="E192" s="1">
        <v>35551</v>
      </c>
      <c r="F192">
        <v>8.0815907361800505</v>
      </c>
      <c r="G192">
        <v>1247131012873</v>
      </c>
    </row>
    <row r="193" spans="5:7" x14ac:dyDescent="0.25">
      <c r="E193" s="1">
        <v>35582</v>
      </c>
      <c r="F193">
        <v>8.1874711419734201</v>
      </c>
      <c r="G193">
        <v>966422825011</v>
      </c>
    </row>
    <row r="194" spans="5:7" x14ac:dyDescent="0.25">
      <c r="E194" s="1">
        <v>35612</v>
      </c>
      <c r="F194">
        <v>8.1278234293375604</v>
      </c>
      <c r="G194">
        <v>1178250564576</v>
      </c>
    </row>
    <row r="195" spans="5:7" x14ac:dyDescent="0.25">
      <c r="E195" s="1">
        <v>35643</v>
      </c>
      <c r="F195">
        <v>7.9786541377001301</v>
      </c>
      <c r="G195">
        <v>1648701109332</v>
      </c>
    </row>
    <row r="196" spans="5:7" x14ac:dyDescent="0.25">
      <c r="E196" s="1">
        <v>35674</v>
      </c>
      <c r="F196">
        <v>7.7887246889486796</v>
      </c>
      <c r="G196">
        <v>1517922345107</v>
      </c>
    </row>
    <row r="197" spans="5:7" x14ac:dyDescent="0.25">
      <c r="E197" s="1">
        <v>35704</v>
      </c>
      <c r="F197">
        <v>7.7223457495717902</v>
      </c>
      <c r="G197">
        <v>1766179956993</v>
      </c>
    </row>
    <row r="198" spans="5:7" x14ac:dyDescent="0.25">
      <c r="E198" s="1">
        <v>35735</v>
      </c>
      <c r="F198">
        <v>7.6768362110462096</v>
      </c>
      <c r="G198">
        <v>1878982668038</v>
      </c>
    </row>
    <row r="199" spans="5:7" x14ac:dyDescent="0.25">
      <c r="E199" s="1">
        <v>35765</v>
      </c>
      <c r="F199">
        <v>7.5847437536532798</v>
      </c>
      <c r="G199">
        <v>1963247940546</v>
      </c>
    </row>
    <row r="200" spans="5:7" x14ac:dyDescent="0.25">
      <c r="E200" s="1">
        <v>35796</v>
      </c>
      <c r="F200">
        <v>7.4909035462270896</v>
      </c>
      <c r="G200">
        <v>2031711562645</v>
      </c>
    </row>
    <row r="201" spans="5:7" x14ac:dyDescent="0.25">
      <c r="E201" s="1">
        <v>35827</v>
      </c>
      <c r="F201">
        <v>7.3931227544763898</v>
      </c>
      <c r="G201">
        <v>2144503090724</v>
      </c>
    </row>
    <row r="202" spans="5:7" x14ac:dyDescent="0.25">
      <c r="E202" s="1">
        <v>35855</v>
      </c>
      <c r="F202">
        <v>7.2460055208118197</v>
      </c>
      <c r="G202">
        <v>2890559386711</v>
      </c>
    </row>
    <row r="203" spans="5:7" x14ac:dyDescent="0.25">
      <c r="E203" s="1">
        <v>35886</v>
      </c>
      <c r="F203">
        <v>7.2647313248394099</v>
      </c>
      <c r="G203">
        <v>3785867984990</v>
      </c>
    </row>
    <row r="204" spans="5:7" x14ac:dyDescent="0.25">
      <c r="E204" s="1">
        <v>35916</v>
      </c>
      <c r="F204">
        <v>7.2104071094827002</v>
      </c>
      <c r="G204">
        <v>3438451176031</v>
      </c>
    </row>
    <row r="205" spans="5:7" x14ac:dyDescent="0.25">
      <c r="E205" s="1">
        <v>35947</v>
      </c>
      <c r="F205">
        <v>7.23087668871635</v>
      </c>
      <c r="G205">
        <v>3425275682011</v>
      </c>
    </row>
    <row r="206" spans="5:7" x14ac:dyDescent="0.25">
      <c r="E206" s="1">
        <v>35977</v>
      </c>
      <c r="F206">
        <v>7.2342719401884601</v>
      </c>
      <c r="G206">
        <v>3867962412037</v>
      </c>
    </row>
    <row r="207" spans="5:7" x14ac:dyDescent="0.25">
      <c r="E207" s="1">
        <v>36008</v>
      </c>
      <c r="F207">
        <v>7.1577309934321303</v>
      </c>
      <c r="G207">
        <v>3556685304297</v>
      </c>
    </row>
    <row r="208" spans="5:7" x14ac:dyDescent="0.25">
      <c r="E208" s="1">
        <v>36039</v>
      </c>
      <c r="F208">
        <v>7.1184885542994296</v>
      </c>
      <c r="G208">
        <v>3824829229768</v>
      </c>
    </row>
    <row r="209" spans="5:7" x14ac:dyDescent="0.25">
      <c r="E209" s="1">
        <v>36069</v>
      </c>
      <c r="F209">
        <v>7.0417713741794197</v>
      </c>
      <c r="G209">
        <v>3722493812266</v>
      </c>
    </row>
    <row r="210" spans="5:7" x14ac:dyDescent="0.25">
      <c r="E210" s="1">
        <v>36100</v>
      </c>
      <c r="F210">
        <v>6.8945395505057503</v>
      </c>
      <c r="G210">
        <v>4031119434334</v>
      </c>
    </row>
    <row r="211" spans="5:7" x14ac:dyDescent="0.25">
      <c r="E211" s="1">
        <v>36130</v>
      </c>
      <c r="F211">
        <v>6.8154451923109098</v>
      </c>
      <c r="G211">
        <v>5147896500313</v>
      </c>
    </row>
    <row r="212" spans="5:7" x14ac:dyDescent="0.25">
      <c r="E212" s="1">
        <v>36161</v>
      </c>
      <c r="F212">
        <v>6.8282885659673296</v>
      </c>
      <c r="G212">
        <v>5051367493962</v>
      </c>
    </row>
    <row r="213" spans="5:7" x14ac:dyDescent="0.25">
      <c r="E213" s="1">
        <v>36192</v>
      </c>
      <c r="F213">
        <v>6.8416132774849796</v>
      </c>
      <c r="G213">
        <v>4377629732773</v>
      </c>
    </row>
    <row r="214" spans="5:7" x14ac:dyDescent="0.25">
      <c r="E214" s="1">
        <v>36220</v>
      </c>
      <c r="F214">
        <v>6.8830975850576204</v>
      </c>
      <c r="G214">
        <v>3880510370773</v>
      </c>
    </row>
    <row r="215" spans="5:7" x14ac:dyDescent="0.25">
      <c r="E215" s="1">
        <v>36251</v>
      </c>
      <c r="F215">
        <v>6.9224298260595596</v>
      </c>
      <c r="G215">
        <v>3506332849582</v>
      </c>
    </row>
    <row r="216" spans="5:7" x14ac:dyDescent="0.25">
      <c r="E216" s="1">
        <v>36281</v>
      </c>
      <c r="F216">
        <v>7.0051364236946201</v>
      </c>
      <c r="G216">
        <v>3119416221235</v>
      </c>
    </row>
    <row r="217" spans="5:7" x14ac:dyDescent="0.25">
      <c r="E217" s="1">
        <v>36312</v>
      </c>
      <c r="F217">
        <v>7.0651825753538198</v>
      </c>
      <c r="G217">
        <v>3259154999664</v>
      </c>
    </row>
    <row r="218" spans="5:7" x14ac:dyDescent="0.25">
      <c r="E218" s="1">
        <v>36342</v>
      </c>
      <c r="F218">
        <v>7.2021939361664202</v>
      </c>
      <c r="G218">
        <v>2900621452855</v>
      </c>
    </row>
    <row r="219" spans="5:7" x14ac:dyDescent="0.25">
      <c r="E219" s="1">
        <v>36373</v>
      </c>
      <c r="F219">
        <v>7.4875607147055501</v>
      </c>
      <c r="G219">
        <v>2690406603208</v>
      </c>
    </row>
    <row r="220" spans="5:7" x14ac:dyDescent="0.25">
      <c r="E220" s="1">
        <v>36404</v>
      </c>
      <c r="F220">
        <v>7.70428021295288</v>
      </c>
      <c r="G220">
        <v>2523819356884</v>
      </c>
    </row>
    <row r="221" spans="5:7" x14ac:dyDescent="0.25">
      <c r="E221" s="1">
        <v>36434</v>
      </c>
      <c r="F221">
        <v>7.74334622937553</v>
      </c>
      <c r="G221">
        <v>2316928809007</v>
      </c>
    </row>
    <row r="222" spans="5:7" x14ac:dyDescent="0.25">
      <c r="E222" s="1">
        <v>36465</v>
      </c>
      <c r="F222">
        <v>7.8781784605253202</v>
      </c>
      <c r="G222">
        <v>1698274197033</v>
      </c>
    </row>
    <row r="223" spans="5:7" x14ac:dyDescent="0.25">
      <c r="E223" s="1">
        <v>36495</v>
      </c>
      <c r="F223">
        <v>7.8466879944455901</v>
      </c>
      <c r="G223">
        <v>1800577009234</v>
      </c>
    </row>
    <row r="224" spans="5:7" x14ac:dyDescent="0.25">
      <c r="E224" s="1">
        <v>36526</v>
      </c>
      <c r="F224">
        <v>7.9030095696804397</v>
      </c>
      <c r="G224">
        <v>1671884999722</v>
      </c>
    </row>
    <row r="225" spans="5:7" x14ac:dyDescent="0.25">
      <c r="E225" s="1">
        <v>36557</v>
      </c>
      <c r="F225">
        <v>8.0661131100309706</v>
      </c>
      <c r="G225">
        <v>1446197189730</v>
      </c>
    </row>
    <row r="226" spans="5:7" x14ac:dyDescent="0.25">
      <c r="E226" s="1">
        <v>36586</v>
      </c>
      <c r="F226">
        <v>8.2931734337918908</v>
      </c>
      <c r="G226">
        <v>1114750572483</v>
      </c>
    </row>
    <row r="227" spans="5:7" x14ac:dyDescent="0.25">
      <c r="E227" s="1">
        <v>36617</v>
      </c>
      <c r="F227">
        <v>8.3610676822195895</v>
      </c>
      <c r="G227">
        <v>1414220424678</v>
      </c>
    </row>
    <row r="228" spans="5:7" x14ac:dyDescent="0.25">
      <c r="E228" s="1">
        <v>36647</v>
      </c>
      <c r="F228">
        <v>8.3441228093543298</v>
      </c>
      <c r="G228">
        <v>1439056285202</v>
      </c>
    </row>
    <row r="229" spans="5:7" x14ac:dyDescent="0.25">
      <c r="E229" s="1">
        <v>36678</v>
      </c>
      <c r="F229">
        <v>8.3388826805236391</v>
      </c>
      <c r="G229">
        <v>1628253294422</v>
      </c>
    </row>
    <row r="230" spans="5:7" x14ac:dyDescent="0.25">
      <c r="E230" s="1">
        <v>36708</v>
      </c>
      <c r="F230">
        <v>8.4678443359047808</v>
      </c>
      <c r="G230">
        <v>1621989452469</v>
      </c>
    </row>
    <row r="231" spans="5:7" x14ac:dyDescent="0.25">
      <c r="E231" s="1">
        <v>36739</v>
      </c>
      <c r="F231">
        <v>8.3555634630630493</v>
      </c>
      <c r="G231">
        <v>2028933012998</v>
      </c>
    </row>
    <row r="232" spans="5:7" x14ac:dyDescent="0.25">
      <c r="E232" s="1">
        <v>36770</v>
      </c>
      <c r="F232">
        <v>8.2000072545969491</v>
      </c>
      <c r="G232">
        <v>2204094871732</v>
      </c>
    </row>
    <row r="233" spans="5:7" x14ac:dyDescent="0.25">
      <c r="E233" s="1">
        <v>36800</v>
      </c>
      <c r="F233">
        <v>8.1672264842345008</v>
      </c>
      <c r="G233">
        <v>2406913002576</v>
      </c>
    </row>
    <row r="234" spans="5:7" x14ac:dyDescent="0.25">
      <c r="E234" s="1">
        <v>36831</v>
      </c>
      <c r="F234">
        <v>8.0389528123051601</v>
      </c>
      <c r="G234">
        <v>2478302394538</v>
      </c>
    </row>
    <row r="235" spans="5:7" x14ac:dyDescent="0.25">
      <c r="E235" s="1">
        <v>36861</v>
      </c>
      <c r="F235">
        <v>7.9349971852374104</v>
      </c>
      <c r="G235">
        <v>2668899889692</v>
      </c>
    </row>
    <row r="236" spans="5:7" x14ac:dyDescent="0.25">
      <c r="E236" s="1">
        <v>36892</v>
      </c>
      <c r="F236">
        <v>7.8785109984434003</v>
      </c>
      <c r="G236">
        <v>2821773181794</v>
      </c>
    </row>
    <row r="237" spans="5:7" x14ac:dyDescent="0.25">
      <c r="E237" s="1">
        <v>36923</v>
      </c>
      <c r="F237">
        <v>7.5245163419388597</v>
      </c>
      <c r="G237">
        <v>3259347803432</v>
      </c>
    </row>
    <row r="238" spans="5:7" x14ac:dyDescent="0.25">
      <c r="E238" s="1">
        <v>36951</v>
      </c>
      <c r="F238">
        <v>7.2723791378426803</v>
      </c>
      <c r="G238">
        <v>4084508475606</v>
      </c>
    </row>
    <row r="239" spans="5:7" x14ac:dyDescent="0.25">
      <c r="E239" s="1">
        <v>36982</v>
      </c>
      <c r="F239">
        <v>7.1370162490197702</v>
      </c>
      <c r="G239">
        <v>5310059699492</v>
      </c>
    </row>
    <row r="240" spans="5:7" x14ac:dyDescent="0.25">
      <c r="E240" s="1">
        <v>37012</v>
      </c>
      <c r="F240">
        <v>7.1366411596878097</v>
      </c>
      <c r="G240">
        <v>5571287524904</v>
      </c>
    </row>
    <row r="241" spans="5:7" x14ac:dyDescent="0.25">
      <c r="E241" s="1">
        <v>37043</v>
      </c>
      <c r="F241">
        <v>7.1479734370066303</v>
      </c>
      <c r="G241">
        <v>5534102918210</v>
      </c>
    </row>
    <row r="242" spans="5:7" x14ac:dyDescent="0.25">
      <c r="E242" s="1">
        <v>37073</v>
      </c>
      <c r="F242">
        <v>7.2353335344377498</v>
      </c>
      <c r="G242">
        <v>5349164552644</v>
      </c>
    </row>
    <row r="243" spans="5:7" x14ac:dyDescent="0.25">
      <c r="E243" s="1">
        <v>37104</v>
      </c>
      <c r="F243">
        <v>7.28672914636181</v>
      </c>
      <c r="G243">
        <v>5160370927436</v>
      </c>
    </row>
    <row r="244" spans="5:7" x14ac:dyDescent="0.25">
      <c r="E244" s="1">
        <v>37135</v>
      </c>
      <c r="F244">
        <v>7.2007141322394901</v>
      </c>
      <c r="G244">
        <v>4794979280210</v>
      </c>
    </row>
    <row r="245" spans="5:7" x14ac:dyDescent="0.25">
      <c r="E245" s="1">
        <v>37165</v>
      </c>
      <c r="F245">
        <v>7.0953312492452802</v>
      </c>
      <c r="G245">
        <v>4346696837039</v>
      </c>
    </row>
    <row r="246" spans="5:7" x14ac:dyDescent="0.25">
      <c r="E246" s="1">
        <v>37196</v>
      </c>
      <c r="F246">
        <v>6.9399469254852102</v>
      </c>
      <c r="G246">
        <v>6043418612459</v>
      </c>
    </row>
    <row r="247" spans="5:7" x14ac:dyDescent="0.25">
      <c r="E247" s="1">
        <v>37226</v>
      </c>
      <c r="F247">
        <v>6.7628708082724103</v>
      </c>
      <c r="G247">
        <v>7021076205790</v>
      </c>
    </row>
    <row r="248" spans="5:7" x14ac:dyDescent="0.25">
      <c r="E248" s="1">
        <v>37257</v>
      </c>
      <c r="F248">
        <v>6.7336675817513001</v>
      </c>
      <c r="G248">
        <v>5937744414705</v>
      </c>
    </row>
    <row r="249" spans="5:7" x14ac:dyDescent="0.25">
      <c r="E249" s="1">
        <v>37288</v>
      </c>
      <c r="F249">
        <v>6.9137112271769601</v>
      </c>
      <c r="G249">
        <v>5744953452057</v>
      </c>
    </row>
    <row r="250" spans="5:7" x14ac:dyDescent="0.25">
      <c r="E250" s="1">
        <v>37316</v>
      </c>
      <c r="F250">
        <v>6.99881089689758</v>
      </c>
      <c r="G250">
        <v>5088217846639</v>
      </c>
    </row>
    <row r="251" spans="5:7" x14ac:dyDescent="0.25">
      <c r="E251" s="1">
        <v>37347</v>
      </c>
      <c r="F251">
        <v>7.0004308608154497</v>
      </c>
      <c r="G251">
        <v>4523614193379</v>
      </c>
    </row>
    <row r="252" spans="5:7" x14ac:dyDescent="0.25">
      <c r="E252" s="1">
        <v>37377</v>
      </c>
      <c r="F252">
        <v>7.0650396557010202</v>
      </c>
      <c r="G252">
        <v>4257892090533</v>
      </c>
    </row>
    <row r="253" spans="5:7" x14ac:dyDescent="0.25">
      <c r="E253" s="1">
        <v>37408</v>
      </c>
      <c r="F253">
        <v>7.0807650528940496</v>
      </c>
      <c r="G253">
        <v>4188965143984</v>
      </c>
    </row>
    <row r="254" spans="5:7" x14ac:dyDescent="0.25">
      <c r="E254" s="1">
        <v>37438</v>
      </c>
      <c r="F254">
        <v>6.9845903132043698</v>
      </c>
      <c r="G254">
        <v>4126177338013</v>
      </c>
    </row>
    <row r="255" spans="5:7" x14ac:dyDescent="0.25">
      <c r="E255" s="1">
        <v>37469</v>
      </c>
      <c r="F255">
        <v>6.8736063123659301</v>
      </c>
      <c r="G255">
        <v>5150448520299</v>
      </c>
    </row>
    <row r="256" spans="5:7" x14ac:dyDescent="0.25">
      <c r="E256" s="1">
        <v>37500</v>
      </c>
      <c r="F256">
        <v>6.6276140399636896</v>
      </c>
      <c r="G256">
        <v>6025626649540</v>
      </c>
    </row>
    <row r="257" spans="5:7" x14ac:dyDescent="0.25">
      <c r="E257" s="1">
        <v>37530</v>
      </c>
      <c r="F257">
        <v>6.5385297374603901</v>
      </c>
      <c r="G257">
        <v>8074064715835</v>
      </c>
    </row>
    <row r="258" spans="5:7" x14ac:dyDescent="0.25">
      <c r="E258" s="1">
        <v>37561</v>
      </c>
      <c r="F258">
        <v>6.3024719750972196</v>
      </c>
      <c r="G258">
        <v>7822406828964</v>
      </c>
    </row>
    <row r="259" spans="5:7" x14ac:dyDescent="0.25">
      <c r="E259" s="1">
        <v>37591</v>
      </c>
      <c r="F259">
        <v>6.2413559802188496</v>
      </c>
      <c r="G259">
        <v>8255618539222</v>
      </c>
    </row>
    <row r="260" spans="5:7" x14ac:dyDescent="0.25">
      <c r="E260" s="1">
        <v>37622</v>
      </c>
      <c r="F260">
        <v>6.1705036869099796</v>
      </c>
      <c r="G260">
        <v>9433001600860</v>
      </c>
    </row>
    <row r="261" spans="5:7" x14ac:dyDescent="0.25">
      <c r="E261" s="1">
        <v>37653</v>
      </c>
      <c r="F261">
        <v>6.1528942142731102</v>
      </c>
      <c r="G261">
        <v>8428775553894</v>
      </c>
    </row>
    <row r="262" spans="5:7" x14ac:dyDescent="0.25">
      <c r="E262" s="1">
        <v>37681</v>
      </c>
      <c r="F262">
        <v>6.0769265302637798</v>
      </c>
      <c r="G262">
        <v>8344411638971</v>
      </c>
    </row>
    <row r="263" spans="5:7" x14ac:dyDescent="0.25">
      <c r="E263" s="1">
        <v>37712</v>
      </c>
      <c r="F263">
        <v>6.0038280676107201</v>
      </c>
      <c r="G263">
        <v>10417709719477</v>
      </c>
    </row>
    <row r="264" spans="5:7" x14ac:dyDescent="0.25">
      <c r="E264" s="1">
        <v>37742</v>
      </c>
      <c r="F264">
        <v>5.9151342956627797</v>
      </c>
      <c r="G264">
        <v>9302167994747</v>
      </c>
    </row>
    <row r="265" spans="5:7" x14ac:dyDescent="0.25">
      <c r="E265" s="1">
        <v>37773</v>
      </c>
      <c r="F265">
        <v>5.8534721334995901</v>
      </c>
      <c r="G265">
        <v>10308588051938</v>
      </c>
    </row>
    <row r="266" spans="5:7" x14ac:dyDescent="0.25">
      <c r="E266" s="1">
        <v>37803</v>
      </c>
      <c r="F266">
        <v>5.6603740150939901</v>
      </c>
      <c r="G266">
        <v>10293974214992</v>
      </c>
    </row>
    <row r="267" spans="5:7" x14ac:dyDescent="0.25">
      <c r="E267" s="1">
        <v>37834</v>
      </c>
      <c r="F267">
        <v>5.5145795665700001</v>
      </c>
      <c r="G267">
        <v>9876679371502</v>
      </c>
    </row>
    <row r="268" spans="5:7" x14ac:dyDescent="0.25">
      <c r="E268" s="1">
        <v>37865</v>
      </c>
      <c r="F268">
        <v>5.5967363788878197</v>
      </c>
      <c r="G268">
        <v>10199199457358</v>
      </c>
    </row>
    <row r="269" spans="5:7" x14ac:dyDescent="0.25">
      <c r="E269" s="1">
        <v>37895</v>
      </c>
      <c r="F269">
        <v>5.8726656362200398</v>
      </c>
      <c r="G269">
        <v>6693001905300</v>
      </c>
    </row>
    <row r="270" spans="5:7" x14ac:dyDescent="0.25">
      <c r="E270" s="1">
        <v>37926</v>
      </c>
      <c r="F270">
        <v>5.9913739582844698</v>
      </c>
      <c r="G270">
        <v>5255696347579</v>
      </c>
    </row>
    <row r="271" spans="5:7" x14ac:dyDescent="0.25">
      <c r="E271" s="1">
        <v>37956</v>
      </c>
      <c r="F271">
        <v>6.0066656690185596</v>
      </c>
      <c r="G271">
        <v>4983856207174</v>
      </c>
    </row>
    <row r="272" spans="5:7" x14ac:dyDescent="0.25">
      <c r="E272" s="1">
        <v>37987</v>
      </c>
      <c r="F272">
        <v>6.0917821941161199</v>
      </c>
      <c r="G272">
        <v>3969683031641</v>
      </c>
    </row>
    <row r="273" spans="5:7" x14ac:dyDescent="0.25">
      <c r="E273" s="1">
        <v>38018</v>
      </c>
      <c r="F273">
        <v>5.9560033513794499</v>
      </c>
      <c r="G273">
        <v>3766947514244</v>
      </c>
    </row>
    <row r="274" spans="5:7" x14ac:dyDescent="0.25">
      <c r="E274" s="1">
        <v>38047</v>
      </c>
      <c r="F274">
        <v>5.9113820384416496</v>
      </c>
      <c r="G274">
        <v>3520929370194</v>
      </c>
    </row>
    <row r="275" spans="5:7" x14ac:dyDescent="0.25">
      <c r="E275" s="1">
        <v>38078</v>
      </c>
      <c r="F275">
        <v>5.7492501181113997</v>
      </c>
      <c r="G275">
        <v>4557341551781</v>
      </c>
    </row>
    <row r="276" spans="5:7" x14ac:dyDescent="0.25">
      <c r="E276" s="1">
        <v>38108</v>
      </c>
      <c r="F276">
        <v>5.6580341958842197</v>
      </c>
      <c r="G276">
        <v>4098542902112</v>
      </c>
    </row>
    <row r="277" spans="5:7" x14ac:dyDescent="0.25">
      <c r="E277" s="1">
        <v>38139</v>
      </c>
      <c r="F277">
        <v>5.8758211372756897</v>
      </c>
      <c r="G277">
        <v>4063151456293</v>
      </c>
    </row>
    <row r="278" spans="5:7" x14ac:dyDescent="0.25">
      <c r="E278" s="1">
        <v>38169</v>
      </c>
      <c r="F278">
        <v>6.1998359885384602</v>
      </c>
      <c r="G278">
        <v>3155579473974</v>
      </c>
    </row>
    <row r="279" spans="5:7" x14ac:dyDescent="0.25">
      <c r="E279" s="1">
        <v>38200</v>
      </c>
      <c r="F279">
        <v>6.3182436028222497</v>
      </c>
      <c r="G279">
        <v>2726330394420</v>
      </c>
    </row>
    <row r="280" spans="5:7" x14ac:dyDescent="0.25">
      <c r="E280" s="1">
        <v>38231</v>
      </c>
      <c r="F280">
        <v>6.2053551957756001</v>
      </c>
      <c r="G280">
        <v>3123269566693</v>
      </c>
    </row>
    <row r="281" spans="5:7" x14ac:dyDescent="0.25">
      <c r="E281" s="1">
        <v>38261</v>
      </c>
      <c r="F281">
        <v>6.0848018224368099</v>
      </c>
      <c r="G281">
        <v>2607689116488</v>
      </c>
    </row>
    <row r="282" spans="5:7" x14ac:dyDescent="0.25">
      <c r="E282" s="1">
        <v>38292</v>
      </c>
      <c r="F282">
        <v>5.9731747397904904</v>
      </c>
      <c r="G282">
        <v>2730943249326</v>
      </c>
    </row>
    <row r="283" spans="5:7" x14ac:dyDescent="0.25">
      <c r="E283" s="1">
        <v>38322</v>
      </c>
      <c r="F283">
        <v>5.9118781098890301</v>
      </c>
      <c r="G283">
        <v>2866205635090</v>
      </c>
    </row>
    <row r="284" spans="5:7" x14ac:dyDescent="0.25">
      <c r="E284" s="1">
        <v>38353</v>
      </c>
      <c r="F284">
        <v>5.8858995314577003</v>
      </c>
      <c r="G284">
        <v>2875218379610</v>
      </c>
    </row>
    <row r="285" spans="5:7" x14ac:dyDescent="0.25">
      <c r="E285" s="1">
        <v>38384</v>
      </c>
      <c r="F285">
        <v>5.9088657529264097</v>
      </c>
      <c r="G285">
        <v>2464809692938</v>
      </c>
    </row>
    <row r="286" spans="5:7" x14ac:dyDescent="0.25">
      <c r="E286" s="1">
        <v>38412</v>
      </c>
      <c r="F286">
        <v>5.8258059537488398</v>
      </c>
      <c r="G286">
        <v>2554869956305</v>
      </c>
    </row>
    <row r="287" spans="5:7" x14ac:dyDescent="0.25">
      <c r="E287" s="1">
        <v>38443</v>
      </c>
      <c r="F287">
        <v>5.80184848399474</v>
      </c>
      <c r="G287">
        <v>2985237213174</v>
      </c>
    </row>
    <row r="288" spans="5:7" x14ac:dyDescent="0.25">
      <c r="E288" s="1">
        <v>38473</v>
      </c>
      <c r="F288">
        <v>5.9604269928074096</v>
      </c>
      <c r="G288">
        <v>2942768450279</v>
      </c>
    </row>
    <row r="289" spans="5:7" x14ac:dyDescent="0.25">
      <c r="E289" s="1">
        <v>38504</v>
      </c>
      <c r="F289">
        <v>6.0066090785120201</v>
      </c>
      <c r="G289">
        <v>3028826248737</v>
      </c>
    </row>
    <row r="290" spans="5:7" x14ac:dyDescent="0.25">
      <c r="E290" s="1">
        <v>38534</v>
      </c>
      <c r="F290">
        <v>5.8913162151740996</v>
      </c>
      <c r="G290">
        <v>3785543920191</v>
      </c>
    </row>
    <row r="291" spans="5:7" x14ac:dyDescent="0.25">
      <c r="E291" s="1">
        <v>38565</v>
      </c>
      <c r="F291">
        <v>5.8170059166993697</v>
      </c>
      <c r="G291">
        <v>4180264840393</v>
      </c>
    </row>
    <row r="292" spans="5:7" x14ac:dyDescent="0.25">
      <c r="E292" s="1">
        <v>38596</v>
      </c>
      <c r="F292">
        <v>5.8568781243443899</v>
      </c>
      <c r="G292">
        <v>4507448589615</v>
      </c>
    </row>
    <row r="293" spans="5:7" x14ac:dyDescent="0.25">
      <c r="E293" s="1">
        <v>38626</v>
      </c>
      <c r="F293">
        <v>5.9096617247824703</v>
      </c>
      <c r="G293">
        <v>3591244588130</v>
      </c>
    </row>
    <row r="294" spans="5:7" x14ac:dyDescent="0.25">
      <c r="E294" s="1">
        <v>38657</v>
      </c>
      <c r="F294">
        <v>5.9603654028825002</v>
      </c>
      <c r="G294">
        <v>3520332406150</v>
      </c>
    </row>
    <row r="295" spans="5:7" x14ac:dyDescent="0.25">
      <c r="E295" s="1">
        <v>38687</v>
      </c>
      <c r="F295">
        <v>6.1007116550291096</v>
      </c>
      <c r="G295">
        <v>3169277580598</v>
      </c>
    </row>
    <row r="296" spans="5:7" x14ac:dyDescent="0.25">
      <c r="E296" s="1">
        <v>38718</v>
      </c>
      <c r="F296">
        <v>6.3011652273028096</v>
      </c>
      <c r="G296">
        <v>3060788909877</v>
      </c>
    </row>
    <row r="297" spans="5:7" x14ac:dyDescent="0.25">
      <c r="E297" s="1">
        <v>38749</v>
      </c>
      <c r="F297">
        <v>6.3526727308006397</v>
      </c>
      <c r="G297">
        <v>2595581054684</v>
      </c>
    </row>
    <row r="298" spans="5:7" x14ac:dyDescent="0.25">
      <c r="E298" s="1">
        <v>38777</v>
      </c>
      <c r="F298">
        <v>6.3675892083988002</v>
      </c>
      <c r="G298">
        <v>2677359268545</v>
      </c>
    </row>
    <row r="299" spans="5:7" x14ac:dyDescent="0.25">
      <c r="E299" s="1">
        <v>38808</v>
      </c>
      <c r="F299">
        <v>6.3185857794163702</v>
      </c>
      <c r="G299">
        <v>3237758980491</v>
      </c>
    </row>
    <row r="300" spans="5:7" x14ac:dyDescent="0.25">
      <c r="E300" s="1">
        <v>38838</v>
      </c>
      <c r="F300">
        <v>6.4588297907741596</v>
      </c>
      <c r="G300">
        <v>2971092864006</v>
      </c>
    </row>
    <row r="301" spans="5:7" x14ac:dyDescent="0.25">
      <c r="E301" s="1">
        <v>38869</v>
      </c>
      <c r="F301">
        <v>6.5712380848291199</v>
      </c>
      <c r="G301">
        <v>3189473098271</v>
      </c>
    </row>
    <row r="302" spans="5:7" x14ac:dyDescent="0.25">
      <c r="E302" s="1">
        <v>38899</v>
      </c>
      <c r="F302">
        <v>6.7168334256992202</v>
      </c>
      <c r="G302">
        <v>2807865658165</v>
      </c>
    </row>
    <row r="303" spans="5:7" x14ac:dyDescent="0.25">
      <c r="E303" s="1">
        <v>38930</v>
      </c>
      <c r="F303">
        <v>6.7860694522311498</v>
      </c>
      <c r="G303">
        <v>3015811008506</v>
      </c>
    </row>
    <row r="304" spans="5:7" x14ac:dyDescent="0.25">
      <c r="E304" s="1">
        <v>38961</v>
      </c>
      <c r="F304">
        <v>6.7647898744997503</v>
      </c>
      <c r="G304">
        <v>3034143617572</v>
      </c>
    </row>
    <row r="305" spans="5:7" x14ac:dyDescent="0.25">
      <c r="E305" s="1">
        <v>38991</v>
      </c>
      <c r="F305">
        <v>6.64346808126915</v>
      </c>
      <c r="G305">
        <v>3568404060211</v>
      </c>
    </row>
    <row r="306" spans="5:7" x14ac:dyDescent="0.25">
      <c r="E306" s="1">
        <v>39022</v>
      </c>
      <c r="F306">
        <v>6.5695492930460899</v>
      </c>
      <c r="G306">
        <v>2921742607107</v>
      </c>
    </row>
    <row r="307" spans="5:7" x14ac:dyDescent="0.25">
      <c r="E307" s="1">
        <v>39052</v>
      </c>
      <c r="F307">
        <v>6.4795278978801498</v>
      </c>
      <c r="G307">
        <v>3055502165254</v>
      </c>
    </row>
    <row r="308" spans="5:7" x14ac:dyDescent="0.25">
      <c r="E308" s="1">
        <v>39083</v>
      </c>
      <c r="F308">
        <v>6.3554527647282697</v>
      </c>
      <c r="G308">
        <v>3137209348617</v>
      </c>
    </row>
    <row r="309" spans="5:7" x14ac:dyDescent="0.25">
      <c r="E309" s="1">
        <v>39114</v>
      </c>
      <c r="F309">
        <v>6.3073412405361999</v>
      </c>
      <c r="G309">
        <v>3131078981720</v>
      </c>
    </row>
    <row r="310" spans="5:7" x14ac:dyDescent="0.25">
      <c r="E310" s="1">
        <v>39142</v>
      </c>
      <c r="F310">
        <v>6.3419220142383796</v>
      </c>
      <c r="G310">
        <v>3112718940458</v>
      </c>
    </row>
    <row r="311" spans="5:7" x14ac:dyDescent="0.25">
      <c r="E311" s="1">
        <v>39173</v>
      </c>
      <c r="F311">
        <v>6.3676971284775501</v>
      </c>
      <c r="G311">
        <v>3191572234535</v>
      </c>
    </row>
    <row r="312" spans="5:7" x14ac:dyDescent="0.25">
      <c r="E312" s="1">
        <v>39203</v>
      </c>
      <c r="F312">
        <v>6.3076348182725299</v>
      </c>
      <c r="G312">
        <v>3856719035971</v>
      </c>
    </row>
    <row r="313" spans="5:7" x14ac:dyDescent="0.25">
      <c r="E313" s="1">
        <v>39234</v>
      </c>
      <c r="F313">
        <v>6.3557357019159699</v>
      </c>
      <c r="G313">
        <v>3889111715202</v>
      </c>
    </row>
    <row r="314" spans="5:7" x14ac:dyDescent="0.25">
      <c r="E314" s="1">
        <v>39264</v>
      </c>
      <c r="F314">
        <v>6.4829232128582799</v>
      </c>
      <c r="G314">
        <v>4084273817272</v>
      </c>
    </row>
    <row r="315" spans="5:7" x14ac:dyDescent="0.25">
      <c r="E315" s="1">
        <v>39295</v>
      </c>
      <c r="F315">
        <v>6.6636103279297796</v>
      </c>
      <c r="G315">
        <v>3714558081268</v>
      </c>
    </row>
    <row r="316" spans="5:7" x14ac:dyDescent="0.25">
      <c r="E316" s="1">
        <v>39326</v>
      </c>
      <c r="F316">
        <v>6.7744809910883204</v>
      </c>
      <c r="G316">
        <v>3876808778490</v>
      </c>
    </row>
    <row r="317" spans="5:7" x14ac:dyDescent="0.25">
      <c r="E317" s="1">
        <v>39356</v>
      </c>
      <c r="F317">
        <v>6.7681198640857296</v>
      </c>
      <c r="G317">
        <v>3557431795143</v>
      </c>
    </row>
    <row r="318" spans="5:7" x14ac:dyDescent="0.25">
      <c r="E318" s="1">
        <v>39387</v>
      </c>
      <c r="F318">
        <v>6.6043001141836797</v>
      </c>
      <c r="G318">
        <v>3990107436049</v>
      </c>
    </row>
    <row r="319" spans="5:7" x14ac:dyDescent="0.25">
      <c r="E319" s="1">
        <v>39417</v>
      </c>
      <c r="F319">
        <v>6.5082446299218102</v>
      </c>
      <c r="G319">
        <v>4513626671991</v>
      </c>
    </row>
    <row r="320" spans="5:7" x14ac:dyDescent="0.25">
      <c r="E320" s="1">
        <v>39448</v>
      </c>
      <c r="F320">
        <v>6.3946131436056097</v>
      </c>
      <c r="G320">
        <v>3702505354521</v>
      </c>
    </row>
    <row r="321" spans="5:7" x14ac:dyDescent="0.25">
      <c r="E321" s="1">
        <v>39479</v>
      </c>
      <c r="F321">
        <v>6.1492485814107702</v>
      </c>
      <c r="G321">
        <v>5148036930751</v>
      </c>
    </row>
    <row r="322" spans="5:7" x14ac:dyDescent="0.25">
      <c r="E322" s="1">
        <v>39508</v>
      </c>
      <c r="F322">
        <v>5.8900228475064198</v>
      </c>
      <c r="G322">
        <v>3221534741698</v>
      </c>
    </row>
    <row r="323" spans="5:7" x14ac:dyDescent="0.25">
      <c r="E323" s="1">
        <v>39539</v>
      </c>
      <c r="F323">
        <v>5.9361640313333499</v>
      </c>
      <c r="G323">
        <v>3522205248690</v>
      </c>
    </row>
    <row r="324" spans="5:7" x14ac:dyDescent="0.25">
      <c r="E324" s="1">
        <v>39569</v>
      </c>
      <c r="F324">
        <v>6.01405192058363</v>
      </c>
      <c r="G324">
        <v>3981976551045</v>
      </c>
    </row>
    <row r="325" spans="5:7" x14ac:dyDescent="0.25">
      <c r="E325" s="1">
        <v>39600</v>
      </c>
      <c r="F325">
        <v>5.99401149130503</v>
      </c>
      <c r="G325">
        <v>3374365090916</v>
      </c>
    </row>
    <row r="326" spans="5:7" x14ac:dyDescent="0.25">
      <c r="E326" s="1">
        <v>39630</v>
      </c>
      <c r="F326">
        <v>6.1169393500164198</v>
      </c>
      <c r="G326">
        <v>2294867021796</v>
      </c>
    </row>
    <row r="327" spans="5:7" x14ac:dyDescent="0.25">
      <c r="E327" s="1">
        <v>39661</v>
      </c>
      <c r="F327">
        <v>6.3342756758093897</v>
      </c>
      <c r="G327">
        <v>1857662960738</v>
      </c>
    </row>
    <row r="328" spans="5:7" x14ac:dyDescent="0.25">
      <c r="E328" s="1">
        <v>39692</v>
      </c>
      <c r="F328">
        <v>6.4530924466433497</v>
      </c>
      <c r="G328">
        <v>2390238612098</v>
      </c>
    </row>
    <row r="329" spans="5:7" x14ac:dyDescent="0.25">
      <c r="E329" s="1">
        <v>39722</v>
      </c>
      <c r="F329">
        <v>6.3436343243934701</v>
      </c>
      <c r="G329">
        <v>1809485335376</v>
      </c>
    </row>
    <row r="330" spans="5:7" x14ac:dyDescent="0.25">
      <c r="E330" s="1">
        <v>39753</v>
      </c>
      <c r="F330">
        <v>6.1366264480720503</v>
      </c>
      <c r="G330">
        <v>1622186684376</v>
      </c>
    </row>
    <row r="331" spans="5:7" x14ac:dyDescent="0.25">
      <c r="E331" s="1">
        <v>39783</v>
      </c>
      <c r="F331">
        <v>5.97504083742629</v>
      </c>
      <c r="G331">
        <v>2721366322163</v>
      </c>
    </row>
    <row r="332" spans="5:7" x14ac:dyDescent="0.25">
      <c r="E332" s="1">
        <v>39814</v>
      </c>
      <c r="F332">
        <v>5.7062395868050197</v>
      </c>
      <c r="G332">
        <v>1501541796854</v>
      </c>
    </row>
    <row r="333" spans="5:7" x14ac:dyDescent="0.25">
      <c r="E333" s="1">
        <v>39845</v>
      </c>
      <c r="F333">
        <v>5.0640383435435696</v>
      </c>
      <c r="G333">
        <v>2950303287329</v>
      </c>
    </row>
    <row r="334" spans="5:7" x14ac:dyDescent="0.25">
      <c r="E334" s="1">
        <v>39873</v>
      </c>
      <c r="F334">
        <v>4.9906923259199898</v>
      </c>
      <c r="G334">
        <v>5853757186779</v>
      </c>
    </row>
    <row r="335" spans="5:7" x14ac:dyDescent="0.25">
      <c r="E335" s="1">
        <v>39904</v>
      </c>
      <c r="F335">
        <v>4.9396221365250499</v>
      </c>
      <c r="G335">
        <v>3359971394564</v>
      </c>
    </row>
    <row r="336" spans="5:7" x14ac:dyDescent="0.25">
      <c r="E336" s="1">
        <v>39934</v>
      </c>
      <c r="F336">
        <v>5.42981062692051</v>
      </c>
      <c r="G336">
        <v>8028147914649</v>
      </c>
    </row>
    <row r="337" spans="5:7" x14ac:dyDescent="0.25">
      <c r="E337" s="1">
        <v>39965</v>
      </c>
      <c r="F337">
        <v>5.0709089851056302</v>
      </c>
      <c r="G337">
        <v>6893297004709</v>
      </c>
    </row>
    <row r="338" spans="5:7" x14ac:dyDescent="0.25">
      <c r="E338" s="1">
        <v>39995</v>
      </c>
      <c r="F338">
        <v>4.8743901246381203</v>
      </c>
      <c r="G338">
        <v>4667159413350</v>
      </c>
    </row>
    <row r="339" spans="5:7" x14ac:dyDescent="0.25">
      <c r="E339" s="1">
        <v>40026</v>
      </c>
      <c r="F339">
        <v>5.0117457844567896</v>
      </c>
      <c r="G339">
        <v>3379033867087</v>
      </c>
    </row>
    <row r="340" spans="5:7" x14ac:dyDescent="0.25">
      <c r="E340" s="1">
        <v>40057</v>
      </c>
      <c r="F340">
        <v>5.2754165130291399</v>
      </c>
      <c r="G340">
        <v>3206873292784</v>
      </c>
    </row>
    <row r="341" spans="5:7" x14ac:dyDescent="0.25">
      <c r="E341" s="1">
        <v>40087</v>
      </c>
      <c r="F341">
        <v>5.1437375107246996</v>
      </c>
      <c r="G341">
        <v>1779957894547</v>
      </c>
    </row>
    <row r="342" spans="5:7" x14ac:dyDescent="0.25">
      <c r="E342" s="1">
        <v>40118</v>
      </c>
      <c r="F342">
        <v>5.1227940946666299</v>
      </c>
      <c r="G342">
        <v>1842241300351</v>
      </c>
    </row>
    <row r="343" spans="5:7" x14ac:dyDescent="0.25">
      <c r="E343" s="1">
        <v>40148</v>
      </c>
      <c r="F343">
        <v>5.0644022910284301</v>
      </c>
      <c r="G343">
        <v>2302033438060</v>
      </c>
    </row>
    <row r="344" spans="5:7" x14ac:dyDescent="0.25">
      <c r="E344" s="1">
        <v>40179</v>
      </c>
      <c r="F344">
        <v>5.050735856298</v>
      </c>
      <c r="G344">
        <v>1813910463627</v>
      </c>
    </row>
    <row r="345" spans="5:7" x14ac:dyDescent="0.25">
      <c r="E345" s="1">
        <v>40210</v>
      </c>
      <c r="F345">
        <v>5.0377067030616098</v>
      </c>
      <c r="G345">
        <v>1818358906854</v>
      </c>
    </row>
    <row r="346" spans="5:7" x14ac:dyDescent="0.25">
      <c r="E346" s="1">
        <v>40238</v>
      </c>
      <c r="F346">
        <v>5.1055540771484802</v>
      </c>
      <c r="G346">
        <v>1500343861096</v>
      </c>
    </row>
    <row r="347" spans="5:7" x14ac:dyDescent="0.25">
      <c r="E347" s="1">
        <v>40269</v>
      </c>
      <c r="F347">
        <v>5.1108375047646097</v>
      </c>
      <c r="G347">
        <v>1541450617485</v>
      </c>
    </row>
    <row r="348" spans="5:7" x14ac:dyDescent="0.25">
      <c r="E348" s="1">
        <v>40299</v>
      </c>
      <c r="F348">
        <v>5.1452044317440198</v>
      </c>
      <c r="G348">
        <v>1433040402204</v>
      </c>
    </row>
    <row r="349" spans="5:7" x14ac:dyDescent="0.25">
      <c r="E349" s="1">
        <v>40330</v>
      </c>
      <c r="F349">
        <v>5.1800008223351597</v>
      </c>
      <c r="G349">
        <v>1673332896166</v>
      </c>
    </row>
    <row r="350" spans="5:7" x14ac:dyDescent="0.25">
      <c r="E350" s="1">
        <v>40360</v>
      </c>
      <c r="F350">
        <v>5.05893153166061</v>
      </c>
      <c r="G350">
        <v>1535558684574</v>
      </c>
    </row>
    <row r="351" spans="5:7" x14ac:dyDescent="0.25">
      <c r="E351" s="1">
        <v>40391</v>
      </c>
      <c r="F351">
        <v>4.8752305579968596</v>
      </c>
      <c r="G351">
        <v>1677567619594</v>
      </c>
    </row>
    <row r="352" spans="5:7" x14ac:dyDescent="0.25">
      <c r="E352" s="1">
        <v>40422</v>
      </c>
      <c r="F352">
        <v>4.7222358319862998</v>
      </c>
      <c r="G352">
        <v>2546468934090</v>
      </c>
    </row>
    <row r="353" spans="5:7" x14ac:dyDescent="0.25">
      <c r="E353" s="1">
        <v>40452</v>
      </c>
      <c r="F353">
        <v>4.6074743369174298</v>
      </c>
      <c r="G353">
        <v>2414905000538</v>
      </c>
    </row>
    <row r="354" spans="5:7" x14ac:dyDescent="0.25">
      <c r="E354" s="1">
        <v>40483</v>
      </c>
      <c r="F354">
        <v>4.5383501216630604</v>
      </c>
      <c r="G354">
        <v>2342389317884</v>
      </c>
    </row>
    <row r="355" spans="5:7" x14ac:dyDescent="0.25">
      <c r="E355" s="1">
        <v>40513</v>
      </c>
      <c r="F355">
        <v>4.4591751002379896</v>
      </c>
      <c r="G355">
        <v>2627747532710</v>
      </c>
    </row>
    <row r="356" spans="5:7" x14ac:dyDescent="0.25">
      <c r="E356" s="1">
        <v>40544</v>
      </c>
      <c r="F356">
        <v>4.4811424452986204</v>
      </c>
      <c r="G356">
        <v>2006256093028</v>
      </c>
    </row>
    <row r="357" spans="5:7" x14ac:dyDescent="0.25">
      <c r="E357" s="1">
        <v>40575</v>
      </c>
      <c r="F357">
        <v>4.6316240644640896</v>
      </c>
      <c r="G357">
        <v>1618283929140</v>
      </c>
    </row>
    <row r="358" spans="5:7" x14ac:dyDescent="0.25">
      <c r="E358" s="1">
        <v>40603</v>
      </c>
      <c r="F358">
        <v>4.88809460608927</v>
      </c>
      <c r="G358">
        <v>1782147900972</v>
      </c>
    </row>
    <row r="359" spans="5:7" x14ac:dyDescent="0.25">
      <c r="E359" s="1">
        <v>40634</v>
      </c>
      <c r="F359">
        <v>5.0196274076255598</v>
      </c>
      <c r="G359">
        <v>1002941442633</v>
      </c>
    </row>
    <row r="360" spans="5:7" x14ac:dyDescent="0.25">
      <c r="E360" s="1">
        <v>40664</v>
      </c>
      <c r="F360">
        <v>5.0696587978699199</v>
      </c>
      <c r="G360">
        <v>937394066360</v>
      </c>
    </row>
    <row r="361" spans="5:7" x14ac:dyDescent="0.25">
      <c r="E361" s="1">
        <v>40695</v>
      </c>
      <c r="F361">
        <v>5.0513520909684004</v>
      </c>
      <c r="G361">
        <v>1057270588077</v>
      </c>
    </row>
    <row r="362" spans="5:7" x14ac:dyDescent="0.25">
      <c r="E362" s="1">
        <v>40725</v>
      </c>
      <c r="F362">
        <v>4.9059141374806101</v>
      </c>
      <c r="G362">
        <v>801193279407</v>
      </c>
    </row>
    <row r="363" spans="5:7" x14ac:dyDescent="0.25">
      <c r="E363" s="1">
        <v>40756</v>
      </c>
      <c r="F363">
        <v>4.8611814894636298</v>
      </c>
      <c r="G363">
        <v>1041264172252</v>
      </c>
    </row>
    <row r="364" spans="5:7" x14ac:dyDescent="0.25">
      <c r="E364" s="1">
        <v>40787</v>
      </c>
      <c r="F364">
        <v>4.7117533524514803</v>
      </c>
      <c r="G364">
        <v>1196177175773</v>
      </c>
    </row>
    <row r="365" spans="5:7" x14ac:dyDescent="0.25">
      <c r="E365" s="1">
        <v>40817</v>
      </c>
      <c r="F365">
        <v>4.4792574645229504</v>
      </c>
      <c r="G365">
        <v>1149527195035</v>
      </c>
    </row>
    <row r="366" spans="5:7" x14ac:dyDescent="0.25">
      <c r="E366" s="1">
        <v>40848</v>
      </c>
      <c r="F366">
        <v>4.3486808527347698</v>
      </c>
      <c r="G366">
        <v>1489713304885</v>
      </c>
    </row>
    <row r="367" spans="5:7" x14ac:dyDescent="0.25">
      <c r="E367" s="1">
        <v>40878</v>
      </c>
      <c r="F367">
        <v>4.2956191820380196</v>
      </c>
      <c r="G367">
        <v>2115840513550</v>
      </c>
    </row>
    <row r="368" spans="5:7" x14ac:dyDescent="0.25">
      <c r="E368" s="1">
        <v>40909</v>
      </c>
      <c r="F368">
        <v>4.2662558375731203</v>
      </c>
      <c r="G368">
        <v>1470362937527</v>
      </c>
    </row>
    <row r="369" spans="5:7" x14ac:dyDescent="0.25">
      <c r="E369" s="1">
        <v>40940</v>
      </c>
      <c r="F369">
        <v>4.1988423421672696</v>
      </c>
      <c r="G369">
        <v>1488515956488</v>
      </c>
    </row>
    <row r="370" spans="5:7" x14ac:dyDescent="0.25">
      <c r="E370" s="1">
        <v>40969</v>
      </c>
      <c r="F370">
        <v>4.1335475127368202</v>
      </c>
      <c r="G370">
        <v>2469703765013</v>
      </c>
    </row>
    <row r="371" spans="5:7" x14ac:dyDescent="0.25">
      <c r="E371" s="1">
        <v>41000</v>
      </c>
      <c r="F371">
        <v>4.1068821031480702</v>
      </c>
      <c r="G371">
        <v>1201132194126</v>
      </c>
    </row>
    <row r="372" spans="5:7" x14ac:dyDescent="0.25">
      <c r="E372" s="1">
        <v>41030</v>
      </c>
      <c r="F372">
        <v>4.1950483108655101</v>
      </c>
      <c r="G372">
        <v>1800128260667</v>
      </c>
    </row>
    <row r="373" spans="5:7" x14ac:dyDescent="0.25">
      <c r="E373" s="1">
        <v>41061</v>
      </c>
      <c r="F373">
        <v>4.1647582079834304</v>
      </c>
      <c r="G373">
        <v>1375349122087</v>
      </c>
    </row>
    <row r="374" spans="5:7" x14ac:dyDescent="0.25">
      <c r="E374" s="1">
        <v>41091</v>
      </c>
      <c r="F374">
        <v>4.0279854150544798</v>
      </c>
      <c r="G374">
        <v>1609307976891</v>
      </c>
    </row>
    <row r="375" spans="5:7" x14ac:dyDescent="0.25">
      <c r="E375" s="1">
        <v>41122</v>
      </c>
      <c r="F375">
        <v>3.9086468707572299</v>
      </c>
      <c r="G375">
        <v>1764665531700</v>
      </c>
    </row>
    <row r="376" spans="5:7" x14ac:dyDescent="0.25">
      <c r="E376" s="1">
        <v>41153</v>
      </c>
      <c r="F376">
        <v>3.8525924938607199</v>
      </c>
      <c r="G376">
        <v>1875760198228</v>
      </c>
    </row>
    <row r="377" spans="5:7" x14ac:dyDescent="0.25">
      <c r="E377" s="1">
        <v>41183</v>
      </c>
      <c r="F377">
        <v>3.7877571784770701</v>
      </c>
      <c r="G377">
        <v>1244771611836</v>
      </c>
    </row>
    <row r="378" spans="5:7" x14ac:dyDescent="0.25">
      <c r="E378" s="1">
        <v>41214</v>
      </c>
      <c r="F378">
        <v>3.6987217336749101</v>
      </c>
      <c r="G378">
        <v>2348734551432</v>
      </c>
    </row>
    <row r="379" spans="5:7" x14ac:dyDescent="0.25">
      <c r="E379" s="1">
        <v>41244</v>
      </c>
      <c r="F379">
        <v>3.6250487711041499</v>
      </c>
      <c r="G379">
        <v>1335066165439</v>
      </c>
    </row>
    <row r="380" spans="5:7" x14ac:dyDescent="0.25">
      <c r="E380" s="1">
        <v>41275</v>
      </c>
      <c r="F380">
        <v>3.6027244047903801</v>
      </c>
      <c r="G380">
        <v>1708865570225</v>
      </c>
    </row>
    <row r="381" spans="5:7" x14ac:dyDescent="0.25">
      <c r="E381" s="1">
        <v>41306</v>
      </c>
      <c r="F381">
        <v>3.6001485420462198</v>
      </c>
      <c r="G381">
        <v>1610827278774</v>
      </c>
    </row>
    <row r="382" spans="5:7" x14ac:dyDescent="0.25">
      <c r="E382" s="1">
        <v>41334</v>
      </c>
      <c r="F382">
        <v>3.6900046384013798</v>
      </c>
      <c r="G382">
        <v>1238384701197</v>
      </c>
    </row>
    <row r="383" spans="5:7" x14ac:dyDescent="0.25">
      <c r="E383" s="1">
        <v>41365</v>
      </c>
      <c r="F383">
        <v>3.78392164962702</v>
      </c>
      <c r="G383">
        <v>1356697783142</v>
      </c>
    </row>
    <row r="384" spans="5:7" x14ac:dyDescent="0.25">
      <c r="E384" s="1">
        <v>41395</v>
      </c>
      <c r="F384">
        <v>3.8002777092854898</v>
      </c>
      <c r="G384">
        <v>1409366901392</v>
      </c>
    </row>
    <row r="385" spans="5:7" x14ac:dyDescent="0.25">
      <c r="E385" s="1">
        <v>41426</v>
      </c>
      <c r="F385">
        <v>3.7830909447369798</v>
      </c>
      <c r="G385">
        <v>1228164572670</v>
      </c>
    </row>
    <row r="386" spans="5:7" x14ac:dyDescent="0.25">
      <c r="E386" s="1">
        <v>41456</v>
      </c>
      <c r="F386">
        <v>3.8522809178064001</v>
      </c>
      <c r="G386">
        <v>1317241098500</v>
      </c>
    </row>
    <row r="387" spans="5:7" x14ac:dyDescent="0.25">
      <c r="E387" s="1">
        <v>41487</v>
      </c>
      <c r="F387">
        <v>4.1579401434403396</v>
      </c>
      <c r="G387">
        <v>1136305525224</v>
      </c>
    </row>
    <row r="388" spans="5:7" x14ac:dyDescent="0.25">
      <c r="E388" s="1">
        <v>41518</v>
      </c>
      <c r="F388">
        <v>4.4621782771519998</v>
      </c>
      <c r="G388">
        <v>916902623412</v>
      </c>
    </row>
    <row r="389" spans="5:7" x14ac:dyDescent="0.25">
      <c r="E389" s="1">
        <v>41548</v>
      </c>
      <c r="F389">
        <v>4.6608916850134898</v>
      </c>
      <c r="G389">
        <v>809111129193</v>
      </c>
    </row>
    <row r="390" spans="5:7" x14ac:dyDescent="0.25">
      <c r="E390" s="1">
        <v>41579</v>
      </c>
      <c r="F390">
        <v>4.6564026185456502</v>
      </c>
      <c r="G390">
        <v>645563534930</v>
      </c>
    </row>
    <row r="391" spans="5:7" x14ac:dyDescent="0.25">
      <c r="E391" s="1">
        <v>41609</v>
      </c>
      <c r="F391">
        <v>4.5811645646110204</v>
      </c>
      <c r="G391">
        <v>552584438936</v>
      </c>
    </row>
    <row r="392" spans="5:7" x14ac:dyDescent="0.25">
      <c r="E392" s="1">
        <v>41640</v>
      </c>
      <c r="F392">
        <v>4.6077438047237802</v>
      </c>
      <c r="G392">
        <v>407241232421</v>
      </c>
    </row>
    <row r="393" spans="5:7" x14ac:dyDescent="0.25">
      <c r="E393" s="1">
        <v>41671</v>
      </c>
      <c r="F393">
        <v>4.6775584423655499</v>
      </c>
      <c r="G393">
        <v>392473522256</v>
      </c>
    </row>
    <row r="394" spans="5:7" x14ac:dyDescent="0.25">
      <c r="E394" s="1">
        <v>41699</v>
      </c>
      <c r="F394">
        <v>4.6946958624217601</v>
      </c>
      <c r="G394">
        <v>322356172803</v>
      </c>
    </row>
    <row r="395" spans="5:7" x14ac:dyDescent="0.25">
      <c r="E395" s="1">
        <v>41730</v>
      </c>
      <c r="F395">
        <v>4.6366804995907298</v>
      </c>
      <c r="G395">
        <v>362745448978</v>
      </c>
    </row>
    <row r="396" spans="5:7" x14ac:dyDescent="0.25">
      <c r="E396" s="1">
        <v>41760</v>
      </c>
      <c r="F396">
        <v>4.6428241107123496</v>
      </c>
      <c r="G396">
        <v>345463488199</v>
      </c>
    </row>
    <row r="397" spans="5:7" x14ac:dyDescent="0.25">
      <c r="E397" s="1">
        <v>41791</v>
      </c>
      <c r="F397">
        <v>4.5988964730096296</v>
      </c>
      <c r="G397">
        <v>385561860792</v>
      </c>
    </row>
    <row r="398" spans="5:7" x14ac:dyDescent="0.25">
      <c r="E398" s="1">
        <v>41821</v>
      </c>
      <c r="F398">
        <v>4.5200335295564997</v>
      </c>
      <c r="G398">
        <v>421071704481</v>
      </c>
    </row>
    <row r="399" spans="5:7" x14ac:dyDescent="0.25">
      <c r="E399" s="1">
        <v>41852</v>
      </c>
      <c r="F399">
        <v>4.4681995477488003</v>
      </c>
      <c r="G399">
        <v>376335044137</v>
      </c>
    </row>
    <row r="400" spans="5:7" x14ac:dyDescent="0.25">
      <c r="E400" s="1">
        <v>41883</v>
      </c>
      <c r="F400">
        <v>4.4355356568817097</v>
      </c>
      <c r="G400">
        <v>410279054336</v>
      </c>
    </row>
    <row r="401" spans="5:7" x14ac:dyDescent="0.25">
      <c r="E401" s="1">
        <v>41913</v>
      </c>
      <c r="F401">
        <v>4.4756207173094804</v>
      </c>
      <c r="G401">
        <v>389985074882</v>
      </c>
    </row>
    <row r="402" spans="5:7" x14ac:dyDescent="0.25">
      <c r="E402" s="1">
        <v>41944</v>
      </c>
      <c r="F402">
        <v>4.4883370685343502</v>
      </c>
      <c r="G402">
        <v>278793550064</v>
      </c>
    </row>
    <row r="403" spans="5:7" x14ac:dyDescent="0.25">
      <c r="E403" s="1">
        <v>41974</v>
      </c>
      <c r="F403">
        <v>4.3629145938798297</v>
      </c>
      <c r="G403">
        <v>365329923904</v>
      </c>
    </row>
    <row r="404" spans="5:7" x14ac:dyDescent="0.25">
      <c r="E404" s="1">
        <v>42005</v>
      </c>
      <c r="F404">
        <v>4.3011500305881896</v>
      </c>
      <c r="G404">
        <v>281003005822</v>
      </c>
    </row>
    <row r="405" spans="5:7" x14ac:dyDescent="0.25">
      <c r="E405" s="1">
        <v>42036</v>
      </c>
      <c r="F405">
        <v>4.2096690729955704</v>
      </c>
      <c r="G405">
        <v>244669329543</v>
      </c>
    </row>
    <row r="406" spans="5:7" x14ac:dyDescent="0.25">
      <c r="E406" s="1">
        <v>42064</v>
      </c>
      <c r="F406">
        <v>4.0329850466226498</v>
      </c>
      <c r="G406">
        <v>278446338711</v>
      </c>
    </row>
    <row r="407" spans="5:7" x14ac:dyDescent="0.25">
      <c r="E407" s="1">
        <v>42095</v>
      </c>
      <c r="F407">
        <v>4.0070633221616401</v>
      </c>
      <c r="G407">
        <v>263205961480</v>
      </c>
    </row>
    <row r="408" spans="5:7" x14ac:dyDescent="0.25">
      <c r="E408" s="1">
        <v>42125</v>
      </c>
      <c r="F408">
        <v>4.0535036903429402</v>
      </c>
      <c r="G408">
        <v>213144296708</v>
      </c>
    </row>
    <row r="409" spans="5:7" x14ac:dyDescent="0.25">
      <c r="E409" s="1">
        <v>42156</v>
      </c>
      <c r="F409">
        <v>4.0389687442882796</v>
      </c>
      <c r="G409">
        <v>182843691528</v>
      </c>
    </row>
    <row r="410" spans="5:7" x14ac:dyDescent="0.25">
      <c r="E410" s="1">
        <v>42186</v>
      </c>
      <c r="F410">
        <v>4.1103325603782999</v>
      </c>
      <c r="G410">
        <v>167150174301</v>
      </c>
    </row>
    <row r="411" spans="5:7" x14ac:dyDescent="0.25">
      <c r="E411" s="1">
        <v>42217</v>
      </c>
      <c r="F411">
        <v>4.2555873644735902</v>
      </c>
      <c r="G411">
        <v>112160715334</v>
      </c>
    </row>
    <row r="412" spans="5:7" x14ac:dyDescent="0.25">
      <c r="E412" s="1">
        <v>42248</v>
      </c>
      <c r="F412">
        <v>4.2691977508419399</v>
      </c>
      <c r="G412">
        <v>100425359554</v>
      </c>
    </row>
    <row r="413" spans="5:7" x14ac:dyDescent="0.25">
      <c r="E413" s="1">
        <v>42278</v>
      </c>
      <c r="F413">
        <v>4.2544941345304697</v>
      </c>
      <c r="G413">
        <v>61126860733</v>
      </c>
    </row>
    <row r="414" spans="5:7" x14ac:dyDescent="0.25">
      <c r="E414" s="1">
        <v>42309</v>
      </c>
      <c r="F414">
        <v>4.2217044865697799</v>
      </c>
      <c r="G414">
        <v>19361228381</v>
      </c>
    </row>
    <row r="415" spans="5:7" x14ac:dyDescent="0.25">
      <c r="E415" s="1">
        <v>42339</v>
      </c>
      <c r="F415">
        <v>4.1798344701624197</v>
      </c>
      <c r="G415">
        <v>9435742721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"/>
  <sheetViews>
    <sheetView workbookViewId="0">
      <selection activeCell="K52" sqref="K52"/>
    </sheetView>
  </sheetViews>
  <sheetFormatPr defaultRowHeight="15" x14ac:dyDescent="0.25"/>
  <cols>
    <col min="1" max="1" width="16.7109375" bestFit="1" customWidth="1"/>
    <col min="2" max="2" width="7" bestFit="1" customWidth="1"/>
    <col min="3" max="3" width="12" bestFit="1" customWidth="1"/>
    <col min="4" max="4" width="10.42578125" bestFit="1" customWidth="1"/>
    <col min="5" max="5" width="15.5703125" bestFit="1" customWidth="1"/>
    <col min="6" max="6" width="9.28515625" bestFit="1" customWidth="1"/>
    <col min="7" max="7" width="8.140625" bestFit="1" customWidth="1"/>
    <col min="8" max="8" width="6" bestFit="1" customWidth="1"/>
    <col min="9" max="9" width="10" bestFit="1" customWidth="1"/>
    <col min="10" max="10" width="6" bestFit="1" customWidth="1"/>
    <col min="11" max="11" width="10" bestFit="1" customWidth="1"/>
    <col min="12" max="12" width="5" bestFit="1" customWidth="1"/>
    <col min="13" max="13" width="6" bestFit="1" customWidth="1"/>
    <col min="14" max="14" width="8" bestFit="1" customWidth="1"/>
    <col min="15" max="15" width="17" bestFit="1" customWidth="1"/>
    <col min="16" max="16" width="10.7109375" bestFit="1" customWidth="1"/>
    <col min="17" max="17" width="11" bestFit="1" customWidth="1"/>
    <col min="18" max="18" width="26.28515625" bestFit="1" customWidth="1"/>
  </cols>
  <sheetData>
    <row r="1" spans="1:18" x14ac:dyDescent="0.25">
      <c r="A1" t="s">
        <v>8</v>
      </c>
      <c r="B1" t="s">
        <v>9</v>
      </c>
      <c r="C1" t="s">
        <v>10</v>
      </c>
      <c r="D1" t="s">
        <v>11</v>
      </c>
      <c r="E1" t="s">
        <v>24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25</v>
      </c>
    </row>
    <row r="2" spans="1:18" x14ac:dyDescent="0.25">
      <c r="A2" s="1">
        <v>39630</v>
      </c>
      <c r="B2">
        <v>260</v>
      </c>
      <c r="C2">
        <v>159528509.38</v>
      </c>
      <c r="D2">
        <v>98.134500000000003</v>
      </c>
      <c r="E2">
        <v>0.1135</v>
      </c>
      <c r="F2">
        <v>38.201500000000003</v>
      </c>
      <c r="G2">
        <v>27.26</v>
      </c>
      <c r="H2">
        <v>2.16</v>
      </c>
      <c r="I2">
        <v>615605.51</v>
      </c>
      <c r="J2">
        <v>75.92</v>
      </c>
      <c r="K2">
        <v>764.69</v>
      </c>
      <c r="L2">
        <v>6.36</v>
      </c>
      <c r="M2">
        <v>35.71</v>
      </c>
      <c r="N2">
        <v>81.19</v>
      </c>
      <c r="O2">
        <v>81.19</v>
      </c>
      <c r="P2">
        <v>33.07</v>
      </c>
      <c r="Q2">
        <v>1.4816559999999999E-2</v>
      </c>
      <c r="R2">
        <v>0.14030000000000001</v>
      </c>
    </row>
    <row r="3" spans="1:18" x14ac:dyDescent="0.25">
      <c r="A3" s="1">
        <v>39661</v>
      </c>
      <c r="B3">
        <v>614</v>
      </c>
      <c r="C3">
        <v>374452513.00999999</v>
      </c>
      <c r="D3">
        <v>98.711500000000001</v>
      </c>
      <c r="E3">
        <v>0.1082</v>
      </c>
      <c r="F3">
        <v>0.5696</v>
      </c>
      <c r="G3">
        <v>24.08</v>
      </c>
      <c r="H3">
        <v>3.03</v>
      </c>
      <c r="I3">
        <v>614827.55000000005</v>
      </c>
      <c r="J3">
        <v>75.12</v>
      </c>
      <c r="K3">
        <v>765.25</v>
      </c>
      <c r="L3">
        <v>6.3</v>
      </c>
      <c r="M3">
        <v>35.21</v>
      </c>
      <c r="N3">
        <v>80.25</v>
      </c>
      <c r="O3">
        <v>80.25</v>
      </c>
      <c r="P3">
        <v>9.27</v>
      </c>
      <c r="Q3">
        <v>1.334158E-2</v>
      </c>
      <c r="R3">
        <v>0.1399</v>
      </c>
    </row>
    <row r="4" spans="1:18" x14ac:dyDescent="0.25">
      <c r="A4" s="1">
        <v>39692</v>
      </c>
      <c r="B4">
        <v>1027</v>
      </c>
      <c r="C4">
        <v>616117627.50999999</v>
      </c>
      <c r="D4">
        <v>98.668400000000005</v>
      </c>
      <c r="E4">
        <v>0.1047</v>
      </c>
      <c r="F4">
        <v>-15.2822</v>
      </c>
      <c r="G4">
        <v>18.55</v>
      </c>
      <c r="H4">
        <v>3.5</v>
      </c>
      <c r="I4">
        <v>611357.4</v>
      </c>
      <c r="J4">
        <v>74.47</v>
      </c>
      <c r="K4">
        <v>764.91</v>
      </c>
      <c r="L4">
        <v>6.24</v>
      </c>
      <c r="M4">
        <v>35.06</v>
      </c>
      <c r="N4">
        <v>79.239999999999995</v>
      </c>
      <c r="O4">
        <v>79.239999999999995</v>
      </c>
      <c r="P4">
        <v>4.7</v>
      </c>
      <c r="Q4">
        <v>3.3527499999999998E-3</v>
      </c>
      <c r="R4">
        <v>0.1404</v>
      </c>
    </row>
    <row r="5" spans="1:18" x14ac:dyDescent="0.25">
      <c r="A5" s="1">
        <v>39722</v>
      </c>
      <c r="B5">
        <v>1277</v>
      </c>
      <c r="C5">
        <v>760487673.14999998</v>
      </c>
      <c r="D5">
        <v>98.619399999999999</v>
      </c>
      <c r="E5">
        <v>0.10730000000000001</v>
      </c>
      <c r="F5">
        <v>-19.611899999999999</v>
      </c>
      <c r="G5">
        <v>17.440000000000001</v>
      </c>
      <c r="H5">
        <v>4.1399999999999997</v>
      </c>
      <c r="I5">
        <v>605427.68999999994</v>
      </c>
      <c r="J5">
        <v>75.44</v>
      </c>
      <c r="K5">
        <v>763.66</v>
      </c>
      <c r="L5">
        <v>6.26</v>
      </c>
      <c r="M5">
        <v>35.119999999999997</v>
      </c>
      <c r="N5">
        <v>78.53</v>
      </c>
      <c r="O5">
        <v>78.53</v>
      </c>
      <c r="P5">
        <v>3.68</v>
      </c>
      <c r="Q5">
        <v>5.8649000000000001E-3</v>
      </c>
      <c r="R5">
        <v>0.1416</v>
      </c>
    </row>
    <row r="6" spans="1:18" x14ac:dyDescent="0.25">
      <c r="A6" s="1">
        <v>39753</v>
      </c>
      <c r="B6">
        <v>1371</v>
      </c>
      <c r="C6">
        <v>811088298.63999999</v>
      </c>
      <c r="D6">
        <v>98.642600000000002</v>
      </c>
      <c r="E6">
        <v>0.1079</v>
      </c>
      <c r="F6">
        <v>25.348400000000002</v>
      </c>
      <c r="G6">
        <v>22.64</v>
      </c>
      <c r="H6">
        <v>4.96</v>
      </c>
      <c r="I6">
        <v>589646.68000000005</v>
      </c>
      <c r="J6">
        <v>76.09</v>
      </c>
      <c r="K6">
        <v>763.83</v>
      </c>
      <c r="L6">
        <v>6.28</v>
      </c>
      <c r="M6">
        <v>34.89</v>
      </c>
      <c r="N6">
        <v>77.87</v>
      </c>
      <c r="O6">
        <v>77.87</v>
      </c>
      <c r="P6">
        <v>21.61</v>
      </c>
      <c r="Q6">
        <v>2.5022119999999998E-2</v>
      </c>
      <c r="R6">
        <v>0.14280000000000001</v>
      </c>
    </row>
    <row r="7" spans="1:18" x14ac:dyDescent="0.25">
      <c r="A7" s="1">
        <v>39783</v>
      </c>
      <c r="B7">
        <v>1595</v>
      </c>
      <c r="C7">
        <v>940198527.44000006</v>
      </c>
      <c r="D7">
        <v>98.714100000000002</v>
      </c>
      <c r="E7">
        <v>0.111</v>
      </c>
      <c r="F7">
        <v>13.747400000000001</v>
      </c>
      <c r="G7">
        <v>26.3</v>
      </c>
      <c r="H7">
        <v>5.51</v>
      </c>
      <c r="I7">
        <v>595465.18000000005</v>
      </c>
      <c r="J7">
        <v>77.11</v>
      </c>
      <c r="K7">
        <v>762.48</v>
      </c>
      <c r="L7">
        <v>6.31</v>
      </c>
      <c r="M7">
        <v>35.24</v>
      </c>
      <c r="N7">
        <v>77.150000000000006</v>
      </c>
      <c r="O7">
        <v>77.150000000000006</v>
      </c>
      <c r="P7">
        <v>16.920000000000002</v>
      </c>
      <c r="Q7">
        <v>1.294941E-2</v>
      </c>
      <c r="R7">
        <v>0.1439</v>
      </c>
    </row>
    <row r="8" spans="1:18" x14ac:dyDescent="0.25">
      <c r="A8" s="1">
        <v>39814</v>
      </c>
      <c r="B8">
        <v>1706</v>
      </c>
      <c r="C8">
        <v>1003960884.02</v>
      </c>
      <c r="D8">
        <v>98.731700000000004</v>
      </c>
      <c r="E8">
        <v>0.1119</v>
      </c>
      <c r="F8">
        <v>21.521799999999999</v>
      </c>
      <c r="G8">
        <v>30.1</v>
      </c>
      <c r="H8">
        <v>6.19</v>
      </c>
      <c r="I8">
        <v>595564.12</v>
      </c>
      <c r="J8">
        <v>77.39</v>
      </c>
      <c r="K8">
        <v>762</v>
      </c>
      <c r="L8">
        <v>6.3</v>
      </c>
      <c r="M8">
        <v>35.159999999999997</v>
      </c>
      <c r="N8">
        <v>77.540000000000006</v>
      </c>
      <c r="O8">
        <v>77.540000000000006</v>
      </c>
      <c r="P8">
        <v>19.21</v>
      </c>
      <c r="Q8">
        <v>1.1381240000000001E-2</v>
      </c>
      <c r="R8">
        <v>0.14360000000000001</v>
      </c>
    </row>
    <row r="9" spans="1:18" x14ac:dyDescent="0.25">
      <c r="A9" s="1">
        <v>39845</v>
      </c>
      <c r="B9">
        <v>1865</v>
      </c>
      <c r="C9">
        <v>1094819840.5</v>
      </c>
      <c r="D9">
        <v>98.734300000000005</v>
      </c>
      <c r="E9">
        <v>0.1158</v>
      </c>
      <c r="F9">
        <v>99.984499999999997</v>
      </c>
      <c r="G9">
        <v>47.95</v>
      </c>
      <c r="H9">
        <v>6.79</v>
      </c>
      <c r="I9">
        <v>587249.27</v>
      </c>
      <c r="J9">
        <v>78</v>
      </c>
      <c r="K9">
        <v>761.57</v>
      </c>
      <c r="L9">
        <v>6.29</v>
      </c>
      <c r="M9">
        <v>35.07</v>
      </c>
      <c r="N9">
        <v>77.87</v>
      </c>
      <c r="O9">
        <v>77.87</v>
      </c>
      <c r="P9">
        <v>91.16</v>
      </c>
      <c r="Q9">
        <v>2.5608929999999999E-2</v>
      </c>
      <c r="R9">
        <v>0.14360000000000001</v>
      </c>
    </row>
    <row r="10" spans="1:18" x14ac:dyDescent="0.25">
      <c r="A10" s="1">
        <v>39873</v>
      </c>
      <c r="B10">
        <v>1888</v>
      </c>
      <c r="C10">
        <v>1114865303.05</v>
      </c>
      <c r="D10">
        <v>98.693200000000004</v>
      </c>
      <c r="E10">
        <v>0.1163</v>
      </c>
      <c r="F10">
        <v>124.7303</v>
      </c>
      <c r="G10">
        <v>71.34</v>
      </c>
      <c r="H10">
        <v>7.57</v>
      </c>
      <c r="I10">
        <v>590988.23</v>
      </c>
      <c r="J10">
        <v>78.41</v>
      </c>
      <c r="K10">
        <v>761.18</v>
      </c>
      <c r="L10">
        <v>6.29</v>
      </c>
      <c r="M10">
        <v>35.200000000000003</v>
      </c>
      <c r="N10">
        <v>77.83</v>
      </c>
      <c r="O10">
        <v>77.83</v>
      </c>
      <c r="P10">
        <v>98.28</v>
      </c>
      <c r="Q10">
        <v>2.5177850000000002E-2</v>
      </c>
      <c r="R10">
        <v>0.14380000000000001</v>
      </c>
    </row>
    <row r="11" spans="1:18" x14ac:dyDescent="0.25">
      <c r="A11" s="1">
        <v>39904</v>
      </c>
      <c r="B11">
        <v>1884</v>
      </c>
      <c r="C11">
        <v>1114025472.71</v>
      </c>
      <c r="D11">
        <v>98.640699999999995</v>
      </c>
      <c r="E11">
        <v>0.1159</v>
      </c>
      <c r="F11">
        <v>114.7606</v>
      </c>
      <c r="G11">
        <v>92.64</v>
      </c>
      <c r="H11">
        <v>8.52</v>
      </c>
      <c r="I11">
        <v>585377.99</v>
      </c>
      <c r="J11">
        <v>78.14</v>
      </c>
      <c r="K11">
        <v>761.08</v>
      </c>
      <c r="L11">
        <v>6.28</v>
      </c>
      <c r="M11">
        <v>35.17</v>
      </c>
      <c r="N11">
        <v>77</v>
      </c>
      <c r="O11">
        <v>77</v>
      </c>
      <c r="P11">
        <v>97.48</v>
      </c>
      <c r="Q11">
        <v>3.5996380000000001E-2</v>
      </c>
      <c r="R11">
        <v>0.14269999999999999</v>
      </c>
    </row>
    <row r="12" spans="1:18" x14ac:dyDescent="0.25">
      <c r="A12" s="1">
        <v>39934</v>
      </c>
      <c r="B12">
        <v>1821</v>
      </c>
      <c r="C12">
        <v>1078889761.24</v>
      </c>
      <c r="D12">
        <v>98.597899999999996</v>
      </c>
      <c r="E12">
        <v>0.1158</v>
      </c>
      <c r="F12">
        <v>127.5227</v>
      </c>
      <c r="G12">
        <v>116.05</v>
      </c>
      <c r="H12">
        <v>9.5</v>
      </c>
      <c r="I12">
        <v>583015.96</v>
      </c>
      <c r="J12">
        <v>78</v>
      </c>
      <c r="K12">
        <v>760.65</v>
      </c>
      <c r="L12">
        <v>6.27</v>
      </c>
      <c r="M12">
        <v>35.22</v>
      </c>
      <c r="N12">
        <v>76.23</v>
      </c>
      <c r="O12">
        <v>76.23</v>
      </c>
      <c r="P12">
        <v>98.59</v>
      </c>
      <c r="Q12">
        <v>4.1607959999999999E-2</v>
      </c>
      <c r="R12">
        <v>0.13850000000000001</v>
      </c>
    </row>
    <row r="13" spans="1:18" x14ac:dyDescent="0.25">
      <c r="A13" s="1">
        <v>39965</v>
      </c>
      <c r="B13">
        <v>1742</v>
      </c>
      <c r="C13">
        <v>1032946237.3200001</v>
      </c>
      <c r="D13">
        <v>98.566599999999994</v>
      </c>
      <c r="E13">
        <v>0.1159</v>
      </c>
      <c r="F13">
        <v>147.072</v>
      </c>
      <c r="G13">
        <v>143.53</v>
      </c>
      <c r="H13">
        <v>10.49</v>
      </c>
      <c r="I13">
        <v>585523.78</v>
      </c>
      <c r="J13">
        <v>77.900000000000006</v>
      </c>
      <c r="K13">
        <v>760.51</v>
      </c>
      <c r="L13">
        <v>6.27</v>
      </c>
      <c r="M13">
        <v>35.31</v>
      </c>
      <c r="N13">
        <v>75.27</v>
      </c>
      <c r="O13">
        <v>75.27</v>
      </c>
      <c r="P13">
        <v>99.58</v>
      </c>
      <c r="Q13">
        <v>3.7323500000000003E-2</v>
      </c>
      <c r="R13">
        <v>0.1363</v>
      </c>
    </row>
    <row r="14" spans="1:18" x14ac:dyDescent="0.25">
      <c r="A14" s="1">
        <v>39995</v>
      </c>
      <c r="B14">
        <v>1675</v>
      </c>
      <c r="C14">
        <v>993372633.86000001</v>
      </c>
      <c r="D14">
        <v>98.556600000000003</v>
      </c>
      <c r="E14">
        <v>0.1157</v>
      </c>
      <c r="F14">
        <v>142.68170000000001</v>
      </c>
      <c r="G14">
        <v>170.89</v>
      </c>
      <c r="H14">
        <v>11.49</v>
      </c>
      <c r="I14">
        <v>579470.77</v>
      </c>
      <c r="J14">
        <v>77.69</v>
      </c>
      <c r="K14">
        <v>760.27</v>
      </c>
      <c r="L14">
        <v>6.27</v>
      </c>
      <c r="M14">
        <v>35.36</v>
      </c>
      <c r="N14">
        <v>75.209999999999994</v>
      </c>
      <c r="O14">
        <v>75.209999999999994</v>
      </c>
      <c r="P14">
        <v>99.26</v>
      </c>
      <c r="Q14">
        <v>4.6610869999999999E-2</v>
      </c>
      <c r="R14">
        <v>0.13400000000000001</v>
      </c>
    </row>
    <row r="15" spans="1:18" x14ac:dyDescent="0.25">
      <c r="A15" s="1">
        <v>40026</v>
      </c>
      <c r="B15">
        <v>1596</v>
      </c>
      <c r="C15">
        <v>946094166.17999995</v>
      </c>
      <c r="D15">
        <v>98.617199999999997</v>
      </c>
      <c r="E15">
        <v>0.11609999999999999</v>
      </c>
      <c r="F15">
        <v>86.160700000000006</v>
      </c>
      <c r="G15">
        <v>187.4</v>
      </c>
      <c r="H15">
        <v>12.48</v>
      </c>
      <c r="I15">
        <v>568531.51</v>
      </c>
      <c r="J15">
        <v>77.66</v>
      </c>
      <c r="K15">
        <v>759.89</v>
      </c>
      <c r="L15">
        <v>6.27</v>
      </c>
      <c r="M15">
        <v>35.450000000000003</v>
      </c>
      <c r="N15">
        <v>75.260000000000005</v>
      </c>
      <c r="O15">
        <v>75.260000000000005</v>
      </c>
      <c r="P15">
        <v>79.87</v>
      </c>
      <c r="Q15">
        <v>6.2231849999999998E-2</v>
      </c>
      <c r="R15">
        <v>0.13239999999999999</v>
      </c>
    </row>
    <row r="16" spans="1:18" x14ac:dyDescent="0.25">
      <c r="A16" s="1">
        <v>40057</v>
      </c>
      <c r="B16">
        <v>1499</v>
      </c>
      <c r="C16">
        <v>886294775.90999997</v>
      </c>
      <c r="D16">
        <v>98.525700000000001</v>
      </c>
      <c r="E16">
        <v>0.1143</v>
      </c>
      <c r="F16">
        <v>105.9145</v>
      </c>
      <c r="G16">
        <v>206.32</v>
      </c>
      <c r="H16">
        <v>13.47</v>
      </c>
      <c r="I16">
        <v>583111.09</v>
      </c>
      <c r="J16">
        <v>77.489999999999995</v>
      </c>
      <c r="K16">
        <v>759.48</v>
      </c>
      <c r="L16">
        <v>6.27</v>
      </c>
      <c r="M16">
        <v>35.4</v>
      </c>
      <c r="N16">
        <v>75.459999999999994</v>
      </c>
      <c r="O16">
        <v>75.459999999999994</v>
      </c>
      <c r="P16">
        <v>93.13</v>
      </c>
      <c r="Q16">
        <v>3.6367879999999998E-2</v>
      </c>
      <c r="R16">
        <v>0.1341</v>
      </c>
    </row>
    <row r="17" spans="1:18" x14ac:dyDescent="0.25">
      <c r="A17" s="1">
        <v>40087</v>
      </c>
      <c r="B17">
        <v>1446</v>
      </c>
      <c r="C17">
        <v>853168012.92999995</v>
      </c>
      <c r="D17">
        <v>98.539599999999993</v>
      </c>
      <c r="E17">
        <v>0.1149</v>
      </c>
      <c r="F17">
        <v>109.3626</v>
      </c>
      <c r="G17">
        <v>226.19</v>
      </c>
      <c r="H17">
        <v>14.47</v>
      </c>
      <c r="I17">
        <v>580712.80000000005</v>
      </c>
      <c r="J17">
        <v>77.489999999999995</v>
      </c>
      <c r="K17">
        <v>759.14</v>
      </c>
      <c r="L17">
        <v>6.27</v>
      </c>
      <c r="M17">
        <v>35.42</v>
      </c>
      <c r="N17">
        <v>76.13</v>
      </c>
      <c r="O17">
        <v>76.13</v>
      </c>
      <c r="P17">
        <v>95.91</v>
      </c>
      <c r="Q17">
        <v>3.8243909999999999E-2</v>
      </c>
      <c r="R17">
        <v>0.13600000000000001</v>
      </c>
    </row>
    <row r="18" spans="1:18" x14ac:dyDescent="0.25">
      <c r="A18" s="1">
        <v>40118</v>
      </c>
      <c r="B18">
        <v>1392</v>
      </c>
      <c r="C18">
        <v>819676595.86000001</v>
      </c>
      <c r="D18">
        <v>98.543599999999998</v>
      </c>
      <c r="E18">
        <v>0.1153</v>
      </c>
      <c r="F18">
        <v>124.5638</v>
      </c>
      <c r="G18">
        <v>248.43</v>
      </c>
      <c r="H18">
        <v>15.48</v>
      </c>
      <c r="I18">
        <v>573779.44999999995</v>
      </c>
      <c r="J18">
        <v>77.599999999999994</v>
      </c>
      <c r="K18">
        <v>759.38</v>
      </c>
      <c r="L18">
        <v>6.26</v>
      </c>
      <c r="M18">
        <v>35.39</v>
      </c>
      <c r="N18">
        <v>76.73</v>
      </c>
      <c r="O18">
        <v>76.73</v>
      </c>
      <c r="P18">
        <v>97.61</v>
      </c>
      <c r="Q18">
        <v>4.8899110000000003E-2</v>
      </c>
      <c r="R18">
        <v>0.13750000000000001</v>
      </c>
    </row>
    <row r="19" spans="1:18" x14ac:dyDescent="0.25">
      <c r="A19" s="1">
        <v>40148</v>
      </c>
      <c r="B19">
        <v>1324</v>
      </c>
      <c r="C19">
        <v>778768457.48000002</v>
      </c>
      <c r="D19">
        <v>98.642200000000003</v>
      </c>
      <c r="E19">
        <v>0.11550000000000001</v>
      </c>
      <c r="F19">
        <v>131.61320000000001</v>
      </c>
      <c r="G19">
        <v>272.44</v>
      </c>
      <c r="H19">
        <v>16.46</v>
      </c>
      <c r="I19">
        <v>565428.46</v>
      </c>
      <c r="J19">
        <v>77.63</v>
      </c>
      <c r="K19">
        <v>759.42</v>
      </c>
      <c r="L19">
        <v>6.26</v>
      </c>
      <c r="M19">
        <v>35.43</v>
      </c>
      <c r="N19">
        <v>77.349999999999994</v>
      </c>
      <c r="O19">
        <v>77.349999999999994</v>
      </c>
      <c r="P19">
        <v>98.03</v>
      </c>
      <c r="Q19">
        <v>6.0673579999999998E-2</v>
      </c>
      <c r="R19">
        <v>0.13950000000000001</v>
      </c>
    </row>
    <row r="20" spans="1:18" x14ac:dyDescent="0.25">
      <c r="A20" s="1">
        <v>40179</v>
      </c>
      <c r="B20">
        <v>1245</v>
      </c>
      <c r="C20">
        <v>730736909.25999999</v>
      </c>
      <c r="D20">
        <v>98.621399999999994</v>
      </c>
      <c r="E20">
        <v>0.11600000000000001</v>
      </c>
      <c r="F20">
        <v>139.70099999999999</v>
      </c>
      <c r="G20">
        <v>298.72000000000003</v>
      </c>
      <c r="H20">
        <v>17.45</v>
      </c>
      <c r="I20">
        <v>552920.31999999995</v>
      </c>
      <c r="J20">
        <v>77.88</v>
      </c>
      <c r="K20">
        <v>759.07</v>
      </c>
      <c r="L20">
        <v>6.26</v>
      </c>
      <c r="M20">
        <v>35.57</v>
      </c>
      <c r="N20">
        <v>78.13</v>
      </c>
      <c r="O20">
        <v>78.13</v>
      </c>
      <c r="P20">
        <v>98.97</v>
      </c>
      <c r="Q20">
        <v>8.0052590000000007E-2</v>
      </c>
      <c r="R20">
        <v>0.1416</v>
      </c>
    </row>
    <row r="21" spans="1:18" x14ac:dyDescent="0.25">
      <c r="A21" s="1">
        <v>40210</v>
      </c>
      <c r="B21">
        <v>1146</v>
      </c>
      <c r="C21">
        <v>671516085.49000001</v>
      </c>
      <c r="D21">
        <v>98.692899999999995</v>
      </c>
      <c r="E21">
        <v>0.1178</v>
      </c>
      <c r="F21">
        <v>134.39869999999999</v>
      </c>
      <c r="G21">
        <v>324.31</v>
      </c>
      <c r="H21">
        <v>18.46</v>
      </c>
      <c r="I21">
        <v>569143.78</v>
      </c>
      <c r="J21">
        <v>78.25</v>
      </c>
      <c r="K21">
        <v>758.19</v>
      </c>
      <c r="L21">
        <v>6.26</v>
      </c>
      <c r="M21">
        <v>35.58</v>
      </c>
      <c r="N21">
        <v>78.92</v>
      </c>
      <c r="O21">
        <v>78.92</v>
      </c>
      <c r="P21">
        <v>98.54</v>
      </c>
      <c r="Q21">
        <v>5.1283679999999998E-2</v>
      </c>
      <c r="R21">
        <v>0.14449999999999999</v>
      </c>
    </row>
    <row r="22" spans="1:18" x14ac:dyDescent="0.25">
      <c r="A22" s="1">
        <v>40238</v>
      </c>
      <c r="B22">
        <v>1088</v>
      </c>
      <c r="C22">
        <v>636386688.49000001</v>
      </c>
      <c r="D22">
        <v>98.808300000000003</v>
      </c>
      <c r="E22">
        <v>0.1182</v>
      </c>
      <c r="F22">
        <v>124.8471</v>
      </c>
      <c r="G22">
        <v>347.09</v>
      </c>
      <c r="H22">
        <v>19.47</v>
      </c>
      <c r="I22">
        <v>560731.06000000006</v>
      </c>
      <c r="J22">
        <v>78.39</v>
      </c>
      <c r="K22">
        <v>758.13</v>
      </c>
      <c r="L22">
        <v>6.26</v>
      </c>
      <c r="M22">
        <v>35.57</v>
      </c>
      <c r="N22">
        <v>79.75</v>
      </c>
      <c r="O22">
        <v>79.75</v>
      </c>
      <c r="P22">
        <v>97.1</v>
      </c>
      <c r="Q22">
        <v>6.2847440000000004E-2</v>
      </c>
      <c r="R22">
        <v>0.1482</v>
      </c>
    </row>
    <row r="23" spans="1:18" x14ac:dyDescent="0.25">
      <c r="A23" s="1">
        <v>40269</v>
      </c>
      <c r="B23">
        <v>1021</v>
      </c>
      <c r="C23">
        <v>595739228.30999994</v>
      </c>
      <c r="D23">
        <v>98.848500000000001</v>
      </c>
      <c r="E23">
        <v>0.1162</v>
      </c>
      <c r="F23">
        <v>126.69199999999999</v>
      </c>
      <c r="G23">
        <v>366.18</v>
      </c>
      <c r="H23">
        <v>20.43</v>
      </c>
      <c r="I23">
        <v>563212.89</v>
      </c>
      <c r="J23">
        <v>77.650000000000006</v>
      </c>
      <c r="K23">
        <v>758.29</v>
      </c>
      <c r="L23">
        <v>6.24</v>
      </c>
      <c r="M23">
        <v>35.6</v>
      </c>
      <c r="N23">
        <v>81.23</v>
      </c>
      <c r="O23">
        <v>81.23</v>
      </c>
      <c r="P23">
        <v>97.79</v>
      </c>
      <c r="Q23">
        <v>5.6293309999999999E-2</v>
      </c>
      <c r="R23">
        <v>0.14610000000000001</v>
      </c>
    </row>
    <row r="24" spans="1:18" x14ac:dyDescent="0.25">
      <c r="A24" s="1">
        <v>40299</v>
      </c>
      <c r="B24">
        <v>965</v>
      </c>
      <c r="C24">
        <v>561584919.41999996</v>
      </c>
      <c r="D24">
        <v>98.780100000000004</v>
      </c>
      <c r="E24">
        <v>0.1157</v>
      </c>
      <c r="F24">
        <v>127.1426</v>
      </c>
      <c r="G24">
        <v>389.22</v>
      </c>
      <c r="H24">
        <v>21.39</v>
      </c>
      <c r="I24">
        <v>564464.64000000001</v>
      </c>
      <c r="J24">
        <v>77.31</v>
      </c>
      <c r="K24">
        <v>758.15</v>
      </c>
      <c r="L24">
        <v>6.24</v>
      </c>
      <c r="M24">
        <v>35.590000000000003</v>
      </c>
      <c r="N24">
        <v>82.79</v>
      </c>
      <c r="O24">
        <v>82.79</v>
      </c>
      <c r="P24">
        <v>97.78</v>
      </c>
      <c r="Q24">
        <v>5.2666989999999997E-2</v>
      </c>
      <c r="R24">
        <v>0.1452</v>
      </c>
    </row>
    <row r="25" spans="1:18" x14ac:dyDescent="0.25">
      <c r="A25" s="1">
        <v>40330</v>
      </c>
      <c r="B25">
        <v>915</v>
      </c>
      <c r="C25">
        <v>531417439.99000001</v>
      </c>
      <c r="D25">
        <v>98.712699999999998</v>
      </c>
      <c r="E25">
        <v>0.115</v>
      </c>
      <c r="F25">
        <v>116.0137</v>
      </c>
      <c r="G25">
        <v>409.28</v>
      </c>
      <c r="H25">
        <v>22.35</v>
      </c>
      <c r="I25">
        <v>561600.17000000004</v>
      </c>
      <c r="J25">
        <v>76.819999999999993</v>
      </c>
      <c r="K25">
        <v>757.83</v>
      </c>
      <c r="L25">
        <v>6.23</v>
      </c>
      <c r="M25">
        <v>35.630000000000003</v>
      </c>
      <c r="N25">
        <v>84.38</v>
      </c>
      <c r="O25">
        <v>84.38</v>
      </c>
      <c r="P25">
        <v>95.8</v>
      </c>
      <c r="Q25">
        <v>5.543178E-2</v>
      </c>
      <c r="R25">
        <v>0.1447</v>
      </c>
    </row>
    <row r="26" spans="1:18" x14ac:dyDescent="0.25">
      <c r="A26" s="1">
        <v>40360</v>
      </c>
      <c r="B26">
        <v>865</v>
      </c>
      <c r="C26">
        <v>501398554.05000001</v>
      </c>
      <c r="D26">
        <v>98.637500000000003</v>
      </c>
      <c r="E26">
        <v>0.1168</v>
      </c>
      <c r="F26">
        <v>135.74019999999999</v>
      </c>
      <c r="G26">
        <v>433.61</v>
      </c>
      <c r="H26">
        <v>23.29</v>
      </c>
      <c r="I26">
        <v>565482.04</v>
      </c>
      <c r="J26">
        <v>77.42</v>
      </c>
      <c r="K26">
        <v>757.91</v>
      </c>
      <c r="L26">
        <v>6.23</v>
      </c>
      <c r="M26">
        <v>35.700000000000003</v>
      </c>
      <c r="N26">
        <v>86.24</v>
      </c>
      <c r="O26">
        <v>86.24</v>
      </c>
      <c r="P26">
        <v>98.81</v>
      </c>
      <c r="Q26">
        <v>4.8202620000000002E-2</v>
      </c>
      <c r="R26">
        <v>0.1474</v>
      </c>
    </row>
    <row r="27" spans="1:18" x14ac:dyDescent="0.25">
      <c r="A27" s="1">
        <v>40391</v>
      </c>
      <c r="B27">
        <v>824</v>
      </c>
      <c r="C27">
        <v>476689849.81999999</v>
      </c>
      <c r="D27">
        <v>98.671099999999996</v>
      </c>
      <c r="E27">
        <v>0.1183</v>
      </c>
      <c r="F27">
        <v>152.8015</v>
      </c>
      <c r="G27">
        <v>461.63</v>
      </c>
      <c r="H27">
        <v>24.29</v>
      </c>
      <c r="I27">
        <v>544670.89</v>
      </c>
      <c r="J27">
        <v>77.87</v>
      </c>
      <c r="K27">
        <v>757.41</v>
      </c>
      <c r="L27">
        <v>6.23</v>
      </c>
      <c r="M27">
        <v>35.85</v>
      </c>
      <c r="N27">
        <v>88.19</v>
      </c>
      <c r="O27">
        <v>88.19</v>
      </c>
      <c r="P27">
        <v>99.9</v>
      </c>
      <c r="Q27">
        <v>8.2414580000000001E-2</v>
      </c>
      <c r="R27">
        <v>0.1515</v>
      </c>
    </row>
    <row r="28" spans="1:18" x14ac:dyDescent="0.25">
      <c r="A28" s="1">
        <v>40422</v>
      </c>
      <c r="B28">
        <v>756</v>
      </c>
      <c r="C28">
        <v>436904741.32999998</v>
      </c>
      <c r="D28">
        <v>98.596199999999996</v>
      </c>
      <c r="E28">
        <v>0.11890000000000001</v>
      </c>
      <c r="F28">
        <v>167.86429999999999</v>
      </c>
      <c r="G28">
        <v>493.99</v>
      </c>
      <c r="H28">
        <v>25.26</v>
      </c>
      <c r="I28">
        <v>552801.87</v>
      </c>
      <c r="J28">
        <v>77.989999999999995</v>
      </c>
      <c r="K28">
        <v>756.56</v>
      </c>
      <c r="L28">
        <v>6.22</v>
      </c>
      <c r="M28">
        <v>35.950000000000003</v>
      </c>
      <c r="N28">
        <v>90.16</v>
      </c>
      <c r="O28">
        <v>90.16</v>
      </c>
      <c r="P28">
        <v>100</v>
      </c>
      <c r="Q28">
        <v>6.7469100000000004E-2</v>
      </c>
      <c r="R28">
        <v>0.15509999999999999</v>
      </c>
    </row>
    <row r="29" spans="1:18" x14ac:dyDescent="0.25">
      <c r="A29" s="1">
        <v>40452</v>
      </c>
      <c r="B29">
        <v>705</v>
      </c>
      <c r="C29">
        <v>406959181.52999997</v>
      </c>
      <c r="D29">
        <v>98.654899999999998</v>
      </c>
      <c r="E29">
        <v>0.1216</v>
      </c>
      <c r="F29">
        <v>181.62540000000001</v>
      </c>
      <c r="G29">
        <v>531.6</v>
      </c>
      <c r="H29">
        <v>26.29</v>
      </c>
      <c r="I29">
        <v>547123.91</v>
      </c>
      <c r="J29">
        <v>78.48</v>
      </c>
      <c r="K29">
        <v>756.34</v>
      </c>
      <c r="L29">
        <v>6.23</v>
      </c>
      <c r="M29">
        <v>36.090000000000003</v>
      </c>
      <c r="N29">
        <v>90.67</v>
      </c>
      <c r="O29">
        <v>90.67</v>
      </c>
      <c r="P29">
        <v>100</v>
      </c>
      <c r="Q29">
        <v>7.4228539999999996E-2</v>
      </c>
      <c r="R29">
        <v>0.1598</v>
      </c>
    </row>
    <row r="30" spans="1:18" x14ac:dyDescent="0.25">
      <c r="A30" s="1">
        <v>40483</v>
      </c>
      <c r="B30">
        <v>654</v>
      </c>
      <c r="C30">
        <v>376316977.31999999</v>
      </c>
      <c r="D30">
        <v>98.700900000000004</v>
      </c>
      <c r="E30">
        <v>0.12379999999999999</v>
      </c>
      <c r="F30">
        <v>190.15600000000001</v>
      </c>
      <c r="G30">
        <v>573.22</v>
      </c>
      <c r="H30">
        <v>27.24</v>
      </c>
      <c r="I30">
        <v>551190.21</v>
      </c>
      <c r="J30">
        <v>78.97</v>
      </c>
      <c r="K30">
        <v>756.03</v>
      </c>
      <c r="L30">
        <v>6.24</v>
      </c>
      <c r="M30">
        <v>36.1</v>
      </c>
      <c r="N30">
        <v>91.16</v>
      </c>
      <c r="O30">
        <v>91.16</v>
      </c>
      <c r="P30">
        <v>100</v>
      </c>
      <c r="Q30">
        <v>6.4813380000000004E-2</v>
      </c>
      <c r="R30">
        <v>0.16420000000000001</v>
      </c>
    </row>
    <row r="31" spans="1:18" x14ac:dyDescent="0.25">
      <c r="A31" s="1">
        <v>40513</v>
      </c>
      <c r="B31">
        <v>613</v>
      </c>
      <c r="C31">
        <v>351517106.62</v>
      </c>
      <c r="D31">
        <v>98.611400000000003</v>
      </c>
      <c r="E31">
        <v>0.1244</v>
      </c>
      <c r="F31">
        <v>200.27359999999999</v>
      </c>
      <c r="G31">
        <v>612.64</v>
      </c>
      <c r="H31">
        <v>28.2</v>
      </c>
      <c r="I31">
        <v>536132.04</v>
      </c>
      <c r="J31">
        <v>79.319999999999993</v>
      </c>
      <c r="K31">
        <v>755.75</v>
      </c>
      <c r="L31">
        <v>6.24</v>
      </c>
      <c r="M31">
        <v>36.24</v>
      </c>
      <c r="N31">
        <v>91.63</v>
      </c>
      <c r="O31">
        <v>91.63</v>
      </c>
      <c r="P31">
        <v>100</v>
      </c>
      <c r="Q31">
        <v>8.6173040000000006E-2</v>
      </c>
      <c r="R31">
        <v>0.16889999999999999</v>
      </c>
    </row>
    <row r="32" spans="1:18" x14ac:dyDescent="0.25">
      <c r="A32" s="1">
        <v>40544</v>
      </c>
      <c r="B32">
        <v>1643</v>
      </c>
      <c r="C32">
        <v>929659309</v>
      </c>
      <c r="D32">
        <v>94.432199999999995</v>
      </c>
      <c r="E32">
        <v>0.1275</v>
      </c>
      <c r="F32">
        <v>76.374300000000005</v>
      </c>
      <c r="G32">
        <v>247.3</v>
      </c>
      <c r="H32">
        <v>11.34</v>
      </c>
      <c r="I32">
        <v>566186.92000000004</v>
      </c>
      <c r="J32">
        <v>72.66</v>
      </c>
      <c r="K32">
        <v>760.23</v>
      </c>
      <c r="L32">
        <v>5.23</v>
      </c>
      <c r="M32">
        <v>35.35</v>
      </c>
      <c r="N32">
        <v>90.99</v>
      </c>
      <c r="O32">
        <v>90.99</v>
      </c>
      <c r="P32">
        <v>46.01</v>
      </c>
      <c r="Q32">
        <v>2.566148E-2</v>
      </c>
      <c r="R32">
        <v>0.1754</v>
      </c>
    </row>
    <row r="33" spans="1:18" x14ac:dyDescent="0.25">
      <c r="A33" s="1">
        <v>40575</v>
      </c>
      <c r="B33">
        <v>2392</v>
      </c>
      <c r="C33">
        <v>1352145452.0599999</v>
      </c>
      <c r="D33">
        <v>93.6494</v>
      </c>
      <c r="E33">
        <v>0.1273</v>
      </c>
      <c r="F33">
        <v>12.627000000000001</v>
      </c>
      <c r="G33">
        <v>172.54</v>
      </c>
      <c r="H33">
        <v>8.59</v>
      </c>
      <c r="I33">
        <v>570867.81000000006</v>
      </c>
      <c r="J33">
        <v>71.739999999999995</v>
      </c>
      <c r="K33">
        <v>761.67</v>
      </c>
      <c r="L33">
        <v>5.01</v>
      </c>
      <c r="M33">
        <v>34.74</v>
      </c>
      <c r="N33">
        <v>90.23</v>
      </c>
      <c r="O33">
        <v>90.23</v>
      </c>
      <c r="P33">
        <v>22.38</v>
      </c>
      <c r="Q33">
        <v>1.5873769999999999E-2</v>
      </c>
      <c r="R33">
        <v>0.1825</v>
      </c>
    </row>
    <row r="34" spans="1:18" x14ac:dyDescent="0.25">
      <c r="A34" s="1">
        <v>40603</v>
      </c>
      <c r="B34">
        <v>4726</v>
      </c>
      <c r="C34">
        <v>2662803141.6700001</v>
      </c>
      <c r="D34">
        <v>94.365899999999996</v>
      </c>
      <c r="E34">
        <v>0.1198</v>
      </c>
      <c r="F34">
        <v>-11.8057</v>
      </c>
      <c r="G34">
        <v>90.82</v>
      </c>
      <c r="H34">
        <v>5.44</v>
      </c>
      <c r="I34">
        <v>574023.26</v>
      </c>
      <c r="J34">
        <v>70.709999999999994</v>
      </c>
      <c r="K34">
        <v>763.48</v>
      </c>
      <c r="L34">
        <v>4.8600000000000003</v>
      </c>
      <c r="M34">
        <v>34.07</v>
      </c>
      <c r="N34">
        <v>89.67</v>
      </c>
      <c r="O34">
        <v>89.67</v>
      </c>
      <c r="P34">
        <v>10.89</v>
      </c>
      <c r="Q34">
        <v>7.44358E-3</v>
      </c>
      <c r="R34">
        <v>0.19040000000000001</v>
      </c>
    </row>
    <row r="35" spans="1:18" x14ac:dyDescent="0.25">
      <c r="A35" s="1">
        <v>40634</v>
      </c>
      <c r="B35">
        <v>5343</v>
      </c>
      <c r="C35">
        <v>3016638435.0599999</v>
      </c>
      <c r="D35">
        <v>94.541300000000007</v>
      </c>
      <c r="E35">
        <v>0.1163</v>
      </c>
      <c r="F35">
        <v>-28.800899999999999</v>
      </c>
      <c r="G35">
        <v>79.34</v>
      </c>
      <c r="H35">
        <v>5.67</v>
      </c>
      <c r="I35">
        <v>575867.88</v>
      </c>
      <c r="J35">
        <v>69.94</v>
      </c>
      <c r="K35">
        <v>763.87</v>
      </c>
      <c r="L35">
        <v>4.84</v>
      </c>
      <c r="M35">
        <v>34.020000000000003</v>
      </c>
      <c r="N35">
        <v>90.42</v>
      </c>
      <c r="O35">
        <v>90.42</v>
      </c>
      <c r="P35">
        <v>8.31</v>
      </c>
      <c r="Q35">
        <v>6.6681099999999997E-3</v>
      </c>
      <c r="R35">
        <v>0.1875</v>
      </c>
    </row>
    <row r="36" spans="1:18" x14ac:dyDescent="0.25">
      <c r="A36" s="1">
        <v>40664</v>
      </c>
      <c r="B36">
        <v>6340</v>
      </c>
      <c r="C36">
        <v>3576630020.0300002</v>
      </c>
      <c r="D36">
        <v>94.275700000000001</v>
      </c>
      <c r="E36">
        <v>0.1152</v>
      </c>
      <c r="F36">
        <v>-12.930199999999999</v>
      </c>
      <c r="G36">
        <v>69.349999999999994</v>
      </c>
      <c r="H36">
        <v>5.77</v>
      </c>
      <c r="I36">
        <v>576746.71</v>
      </c>
      <c r="J36">
        <v>69.39</v>
      </c>
      <c r="K36">
        <v>763.36</v>
      </c>
      <c r="L36">
        <v>4.8600000000000003</v>
      </c>
      <c r="M36">
        <v>34.1</v>
      </c>
      <c r="N36">
        <v>91.16</v>
      </c>
      <c r="O36">
        <v>91.16</v>
      </c>
      <c r="P36">
        <v>8.02</v>
      </c>
      <c r="Q36">
        <v>5.0314399999999999E-3</v>
      </c>
      <c r="R36">
        <v>0.18529999999999999</v>
      </c>
    </row>
    <row r="37" spans="1:18" x14ac:dyDescent="0.25">
      <c r="A37" s="1">
        <v>40695</v>
      </c>
      <c r="B37">
        <v>7541</v>
      </c>
      <c r="C37">
        <v>4260877641.2600002</v>
      </c>
      <c r="D37">
        <v>94.401399999999995</v>
      </c>
      <c r="E37">
        <v>0.11269999999999999</v>
      </c>
      <c r="F37">
        <v>-8.7006999999999994</v>
      </c>
      <c r="G37">
        <v>62.31</v>
      </c>
      <c r="H37">
        <v>5.87</v>
      </c>
      <c r="I37">
        <v>576851.26</v>
      </c>
      <c r="J37">
        <v>69.02</v>
      </c>
      <c r="K37">
        <v>763.39</v>
      </c>
      <c r="L37">
        <v>4.88</v>
      </c>
      <c r="M37">
        <v>34.1</v>
      </c>
      <c r="N37">
        <v>91.94</v>
      </c>
      <c r="O37">
        <v>91.94</v>
      </c>
      <c r="P37">
        <v>6.84</v>
      </c>
      <c r="Q37">
        <v>6.9971800000000004E-3</v>
      </c>
      <c r="R37">
        <v>0.1827</v>
      </c>
    </row>
    <row r="38" spans="1:18" x14ac:dyDescent="0.25">
      <c r="A38" s="1">
        <v>40725</v>
      </c>
      <c r="B38">
        <v>8939</v>
      </c>
      <c r="C38">
        <v>5049480205.1800003</v>
      </c>
      <c r="D38">
        <v>94.422700000000006</v>
      </c>
      <c r="E38">
        <v>0.1123</v>
      </c>
      <c r="F38">
        <v>14.190899999999999</v>
      </c>
      <c r="G38">
        <v>59.29</v>
      </c>
      <c r="H38">
        <v>5.9</v>
      </c>
      <c r="I38">
        <v>574451.80000000005</v>
      </c>
      <c r="J38">
        <v>68.89</v>
      </c>
      <c r="K38">
        <v>763.66</v>
      </c>
      <c r="L38">
        <v>4.8899999999999997</v>
      </c>
      <c r="M38">
        <v>34.28</v>
      </c>
      <c r="N38">
        <v>92.79</v>
      </c>
      <c r="O38">
        <v>92.79</v>
      </c>
      <c r="P38">
        <v>19.43</v>
      </c>
      <c r="Q38">
        <v>1.0736269999999999E-2</v>
      </c>
      <c r="R38">
        <v>0.18190000000000001</v>
      </c>
    </row>
    <row r="39" spans="1:18" x14ac:dyDescent="0.25">
      <c r="A39" s="1">
        <v>40756</v>
      </c>
      <c r="B39">
        <v>9841</v>
      </c>
      <c r="C39">
        <v>5563680395.6199999</v>
      </c>
      <c r="D39">
        <v>94.374200000000002</v>
      </c>
      <c r="E39">
        <v>0.11219999999999999</v>
      </c>
      <c r="F39">
        <v>26.564399999999999</v>
      </c>
      <c r="G39">
        <v>62.27</v>
      </c>
      <c r="H39">
        <v>6.27</v>
      </c>
      <c r="I39">
        <v>572130.57999999996</v>
      </c>
      <c r="J39">
        <v>68.930000000000007</v>
      </c>
      <c r="K39">
        <v>763.95</v>
      </c>
      <c r="L39">
        <v>4.88</v>
      </c>
      <c r="M39">
        <v>34.32</v>
      </c>
      <c r="N39">
        <v>93.62</v>
      </c>
      <c r="O39">
        <v>93.62</v>
      </c>
      <c r="P39">
        <v>25.62</v>
      </c>
      <c r="Q39">
        <v>1.523067E-2</v>
      </c>
      <c r="R39">
        <v>0.18099999999999999</v>
      </c>
    </row>
    <row r="40" spans="1:18" x14ac:dyDescent="0.25">
      <c r="A40" s="1">
        <v>40787</v>
      </c>
      <c r="B40">
        <v>10616</v>
      </c>
      <c r="C40">
        <v>6013879181.4799995</v>
      </c>
      <c r="D40">
        <v>94.461100000000002</v>
      </c>
      <c r="E40">
        <v>0.1125</v>
      </c>
      <c r="F40">
        <v>21.312799999999999</v>
      </c>
      <c r="G40">
        <v>64.739999999999995</v>
      </c>
      <c r="H40">
        <v>6.72</v>
      </c>
      <c r="I40">
        <v>570480.65</v>
      </c>
      <c r="J40">
        <v>68.819999999999993</v>
      </c>
      <c r="K40">
        <v>764.04</v>
      </c>
      <c r="L40">
        <v>4.8600000000000003</v>
      </c>
      <c r="M40">
        <v>34.36</v>
      </c>
      <c r="N40">
        <v>94.47</v>
      </c>
      <c r="O40">
        <v>94.47</v>
      </c>
      <c r="P40">
        <v>19.760000000000002</v>
      </c>
      <c r="Q40">
        <v>2.06526E-2</v>
      </c>
      <c r="R40">
        <v>0.18</v>
      </c>
    </row>
    <row r="41" spans="1:18" x14ac:dyDescent="0.25">
      <c r="A41" s="1">
        <v>40817</v>
      </c>
      <c r="B41">
        <v>11724</v>
      </c>
      <c r="C41">
        <v>6629911151.9899998</v>
      </c>
      <c r="D41">
        <v>94.400999999999996</v>
      </c>
      <c r="E41">
        <v>0.11600000000000001</v>
      </c>
      <c r="F41">
        <v>44.248600000000003</v>
      </c>
      <c r="G41">
        <v>71.41</v>
      </c>
      <c r="H41">
        <v>6.98</v>
      </c>
      <c r="I41">
        <v>545508.88</v>
      </c>
      <c r="J41">
        <v>69.069999999999993</v>
      </c>
      <c r="K41">
        <v>763.88</v>
      </c>
      <c r="L41">
        <v>4.84</v>
      </c>
      <c r="M41">
        <v>34.44</v>
      </c>
      <c r="N41">
        <v>94.5</v>
      </c>
      <c r="O41">
        <v>94.5</v>
      </c>
      <c r="P41">
        <v>43.68</v>
      </c>
      <c r="Q41">
        <v>5.7831880000000002E-2</v>
      </c>
      <c r="R41">
        <v>0.18329999999999999</v>
      </c>
    </row>
    <row r="42" spans="1:18" x14ac:dyDescent="0.25">
      <c r="A42" s="1">
        <v>40848</v>
      </c>
      <c r="B42">
        <v>12891</v>
      </c>
      <c r="C42">
        <v>7276259874.0600004</v>
      </c>
      <c r="D42">
        <v>94.546800000000005</v>
      </c>
      <c r="E42">
        <v>0.1179</v>
      </c>
      <c r="F42">
        <v>53.885300000000001</v>
      </c>
      <c r="G42">
        <v>79.150000000000006</v>
      </c>
      <c r="H42">
        <v>6.99</v>
      </c>
      <c r="I42">
        <v>561276.61</v>
      </c>
      <c r="J42">
        <v>69.11</v>
      </c>
      <c r="K42">
        <v>764.15</v>
      </c>
      <c r="L42">
        <v>4.78</v>
      </c>
      <c r="M42">
        <v>34.29</v>
      </c>
      <c r="N42">
        <v>94.53</v>
      </c>
      <c r="O42">
        <v>94.53</v>
      </c>
      <c r="P42">
        <v>50.76</v>
      </c>
      <c r="Q42">
        <v>3.3680719999999997E-2</v>
      </c>
      <c r="R42">
        <v>0.1865</v>
      </c>
    </row>
    <row r="43" spans="1:18" x14ac:dyDescent="0.25">
      <c r="A43" s="1">
        <v>40878</v>
      </c>
      <c r="B43">
        <v>14106</v>
      </c>
      <c r="C43">
        <v>7936042039.9200001</v>
      </c>
      <c r="D43">
        <v>94.600099999999998</v>
      </c>
      <c r="E43">
        <v>0.11849999999999999</v>
      </c>
      <c r="F43">
        <v>44.638599999999997</v>
      </c>
      <c r="G43">
        <v>86.93</v>
      </c>
      <c r="H43">
        <v>7.22</v>
      </c>
      <c r="I43">
        <v>564194.68999999994</v>
      </c>
      <c r="J43">
        <v>69.17</v>
      </c>
      <c r="K43">
        <v>764.69</v>
      </c>
      <c r="L43">
        <v>4.7300000000000004</v>
      </c>
      <c r="M43">
        <v>34.18</v>
      </c>
      <c r="N43">
        <v>94.56</v>
      </c>
      <c r="O43">
        <v>94.56</v>
      </c>
      <c r="P43">
        <v>42.63</v>
      </c>
      <c r="Q43">
        <v>2.480951E-2</v>
      </c>
      <c r="R43">
        <v>0.1905</v>
      </c>
    </row>
    <row r="44" spans="1:18" x14ac:dyDescent="0.25">
      <c r="A44" s="1">
        <v>40909</v>
      </c>
      <c r="B44">
        <v>14780</v>
      </c>
      <c r="C44">
        <v>8282084242.0299997</v>
      </c>
      <c r="D44">
        <v>94.575199999999995</v>
      </c>
      <c r="E44">
        <v>0.11600000000000001</v>
      </c>
      <c r="F44">
        <v>56.418399999999998</v>
      </c>
      <c r="G44">
        <v>99.1</v>
      </c>
      <c r="H44">
        <v>7.75</v>
      </c>
      <c r="I44">
        <v>563297.06999999995</v>
      </c>
      <c r="J44">
        <v>69.03</v>
      </c>
      <c r="K44">
        <v>764.75</v>
      </c>
      <c r="L44">
        <v>4.7</v>
      </c>
      <c r="M44">
        <v>34.07</v>
      </c>
      <c r="N44">
        <v>94.49</v>
      </c>
      <c r="O44">
        <v>94.49</v>
      </c>
      <c r="P44">
        <v>54.75</v>
      </c>
      <c r="Q44">
        <v>2.2421400000000001E-2</v>
      </c>
      <c r="R44">
        <v>0.19120000000000001</v>
      </c>
    </row>
    <row r="45" spans="1:18" x14ac:dyDescent="0.25">
      <c r="A45" s="1">
        <v>40940</v>
      </c>
      <c r="B45">
        <v>16672</v>
      </c>
      <c r="C45">
        <v>9267256931.6299992</v>
      </c>
      <c r="D45">
        <v>94.912800000000004</v>
      </c>
      <c r="E45">
        <v>0.11219999999999999</v>
      </c>
      <c r="F45">
        <v>56.385300000000001</v>
      </c>
      <c r="G45">
        <v>104.76</v>
      </c>
      <c r="H45">
        <v>7.79</v>
      </c>
      <c r="I45">
        <v>557540.27</v>
      </c>
      <c r="J45">
        <v>68.739999999999995</v>
      </c>
      <c r="K45">
        <v>765.33</v>
      </c>
      <c r="L45">
        <v>4.6399999999999997</v>
      </c>
      <c r="M45">
        <v>33.840000000000003</v>
      </c>
      <c r="N45">
        <v>94.42</v>
      </c>
      <c r="O45">
        <v>94.42</v>
      </c>
      <c r="P45">
        <v>49.91</v>
      </c>
      <c r="Q45">
        <v>2.323273E-2</v>
      </c>
      <c r="R45">
        <v>0.1928</v>
      </c>
    </row>
    <row r="46" spans="1:18" x14ac:dyDescent="0.25">
      <c r="A46" s="1">
        <v>40969</v>
      </c>
      <c r="B46">
        <v>18042</v>
      </c>
      <c r="C46">
        <v>9986128825.1000004</v>
      </c>
      <c r="D46">
        <v>95.154899999999998</v>
      </c>
      <c r="E46">
        <v>0.1094</v>
      </c>
      <c r="F46">
        <v>56.7759</v>
      </c>
      <c r="G46">
        <v>112.31</v>
      </c>
      <c r="H46">
        <v>8.06</v>
      </c>
      <c r="I46">
        <v>549761.62</v>
      </c>
      <c r="J46">
        <v>68.36</v>
      </c>
      <c r="K46">
        <v>765.97</v>
      </c>
      <c r="L46">
        <v>4.59</v>
      </c>
      <c r="M46">
        <v>33.68</v>
      </c>
      <c r="N46">
        <v>94.31</v>
      </c>
      <c r="O46">
        <v>94.31</v>
      </c>
      <c r="P46">
        <v>54.92</v>
      </c>
      <c r="Q46">
        <v>3.1389830000000001E-2</v>
      </c>
      <c r="R46">
        <v>0.19400000000000001</v>
      </c>
    </row>
    <row r="47" spans="1:18" x14ac:dyDescent="0.25">
      <c r="A47" s="1">
        <v>41000</v>
      </c>
      <c r="B47">
        <v>19964</v>
      </c>
      <c r="C47">
        <v>10993804520.98</v>
      </c>
      <c r="D47">
        <v>95.213300000000004</v>
      </c>
      <c r="E47">
        <v>0.1042</v>
      </c>
      <c r="F47">
        <v>55.714399999999998</v>
      </c>
      <c r="G47">
        <v>114.65</v>
      </c>
      <c r="H47">
        <v>8.0399999999999991</v>
      </c>
      <c r="I47">
        <v>548539.52</v>
      </c>
      <c r="J47">
        <v>67.06</v>
      </c>
      <c r="K47">
        <v>766.23</v>
      </c>
      <c r="L47">
        <v>4.53</v>
      </c>
      <c r="M47">
        <v>33.51</v>
      </c>
      <c r="N47">
        <v>94.39</v>
      </c>
      <c r="O47">
        <v>94.39</v>
      </c>
      <c r="P47">
        <v>52.23</v>
      </c>
      <c r="Q47">
        <v>2.7402989999999999E-2</v>
      </c>
      <c r="R47">
        <v>0.18579999999999999</v>
      </c>
    </row>
    <row r="48" spans="1:18" x14ac:dyDescent="0.25">
      <c r="A48" s="1">
        <v>41030</v>
      </c>
      <c r="B48">
        <v>20269</v>
      </c>
      <c r="C48">
        <v>11137309466.620001</v>
      </c>
      <c r="D48">
        <v>95.224599999999995</v>
      </c>
      <c r="E48">
        <v>9.9400000000000002E-2</v>
      </c>
      <c r="F48">
        <v>48.629600000000003</v>
      </c>
      <c r="G48">
        <v>122.32</v>
      </c>
      <c r="H48">
        <v>8.6300000000000008</v>
      </c>
      <c r="I48">
        <v>551772.59</v>
      </c>
      <c r="J48">
        <v>65.92</v>
      </c>
      <c r="K48">
        <v>766.2</v>
      </c>
      <c r="L48">
        <v>4.5</v>
      </c>
      <c r="M48">
        <v>33.46</v>
      </c>
      <c r="N48">
        <v>94.49</v>
      </c>
      <c r="O48">
        <v>94.49</v>
      </c>
      <c r="P48">
        <v>43.06</v>
      </c>
      <c r="Q48">
        <v>1.9436229999999999E-2</v>
      </c>
      <c r="R48">
        <v>0.17810000000000001</v>
      </c>
    </row>
    <row r="49" spans="1:18" x14ac:dyDescent="0.25">
      <c r="A49" s="1">
        <v>41061</v>
      </c>
      <c r="B49">
        <v>21249</v>
      </c>
      <c r="C49">
        <v>11637319998.51</v>
      </c>
      <c r="D49">
        <v>95.113900000000001</v>
      </c>
      <c r="E49">
        <v>9.5399999999999999E-2</v>
      </c>
      <c r="F49">
        <v>54.267400000000002</v>
      </c>
      <c r="G49">
        <v>128.72</v>
      </c>
      <c r="H49">
        <v>9.0500000000000007</v>
      </c>
      <c r="I49">
        <v>547583.77</v>
      </c>
      <c r="J49">
        <v>65.03</v>
      </c>
      <c r="K49">
        <v>766.34</v>
      </c>
      <c r="L49">
        <v>4.4800000000000004</v>
      </c>
      <c r="M49">
        <v>33.43</v>
      </c>
      <c r="N49">
        <v>94.6</v>
      </c>
      <c r="O49">
        <v>94.6</v>
      </c>
      <c r="P49">
        <v>49.5</v>
      </c>
      <c r="Q49">
        <v>2.3303520000000001E-2</v>
      </c>
      <c r="R49">
        <v>0.1709</v>
      </c>
    </row>
    <row r="50" spans="1:18" x14ac:dyDescent="0.25">
      <c r="A50" s="1">
        <v>41091</v>
      </c>
      <c r="B50">
        <v>22616</v>
      </c>
      <c r="C50">
        <v>12346947395.690001</v>
      </c>
      <c r="D50">
        <v>95.139499999999998</v>
      </c>
      <c r="E50">
        <v>9.06E-2</v>
      </c>
      <c r="F50">
        <v>61.827199999999998</v>
      </c>
      <c r="G50">
        <v>135.05000000000001</v>
      </c>
      <c r="H50">
        <v>9.34</v>
      </c>
      <c r="I50">
        <v>541126.77</v>
      </c>
      <c r="J50">
        <v>64.89</v>
      </c>
      <c r="K50">
        <v>766.46</v>
      </c>
      <c r="L50">
        <v>4.4400000000000004</v>
      </c>
      <c r="M50">
        <v>33.43</v>
      </c>
      <c r="N50">
        <v>94.91</v>
      </c>
      <c r="O50">
        <v>94.91</v>
      </c>
      <c r="P50">
        <v>59.71</v>
      </c>
      <c r="Q50">
        <v>3.1178959999999999E-2</v>
      </c>
      <c r="R50">
        <v>0.17</v>
      </c>
    </row>
    <row r="51" spans="1:18" x14ac:dyDescent="0.25">
      <c r="A51" s="1">
        <v>41122</v>
      </c>
      <c r="B51">
        <v>23201</v>
      </c>
      <c r="C51">
        <v>12632374056.389999</v>
      </c>
      <c r="D51">
        <v>94.953699999999998</v>
      </c>
      <c r="E51">
        <v>8.9800000000000005E-2</v>
      </c>
      <c r="F51">
        <v>72.973500000000001</v>
      </c>
      <c r="G51">
        <v>146.59</v>
      </c>
      <c r="H51">
        <v>9.7899999999999991</v>
      </c>
      <c r="I51">
        <v>534427.73</v>
      </c>
      <c r="J51">
        <v>64.63</v>
      </c>
      <c r="K51">
        <v>766.36</v>
      </c>
      <c r="L51">
        <v>4.42</v>
      </c>
      <c r="M51">
        <v>33.39</v>
      </c>
      <c r="N51">
        <v>95.23</v>
      </c>
      <c r="O51">
        <v>95.23</v>
      </c>
      <c r="P51">
        <v>65.86</v>
      </c>
      <c r="Q51">
        <v>3.9740249999999998E-2</v>
      </c>
      <c r="R51">
        <v>0.16900000000000001</v>
      </c>
    </row>
    <row r="52" spans="1:18" x14ac:dyDescent="0.25">
      <c r="A52" s="1">
        <v>41153</v>
      </c>
      <c r="B52">
        <v>23826</v>
      </c>
      <c r="C52">
        <v>12932887655.59</v>
      </c>
      <c r="D52">
        <v>94.807599999999994</v>
      </c>
      <c r="E52">
        <v>9.0399999999999994E-2</v>
      </c>
      <c r="F52">
        <v>81.734800000000007</v>
      </c>
      <c r="G52">
        <v>159.54</v>
      </c>
      <c r="H52">
        <v>10.14</v>
      </c>
      <c r="I52">
        <v>525682.53</v>
      </c>
      <c r="J52">
        <v>64.459999999999994</v>
      </c>
      <c r="K52">
        <v>766.22</v>
      </c>
      <c r="L52">
        <v>4.38</v>
      </c>
      <c r="M52">
        <v>33.409999999999997</v>
      </c>
      <c r="N52">
        <v>95.53</v>
      </c>
      <c r="O52">
        <v>95.53</v>
      </c>
      <c r="P52">
        <v>73.319999999999993</v>
      </c>
      <c r="Q52">
        <v>5.2368520000000002E-2</v>
      </c>
      <c r="R52">
        <v>0.16789999999999999</v>
      </c>
    </row>
    <row r="53" spans="1:18" x14ac:dyDescent="0.25">
      <c r="A53" s="1">
        <v>41183</v>
      </c>
      <c r="B53">
        <v>25203</v>
      </c>
      <c r="C53">
        <v>13643273007.6</v>
      </c>
      <c r="D53">
        <v>94.779799999999994</v>
      </c>
      <c r="E53">
        <v>9.0300000000000005E-2</v>
      </c>
      <c r="F53">
        <v>72.823099999999997</v>
      </c>
      <c r="G53">
        <v>163.96</v>
      </c>
      <c r="H53">
        <v>10.11</v>
      </c>
      <c r="I53">
        <v>531116.99</v>
      </c>
      <c r="J53">
        <v>64.260000000000005</v>
      </c>
      <c r="K53">
        <v>766.39</v>
      </c>
      <c r="L53">
        <v>4.33</v>
      </c>
      <c r="M53">
        <v>33.299999999999997</v>
      </c>
      <c r="N53">
        <v>96.29</v>
      </c>
      <c r="O53">
        <v>96.29</v>
      </c>
      <c r="P53">
        <v>59.8</v>
      </c>
      <c r="Q53">
        <v>3.9619740000000001E-2</v>
      </c>
      <c r="R53">
        <v>0.16969999999999999</v>
      </c>
    </row>
    <row r="54" spans="1:18" x14ac:dyDescent="0.25">
      <c r="A54" s="1">
        <v>41214</v>
      </c>
      <c r="B54">
        <v>27445</v>
      </c>
      <c r="C54">
        <v>14818224709.84</v>
      </c>
      <c r="D54">
        <v>94.9041</v>
      </c>
      <c r="E54">
        <v>8.8800000000000004E-2</v>
      </c>
      <c r="F54">
        <v>77.349500000000006</v>
      </c>
      <c r="G54">
        <v>166.91</v>
      </c>
      <c r="H54">
        <v>9.91</v>
      </c>
      <c r="I54">
        <v>525754.68999999994</v>
      </c>
      <c r="J54">
        <v>63.94</v>
      </c>
      <c r="K54">
        <v>766.61</v>
      </c>
      <c r="L54">
        <v>4.2699999999999996</v>
      </c>
      <c r="M54">
        <v>33.17</v>
      </c>
      <c r="N54">
        <v>97.03</v>
      </c>
      <c r="O54">
        <v>97.03</v>
      </c>
      <c r="P54">
        <v>67.959999999999994</v>
      </c>
      <c r="Q54">
        <v>4.6066459999999997E-2</v>
      </c>
      <c r="R54">
        <v>0.1706</v>
      </c>
    </row>
    <row r="55" spans="1:18" x14ac:dyDescent="0.25">
      <c r="A55" s="1">
        <v>41244</v>
      </c>
      <c r="B55">
        <v>29721</v>
      </c>
      <c r="C55">
        <v>16022956532.57</v>
      </c>
      <c r="D55">
        <v>95.049899999999994</v>
      </c>
      <c r="E55">
        <v>8.6599999999999996E-2</v>
      </c>
      <c r="F55">
        <v>79.998999999999995</v>
      </c>
      <c r="G55">
        <v>170.62</v>
      </c>
      <c r="H55">
        <v>9.7100000000000009</v>
      </c>
      <c r="I55">
        <v>528453.55000000005</v>
      </c>
      <c r="J55">
        <v>63.57</v>
      </c>
      <c r="K55">
        <v>767.09</v>
      </c>
      <c r="L55">
        <v>4.1900000000000004</v>
      </c>
      <c r="M55">
        <v>33.020000000000003</v>
      </c>
      <c r="N55">
        <v>97.79</v>
      </c>
      <c r="O55">
        <v>97.79</v>
      </c>
      <c r="P55">
        <v>74.489999999999995</v>
      </c>
      <c r="Q55">
        <v>3.923517E-2</v>
      </c>
      <c r="R55">
        <v>0.1734</v>
      </c>
    </row>
    <row r="56" spans="1:18" x14ac:dyDescent="0.25">
      <c r="A56" s="1">
        <v>41275</v>
      </c>
      <c r="B56">
        <v>29639</v>
      </c>
      <c r="C56">
        <v>15942873878.620001</v>
      </c>
      <c r="D56">
        <v>94.981499999999997</v>
      </c>
      <c r="E56">
        <v>8.4400000000000003E-2</v>
      </c>
      <c r="F56">
        <v>81.2059</v>
      </c>
      <c r="G56">
        <v>186.49</v>
      </c>
      <c r="H56">
        <v>10.27</v>
      </c>
      <c r="I56">
        <v>526951.74</v>
      </c>
      <c r="J56">
        <v>63.06</v>
      </c>
      <c r="K56">
        <v>766.86</v>
      </c>
      <c r="L56">
        <v>4.17</v>
      </c>
      <c r="M56">
        <v>33.04</v>
      </c>
      <c r="N56">
        <v>99.28</v>
      </c>
      <c r="O56">
        <v>99.28</v>
      </c>
      <c r="P56">
        <v>72.78</v>
      </c>
      <c r="Q56">
        <v>3.9685289999999998E-2</v>
      </c>
      <c r="R56">
        <v>0.1721</v>
      </c>
    </row>
    <row r="57" spans="1:18" x14ac:dyDescent="0.25">
      <c r="A57" s="1">
        <v>41306</v>
      </c>
      <c r="B57">
        <v>30934</v>
      </c>
      <c r="C57">
        <v>16602135755.85</v>
      </c>
      <c r="D57">
        <v>95.071399999999997</v>
      </c>
      <c r="E57">
        <v>8.3000000000000004E-2</v>
      </c>
      <c r="F57">
        <v>77.0428</v>
      </c>
      <c r="G57">
        <v>193.6</v>
      </c>
      <c r="H57">
        <v>10.42</v>
      </c>
      <c r="I57">
        <v>525655.43999999994</v>
      </c>
      <c r="J57">
        <v>62.78</v>
      </c>
      <c r="K57">
        <v>767.01</v>
      </c>
      <c r="L57">
        <v>4.12</v>
      </c>
      <c r="M57">
        <v>32.950000000000003</v>
      </c>
      <c r="N57">
        <v>100.8</v>
      </c>
      <c r="O57">
        <v>100.8</v>
      </c>
      <c r="P57">
        <v>67.34</v>
      </c>
      <c r="Q57">
        <v>3.9111739999999999E-2</v>
      </c>
      <c r="R57">
        <v>0.1724</v>
      </c>
    </row>
    <row r="58" spans="1:18" x14ac:dyDescent="0.25">
      <c r="A58" s="1">
        <v>41334</v>
      </c>
      <c r="B58">
        <v>31709</v>
      </c>
      <c r="C58">
        <v>16976974663.6</v>
      </c>
      <c r="D58">
        <v>95.058899999999994</v>
      </c>
      <c r="E58">
        <v>8.2299999999999998E-2</v>
      </c>
      <c r="F58">
        <v>66.641000000000005</v>
      </c>
      <c r="G58">
        <v>199.93</v>
      </c>
      <c r="H58">
        <v>10.72</v>
      </c>
      <c r="I58">
        <v>531976</v>
      </c>
      <c r="J58">
        <v>62.49</v>
      </c>
      <c r="K58">
        <v>767.01</v>
      </c>
      <c r="L58">
        <v>4.08</v>
      </c>
      <c r="M58">
        <v>32.89</v>
      </c>
      <c r="N58">
        <v>102.33</v>
      </c>
      <c r="O58">
        <v>102.33</v>
      </c>
      <c r="P58">
        <v>57.35</v>
      </c>
      <c r="Q58">
        <v>2.5390579999999999E-2</v>
      </c>
      <c r="R58">
        <v>0.17219999999999999</v>
      </c>
    </row>
    <row r="59" spans="1:18" x14ac:dyDescent="0.25">
      <c r="A59" s="1">
        <v>41365</v>
      </c>
      <c r="B59">
        <v>33403</v>
      </c>
      <c r="C59">
        <v>17848716604.490002</v>
      </c>
      <c r="D59">
        <v>95.002099999999999</v>
      </c>
      <c r="E59">
        <v>7.8399999999999997E-2</v>
      </c>
      <c r="F59">
        <v>49.892099999999999</v>
      </c>
      <c r="G59">
        <v>197.81</v>
      </c>
      <c r="H59">
        <v>10.87</v>
      </c>
      <c r="I59">
        <v>531161.43000000005</v>
      </c>
      <c r="J59">
        <v>61.54</v>
      </c>
      <c r="K59">
        <v>766.96</v>
      </c>
      <c r="L59">
        <v>4.05</v>
      </c>
      <c r="M59">
        <v>32.880000000000003</v>
      </c>
      <c r="N59">
        <v>103.94</v>
      </c>
      <c r="O59">
        <v>103.94</v>
      </c>
      <c r="P59">
        <v>41.59</v>
      </c>
      <c r="Q59">
        <v>2.4237069999999999E-2</v>
      </c>
      <c r="R59">
        <v>0.16500000000000001</v>
      </c>
    </row>
    <row r="60" spans="1:18" x14ac:dyDescent="0.25">
      <c r="A60" s="1">
        <v>41395</v>
      </c>
      <c r="B60">
        <v>33685</v>
      </c>
      <c r="C60">
        <v>17960688007.32</v>
      </c>
      <c r="D60">
        <v>94.930099999999996</v>
      </c>
      <c r="E60">
        <v>7.51E-2</v>
      </c>
      <c r="F60">
        <v>46.325200000000002</v>
      </c>
      <c r="G60">
        <v>201.22</v>
      </c>
      <c r="H60">
        <v>11.4</v>
      </c>
      <c r="I60">
        <v>531348.38</v>
      </c>
      <c r="J60">
        <v>60.48</v>
      </c>
      <c r="K60">
        <v>766.8</v>
      </c>
      <c r="L60">
        <v>4.03</v>
      </c>
      <c r="M60">
        <v>32.89</v>
      </c>
      <c r="N60">
        <v>105.59</v>
      </c>
      <c r="O60">
        <v>105.59</v>
      </c>
      <c r="P60">
        <v>35.08</v>
      </c>
      <c r="Q60">
        <v>2.1812809999999998E-2</v>
      </c>
      <c r="R60">
        <v>0.1593</v>
      </c>
    </row>
    <row r="61" spans="1:18" x14ac:dyDescent="0.25">
      <c r="A61" s="1">
        <v>41426</v>
      </c>
      <c r="B61">
        <v>34347</v>
      </c>
      <c r="C61">
        <v>18275425592.080002</v>
      </c>
      <c r="D61">
        <v>94.847200000000001</v>
      </c>
      <c r="E61">
        <v>7.1999999999999995E-2</v>
      </c>
      <c r="F61">
        <v>57.413899999999998</v>
      </c>
      <c r="G61">
        <v>205.81</v>
      </c>
      <c r="H61">
        <v>11.82</v>
      </c>
      <c r="I61">
        <v>526339.68999999994</v>
      </c>
      <c r="J61">
        <v>59.64</v>
      </c>
      <c r="K61">
        <v>766.7</v>
      </c>
      <c r="L61">
        <v>4.01</v>
      </c>
      <c r="M61">
        <v>32.909999999999997</v>
      </c>
      <c r="N61">
        <v>107.25</v>
      </c>
      <c r="O61">
        <v>107.25</v>
      </c>
      <c r="P61">
        <v>46.09</v>
      </c>
      <c r="Q61">
        <v>2.8982520000000001E-2</v>
      </c>
      <c r="R61">
        <v>0.1547</v>
      </c>
    </row>
    <row r="62" spans="1:18" x14ac:dyDescent="0.25">
      <c r="A62" s="1">
        <v>41456</v>
      </c>
      <c r="B62">
        <v>34739</v>
      </c>
      <c r="C62">
        <v>18453141238.459999</v>
      </c>
      <c r="D62">
        <v>94.762900000000002</v>
      </c>
      <c r="E62">
        <v>7.1300000000000002E-2</v>
      </c>
      <c r="F62">
        <v>47.895600000000002</v>
      </c>
      <c r="G62">
        <v>207.99</v>
      </c>
      <c r="H62">
        <v>12.22</v>
      </c>
      <c r="I62">
        <v>529334.79</v>
      </c>
      <c r="J62">
        <v>59.39</v>
      </c>
      <c r="K62">
        <v>766.53</v>
      </c>
      <c r="L62">
        <v>4</v>
      </c>
      <c r="M62">
        <v>32.94</v>
      </c>
      <c r="N62">
        <v>108.49</v>
      </c>
      <c r="O62">
        <v>108.49</v>
      </c>
      <c r="P62">
        <v>38.53</v>
      </c>
      <c r="Q62">
        <v>2.17964E-2</v>
      </c>
      <c r="R62">
        <v>0.15490000000000001</v>
      </c>
    </row>
    <row r="63" spans="1:18" x14ac:dyDescent="0.25">
      <c r="A63" s="1">
        <v>41487</v>
      </c>
      <c r="B63">
        <v>35351</v>
      </c>
      <c r="C63">
        <v>18743760650.830002</v>
      </c>
      <c r="D63">
        <v>94.626499999999993</v>
      </c>
      <c r="E63">
        <v>7.1499999999999994E-2</v>
      </c>
      <c r="F63">
        <v>-7.5282</v>
      </c>
      <c r="G63">
        <v>201.14</v>
      </c>
      <c r="H63">
        <v>12.66</v>
      </c>
      <c r="I63">
        <v>532687.69999999995</v>
      </c>
      <c r="J63">
        <v>59.12</v>
      </c>
      <c r="K63">
        <v>766.27</v>
      </c>
      <c r="L63">
        <v>3.98</v>
      </c>
      <c r="M63">
        <v>32.979999999999997</v>
      </c>
      <c r="N63">
        <v>109.72</v>
      </c>
      <c r="O63">
        <v>109.72</v>
      </c>
      <c r="P63">
        <v>11.17</v>
      </c>
      <c r="Q63">
        <v>1.3663089999999999E-2</v>
      </c>
      <c r="R63">
        <v>0.1532</v>
      </c>
    </row>
    <row r="64" spans="1:18" x14ac:dyDescent="0.25">
      <c r="A64" s="1">
        <v>41518</v>
      </c>
      <c r="B64">
        <v>36086</v>
      </c>
      <c r="C64">
        <v>19099094161.919998</v>
      </c>
      <c r="D64">
        <v>94.561800000000005</v>
      </c>
      <c r="E64">
        <v>6.9900000000000004E-2</v>
      </c>
      <c r="F64">
        <v>-38.249000000000002</v>
      </c>
      <c r="G64">
        <v>192.84</v>
      </c>
      <c r="H64">
        <v>13.15</v>
      </c>
      <c r="I64">
        <v>534868.55000000005</v>
      </c>
      <c r="J64">
        <v>58.85</v>
      </c>
      <c r="K64">
        <v>766.16</v>
      </c>
      <c r="L64">
        <v>3.98</v>
      </c>
      <c r="M64">
        <v>33.01</v>
      </c>
      <c r="N64">
        <v>110.92</v>
      </c>
      <c r="O64">
        <v>110.92</v>
      </c>
      <c r="P64">
        <v>6.02</v>
      </c>
      <c r="Q64">
        <v>7.9794900000000005E-3</v>
      </c>
      <c r="R64">
        <v>0.15160000000000001</v>
      </c>
    </row>
    <row r="65" spans="1:18" x14ac:dyDescent="0.25">
      <c r="A65" s="1">
        <v>41548</v>
      </c>
      <c r="B65">
        <v>36625</v>
      </c>
      <c r="C65">
        <v>19348624481.349998</v>
      </c>
      <c r="D65">
        <v>94.374600000000001</v>
      </c>
      <c r="E65">
        <v>7.2499999999999995E-2</v>
      </c>
      <c r="F65">
        <v>-47.128799999999998</v>
      </c>
      <c r="G65">
        <v>187.69</v>
      </c>
      <c r="H65">
        <v>13.8</v>
      </c>
      <c r="I65">
        <v>535601.77</v>
      </c>
      <c r="J65">
        <v>59.02</v>
      </c>
      <c r="K65">
        <v>765.95</v>
      </c>
      <c r="L65">
        <v>3.99</v>
      </c>
      <c r="M65">
        <v>33.08</v>
      </c>
      <c r="N65">
        <v>111.77</v>
      </c>
      <c r="O65">
        <v>111.77</v>
      </c>
      <c r="P65">
        <v>3.6</v>
      </c>
      <c r="Q65">
        <v>5.07129E-3</v>
      </c>
      <c r="R65">
        <v>0.1545</v>
      </c>
    </row>
    <row r="66" spans="1:18" x14ac:dyDescent="0.25">
      <c r="A66" s="1">
        <v>41579</v>
      </c>
      <c r="B66">
        <v>37245</v>
      </c>
      <c r="C66">
        <v>19640391661.049999</v>
      </c>
      <c r="D66">
        <v>94.279600000000002</v>
      </c>
      <c r="E66">
        <v>7.3599999999999999E-2</v>
      </c>
      <c r="F66">
        <v>-48.534399999999998</v>
      </c>
      <c r="G66">
        <v>183.89</v>
      </c>
      <c r="H66">
        <v>14.51</v>
      </c>
      <c r="I66">
        <v>534914.24</v>
      </c>
      <c r="J66">
        <v>59.11</v>
      </c>
      <c r="K66">
        <v>765.77</v>
      </c>
      <c r="L66">
        <v>3.99</v>
      </c>
      <c r="M66">
        <v>33.090000000000003</v>
      </c>
      <c r="N66">
        <v>112.6</v>
      </c>
      <c r="O66">
        <v>112.6</v>
      </c>
      <c r="P66">
        <v>3.55</v>
      </c>
      <c r="Q66">
        <v>4.5553099999999999E-3</v>
      </c>
      <c r="R66">
        <v>0.15670000000000001</v>
      </c>
    </row>
    <row r="67" spans="1:18" x14ac:dyDescent="0.25">
      <c r="A67" s="1">
        <v>41609</v>
      </c>
      <c r="B67">
        <v>37745</v>
      </c>
      <c r="C67">
        <v>19867249642.75</v>
      </c>
      <c r="D67">
        <v>94.241100000000003</v>
      </c>
      <c r="E67">
        <v>9.2299999999999993E-2</v>
      </c>
      <c r="F67">
        <v>-19.7681</v>
      </c>
      <c r="G67">
        <v>182.82</v>
      </c>
      <c r="H67">
        <v>15.22</v>
      </c>
      <c r="I67">
        <v>533407.6</v>
      </c>
      <c r="J67">
        <v>59.22</v>
      </c>
      <c r="K67">
        <v>765.61</v>
      </c>
      <c r="L67">
        <v>4</v>
      </c>
      <c r="M67">
        <v>33.130000000000003</v>
      </c>
      <c r="N67">
        <v>113.49</v>
      </c>
      <c r="O67">
        <v>113.49</v>
      </c>
      <c r="P67">
        <v>10.06</v>
      </c>
      <c r="Q67">
        <v>5.4437399999999999E-3</v>
      </c>
      <c r="R67">
        <v>0.18820000000000001</v>
      </c>
    </row>
    <row r="68" spans="1:18" x14ac:dyDescent="0.25">
      <c r="A68" s="1">
        <v>41640</v>
      </c>
      <c r="B68">
        <v>38516</v>
      </c>
      <c r="C68">
        <v>20234687154.330002</v>
      </c>
      <c r="D68">
        <v>94.209699999999998</v>
      </c>
      <c r="E68">
        <v>9.3799999999999994E-2</v>
      </c>
      <c r="F68">
        <v>-25.179200000000002</v>
      </c>
      <c r="G68">
        <v>180.36</v>
      </c>
      <c r="H68">
        <v>15.82</v>
      </c>
      <c r="I68">
        <v>532394.93999999994</v>
      </c>
      <c r="J68">
        <v>59.26</v>
      </c>
      <c r="K68">
        <v>765.37</v>
      </c>
      <c r="L68">
        <v>4.01</v>
      </c>
      <c r="M68">
        <v>33.22</v>
      </c>
      <c r="N68">
        <v>114.61</v>
      </c>
      <c r="O68">
        <v>114.61</v>
      </c>
      <c r="P68">
        <v>8.42</v>
      </c>
      <c r="Q68">
        <v>5.4120599999999998E-3</v>
      </c>
      <c r="R68">
        <v>0.18870000000000001</v>
      </c>
    </row>
    <row r="69" spans="1:18" x14ac:dyDescent="0.25">
      <c r="A69" s="1">
        <v>41671</v>
      </c>
      <c r="B69">
        <v>77389</v>
      </c>
      <c r="C69">
        <v>40635260968.080002</v>
      </c>
      <c r="D69">
        <v>96.121099999999998</v>
      </c>
      <c r="E69">
        <v>8.2000000000000003E-2</v>
      </c>
      <c r="F69">
        <v>-45.219200000000001</v>
      </c>
      <c r="G69">
        <v>105.07</v>
      </c>
      <c r="H69">
        <v>12.91</v>
      </c>
      <c r="I69">
        <v>532277.38</v>
      </c>
      <c r="J69">
        <v>58.44</v>
      </c>
      <c r="K69">
        <v>765.62</v>
      </c>
      <c r="L69">
        <v>3.96</v>
      </c>
      <c r="M69">
        <v>33.17</v>
      </c>
      <c r="N69">
        <v>116.37</v>
      </c>
      <c r="O69">
        <v>116.37</v>
      </c>
      <c r="P69">
        <v>4.07</v>
      </c>
      <c r="Q69">
        <v>3.6759800000000001E-3</v>
      </c>
      <c r="R69">
        <v>0.1948</v>
      </c>
    </row>
    <row r="70" spans="1:18" x14ac:dyDescent="0.25">
      <c r="A70" s="1">
        <v>41699</v>
      </c>
      <c r="B70">
        <v>78242</v>
      </c>
      <c r="C70">
        <v>40993834844.080002</v>
      </c>
      <c r="D70">
        <v>96.1023</v>
      </c>
      <c r="E70">
        <v>8.2199999999999995E-2</v>
      </c>
      <c r="F70">
        <v>-43.457500000000003</v>
      </c>
      <c r="G70">
        <v>105.27</v>
      </c>
      <c r="H70">
        <v>13.75</v>
      </c>
      <c r="I70">
        <v>531311.87</v>
      </c>
      <c r="J70">
        <v>58.37</v>
      </c>
      <c r="K70">
        <v>765.42</v>
      </c>
      <c r="L70">
        <v>3.97</v>
      </c>
      <c r="M70">
        <v>33.22</v>
      </c>
      <c r="N70">
        <v>117.48</v>
      </c>
      <c r="O70">
        <v>117.48</v>
      </c>
      <c r="P70">
        <v>4.22</v>
      </c>
      <c r="Q70">
        <v>3.4605500000000002E-3</v>
      </c>
      <c r="R70">
        <v>0.19600000000000001</v>
      </c>
    </row>
    <row r="71" spans="1:18" x14ac:dyDescent="0.25">
      <c r="A71" s="1">
        <v>41730</v>
      </c>
      <c r="B71">
        <v>79011</v>
      </c>
      <c r="C71">
        <v>41322222584.25</v>
      </c>
      <c r="D71">
        <v>96.085899999999995</v>
      </c>
      <c r="E71">
        <v>7.7299999999999994E-2</v>
      </c>
      <c r="F71">
        <v>-28.252099999999999</v>
      </c>
      <c r="G71">
        <v>105.94</v>
      </c>
      <c r="H71">
        <v>14.57</v>
      </c>
      <c r="I71">
        <v>529254.52</v>
      </c>
      <c r="J71">
        <v>58.09</v>
      </c>
      <c r="K71">
        <v>765.25</v>
      </c>
      <c r="L71">
        <v>3.98</v>
      </c>
      <c r="M71">
        <v>33.270000000000003</v>
      </c>
      <c r="N71">
        <v>118.45</v>
      </c>
      <c r="O71">
        <v>118.45</v>
      </c>
      <c r="P71">
        <v>6.77</v>
      </c>
      <c r="Q71">
        <v>5.56553E-3</v>
      </c>
      <c r="R71">
        <v>0.19589999999999999</v>
      </c>
    </row>
    <row r="72" spans="1:18" x14ac:dyDescent="0.25">
      <c r="A72" s="1">
        <v>41760</v>
      </c>
      <c r="B72">
        <v>79820</v>
      </c>
      <c r="C72">
        <v>41673096009.849998</v>
      </c>
      <c r="D72">
        <v>96.057599999999994</v>
      </c>
      <c r="E72">
        <v>7.6600000000000001E-2</v>
      </c>
      <c r="F72">
        <v>-29.667999999999999</v>
      </c>
      <c r="G72">
        <v>106.25</v>
      </c>
      <c r="H72">
        <v>15.35</v>
      </c>
      <c r="I72">
        <v>528133.97</v>
      </c>
      <c r="J72">
        <v>57.87</v>
      </c>
      <c r="K72">
        <v>765.08</v>
      </c>
      <c r="L72">
        <v>3.99</v>
      </c>
      <c r="M72">
        <v>33.32</v>
      </c>
      <c r="N72">
        <v>119.44</v>
      </c>
      <c r="O72">
        <v>119.44</v>
      </c>
      <c r="P72">
        <v>6.73</v>
      </c>
      <c r="Q72">
        <v>6.0231199999999999E-3</v>
      </c>
      <c r="R72">
        <v>0.1933</v>
      </c>
    </row>
    <row r="73" spans="1:18" x14ac:dyDescent="0.25">
      <c r="A73" s="1">
        <v>41791</v>
      </c>
      <c r="B73">
        <v>80703</v>
      </c>
      <c r="C73">
        <v>42063292650.910004</v>
      </c>
      <c r="D73">
        <v>96.004999999999995</v>
      </c>
      <c r="E73">
        <v>7.6499999999999999E-2</v>
      </c>
      <c r="F73">
        <v>-28.606300000000001</v>
      </c>
      <c r="G73">
        <v>106.27</v>
      </c>
      <c r="H73">
        <v>16.09</v>
      </c>
      <c r="I73">
        <v>527195.6</v>
      </c>
      <c r="J73">
        <v>57.68</v>
      </c>
      <c r="K73">
        <v>764.89</v>
      </c>
      <c r="L73">
        <v>4</v>
      </c>
      <c r="M73">
        <v>33.369999999999997</v>
      </c>
      <c r="N73">
        <v>120.42</v>
      </c>
      <c r="O73">
        <v>120.42</v>
      </c>
      <c r="P73">
        <v>6.76</v>
      </c>
      <c r="Q73">
        <v>6.1728399999999998E-3</v>
      </c>
      <c r="R73">
        <v>0.1913</v>
      </c>
    </row>
    <row r="74" spans="1:18" x14ac:dyDescent="0.25">
      <c r="A74" s="1">
        <v>41821</v>
      </c>
      <c r="B74">
        <v>81560</v>
      </c>
      <c r="C74">
        <v>42433450144.769997</v>
      </c>
      <c r="D74">
        <v>95.995099999999994</v>
      </c>
      <c r="E74">
        <v>7.7100000000000002E-2</v>
      </c>
      <c r="F74">
        <v>-9.9505999999999997</v>
      </c>
      <c r="G74">
        <v>107.81</v>
      </c>
      <c r="H74">
        <v>16.82</v>
      </c>
      <c r="I74">
        <v>523915.72</v>
      </c>
      <c r="J74">
        <v>57.69</v>
      </c>
      <c r="K74">
        <v>764.75</v>
      </c>
      <c r="L74">
        <v>4</v>
      </c>
      <c r="M74">
        <v>33.4</v>
      </c>
      <c r="N74">
        <v>120.47</v>
      </c>
      <c r="O74">
        <v>120.47</v>
      </c>
      <c r="P74">
        <v>10.45</v>
      </c>
      <c r="Q74">
        <v>1.0650089999999999E-2</v>
      </c>
      <c r="R74">
        <v>0.19170000000000001</v>
      </c>
    </row>
    <row r="75" spans="1:18" x14ac:dyDescent="0.25">
      <c r="A75" s="1">
        <v>41852</v>
      </c>
      <c r="B75">
        <v>82753</v>
      </c>
      <c r="C75">
        <v>42977101110.220001</v>
      </c>
      <c r="D75">
        <v>95.9602</v>
      </c>
      <c r="E75">
        <v>7.8600000000000003E-2</v>
      </c>
      <c r="F75">
        <v>-7.6618000000000004</v>
      </c>
      <c r="G75">
        <v>108.88</v>
      </c>
      <c r="H75">
        <v>17.43</v>
      </c>
      <c r="I75">
        <v>523033.23</v>
      </c>
      <c r="J75">
        <v>57.78</v>
      </c>
      <c r="K75">
        <v>764.49</v>
      </c>
      <c r="L75">
        <v>4.01</v>
      </c>
      <c r="M75">
        <v>33.46</v>
      </c>
      <c r="N75">
        <v>120.53</v>
      </c>
      <c r="O75">
        <v>120.53</v>
      </c>
      <c r="P75">
        <v>12.82</v>
      </c>
      <c r="Q75">
        <v>1.058777E-2</v>
      </c>
      <c r="R75">
        <v>0.193</v>
      </c>
    </row>
    <row r="76" spans="1:18" x14ac:dyDescent="0.25">
      <c r="A76" s="1">
        <v>41883</v>
      </c>
      <c r="B76">
        <v>83770</v>
      </c>
      <c r="C76">
        <v>43431849486.18</v>
      </c>
      <c r="D76">
        <v>95.914500000000004</v>
      </c>
      <c r="E76">
        <v>8.0399999999999999E-2</v>
      </c>
      <c r="F76">
        <v>-5.4177999999999997</v>
      </c>
      <c r="G76">
        <v>110.2</v>
      </c>
      <c r="H76">
        <v>18.07</v>
      </c>
      <c r="I76">
        <v>522657.79</v>
      </c>
      <c r="J76">
        <v>57.83</v>
      </c>
      <c r="K76">
        <v>764.3</v>
      </c>
      <c r="L76">
        <v>4.01</v>
      </c>
      <c r="M76">
        <v>33.5</v>
      </c>
      <c r="N76">
        <v>120.55</v>
      </c>
      <c r="O76">
        <v>120.55</v>
      </c>
      <c r="P76">
        <v>12.71</v>
      </c>
      <c r="Q76">
        <v>9.6873399999999991E-3</v>
      </c>
      <c r="R76">
        <v>0.19389999999999999</v>
      </c>
    </row>
    <row r="77" spans="1:18" x14ac:dyDescent="0.25">
      <c r="A77" s="1">
        <v>41913</v>
      </c>
      <c r="B77">
        <v>85357</v>
      </c>
      <c r="C77">
        <v>44202107494.089996</v>
      </c>
      <c r="D77">
        <v>95.870099999999994</v>
      </c>
      <c r="E77">
        <v>8.3099999999999993E-2</v>
      </c>
      <c r="F77">
        <v>-2.6318999999999999</v>
      </c>
      <c r="G77">
        <v>112.92</v>
      </c>
      <c r="H77">
        <v>18.73</v>
      </c>
      <c r="I77">
        <v>522177.28000000003</v>
      </c>
      <c r="J77">
        <v>57.98</v>
      </c>
      <c r="K77">
        <v>763.96</v>
      </c>
      <c r="L77">
        <v>4.0199999999999996</v>
      </c>
      <c r="M77">
        <v>33.549999999999997</v>
      </c>
      <c r="N77">
        <v>120.36</v>
      </c>
      <c r="O77">
        <v>120.36</v>
      </c>
      <c r="P77">
        <v>12.57</v>
      </c>
      <c r="Q77">
        <v>9.68662E-3</v>
      </c>
      <c r="R77">
        <v>0.19589999999999999</v>
      </c>
    </row>
    <row r="78" spans="1:18" x14ac:dyDescent="0.25">
      <c r="A78" s="1">
        <v>41944</v>
      </c>
      <c r="B78">
        <v>86643</v>
      </c>
      <c r="C78">
        <v>44795681842.129997</v>
      </c>
      <c r="D78">
        <v>95.854500000000002</v>
      </c>
      <c r="E78">
        <v>8.5099999999999995E-2</v>
      </c>
      <c r="F78">
        <v>-5.3005000000000004</v>
      </c>
      <c r="G78">
        <v>113.96</v>
      </c>
      <c r="H78">
        <v>19.309999999999999</v>
      </c>
      <c r="I78">
        <v>521070.19</v>
      </c>
      <c r="J78">
        <v>58.13</v>
      </c>
      <c r="K78">
        <v>763.75</v>
      </c>
      <c r="L78">
        <v>4.03</v>
      </c>
      <c r="M78">
        <v>33.6</v>
      </c>
      <c r="N78">
        <v>120.17</v>
      </c>
      <c r="O78">
        <v>120.17</v>
      </c>
      <c r="P78">
        <v>12.16</v>
      </c>
      <c r="Q78">
        <v>1.02021E-2</v>
      </c>
      <c r="R78">
        <v>0.1983</v>
      </c>
    </row>
    <row r="79" spans="1:18" x14ac:dyDescent="0.25">
      <c r="A79" s="1">
        <v>41974</v>
      </c>
      <c r="B79">
        <v>87934</v>
      </c>
      <c r="C79">
        <v>45383469561.580002</v>
      </c>
      <c r="D79">
        <v>95.769499999999994</v>
      </c>
      <c r="E79">
        <v>8.7599999999999997E-2</v>
      </c>
      <c r="F79">
        <v>8.0421999999999993</v>
      </c>
      <c r="G79">
        <v>116.72</v>
      </c>
      <c r="H79">
        <v>19.86</v>
      </c>
      <c r="I79">
        <v>517468.34</v>
      </c>
      <c r="J79">
        <v>58.26</v>
      </c>
      <c r="K79">
        <v>763.45</v>
      </c>
      <c r="L79">
        <v>4.03</v>
      </c>
      <c r="M79">
        <v>33.65</v>
      </c>
      <c r="N79">
        <v>119.98</v>
      </c>
      <c r="O79">
        <v>119.98</v>
      </c>
      <c r="P79">
        <v>18.14</v>
      </c>
      <c r="Q79">
        <v>1.524235E-2</v>
      </c>
      <c r="R79">
        <v>0.19939999999999999</v>
      </c>
    </row>
    <row r="80" spans="1:18" x14ac:dyDescent="0.25">
      <c r="A80" s="1">
        <v>42005</v>
      </c>
      <c r="B80">
        <v>89381</v>
      </c>
      <c r="C80">
        <v>46049446897.589996</v>
      </c>
      <c r="D80">
        <v>95.697800000000001</v>
      </c>
      <c r="E80">
        <v>7.3599999999999999E-2</v>
      </c>
      <c r="F80">
        <v>13.0281</v>
      </c>
      <c r="G80">
        <v>120.07</v>
      </c>
      <c r="H80">
        <v>20.39</v>
      </c>
      <c r="I80">
        <v>515479.74</v>
      </c>
      <c r="J80">
        <v>58.34</v>
      </c>
      <c r="K80">
        <v>763.17</v>
      </c>
      <c r="L80">
        <v>4.04</v>
      </c>
      <c r="M80">
        <v>33.69</v>
      </c>
      <c r="N80">
        <v>119.61</v>
      </c>
      <c r="O80">
        <v>119.61</v>
      </c>
      <c r="P80">
        <v>22.72</v>
      </c>
      <c r="Q80">
        <v>1.7378540000000001E-2</v>
      </c>
      <c r="R80">
        <v>0.16400000000000001</v>
      </c>
    </row>
    <row r="81" spans="1:18" x14ac:dyDescent="0.25">
      <c r="A81" s="1">
        <v>42036</v>
      </c>
      <c r="B81">
        <v>90354</v>
      </c>
      <c r="C81">
        <v>46481910650.510002</v>
      </c>
      <c r="D81">
        <v>95.618200000000002</v>
      </c>
      <c r="E81">
        <v>7.51E-2</v>
      </c>
      <c r="F81">
        <v>24.659099999999999</v>
      </c>
      <c r="G81">
        <v>123.92</v>
      </c>
      <c r="H81">
        <v>20.88</v>
      </c>
      <c r="I81">
        <v>515917.23</v>
      </c>
      <c r="J81">
        <v>58.39</v>
      </c>
      <c r="K81">
        <v>762.95</v>
      </c>
      <c r="L81">
        <v>4.04</v>
      </c>
      <c r="M81">
        <v>33.74</v>
      </c>
      <c r="N81">
        <v>119.24</v>
      </c>
      <c r="O81">
        <v>119.24</v>
      </c>
      <c r="P81">
        <v>25.82</v>
      </c>
      <c r="Q81">
        <v>1.5201320000000001E-2</v>
      </c>
      <c r="R81">
        <v>0.16470000000000001</v>
      </c>
    </row>
    <row r="82" spans="1:18" x14ac:dyDescent="0.25">
      <c r="A82" s="1">
        <v>42064</v>
      </c>
      <c r="B82">
        <v>92548</v>
      </c>
      <c r="C82">
        <v>47542451558.620003</v>
      </c>
      <c r="D82">
        <v>95.585899999999995</v>
      </c>
      <c r="E82">
        <v>7.6399999999999996E-2</v>
      </c>
      <c r="F82">
        <v>41.668700000000001</v>
      </c>
      <c r="G82">
        <v>130.38</v>
      </c>
      <c r="H82">
        <v>21.32</v>
      </c>
      <c r="I82">
        <v>509102.36</v>
      </c>
      <c r="J82">
        <v>58.49</v>
      </c>
      <c r="K82">
        <v>762.79</v>
      </c>
      <c r="L82">
        <v>4.03</v>
      </c>
      <c r="M82">
        <v>33.75</v>
      </c>
      <c r="N82">
        <v>118.88</v>
      </c>
      <c r="O82">
        <v>118.88</v>
      </c>
      <c r="P82">
        <v>36.89</v>
      </c>
      <c r="Q82">
        <v>2.6694590000000001E-2</v>
      </c>
      <c r="R82">
        <v>0.16539999999999999</v>
      </c>
    </row>
    <row r="83" spans="1:18" x14ac:dyDescent="0.25">
      <c r="A83" s="1">
        <v>42095</v>
      </c>
      <c r="B83">
        <v>94093</v>
      </c>
      <c r="C83">
        <v>48293759693.239998</v>
      </c>
      <c r="D83">
        <v>95.486699999999999</v>
      </c>
      <c r="E83">
        <v>7.7399999999999997E-2</v>
      </c>
      <c r="F83">
        <v>36.8414</v>
      </c>
      <c r="G83">
        <v>134.74</v>
      </c>
      <c r="H83">
        <v>21.52</v>
      </c>
      <c r="I83">
        <v>507796.61</v>
      </c>
      <c r="J83">
        <v>58.41</v>
      </c>
      <c r="K83">
        <v>762.57</v>
      </c>
      <c r="L83">
        <v>4.0199999999999996</v>
      </c>
      <c r="M83">
        <v>33.78</v>
      </c>
      <c r="N83">
        <v>118.35</v>
      </c>
      <c r="O83">
        <v>118.35</v>
      </c>
      <c r="P83">
        <v>35.24</v>
      </c>
      <c r="Q83">
        <v>2.8618589999999999E-2</v>
      </c>
      <c r="R83">
        <v>0.16309999999999999</v>
      </c>
    </row>
    <row r="84" spans="1:18" x14ac:dyDescent="0.25">
      <c r="A84" s="1">
        <v>42125</v>
      </c>
      <c r="B84">
        <v>95090</v>
      </c>
      <c r="C84">
        <v>48741521288.940002</v>
      </c>
      <c r="D84">
        <v>95.428100000000001</v>
      </c>
      <c r="E84">
        <v>7.7899999999999997E-2</v>
      </c>
      <c r="F84">
        <v>30.5014</v>
      </c>
      <c r="G84">
        <v>137.09</v>
      </c>
      <c r="H84">
        <v>21.76</v>
      </c>
      <c r="I84">
        <v>511329.4</v>
      </c>
      <c r="J84">
        <v>58.35</v>
      </c>
      <c r="K84">
        <v>762.39</v>
      </c>
      <c r="L84">
        <v>4.01</v>
      </c>
      <c r="M84">
        <v>33.799999999999997</v>
      </c>
      <c r="N84">
        <v>117.83</v>
      </c>
      <c r="O84">
        <v>117.83</v>
      </c>
      <c r="P84">
        <v>29.87</v>
      </c>
      <c r="Q84">
        <v>2.0844540000000002E-2</v>
      </c>
      <c r="R84">
        <v>0.1618</v>
      </c>
    </row>
    <row r="85" spans="1:18" x14ac:dyDescent="0.25">
      <c r="A85" s="1">
        <v>42156</v>
      </c>
      <c r="B85">
        <v>96887</v>
      </c>
      <c r="C85">
        <v>49597262696.519997</v>
      </c>
      <c r="D85">
        <v>95.383799999999994</v>
      </c>
      <c r="E85">
        <v>7.8200000000000006E-2</v>
      </c>
      <c r="F85">
        <v>39.171100000000003</v>
      </c>
      <c r="G85">
        <v>142.27000000000001</v>
      </c>
      <c r="H85">
        <v>22.01</v>
      </c>
      <c r="I85">
        <v>512151.57</v>
      </c>
      <c r="J85">
        <v>58.32</v>
      </c>
      <c r="K85">
        <v>762.28</v>
      </c>
      <c r="L85">
        <v>4.01</v>
      </c>
      <c r="M85">
        <v>33.83</v>
      </c>
      <c r="N85">
        <v>117.33</v>
      </c>
      <c r="O85">
        <v>117.33</v>
      </c>
      <c r="P85">
        <v>33.47</v>
      </c>
      <c r="Q85">
        <v>1.80903E-2</v>
      </c>
      <c r="R85">
        <v>0.16039999999999999</v>
      </c>
    </row>
    <row r="86" spans="1:18" x14ac:dyDescent="0.25">
      <c r="A86" s="1">
        <v>42186</v>
      </c>
      <c r="B86">
        <v>100543</v>
      </c>
      <c r="C86">
        <v>51395747083.050003</v>
      </c>
      <c r="D86">
        <v>95.312799999999996</v>
      </c>
      <c r="E86">
        <v>7.9299999999999995E-2</v>
      </c>
      <c r="F86">
        <v>21.392600000000002</v>
      </c>
      <c r="G86">
        <v>142.05000000000001</v>
      </c>
      <c r="H86">
        <v>22.04</v>
      </c>
      <c r="I86">
        <v>512691.06</v>
      </c>
      <c r="J86">
        <v>58.55</v>
      </c>
      <c r="K86">
        <v>762.3</v>
      </c>
      <c r="L86">
        <v>4</v>
      </c>
      <c r="M86">
        <v>33.83</v>
      </c>
      <c r="N86">
        <v>116.66</v>
      </c>
      <c r="O86">
        <v>116.66</v>
      </c>
      <c r="P86">
        <v>23.72</v>
      </c>
      <c r="Q86">
        <v>1.5724499999999999E-2</v>
      </c>
      <c r="R86">
        <v>0.1608</v>
      </c>
    </row>
    <row r="87" spans="1:18" x14ac:dyDescent="0.25">
      <c r="A87" s="1">
        <v>42217</v>
      </c>
      <c r="B87">
        <v>102990</v>
      </c>
      <c r="C87">
        <v>52580372708.599998</v>
      </c>
      <c r="D87">
        <v>95.254400000000004</v>
      </c>
      <c r="E87">
        <v>8.0699999999999994E-2</v>
      </c>
      <c r="F87">
        <v>6.3834999999999997</v>
      </c>
      <c r="G87">
        <v>142.43</v>
      </c>
      <c r="H87">
        <v>22.37</v>
      </c>
      <c r="I87">
        <v>514609.32</v>
      </c>
      <c r="J87">
        <v>58.69</v>
      </c>
      <c r="K87">
        <v>762.07</v>
      </c>
      <c r="L87">
        <v>4</v>
      </c>
      <c r="M87">
        <v>33.89</v>
      </c>
      <c r="N87">
        <v>116.04</v>
      </c>
      <c r="O87">
        <v>116.04</v>
      </c>
      <c r="P87">
        <v>14.34</v>
      </c>
      <c r="Q87">
        <v>1.097332E-2</v>
      </c>
      <c r="R87">
        <v>0.1615</v>
      </c>
    </row>
    <row r="88" spans="1:18" x14ac:dyDescent="0.25">
      <c r="A88" s="1">
        <v>42248</v>
      </c>
      <c r="B88">
        <v>105370</v>
      </c>
      <c r="C88">
        <v>53771627217.629997</v>
      </c>
      <c r="D88">
        <v>95.180599999999998</v>
      </c>
      <c r="E88">
        <v>0.1371</v>
      </c>
      <c r="F88">
        <v>-4.1201999999999996</v>
      </c>
      <c r="G88">
        <v>141.08000000000001</v>
      </c>
      <c r="H88">
        <v>22.59</v>
      </c>
      <c r="I88">
        <v>515209.71</v>
      </c>
      <c r="J88">
        <v>58.87</v>
      </c>
      <c r="K88">
        <v>761.83</v>
      </c>
      <c r="L88">
        <v>4</v>
      </c>
      <c r="M88">
        <v>33.96</v>
      </c>
      <c r="N88">
        <v>115.43</v>
      </c>
      <c r="O88">
        <v>115.43</v>
      </c>
      <c r="P88">
        <v>9.4700000000000006</v>
      </c>
      <c r="Q88">
        <v>9.5818199999999996E-3</v>
      </c>
      <c r="R88">
        <v>0.15440000000000001</v>
      </c>
    </row>
    <row r="89" spans="1:18" x14ac:dyDescent="0.25">
      <c r="A89" s="1">
        <v>42278</v>
      </c>
      <c r="B89">
        <v>106773</v>
      </c>
      <c r="C89">
        <v>54398426347.5</v>
      </c>
      <c r="D89">
        <v>95.143799999999999</v>
      </c>
      <c r="E89">
        <v>0.1386</v>
      </c>
      <c r="F89">
        <v>10.1279</v>
      </c>
      <c r="G89">
        <v>143.63999999999999</v>
      </c>
      <c r="H89">
        <v>23.07</v>
      </c>
      <c r="I89">
        <v>513882.72</v>
      </c>
      <c r="J89">
        <v>59.08</v>
      </c>
      <c r="K89">
        <v>761.61</v>
      </c>
      <c r="L89">
        <v>4.01</v>
      </c>
      <c r="M89">
        <v>34.01</v>
      </c>
      <c r="N89">
        <v>114.51</v>
      </c>
      <c r="O89">
        <v>114.51</v>
      </c>
      <c r="P89">
        <v>17.3</v>
      </c>
      <c r="Q89">
        <v>1.048223E-2</v>
      </c>
      <c r="R89">
        <v>0.15529999999999999</v>
      </c>
    </row>
    <row r="90" spans="1:18" x14ac:dyDescent="0.25">
      <c r="A90" s="1">
        <v>42309</v>
      </c>
      <c r="B90">
        <v>107795</v>
      </c>
      <c r="C90">
        <v>54844296880.199997</v>
      </c>
      <c r="D90">
        <v>95.084000000000003</v>
      </c>
      <c r="E90">
        <v>0.1396</v>
      </c>
      <c r="F90">
        <v>11.975199999999999</v>
      </c>
      <c r="G90">
        <v>146.94999999999999</v>
      </c>
      <c r="H90">
        <v>23.63</v>
      </c>
      <c r="I90">
        <v>512402.64</v>
      </c>
      <c r="J90">
        <v>59.21</v>
      </c>
      <c r="K90">
        <v>761.44</v>
      </c>
      <c r="L90">
        <v>4.01</v>
      </c>
      <c r="M90">
        <v>34.049999999999997</v>
      </c>
      <c r="N90">
        <v>113.63</v>
      </c>
      <c r="O90">
        <v>113.63</v>
      </c>
      <c r="P90">
        <v>17.22</v>
      </c>
      <c r="Q90">
        <v>1.213584E-2</v>
      </c>
      <c r="R90">
        <v>0.1565</v>
      </c>
    </row>
    <row r="91" spans="1:18" x14ac:dyDescent="0.25">
      <c r="A91" s="1">
        <v>42339</v>
      </c>
      <c r="B91">
        <v>54418</v>
      </c>
      <c r="C91">
        <v>27588424458.419998</v>
      </c>
      <c r="D91">
        <v>92.691800000000001</v>
      </c>
      <c r="E91">
        <v>0.1482</v>
      </c>
      <c r="F91">
        <v>26.213899999999999</v>
      </c>
      <c r="G91">
        <v>202.33</v>
      </c>
      <c r="H91">
        <v>26.26</v>
      </c>
      <c r="I91">
        <v>511326.59</v>
      </c>
      <c r="J91">
        <v>58.17</v>
      </c>
      <c r="K91">
        <v>760.4</v>
      </c>
      <c r="L91">
        <v>4.0599999999999996</v>
      </c>
      <c r="M91">
        <v>34.450000000000003</v>
      </c>
      <c r="N91">
        <v>112.65</v>
      </c>
      <c r="O91">
        <v>112.65</v>
      </c>
      <c r="P91">
        <v>27.47</v>
      </c>
      <c r="Q91">
        <v>1.1927109999999999E-2</v>
      </c>
      <c r="R91">
        <v>0.1348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2"/>
  <sheetViews>
    <sheetView workbookViewId="0">
      <selection activeCell="N47" sqref="N47"/>
    </sheetView>
  </sheetViews>
  <sheetFormatPr defaultRowHeight="15" x14ac:dyDescent="0.25"/>
  <cols>
    <col min="2" max="2" width="9.7109375" bestFit="1" customWidth="1"/>
    <col min="3" max="3" width="12.140625" style="5" customWidth="1"/>
    <col min="4" max="4" width="9.140625" style="5"/>
    <col min="5" max="5" width="14.140625" style="5" customWidth="1"/>
    <col min="6" max="6" width="9.140625" style="5"/>
    <col min="7" max="7" width="12.42578125" style="10" customWidth="1"/>
    <col min="8" max="8" width="16.85546875" style="10" customWidth="1"/>
    <col min="9" max="9" width="19" style="8" customWidth="1"/>
    <col min="10" max="10" width="9.7109375" style="8" bestFit="1" customWidth="1"/>
  </cols>
  <sheetData>
    <row r="1" spans="2:10" x14ac:dyDescent="0.25">
      <c r="C1" s="5" t="s">
        <v>26</v>
      </c>
    </row>
    <row r="2" spans="2:10" s="6" customFormat="1" x14ac:dyDescent="0.25">
      <c r="C2" s="7" t="s">
        <v>28</v>
      </c>
      <c r="D2" s="7" t="s">
        <v>2</v>
      </c>
      <c r="E2" s="7" t="s">
        <v>29</v>
      </c>
      <c r="F2" s="7" t="s">
        <v>27</v>
      </c>
      <c r="G2" s="11" t="s">
        <v>30</v>
      </c>
      <c r="H2" s="11" t="s">
        <v>31</v>
      </c>
      <c r="I2" s="9" t="s">
        <v>32</v>
      </c>
      <c r="J2" s="9" t="s">
        <v>33</v>
      </c>
    </row>
    <row r="3" spans="2:10" x14ac:dyDescent="0.25">
      <c r="B3" s="1">
        <v>39569</v>
      </c>
      <c r="C3" s="5">
        <v>132.36925208</v>
      </c>
      <c r="D3" s="5">
        <v>0.72975000000000001</v>
      </c>
      <c r="E3" s="5">
        <v>559.07428900000002</v>
      </c>
      <c r="F3" s="5">
        <v>159.851958</v>
      </c>
      <c r="G3" s="10">
        <f>C3+E3</f>
        <v>691.44354108000005</v>
      </c>
      <c r="H3" s="10">
        <f>D3+F3</f>
        <v>160.58170799999999</v>
      </c>
      <c r="I3" s="8">
        <f>G3/(G3+H3)</f>
        <v>0.81152940224084558</v>
      </c>
    </row>
    <row r="4" spans="2:10" x14ac:dyDescent="0.25">
      <c r="B4" s="1">
        <v>39600</v>
      </c>
      <c r="C4" s="5">
        <v>103.34249865000001</v>
      </c>
      <c r="D4" s="5">
        <v>17.095829999999999</v>
      </c>
      <c r="E4" s="5">
        <v>381.81671299999999</v>
      </c>
      <c r="F4" s="5">
        <v>218.34703099999999</v>
      </c>
      <c r="G4" s="10">
        <f t="shared" ref="G4:G67" si="0">C4+E4</f>
        <v>485.15921164999997</v>
      </c>
      <c r="H4" s="10">
        <f t="shared" ref="H4:H67" si="1">D4+F4</f>
        <v>235.44286099999999</v>
      </c>
      <c r="I4" s="8">
        <f t="shared" ref="I4:I67" si="2">G4/(G4+H4)</f>
        <v>0.67326924257355591</v>
      </c>
    </row>
    <row r="5" spans="2:10" x14ac:dyDescent="0.25">
      <c r="B5" s="1">
        <v>39630</v>
      </c>
      <c r="C5" s="5">
        <v>78.028532999999996</v>
      </c>
      <c r="D5" s="5">
        <v>93.028347999999994</v>
      </c>
      <c r="E5" s="5">
        <v>245.825515</v>
      </c>
      <c r="F5" s="5">
        <v>247.73361800000001</v>
      </c>
      <c r="G5" s="10">
        <f t="shared" si="0"/>
        <v>323.85404799999998</v>
      </c>
      <c r="H5" s="10">
        <f t="shared" si="1"/>
        <v>340.76196600000003</v>
      </c>
      <c r="I5" s="8">
        <f t="shared" si="2"/>
        <v>0.48727993484670984</v>
      </c>
    </row>
    <row r="6" spans="2:10" x14ac:dyDescent="0.25">
      <c r="B6" s="1">
        <v>39661</v>
      </c>
      <c r="C6" s="5">
        <v>54.922035999999999</v>
      </c>
      <c r="D6" s="5">
        <v>102.63981800000001</v>
      </c>
      <c r="E6" s="5">
        <v>272.29765300000003</v>
      </c>
      <c r="F6" s="5">
        <v>147.42094900000001</v>
      </c>
      <c r="G6" s="10">
        <f t="shared" si="0"/>
        <v>327.21968900000002</v>
      </c>
      <c r="H6" s="10">
        <f t="shared" si="1"/>
        <v>250.060767</v>
      </c>
      <c r="I6" s="8">
        <f t="shared" si="2"/>
        <v>0.5668296676234611</v>
      </c>
    </row>
    <row r="7" spans="2:10" x14ac:dyDescent="0.25">
      <c r="B7" s="1">
        <v>39692</v>
      </c>
      <c r="C7" s="5">
        <v>65.352228999999994</v>
      </c>
      <c r="D7" s="5">
        <v>77.810394000000002</v>
      </c>
      <c r="E7" s="5">
        <v>236.094641</v>
      </c>
      <c r="F7" s="5">
        <v>55.947623</v>
      </c>
      <c r="G7" s="10">
        <f t="shared" si="0"/>
        <v>301.44686999999999</v>
      </c>
      <c r="H7" s="10">
        <f t="shared" si="1"/>
        <v>133.758017</v>
      </c>
      <c r="I7" s="8">
        <f t="shared" si="2"/>
        <v>0.69265506662382681</v>
      </c>
    </row>
    <row r="8" spans="2:10" x14ac:dyDescent="0.25">
      <c r="B8" s="1">
        <v>39722</v>
      </c>
      <c r="C8" s="5">
        <v>57.0178364</v>
      </c>
      <c r="D8" s="5">
        <v>56.615288</v>
      </c>
      <c r="E8" s="5">
        <v>229.29403300000001</v>
      </c>
      <c r="F8" s="5">
        <v>150.966545</v>
      </c>
      <c r="G8" s="10">
        <f t="shared" si="0"/>
        <v>286.31186940000003</v>
      </c>
      <c r="H8" s="10">
        <f t="shared" si="1"/>
        <v>207.58183299999999</v>
      </c>
      <c r="I8" s="8">
        <f t="shared" si="2"/>
        <v>0.57970342202929859</v>
      </c>
    </row>
    <row r="9" spans="2:10" x14ac:dyDescent="0.25">
      <c r="B9" s="1">
        <v>39783</v>
      </c>
      <c r="C9" s="5">
        <v>122.57860297000001</v>
      </c>
      <c r="D9" s="5">
        <v>2.246</v>
      </c>
      <c r="E9" s="5">
        <v>204.88233199999999</v>
      </c>
      <c r="F9" s="5">
        <v>103.565758</v>
      </c>
      <c r="G9" s="10">
        <f t="shared" si="0"/>
        <v>327.46093496999998</v>
      </c>
      <c r="H9" s="10">
        <f t="shared" si="1"/>
        <v>105.811758</v>
      </c>
      <c r="I9" s="8">
        <f t="shared" si="2"/>
        <v>0.75578484470211826</v>
      </c>
    </row>
    <row r="10" spans="2:10" x14ac:dyDescent="0.25">
      <c r="B10" s="1">
        <v>39845</v>
      </c>
      <c r="C10" s="5">
        <v>406.35788145999999</v>
      </c>
      <c r="D10" s="5">
        <v>61.897415000000002</v>
      </c>
      <c r="E10" s="5">
        <v>1080.509033</v>
      </c>
      <c r="F10" s="5">
        <v>28.546523000000001</v>
      </c>
      <c r="G10" s="10">
        <f t="shared" si="0"/>
        <v>1486.8669144600001</v>
      </c>
      <c r="H10" s="10">
        <f t="shared" si="1"/>
        <v>90.443938000000003</v>
      </c>
      <c r="I10" s="8">
        <f t="shared" si="2"/>
        <v>0.94265940803048287</v>
      </c>
    </row>
    <row r="11" spans="2:10" x14ac:dyDescent="0.25">
      <c r="B11" s="1">
        <v>39873</v>
      </c>
      <c r="C11" s="5">
        <v>955.39691114999994</v>
      </c>
      <c r="D11" s="5">
        <v>93.762319000000005</v>
      </c>
      <c r="E11" s="5">
        <v>2316.5188419999999</v>
      </c>
      <c r="F11" s="5">
        <v>6.0747499999999999</v>
      </c>
      <c r="G11" s="10">
        <f t="shared" si="0"/>
        <v>3271.91575315</v>
      </c>
      <c r="H11" s="10">
        <f t="shared" si="1"/>
        <v>99.837069</v>
      </c>
      <c r="I11" s="8">
        <f t="shared" si="2"/>
        <v>0.97039015780037552</v>
      </c>
    </row>
    <row r="12" spans="2:10" x14ac:dyDescent="0.25">
      <c r="B12" s="1">
        <v>39904</v>
      </c>
      <c r="C12" s="5">
        <v>658.96149778999995</v>
      </c>
      <c r="D12" s="5">
        <v>96.552573469999999</v>
      </c>
      <c r="E12" s="5">
        <v>2387.6754449999999</v>
      </c>
      <c r="F12" s="5">
        <v>0</v>
      </c>
      <c r="G12" s="10">
        <f t="shared" si="0"/>
        <v>3046.6369427899999</v>
      </c>
      <c r="H12" s="10">
        <f t="shared" si="1"/>
        <v>96.552573469999999</v>
      </c>
      <c r="I12" s="8">
        <f t="shared" si="2"/>
        <v>0.9692819752132269</v>
      </c>
      <c r="J12" s="8">
        <f t="shared" ref="J12:J75" si="3">AVERAGE(I1:I12)</f>
        <v>0.74493831216839024</v>
      </c>
    </row>
    <row r="13" spans="2:10" x14ac:dyDescent="0.25">
      <c r="B13" s="1">
        <v>39934</v>
      </c>
      <c r="C13" s="5">
        <v>922.47069862000001</v>
      </c>
      <c r="D13" s="5">
        <v>462.91532258999996</v>
      </c>
      <c r="E13" s="5">
        <v>2516.0844419999999</v>
      </c>
      <c r="F13" s="5">
        <v>0</v>
      </c>
      <c r="G13" s="10">
        <f t="shared" si="0"/>
        <v>3438.5551406199997</v>
      </c>
      <c r="H13" s="10">
        <f t="shared" si="1"/>
        <v>462.91532258999996</v>
      </c>
      <c r="I13" s="8">
        <f t="shared" si="2"/>
        <v>0.88134850001936738</v>
      </c>
      <c r="J13" s="8">
        <f t="shared" si="3"/>
        <v>0.75733923833666095</v>
      </c>
    </row>
    <row r="14" spans="2:10" x14ac:dyDescent="0.25">
      <c r="B14" s="1">
        <v>39965</v>
      </c>
      <c r="C14" s="5">
        <v>2217.1040866500002</v>
      </c>
      <c r="D14" s="5">
        <v>248.84250134000001</v>
      </c>
      <c r="E14" s="5">
        <v>3179.438999</v>
      </c>
      <c r="F14" s="5">
        <v>0</v>
      </c>
      <c r="G14" s="10">
        <f t="shared" si="0"/>
        <v>5396.5430856500006</v>
      </c>
      <c r="H14" s="10">
        <f t="shared" si="1"/>
        <v>248.84250134000001</v>
      </c>
      <c r="I14" s="8">
        <f t="shared" si="2"/>
        <v>0.95592107970207263</v>
      </c>
      <c r="J14" s="8">
        <f t="shared" si="3"/>
        <v>0.7738877251171119</v>
      </c>
    </row>
    <row r="15" spans="2:10" x14ac:dyDescent="0.25">
      <c r="B15" s="1">
        <v>39995</v>
      </c>
      <c r="C15" s="5">
        <v>1721.9127329200001</v>
      </c>
      <c r="D15" s="5">
        <v>399.27476736</v>
      </c>
      <c r="E15" s="5">
        <v>2536.30197</v>
      </c>
      <c r="F15" s="5">
        <v>0</v>
      </c>
      <c r="G15" s="10">
        <f t="shared" si="0"/>
        <v>4258.2147029200005</v>
      </c>
      <c r="H15" s="10">
        <f t="shared" si="1"/>
        <v>399.27476736</v>
      </c>
      <c r="I15" s="8">
        <f t="shared" si="2"/>
        <v>0.91427253461165725</v>
      </c>
      <c r="J15" s="8">
        <f t="shared" si="3"/>
        <v>0.78244965281467938</v>
      </c>
    </row>
    <row r="16" spans="2:10" x14ac:dyDescent="0.25">
      <c r="B16" s="1">
        <v>40026</v>
      </c>
      <c r="C16" s="5">
        <v>1254.96738688</v>
      </c>
      <c r="D16" s="5">
        <v>580.64208715999996</v>
      </c>
      <c r="E16" s="5">
        <v>2807.1416880000002</v>
      </c>
      <c r="F16" s="5">
        <v>0</v>
      </c>
      <c r="G16" s="10">
        <f t="shared" si="0"/>
        <v>4062.1090748800002</v>
      </c>
      <c r="H16" s="10">
        <f t="shared" si="1"/>
        <v>580.64208715999996</v>
      </c>
      <c r="I16" s="8">
        <f t="shared" si="2"/>
        <v>0.87493577258513489</v>
      </c>
      <c r="J16" s="8">
        <f t="shared" si="3"/>
        <v>0.79925519698231096</v>
      </c>
    </row>
    <row r="17" spans="2:10" x14ac:dyDescent="0.25">
      <c r="B17" s="1">
        <v>40057</v>
      </c>
      <c r="C17" s="5">
        <v>1125.2468495599999</v>
      </c>
      <c r="D17" s="5">
        <v>904.8334597999999</v>
      </c>
      <c r="E17" s="5">
        <v>1992.28358</v>
      </c>
      <c r="F17" s="5">
        <v>0</v>
      </c>
      <c r="G17" s="10">
        <f t="shared" si="0"/>
        <v>3117.5304295599999</v>
      </c>
      <c r="H17" s="10">
        <f t="shared" si="1"/>
        <v>904.8334597999999</v>
      </c>
      <c r="I17" s="8">
        <f t="shared" si="2"/>
        <v>0.77504932803482174</v>
      </c>
      <c r="J17" s="8">
        <f t="shared" si="3"/>
        <v>0.82323597974798701</v>
      </c>
    </row>
    <row r="18" spans="2:10" x14ac:dyDescent="0.25">
      <c r="B18" s="1">
        <v>40087</v>
      </c>
      <c r="C18" s="5">
        <v>682.32094623</v>
      </c>
      <c r="D18" s="5">
        <v>1188.9364121999999</v>
      </c>
      <c r="E18" s="5">
        <v>1819.1084089999999</v>
      </c>
      <c r="F18" s="5">
        <v>0</v>
      </c>
      <c r="G18" s="10">
        <f t="shared" si="0"/>
        <v>2501.4293552300001</v>
      </c>
      <c r="H18" s="10">
        <f t="shared" si="1"/>
        <v>1188.9364121999999</v>
      </c>
      <c r="I18" s="8">
        <f t="shared" si="2"/>
        <v>0.67782694531442478</v>
      </c>
      <c r="J18" s="8">
        <f t="shared" si="3"/>
        <v>0.8324857528889007</v>
      </c>
    </row>
    <row r="19" spans="2:10" x14ac:dyDescent="0.25">
      <c r="B19" s="1">
        <v>40118</v>
      </c>
      <c r="C19" s="5">
        <v>664.46952251999994</v>
      </c>
      <c r="D19" s="5">
        <v>718.38830945000007</v>
      </c>
      <c r="E19" s="5">
        <v>1702.1827800000001</v>
      </c>
      <c r="F19" s="5">
        <v>0</v>
      </c>
      <c r="G19" s="10">
        <f t="shared" si="0"/>
        <v>2366.6523025199999</v>
      </c>
      <c r="H19" s="10">
        <f t="shared" si="1"/>
        <v>718.38830945000007</v>
      </c>
      <c r="I19" s="8">
        <f t="shared" si="2"/>
        <v>0.76713813534167308</v>
      </c>
      <c r="J19" s="8">
        <f t="shared" si="3"/>
        <v>0.8386926752820546</v>
      </c>
    </row>
    <row r="20" spans="2:10" x14ac:dyDescent="0.25">
      <c r="B20" s="1">
        <v>40148</v>
      </c>
      <c r="C20" s="5">
        <v>947.19441390999998</v>
      </c>
      <c r="D20" s="5">
        <v>788.01932762000001</v>
      </c>
      <c r="E20" s="5">
        <v>2454.5192040000002</v>
      </c>
      <c r="F20" s="5">
        <v>0</v>
      </c>
      <c r="G20" s="10">
        <f t="shared" si="0"/>
        <v>3401.7136179100003</v>
      </c>
      <c r="H20" s="10">
        <f t="shared" si="1"/>
        <v>788.01932762000001</v>
      </c>
      <c r="I20" s="8">
        <f t="shared" si="2"/>
        <v>0.81191657371366999</v>
      </c>
      <c r="J20" s="8">
        <f t="shared" si="3"/>
        <v>0.85804377125575237</v>
      </c>
    </row>
    <row r="21" spans="2:10" x14ac:dyDescent="0.25">
      <c r="B21" s="1">
        <v>40179</v>
      </c>
      <c r="C21" s="5">
        <v>737.94655778999993</v>
      </c>
      <c r="D21" s="5">
        <v>739.15034574000003</v>
      </c>
      <c r="E21" s="5">
        <v>1770.479963</v>
      </c>
      <c r="F21" s="5">
        <v>0</v>
      </c>
      <c r="G21" s="10">
        <f t="shared" si="0"/>
        <v>2508.4265207899998</v>
      </c>
      <c r="H21" s="10">
        <f t="shared" si="1"/>
        <v>739.15034574000003</v>
      </c>
      <c r="I21" s="8">
        <f t="shared" si="2"/>
        <v>0.77239943006190526</v>
      </c>
      <c r="J21" s="8">
        <f t="shared" si="3"/>
        <v>0.85942832003573455</v>
      </c>
    </row>
    <row r="22" spans="2:10" x14ac:dyDescent="0.25">
      <c r="B22" s="1">
        <v>40210</v>
      </c>
      <c r="C22" s="5">
        <v>819.32681758000001</v>
      </c>
      <c r="D22" s="5">
        <v>748.89095595000003</v>
      </c>
      <c r="E22" s="5">
        <v>1891.871069</v>
      </c>
      <c r="F22" s="5">
        <v>0</v>
      </c>
      <c r="G22" s="10">
        <f t="shared" si="0"/>
        <v>2711.1978865800002</v>
      </c>
      <c r="H22" s="10">
        <f t="shared" si="1"/>
        <v>748.89095595000003</v>
      </c>
      <c r="I22" s="8">
        <f t="shared" si="2"/>
        <v>0.78356308463963764</v>
      </c>
      <c r="J22" s="8">
        <f t="shared" si="3"/>
        <v>0.84617029308649749</v>
      </c>
    </row>
    <row r="23" spans="2:10" x14ac:dyDescent="0.25">
      <c r="B23" s="1">
        <v>40238</v>
      </c>
      <c r="C23" s="5">
        <v>716.42430824999997</v>
      </c>
      <c r="D23" s="5">
        <v>718.92873509000003</v>
      </c>
      <c r="E23" s="5">
        <v>2042.534249</v>
      </c>
      <c r="F23" s="5">
        <v>0</v>
      </c>
      <c r="G23" s="10">
        <f t="shared" si="0"/>
        <v>2758.95855725</v>
      </c>
      <c r="H23" s="10">
        <f t="shared" si="1"/>
        <v>718.92873509000003</v>
      </c>
      <c r="I23" s="8">
        <f t="shared" si="2"/>
        <v>0.79328578684150264</v>
      </c>
      <c r="J23" s="8">
        <f t="shared" si="3"/>
        <v>0.83141159550659127</v>
      </c>
    </row>
    <row r="24" spans="2:10" x14ac:dyDescent="0.25">
      <c r="B24" s="1">
        <v>40269</v>
      </c>
      <c r="C24" s="5">
        <v>648.53762725000001</v>
      </c>
      <c r="D24" s="5">
        <v>523.62793020999993</v>
      </c>
      <c r="E24" s="5">
        <v>1335.290105</v>
      </c>
      <c r="F24" s="5">
        <v>0</v>
      </c>
      <c r="G24" s="10">
        <f t="shared" si="0"/>
        <v>1983.8277322500001</v>
      </c>
      <c r="H24" s="10">
        <f t="shared" si="1"/>
        <v>523.62793020999993</v>
      </c>
      <c r="I24" s="8">
        <f t="shared" si="2"/>
        <v>0.79117160951261567</v>
      </c>
      <c r="J24" s="8">
        <f t="shared" si="3"/>
        <v>0.81656906503154014</v>
      </c>
    </row>
    <row r="25" spans="2:10" x14ac:dyDescent="0.25">
      <c r="B25" s="1">
        <v>40299</v>
      </c>
      <c r="C25" s="5">
        <v>595.23562700000002</v>
      </c>
      <c r="D25" s="5">
        <v>511.00573945999997</v>
      </c>
      <c r="E25" s="5">
        <v>1262.7667590000001</v>
      </c>
      <c r="F25" s="5">
        <v>0</v>
      </c>
      <c r="G25" s="10">
        <f t="shared" si="0"/>
        <v>1858.0023860000001</v>
      </c>
      <c r="H25" s="10">
        <f t="shared" si="1"/>
        <v>511.00573945999997</v>
      </c>
      <c r="I25" s="8">
        <f t="shared" si="2"/>
        <v>0.78429548891446887</v>
      </c>
      <c r="J25" s="8">
        <f t="shared" si="3"/>
        <v>0.80848131410613189</v>
      </c>
    </row>
    <row r="26" spans="2:10" x14ac:dyDescent="0.25">
      <c r="B26" s="1">
        <v>40330</v>
      </c>
      <c r="C26" s="5">
        <v>696.97956991000001</v>
      </c>
      <c r="D26" s="5">
        <v>472.80826100999997</v>
      </c>
      <c r="E26" s="5">
        <v>1646.2021360000001</v>
      </c>
      <c r="F26" s="5">
        <v>0</v>
      </c>
      <c r="G26" s="10">
        <f t="shared" si="0"/>
        <v>2343.1817059100003</v>
      </c>
      <c r="H26" s="10">
        <f t="shared" si="1"/>
        <v>472.80826100999997</v>
      </c>
      <c r="I26" s="8">
        <f t="shared" si="2"/>
        <v>0.83209874091734215</v>
      </c>
      <c r="J26" s="8">
        <f t="shared" si="3"/>
        <v>0.79816278587407119</v>
      </c>
    </row>
    <row r="27" spans="2:10" x14ac:dyDescent="0.25">
      <c r="B27" s="1">
        <v>40360</v>
      </c>
      <c r="C27" s="5">
        <v>638.94285279999997</v>
      </c>
      <c r="D27" s="5">
        <v>922.00623085999996</v>
      </c>
      <c r="E27" s="5">
        <v>1506.640936</v>
      </c>
      <c r="F27" s="5">
        <v>0</v>
      </c>
      <c r="G27" s="10">
        <f t="shared" si="0"/>
        <v>2145.5837888000001</v>
      </c>
      <c r="H27" s="10">
        <f t="shared" si="1"/>
        <v>922.00623085999996</v>
      </c>
      <c r="I27" s="8">
        <f t="shared" si="2"/>
        <v>0.69943629202373281</v>
      </c>
      <c r="J27" s="8">
        <f t="shared" si="3"/>
        <v>0.78025976565841082</v>
      </c>
    </row>
    <row r="28" spans="2:10" x14ac:dyDescent="0.25">
      <c r="B28" s="1">
        <v>40391</v>
      </c>
      <c r="C28" s="5">
        <v>747.51592340999991</v>
      </c>
      <c r="D28" s="5">
        <v>1029.4831750399999</v>
      </c>
      <c r="E28" s="5">
        <v>1203.4902549999999</v>
      </c>
      <c r="F28" s="5">
        <v>0</v>
      </c>
      <c r="G28" s="10">
        <f t="shared" si="0"/>
        <v>1951.0061784099998</v>
      </c>
      <c r="H28" s="10">
        <f t="shared" si="1"/>
        <v>1029.4831750399999</v>
      </c>
      <c r="I28" s="8">
        <f t="shared" si="2"/>
        <v>0.6545925675431975</v>
      </c>
      <c r="J28" s="8">
        <f t="shared" si="3"/>
        <v>0.761897831904916</v>
      </c>
    </row>
    <row r="29" spans="2:10" x14ac:dyDescent="0.25">
      <c r="B29" s="1">
        <v>40422</v>
      </c>
      <c r="C29" s="5">
        <v>1296.1718253900001</v>
      </c>
      <c r="D29" s="5">
        <v>1598.88402582</v>
      </c>
      <c r="E29" s="5">
        <v>1710.037296</v>
      </c>
      <c r="F29" s="5">
        <v>0</v>
      </c>
      <c r="G29" s="10">
        <f t="shared" si="0"/>
        <v>3006.2091213900003</v>
      </c>
      <c r="H29" s="10">
        <f t="shared" si="1"/>
        <v>1598.88402582</v>
      </c>
      <c r="I29" s="8">
        <f t="shared" si="2"/>
        <v>0.65280093698241803</v>
      </c>
      <c r="J29" s="8">
        <f t="shared" si="3"/>
        <v>0.75171046598388236</v>
      </c>
    </row>
    <row r="30" spans="2:10" x14ac:dyDescent="0.25">
      <c r="B30" s="1">
        <v>40452</v>
      </c>
      <c r="C30" s="5">
        <v>1364.39387781</v>
      </c>
      <c r="D30" s="5">
        <v>1726.02715997</v>
      </c>
      <c r="E30" s="5">
        <v>1353.1925080000001</v>
      </c>
      <c r="F30" s="5">
        <v>0</v>
      </c>
      <c r="G30" s="10">
        <f t="shared" si="0"/>
        <v>2717.5863858100001</v>
      </c>
      <c r="H30" s="10">
        <f t="shared" si="1"/>
        <v>1726.02715997</v>
      </c>
      <c r="I30" s="8">
        <f t="shared" si="2"/>
        <v>0.61157127140158951</v>
      </c>
      <c r="J30" s="8">
        <f t="shared" si="3"/>
        <v>0.74618915982447931</v>
      </c>
    </row>
    <row r="31" spans="2:10" x14ac:dyDescent="0.25">
      <c r="B31" s="1">
        <v>40483</v>
      </c>
      <c r="C31" s="5">
        <v>1397.82726482</v>
      </c>
      <c r="D31" s="5">
        <v>2022.07656705</v>
      </c>
      <c r="E31" s="5">
        <v>1553.8825549999999</v>
      </c>
      <c r="F31" s="5">
        <v>0</v>
      </c>
      <c r="G31" s="10">
        <f t="shared" si="0"/>
        <v>2951.7098198200001</v>
      </c>
      <c r="H31" s="10">
        <f t="shared" si="1"/>
        <v>2022.07656705</v>
      </c>
      <c r="I31" s="8">
        <f t="shared" si="2"/>
        <v>0.59345327487566435</v>
      </c>
      <c r="J31" s="8">
        <f t="shared" si="3"/>
        <v>0.73171542145231194</v>
      </c>
    </row>
    <row r="32" spans="2:10" x14ac:dyDescent="0.25">
      <c r="B32" s="1">
        <v>40513</v>
      </c>
      <c r="C32" s="5">
        <v>1887.4296508800001</v>
      </c>
      <c r="D32" s="5">
        <v>2649.7062066900003</v>
      </c>
      <c r="E32" s="5">
        <v>1811.3519449999999</v>
      </c>
      <c r="F32" s="5">
        <v>610.37305700000002</v>
      </c>
      <c r="G32" s="10">
        <f t="shared" si="0"/>
        <v>3698.7815958800002</v>
      </c>
      <c r="H32" s="10">
        <f t="shared" si="1"/>
        <v>3260.0792636900005</v>
      </c>
      <c r="I32" s="8">
        <f t="shared" si="2"/>
        <v>0.53152113119108313</v>
      </c>
      <c r="J32" s="8">
        <f t="shared" si="3"/>
        <v>0.7083491345754297</v>
      </c>
    </row>
    <row r="33" spans="2:10" x14ac:dyDescent="0.25">
      <c r="B33" s="1">
        <v>40544</v>
      </c>
      <c r="C33" s="5">
        <v>1624.9102627</v>
      </c>
      <c r="D33" s="5">
        <v>2379.72770292</v>
      </c>
      <c r="E33" s="5">
        <v>1393.0428890000001</v>
      </c>
      <c r="F33" s="5">
        <v>451.456526</v>
      </c>
      <c r="G33" s="10">
        <f t="shared" si="0"/>
        <v>3017.9531517</v>
      </c>
      <c r="H33" s="10">
        <f t="shared" si="1"/>
        <v>2831.1842289199999</v>
      </c>
      <c r="I33" s="8">
        <f t="shared" si="2"/>
        <v>0.51596551000826407</v>
      </c>
      <c r="J33" s="8">
        <f t="shared" si="3"/>
        <v>0.68697964123762645</v>
      </c>
    </row>
    <row r="34" spans="2:10" x14ac:dyDescent="0.25">
      <c r="B34" s="1">
        <v>40575</v>
      </c>
      <c r="C34" s="5">
        <v>1313.8441055200001</v>
      </c>
      <c r="D34" s="5">
        <v>1552.54619598</v>
      </c>
      <c r="E34" s="5">
        <v>1508.2804329999999</v>
      </c>
      <c r="F34" s="5">
        <v>1336.643816</v>
      </c>
      <c r="G34" s="10">
        <f t="shared" si="0"/>
        <v>2822.12453852</v>
      </c>
      <c r="H34" s="10">
        <f t="shared" si="1"/>
        <v>2889.1900119800002</v>
      </c>
      <c r="I34" s="8">
        <f t="shared" si="2"/>
        <v>0.49412871827781496</v>
      </c>
      <c r="J34" s="8">
        <f t="shared" si="3"/>
        <v>0.66286011070747441</v>
      </c>
    </row>
    <row r="35" spans="2:10" x14ac:dyDescent="0.25">
      <c r="B35" s="1">
        <v>40603</v>
      </c>
      <c r="C35" s="5">
        <v>1192.10853873</v>
      </c>
      <c r="D35" s="5">
        <v>1142.9126104500001</v>
      </c>
      <c r="E35" s="5">
        <v>799.51069500000006</v>
      </c>
      <c r="F35" s="5">
        <v>377.89864799999998</v>
      </c>
      <c r="G35" s="10">
        <f t="shared" si="0"/>
        <v>1991.6192337299999</v>
      </c>
      <c r="H35" s="10">
        <f t="shared" si="1"/>
        <v>1520.81125845</v>
      </c>
      <c r="I35" s="8">
        <f t="shared" si="2"/>
        <v>0.56702025510941734</v>
      </c>
      <c r="J35" s="8">
        <f t="shared" si="3"/>
        <v>0.64400464972980076</v>
      </c>
    </row>
    <row r="36" spans="2:10" x14ac:dyDescent="0.25">
      <c r="B36" s="1">
        <v>40634</v>
      </c>
      <c r="C36" s="5">
        <v>616.57182924000006</v>
      </c>
      <c r="D36" s="5">
        <v>602.16349935000005</v>
      </c>
      <c r="E36" s="5">
        <v>798.11460099999999</v>
      </c>
      <c r="F36" s="5">
        <v>585.43603399999995</v>
      </c>
      <c r="G36" s="10">
        <f t="shared" si="0"/>
        <v>1414.6864302399999</v>
      </c>
      <c r="H36" s="10">
        <f t="shared" si="1"/>
        <v>1187.59953335</v>
      </c>
      <c r="I36" s="8">
        <f t="shared" si="2"/>
        <v>0.54363219493693171</v>
      </c>
      <c r="J36" s="8">
        <f t="shared" si="3"/>
        <v>0.62337636518182704</v>
      </c>
    </row>
    <row r="37" spans="2:10" x14ac:dyDescent="0.25">
      <c r="B37" s="1">
        <v>40664</v>
      </c>
      <c r="C37" s="5">
        <v>521.68933636999998</v>
      </c>
      <c r="D37" s="5">
        <v>446.99881456999998</v>
      </c>
      <c r="E37" s="5">
        <v>681.30279900000005</v>
      </c>
      <c r="F37" s="5">
        <v>708.32998799999996</v>
      </c>
      <c r="G37" s="10">
        <f t="shared" si="0"/>
        <v>1202.9921353700001</v>
      </c>
      <c r="H37" s="10">
        <f t="shared" si="1"/>
        <v>1155.3288025699999</v>
      </c>
      <c r="I37" s="8">
        <f t="shared" si="2"/>
        <v>0.51010535335399143</v>
      </c>
      <c r="J37" s="8">
        <f t="shared" si="3"/>
        <v>0.60052718721845399</v>
      </c>
    </row>
    <row r="38" spans="2:10" x14ac:dyDescent="0.25">
      <c r="B38" s="1">
        <v>40695</v>
      </c>
      <c r="C38" s="5">
        <v>591.90932151000004</v>
      </c>
      <c r="D38" s="5">
        <v>602.4657582000001</v>
      </c>
      <c r="E38" s="5">
        <v>805.08011199999999</v>
      </c>
      <c r="F38" s="5">
        <v>834.73699799999997</v>
      </c>
      <c r="G38" s="10">
        <f t="shared" si="0"/>
        <v>1396.98943351</v>
      </c>
      <c r="H38" s="10">
        <f t="shared" si="1"/>
        <v>1437.2027562000001</v>
      </c>
      <c r="I38" s="8">
        <f t="shared" si="2"/>
        <v>0.49290568176074984</v>
      </c>
      <c r="J38" s="8">
        <f t="shared" si="3"/>
        <v>0.57226109895540456</v>
      </c>
    </row>
    <row r="39" spans="2:10" x14ac:dyDescent="0.25">
      <c r="B39" s="1">
        <v>40725</v>
      </c>
      <c r="C39" s="5">
        <v>481.16573707999999</v>
      </c>
      <c r="D39" s="5">
        <v>758.66686860000004</v>
      </c>
      <c r="E39" s="5">
        <v>593.19938100000002</v>
      </c>
      <c r="F39" s="5">
        <v>575.80916200000001</v>
      </c>
      <c r="G39" s="10">
        <f t="shared" si="0"/>
        <v>1074.36511808</v>
      </c>
      <c r="H39" s="10">
        <f t="shared" si="1"/>
        <v>1334.4760306000001</v>
      </c>
      <c r="I39" s="8">
        <f t="shared" si="2"/>
        <v>0.44600911881164601</v>
      </c>
      <c r="J39" s="8">
        <f t="shared" si="3"/>
        <v>0.5511421678543974</v>
      </c>
    </row>
    <row r="40" spans="2:10" x14ac:dyDescent="0.25">
      <c r="B40" s="1">
        <v>40756</v>
      </c>
      <c r="C40" s="5">
        <v>686.01537882000002</v>
      </c>
      <c r="D40" s="5">
        <v>1090.2627758499998</v>
      </c>
      <c r="E40" s="5">
        <v>872.97321699999998</v>
      </c>
      <c r="F40" s="5">
        <v>543.05413299999998</v>
      </c>
      <c r="G40" s="10">
        <f t="shared" si="0"/>
        <v>1558.98859582</v>
      </c>
      <c r="H40" s="10">
        <f t="shared" si="1"/>
        <v>1633.3169088499999</v>
      </c>
      <c r="I40" s="8">
        <f t="shared" si="2"/>
        <v>0.48835820805351088</v>
      </c>
      <c r="J40" s="8">
        <f t="shared" si="3"/>
        <v>0.53728930456359014</v>
      </c>
    </row>
    <row r="41" spans="2:10" x14ac:dyDescent="0.25">
      <c r="B41" s="1">
        <v>40787</v>
      </c>
      <c r="C41" s="5">
        <v>878.92710008000006</v>
      </c>
      <c r="D41" s="5">
        <v>1536.27480816</v>
      </c>
      <c r="E41" s="5">
        <v>907.23337200000003</v>
      </c>
      <c r="F41" s="5">
        <v>749.484915</v>
      </c>
      <c r="G41" s="10">
        <f t="shared" si="0"/>
        <v>1786.1604720800001</v>
      </c>
      <c r="H41" s="10">
        <f t="shared" si="1"/>
        <v>2285.7597231600002</v>
      </c>
      <c r="I41" s="8">
        <f t="shared" si="2"/>
        <v>0.43865311362633991</v>
      </c>
      <c r="J41" s="8">
        <f t="shared" si="3"/>
        <v>0.51944365261725023</v>
      </c>
    </row>
    <row r="42" spans="2:10" x14ac:dyDescent="0.25">
      <c r="B42" s="1">
        <v>40817</v>
      </c>
      <c r="C42" s="5">
        <v>968.60258482000006</v>
      </c>
      <c r="D42" s="5">
        <v>2484.6715368600003</v>
      </c>
      <c r="E42" s="5">
        <v>1098.3930869999999</v>
      </c>
      <c r="F42" s="5">
        <v>1039.8592900000001</v>
      </c>
      <c r="G42" s="10">
        <f t="shared" si="0"/>
        <v>2066.9956718200001</v>
      </c>
      <c r="H42" s="10">
        <f t="shared" si="1"/>
        <v>3524.5308268600002</v>
      </c>
      <c r="I42" s="8">
        <f t="shared" si="2"/>
        <v>0.36966572049832164</v>
      </c>
      <c r="J42" s="8">
        <f t="shared" si="3"/>
        <v>0.49928485670864459</v>
      </c>
    </row>
    <row r="43" spans="2:10" x14ac:dyDescent="0.25">
      <c r="B43" s="1">
        <v>40848</v>
      </c>
      <c r="C43" s="5">
        <v>1245.7427529500001</v>
      </c>
      <c r="D43" s="5">
        <v>2688.4103234999998</v>
      </c>
      <c r="E43" s="5">
        <v>1057.791843</v>
      </c>
      <c r="F43" s="5">
        <v>937.55090399999995</v>
      </c>
      <c r="G43" s="10">
        <f t="shared" si="0"/>
        <v>2303.53459595</v>
      </c>
      <c r="H43" s="10">
        <f t="shared" si="1"/>
        <v>3625.9612274999999</v>
      </c>
      <c r="I43" s="8">
        <f t="shared" si="2"/>
        <v>0.38848743038825828</v>
      </c>
      <c r="J43" s="8">
        <f t="shared" si="3"/>
        <v>0.48220436966802743</v>
      </c>
    </row>
    <row r="44" spans="2:10" x14ac:dyDescent="0.25">
      <c r="B44" s="1">
        <v>40878</v>
      </c>
      <c r="C44" s="5">
        <v>2127.2690954099999</v>
      </c>
      <c r="D44" s="5">
        <v>1246.5573422100001</v>
      </c>
      <c r="E44" s="5">
        <v>785.326233</v>
      </c>
      <c r="F44" s="5">
        <v>554.532825</v>
      </c>
      <c r="G44" s="10">
        <f t="shared" si="0"/>
        <v>2912.5953284099996</v>
      </c>
      <c r="H44" s="10">
        <f t="shared" si="1"/>
        <v>1801.0901672100001</v>
      </c>
      <c r="I44" s="8">
        <f t="shared" si="2"/>
        <v>0.61790192220427309</v>
      </c>
      <c r="J44" s="8">
        <f t="shared" si="3"/>
        <v>0.48940276891912654</v>
      </c>
    </row>
    <row r="45" spans="2:10" x14ac:dyDescent="0.25">
      <c r="B45" s="1">
        <v>40909</v>
      </c>
      <c r="C45" s="5">
        <v>1980.3033357899999</v>
      </c>
      <c r="D45" s="5">
        <v>1473.30083156</v>
      </c>
      <c r="E45" s="5">
        <v>1169.540285</v>
      </c>
      <c r="F45" s="5">
        <v>1187.740691</v>
      </c>
      <c r="G45" s="10">
        <f t="shared" si="0"/>
        <v>3149.8436207899999</v>
      </c>
      <c r="H45" s="10">
        <f t="shared" si="1"/>
        <v>2661.04152256</v>
      </c>
      <c r="I45" s="8">
        <f t="shared" si="2"/>
        <v>0.54205917740341047</v>
      </c>
      <c r="J45" s="8">
        <f t="shared" si="3"/>
        <v>0.49157724120205537</v>
      </c>
    </row>
    <row r="46" spans="2:10" x14ac:dyDescent="0.25">
      <c r="B46" s="1">
        <v>40940</v>
      </c>
      <c r="C46" s="5">
        <v>2127.2095162999999</v>
      </c>
      <c r="D46" s="5">
        <v>1461.1366036099998</v>
      </c>
      <c r="E46" s="5">
        <v>1766.0224599999999</v>
      </c>
      <c r="F46" s="5">
        <v>948.72131400000001</v>
      </c>
      <c r="G46" s="10">
        <f t="shared" si="0"/>
        <v>3893.2319762999996</v>
      </c>
      <c r="H46" s="10">
        <f t="shared" si="1"/>
        <v>2409.8579176099997</v>
      </c>
      <c r="I46" s="8">
        <f t="shared" si="2"/>
        <v>0.6176703873542424</v>
      </c>
      <c r="J46" s="8">
        <f t="shared" si="3"/>
        <v>0.50187238029175762</v>
      </c>
    </row>
    <row r="47" spans="2:10" x14ac:dyDescent="0.25">
      <c r="B47" s="1">
        <v>40969</v>
      </c>
      <c r="C47" s="5">
        <v>3980.86675139</v>
      </c>
      <c r="D47" s="5">
        <v>2736.4703261100003</v>
      </c>
      <c r="E47" s="5">
        <v>1175.0872360000001</v>
      </c>
      <c r="F47" s="5">
        <v>1336.764764</v>
      </c>
      <c r="G47" s="10">
        <f t="shared" si="0"/>
        <v>5155.9539873900003</v>
      </c>
      <c r="H47" s="10">
        <f t="shared" si="1"/>
        <v>4073.2350901100003</v>
      </c>
      <c r="I47" s="8">
        <f t="shared" si="2"/>
        <v>0.55865731475366442</v>
      </c>
      <c r="J47" s="8">
        <f t="shared" si="3"/>
        <v>0.50117546859544493</v>
      </c>
    </row>
    <row r="48" spans="2:10" x14ac:dyDescent="0.25">
      <c r="B48" s="1">
        <v>41000</v>
      </c>
      <c r="C48" s="5">
        <v>1686.15094694</v>
      </c>
      <c r="D48" s="5">
        <v>853.50431047000006</v>
      </c>
      <c r="E48" s="5">
        <v>705.64897599999995</v>
      </c>
      <c r="F48" s="5">
        <v>460.31071900000001</v>
      </c>
      <c r="G48" s="10">
        <f t="shared" si="0"/>
        <v>2391.7999229400002</v>
      </c>
      <c r="H48" s="10">
        <f t="shared" si="1"/>
        <v>1313.8150294700001</v>
      </c>
      <c r="I48" s="8">
        <f t="shared" si="2"/>
        <v>0.64545290151758983</v>
      </c>
      <c r="J48" s="8">
        <f t="shared" si="3"/>
        <v>0.5096605274771665</v>
      </c>
    </row>
    <row r="49" spans="2:10" x14ac:dyDescent="0.25">
      <c r="B49" s="1">
        <v>41030</v>
      </c>
      <c r="C49" s="5">
        <v>2811.50870872</v>
      </c>
      <c r="D49" s="5">
        <v>1599.8055503099999</v>
      </c>
      <c r="E49" s="5">
        <v>654.30118000000004</v>
      </c>
      <c r="F49" s="5">
        <v>733.37060599999995</v>
      </c>
      <c r="G49" s="10">
        <f t="shared" si="0"/>
        <v>3465.8098887199999</v>
      </c>
      <c r="H49" s="10">
        <f t="shared" si="1"/>
        <v>2333.1761563099999</v>
      </c>
      <c r="I49" s="8">
        <f t="shared" si="2"/>
        <v>0.59765791153961467</v>
      </c>
      <c r="J49" s="8">
        <f t="shared" si="3"/>
        <v>0.51695657399263506</v>
      </c>
    </row>
    <row r="50" spans="2:10" x14ac:dyDescent="0.25">
      <c r="B50" s="1">
        <v>41061</v>
      </c>
      <c r="C50" s="5">
        <v>1928.73198873</v>
      </c>
      <c r="D50" s="5">
        <v>1933.5335746800001</v>
      </c>
      <c r="E50" s="5">
        <v>1431.0790280000001</v>
      </c>
      <c r="F50" s="5">
        <v>1000.582467</v>
      </c>
      <c r="G50" s="10">
        <f t="shared" si="0"/>
        <v>3359.8110167300001</v>
      </c>
      <c r="H50" s="10">
        <f t="shared" si="1"/>
        <v>2934.1160416800003</v>
      </c>
      <c r="I50" s="8">
        <f t="shared" si="2"/>
        <v>0.53381791456267214</v>
      </c>
      <c r="J50" s="8">
        <f t="shared" si="3"/>
        <v>0.52036592672612858</v>
      </c>
    </row>
    <row r="51" spans="2:10" x14ac:dyDescent="0.25">
      <c r="B51" s="1">
        <v>41091</v>
      </c>
      <c r="C51" s="5">
        <v>2474.9928784699996</v>
      </c>
      <c r="D51" s="5">
        <v>2650.3830299599999</v>
      </c>
      <c r="E51" s="5">
        <v>838.14435100000003</v>
      </c>
      <c r="F51" s="5">
        <v>689.048269</v>
      </c>
      <c r="G51" s="10">
        <f t="shared" si="0"/>
        <v>3313.1372294699995</v>
      </c>
      <c r="H51" s="10">
        <f t="shared" si="1"/>
        <v>3339.4312989599998</v>
      </c>
      <c r="I51" s="8">
        <f t="shared" si="2"/>
        <v>0.49802376560439537</v>
      </c>
      <c r="J51" s="8">
        <f t="shared" si="3"/>
        <v>0.52470048062552443</v>
      </c>
    </row>
    <row r="52" spans="2:10" x14ac:dyDescent="0.25">
      <c r="B52" s="1">
        <v>41122</v>
      </c>
      <c r="C52" s="5">
        <v>2758.32790204</v>
      </c>
      <c r="D52" s="5">
        <v>3094.3305898600001</v>
      </c>
      <c r="E52" s="5">
        <v>1427.5400569999999</v>
      </c>
      <c r="F52" s="5">
        <v>822.36933799999997</v>
      </c>
      <c r="G52" s="10">
        <f t="shared" si="0"/>
        <v>4185.8679590399997</v>
      </c>
      <c r="H52" s="10">
        <f t="shared" si="1"/>
        <v>3916.6999278600001</v>
      </c>
      <c r="I52" s="8">
        <f t="shared" si="2"/>
        <v>0.51661004479920392</v>
      </c>
      <c r="J52" s="8">
        <f t="shared" si="3"/>
        <v>0.52705480035433216</v>
      </c>
    </row>
    <row r="53" spans="2:10" x14ac:dyDescent="0.25">
      <c r="B53" s="1">
        <v>41153</v>
      </c>
      <c r="C53" s="5">
        <v>3214.4061111300002</v>
      </c>
      <c r="D53" s="5">
        <v>2917.6214632199999</v>
      </c>
      <c r="E53" s="5">
        <v>1315.5551149999999</v>
      </c>
      <c r="F53" s="5">
        <v>1410.1802379999999</v>
      </c>
      <c r="G53" s="10">
        <f t="shared" si="0"/>
        <v>4529.9612261299999</v>
      </c>
      <c r="H53" s="10">
        <f t="shared" si="1"/>
        <v>4327.8017012199998</v>
      </c>
      <c r="I53" s="8">
        <f t="shared" si="2"/>
        <v>0.51141143235420061</v>
      </c>
      <c r="J53" s="8">
        <f t="shared" si="3"/>
        <v>0.5331179935816539</v>
      </c>
    </row>
    <row r="54" spans="2:10" x14ac:dyDescent="0.25">
      <c r="B54" s="1">
        <v>41183</v>
      </c>
      <c r="C54" s="5">
        <v>2336.5656242499999</v>
      </c>
      <c r="D54" s="5">
        <v>2042.1274472</v>
      </c>
      <c r="E54" s="5">
        <v>1971.630467</v>
      </c>
      <c r="F54" s="5">
        <v>1838.4637130000001</v>
      </c>
      <c r="G54" s="10">
        <f t="shared" si="0"/>
        <v>4308.1960912499999</v>
      </c>
      <c r="H54" s="10">
        <f t="shared" si="1"/>
        <v>3880.5911602000001</v>
      </c>
      <c r="I54" s="8">
        <f t="shared" si="2"/>
        <v>0.52610917330733464</v>
      </c>
      <c r="J54" s="8">
        <f t="shared" si="3"/>
        <v>0.54615494798240494</v>
      </c>
    </row>
    <row r="55" spans="2:10" x14ac:dyDescent="0.25">
      <c r="B55" s="1">
        <v>41214</v>
      </c>
      <c r="C55" s="5">
        <v>4573.57854382</v>
      </c>
      <c r="D55" s="5">
        <v>3705.7769991300001</v>
      </c>
      <c r="E55" s="5">
        <v>2324.1323400000001</v>
      </c>
      <c r="F55" s="5">
        <v>1977.6695790000001</v>
      </c>
      <c r="G55" s="10">
        <f t="shared" si="0"/>
        <v>6897.7108838200002</v>
      </c>
      <c r="H55" s="10">
        <f t="shared" si="1"/>
        <v>5683.4465781300005</v>
      </c>
      <c r="I55" s="8">
        <f t="shared" si="2"/>
        <v>0.54825725730571206</v>
      </c>
      <c r="J55" s="8">
        <f t="shared" si="3"/>
        <v>0.55946910022552621</v>
      </c>
    </row>
    <row r="56" spans="2:10" x14ac:dyDescent="0.25">
      <c r="B56" s="1">
        <v>41244</v>
      </c>
      <c r="C56" s="5">
        <v>2507.9353104899997</v>
      </c>
      <c r="D56" s="5">
        <v>1215.7191757000001</v>
      </c>
      <c r="E56" s="5">
        <v>1108.6370750000001</v>
      </c>
      <c r="F56" s="5">
        <v>508.22626700000001</v>
      </c>
      <c r="G56" s="10">
        <f t="shared" si="0"/>
        <v>3616.5723854899998</v>
      </c>
      <c r="H56" s="10">
        <f t="shared" si="1"/>
        <v>1723.9454427000001</v>
      </c>
      <c r="I56" s="8">
        <f t="shared" si="2"/>
        <v>0.67719507767577714</v>
      </c>
      <c r="J56" s="8">
        <f t="shared" si="3"/>
        <v>0.56441019651481816</v>
      </c>
    </row>
    <row r="57" spans="2:10" x14ac:dyDescent="0.25">
      <c r="B57" s="1">
        <v>41275</v>
      </c>
      <c r="C57" s="5">
        <v>3266.92441263</v>
      </c>
      <c r="D57" s="5">
        <v>3316.37946199</v>
      </c>
      <c r="E57" s="5">
        <v>1516.281743</v>
      </c>
      <c r="F57" s="5">
        <v>1318.93094</v>
      </c>
      <c r="G57" s="10">
        <f t="shared" si="0"/>
        <v>4783.2061556299996</v>
      </c>
      <c r="H57" s="10">
        <f t="shared" si="1"/>
        <v>4635.3104019900002</v>
      </c>
      <c r="I57" s="8">
        <f t="shared" si="2"/>
        <v>0.50785132949202838</v>
      </c>
      <c r="J57" s="8">
        <f t="shared" si="3"/>
        <v>0.56155954252220297</v>
      </c>
    </row>
    <row r="58" spans="2:10" x14ac:dyDescent="0.25">
      <c r="B58" s="1">
        <v>41306</v>
      </c>
      <c r="C58" s="5">
        <v>3488.8091495799999</v>
      </c>
      <c r="D58" s="5">
        <v>1890.68509546</v>
      </c>
      <c r="E58" s="5">
        <v>1615.6254799999999</v>
      </c>
      <c r="F58" s="5">
        <v>1051.991712</v>
      </c>
      <c r="G58" s="10">
        <f t="shared" si="0"/>
        <v>5104.4346295799996</v>
      </c>
      <c r="H58" s="10">
        <f t="shared" si="1"/>
        <v>2942.67680746</v>
      </c>
      <c r="I58" s="8">
        <f t="shared" si="2"/>
        <v>0.63431886951196292</v>
      </c>
      <c r="J58" s="8">
        <f t="shared" si="3"/>
        <v>0.56294691603534641</v>
      </c>
    </row>
    <row r="59" spans="2:10" x14ac:dyDescent="0.25">
      <c r="B59" s="1">
        <v>41334</v>
      </c>
      <c r="C59" s="5">
        <v>2657.4002309799998</v>
      </c>
      <c r="D59" s="5">
        <v>2119.3461697500002</v>
      </c>
      <c r="E59" s="5">
        <v>2208.524907</v>
      </c>
      <c r="F59" s="5">
        <v>1363.3183079999999</v>
      </c>
      <c r="G59" s="10">
        <f t="shared" si="0"/>
        <v>4865.9251379799998</v>
      </c>
      <c r="H59" s="10">
        <f t="shared" si="1"/>
        <v>3482.6644777500001</v>
      </c>
      <c r="I59" s="8">
        <f t="shared" si="2"/>
        <v>0.58284397268873589</v>
      </c>
      <c r="J59" s="8">
        <f t="shared" si="3"/>
        <v>0.56496247086326901</v>
      </c>
    </row>
    <row r="60" spans="2:10" x14ac:dyDescent="0.25">
      <c r="B60" s="1">
        <v>41365</v>
      </c>
      <c r="C60" s="5">
        <v>3031.5269466700001</v>
      </c>
      <c r="D60" s="5">
        <v>2274.4226723400002</v>
      </c>
      <c r="E60" s="5">
        <v>1654.8276350000001</v>
      </c>
      <c r="F60" s="5">
        <v>572.66619100000003</v>
      </c>
      <c r="G60" s="10">
        <f t="shared" si="0"/>
        <v>4686.3545816700007</v>
      </c>
      <c r="H60" s="10">
        <f t="shared" si="1"/>
        <v>2847.08886334</v>
      </c>
      <c r="I60" s="8">
        <f t="shared" si="2"/>
        <v>0.62207337399926277</v>
      </c>
      <c r="J60" s="8">
        <f t="shared" si="3"/>
        <v>0.56301417690340838</v>
      </c>
    </row>
    <row r="61" spans="2:10" x14ac:dyDescent="0.25">
      <c r="B61" s="1">
        <v>41395</v>
      </c>
      <c r="C61" s="5">
        <v>3372.1214299600001</v>
      </c>
      <c r="D61" s="5">
        <v>2021.0620334600001</v>
      </c>
      <c r="E61" s="5">
        <v>1583.510845</v>
      </c>
      <c r="F61" s="5">
        <v>735.22635200000002</v>
      </c>
      <c r="G61" s="10">
        <f t="shared" si="0"/>
        <v>4955.6322749600004</v>
      </c>
      <c r="H61" s="10">
        <f t="shared" si="1"/>
        <v>2756.28838546</v>
      </c>
      <c r="I61" s="8">
        <f t="shared" si="2"/>
        <v>0.64259378346484575</v>
      </c>
      <c r="J61" s="8">
        <f t="shared" si="3"/>
        <v>0.56675883289717777</v>
      </c>
    </row>
    <row r="62" spans="2:10" x14ac:dyDescent="0.25">
      <c r="B62" s="1">
        <v>41426</v>
      </c>
      <c r="C62" s="5">
        <v>3112.9677324200002</v>
      </c>
      <c r="D62" s="5">
        <v>2420.6405753700001</v>
      </c>
      <c r="E62" s="5">
        <v>1926.5647819999999</v>
      </c>
      <c r="F62" s="5">
        <v>736.24134500000002</v>
      </c>
      <c r="G62" s="10">
        <f t="shared" si="0"/>
        <v>5039.5325144199996</v>
      </c>
      <c r="H62" s="10">
        <f t="shared" si="1"/>
        <v>3156.88192037</v>
      </c>
      <c r="I62" s="8">
        <f t="shared" si="2"/>
        <v>0.61484598595082107</v>
      </c>
      <c r="J62" s="8">
        <f t="shared" si="3"/>
        <v>0.57351117217952341</v>
      </c>
    </row>
    <row r="63" spans="2:10" x14ac:dyDescent="0.25">
      <c r="B63" s="1">
        <v>41456</v>
      </c>
      <c r="C63" s="5">
        <v>3536.8480260599999</v>
      </c>
      <c r="D63" s="5">
        <v>1887.0407403900001</v>
      </c>
      <c r="E63" s="5">
        <v>1762.4637929999999</v>
      </c>
      <c r="F63" s="5">
        <v>722.77097800000001</v>
      </c>
      <c r="G63" s="10">
        <f t="shared" si="0"/>
        <v>5299.3118190599998</v>
      </c>
      <c r="H63" s="10">
        <f t="shared" si="1"/>
        <v>2609.8117183900004</v>
      </c>
      <c r="I63" s="8">
        <f t="shared" si="2"/>
        <v>0.6700251670071351</v>
      </c>
      <c r="J63" s="8">
        <f t="shared" si="3"/>
        <v>0.58784462229641843</v>
      </c>
    </row>
    <row r="64" spans="2:10" x14ac:dyDescent="0.25">
      <c r="B64" s="1">
        <v>41487</v>
      </c>
      <c r="C64" s="5">
        <v>3201.45095231</v>
      </c>
      <c r="D64" s="5">
        <v>1636.01085556</v>
      </c>
      <c r="E64" s="5">
        <v>1625.280334</v>
      </c>
      <c r="F64" s="5">
        <v>641.97955000000002</v>
      </c>
      <c r="G64" s="10">
        <f t="shared" si="0"/>
        <v>4826.7312863099996</v>
      </c>
      <c r="H64" s="10">
        <f t="shared" si="1"/>
        <v>2277.99040556</v>
      </c>
      <c r="I64" s="8">
        <f t="shared" si="2"/>
        <v>0.67936950884835845</v>
      </c>
      <c r="J64" s="8">
        <f t="shared" si="3"/>
        <v>0.60140791096718116</v>
      </c>
    </row>
    <row r="65" spans="2:10" x14ac:dyDescent="0.25">
      <c r="B65" s="1">
        <v>41518</v>
      </c>
      <c r="C65" s="5">
        <v>2429.21463318</v>
      </c>
      <c r="D65" s="5">
        <v>958.34876932000009</v>
      </c>
      <c r="E65" s="5">
        <v>1137.7817789999999</v>
      </c>
      <c r="F65" s="5">
        <v>444.25852800000001</v>
      </c>
      <c r="G65" s="10">
        <f t="shared" si="0"/>
        <v>3566.9964121799999</v>
      </c>
      <c r="H65" s="10">
        <f t="shared" si="1"/>
        <v>1402.60729732</v>
      </c>
      <c r="I65" s="8">
        <f t="shared" si="2"/>
        <v>0.71776274743220547</v>
      </c>
      <c r="J65" s="8">
        <f t="shared" si="3"/>
        <v>0.61860385389034833</v>
      </c>
    </row>
    <row r="66" spans="2:10" x14ac:dyDescent="0.25">
      <c r="B66" s="1">
        <v>41548</v>
      </c>
      <c r="C66" s="5">
        <v>2234.5704828400003</v>
      </c>
      <c r="D66" s="5">
        <v>842.28239176</v>
      </c>
      <c r="E66" s="5">
        <v>867.52593100000001</v>
      </c>
      <c r="F66" s="5">
        <v>422.31842499999999</v>
      </c>
      <c r="G66" s="10">
        <f t="shared" si="0"/>
        <v>3102.0964138400004</v>
      </c>
      <c r="H66" s="10">
        <f t="shared" si="1"/>
        <v>1264.60081676</v>
      </c>
      <c r="I66" s="8">
        <f t="shared" si="2"/>
        <v>0.71039878654782773</v>
      </c>
      <c r="J66" s="8">
        <f t="shared" si="3"/>
        <v>0.63396132166038932</v>
      </c>
    </row>
    <row r="67" spans="2:10" x14ac:dyDescent="0.25">
      <c r="B67" s="1">
        <v>41579</v>
      </c>
      <c r="C67" s="5">
        <v>1817.0611557</v>
      </c>
      <c r="D67" s="5">
        <v>778.89035117999993</v>
      </c>
      <c r="E67" s="5">
        <v>934.82079399999998</v>
      </c>
      <c r="F67" s="5">
        <v>358.176827</v>
      </c>
      <c r="G67" s="10">
        <f t="shared" si="0"/>
        <v>2751.8819497</v>
      </c>
      <c r="H67" s="10">
        <f t="shared" si="1"/>
        <v>1137.0671781799999</v>
      </c>
      <c r="I67" s="8">
        <f t="shared" si="2"/>
        <v>0.70761582607796825</v>
      </c>
      <c r="J67" s="8">
        <f t="shared" si="3"/>
        <v>0.6472412023914107</v>
      </c>
    </row>
    <row r="68" spans="2:10" x14ac:dyDescent="0.25">
      <c r="B68" s="1">
        <v>41609</v>
      </c>
      <c r="C68" s="5">
        <v>1674.904998</v>
      </c>
      <c r="D68" s="5">
        <v>648.23690099999999</v>
      </c>
      <c r="E68" s="5">
        <v>1143.211818</v>
      </c>
      <c r="F68" s="5">
        <v>508.81415199999998</v>
      </c>
      <c r="G68" s="10">
        <f t="shared" ref="G68:G92" si="4">C68+E68</f>
        <v>2818.1168159999997</v>
      </c>
      <c r="H68" s="10">
        <f t="shared" ref="H68:H92" si="5">D68+F68</f>
        <v>1157.0510529999999</v>
      </c>
      <c r="I68" s="8">
        <f t="shared" ref="I68:I92" si="6">G68/(G68+H68)</f>
        <v>0.7089302663107232</v>
      </c>
      <c r="J68" s="8">
        <f t="shared" si="3"/>
        <v>0.64988580144432284</v>
      </c>
    </row>
    <row r="69" spans="2:10" x14ac:dyDescent="0.25">
      <c r="B69" s="1">
        <v>41640</v>
      </c>
      <c r="C69" s="5">
        <v>1289.4644701</v>
      </c>
      <c r="D69" s="5">
        <v>392.92329312999999</v>
      </c>
      <c r="E69" s="5">
        <v>970.39541499999996</v>
      </c>
      <c r="F69" s="5">
        <v>333.04071299999998</v>
      </c>
      <c r="G69" s="10">
        <f t="shared" si="4"/>
        <v>2259.8598850999997</v>
      </c>
      <c r="H69" s="10">
        <f t="shared" si="5"/>
        <v>725.96400612999992</v>
      </c>
      <c r="I69" s="8">
        <f t="shared" si="6"/>
        <v>0.75686308617788522</v>
      </c>
      <c r="J69" s="8">
        <f t="shared" si="3"/>
        <v>0.67063678116814429</v>
      </c>
    </row>
    <row r="70" spans="2:10" x14ac:dyDescent="0.25">
      <c r="B70" s="1">
        <v>41671</v>
      </c>
      <c r="C70" s="5">
        <v>1289.68425688</v>
      </c>
      <c r="D70" s="5">
        <v>365.05925343000001</v>
      </c>
      <c r="E70" s="5">
        <v>914.67768799999999</v>
      </c>
      <c r="F70" s="5">
        <v>210.52046000000001</v>
      </c>
      <c r="G70" s="10">
        <f t="shared" si="4"/>
        <v>2204.36194488</v>
      </c>
      <c r="H70" s="10">
        <f t="shared" si="5"/>
        <v>575.57971343000008</v>
      </c>
      <c r="I70" s="8">
        <f t="shared" si="6"/>
        <v>0.79295259247278227</v>
      </c>
      <c r="J70" s="8">
        <f t="shared" si="3"/>
        <v>0.68385625808154593</v>
      </c>
    </row>
    <row r="71" spans="2:10" x14ac:dyDescent="0.25">
      <c r="B71" s="1">
        <v>41699</v>
      </c>
      <c r="C71" s="5">
        <v>1083.6101114999999</v>
      </c>
      <c r="D71" s="5">
        <v>230.34604300000001</v>
      </c>
      <c r="E71" s="5">
        <v>676.41484100000002</v>
      </c>
      <c r="F71" s="5">
        <v>306.40432399999997</v>
      </c>
      <c r="G71" s="10">
        <f t="shared" si="4"/>
        <v>1760.0249524999999</v>
      </c>
      <c r="H71" s="10">
        <f t="shared" si="5"/>
        <v>536.75036699999998</v>
      </c>
      <c r="I71" s="8">
        <f t="shared" si="6"/>
        <v>0.76630262331587196</v>
      </c>
      <c r="J71" s="8">
        <f t="shared" si="3"/>
        <v>0.6991444789671406</v>
      </c>
    </row>
    <row r="72" spans="2:10" x14ac:dyDescent="0.25">
      <c r="B72" s="1">
        <v>41730</v>
      </c>
      <c r="C72" s="5">
        <v>1353.4727244999999</v>
      </c>
      <c r="D72" s="5">
        <v>278.39926800000001</v>
      </c>
      <c r="E72" s="5">
        <v>882.30373499999996</v>
      </c>
      <c r="F72" s="5">
        <v>369.74398100000002</v>
      </c>
      <c r="G72" s="10">
        <f t="shared" si="4"/>
        <v>2235.7764594999999</v>
      </c>
      <c r="H72" s="10">
        <f t="shared" si="5"/>
        <v>648.14324899999997</v>
      </c>
      <c r="I72" s="8">
        <f t="shared" si="6"/>
        <v>0.77525613938221749</v>
      </c>
      <c r="J72" s="8">
        <f t="shared" si="3"/>
        <v>0.71190970941572029</v>
      </c>
    </row>
    <row r="73" spans="2:10" x14ac:dyDescent="0.25">
      <c r="B73" s="1">
        <v>41760</v>
      </c>
      <c r="C73" s="5">
        <v>1307.60900225</v>
      </c>
      <c r="D73" s="5">
        <v>337.93402900000001</v>
      </c>
      <c r="E73" s="5">
        <v>922.53741100000002</v>
      </c>
      <c r="F73" s="5">
        <v>371.025644</v>
      </c>
      <c r="G73" s="10">
        <f t="shared" si="4"/>
        <v>2230.14641325</v>
      </c>
      <c r="H73" s="10">
        <f t="shared" si="5"/>
        <v>708.95967300000007</v>
      </c>
      <c r="I73" s="8">
        <f t="shared" si="6"/>
        <v>0.75878391177619575</v>
      </c>
      <c r="J73" s="8">
        <f t="shared" si="3"/>
        <v>0.72159222010833268</v>
      </c>
    </row>
    <row r="74" spans="2:10" x14ac:dyDescent="0.25">
      <c r="B74" s="1">
        <v>41791</v>
      </c>
      <c r="C74" s="5">
        <v>1512.22689494</v>
      </c>
      <c r="D74" s="5">
        <v>320.12184158999997</v>
      </c>
      <c r="E74" s="5">
        <v>1086.9599599999999</v>
      </c>
      <c r="F74" s="5">
        <v>378.30252400000001</v>
      </c>
      <c r="G74" s="10">
        <f t="shared" si="4"/>
        <v>2599.1868549399996</v>
      </c>
      <c r="H74" s="10">
        <f t="shared" si="5"/>
        <v>698.42436558999998</v>
      </c>
      <c r="I74" s="8">
        <f t="shared" si="6"/>
        <v>0.78820293876918956</v>
      </c>
      <c r="J74" s="8">
        <f t="shared" si="3"/>
        <v>0.73603863284319682</v>
      </c>
    </row>
    <row r="75" spans="2:10" x14ac:dyDescent="0.25">
      <c r="B75" s="1">
        <v>41821</v>
      </c>
      <c r="C75" s="5">
        <v>1811.3508416</v>
      </c>
      <c r="D75" s="5">
        <v>563.01381339</v>
      </c>
      <c r="E75" s="5">
        <v>1177.0238199999999</v>
      </c>
      <c r="F75" s="5">
        <v>501.973096</v>
      </c>
      <c r="G75" s="10">
        <f t="shared" si="4"/>
        <v>2988.3746615999999</v>
      </c>
      <c r="H75" s="10">
        <f t="shared" si="5"/>
        <v>1064.9869093899999</v>
      </c>
      <c r="I75" s="8">
        <f t="shared" si="6"/>
        <v>0.73725834946180591</v>
      </c>
      <c r="J75" s="8">
        <f t="shared" si="3"/>
        <v>0.74164139804775264</v>
      </c>
    </row>
    <row r="76" spans="2:10" x14ac:dyDescent="0.25">
      <c r="B76" s="1">
        <v>41852</v>
      </c>
      <c r="C76" s="5">
        <v>1855.7722049200001</v>
      </c>
      <c r="D76" s="5">
        <v>450.38803300000001</v>
      </c>
      <c r="E76" s="5">
        <v>1733.9586429999999</v>
      </c>
      <c r="F76" s="5">
        <v>531.234196</v>
      </c>
      <c r="G76" s="10">
        <f t="shared" si="4"/>
        <v>3589.7308479200001</v>
      </c>
      <c r="H76" s="10">
        <f t="shared" si="5"/>
        <v>981.62222900000006</v>
      </c>
      <c r="I76" s="8">
        <f t="shared" si="6"/>
        <v>0.78526659120774389</v>
      </c>
      <c r="J76" s="8">
        <f t="shared" ref="J76:J91" si="7">AVERAGE(I65:I76)</f>
        <v>0.75046615491103486</v>
      </c>
    </row>
    <row r="77" spans="2:10" x14ac:dyDescent="0.25">
      <c r="B77" s="1">
        <v>41883</v>
      </c>
      <c r="C77" s="5">
        <v>2064.97703929</v>
      </c>
      <c r="D77" s="5">
        <v>761.50597402999995</v>
      </c>
      <c r="E77" s="5">
        <v>1466.6099119999999</v>
      </c>
      <c r="F77" s="5">
        <v>518.46526100000005</v>
      </c>
      <c r="G77" s="10">
        <f t="shared" si="4"/>
        <v>3531.5869512899999</v>
      </c>
      <c r="H77" s="10">
        <f t="shared" si="5"/>
        <v>1279.9712350300001</v>
      </c>
      <c r="I77" s="8">
        <f t="shared" si="6"/>
        <v>0.7339798906164835</v>
      </c>
      <c r="J77" s="8">
        <f t="shared" si="7"/>
        <v>0.75181758350972461</v>
      </c>
    </row>
    <row r="78" spans="2:10" x14ac:dyDescent="0.25">
      <c r="B78" s="1">
        <v>41913</v>
      </c>
      <c r="C78" s="5">
        <v>2210.6425898499997</v>
      </c>
      <c r="D78" s="5">
        <v>542.71253945000001</v>
      </c>
      <c r="E78" s="5">
        <v>1522.533629</v>
      </c>
      <c r="F78" s="5">
        <v>553.547505</v>
      </c>
      <c r="G78" s="10">
        <f t="shared" si="4"/>
        <v>3733.1762188499997</v>
      </c>
      <c r="H78" s="10">
        <f t="shared" si="5"/>
        <v>1096.2600444499999</v>
      </c>
      <c r="I78" s="8">
        <f t="shared" si="6"/>
        <v>0.77300455277135904</v>
      </c>
      <c r="J78" s="8">
        <f t="shared" si="7"/>
        <v>0.75703473069501881</v>
      </c>
    </row>
    <row r="79" spans="2:10" x14ac:dyDescent="0.25">
      <c r="B79" s="1">
        <v>41944</v>
      </c>
      <c r="C79" s="5">
        <v>1566.5152306700002</v>
      </c>
      <c r="D79" s="5">
        <v>549.81780351999998</v>
      </c>
      <c r="E79" s="5">
        <v>1319.977834</v>
      </c>
      <c r="F79" s="5">
        <v>569.81535399999996</v>
      </c>
      <c r="G79" s="10">
        <f t="shared" si="4"/>
        <v>2886.4930646700004</v>
      </c>
      <c r="H79" s="10">
        <f t="shared" si="5"/>
        <v>1119.6331575199999</v>
      </c>
      <c r="I79" s="8">
        <f t="shared" si="6"/>
        <v>0.72051975014707892</v>
      </c>
      <c r="J79" s="8">
        <f t="shared" si="7"/>
        <v>0.75811005770077811</v>
      </c>
    </row>
    <row r="80" spans="2:10" x14ac:dyDescent="0.25">
      <c r="B80" s="1">
        <v>41974</v>
      </c>
      <c r="C80" s="5">
        <v>2631.61870494</v>
      </c>
      <c r="D80" s="5">
        <v>777.34849951000001</v>
      </c>
      <c r="E80" s="5">
        <v>1293.617589</v>
      </c>
      <c r="F80" s="5">
        <v>679.77570600000001</v>
      </c>
      <c r="G80" s="10">
        <f t="shared" si="4"/>
        <v>3925.23629394</v>
      </c>
      <c r="H80" s="10">
        <f t="shared" si="5"/>
        <v>1457.1242055100001</v>
      </c>
      <c r="I80" s="8">
        <f t="shared" si="6"/>
        <v>0.72927785018136615</v>
      </c>
      <c r="J80" s="8">
        <f t="shared" si="7"/>
        <v>0.7598056896899984</v>
      </c>
    </row>
    <row r="81" spans="2:10" x14ac:dyDescent="0.25">
      <c r="B81" s="1">
        <v>42005</v>
      </c>
      <c r="C81" s="5">
        <v>2154.82905669</v>
      </c>
      <c r="D81" s="5">
        <v>668.1967199500001</v>
      </c>
      <c r="E81" s="5">
        <v>1356.544165</v>
      </c>
      <c r="F81" s="5">
        <v>650.85162000000003</v>
      </c>
      <c r="G81" s="10">
        <f t="shared" si="4"/>
        <v>3511.3732216899998</v>
      </c>
      <c r="H81" s="10">
        <f t="shared" si="5"/>
        <v>1319.0483399500001</v>
      </c>
      <c r="I81" s="8">
        <f t="shared" si="6"/>
        <v>0.72692893919963308</v>
      </c>
      <c r="J81" s="8">
        <f t="shared" si="7"/>
        <v>0.75731117744181065</v>
      </c>
    </row>
    <row r="82" spans="2:10" x14ac:dyDescent="0.25">
      <c r="B82" s="1">
        <v>42036</v>
      </c>
      <c r="C82" s="5">
        <v>1934.94598163</v>
      </c>
      <c r="D82" s="5">
        <v>822.18405347999999</v>
      </c>
      <c r="E82" s="5">
        <v>1778.747398</v>
      </c>
      <c r="F82" s="5">
        <v>1043.5737799999999</v>
      </c>
      <c r="G82" s="10">
        <f t="shared" si="4"/>
        <v>3713.69337963</v>
      </c>
      <c r="H82" s="10">
        <f t="shared" si="5"/>
        <v>1865.75783348</v>
      </c>
      <c r="I82" s="8">
        <f t="shared" si="6"/>
        <v>0.66560190918131146</v>
      </c>
      <c r="J82" s="8">
        <f t="shared" si="7"/>
        <v>0.74669862050085467</v>
      </c>
    </row>
    <row r="83" spans="2:10" x14ac:dyDescent="0.25">
      <c r="B83" s="1">
        <v>42064</v>
      </c>
      <c r="C83" s="5">
        <v>2790.07478653</v>
      </c>
      <c r="D83" s="5">
        <v>1012.672909</v>
      </c>
      <c r="E83" s="5">
        <v>1470.927205</v>
      </c>
      <c r="F83" s="5">
        <v>1091.824916</v>
      </c>
      <c r="G83" s="10">
        <f t="shared" si="4"/>
        <v>4261.0019915299999</v>
      </c>
      <c r="H83" s="10">
        <f t="shared" si="5"/>
        <v>2104.4978249999999</v>
      </c>
      <c r="I83" s="8">
        <f t="shared" si="6"/>
        <v>0.66939001089356454</v>
      </c>
      <c r="J83" s="8">
        <f t="shared" si="7"/>
        <v>0.7386225694656624</v>
      </c>
    </row>
    <row r="84" spans="2:10" x14ac:dyDescent="0.25">
      <c r="B84" s="1">
        <v>42095</v>
      </c>
      <c r="C84" s="5">
        <v>2752.1356861500003</v>
      </c>
      <c r="D84" s="5">
        <v>1084.1778756199999</v>
      </c>
      <c r="E84" s="5">
        <v>2126.7917379999999</v>
      </c>
      <c r="F84" s="5">
        <v>835.02711099999999</v>
      </c>
      <c r="G84" s="10">
        <f t="shared" si="4"/>
        <v>4878.9274241500007</v>
      </c>
      <c r="H84" s="10">
        <f t="shared" si="5"/>
        <v>1919.20498662</v>
      </c>
      <c r="I84" s="8">
        <f t="shared" si="6"/>
        <v>0.71768643641311214</v>
      </c>
      <c r="J84" s="8">
        <f t="shared" si="7"/>
        <v>0.73382509421823683</v>
      </c>
    </row>
    <row r="85" spans="2:10" x14ac:dyDescent="0.25">
      <c r="B85" s="1">
        <v>42125</v>
      </c>
      <c r="C85" s="5">
        <v>2546.05884758</v>
      </c>
      <c r="D85" s="5">
        <v>775.87385640000002</v>
      </c>
      <c r="E85" s="5">
        <v>2006.962311</v>
      </c>
      <c r="F85" s="5">
        <v>1187.969632</v>
      </c>
      <c r="G85" s="10">
        <f t="shared" si="4"/>
        <v>4553.0211585799998</v>
      </c>
      <c r="H85" s="10">
        <f t="shared" si="5"/>
        <v>1963.8434884000001</v>
      </c>
      <c r="I85" s="8">
        <f t="shared" si="6"/>
        <v>0.69865209808982753</v>
      </c>
      <c r="J85" s="8">
        <f t="shared" si="7"/>
        <v>0.72881410974437288</v>
      </c>
    </row>
    <row r="86" spans="2:10" x14ac:dyDescent="0.25">
      <c r="B86" s="1">
        <v>42156</v>
      </c>
      <c r="C86" s="5">
        <v>2283.1162021599998</v>
      </c>
      <c r="D86" s="5">
        <v>1629.19225005</v>
      </c>
      <c r="E86" s="5">
        <v>2281.118813</v>
      </c>
      <c r="F86" s="5">
        <v>1180.7884120000001</v>
      </c>
      <c r="G86" s="10">
        <f t="shared" si="4"/>
        <v>4564.2350151600003</v>
      </c>
      <c r="H86" s="10">
        <f t="shared" si="5"/>
        <v>2809.9806620500003</v>
      </c>
      <c r="I86" s="8">
        <f t="shared" si="6"/>
        <v>0.61894514819599866</v>
      </c>
      <c r="J86" s="8">
        <f t="shared" si="7"/>
        <v>0.71470929386327375</v>
      </c>
    </row>
    <row r="87" spans="2:10" x14ac:dyDescent="0.25">
      <c r="B87" s="1">
        <v>42186</v>
      </c>
      <c r="C87" s="5">
        <v>2489.4073492399998</v>
      </c>
      <c r="D87" s="5">
        <v>859.17791709000005</v>
      </c>
      <c r="E87" s="5">
        <v>2056.4049989999999</v>
      </c>
      <c r="F87" s="5">
        <v>1247.0111320000001</v>
      </c>
      <c r="G87" s="10">
        <f t="shared" si="4"/>
        <v>4545.8123482399997</v>
      </c>
      <c r="H87" s="10">
        <f t="shared" si="5"/>
        <v>2106.18904909</v>
      </c>
      <c r="I87" s="8">
        <f t="shared" si="6"/>
        <v>0.68337513429636554</v>
      </c>
      <c r="J87" s="8">
        <f t="shared" si="7"/>
        <v>0.71021902593282038</v>
      </c>
    </row>
    <row r="88" spans="2:10" x14ac:dyDescent="0.25">
      <c r="B88" s="1">
        <v>42217</v>
      </c>
      <c r="C88" s="5">
        <v>2026.7750074200001</v>
      </c>
      <c r="D88" s="5">
        <v>921.54658600000005</v>
      </c>
      <c r="E88" s="5">
        <v>1635.9655749999999</v>
      </c>
      <c r="F88" s="5">
        <v>939.59904100000006</v>
      </c>
      <c r="G88" s="10">
        <f t="shared" si="4"/>
        <v>3662.74058242</v>
      </c>
      <c r="H88" s="10">
        <f t="shared" si="5"/>
        <v>1861.1456270000001</v>
      </c>
      <c r="I88" s="8">
        <f t="shared" si="6"/>
        <v>0.66307314154550301</v>
      </c>
      <c r="J88" s="8">
        <f t="shared" si="7"/>
        <v>0.70003623846096696</v>
      </c>
    </row>
    <row r="89" spans="2:10" x14ac:dyDescent="0.25">
      <c r="B89" s="1">
        <v>42248</v>
      </c>
      <c r="C89" s="5">
        <v>2628.62477833</v>
      </c>
      <c r="D89" s="5">
        <v>658.54760199999998</v>
      </c>
      <c r="E89" s="5">
        <v>1715.5863300000001</v>
      </c>
      <c r="F89" s="5">
        <v>593.17995599999995</v>
      </c>
      <c r="G89" s="10">
        <f t="shared" si="4"/>
        <v>4344.2111083300006</v>
      </c>
      <c r="H89" s="10">
        <f t="shared" si="5"/>
        <v>1251.727558</v>
      </c>
      <c r="I89" s="8">
        <f t="shared" si="6"/>
        <v>0.77631499688667527</v>
      </c>
      <c r="J89" s="8">
        <f t="shared" si="7"/>
        <v>0.70356416398348298</v>
      </c>
    </row>
    <row r="90" spans="2:10" x14ac:dyDescent="0.25">
      <c r="B90" s="1">
        <v>42278</v>
      </c>
      <c r="C90" s="5">
        <v>2318.8741494599999</v>
      </c>
      <c r="D90" s="5">
        <v>615.51446799999997</v>
      </c>
      <c r="E90" s="5">
        <v>1520.0727979999999</v>
      </c>
      <c r="F90" s="5">
        <v>496.14472799999999</v>
      </c>
      <c r="G90" s="10">
        <f t="shared" si="4"/>
        <v>3838.94694746</v>
      </c>
      <c r="H90" s="10">
        <f t="shared" si="5"/>
        <v>1111.6591960000001</v>
      </c>
      <c r="I90" s="8">
        <f t="shared" si="6"/>
        <v>0.77544988153247507</v>
      </c>
      <c r="J90" s="8">
        <f t="shared" si="7"/>
        <v>0.70376794138024268</v>
      </c>
    </row>
    <row r="91" spans="2:10" x14ac:dyDescent="0.25">
      <c r="B91" s="1">
        <v>42309</v>
      </c>
      <c r="C91" s="5">
        <v>1462.5360900000001</v>
      </c>
      <c r="D91" s="5">
        <v>626.75136999999995</v>
      </c>
      <c r="E91" s="5">
        <v>1299.679396</v>
      </c>
      <c r="F91" s="5">
        <v>332.354804</v>
      </c>
      <c r="G91" s="10">
        <f t="shared" si="4"/>
        <v>2762.2154860000001</v>
      </c>
      <c r="H91" s="10">
        <f t="shared" si="5"/>
        <v>959.10617400000001</v>
      </c>
      <c r="I91" s="8">
        <f t="shared" si="6"/>
        <v>0.74226732821585761</v>
      </c>
      <c r="J91" s="8">
        <f t="shared" si="7"/>
        <v>0.70558023955264104</v>
      </c>
    </row>
    <row r="92" spans="2:10" x14ac:dyDescent="0.25">
      <c r="B92" s="1">
        <v>42339</v>
      </c>
      <c r="C92" s="5">
        <v>1557.88292716</v>
      </c>
      <c r="D92" s="5">
        <v>223.20123799999999</v>
      </c>
      <c r="E92" s="5">
        <v>658.72982000000002</v>
      </c>
      <c r="F92" s="5">
        <v>193.53038599999999</v>
      </c>
      <c r="G92" s="10">
        <f t="shared" si="4"/>
        <v>2216.6127471600003</v>
      </c>
      <c r="H92" s="10">
        <f t="shared" si="5"/>
        <v>416.73162400000001</v>
      </c>
      <c r="I92" s="8">
        <f t="shared" si="6"/>
        <v>0.8417481478822203</v>
      </c>
      <c r="J92" s="8">
        <f>AVERAGE(I81:I92)</f>
        <v>0.71495276436104549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workbookViewId="0">
      <selection activeCell="P29" sqref="P29"/>
    </sheetView>
  </sheetViews>
  <sheetFormatPr defaultRowHeight="15" x14ac:dyDescent="0.25"/>
  <cols>
    <col min="1" max="1" width="9.7109375" bestFit="1" customWidth="1"/>
  </cols>
  <sheetData>
    <row r="1" spans="1:3" x14ac:dyDescent="0.25">
      <c r="A1" t="s">
        <v>36</v>
      </c>
      <c r="B1" t="s">
        <v>35</v>
      </c>
      <c r="C1" t="s">
        <v>34</v>
      </c>
    </row>
    <row r="2" spans="1:3" x14ac:dyDescent="0.25">
      <c r="A2" s="1">
        <v>39722</v>
      </c>
      <c r="B2">
        <v>6.1050000000000004</v>
      </c>
      <c r="C2">
        <v>6.2120830074751696</v>
      </c>
    </row>
    <row r="3" spans="1:3" x14ac:dyDescent="0.25">
      <c r="A3" s="1">
        <v>39753</v>
      </c>
      <c r="B3">
        <v>6.0125000000000002</v>
      </c>
      <c r="C3">
        <v>6.0449934798132903</v>
      </c>
    </row>
    <row r="4" spans="1:3" x14ac:dyDescent="0.25">
      <c r="A4" s="1">
        <v>39783</v>
      </c>
      <c r="B4">
        <v>5.2159999999999904</v>
      </c>
      <c r="C4">
        <v>5.3956309748460596</v>
      </c>
    </row>
    <row r="5" spans="1:3" x14ac:dyDescent="0.25">
      <c r="A5" s="1">
        <v>39814</v>
      </c>
      <c r="B5">
        <v>4.9662499999999996</v>
      </c>
      <c r="C5">
        <v>5.1525802006855397</v>
      </c>
    </row>
    <row r="6" spans="1:3" x14ac:dyDescent="0.25">
      <c r="A6" s="1">
        <v>39845</v>
      </c>
      <c r="B6">
        <v>5.0612500000000002</v>
      </c>
      <c r="C6">
        <v>5.3384231571682301</v>
      </c>
    </row>
    <row r="7" spans="1:3" x14ac:dyDescent="0.25">
      <c r="A7" s="1">
        <v>39873</v>
      </c>
      <c r="B7">
        <v>4.9275000000000002</v>
      </c>
      <c r="C7">
        <v>5.2418526098352896</v>
      </c>
    </row>
    <row r="8" spans="1:3" x14ac:dyDescent="0.25">
      <c r="A8" s="1">
        <v>39904</v>
      </c>
      <c r="B8">
        <v>4.7300000000000004</v>
      </c>
      <c r="C8">
        <v>5.0419526810643296</v>
      </c>
    </row>
    <row r="9" spans="1:3" x14ac:dyDescent="0.25">
      <c r="A9" s="1">
        <v>39934</v>
      </c>
      <c r="B9">
        <v>4.7762500000000001</v>
      </c>
      <c r="C9">
        <v>5.1807310195560596</v>
      </c>
    </row>
    <row r="10" spans="1:3" x14ac:dyDescent="0.25">
      <c r="A10" s="1">
        <v>39965</v>
      </c>
      <c r="B10">
        <v>5.3449999999999998</v>
      </c>
      <c r="C10">
        <v>5.6971207267755704</v>
      </c>
    </row>
    <row r="11" spans="1:3" x14ac:dyDescent="0.25">
      <c r="A11" s="1">
        <v>39995</v>
      </c>
      <c r="B11">
        <v>5.1470000000000002</v>
      </c>
      <c r="C11">
        <v>5.5546057532600104</v>
      </c>
    </row>
    <row r="12" spans="1:3" x14ac:dyDescent="0.25">
      <c r="A12" s="1">
        <v>40026</v>
      </c>
      <c r="B12">
        <v>5.1112500000000001</v>
      </c>
      <c r="C12">
        <v>5.4686735039534504</v>
      </c>
    </row>
    <row r="13" spans="1:3" x14ac:dyDescent="0.25">
      <c r="A13" s="1">
        <v>40057</v>
      </c>
      <c r="B13">
        <v>4.9539999999999997</v>
      </c>
      <c r="C13">
        <v>5.2861124173272396</v>
      </c>
    </row>
    <row r="14" spans="1:3" x14ac:dyDescent="0.25">
      <c r="A14" s="1">
        <v>40087</v>
      </c>
      <c r="B14">
        <v>4.88</v>
      </c>
      <c r="C14">
        <v>5.2019100525212698</v>
      </c>
    </row>
    <row r="15" spans="1:3" x14ac:dyDescent="0.25">
      <c r="A15" s="1">
        <v>40118</v>
      </c>
      <c r="B15">
        <v>4.8</v>
      </c>
      <c r="C15">
        <v>5.07876627166221</v>
      </c>
    </row>
    <row r="16" spans="1:3" x14ac:dyDescent="0.25">
      <c r="A16" s="1">
        <v>40148</v>
      </c>
      <c r="B16">
        <v>4.8550000000000004</v>
      </c>
      <c r="C16">
        <v>5.0466136363993703</v>
      </c>
    </row>
    <row r="17" spans="1:3" x14ac:dyDescent="0.25">
      <c r="A17" s="1">
        <v>40179</v>
      </c>
      <c r="B17">
        <v>4.9487500000000004</v>
      </c>
      <c r="C17">
        <v>5.1146041678810299</v>
      </c>
    </row>
    <row r="18" spans="1:3" x14ac:dyDescent="0.25">
      <c r="A18" s="1">
        <v>40210</v>
      </c>
      <c r="B18">
        <v>4.9149999999999903</v>
      </c>
      <c r="C18">
        <v>5.0727193305039799</v>
      </c>
    </row>
    <row r="19" spans="1:3" x14ac:dyDescent="0.25">
      <c r="A19" s="1">
        <v>40238</v>
      </c>
      <c r="B19">
        <v>4.91</v>
      </c>
      <c r="C19">
        <v>5.0756795268804904</v>
      </c>
    </row>
    <row r="20" spans="1:3" x14ac:dyDescent="0.25">
      <c r="A20" s="1">
        <v>40269</v>
      </c>
      <c r="B20">
        <v>5.0149999999999997</v>
      </c>
      <c r="C20">
        <v>5.1918191013729498</v>
      </c>
    </row>
    <row r="21" spans="1:3" x14ac:dyDescent="0.25">
      <c r="A21" s="1">
        <v>40299</v>
      </c>
      <c r="B21">
        <v>4.8125</v>
      </c>
      <c r="C21">
        <v>4.9507729307363402</v>
      </c>
    </row>
    <row r="22" spans="1:3" x14ac:dyDescent="0.25">
      <c r="A22" s="1">
        <v>40330</v>
      </c>
      <c r="B22">
        <v>4.6359999999999904</v>
      </c>
      <c r="C22">
        <v>4.7449397808713503</v>
      </c>
    </row>
    <row r="23" spans="1:3" x14ac:dyDescent="0.25">
      <c r="A23" s="1">
        <v>40360</v>
      </c>
      <c r="B23">
        <v>4.4849999999999897</v>
      </c>
      <c r="C23">
        <v>4.5646013588973204</v>
      </c>
    </row>
    <row r="24" spans="1:3" x14ac:dyDescent="0.25">
      <c r="A24" s="1">
        <v>40391</v>
      </c>
      <c r="B24">
        <v>4.3525</v>
      </c>
      <c r="C24">
        <v>4.4194439533094299</v>
      </c>
    </row>
    <row r="25" spans="1:3" x14ac:dyDescent="0.25">
      <c r="A25" s="1">
        <v>40422</v>
      </c>
      <c r="B25">
        <v>4.2759999999999998</v>
      </c>
      <c r="C25">
        <v>4.3383997014559803</v>
      </c>
    </row>
    <row r="26" spans="1:3" x14ac:dyDescent="0.25">
      <c r="A26" s="1">
        <v>40452</v>
      </c>
      <c r="B26">
        <v>4.1749999999999998</v>
      </c>
      <c r="C26">
        <v>4.2380927211069404</v>
      </c>
    </row>
    <row r="27" spans="1:3" x14ac:dyDescent="0.25">
      <c r="A27" s="1">
        <v>40483</v>
      </c>
      <c r="B27">
        <v>4.2562499999999996</v>
      </c>
      <c r="C27">
        <v>4.3217021600346897</v>
      </c>
    </row>
    <row r="28" spans="1:3" x14ac:dyDescent="0.25">
      <c r="A28" s="1">
        <v>40513</v>
      </c>
      <c r="B28">
        <v>4.6489999999999903</v>
      </c>
      <c r="C28">
        <v>4.7224447860714998</v>
      </c>
    </row>
    <row r="29" spans="1:3" x14ac:dyDescent="0.25">
      <c r="A29" s="1">
        <v>40544</v>
      </c>
      <c r="B29">
        <v>4.6987500000000004</v>
      </c>
      <c r="C29">
        <v>4.7762678708668203</v>
      </c>
    </row>
    <row r="30" spans="1:3" x14ac:dyDescent="0.25">
      <c r="A30" s="1">
        <v>40575</v>
      </c>
      <c r="B30">
        <v>4.8775000000000004</v>
      </c>
      <c r="C30">
        <v>4.9324800180571602</v>
      </c>
    </row>
    <row r="31" spans="1:3" x14ac:dyDescent="0.25">
      <c r="A31" s="1">
        <v>40603</v>
      </c>
      <c r="B31">
        <v>4.7610000000000001</v>
      </c>
      <c r="C31">
        <v>4.7824779026591404</v>
      </c>
    </row>
    <row r="32" spans="1:3" x14ac:dyDescent="0.25">
      <c r="A32" s="1">
        <v>40634</v>
      </c>
      <c r="B32">
        <v>4.75875</v>
      </c>
      <c r="C32">
        <v>4.7335144039638797</v>
      </c>
    </row>
    <row r="33" spans="1:3" x14ac:dyDescent="0.25">
      <c r="A33" s="1">
        <v>40664</v>
      </c>
      <c r="B33">
        <v>4.5625</v>
      </c>
      <c r="C33">
        <v>4.5055538676710301</v>
      </c>
    </row>
    <row r="34" spans="1:3" x14ac:dyDescent="0.25">
      <c r="A34" s="1">
        <v>40695</v>
      </c>
      <c r="B34">
        <v>4.4349999999999996</v>
      </c>
      <c r="C34">
        <v>4.3432217306994598</v>
      </c>
    </row>
    <row r="35" spans="1:3" x14ac:dyDescent="0.25">
      <c r="A35" s="1">
        <v>40725</v>
      </c>
      <c r="B35">
        <v>4.4762499999999896</v>
      </c>
      <c r="C35">
        <v>4.3716474258097202</v>
      </c>
    </row>
    <row r="36" spans="1:3" x14ac:dyDescent="0.25">
      <c r="A36" s="1">
        <v>40756</v>
      </c>
      <c r="B36">
        <v>4.1900000000000004</v>
      </c>
      <c r="C36">
        <v>4.0722275307457698</v>
      </c>
    </row>
    <row r="37" spans="1:3" x14ac:dyDescent="0.25">
      <c r="A37" s="1">
        <v>40787</v>
      </c>
      <c r="B37">
        <v>4.0025000000000004</v>
      </c>
      <c r="C37">
        <v>3.8965008685552198</v>
      </c>
    </row>
    <row r="38" spans="1:3" x14ac:dyDescent="0.25">
      <c r="A38" s="1">
        <v>40817</v>
      </c>
      <c r="B38">
        <v>4.0175000000000001</v>
      </c>
      <c r="C38">
        <v>3.9404376364006901</v>
      </c>
    </row>
    <row r="39" spans="1:3" x14ac:dyDescent="0.25">
      <c r="A39" s="1">
        <v>40848</v>
      </c>
      <c r="B39">
        <v>3.919</v>
      </c>
      <c r="C39">
        <v>3.8732765776790701</v>
      </c>
    </row>
    <row r="40" spans="1:3" x14ac:dyDescent="0.25">
      <c r="A40" s="1">
        <v>40878</v>
      </c>
      <c r="B40">
        <v>3.8787500000000001</v>
      </c>
      <c r="C40">
        <v>3.8778210839776999</v>
      </c>
    </row>
    <row r="41" spans="1:3" x14ac:dyDescent="0.25">
      <c r="A41" s="1">
        <v>40909</v>
      </c>
      <c r="B41">
        <v>3.8525</v>
      </c>
      <c r="C41">
        <v>3.8790750336573501</v>
      </c>
    </row>
    <row r="42" spans="1:3" x14ac:dyDescent="0.25">
      <c r="A42" s="1">
        <v>40940</v>
      </c>
      <c r="B42">
        <v>3.8420000000000001</v>
      </c>
      <c r="C42">
        <v>3.9108175007338501</v>
      </c>
    </row>
    <row r="43" spans="1:3" x14ac:dyDescent="0.25">
      <c r="A43" s="1">
        <v>40969</v>
      </c>
      <c r="B43">
        <v>3.9112499999999999</v>
      </c>
      <c r="C43">
        <v>4.0047235772367697</v>
      </c>
    </row>
    <row r="44" spans="1:3" x14ac:dyDescent="0.25">
      <c r="A44" s="1">
        <v>41000</v>
      </c>
      <c r="B44">
        <v>3.8412500000000001</v>
      </c>
      <c r="C44">
        <v>3.9467437331526498</v>
      </c>
    </row>
    <row r="45" spans="1:3" x14ac:dyDescent="0.25">
      <c r="A45" s="1">
        <v>41030</v>
      </c>
      <c r="B45">
        <v>3.738</v>
      </c>
      <c r="C45">
        <v>3.8381818565535601</v>
      </c>
    </row>
    <row r="46" spans="1:3" x14ac:dyDescent="0.25">
      <c r="A46" s="1">
        <v>41061</v>
      </c>
      <c r="B46">
        <v>3.6</v>
      </c>
      <c r="C46">
        <v>3.67245427665677</v>
      </c>
    </row>
    <row r="47" spans="1:3" x14ac:dyDescent="0.25">
      <c r="A47" s="1">
        <v>41091</v>
      </c>
      <c r="B47">
        <v>3.4812500000000002</v>
      </c>
      <c r="C47">
        <v>3.5414071551156598</v>
      </c>
    </row>
    <row r="48" spans="1:3" x14ac:dyDescent="0.25">
      <c r="A48" s="1">
        <v>41122</v>
      </c>
      <c r="B48">
        <v>3.512</v>
      </c>
      <c r="C48">
        <v>3.5681726577671999</v>
      </c>
    </row>
    <row r="49" spans="1:3" x14ac:dyDescent="0.25">
      <c r="A49" s="1">
        <v>41153</v>
      </c>
      <c r="B49">
        <v>3.4037500000000001</v>
      </c>
      <c r="C49">
        <v>3.4657369605024702</v>
      </c>
    </row>
    <row r="50" spans="1:3" x14ac:dyDescent="0.25">
      <c r="A50" s="1">
        <v>41183</v>
      </c>
      <c r="B50">
        <v>3.3039999999999998</v>
      </c>
      <c r="C50">
        <v>3.3690583349368701</v>
      </c>
    </row>
    <row r="51" spans="1:3" x14ac:dyDescent="0.25">
      <c r="A51" s="1">
        <v>41214</v>
      </c>
      <c r="B51">
        <v>3.2737500000000002</v>
      </c>
      <c r="C51">
        <v>3.34367330554951</v>
      </c>
    </row>
    <row r="52" spans="1:3" x14ac:dyDescent="0.25">
      <c r="A52" s="1">
        <v>41244</v>
      </c>
      <c r="B52">
        <v>3.27</v>
      </c>
      <c r="C52">
        <v>3.35409771334038</v>
      </c>
    </row>
    <row r="53" spans="1:3" x14ac:dyDescent="0.25">
      <c r="A53" s="1">
        <v>41275</v>
      </c>
      <c r="B53">
        <v>3.339</v>
      </c>
      <c r="C53">
        <v>3.4330043102427901</v>
      </c>
    </row>
    <row r="54" spans="1:3" x14ac:dyDescent="0.25">
      <c r="A54" s="1">
        <v>41306</v>
      </c>
      <c r="B54">
        <v>3.4824999999999999</v>
      </c>
      <c r="C54">
        <v>3.57699487263285</v>
      </c>
    </row>
    <row r="55" spans="1:3" x14ac:dyDescent="0.25">
      <c r="A55" s="1">
        <v>41334</v>
      </c>
      <c r="B55">
        <v>3.50875</v>
      </c>
      <c r="C55">
        <v>3.59603114309088</v>
      </c>
    </row>
    <row r="56" spans="1:3" x14ac:dyDescent="0.25">
      <c r="A56" s="1">
        <v>41365</v>
      </c>
      <c r="B56">
        <v>3.3887499999999999</v>
      </c>
      <c r="C56">
        <v>3.4655269480099999</v>
      </c>
    </row>
    <row r="57" spans="1:3" x14ac:dyDescent="0.25">
      <c r="A57" s="1">
        <v>41395</v>
      </c>
      <c r="B57">
        <v>3.4660000000000002</v>
      </c>
      <c r="C57">
        <v>3.53895047597736</v>
      </c>
    </row>
    <row r="58" spans="1:3" x14ac:dyDescent="0.25">
      <c r="A58" s="1">
        <v>41426</v>
      </c>
      <c r="B58">
        <v>4.0075000000000003</v>
      </c>
      <c r="C58">
        <v>4.0693267260012602</v>
      </c>
    </row>
    <row r="59" spans="1:3" x14ac:dyDescent="0.25">
      <c r="A59" s="1">
        <v>41456</v>
      </c>
      <c r="B59">
        <v>4.3090000000000002</v>
      </c>
      <c r="C59">
        <v>4.3571972071547904</v>
      </c>
    </row>
    <row r="60" spans="1:3" x14ac:dyDescent="0.25">
      <c r="A60" s="1">
        <v>41487</v>
      </c>
      <c r="B60">
        <v>4.4037499999999996</v>
      </c>
      <c r="C60">
        <v>4.4332666736445603</v>
      </c>
    </row>
    <row r="61" spans="1:3" x14ac:dyDescent="0.25">
      <c r="A61" s="1">
        <v>41518</v>
      </c>
      <c r="B61">
        <v>4.4212499999999997</v>
      </c>
      <c r="C61">
        <v>4.4275749019395096</v>
      </c>
    </row>
    <row r="62" spans="1:3" x14ac:dyDescent="0.25">
      <c r="A62" s="1">
        <v>41548</v>
      </c>
      <c r="B62">
        <v>4.1219999999999999</v>
      </c>
      <c r="C62">
        <v>4.1296081182439597</v>
      </c>
    </row>
    <row r="63" spans="1:3" x14ac:dyDescent="0.25">
      <c r="A63" s="1">
        <v>41579</v>
      </c>
      <c r="B63">
        <v>4.1862499999999896</v>
      </c>
      <c r="C63">
        <v>4.1839223885830599</v>
      </c>
    </row>
    <row r="64" spans="1:3" x14ac:dyDescent="0.25">
      <c r="A64" s="1">
        <v>41609</v>
      </c>
      <c r="B64">
        <v>4.37</v>
      </c>
      <c r="C64">
        <v>4.3622263196340496</v>
      </c>
    </row>
    <row r="65" spans="1:3" x14ac:dyDescent="0.25">
      <c r="A65" s="1">
        <v>41640</v>
      </c>
      <c r="B65">
        <v>4.3620000000000001</v>
      </c>
      <c r="C65">
        <v>4.3456507382677696</v>
      </c>
    </row>
    <row r="66" spans="1:3" x14ac:dyDescent="0.25">
      <c r="A66" s="1">
        <v>41671</v>
      </c>
      <c r="B66">
        <v>4.2274999999999903</v>
      </c>
      <c r="C66">
        <v>4.2176853665775003</v>
      </c>
    </row>
    <row r="67" spans="1:3" x14ac:dyDescent="0.25">
      <c r="A67" s="1">
        <v>41699</v>
      </c>
      <c r="B67">
        <v>4.2487500000000002</v>
      </c>
      <c r="C67">
        <v>4.2446502584699397</v>
      </c>
    </row>
    <row r="68" spans="1:3" x14ac:dyDescent="0.25">
      <c r="A68" s="1">
        <v>41730</v>
      </c>
      <c r="B68">
        <v>4.2479999999999896</v>
      </c>
      <c r="C68">
        <v>4.2391278128867604</v>
      </c>
    </row>
    <row r="69" spans="1:3" x14ac:dyDescent="0.25">
      <c r="A69" s="1">
        <v>41760</v>
      </c>
      <c r="B69">
        <v>4.0674999999999999</v>
      </c>
      <c r="C69">
        <v>4.0554996591999197</v>
      </c>
    </row>
    <row r="70" spans="1:3" x14ac:dyDescent="0.25">
      <c r="A70" s="1">
        <v>41791</v>
      </c>
      <c r="B70">
        <v>4.05</v>
      </c>
      <c r="C70">
        <v>4.04090661510185</v>
      </c>
    </row>
    <row r="71" spans="1:3" x14ac:dyDescent="0.25">
      <c r="A71" s="1">
        <v>41821</v>
      </c>
      <c r="B71">
        <v>4.03</v>
      </c>
      <c r="C71">
        <v>4.02030722420945</v>
      </c>
    </row>
    <row r="72" spans="1:3" x14ac:dyDescent="0.25">
      <c r="A72" s="1">
        <v>41852</v>
      </c>
      <c r="B72">
        <v>4.00875</v>
      </c>
      <c r="C72">
        <v>3.98771540548183</v>
      </c>
    </row>
    <row r="73" spans="1:3" x14ac:dyDescent="0.25">
      <c r="A73" s="1">
        <v>41883</v>
      </c>
      <c r="B73">
        <v>4.0374999999999996</v>
      </c>
      <c r="C73">
        <v>4.0262541846448503</v>
      </c>
    </row>
    <row r="74" spans="1:3" x14ac:dyDescent="0.25">
      <c r="A74" s="1">
        <v>41913</v>
      </c>
      <c r="B74">
        <v>3.9060000000000001</v>
      </c>
      <c r="C74">
        <v>3.8862305355441</v>
      </c>
    </row>
    <row r="75" spans="1:3" x14ac:dyDescent="0.25">
      <c r="A75" s="1">
        <v>41944</v>
      </c>
      <c r="B75">
        <v>3.8725000000000001</v>
      </c>
      <c r="C75">
        <v>3.8366546532383499</v>
      </c>
    </row>
    <row r="76" spans="1:3" x14ac:dyDescent="0.25">
      <c r="A76" s="1">
        <v>41974</v>
      </c>
      <c r="B76">
        <v>3.754</v>
      </c>
      <c r="C76">
        <v>3.7136077354555002</v>
      </c>
    </row>
    <row r="77" spans="1:3" x14ac:dyDescent="0.25">
      <c r="A77" s="1">
        <v>42005</v>
      </c>
      <c r="B77">
        <v>3.5762499999999999</v>
      </c>
      <c r="C77">
        <v>3.5361851060963501</v>
      </c>
    </row>
    <row r="78" spans="1:3" x14ac:dyDescent="0.25">
      <c r="A78" s="1">
        <v>42036</v>
      </c>
      <c r="B78">
        <v>3.61625</v>
      </c>
      <c r="C78">
        <v>3.5679843266399001</v>
      </c>
    </row>
    <row r="79" spans="1:3" x14ac:dyDescent="0.25">
      <c r="A79" s="1">
        <v>42064</v>
      </c>
      <c r="B79">
        <v>3.67</v>
      </c>
      <c r="C79">
        <v>3.6109384304935399</v>
      </c>
    </row>
    <row r="80" spans="1:3" x14ac:dyDescent="0.25">
      <c r="A80" s="1">
        <v>42095</v>
      </c>
      <c r="B80">
        <v>3.577</v>
      </c>
      <c r="C80">
        <v>3.5285237157778</v>
      </c>
    </row>
    <row r="81" spans="1:3" x14ac:dyDescent="0.25">
      <c r="A81" s="1">
        <v>42125</v>
      </c>
      <c r="B81">
        <v>3.7462499999999999</v>
      </c>
      <c r="C81">
        <v>3.7180163093762002</v>
      </c>
    </row>
    <row r="82" spans="1:3" x14ac:dyDescent="0.25">
      <c r="A82" s="1">
        <v>42156</v>
      </c>
      <c r="B82">
        <v>3.895</v>
      </c>
      <c r="C82">
        <v>3.8677106347465</v>
      </c>
    </row>
    <row r="83" spans="1:3" x14ac:dyDescent="0.25">
      <c r="A83" s="1">
        <v>42186</v>
      </c>
      <c r="B83">
        <v>3.9460000000000002</v>
      </c>
      <c r="C83">
        <v>3.92242920615546</v>
      </c>
    </row>
    <row r="84" spans="1:3" x14ac:dyDescent="0.25">
      <c r="A84" s="1">
        <v>42217</v>
      </c>
      <c r="B84">
        <v>3.8050000000000002</v>
      </c>
      <c r="C84">
        <v>3.7698427881356</v>
      </c>
    </row>
    <row r="85" spans="1:3" x14ac:dyDescent="0.25">
      <c r="A85" s="1">
        <v>42248</v>
      </c>
      <c r="B85">
        <v>3.7869999999999999</v>
      </c>
      <c r="C85">
        <v>3.7415268696059201</v>
      </c>
    </row>
    <row r="86" spans="1:3" x14ac:dyDescent="0.25">
      <c r="A86" s="1">
        <v>42278</v>
      </c>
      <c r="B86">
        <v>3.6825000000000001</v>
      </c>
      <c r="C86">
        <v>3.6240012099730698</v>
      </c>
    </row>
    <row r="87" spans="1:3" x14ac:dyDescent="0.25">
      <c r="A87" s="1">
        <v>42309</v>
      </c>
      <c r="B87">
        <v>3.8487499999999999</v>
      </c>
      <c r="C87">
        <v>3.7726245840750301</v>
      </c>
    </row>
    <row r="88" spans="1:3" x14ac:dyDescent="0.25">
      <c r="A88" s="1">
        <v>42339</v>
      </c>
      <c r="B88">
        <v>3.83</v>
      </c>
      <c r="C88">
        <v>3.7009960786874401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55"/>
  <sheetViews>
    <sheetView tabSelected="1" workbookViewId="0">
      <selection activeCell="Q20" sqref="Q20"/>
    </sheetView>
  </sheetViews>
  <sheetFormatPr defaultRowHeight="15" x14ac:dyDescent="0.25"/>
  <cols>
    <col min="1" max="1" width="9.7109375" bestFit="1" customWidth="1"/>
    <col min="5" max="5" width="9.7109375" bestFit="1" customWidth="1"/>
    <col min="9" max="9" width="9.7109375" bestFit="1" customWidth="1"/>
    <col min="13" max="13" width="9.7109375" bestFit="1" customWidth="1"/>
    <col min="17" max="17" width="10.28515625" customWidth="1"/>
    <col min="18" max="18" width="9.140625" style="3" hidden="1" customWidth="1"/>
    <col min="19" max="19" width="15.85546875" style="12" hidden="1" customWidth="1"/>
    <col min="20" max="20" width="9.140625" style="3" hidden="1" customWidth="1"/>
    <col min="21" max="21" width="15.85546875" style="12" hidden="1" customWidth="1"/>
    <col min="22" max="22" width="15.85546875" bestFit="1" customWidth="1"/>
    <col min="23" max="23" width="6.7109375" hidden="1" customWidth="1"/>
    <col min="24" max="24" width="14.28515625" hidden="1" customWidth="1"/>
    <col min="25" max="25" width="6.7109375" hidden="1" customWidth="1"/>
    <col min="26" max="26" width="12.5703125" hidden="1" customWidth="1"/>
    <col min="27" max="27" width="16" bestFit="1" customWidth="1"/>
  </cols>
  <sheetData>
    <row r="1" spans="1:28" x14ac:dyDescent="0.25">
      <c r="A1" t="s">
        <v>37</v>
      </c>
      <c r="B1" t="s">
        <v>38</v>
      </c>
      <c r="E1" t="s">
        <v>39</v>
      </c>
      <c r="F1" t="s">
        <v>40</v>
      </c>
      <c r="I1" t="s">
        <v>41</v>
      </c>
      <c r="J1" t="s">
        <v>42</v>
      </c>
      <c r="M1" t="s">
        <v>41</v>
      </c>
      <c r="N1" t="s">
        <v>40</v>
      </c>
      <c r="S1" s="12" t="s">
        <v>39</v>
      </c>
      <c r="U1" s="12" t="s">
        <v>41</v>
      </c>
      <c r="V1" s="3"/>
      <c r="W1" s="3"/>
      <c r="X1" s="12" t="s">
        <v>39</v>
      </c>
      <c r="Y1" s="3"/>
      <c r="Z1" s="12" t="s">
        <v>41</v>
      </c>
      <c r="AA1" s="3"/>
    </row>
    <row r="2" spans="1:28" x14ac:dyDescent="0.25">
      <c r="A2" t="s">
        <v>0</v>
      </c>
      <c r="B2" t="s">
        <v>1</v>
      </c>
      <c r="C2" t="s">
        <v>43</v>
      </c>
      <c r="E2" t="s">
        <v>0</v>
      </c>
      <c r="F2" t="s">
        <v>1</v>
      </c>
      <c r="G2" t="s">
        <v>43</v>
      </c>
      <c r="I2" t="s">
        <v>0</v>
      </c>
      <c r="J2" t="s">
        <v>1</v>
      </c>
      <c r="K2" t="s">
        <v>43</v>
      </c>
      <c r="M2" t="s">
        <v>0</v>
      </c>
      <c r="N2" t="s">
        <v>1</v>
      </c>
      <c r="O2" t="s">
        <v>43</v>
      </c>
      <c r="Q2" t="s">
        <v>0</v>
      </c>
      <c r="R2" s="3" t="s">
        <v>1</v>
      </c>
      <c r="S2" s="12" t="s">
        <v>43</v>
      </c>
      <c r="T2" s="3" t="s">
        <v>1</v>
      </c>
      <c r="U2" s="12" t="s">
        <v>43</v>
      </c>
      <c r="V2" s="3" t="s">
        <v>44</v>
      </c>
      <c r="W2" s="3" t="s">
        <v>1</v>
      </c>
      <c r="X2" s="12" t="s">
        <v>43</v>
      </c>
      <c r="Y2" s="3" t="s">
        <v>1</v>
      </c>
      <c r="Z2" s="12" t="s">
        <v>43</v>
      </c>
      <c r="AA2" s="3" t="s">
        <v>45</v>
      </c>
      <c r="AB2" s="12" t="s">
        <v>5</v>
      </c>
    </row>
    <row r="3" spans="1:28" x14ac:dyDescent="0.25">
      <c r="A3" s="1">
        <v>37712</v>
      </c>
      <c r="B3">
        <v>5.6250487839145702</v>
      </c>
      <c r="C3">
        <v>3202900</v>
      </c>
      <c r="E3" s="1">
        <v>37712</v>
      </c>
      <c r="F3">
        <v>5.72742959690778</v>
      </c>
      <c r="G3">
        <v>3259800</v>
      </c>
      <c r="I3" s="1">
        <v>38687</v>
      </c>
      <c r="J3">
        <v>5.7864762278559896</v>
      </c>
      <c r="K3">
        <v>22815990</v>
      </c>
      <c r="M3" s="1">
        <v>38687</v>
      </c>
      <c r="N3">
        <v>5.7862689226723898</v>
      </c>
      <c r="O3">
        <v>22159991</v>
      </c>
      <c r="Q3" s="1">
        <v>37712</v>
      </c>
      <c r="R3" s="3">
        <f>VLOOKUP($Q3,A:C,2,0)</f>
        <v>5.6250487839145702</v>
      </c>
      <c r="S3" s="12">
        <f>VLOOKUP($Q3,A:C,3,0)</f>
        <v>3202900</v>
      </c>
      <c r="T3" s="3">
        <v>0</v>
      </c>
      <c r="U3" s="12">
        <v>0</v>
      </c>
      <c r="V3" s="4">
        <f>(R3*S3+T3*U3)/(S3+U3)</f>
        <v>5.6250487839145702</v>
      </c>
      <c r="W3" s="3">
        <f>VLOOKUP($Q3,E:G,2,0)</f>
        <v>5.72742959690778</v>
      </c>
      <c r="X3" s="12">
        <f>VLOOKUP($Q3,E:G,3,0)</f>
        <v>3259800</v>
      </c>
      <c r="Y3" s="3">
        <v>0</v>
      </c>
      <c r="Z3" s="12">
        <v>0</v>
      </c>
      <c r="AA3" s="4">
        <f>(W3*X3+Y3*Z3)/(X3+Z3)</f>
        <v>5.72742959690778</v>
      </c>
      <c r="AB3" s="13">
        <f>(V3-AA3)*100</f>
        <v>-10.238081299320978</v>
      </c>
    </row>
    <row r="4" spans="1:28" x14ac:dyDescent="0.25">
      <c r="A4" s="1">
        <v>37742</v>
      </c>
      <c r="B4">
        <v>5.75</v>
      </c>
      <c r="C4">
        <v>460000</v>
      </c>
      <c r="E4" s="1">
        <v>37742</v>
      </c>
      <c r="F4">
        <v>5.3167405764966702</v>
      </c>
      <c r="G4">
        <v>902000</v>
      </c>
      <c r="I4" s="1">
        <v>38718</v>
      </c>
      <c r="J4">
        <v>5.9437236702967997</v>
      </c>
      <c r="K4">
        <v>35493184</v>
      </c>
      <c r="M4" s="1">
        <v>38718</v>
      </c>
      <c r="N4">
        <v>5.8846357542438401</v>
      </c>
      <c r="O4">
        <v>40584083</v>
      </c>
      <c r="Q4" s="1">
        <v>37742</v>
      </c>
      <c r="R4" s="3">
        <f t="shared" ref="R4:R67" si="0">VLOOKUP($Q4,A:C,2,0)</f>
        <v>5.75</v>
      </c>
      <c r="S4" s="12">
        <f t="shared" ref="S4:S67" si="1">VLOOKUP($Q4,A:C,3,0)</f>
        <v>460000</v>
      </c>
      <c r="T4" s="3">
        <v>0</v>
      </c>
      <c r="U4" s="12">
        <v>0</v>
      </c>
      <c r="V4" s="4">
        <f t="shared" ref="V4:V67" si="2">(R4*S4+T4*U4)/(S4+U4)</f>
        <v>5.75</v>
      </c>
      <c r="W4" s="3">
        <f t="shared" ref="W4:W67" si="3">VLOOKUP($Q4,E:G,2,0)</f>
        <v>5.3167405764966702</v>
      </c>
      <c r="X4" s="12">
        <f t="shared" ref="X4:X67" si="4">VLOOKUP($Q4,E:G,3,0)</f>
        <v>902000</v>
      </c>
      <c r="Y4" s="3">
        <v>0</v>
      </c>
      <c r="Z4" s="12">
        <v>0</v>
      </c>
      <c r="AA4" s="4">
        <f t="shared" ref="AA4:AA67" si="5">(W4*X4+Y4*Z4)/(X4+Z4)</f>
        <v>5.3167405764966702</v>
      </c>
      <c r="AB4" s="13">
        <f t="shared" ref="AB4:AB67" si="6">(V4-AA4)*100</f>
        <v>43.32594235033298</v>
      </c>
    </row>
    <row r="5" spans="1:28" x14ac:dyDescent="0.25">
      <c r="A5" s="1">
        <v>37773</v>
      </c>
      <c r="B5">
        <v>5.7137549074593297</v>
      </c>
      <c r="C5">
        <v>1783000</v>
      </c>
      <c r="E5" s="1">
        <v>37773</v>
      </c>
      <c r="F5">
        <v>5.2973086627417896</v>
      </c>
      <c r="G5">
        <v>2378000</v>
      </c>
      <c r="I5" s="1">
        <v>38749</v>
      </c>
      <c r="J5">
        <v>5.9451739813222</v>
      </c>
      <c r="K5">
        <v>29389764</v>
      </c>
      <c r="M5" s="1">
        <v>38749</v>
      </c>
      <c r="N5">
        <v>6.0619456354093701</v>
      </c>
      <c r="O5">
        <v>30099776</v>
      </c>
      <c r="Q5" s="1">
        <v>37773</v>
      </c>
      <c r="R5" s="3">
        <f t="shared" si="0"/>
        <v>5.7137549074593297</v>
      </c>
      <c r="S5" s="12">
        <f t="shared" si="1"/>
        <v>1783000</v>
      </c>
      <c r="T5" s="3">
        <v>0</v>
      </c>
      <c r="U5" s="12">
        <v>0</v>
      </c>
      <c r="V5" s="4">
        <f t="shared" si="2"/>
        <v>5.7137549074593297</v>
      </c>
      <c r="W5" s="3">
        <f t="shared" si="3"/>
        <v>5.2973086627417896</v>
      </c>
      <c r="X5" s="12">
        <f t="shared" si="4"/>
        <v>2378000</v>
      </c>
      <c r="Y5" s="3">
        <v>0</v>
      </c>
      <c r="Z5" s="12">
        <v>0</v>
      </c>
      <c r="AA5" s="4">
        <f t="shared" si="5"/>
        <v>5.2973086627417896</v>
      </c>
      <c r="AB5" s="13">
        <f t="shared" si="6"/>
        <v>41.644624471754014</v>
      </c>
    </row>
    <row r="6" spans="1:28" x14ac:dyDescent="0.25">
      <c r="A6" s="1">
        <v>37803</v>
      </c>
      <c r="B6">
        <v>5.1200480603165897</v>
      </c>
      <c r="C6">
        <v>4197850</v>
      </c>
      <c r="E6" s="1">
        <v>37803</v>
      </c>
      <c r="F6">
        <v>5.3731102383386196</v>
      </c>
      <c r="G6">
        <v>2788050</v>
      </c>
      <c r="I6" s="1">
        <v>38777</v>
      </c>
      <c r="J6">
        <v>5.9327353971170602</v>
      </c>
      <c r="K6">
        <v>30459910</v>
      </c>
      <c r="M6" s="1">
        <v>38777</v>
      </c>
      <c r="N6">
        <v>6.0181337310126599</v>
      </c>
      <c r="O6">
        <v>33370270</v>
      </c>
      <c r="Q6" s="1">
        <v>37803</v>
      </c>
      <c r="R6" s="3">
        <f t="shared" si="0"/>
        <v>5.1200480603165897</v>
      </c>
      <c r="S6" s="12">
        <f t="shared" si="1"/>
        <v>4197850</v>
      </c>
      <c r="T6" s="3">
        <v>0</v>
      </c>
      <c r="U6" s="12">
        <v>0</v>
      </c>
      <c r="V6" s="4">
        <f t="shared" si="2"/>
        <v>5.1200480603165897</v>
      </c>
      <c r="W6" s="3">
        <f t="shared" si="3"/>
        <v>5.3731102383386196</v>
      </c>
      <c r="X6" s="12">
        <f t="shared" si="4"/>
        <v>2788050</v>
      </c>
      <c r="Y6" s="3">
        <v>0</v>
      </c>
      <c r="Z6" s="12">
        <v>0</v>
      </c>
      <c r="AA6" s="4">
        <f t="shared" si="5"/>
        <v>5.3731102383386196</v>
      </c>
      <c r="AB6" s="13">
        <f t="shared" si="6"/>
        <v>-25.30621780220299</v>
      </c>
    </row>
    <row r="7" spans="1:28" x14ac:dyDescent="0.25">
      <c r="A7" s="1">
        <v>37834</v>
      </c>
      <c r="B7">
        <v>5.1453940408388004</v>
      </c>
      <c r="C7">
        <v>6900300</v>
      </c>
      <c r="E7" s="1">
        <v>37834</v>
      </c>
      <c r="F7">
        <v>5.4899896055633199</v>
      </c>
      <c r="G7">
        <v>5435600</v>
      </c>
      <c r="I7" s="1">
        <v>38808</v>
      </c>
      <c r="J7">
        <v>5.9637765293639902</v>
      </c>
      <c r="K7">
        <v>23105765</v>
      </c>
      <c r="M7" s="1">
        <v>38808</v>
      </c>
      <c r="N7">
        <v>6.03132892774385</v>
      </c>
      <c r="O7">
        <v>24221125</v>
      </c>
      <c r="Q7" s="1">
        <v>37834</v>
      </c>
      <c r="R7" s="3">
        <f t="shared" si="0"/>
        <v>5.1453940408388004</v>
      </c>
      <c r="S7" s="12">
        <f t="shared" si="1"/>
        <v>6900300</v>
      </c>
      <c r="T7" s="3">
        <v>0</v>
      </c>
      <c r="U7" s="12">
        <v>0</v>
      </c>
      <c r="V7" s="4">
        <f t="shared" si="2"/>
        <v>5.1453940408388013</v>
      </c>
      <c r="W7" s="3">
        <f t="shared" si="3"/>
        <v>5.4899896055633199</v>
      </c>
      <c r="X7" s="12">
        <f t="shared" si="4"/>
        <v>5435600</v>
      </c>
      <c r="Y7" s="3">
        <v>0</v>
      </c>
      <c r="Z7" s="12">
        <v>0</v>
      </c>
      <c r="AA7" s="4">
        <f t="shared" si="5"/>
        <v>5.4899896055633199</v>
      </c>
      <c r="AB7" s="13">
        <f t="shared" si="6"/>
        <v>-34.459556472451865</v>
      </c>
    </row>
    <row r="8" spans="1:28" x14ac:dyDescent="0.25">
      <c r="A8" s="1">
        <v>37865</v>
      </c>
      <c r="B8">
        <v>5.0544410413476202</v>
      </c>
      <c r="C8">
        <v>3265000</v>
      </c>
      <c r="E8" s="1">
        <v>37865</v>
      </c>
      <c r="F8">
        <v>5.0251603281474102</v>
      </c>
      <c r="G8">
        <v>5473150</v>
      </c>
      <c r="I8" s="1">
        <v>38838</v>
      </c>
      <c r="J8">
        <v>6.0319393932032801</v>
      </c>
      <c r="K8">
        <v>37337908</v>
      </c>
      <c r="M8" s="1">
        <v>38838</v>
      </c>
      <c r="N8">
        <v>6.1200180795500199</v>
      </c>
      <c r="O8">
        <v>28001250</v>
      </c>
      <c r="Q8" s="1">
        <v>37865</v>
      </c>
      <c r="R8" s="3">
        <f t="shared" si="0"/>
        <v>5.0544410413476202</v>
      </c>
      <c r="S8" s="12">
        <f t="shared" si="1"/>
        <v>3265000</v>
      </c>
      <c r="T8" s="3">
        <v>0</v>
      </c>
      <c r="U8" s="12">
        <v>0</v>
      </c>
      <c r="V8" s="4">
        <f t="shared" si="2"/>
        <v>5.0544410413476202</v>
      </c>
      <c r="W8" s="3">
        <f t="shared" si="3"/>
        <v>5.0251603281474102</v>
      </c>
      <c r="X8" s="12">
        <f t="shared" si="4"/>
        <v>5473150</v>
      </c>
      <c r="Y8" s="3">
        <v>0</v>
      </c>
      <c r="Z8" s="12">
        <v>0</v>
      </c>
      <c r="AA8" s="4">
        <f t="shared" si="5"/>
        <v>5.0251603281474102</v>
      </c>
      <c r="AB8" s="13">
        <f t="shared" si="6"/>
        <v>2.9280713200209973</v>
      </c>
    </row>
    <row r="9" spans="1:28" x14ac:dyDescent="0.25">
      <c r="A9" s="1">
        <v>37895</v>
      </c>
      <c r="B9">
        <v>5.4011454492729598</v>
      </c>
      <c r="C9">
        <v>7241700</v>
      </c>
      <c r="E9" s="1">
        <v>37895</v>
      </c>
      <c r="F9">
        <v>5.6456238859179999</v>
      </c>
      <c r="G9">
        <v>5610000</v>
      </c>
      <c r="I9" s="1">
        <v>38869</v>
      </c>
      <c r="J9">
        <v>6.2758067447599304</v>
      </c>
      <c r="K9">
        <v>31251520</v>
      </c>
      <c r="M9" s="1">
        <v>38869</v>
      </c>
      <c r="N9">
        <v>6.33008073580047</v>
      </c>
      <c r="O9">
        <v>27142358</v>
      </c>
      <c r="Q9" s="1">
        <v>37895</v>
      </c>
      <c r="R9" s="3">
        <f t="shared" si="0"/>
        <v>5.4011454492729598</v>
      </c>
      <c r="S9" s="12">
        <f t="shared" si="1"/>
        <v>7241700</v>
      </c>
      <c r="T9" s="3">
        <v>0</v>
      </c>
      <c r="U9" s="12">
        <v>0</v>
      </c>
      <c r="V9" s="4">
        <f t="shared" si="2"/>
        <v>5.4011454492729598</v>
      </c>
      <c r="W9" s="3">
        <f t="shared" si="3"/>
        <v>5.6456238859179999</v>
      </c>
      <c r="X9" s="12">
        <f t="shared" si="4"/>
        <v>5610000</v>
      </c>
      <c r="Y9" s="3">
        <v>0</v>
      </c>
      <c r="Z9" s="12">
        <v>0</v>
      </c>
      <c r="AA9" s="4">
        <f t="shared" si="5"/>
        <v>5.6456238859179999</v>
      </c>
      <c r="AB9" s="13">
        <f t="shared" si="6"/>
        <v>-24.44784366450401</v>
      </c>
    </row>
    <row r="10" spans="1:28" x14ac:dyDescent="0.25">
      <c r="A10" s="1">
        <v>37926</v>
      </c>
      <c r="B10">
        <v>5.2483006870340496</v>
      </c>
      <c r="C10">
        <v>1368200</v>
      </c>
      <c r="E10" s="1">
        <v>37926</v>
      </c>
      <c r="F10">
        <v>5.6267507002801098</v>
      </c>
      <c r="G10">
        <v>1428000</v>
      </c>
      <c r="I10" s="1">
        <v>38899</v>
      </c>
      <c r="J10">
        <v>6.2844319040660999</v>
      </c>
      <c r="K10">
        <v>24808750</v>
      </c>
      <c r="M10" s="1">
        <v>38899</v>
      </c>
      <c r="N10">
        <v>6.3767724931816501</v>
      </c>
      <c r="O10">
        <v>27242700</v>
      </c>
      <c r="Q10" s="1">
        <v>37926</v>
      </c>
      <c r="R10" s="3">
        <f t="shared" si="0"/>
        <v>5.2483006870340496</v>
      </c>
      <c r="S10" s="12">
        <f t="shared" si="1"/>
        <v>1368200</v>
      </c>
      <c r="T10" s="3">
        <v>0</v>
      </c>
      <c r="U10" s="12">
        <v>0</v>
      </c>
      <c r="V10" s="4">
        <f t="shared" si="2"/>
        <v>5.2483006870340496</v>
      </c>
      <c r="W10" s="3">
        <f t="shared" si="3"/>
        <v>5.6267507002801098</v>
      </c>
      <c r="X10" s="12">
        <f t="shared" si="4"/>
        <v>1428000</v>
      </c>
      <c r="Y10" s="3">
        <v>0</v>
      </c>
      <c r="Z10" s="12">
        <v>0</v>
      </c>
      <c r="AA10" s="4">
        <f t="shared" si="5"/>
        <v>5.6267507002801098</v>
      </c>
      <c r="AB10" s="13">
        <f t="shared" si="6"/>
        <v>-37.845001324606017</v>
      </c>
    </row>
    <row r="11" spans="1:28" x14ac:dyDescent="0.25">
      <c r="A11" s="1">
        <v>37956</v>
      </c>
      <c r="B11">
        <v>5.5470498750407398</v>
      </c>
      <c r="C11">
        <v>1380450</v>
      </c>
      <c r="E11" s="1">
        <v>37956</v>
      </c>
      <c r="F11">
        <v>5.8895824723714503</v>
      </c>
      <c r="G11">
        <v>3750650</v>
      </c>
      <c r="I11" s="1">
        <v>38930</v>
      </c>
      <c r="J11">
        <v>6.4199065765150696</v>
      </c>
      <c r="K11">
        <v>25865766</v>
      </c>
      <c r="M11" s="1">
        <v>38930</v>
      </c>
      <c r="N11">
        <v>6.4693391447812703</v>
      </c>
      <c r="O11">
        <v>25911500</v>
      </c>
      <c r="Q11" s="1">
        <v>37956</v>
      </c>
      <c r="R11" s="3">
        <f t="shared" si="0"/>
        <v>5.5470498750407398</v>
      </c>
      <c r="S11" s="12">
        <f t="shared" si="1"/>
        <v>1380450</v>
      </c>
      <c r="T11" s="3">
        <v>0</v>
      </c>
      <c r="U11" s="12">
        <v>0</v>
      </c>
      <c r="V11" s="4">
        <f t="shared" si="2"/>
        <v>5.5470498750407398</v>
      </c>
      <c r="W11" s="3">
        <f t="shared" si="3"/>
        <v>5.8895824723714503</v>
      </c>
      <c r="X11" s="12">
        <f t="shared" si="4"/>
        <v>3750650</v>
      </c>
      <c r="Y11" s="3">
        <v>0</v>
      </c>
      <c r="Z11" s="12">
        <v>0</v>
      </c>
      <c r="AA11" s="4">
        <f t="shared" si="5"/>
        <v>5.8895824723714503</v>
      </c>
      <c r="AB11" s="13">
        <f t="shared" si="6"/>
        <v>-34.253259733071047</v>
      </c>
    </row>
    <row r="12" spans="1:28" x14ac:dyDescent="0.25">
      <c r="A12" s="1">
        <v>37987</v>
      </c>
      <c r="B12">
        <v>6.0246095564965003</v>
      </c>
      <c r="C12">
        <v>4562760</v>
      </c>
      <c r="E12" s="1">
        <v>37987</v>
      </c>
      <c r="F12">
        <v>5.5960241804231501</v>
      </c>
      <c r="G12">
        <v>4301000</v>
      </c>
      <c r="I12" s="1">
        <v>38961</v>
      </c>
      <c r="J12">
        <v>6.4051003938452</v>
      </c>
      <c r="K12">
        <v>27942450</v>
      </c>
      <c r="M12" s="1">
        <v>38961</v>
      </c>
      <c r="N12">
        <v>6.4840706664359704</v>
      </c>
      <c r="O12">
        <v>22836117</v>
      </c>
      <c r="Q12" s="1">
        <v>37987</v>
      </c>
      <c r="R12" s="3">
        <f t="shared" si="0"/>
        <v>6.0246095564965003</v>
      </c>
      <c r="S12" s="12">
        <f t="shared" si="1"/>
        <v>4562760</v>
      </c>
      <c r="T12" s="3">
        <v>0</v>
      </c>
      <c r="U12" s="12">
        <v>0</v>
      </c>
      <c r="V12" s="4">
        <f t="shared" si="2"/>
        <v>6.0246095564965003</v>
      </c>
      <c r="W12" s="3">
        <f t="shared" si="3"/>
        <v>5.5960241804231501</v>
      </c>
      <c r="X12" s="12">
        <f t="shared" si="4"/>
        <v>4301000</v>
      </c>
      <c r="Y12" s="3">
        <v>0</v>
      </c>
      <c r="Z12" s="12">
        <v>0</v>
      </c>
      <c r="AA12" s="4">
        <f t="shared" si="5"/>
        <v>5.5960241804231501</v>
      </c>
      <c r="AB12" s="13">
        <f t="shared" si="6"/>
        <v>42.858537607335023</v>
      </c>
    </row>
    <row r="13" spans="1:28" x14ac:dyDescent="0.25">
      <c r="A13" s="1">
        <v>38018</v>
      </c>
      <c r="B13">
        <v>5.59548680076559</v>
      </c>
      <c r="C13">
        <v>1384550</v>
      </c>
      <c r="E13" s="1">
        <v>38018</v>
      </c>
      <c r="F13">
        <v>5.5</v>
      </c>
      <c r="G13">
        <v>984050</v>
      </c>
      <c r="I13" s="1">
        <v>38991</v>
      </c>
      <c r="J13">
        <v>6.2922835781624196</v>
      </c>
      <c r="K13">
        <v>26315228</v>
      </c>
      <c r="M13" s="1">
        <v>38991</v>
      </c>
      <c r="N13">
        <v>6.3558867965313199</v>
      </c>
      <c r="O13">
        <v>21743150</v>
      </c>
      <c r="Q13" s="1">
        <v>38018</v>
      </c>
      <c r="R13" s="3">
        <f t="shared" si="0"/>
        <v>5.59548680076559</v>
      </c>
      <c r="S13" s="12">
        <f t="shared" si="1"/>
        <v>1384550</v>
      </c>
      <c r="T13" s="3">
        <v>0</v>
      </c>
      <c r="U13" s="12">
        <v>0</v>
      </c>
      <c r="V13" s="4">
        <f t="shared" si="2"/>
        <v>5.59548680076559</v>
      </c>
      <c r="W13" s="3">
        <f t="shared" si="3"/>
        <v>5.5</v>
      </c>
      <c r="X13" s="12">
        <f t="shared" si="4"/>
        <v>984050</v>
      </c>
      <c r="Y13" s="3">
        <v>0</v>
      </c>
      <c r="Z13" s="12">
        <v>0</v>
      </c>
      <c r="AA13" s="4">
        <f t="shared" si="5"/>
        <v>5.5</v>
      </c>
      <c r="AB13" s="13">
        <f t="shared" si="6"/>
        <v>9.5486800765590019</v>
      </c>
    </row>
    <row r="14" spans="1:28" x14ac:dyDescent="0.25">
      <c r="A14" s="1">
        <v>38047</v>
      </c>
      <c r="B14">
        <v>5.4157379974412398</v>
      </c>
      <c r="C14">
        <v>1485100</v>
      </c>
      <c r="E14" s="1">
        <v>38047</v>
      </c>
      <c r="F14">
        <v>5.6898741046233896</v>
      </c>
      <c r="G14">
        <v>4607000</v>
      </c>
      <c r="I14" s="1">
        <v>39022</v>
      </c>
      <c r="J14">
        <v>6.0857291598031003</v>
      </c>
      <c r="K14">
        <v>21368896</v>
      </c>
      <c r="M14" s="1">
        <v>39022</v>
      </c>
      <c r="N14">
        <v>6.1714086608465699</v>
      </c>
      <c r="O14">
        <v>29131494</v>
      </c>
      <c r="Q14" s="1">
        <v>38047</v>
      </c>
      <c r="R14" s="3">
        <f t="shared" si="0"/>
        <v>5.4157379974412398</v>
      </c>
      <c r="S14" s="12">
        <f t="shared" si="1"/>
        <v>1485100</v>
      </c>
      <c r="T14" s="3">
        <v>0</v>
      </c>
      <c r="U14" s="12">
        <v>0</v>
      </c>
      <c r="V14" s="4">
        <f t="shared" si="2"/>
        <v>5.4157379974412398</v>
      </c>
      <c r="W14" s="3">
        <f t="shared" si="3"/>
        <v>5.6898741046233896</v>
      </c>
      <c r="X14" s="12">
        <f t="shared" si="4"/>
        <v>4607000</v>
      </c>
      <c r="Y14" s="3">
        <v>0</v>
      </c>
      <c r="Z14" s="12">
        <v>0</v>
      </c>
      <c r="AA14" s="4">
        <f t="shared" si="5"/>
        <v>5.6898741046233896</v>
      </c>
      <c r="AB14" s="13">
        <f t="shared" si="6"/>
        <v>-27.413610718214976</v>
      </c>
    </row>
    <row r="15" spans="1:28" x14ac:dyDescent="0.25">
      <c r="A15" s="1">
        <v>38078</v>
      </c>
      <c r="B15">
        <v>5.4170670566116499</v>
      </c>
      <c r="C15">
        <v>2393500</v>
      </c>
      <c r="E15" s="1">
        <v>38078</v>
      </c>
      <c r="F15">
        <v>5.4249066164538702</v>
      </c>
      <c r="G15">
        <v>3266100</v>
      </c>
      <c r="I15" s="1">
        <v>39052</v>
      </c>
      <c r="J15">
        <v>5.9629295046411803</v>
      </c>
      <c r="K15">
        <v>27012601</v>
      </c>
      <c r="M15" s="1">
        <v>39052</v>
      </c>
      <c r="N15">
        <v>6.0901183986385599</v>
      </c>
      <c r="O15">
        <v>31141152</v>
      </c>
      <c r="Q15" s="1">
        <v>38078</v>
      </c>
      <c r="R15" s="3">
        <f t="shared" si="0"/>
        <v>5.4170670566116499</v>
      </c>
      <c r="S15" s="12">
        <f t="shared" si="1"/>
        <v>2393500</v>
      </c>
      <c r="T15" s="3">
        <v>0</v>
      </c>
      <c r="U15" s="12">
        <v>0</v>
      </c>
      <c r="V15" s="4">
        <f t="shared" si="2"/>
        <v>5.4170670566116499</v>
      </c>
      <c r="W15" s="3">
        <f t="shared" si="3"/>
        <v>5.4249066164538702</v>
      </c>
      <c r="X15" s="12">
        <f t="shared" si="4"/>
        <v>3266100</v>
      </c>
      <c r="Y15" s="3">
        <v>0</v>
      </c>
      <c r="Z15" s="12">
        <v>0</v>
      </c>
      <c r="AA15" s="4">
        <f t="shared" si="5"/>
        <v>5.4249066164538702</v>
      </c>
      <c r="AB15" s="13">
        <f t="shared" si="6"/>
        <v>-0.78395598422202895</v>
      </c>
    </row>
    <row r="16" spans="1:28" x14ac:dyDescent="0.25">
      <c r="A16" s="1">
        <v>38108</v>
      </c>
      <c r="B16">
        <v>5.3431267003497798</v>
      </c>
      <c r="C16">
        <v>3216250</v>
      </c>
      <c r="E16" s="1">
        <v>38108</v>
      </c>
      <c r="F16">
        <v>5.2459073514441101</v>
      </c>
      <c r="G16">
        <v>5628690</v>
      </c>
      <c r="I16" s="1">
        <v>39083</v>
      </c>
      <c r="J16">
        <v>5.97519629670282</v>
      </c>
      <c r="K16">
        <v>21081862</v>
      </c>
      <c r="M16" s="1">
        <v>39083</v>
      </c>
      <c r="N16">
        <v>6.0842757864666304</v>
      </c>
      <c r="O16">
        <v>20023100</v>
      </c>
      <c r="Q16" s="1">
        <v>38108</v>
      </c>
      <c r="R16" s="3">
        <f t="shared" si="0"/>
        <v>5.3431267003497798</v>
      </c>
      <c r="S16" s="12">
        <f t="shared" si="1"/>
        <v>3216250</v>
      </c>
      <c r="T16" s="3">
        <v>0</v>
      </c>
      <c r="U16" s="12">
        <v>0</v>
      </c>
      <c r="V16" s="4">
        <f t="shared" si="2"/>
        <v>5.3431267003497789</v>
      </c>
      <c r="W16" s="3">
        <f t="shared" si="3"/>
        <v>5.2459073514441101</v>
      </c>
      <c r="X16" s="12">
        <f t="shared" si="4"/>
        <v>5628690</v>
      </c>
      <c r="Y16" s="3">
        <v>0</v>
      </c>
      <c r="Z16" s="12">
        <v>0</v>
      </c>
      <c r="AA16" s="4">
        <f t="shared" si="5"/>
        <v>5.2459073514441101</v>
      </c>
      <c r="AB16" s="13">
        <f t="shared" si="6"/>
        <v>9.7219348905668745</v>
      </c>
    </row>
    <row r="17" spans="1:28" x14ac:dyDescent="0.25">
      <c r="A17" s="1">
        <v>38139</v>
      </c>
      <c r="B17">
        <v>5.4596778589338202</v>
      </c>
      <c r="C17">
        <v>3669200</v>
      </c>
      <c r="E17" s="1">
        <v>38139</v>
      </c>
      <c r="F17">
        <v>5.4669314177283796</v>
      </c>
      <c r="G17">
        <v>4611250</v>
      </c>
      <c r="I17" s="1">
        <v>39114</v>
      </c>
      <c r="J17">
        <v>5.8989011453455102</v>
      </c>
      <c r="K17">
        <v>59246052</v>
      </c>
      <c r="M17" s="1">
        <v>39114</v>
      </c>
      <c r="N17">
        <v>5.9490675065413301</v>
      </c>
      <c r="O17">
        <v>37531711</v>
      </c>
      <c r="Q17" s="1">
        <v>38139</v>
      </c>
      <c r="R17" s="3">
        <f t="shared" si="0"/>
        <v>5.4596778589338202</v>
      </c>
      <c r="S17" s="12">
        <f t="shared" si="1"/>
        <v>3669200</v>
      </c>
      <c r="T17" s="3">
        <v>0</v>
      </c>
      <c r="U17" s="12">
        <v>0</v>
      </c>
      <c r="V17" s="4">
        <f t="shared" si="2"/>
        <v>5.4596778589338202</v>
      </c>
      <c r="W17" s="3">
        <f t="shared" si="3"/>
        <v>5.4669314177283796</v>
      </c>
      <c r="X17" s="12">
        <f t="shared" si="4"/>
        <v>4611250</v>
      </c>
      <c r="Y17" s="3">
        <v>0</v>
      </c>
      <c r="Z17" s="12">
        <v>0</v>
      </c>
      <c r="AA17" s="4">
        <f t="shared" si="5"/>
        <v>5.4669314177283796</v>
      </c>
      <c r="AB17" s="13">
        <f t="shared" si="6"/>
        <v>-0.72535587945594671</v>
      </c>
    </row>
    <row r="18" spans="1:28" x14ac:dyDescent="0.25">
      <c r="A18" s="1">
        <v>38169</v>
      </c>
      <c r="B18">
        <v>5.9351659751037298</v>
      </c>
      <c r="C18">
        <v>964000</v>
      </c>
      <c r="E18" s="1">
        <v>38169</v>
      </c>
      <c r="F18">
        <v>5.81506064597568</v>
      </c>
      <c r="G18">
        <v>3644100</v>
      </c>
      <c r="I18" s="1">
        <v>39142</v>
      </c>
      <c r="J18">
        <v>5.9488324882992396</v>
      </c>
      <c r="K18">
        <v>36804235</v>
      </c>
      <c r="M18" s="1">
        <v>39142</v>
      </c>
      <c r="N18">
        <v>6.0764403225001802</v>
      </c>
      <c r="O18">
        <v>37305777</v>
      </c>
      <c r="Q18" s="1">
        <v>38169</v>
      </c>
      <c r="R18" s="3">
        <f t="shared" si="0"/>
        <v>5.9351659751037298</v>
      </c>
      <c r="S18" s="12">
        <f t="shared" si="1"/>
        <v>964000</v>
      </c>
      <c r="T18" s="3">
        <v>0</v>
      </c>
      <c r="U18" s="12">
        <v>0</v>
      </c>
      <c r="V18" s="4">
        <f t="shared" si="2"/>
        <v>5.9351659751037298</v>
      </c>
      <c r="W18" s="3">
        <f t="shared" si="3"/>
        <v>5.81506064597568</v>
      </c>
      <c r="X18" s="12">
        <f t="shared" si="4"/>
        <v>3644100</v>
      </c>
      <c r="Y18" s="3">
        <v>0</v>
      </c>
      <c r="Z18" s="12">
        <v>0</v>
      </c>
      <c r="AA18" s="4">
        <f t="shared" si="5"/>
        <v>5.81506064597568</v>
      </c>
      <c r="AB18" s="13">
        <f t="shared" si="6"/>
        <v>12.010532912804983</v>
      </c>
    </row>
    <row r="19" spans="1:28" x14ac:dyDescent="0.25">
      <c r="A19" s="1">
        <v>38200</v>
      </c>
      <c r="B19">
        <v>6.0446035242290703</v>
      </c>
      <c r="C19">
        <v>908000</v>
      </c>
      <c r="E19" s="1">
        <v>38200</v>
      </c>
      <c r="F19">
        <v>6.0303666077738498</v>
      </c>
      <c r="G19">
        <v>2264000</v>
      </c>
      <c r="I19" s="1">
        <v>39173</v>
      </c>
      <c r="J19">
        <v>5.9381771913332999</v>
      </c>
      <c r="K19">
        <v>30402689</v>
      </c>
      <c r="M19" s="1">
        <v>39173</v>
      </c>
      <c r="N19">
        <v>5.9586960516331304</v>
      </c>
      <c r="O19">
        <v>30987546</v>
      </c>
      <c r="Q19" s="1">
        <v>38200</v>
      </c>
      <c r="R19" s="3">
        <f t="shared" si="0"/>
        <v>6.0446035242290703</v>
      </c>
      <c r="S19" s="12">
        <f t="shared" si="1"/>
        <v>908000</v>
      </c>
      <c r="T19" s="3">
        <v>0</v>
      </c>
      <c r="U19" s="12">
        <v>0</v>
      </c>
      <c r="V19" s="4">
        <f t="shared" si="2"/>
        <v>6.0446035242290712</v>
      </c>
      <c r="W19" s="3">
        <f t="shared" si="3"/>
        <v>6.0303666077738498</v>
      </c>
      <c r="X19" s="12">
        <f t="shared" si="4"/>
        <v>2264000</v>
      </c>
      <c r="Y19" s="3">
        <v>0</v>
      </c>
      <c r="Z19" s="12">
        <v>0</v>
      </c>
      <c r="AA19" s="4">
        <f t="shared" si="5"/>
        <v>6.0303666077738498</v>
      </c>
      <c r="AB19" s="13">
        <f t="shared" si="6"/>
        <v>1.4236916455221404</v>
      </c>
    </row>
    <row r="20" spans="1:28" x14ac:dyDescent="0.25">
      <c r="A20" s="1">
        <v>38231</v>
      </c>
      <c r="B20">
        <v>5.875</v>
      </c>
      <c r="C20">
        <v>419000</v>
      </c>
      <c r="E20" s="1">
        <v>38231</v>
      </c>
      <c r="F20">
        <v>5.8958479943701603</v>
      </c>
      <c r="G20">
        <v>1421000</v>
      </c>
      <c r="I20" s="1">
        <v>39203</v>
      </c>
      <c r="J20">
        <v>5.8750589332039302</v>
      </c>
      <c r="K20">
        <v>49823356</v>
      </c>
      <c r="M20" s="1">
        <v>39203</v>
      </c>
      <c r="N20">
        <v>5.9976445646499004</v>
      </c>
      <c r="O20">
        <v>34024708</v>
      </c>
      <c r="Q20" s="1">
        <v>38231</v>
      </c>
      <c r="R20" s="3">
        <f t="shared" si="0"/>
        <v>5.875</v>
      </c>
      <c r="S20" s="12">
        <f t="shared" si="1"/>
        <v>419000</v>
      </c>
      <c r="T20" s="3">
        <v>0</v>
      </c>
      <c r="U20" s="12">
        <v>0</v>
      </c>
      <c r="V20" s="4">
        <f t="shared" si="2"/>
        <v>5.875</v>
      </c>
      <c r="W20" s="3">
        <f t="shared" si="3"/>
        <v>5.8958479943701603</v>
      </c>
      <c r="X20" s="12">
        <f t="shared" si="4"/>
        <v>1421000</v>
      </c>
      <c r="Y20" s="3">
        <v>0</v>
      </c>
      <c r="Z20" s="12">
        <v>0</v>
      </c>
      <c r="AA20" s="4">
        <f t="shared" si="5"/>
        <v>5.8958479943701603</v>
      </c>
      <c r="AB20" s="13">
        <f t="shared" si="6"/>
        <v>-2.0847994370160272</v>
      </c>
    </row>
    <row r="21" spans="1:28" x14ac:dyDescent="0.25">
      <c r="A21" s="1">
        <v>38261</v>
      </c>
      <c r="B21">
        <v>5.7788951334511998</v>
      </c>
      <c r="C21">
        <v>2375400</v>
      </c>
      <c r="E21" s="1">
        <v>38261</v>
      </c>
      <c r="F21">
        <v>5.7765623504708898</v>
      </c>
      <c r="G21">
        <v>1421128</v>
      </c>
      <c r="I21" s="1">
        <v>39234</v>
      </c>
      <c r="J21">
        <v>5.9508829180967302</v>
      </c>
      <c r="K21">
        <v>34515744</v>
      </c>
      <c r="M21" s="1">
        <v>39234</v>
      </c>
      <c r="N21">
        <v>5.9876714152466102</v>
      </c>
      <c r="O21">
        <v>30233600</v>
      </c>
      <c r="Q21" s="1">
        <v>38261</v>
      </c>
      <c r="R21" s="3">
        <f t="shared" si="0"/>
        <v>5.7788951334511998</v>
      </c>
      <c r="S21" s="12">
        <f t="shared" si="1"/>
        <v>2375400</v>
      </c>
      <c r="T21" s="3">
        <v>0</v>
      </c>
      <c r="U21" s="12">
        <v>0</v>
      </c>
      <c r="V21" s="4">
        <f t="shared" si="2"/>
        <v>5.7788951334511998</v>
      </c>
      <c r="W21" s="3">
        <f t="shared" si="3"/>
        <v>5.7765623504708898</v>
      </c>
      <c r="X21" s="12">
        <f t="shared" si="4"/>
        <v>1421128</v>
      </c>
      <c r="Y21" s="3">
        <v>0</v>
      </c>
      <c r="Z21" s="12">
        <v>0</v>
      </c>
      <c r="AA21" s="4">
        <f t="shared" si="5"/>
        <v>5.7765623504708898</v>
      </c>
      <c r="AB21" s="13">
        <f t="shared" si="6"/>
        <v>0.2332782980309922</v>
      </c>
    </row>
    <row r="22" spans="1:28" x14ac:dyDescent="0.25">
      <c r="A22" s="1">
        <v>38292</v>
      </c>
      <c r="B22">
        <v>5.7024298839458396</v>
      </c>
      <c r="C22">
        <v>4136000</v>
      </c>
      <c r="E22" s="1">
        <v>38292</v>
      </c>
      <c r="F22">
        <v>5.7357557395733902</v>
      </c>
      <c r="G22">
        <v>4299100</v>
      </c>
      <c r="I22" s="1">
        <v>39264</v>
      </c>
      <c r="J22">
        <v>6.1529131699751698</v>
      </c>
      <c r="K22">
        <v>28040554</v>
      </c>
      <c r="M22" s="1">
        <v>39264</v>
      </c>
      <c r="N22">
        <v>6.2420427398517404</v>
      </c>
      <c r="O22">
        <v>29245305</v>
      </c>
      <c r="Q22" s="1">
        <v>38292</v>
      </c>
      <c r="R22" s="3">
        <f t="shared" si="0"/>
        <v>5.7024298839458396</v>
      </c>
      <c r="S22" s="12">
        <f t="shared" si="1"/>
        <v>4136000</v>
      </c>
      <c r="T22" s="3">
        <v>0</v>
      </c>
      <c r="U22" s="12">
        <v>0</v>
      </c>
      <c r="V22" s="4">
        <f t="shared" si="2"/>
        <v>5.7024298839458396</v>
      </c>
      <c r="W22" s="3">
        <f t="shared" si="3"/>
        <v>5.7357557395733902</v>
      </c>
      <c r="X22" s="12">
        <f t="shared" si="4"/>
        <v>4299100</v>
      </c>
      <c r="Y22" s="3">
        <v>0</v>
      </c>
      <c r="Z22" s="12">
        <v>0</v>
      </c>
      <c r="AA22" s="4">
        <f t="shared" si="5"/>
        <v>5.7357557395733902</v>
      </c>
      <c r="AB22" s="13">
        <f t="shared" si="6"/>
        <v>-3.3325855627550638</v>
      </c>
    </row>
    <row r="23" spans="1:28" x14ac:dyDescent="0.25">
      <c r="A23" s="1">
        <v>38322</v>
      </c>
      <c r="B23">
        <v>5.6441425234132101</v>
      </c>
      <c r="C23">
        <v>2397150</v>
      </c>
      <c r="E23" s="1">
        <v>38322</v>
      </c>
      <c r="F23">
        <v>5.5740574903637903</v>
      </c>
      <c r="G23">
        <v>3671050</v>
      </c>
      <c r="I23" s="1">
        <v>39295</v>
      </c>
      <c r="J23">
        <v>6.2424475020723502</v>
      </c>
      <c r="K23">
        <v>25226091</v>
      </c>
      <c r="M23" s="1">
        <v>39295</v>
      </c>
      <c r="N23">
        <v>6.3539968384593397</v>
      </c>
      <c r="O23">
        <v>20673465</v>
      </c>
      <c r="Q23" s="1">
        <v>38322</v>
      </c>
      <c r="R23" s="3">
        <f t="shared" si="0"/>
        <v>5.6441425234132101</v>
      </c>
      <c r="S23" s="12">
        <f t="shared" si="1"/>
        <v>2397150</v>
      </c>
      <c r="T23" s="3">
        <v>0</v>
      </c>
      <c r="U23" s="12">
        <v>0</v>
      </c>
      <c r="V23" s="4">
        <f t="shared" si="2"/>
        <v>5.6441425234132101</v>
      </c>
      <c r="W23" s="3">
        <f t="shared" si="3"/>
        <v>5.5740574903637903</v>
      </c>
      <c r="X23" s="12">
        <f t="shared" si="4"/>
        <v>3671050</v>
      </c>
      <c r="Y23" s="3">
        <v>0</v>
      </c>
      <c r="Z23" s="12">
        <v>0</v>
      </c>
      <c r="AA23" s="4">
        <f t="shared" si="5"/>
        <v>5.5740574903637903</v>
      </c>
      <c r="AB23" s="13">
        <f t="shared" si="6"/>
        <v>7.008503304941982</v>
      </c>
    </row>
    <row r="24" spans="1:28" x14ac:dyDescent="0.25">
      <c r="A24" s="1">
        <v>38353</v>
      </c>
      <c r="B24">
        <v>5.5486662883087403</v>
      </c>
      <c r="C24">
        <v>881000</v>
      </c>
      <c r="E24" s="1">
        <v>38353</v>
      </c>
      <c r="F24">
        <v>5.5864243350567797</v>
      </c>
      <c r="G24">
        <v>3418525</v>
      </c>
      <c r="I24" s="1">
        <v>39326</v>
      </c>
      <c r="J24">
        <v>6.3800802822951299</v>
      </c>
      <c r="K24">
        <v>29454564</v>
      </c>
      <c r="M24" s="1">
        <v>39326</v>
      </c>
      <c r="N24">
        <v>6.43423424120164</v>
      </c>
      <c r="O24">
        <v>21399506</v>
      </c>
      <c r="Q24" s="1">
        <v>38353</v>
      </c>
      <c r="R24" s="3">
        <f t="shared" si="0"/>
        <v>5.5486662883087403</v>
      </c>
      <c r="S24" s="12">
        <f t="shared" si="1"/>
        <v>881000</v>
      </c>
      <c r="T24" s="3">
        <v>0</v>
      </c>
      <c r="U24" s="12">
        <v>0</v>
      </c>
      <c r="V24" s="4">
        <f t="shared" si="2"/>
        <v>5.5486662883087403</v>
      </c>
      <c r="W24" s="3">
        <f t="shared" si="3"/>
        <v>5.5864243350567797</v>
      </c>
      <c r="X24" s="12">
        <f t="shared" si="4"/>
        <v>3418525</v>
      </c>
      <c r="Y24" s="3">
        <v>0</v>
      </c>
      <c r="Z24" s="12">
        <v>0</v>
      </c>
      <c r="AA24" s="4">
        <f t="shared" si="5"/>
        <v>5.5864243350567797</v>
      </c>
      <c r="AB24" s="13">
        <f t="shared" si="6"/>
        <v>-3.7758046748039398</v>
      </c>
    </row>
    <row r="25" spans="1:28" x14ac:dyDescent="0.25">
      <c r="A25" s="1">
        <v>38384</v>
      </c>
      <c r="B25">
        <v>5.6464080353851802</v>
      </c>
      <c r="C25">
        <v>3391250</v>
      </c>
      <c r="E25" s="1">
        <v>38384</v>
      </c>
      <c r="F25">
        <v>5.4577672916515301</v>
      </c>
      <c r="G25">
        <v>3785425</v>
      </c>
      <c r="I25" s="1">
        <v>39356</v>
      </c>
      <c r="J25">
        <v>6.3249149173922303</v>
      </c>
      <c r="K25">
        <v>28628060</v>
      </c>
      <c r="M25" s="1">
        <v>39356</v>
      </c>
      <c r="N25">
        <v>6.4211292355379399</v>
      </c>
      <c r="O25">
        <v>29057348</v>
      </c>
      <c r="Q25" s="1">
        <v>38384</v>
      </c>
      <c r="R25" s="3">
        <f t="shared" si="0"/>
        <v>5.6464080353851802</v>
      </c>
      <c r="S25" s="12">
        <f t="shared" si="1"/>
        <v>3391250</v>
      </c>
      <c r="T25" s="3">
        <v>0</v>
      </c>
      <c r="U25" s="12">
        <v>0</v>
      </c>
      <c r="V25" s="4">
        <f t="shared" si="2"/>
        <v>5.6464080353851802</v>
      </c>
      <c r="W25" s="3">
        <f t="shared" si="3"/>
        <v>5.4577672916515301</v>
      </c>
      <c r="X25" s="12">
        <f t="shared" si="4"/>
        <v>3785425</v>
      </c>
      <c r="Y25" s="3">
        <v>0</v>
      </c>
      <c r="Z25" s="12">
        <v>0</v>
      </c>
      <c r="AA25" s="4">
        <f t="shared" si="5"/>
        <v>5.4577672916515301</v>
      </c>
      <c r="AB25" s="13">
        <f t="shared" si="6"/>
        <v>18.864074373365014</v>
      </c>
    </row>
    <row r="26" spans="1:28" x14ac:dyDescent="0.25">
      <c r="A26" s="1">
        <v>38412</v>
      </c>
      <c r="B26">
        <v>5.3295273798436602</v>
      </c>
      <c r="C26">
        <v>2389075</v>
      </c>
      <c r="E26" s="1">
        <v>38412</v>
      </c>
      <c r="F26">
        <v>5.4622317986452904</v>
      </c>
      <c r="G26">
        <v>4403175</v>
      </c>
      <c r="I26" s="1">
        <v>39387</v>
      </c>
      <c r="J26">
        <v>6.1261000581862</v>
      </c>
      <c r="K26">
        <v>23545100</v>
      </c>
      <c r="M26" s="1">
        <v>39387</v>
      </c>
      <c r="N26">
        <v>6.2143613632284902</v>
      </c>
      <c r="O26">
        <v>37634366</v>
      </c>
      <c r="Q26" s="1">
        <v>38412</v>
      </c>
      <c r="R26" s="3">
        <f t="shared" si="0"/>
        <v>5.3295273798436602</v>
      </c>
      <c r="S26" s="12">
        <f t="shared" si="1"/>
        <v>2389075</v>
      </c>
      <c r="T26" s="3">
        <v>0</v>
      </c>
      <c r="U26" s="12">
        <v>0</v>
      </c>
      <c r="V26" s="4">
        <f t="shared" si="2"/>
        <v>5.3295273798436602</v>
      </c>
      <c r="W26" s="3">
        <f t="shared" si="3"/>
        <v>5.4622317986452904</v>
      </c>
      <c r="X26" s="12">
        <f t="shared" si="4"/>
        <v>4403175</v>
      </c>
      <c r="Y26" s="3">
        <v>0</v>
      </c>
      <c r="Z26" s="12">
        <v>0</v>
      </c>
      <c r="AA26" s="4">
        <f t="shared" si="5"/>
        <v>5.4622317986452904</v>
      </c>
      <c r="AB26" s="13">
        <f t="shared" si="6"/>
        <v>-13.27044188016302</v>
      </c>
    </row>
    <row r="27" spans="1:28" x14ac:dyDescent="0.25">
      <c r="A27" s="1">
        <v>38443</v>
      </c>
      <c r="B27">
        <v>5.4496395902112296</v>
      </c>
      <c r="C27">
        <v>5285650</v>
      </c>
      <c r="E27" s="1">
        <v>38443</v>
      </c>
      <c r="F27">
        <v>5.5596887694007</v>
      </c>
      <c r="G27">
        <v>7749720</v>
      </c>
      <c r="I27" s="1">
        <v>39417</v>
      </c>
      <c r="J27">
        <v>5.9353992175247701</v>
      </c>
      <c r="K27">
        <v>32250989</v>
      </c>
      <c r="M27" s="1">
        <v>39417</v>
      </c>
      <c r="N27">
        <v>6.1365979490177596</v>
      </c>
      <c r="O27">
        <v>26310223</v>
      </c>
      <c r="Q27" s="1">
        <v>38443</v>
      </c>
      <c r="R27" s="3">
        <f t="shared" si="0"/>
        <v>5.4496395902112296</v>
      </c>
      <c r="S27" s="12">
        <f t="shared" si="1"/>
        <v>5285650</v>
      </c>
      <c r="T27" s="3">
        <v>0</v>
      </c>
      <c r="U27" s="12">
        <v>0</v>
      </c>
      <c r="V27" s="4">
        <f t="shared" si="2"/>
        <v>5.4496395902112296</v>
      </c>
      <c r="W27" s="3">
        <f t="shared" si="3"/>
        <v>5.5596887694007</v>
      </c>
      <c r="X27" s="12">
        <f t="shared" si="4"/>
        <v>7749720</v>
      </c>
      <c r="Y27" s="3">
        <v>0</v>
      </c>
      <c r="Z27" s="12">
        <v>0</v>
      </c>
      <c r="AA27" s="4">
        <f t="shared" si="5"/>
        <v>5.5596887694007</v>
      </c>
      <c r="AB27" s="13">
        <f t="shared" si="6"/>
        <v>-11.004917918947044</v>
      </c>
    </row>
    <row r="28" spans="1:28" x14ac:dyDescent="0.25">
      <c r="A28" s="1">
        <v>38473</v>
      </c>
      <c r="B28">
        <v>6.0516203776650297</v>
      </c>
      <c r="C28">
        <v>2855970</v>
      </c>
      <c r="E28" s="1">
        <v>38473</v>
      </c>
      <c r="F28">
        <v>5.7042681605144798</v>
      </c>
      <c r="G28">
        <v>9019348</v>
      </c>
      <c r="I28" s="1">
        <v>39448</v>
      </c>
      <c r="J28">
        <v>5.9702399901642504</v>
      </c>
      <c r="K28">
        <v>34697922</v>
      </c>
      <c r="M28" s="1">
        <v>39448</v>
      </c>
      <c r="N28">
        <v>5.9586527164725496</v>
      </c>
      <c r="O28">
        <v>28896850</v>
      </c>
      <c r="Q28" s="1">
        <v>38473</v>
      </c>
      <c r="R28" s="3">
        <f t="shared" si="0"/>
        <v>6.0516203776650297</v>
      </c>
      <c r="S28" s="12">
        <f t="shared" si="1"/>
        <v>2855970</v>
      </c>
      <c r="T28" s="3">
        <v>0</v>
      </c>
      <c r="U28" s="12">
        <v>0</v>
      </c>
      <c r="V28" s="4">
        <f t="shared" si="2"/>
        <v>6.0516203776650306</v>
      </c>
      <c r="W28" s="3">
        <f t="shared" si="3"/>
        <v>5.7042681605144798</v>
      </c>
      <c r="X28" s="12">
        <f t="shared" si="4"/>
        <v>9019348</v>
      </c>
      <c r="Y28" s="3">
        <v>0</v>
      </c>
      <c r="Z28" s="12">
        <v>0</v>
      </c>
      <c r="AA28" s="4">
        <f t="shared" si="5"/>
        <v>5.7042681605144798</v>
      </c>
      <c r="AB28" s="13">
        <f t="shared" si="6"/>
        <v>34.735221715055076</v>
      </c>
    </row>
    <row r="29" spans="1:28" x14ac:dyDescent="0.25">
      <c r="A29" s="1">
        <v>38504</v>
      </c>
      <c r="B29">
        <v>5.5462467536531097</v>
      </c>
      <c r="C29">
        <v>6391800</v>
      </c>
      <c r="E29" s="1">
        <v>38504</v>
      </c>
      <c r="F29">
        <v>5.64578071067087</v>
      </c>
      <c r="G29">
        <v>6662212</v>
      </c>
      <c r="I29" s="1">
        <v>39479</v>
      </c>
      <c r="J29">
        <v>5.8365500632774197</v>
      </c>
      <c r="K29">
        <v>37647705</v>
      </c>
      <c r="M29" s="1">
        <v>39479</v>
      </c>
      <c r="N29">
        <v>5.94904941225019</v>
      </c>
      <c r="O29">
        <v>39649864</v>
      </c>
      <c r="Q29" s="1">
        <v>38504</v>
      </c>
      <c r="R29" s="3">
        <f t="shared" si="0"/>
        <v>5.5462467536531097</v>
      </c>
      <c r="S29" s="12">
        <f t="shared" si="1"/>
        <v>6391800</v>
      </c>
      <c r="T29" s="3">
        <v>0</v>
      </c>
      <c r="U29" s="12">
        <v>0</v>
      </c>
      <c r="V29" s="4">
        <f t="shared" si="2"/>
        <v>5.5462467536531097</v>
      </c>
      <c r="W29" s="3">
        <f t="shared" si="3"/>
        <v>5.64578071067087</v>
      </c>
      <c r="X29" s="12">
        <f t="shared" si="4"/>
        <v>6662212</v>
      </c>
      <c r="Y29" s="3">
        <v>0</v>
      </c>
      <c r="Z29" s="12">
        <v>0</v>
      </c>
      <c r="AA29" s="4">
        <f t="shared" si="5"/>
        <v>5.64578071067087</v>
      </c>
      <c r="AB29" s="13">
        <f t="shared" si="6"/>
        <v>-9.9533957017760244</v>
      </c>
    </row>
    <row r="30" spans="1:28" x14ac:dyDescent="0.25">
      <c r="A30" s="1">
        <v>38534</v>
      </c>
      <c r="B30">
        <v>5.8009905218285098</v>
      </c>
      <c r="C30">
        <v>6615200</v>
      </c>
      <c r="E30" s="1">
        <v>38534</v>
      </c>
      <c r="F30">
        <v>5.5707915493638698</v>
      </c>
      <c r="G30">
        <v>9100380</v>
      </c>
      <c r="I30" s="1">
        <v>39508</v>
      </c>
      <c r="J30">
        <v>5.6561895681052299</v>
      </c>
      <c r="K30">
        <v>79298461</v>
      </c>
      <c r="M30" s="1">
        <v>39508</v>
      </c>
      <c r="N30">
        <v>5.7316969228591201</v>
      </c>
      <c r="O30">
        <v>47326400</v>
      </c>
      <c r="Q30" s="1">
        <v>38534</v>
      </c>
      <c r="R30" s="3">
        <f t="shared" si="0"/>
        <v>5.8009905218285098</v>
      </c>
      <c r="S30" s="12">
        <f t="shared" si="1"/>
        <v>6615200</v>
      </c>
      <c r="T30" s="3">
        <v>0</v>
      </c>
      <c r="U30" s="12">
        <v>0</v>
      </c>
      <c r="V30" s="4">
        <f t="shared" si="2"/>
        <v>5.8009905218285098</v>
      </c>
      <c r="W30" s="3">
        <f t="shared" si="3"/>
        <v>5.5707915493638698</v>
      </c>
      <c r="X30" s="12">
        <f t="shared" si="4"/>
        <v>9100380</v>
      </c>
      <c r="Y30" s="3">
        <v>0</v>
      </c>
      <c r="Z30" s="12">
        <v>0</v>
      </c>
      <c r="AA30" s="4">
        <f t="shared" si="5"/>
        <v>5.5707915493638698</v>
      </c>
      <c r="AB30" s="13">
        <f t="shared" si="6"/>
        <v>23.019897246464005</v>
      </c>
    </row>
    <row r="31" spans="1:28" x14ac:dyDescent="0.25">
      <c r="A31" s="1">
        <v>38565</v>
      </c>
      <c r="B31">
        <v>5.4680961541019402</v>
      </c>
      <c r="C31">
        <v>7668378</v>
      </c>
      <c r="E31" s="1">
        <v>38565</v>
      </c>
      <c r="F31">
        <v>5.4777383755387596</v>
      </c>
      <c r="G31">
        <v>10840825</v>
      </c>
      <c r="I31" s="1">
        <v>39539</v>
      </c>
      <c r="J31">
        <v>5.6534452211190196</v>
      </c>
      <c r="K31">
        <v>62713667</v>
      </c>
      <c r="M31" s="1">
        <v>39539</v>
      </c>
      <c r="N31">
        <v>5.7929253662950799</v>
      </c>
      <c r="O31">
        <v>58008081</v>
      </c>
      <c r="Q31" s="1">
        <v>38565</v>
      </c>
      <c r="R31" s="3">
        <f t="shared" si="0"/>
        <v>5.4680961541019402</v>
      </c>
      <c r="S31" s="12">
        <f t="shared" si="1"/>
        <v>7668378</v>
      </c>
      <c r="T31" s="3">
        <v>0</v>
      </c>
      <c r="U31" s="12">
        <v>0</v>
      </c>
      <c r="V31" s="4">
        <f t="shared" si="2"/>
        <v>5.4680961541019402</v>
      </c>
      <c r="W31" s="3">
        <f t="shared" si="3"/>
        <v>5.4777383755387596</v>
      </c>
      <c r="X31" s="12">
        <f t="shared" si="4"/>
        <v>10840825</v>
      </c>
      <c r="Y31" s="3">
        <v>0</v>
      </c>
      <c r="Z31" s="12">
        <v>0</v>
      </c>
      <c r="AA31" s="4">
        <f t="shared" si="5"/>
        <v>5.4777383755387596</v>
      </c>
      <c r="AB31" s="13">
        <f t="shared" si="6"/>
        <v>-0.96422214368194759</v>
      </c>
    </row>
    <row r="32" spans="1:28" x14ac:dyDescent="0.25">
      <c r="A32" s="1">
        <v>38596</v>
      </c>
      <c r="B32">
        <v>5.4480737727148103</v>
      </c>
      <c r="C32">
        <v>8591198</v>
      </c>
      <c r="E32" s="1">
        <v>38596</v>
      </c>
      <c r="F32">
        <v>5.60258708807351</v>
      </c>
      <c r="G32">
        <v>9802720</v>
      </c>
      <c r="I32" s="1">
        <v>39569</v>
      </c>
      <c r="J32">
        <v>6.1007092761855697</v>
      </c>
      <c r="K32">
        <v>179330813</v>
      </c>
      <c r="M32" s="1">
        <v>39569</v>
      </c>
      <c r="N32">
        <v>6.0586403597184901</v>
      </c>
      <c r="O32">
        <v>80166020</v>
      </c>
      <c r="Q32" s="1">
        <v>38596</v>
      </c>
      <c r="R32" s="3">
        <f t="shared" si="0"/>
        <v>5.4480737727148103</v>
      </c>
      <c r="S32" s="12">
        <f t="shared" si="1"/>
        <v>8591198</v>
      </c>
      <c r="T32" s="3">
        <v>0</v>
      </c>
      <c r="U32" s="12">
        <v>0</v>
      </c>
      <c r="V32" s="4">
        <f t="shared" si="2"/>
        <v>5.4480737727148103</v>
      </c>
      <c r="W32" s="3">
        <f t="shared" si="3"/>
        <v>5.60258708807351</v>
      </c>
      <c r="X32" s="12">
        <f t="shared" si="4"/>
        <v>9802720</v>
      </c>
      <c r="Y32" s="3">
        <v>0</v>
      </c>
      <c r="Z32" s="12">
        <v>0</v>
      </c>
      <c r="AA32" s="4">
        <f t="shared" si="5"/>
        <v>5.60258708807351</v>
      </c>
      <c r="AB32" s="13">
        <f t="shared" si="6"/>
        <v>-15.451331535869972</v>
      </c>
    </row>
    <row r="33" spans="1:28" x14ac:dyDescent="0.25">
      <c r="A33" s="1">
        <v>38626</v>
      </c>
      <c r="B33">
        <v>5.6096891098324502</v>
      </c>
      <c r="C33">
        <v>7986856</v>
      </c>
      <c r="E33" s="1">
        <v>38626</v>
      </c>
      <c r="F33">
        <v>5.6113970460166502</v>
      </c>
      <c r="G33">
        <v>7176750</v>
      </c>
      <c r="I33" s="1">
        <v>39600</v>
      </c>
      <c r="J33">
        <v>6.1032673020431103</v>
      </c>
      <c r="K33">
        <v>199164239</v>
      </c>
      <c r="M33" s="1">
        <v>39600</v>
      </c>
      <c r="N33">
        <v>6.0703618045071401</v>
      </c>
      <c r="O33">
        <v>74354574</v>
      </c>
      <c r="Q33" s="1">
        <v>38626</v>
      </c>
      <c r="R33" s="3">
        <f t="shared" si="0"/>
        <v>5.6096891098324502</v>
      </c>
      <c r="S33" s="12">
        <f t="shared" si="1"/>
        <v>7986856</v>
      </c>
      <c r="T33" s="3">
        <v>0</v>
      </c>
      <c r="U33" s="12">
        <v>0</v>
      </c>
      <c r="V33" s="4">
        <f t="shared" si="2"/>
        <v>5.6096891098324502</v>
      </c>
      <c r="W33" s="3">
        <f t="shared" si="3"/>
        <v>5.6113970460166502</v>
      </c>
      <c r="X33" s="12">
        <f t="shared" si="4"/>
        <v>7176750</v>
      </c>
      <c r="Y33" s="3">
        <v>0</v>
      </c>
      <c r="Z33" s="12">
        <v>0</v>
      </c>
      <c r="AA33" s="4">
        <f t="shared" si="5"/>
        <v>5.6113970460166502</v>
      </c>
      <c r="AB33" s="13">
        <f t="shared" si="6"/>
        <v>-0.17079361842000651</v>
      </c>
    </row>
    <row r="34" spans="1:28" x14ac:dyDescent="0.25">
      <c r="A34" s="1">
        <v>38657</v>
      </c>
      <c r="B34">
        <v>5.8168692805793798</v>
      </c>
      <c r="C34">
        <v>5605900</v>
      </c>
      <c r="E34" s="1">
        <v>38657</v>
      </c>
      <c r="F34">
        <v>5.7132259954415199</v>
      </c>
      <c r="G34">
        <v>7051921</v>
      </c>
      <c r="I34" s="1">
        <v>39630</v>
      </c>
      <c r="J34">
        <v>6.0767739258753304</v>
      </c>
      <c r="K34">
        <v>203470424</v>
      </c>
      <c r="M34" s="1">
        <v>39630</v>
      </c>
      <c r="N34">
        <v>6.1053922915335797</v>
      </c>
      <c r="O34">
        <v>69068187</v>
      </c>
      <c r="Q34" s="1">
        <v>38657</v>
      </c>
      <c r="R34" s="3">
        <f t="shared" si="0"/>
        <v>5.8168692805793798</v>
      </c>
      <c r="S34" s="12">
        <f t="shared" si="1"/>
        <v>5605900</v>
      </c>
      <c r="T34" s="3">
        <v>0</v>
      </c>
      <c r="U34" s="12">
        <v>0</v>
      </c>
      <c r="V34" s="4">
        <f t="shared" si="2"/>
        <v>5.8168692805793798</v>
      </c>
      <c r="W34" s="3">
        <f t="shared" si="3"/>
        <v>5.7132259954415199</v>
      </c>
      <c r="X34" s="12">
        <f t="shared" si="4"/>
        <v>7051921</v>
      </c>
      <c r="Y34" s="3">
        <v>0</v>
      </c>
      <c r="Z34" s="12">
        <v>0</v>
      </c>
      <c r="AA34" s="4">
        <f t="shared" si="5"/>
        <v>5.7132259954415199</v>
      </c>
      <c r="AB34" s="13">
        <f t="shared" si="6"/>
        <v>10.364328513785992</v>
      </c>
    </row>
    <row r="35" spans="1:28" x14ac:dyDescent="0.25">
      <c r="A35" s="1">
        <v>38687</v>
      </c>
      <c r="B35">
        <v>5.69121783590621</v>
      </c>
      <c r="C35">
        <v>6191959</v>
      </c>
      <c r="E35" s="1">
        <v>38687</v>
      </c>
      <c r="F35">
        <v>5.9230508396475496</v>
      </c>
      <c r="G35">
        <v>7487070</v>
      </c>
      <c r="I35" s="1">
        <v>39661</v>
      </c>
      <c r="J35">
        <v>6.2766712016249597</v>
      </c>
      <c r="K35">
        <v>133349260</v>
      </c>
      <c r="M35" s="1">
        <v>39661</v>
      </c>
      <c r="N35">
        <v>6.3469940994455998</v>
      </c>
      <c r="O35">
        <v>63325914</v>
      </c>
      <c r="Q35" s="1">
        <v>38687</v>
      </c>
      <c r="R35" s="3">
        <f t="shared" si="0"/>
        <v>5.69121783590621</v>
      </c>
      <c r="S35" s="12">
        <f t="shared" si="1"/>
        <v>6191959</v>
      </c>
      <c r="T35" s="3">
        <f>VLOOKUP($Q35,I:K,2,0)</f>
        <v>5.7864762278559896</v>
      </c>
      <c r="U35" s="12">
        <f>VLOOKUP($Q35,I:K,3,0)</f>
        <v>22815990</v>
      </c>
      <c r="V35" s="4">
        <f t="shared" si="2"/>
        <v>5.7661426269744194</v>
      </c>
      <c r="W35" s="3">
        <f t="shared" si="3"/>
        <v>5.9230508396475496</v>
      </c>
      <c r="X35" s="12">
        <f t="shared" si="4"/>
        <v>7487070</v>
      </c>
      <c r="Y35" s="3">
        <f>VLOOKUP($Q35,M:O,2,0)</f>
        <v>5.7862689226723898</v>
      </c>
      <c r="Z35" s="12">
        <f>VLOOKUP($Q35,M:O,3,0)</f>
        <v>22159991</v>
      </c>
      <c r="AA35" s="4">
        <f t="shared" si="5"/>
        <v>5.8208118335911889</v>
      </c>
      <c r="AB35" s="13">
        <f t="shared" si="6"/>
        <v>-5.466920661676955</v>
      </c>
    </row>
    <row r="36" spans="1:28" x14ac:dyDescent="0.25">
      <c r="A36" s="1">
        <v>38718</v>
      </c>
      <c r="B36">
        <v>5.8690842241862899</v>
      </c>
      <c r="C36">
        <v>4373898</v>
      </c>
      <c r="E36" s="1">
        <v>38718</v>
      </c>
      <c r="F36">
        <v>6.1323165283933303</v>
      </c>
      <c r="G36">
        <v>6536570</v>
      </c>
      <c r="I36" s="1">
        <v>39692</v>
      </c>
      <c r="J36">
        <v>6.2822239844341503</v>
      </c>
      <c r="K36">
        <v>77204423</v>
      </c>
      <c r="M36" s="1">
        <v>39692</v>
      </c>
      <c r="N36">
        <v>6.4133804462178103</v>
      </c>
      <c r="O36">
        <v>31823920</v>
      </c>
      <c r="Q36" s="1">
        <v>38718</v>
      </c>
      <c r="R36" s="3">
        <f t="shared" si="0"/>
        <v>5.8690842241862899</v>
      </c>
      <c r="S36" s="12">
        <f t="shared" si="1"/>
        <v>4373898</v>
      </c>
      <c r="T36" s="3">
        <f t="shared" ref="T36:T99" si="7">VLOOKUP($Q36,I:K,2,0)</f>
        <v>5.9437236702967997</v>
      </c>
      <c r="U36" s="12">
        <f t="shared" ref="U36:U99" si="8">VLOOKUP($Q36,I:K,3,0)</f>
        <v>35493184</v>
      </c>
      <c r="V36" s="4">
        <f t="shared" si="2"/>
        <v>5.9355348260752976</v>
      </c>
      <c r="W36" s="3">
        <f t="shared" si="3"/>
        <v>6.1323165283933303</v>
      </c>
      <c r="X36" s="12">
        <f t="shared" si="4"/>
        <v>6536570</v>
      </c>
      <c r="Y36" s="3">
        <f t="shared" ref="Y36:Y99" si="9">VLOOKUP($Q36,M:O,2,0)</f>
        <v>5.8846357542438401</v>
      </c>
      <c r="Z36" s="12">
        <f t="shared" ref="Z36:Z99" si="10">VLOOKUP($Q36,M:O,3,0)</f>
        <v>40584083</v>
      </c>
      <c r="AA36" s="4">
        <f t="shared" si="5"/>
        <v>5.9189939945229444</v>
      </c>
      <c r="AB36" s="13">
        <f t="shared" si="6"/>
        <v>1.6540831552353197</v>
      </c>
    </row>
    <row r="37" spans="1:28" x14ac:dyDescent="0.25">
      <c r="A37" s="1">
        <v>38749</v>
      </c>
      <c r="B37">
        <v>5.97179779135221</v>
      </c>
      <c r="C37">
        <v>3024475</v>
      </c>
      <c r="E37" s="1">
        <v>38749</v>
      </c>
      <c r="F37">
        <v>6.1167704644863399</v>
      </c>
      <c r="G37">
        <v>4681537</v>
      </c>
      <c r="I37" s="1">
        <v>39722</v>
      </c>
      <c r="J37">
        <v>6.4479666152091797</v>
      </c>
      <c r="K37">
        <v>128234681</v>
      </c>
      <c r="M37" s="1">
        <v>39722</v>
      </c>
      <c r="N37">
        <v>6.5399030276930397</v>
      </c>
      <c r="O37">
        <v>70770153</v>
      </c>
      <c r="Q37" s="1">
        <v>38749</v>
      </c>
      <c r="R37" s="3">
        <f t="shared" si="0"/>
        <v>5.97179779135221</v>
      </c>
      <c r="S37" s="12">
        <f t="shared" si="1"/>
        <v>3024475</v>
      </c>
      <c r="T37" s="3">
        <f t="shared" si="7"/>
        <v>5.9451739813222</v>
      </c>
      <c r="U37" s="12">
        <f t="shared" si="8"/>
        <v>29389764</v>
      </c>
      <c r="V37" s="4">
        <f t="shared" si="2"/>
        <v>5.947658168837461</v>
      </c>
      <c r="W37" s="3">
        <f t="shared" si="3"/>
        <v>6.1167704644863399</v>
      </c>
      <c r="X37" s="12">
        <f t="shared" si="4"/>
        <v>4681537</v>
      </c>
      <c r="Y37" s="3">
        <f t="shared" si="9"/>
        <v>6.0619456354093701</v>
      </c>
      <c r="Z37" s="12">
        <f t="shared" si="10"/>
        <v>30099776</v>
      </c>
      <c r="AA37" s="4">
        <f t="shared" si="5"/>
        <v>6.0693250136934074</v>
      </c>
      <c r="AB37" s="13">
        <f t="shared" si="6"/>
        <v>-12.166684485594637</v>
      </c>
    </row>
    <row r="38" spans="1:28" x14ac:dyDescent="0.25">
      <c r="A38" s="1">
        <v>38777</v>
      </c>
      <c r="B38">
        <v>6.0169910786699097</v>
      </c>
      <c r="C38">
        <v>4469625</v>
      </c>
      <c r="E38" s="1">
        <v>38777</v>
      </c>
      <c r="F38">
        <v>6.0562589244621696</v>
      </c>
      <c r="G38">
        <v>10592375</v>
      </c>
      <c r="I38" s="1">
        <v>39753</v>
      </c>
      <c r="J38">
        <v>5.99755378591147</v>
      </c>
      <c r="K38">
        <v>75612505</v>
      </c>
      <c r="M38" s="1">
        <v>39753</v>
      </c>
      <c r="N38">
        <v>6.1779502904119497</v>
      </c>
      <c r="O38">
        <v>42467260</v>
      </c>
      <c r="Q38" s="1">
        <v>38777</v>
      </c>
      <c r="R38" s="3">
        <f t="shared" si="0"/>
        <v>6.0169910786699097</v>
      </c>
      <c r="S38" s="12">
        <f t="shared" si="1"/>
        <v>4469625</v>
      </c>
      <c r="T38" s="3">
        <f t="shared" si="7"/>
        <v>5.9327353971170602</v>
      </c>
      <c r="U38" s="12">
        <f t="shared" si="8"/>
        <v>30459910</v>
      </c>
      <c r="V38" s="4">
        <f t="shared" si="2"/>
        <v>5.9435168547190766</v>
      </c>
      <c r="W38" s="3">
        <f t="shared" si="3"/>
        <v>6.0562589244621696</v>
      </c>
      <c r="X38" s="12">
        <f t="shared" si="4"/>
        <v>10592375</v>
      </c>
      <c r="Y38" s="3">
        <f t="shared" si="9"/>
        <v>6.0181337310126599</v>
      </c>
      <c r="Z38" s="12">
        <f t="shared" si="10"/>
        <v>33370270</v>
      </c>
      <c r="AA38" s="4">
        <f t="shared" si="5"/>
        <v>6.0273196284026991</v>
      </c>
      <c r="AB38" s="13">
        <f t="shared" si="6"/>
        <v>-8.3802773683622434</v>
      </c>
    </row>
    <row r="39" spans="1:28" x14ac:dyDescent="0.25">
      <c r="A39" s="1">
        <v>38808</v>
      </c>
      <c r="B39">
        <v>6.0473757193927398</v>
      </c>
      <c r="C39">
        <v>6237900</v>
      </c>
      <c r="E39" s="1">
        <v>38808</v>
      </c>
      <c r="F39">
        <v>6.1659454465257397</v>
      </c>
      <c r="G39">
        <v>9578675</v>
      </c>
      <c r="I39" s="1">
        <v>39783</v>
      </c>
      <c r="J39">
        <v>6.0180125301503899</v>
      </c>
      <c r="K39">
        <v>101661190</v>
      </c>
      <c r="M39" s="1">
        <v>39783</v>
      </c>
      <c r="N39">
        <v>6.11478714022281</v>
      </c>
      <c r="O39">
        <v>58090120</v>
      </c>
      <c r="Q39" s="1">
        <v>38808</v>
      </c>
      <c r="R39" s="3">
        <f t="shared" si="0"/>
        <v>6.0473757193927398</v>
      </c>
      <c r="S39" s="12">
        <f t="shared" si="1"/>
        <v>6237900</v>
      </c>
      <c r="T39" s="3">
        <f t="shared" si="7"/>
        <v>5.9637765293639902</v>
      </c>
      <c r="U39" s="12">
        <f t="shared" si="8"/>
        <v>23105765</v>
      </c>
      <c r="V39" s="4">
        <f t="shared" si="2"/>
        <v>5.981548112684627</v>
      </c>
      <c r="W39" s="3">
        <f t="shared" si="3"/>
        <v>6.1659454465257397</v>
      </c>
      <c r="X39" s="12">
        <f t="shared" si="4"/>
        <v>9578675</v>
      </c>
      <c r="Y39" s="3">
        <f t="shared" si="9"/>
        <v>6.03132892774385</v>
      </c>
      <c r="Z39" s="12">
        <f t="shared" si="10"/>
        <v>24221125</v>
      </c>
      <c r="AA39" s="4">
        <f t="shared" si="5"/>
        <v>6.0694784991331225</v>
      </c>
      <c r="AB39" s="13">
        <f t="shared" si="6"/>
        <v>-8.793038644849549</v>
      </c>
    </row>
    <row r="40" spans="1:28" x14ac:dyDescent="0.25">
      <c r="A40" s="1">
        <v>38838</v>
      </c>
      <c r="B40">
        <v>6.2691605839416003</v>
      </c>
      <c r="C40">
        <v>3425000</v>
      </c>
      <c r="E40" s="1">
        <v>38838</v>
      </c>
      <c r="F40">
        <v>6.1816775557263597</v>
      </c>
      <c r="G40">
        <v>6505000</v>
      </c>
      <c r="I40" s="1">
        <v>39814</v>
      </c>
      <c r="J40">
        <v>5.5021270654658299</v>
      </c>
      <c r="K40">
        <v>229832959</v>
      </c>
      <c r="M40" s="1">
        <v>39814</v>
      </c>
      <c r="N40">
        <v>5.7140389175239097</v>
      </c>
      <c r="O40">
        <v>59033175</v>
      </c>
      <c r="Q40" s="1">
        <v>38838</v>
      </c>
      <c r="R40" s="3">
        <f t="shared" si="0"/>
        <v>6.2691605839416003</v>
      </c>
      <c r="S40" s="12">
        <f t="shared" si="1"/>
        <v>3425000</v>
      </c>
      <c r="T40" s="3">
        <f t="shared" si="7"/>
        <v>6.0319393932032801</v>
      </c>
      <c r="U40" s="12">
        <f t="shared" si="8"/>
        <v>37337908</v>
      </c>
      <c r="V40" s="4">
        <f t="shared" si="2"/>
        <v>6.0518713023369157</v>
      </c>
      <c r="W40" s="3">
        <f t="shared" si="3"/>
        <v>6.1816775557263597</v>
      </c>
      <c r="X40" s="12">
        <f t="shared" si="4"/>
        <v>6505000</v>
      </c>
      <c r="Y40" s="3">
        <f t="shared" si="9"/>
        <v>6.1200180795500199</v>
      </c>
      <c r="Z40" s="12">
        <f t="shared" si="10"/>
        <v>28001250</v>
      </c>
      <c r="AA40" s="4">
        <f t="shared" si="5"/>
        <v>6.1316419126969741</v>
      </c>
      <c r="AB40" s="13">
        <f t="shared" si="6"/>
        <v>-7.9770610360058392</v>
      </c>
    </row>
    <row r="41" spans="1:28" x14ac:dyDescent="0.25">
      <c r="A41" s="1">
        <v>38869</v>
      </c>
      <c r="B41">
        <v>6.2632386180174304</v>
      </c>
      <c r="C41">
        <v>2477600</v>
      </c>
      <c r="E41" s="1">
        <v>38869</v>
      </c>
      <c r="F41">
        <v>6.4192661952736598</v>
      </c>
      <c r="G41">
        <v>7523800</v>
      </c>
      <c r="I41" s="1">
        <v>39845</v>
      </c>
      <c r="J41">
        <v>5.24968384201172</v>
      </c>
      <c r="K41">
        <v>802621662</v>
      </c>
      <c r="M41" s="1">
        <v>39845</v>
      </c>
      <c r="N41">
        <v>5.3658936339307601</v>
      </c>
      <c r="O41">
        <v>203142874</v>
      </c>
      <c r="Q41" s="1">
        <v>38869</v>
      </c>
      <c r="R41" s="3">
        <f t="shared" si="0"/>
        <v>6.2632386180174304</v>
      </c>
      <c r="S41" s="12">
        <f t="shared" si="1"/>
        <v>2477600</v>
      </c>
      <c r="T41" s="3">
        <f t="shared" si="7"/>
        <v>6.2758067447599304</v>
      </c>
      <c r="U41" s="12">
        <f t="shared" si="8"/>
        <v>31251520</v>
      </c>
      <c r="V41" s="4">
        <f t="shared" si="2"/>
        <v>6.2748835427666014</v>
      </c>
      <c r="W41" s="3">
        <f t="shared" si="3"/>
        <v>6.4192661952736598</v>
      </c>
      <c r="X41" s="12">
        <f t="shared" si="4"/>
        <v>7523800</v>
      </c>
      <c r="Y41" s="3">
        <f t="shared" si="9"/>
        <v>6.33008073580047</v>
      </c>
      <c r="Z41" s="12">
        <f t="shared" si="10"/>
        <v>27142358</v>
      </c>
      <c r="AA41" s="4">
        <f t="shared" si="5"/>
        <v>6.3494371802032328</v>
      </c>
      <c r="AB41" s="13">
        <f t="shared" si="6"/>
        <v>-7.4553637436631348</v>
      </c>
    </row>
    <row r="42" spans="1:28" x14ac:dyDescent="0.25">
      <c r="A42" s="1">
        <v>38899</v>
      </c>
      <c r="B42">
        <v>6.4022220634466898</v>
      </c>
      <c r="C42">
        <v>3499000</v>
      </c>
      <c r="E42" s="1">
        <v>38899</v>
      </c>
      <c r="F42">
        <v>6.6109987554449203</v>
      </c>
      <c r="G42">
        <v>3214000</v>
      </c>
      <c r="I42" s="1">
        <v>39873</v>
      </c>
      <c r="J42">
        <v>5.00435394606939</v>
      </c>
      <c r="K42">
        <v>1772490637</v>
      </c>
      <c r="M42" s="1">
        <v>39873</v>
      </c>
      <c r="N42">
        <v>5.0459360204533201</v>
      </c>
      <c r="O42">
        <v>399285730</v>
      </c>
      <c r="Q42" s="1">
        <v>38899</v>
      </c>
      <c r="R42" s="3">
        <f t="shared" si="0"/>
        <v>6.4022220634466898</v>
      </c>
      <c r="S42" s="12">
        <f t="shared" si="1"/>
        <v>3499000</v>
      </c>
      <c r="T42" s="3">
        <f t="shared" si="7"/>
        <v>6.2844319040660999</v>
      </c>
      <c r="U42" s="12">
        <f t="shared" si="8"/>
        <v>24808750</v>
      </c>
      <c r="V42" s="4">
        <f t="shared" si="2"/>
        <v>6.2989914422728699</v>
      </c>
      <c r="W42" s="3">
        <f t="shared" si="3"/>
        <v>6.6109987554449203</v>
      </c>
      <c r="X42" s="12">
        <f t="shared" si="4"/>
        <v>3214000</v>
      </c>
      <c r="Y42" s="3">
        <f t="shared" si="9"/>
        <v>6.3767724931816501</v>
      </c>
      <c r="Z42" s="12">
        <f t="shared" si="10"/>
        <v>27242700</v>
      </c>
      <c r="AA42" s="4">
        <f t="shared" si="5"/>
        <v>6.4014896558064303</v>
      </c>
      <c r="AB42" s="13">
        <f t="shared" si="6"/>
        <v>-10.249821353356037</v>
      </c>
    </row>
    <row r="43" spans="1:28" x14ac:dyDescent="0.25">
      <c r="A43" s="1">
        <v>38930</v>
      </c>
      <c r="B43">
        <v>6.4735522541222501</v>
      </c>
      <c r="C43">
        <v>4287700</v>
      </c>
      <c r="E43" s="1">
        <v>38930</v>
      </c>
      <c r="F43">
        <v>6.6012415835899496</v>
      </c>
      <c r="G43">
        <v>7663600</v>
      </c>
      <c r="I43" s="1">
        <v>39904</v>
      </c>
      <c r="J43">
        <v>4.9529413617547702</v>
      </c>
      <c r="K43">
        <v>1822454826</v>
      </c>
      <c r="M43" s="1">
        <v>39904</v>
      </c>
      <c r="N43">
        <v>5.0255696936880101</v>
      </c>
      <c r="O43">
        <v>413556978</v>
      </c>
      <c r="Q43" s="1">
        <v>38930</v>
      </c>
      <c r="R43" s="3">
        <f t="shared" si="0"/>
        <v>6.4735522541222501</v>
      </c>
      <c r="S43" s="12">
        <f t="shared" si="1"/>
        <v>4287700</v>
      </c>
      <c r="T43" s="3">
        <f t="shared" si="7"/>
        <v>6.4199065765150696</v>
      </c>
      <c r="U43" s="12">
        <f t="shared" si="8"/>
        <v>25865766</v>
      </c>
      <c r="V43" s="4">
        <f t="shared" si="2"/>
        <v>6.4275347732827743</v>
      </c>
      <c r="W43" s="3">
        <f t="shared" si="3"/>
        <v>6.6012415835899496</v>
      </c>
      <c r="X43" s="12">
        <f t="shared" si="4"/>
        <v>7663600</v>
      </c>
      <c r="Y43" s="3">
        <f t="shared" si="9"/>
        <v>6.4693391447812703</v>
      </c>
      <c r="Z43" s="12">
        <f t="shared" si="10"/>
        <v>25911500</v>
      </c>
      <c r="AA43" s="4">
        <f t="shared" si="5"/>
        <v>6.4994462041810692</v>
      </c>
      <c r="AB43" s="13">
        <f t="shared" si="6"/>
        <v>-7.1911430898294881</v>
      </c>
    </row>
    <row r="44" spans="1:28" x14ac:dyDescent="0.25">
      <c r="A44" s="1">
        <v>38961</v>
      </c>
      <c r="B44">
        <v>6.3834796732864199</v>
      </c>
      <c r="C44">
        <v>4995446</v>
      </c>
      <c r="E44" s="1">
        <v>38961</v>
      </c>
      <c r="F44">
        <v>6.4662596486126596</v>
      </c>
      <c r="G44">
        <v>3776061</v>
      </c>
      <c r="I44" s="1">
        <v>39934</v>
      </c>
      <c r="J44">
        <v>4.9302745166588604</v>
      </c>
      <c r="K44">
        <v>1925414134</v>
      </c>
      <c r="M44" s="1">
        <v>39934</v>
      </c>
      <c r="N44">
        <v>4.9714064779119198</v>
      </c>
      <c r="O44">
        <v>421224251</v>
      </c>
      <c r="Q44" s="1">
        <v>38961</v>
      </c>
      <c r="R44" s="3">
        <f t="shared" si="0"/>
        <v>6.3834796732864199</v>
      </c>
      <c r="S44" s="12">
        <f t="shared" si="1"/>
        <v>4995446</v>
      </c>
      <c r="T44" s="3">
        <f t="shared" si="7"/>
        <v>6.4051003938452</v>
      </c>
      <c r="U44" s="12">
        <f t="shared" si="8"/>
        <v>27942450</v>
      </c>
      <c r="V44" s="4">
        <f t="shared" si="2"/>
        <v>6.4018213397722725</v>
      </c>
      <c r="W44" s="3">
        <f t="shared" si="3"/>
        <v>6.4662596486126596</v>
      </c>
      <c r="X44" s="12">
        <f t="shared" si="4"/>
        <v>3776061</v>
      </c>
      <c r="Y44" s="3">
        <f t="shared" si="9"/>
        <v>6.4840706664359704</v>
      </c>
      <c r="Z44" s="12">
        <f t="shared" si="10"/>
        <v>22836117</v>
      </c>
      <c r="AA44" s="4">
        <f t="shared" si="5"/>
        <v>6.4815434215869052</v>
      </c>
      <c r="AB44" s="13">
        <f t="shared" si="6"/>
        <v>-7.9722081814632695</v>
      </c>
    </row>
    <row r="45" spans="1:28" x14ac:dyDescent="0.25">
      <c r="A45" s="1">
        <v>38991</v>
      </c>
      <c r="B45">
        <v>6.3847131427103196</v>
      </c>
      <c r="C45">
        <v>5526790</v>
      </c>
      <c r="E45" s="1">
        <v>38991</v>
      </c>
      <c r="F45">
        <v>6.31340561669073</v>
      </c>
      <c r="G45">
        <v>5020750</v>
      </c>
      <c r="I45" s="1">
        <v>39965</v>
      </c>
      <c r="J45">
        <v>4.8882577991922798</v>
      </c>
      <c r="K45">
        <v>2434241048</v>
      </c>
      <c r="M45" s="1">
        <v>39965</v>
      </c>
      <c r="N45">
        <v>4.9526677029724802</v>
      </c>
      <c r="O45">
        <v>518161716</v>
      </c>
      <c r="Q45" s="1">
        <v>38991</v>
      </c>
      <c r="R45" s="3">
        <f t="shared" si="0"/>
        <v>6.3847131427103196</v>
      </c>
      <c r="S45" s="12">
        <f t="shared" si="1"/>
        <v>5526790</v>
      </c>
      <c r="T45" s="3">
        <f t="shared" si="7"/>
        <v>6.2922835781624196</v>
      </c>
      <c r="U45" s="12">
        <f t="shared" si="8"/>
        <v>26315228</v>
      </c>
      <c r="V45" s="4">
        <f t="shared" si="2"/>
        <v>6.3083264933145839</v>
      </c>
      <c r="W45" s="3">
        <f t="shared" si="3"/>
        <v>6.31340561669073</v>
      </c>
      <c r="X45" s="12">
        <f t="shared" si="4"/>
        <v>5020750</v>
      </c>
      <c r="Y45" s="3">
        <f t="shared" si="9"/>
        <v>6.3558867965313199</v>
      </c>
      <c r="Z45" s="12">
        <f t="shared" si="10"/>
        <v>21743150</v>
      </c>
      <c r="AA45" s="4">
        <f t="shared" si="5"/>
        <v>6.3479175774083725</v>
      </c>
      <c r="AB45" s="13">
        <f t="shared" si="6"/>
        <v>-3.9591084093788531</v>
      </c>
    </row>
    <row r="46" spans="1:28" x14ac:dyDescent="0.25">
      <c r="A46" s="1">
        <v>39022</v>
      </c>
      <c r="B46">
        <v>6.02531403494645</v>
      </c>
      <c r="C46">
        <v>4967600</v>
      </c>
      <c r="E46" s="1">
        <v>39022</v>
      </c>
      <c r="F46">
        <v>6.1499586578469998</v>
      </c>
      <c r="G46">
        <v>3749200</v>
      </c>
      <c r="I46" s="1">
        <v>39995</v>
      </c>
      <c r="J46">
        <v>4.9290046094467801</v>
      </c>
      <c r="K46">
        <v>1909218702</v>
      </c>
      <c r="M46" s="1">
        <v>39995</v>
      </c>
      <c r="N46">
        <v>5.0074627969079799</v>
      </c>
      <c r="O46">
        <v>424787797</v>
      </c>
      <c r="Q46" s="1">
        <v>39022</v>
      </c>
      <c r="R46" s="3">
        <f t="shared" si="0"/>
        <v>6.02531403494645</v>
      </c>
      <c r="S46" s="12">
        <f t="shared" si="1"/>
        <v>4967600</v>
      </c>
      <c r="T46" s="3">
        <f t="shared" si="7"/>
        <v>6.0857291598031003</v>
      </c>
      <c r="U46" s="12">
        <f t="shared" si="8"/>
        <v>21368896</v>
      </c>
      <c r="V46" s="4">
        <f t="shared" si="2"/>
        <v>6.0743336357273883</v>
      </c>
      <c r="W46" s="3">
        <f t="shared" si="3"/>
        <v>6.1499586578469998</v>
      </c>
      <c r="X46" s="12">
        <f t="shared" si="4"/>
        <v>3749200</v>
      </c>
      <c r="Y46" s="3">
        <f t="shared" si="9"/>
        <v>6.1714086608465699</v>
      </c>
      <c r="Z46" s="12">
        <f t="shared" si="10"/>
        <v>29131494</v>
      </c>
      <c r="AA46" s="4">
        <f t="shared" si="5"/>
        <v>6.1689628380410664</v>
      </c>
      <c r="AB46" s="13">
        <f t="shared" si="6"/>
        <v>-9.4629202313678107</v>
      </c>
    </row>
    <row r="47" spans="1:28" x14ac:dyDescent="0.25">
      <c r="A47" s="1">
        <v>39052</v>
      </c>
      <c r="B47">
        <v>6.4234624164445799</v>
      </c>
      <c r="C47">
        <v>4577800</v>
      </c>
      <c r="E47" s="1">
        <v>39052</v>
      </c>
      <c r="F47">
        <v>6.2800169367389902</v>
      </c>
      <c r="G47">
        <v>7646100</v>
      </c>
      <c r="I47" s="1">
        <v>40026</v>
      </c>
      <c r="J47">
        <v>5.0630542849424103</v>
      </c>
      <c r="K47">
        <v>2069971635</v>
      </c>
      <c r="M47" s="1">
        <v>40026</v>
      </c>
      <c r="N47">
        <v>5.1061974108083303</v>
      </c>
      <c r="O47">
        <v>474549032</v>
      </c>
      <c r="Q47" s="1">
        <v>39052</v>
      </c>
      <c r="R47" s="3">
        <f t="shared" si="0"/>
        <v>6.4234624164445799</v>
      </c>
      <c r="S47" s="12">
        <f t="shared" si="1"/>
        <v>4577800</v>
      </c>
      <c r="T47" s="3">
        <f t="shared" si="7"/>
        <v>5.9629295046411803</v>
      </c>
      <c r="U47" s="12">
        <f t="shared" si="8"/>
        <v>27012601</v>
      </c>
      <c r="V47" s="4">
        <f t="shared" si="2"/>
        <v>6.0296658389996329</v>
      </c>
      <c r="W47" s="3">
        <f t="shared" si="3"/>
        <v>6.2800169367389902</v>
      </c>
      <c r="X47" s="12">
        <f t="shared" si="4"/>
        <v>7646100</v>
      </c>
      <c r="Y47" s="3">
        <f t="shared" si="9"/>
        <v>6.0901183986385599</v>
      </c>
      <c r="Z47" s="12">
        <f t="shared" si="10"/>
        <v>31141152</v>
      </c>
      <c r="AA47" s="4">
        <f t="shared" si="5"/>
        <v>6.1275529457461948</v>
      </c>
      <c r="AB47" s="13">
        <f t="shared" si="6"/>
        <v>-9.7887106746561869</v>
      </c>
    </row>
    <row r="48" spans="1:28" x14ac:dyDescent="0.25">
      <c r="A48" s="1">
        <v>39083</v>
      </c>
      <c r="B48">
        <v>5.9448320871470903</v>
      </c>
      <c r="C48">
        <v>11635500</v>
      </c>
      <c r="E48" s="1">
        <v>39083</v>
      </c>
      <c r="F48">
        <v>5.9920342994639197</v>
      </c>
      <c r="G48">
        <v>9367613.1699999999</v>
      </c>
      <c r="I48" s="1">
        <v>40057</v>
      </c>
      <c r="J48">
        <v>5.2130693138995303</v>
      </c>
      <c r="K48">
        <v>1407343991</v>
      </c>
      <c r="M48" s="1">
        <v>40057</v>
      </c>
      <c r="N48">
        <v>5.2438133043284498</v>
      </c>
      <c r="O48">
        <v>384954522</v>
      </c>
      <c r="Q48" s="1">
        <v>39083</v>
      </c>
      <c r="R48" s="3">
        <f t="shared" si="0"/>
        <v>5.9448320871470903</v>
      </c>
      <c r="S48" s="12">
        <f t="shared" si="1"/>
        <v>11635500</v>
      </c>
      <c r="T48" s="3">
        <f t="shared" si="7"/>
        <v>5.97519629670282</v>
      </c>
      <c r="U48" s="12">
        <f t="shared" si="8"/>
        <v>21081862</v>
      </c>
      <c r="V48" s="4">
        <f t="shared" si="2"/>
        <v>5.9643976644571737</v>
      </c>
      <c r="W48" s="3">
        <f t="shared" si="3"/>
        <v>5.9920342994639197</v>
      </c>
      <c r="X48" s="12">
        <f t="shared" si="4"/>
        <v>9367613.1699999999</v>
      </c>
      <c r="Y48" s="3">
        <f t="shared" si="9"/>
        <v>6.0842757864666304</v>
      </c>
      <c r="Z48" s="12">
        <f t="shared" si="10"/>
        <v>20023100</v>
      </c>
      <c r="AA48" s="4">
        <f t="shared" si="5"/>
        <v>6.0548759361306068</v>
      </c>
      <c r="AB48" s="13">
        <f t="shared" si="6"/>
        <v>-9.0478271673433142</v>
      </c>
    </row>
    <row r="49" spans="1:28" x14ac:dyDescent="0.25">
      <c r="A49" s="1">
        <v>39114</v>
      </c>
      <c r="B49">
        <v>5.70831286836935</v>
      </c>
      <c r="C49">
        <v>2036000</v>
      </c>
      <c r="E49" s="1">
        <v>39114</v>
      </c>
      <c r="F49">
        <v>6.0435765629691103</v>
      </c>
      <c r="G49">
        <v>8626690</v>
      </c>
      <c r="I49" s="1">
        <v>40087</v>
      </c>
      <c r="J49">
        <v>5.2617631117075296</v>
      </c>
      <c r="K49">
        <v>1274645614</v>
      </c>
      <c r="M49" s="1">
        <v>40087</v>
      </c>
      <c r="N49">
        <v>5.3380417471705401</v>
      </c>
      <c r="O49">
        <v>350378572</v>
      </c>
      <c r="Q49" s="1">
        <v>39114</v>
      </c>
      <c r="R49" s="3">
        <f t="shared" si="0"/>
        <v>5.70831286836935</v>
      </c>
      <c r="S49" s="12">
        <f t="shared" si="1"/>
        <v>2036000</v>
      </c>
      <c r="T49" s="3">
        <f t="shared" si="7"/>
        <v>5.8989011453455102</v>
      </c>
      <c r="U49" s="12">
        <f t="shared" si="8"/>
        <v>59246052</v>
      </c>
      <c r="V49" s="4">
        <f t="shared" si="2"/>
        <v>5.8925691489573433</v>
      </c>
      <c r="W49" s="3">
        <f t="shared" si="3"/>
        <v>6.0435765629691103</v>
      </c>
      <c r="X49" s="12">
        <f t="shared" si="4"/>
        <v>8626690</v>
      </c>
      <c r="Y49" s="3">
        <f t="shared" si="9"/>
        <v>5.9490675065413301</v>
      </c>
      <c r="Z49" s="12">
        <f t="shared" si="10"/>
        <v>37531711</v>
      </c>
      <c r="AA49" s="4">
        <f t="shared" si="5"/>
        <v>5.966730603926246</v>
      </c>
      <c r="AB49" s="13">
        <f t="shared" si="6"/>
        <v>-7.4161454968902696</v>
      </c>
    </row>
    <row r="50" spans="1:28" x14ac:dyDescent="0.25">
      <c r="A50" s="1">
        <v>39142</v>
      </c>
      <c r="B50">
        <v>5.9555031655482003</v>
      </c>
      <c r="C50">
        <v>5267650</v>
      </c>
      <c r="E50" s="1">
        <v>39142</v>
      </c>
      <c r="F50">
        <v>6.0271118118427198</v>
      </c>
      <c r="G50">
        <v>6152300</v>
      </c>
      <c r="I50" s="1">
        <v>40118</v>
      </c>
      <c r="J50">
        <v>5.1382236832645702</v>
      </c>
      <c r="K50">
        <v>1195885935</v>
      </c>
      <c r="M50" s="1">
        <v>40118</v>
      </c>
      <c r="N50">
        <v>5.24526389989372</v>
      </c>
      <c r="O50">
        <v>319148897</v>
      </c>
      <c r="Q50" s="1">
        <v>39142</v>
      </c>
      <c r="R50" s="3">
        <f t="shared" si="0"/>
        <v>5.9555031655482003</v>
      </c>
      <c r="S50" s="12">
        <f t="shared" si="1"/>
        <v>5267650</v>
      </c>
      <c r="T50" s="3">
        <f t="shared" si="7"/>
        <v>5.9488324882992396</v>
      </c>
      <c r="U50" s="12">
        <f t="shared" si="8"/>
        <v>36804235</v>
      </c>
      <c r="V50" s="4">
        <f t="shared" si="2"/>
        <v>5.9496676967290609</v>
      </c>
      <c r="W50" s="3">
        <f t="shared" si="3"/>
        <v>6.0271118118427198</v>
      </c>
      <c r="X50" s="12">
        <f t="shared" si="4"/>
        <v>6152300</v>
      </c>
      <c r="Y50" s="3">
        <f t="shared" si="9"/>
        <v>6.0764403225001802</v>
      </c>
      <c r="Z50" s="12">
        <f t="shared" si="10"/>
        <v>37305777</v>
      </c>
      <c r="AA50" s="4">
        <f t="shared" si="5"/>
        <v>6.0694569533069709</v>
      </c>
      <c r="AB50" s="13">
        <f t="shared" si="6"/>
        <v>-11.978925657790995</v>
      </c>
    </row>
    <row r="51" spans="1:28" x14ac:dyDescent="0.25">
      <c r="A51" s="1">
        <v>39173</v>
      </c>
      <c r="B51">
        <v>6.0057404790664801</v>
      </c>
      <c r="C51">
        <v>8775400</v>
      </c>
      <c r="E51" s="1">
        <v>39173</v>
      </c>
      <c r="F51">
        <v>5.9800904644028501</v>
      </c>
      <c r="G51">
        <v>12087738</v>
      </c>
      <c r="I51" s="1">
        <v>40148</v>
      </c>
      <c r="J51">
        <v>5.1007786222255502</v>
      </c>
      <c r="K51">
        <v>1804620911</v>
      </c>
      <c r="M51" s="1">
        <v>40148</v>
      </c>
      <c r="N51">
        <v>5.1695672021843704</v>
      </c>
      <c r="O51">
        <v>413476463</v>
      </c>
      <c r="Q51" s="1">
        <v>39173</v>
      </c>
      <c r="R51" s="3">
        <f t="shared" si="0"/>
        <v>6.0057404790664801</v>
      </c>
      <c r="S51" s="12">
        <f t="shared" si="1"/>
        <v>8775400</v>
      </c>
      <c r="T51" s="3">
        <f t="shared" si="7"/>
        <v>5.9381771913332999</v>
      </c>
      <c r="U51" s="12">
        <f t="shared" si="8"/>
        <v>30402689</v>
      </c>
      <c r="V51" s="4">
        <f t="shared" si="2"/>
        <v>5.9533105194334475</v>
      </c>
      <c r="W51" s="3">
        <f t="shared" si="3"/>
        <v>5.9800904644028501</v>
      </c>
      <c r="X51" s="12">
        <f t="shared" si="4"/>
        <v>12087738</v>
      </c>
      <c r="Y51" s="3">
        <f t="shared" si="9"/>
        <v>5.9586960516331304</v>
      </c>
      <c r="Z51" s="12">
        <f t="shared" si="10"/>
        <v>30987546</v>
      </c>
      <c r="AA51" s="4">
        <f t="shared" si="5"/>
        <v>5.9646997278067859</v>
      </c>
      <c r="AB51" s="13">
        <f t="shared" si="6"/>
        <v>-1.1389208373338455</v>
      </c>
    </row>
    <row r="52" spans="1:28" x14ac:dyDescent="0.25">
      <c r="A52" s="1">
        <v>39203</v>
      </c>
      <c r="B52">
        <v>6.0227925508399602</v>
      </c>
      <c r="C52">
        <v>11310000</v>
      </c>
      <c r="E52" s="1">
        <v>39203</v>
      </c>
      <c r="F52">
        <v>6.1122462360369099</v>
      </c>
      <c r="G52">
        <v>10295000</v>
      </c>
      <c r="I52" s="1">
        <v>40179</v>
      </c>
      <c r="J52">
        <v>5.04332460312183</v>
      </c>
      <c r="K52">
        <v>1256715067</v>
      </c>
      <c r="M52" s="1">
        <v>40179</v>
      </c>
      <c r="N52">
        <v>5.1282884735316303</v>
      </c>
      <c r="O52">
        <v>329942423</v>
      </c>
      <c r="Q52" s="1">
        <v>39203</v>
      </c>
      <c r="R52" s="3">
        <f t="shared" si="0"/>
        <v>6.0227925508399602</v>
      </c>
      <c r="S52" s="12">
        <f t="shared" si="1"/>
        <v>11310000</v>
      </c>
      <c r="T52" s="3">
        <f t="shared" si="7"/>
        <v>5.8750589332039302</v>
      </c>
      <c r="U52" s="12">
        <f t="shared" si="8"/>
        <v>49823356</v>
      </c>
      <c r="V52" s="4">
        <f t="shared" si="2"/>
        <v>5.9023904478595872</v>
      </c>
      <c r="W52" s="3">
        <f t="shared" si="3"/>
        <v>6.1122462360369099</v>
      </c>
      <c r="X52" s="12">
        <f t="shared" si="4"/>
        <v>10295000</v>
      </c>
      <c r="Y52" s="3">
        <f t="shared" si="9"/>
        <v>5.9976445646499004</v>
      </c>
      <c r="Z52" s="12">
        <f t="shared" si="10"/>
        <v>34024708</v>
      </c>
      <c r="AA52" s="4">
        <f t="shared" si="5"/>
        <v>6.0242653223256779</v>
      </c>
      <c r="AB52" s="13">
        <f t="shared" si="6"/>
        <v>-12.187487446609069</v>
      </c>
    </row>
    <row r="53" spans="1:28" x14ac:dyDescent="0.25">
      <c r="A53" s="1">
        <v>39234</v>
      </c>
      <c r="B53">
        <v>5.95566633463923</v>
      </c>
      <c r="C53">
        <v>11619522</v>
      </c>
      <c r="E53" s="1">
        <v>39234</v>
      </c>
      <c r="F53">
        <v>6.0346264405627998</v>
      </c>
      <c r="G53">
        <v>12539370</v>
      </c>
      <c r="I53" s="1">
        <v>40210</v>
      </c>
      <c r="J53">
        <v>5.0831925473229704</v>
      </c>
      <c r="K53">
        <v>1353420411</v>
      </c>
      <c r="M53" s="1">
        <v>40210</v>
      </c>
      <c r="N53">
        <v>5.1627233291869903</v>
      </c>
      <c r="O53">
        <v>346225010</v>
      </c>
      <c r="Q53" s="1">
        <v>39234</v>
      </c>
      <c r="R53" s="3">
        <f t="shared" si="0"/>
        <v>5.95566633463923</v>
      </c>
      <c r="S53" s="12">
        <f t="shared" si="1"/>
        <v>11619522</v>
      </c>
      <c r="T53" s="3">
        <f t="shared" si="7"/>
        <v>5.9508829180967302</v>
      </c>
      <c r="U53" s="12">
        <f t="shared" si="8"/>
        <v>34515744</v>
      </c>
      <c r="V53" s="4">
        <f t="shared" si="2"/>
        <v>5.9520876583869615</v>
      </c>
      <c r="W53" s="3">
        <f t="shared" si="3"/>
        <v>6.0346264405627998</v>
      </c>
      <c r="X53" s="12">
        <f t="shared" si="4"/>
        <v>12539370</v>
      </c>
      <c r="Y53" s="3">
        <f t="shared" si="9"/>
        <v>5.9876714152466102</v>
      </c>
      <c r="Z53" s="12">
        <f t="shared" si="10"/>
        <v>30233600</v>
      </c>
      <c r="AA53" s="4">
        <f t="shared" si="5"/>
        <v>6.0014368010919021</v>
      </c>
      <c r="AB53" s="13">
        <f t="shared" si="6"/>
        <v>-4.9349142704940618</v>
      </c>
    </row>
    <row r="54" spans="1:28" x14ac:dyDescent="0.25">
      <c r="A54" s="1">
        <v>39264</v>
      </c>
      <c r="B54">
        <v>6.0993346315305699</v>
      </c>
      <c r="C54">
        <v>8356460</v>
      </c>
      <c r="E54" s="1">
        <v>39264</v>
      </c>
      <c r="F54">
        <v>6.2219535843551901</v>
      </c>
      <c r="G54">
        <v>10042950</v>
      </c>
      <c r="I54" s="1">
        <v>40238</v>
      </c>
      <c r="J54">
        <v>5.1116099108354502</v>
      </c>
      <c r="K54">
        <v>1399899299</v>
      </c>
      <c r="M54" s="1">
        <v>40238</v>
      </c>
      <c r="N54">
        <v>5.1983329970659797</v>
      </c>
      <c r="O54">
        <v>406671460</v>
      </c>
      <c r="Q54" s="1">
        <v>39264</v>
      </c>
      <c r="R54" s="3">
        <f t="shared" si="0"/>
        <v>6.0993346315305699</v>
      </c>
      <c r="S54" s="12">
        <f t="shared" si="1"/>
        <v>8356460</v>
      </c>
      <c r="T54" s="3">
        <f t="shared" si="7"/>
        <v>6.1529131699751698</v>
      </c>
      <c r="U54" s="12">
        <f t="shared" si="8"/>
        <v>28040554</v>
      </c>
      <c r="V54" s="4">
        <f t="shared" si="2"/>
        <v>6.1406119709435476</v>
      </c>
      <c r="W54" s="3">
        <f t="shared" si="3"/>
        <v>6.2219535843551901</v>
      </c>
      <c r="X54" s="12">
        <f t="shared" si="4"/>
        <v>10042950</v>
      </c>
      <c r="Y54" s="3">
        <f t="shared" si="9"/>
        <v>6.2420427398517404</v>
      </c>
      <c r="Z54" s="12">
        <f t="shared" si="10"/>
        <v>29245305</v>
      </c>
      <c r="AA54" s="4">
        <f t="shared" si="5"/>
        <v>6.2369075058182082</v>
      </c>
      <c r="AB54" s="13">
        <f t="shared" si="6"/>
        <v>-9.6295534874660582</v>
      </c>
    </row>
    <row r="55" spans="1:28" x14ac:dyDescent="0.25">
      <c r="A55" s="1">
        <v>39295</v>
      </c>
      <c r="B55">
        <v>6.2393316640866896</v>
      </c>
      <c r="C55">
        <v>5494894</v>
      </c>
      <c r="E55" s="1">
        <v>39295</v>
      </c>
      <c r="F55">
        <v>6.3876669782295403</v>
      </c>
      <c r="G55">
        <v>8986950</v>
      </c>
      <c r="I55" s="1">
        <v>40269</v>
      </c>
      <c r="J55">
        <v>5.13314470530017</v>
      </c>
      <c r="K55">
        <v>895483910</v>
      </c>
      <c r="M55" s="1">
        <v>40269</v>
      </c>
      <c r="N55">
        <v>5.2383357766286203</v>
      </c>
      <c r="O55">
        <v>258152723</v>
      </c>
      <c r="Q55" s="1">
        <v>39295</v>
      </c>
      <c r="R55" s="3">
        <f t="shared" si="0"/>
        <v>6.2393316640866896</v>
      </c>
      <c r="S55" s="12">
        <f t="shared" si="1"/>
        <v>5494894</v>
      </c>
      <c r="T55" s="3">
        <f t="shared" si="7"/>
        <v>6.2424475020723502</v>
      </c>
      <c r="U55" s="12">
        <f t="shared" si="8"/>
        <v>25226091</v>
      </c>
      <c r="V55" s="4">
        <f t="shared" si="2"/>
        <v>6.2418901892305785</v>
      </c>
      <c r="W55" s="3">
        <f t="shared" si="3"/>
        <v>6.3876669782295403</v>
      </c>
      <c r="X55" s="12">
        <f t="shared" si="4"/>
        <v>8986950</v>
      </c>
      <c r="Y55" s="3">
        <f t="shared" si="9"/>
        <v>6.3539968384593397</v>
      </c>
      <c r="Z55" s="12">
        <f t="shared" si="10"/>
        <v>20673465</v>
      </c>
      <c r="AA55" s="4">
        <f t="shared" si="5"/>
        <v>6.3641987140098939</v>
      </c>
      <c r="AB55" s="13">
        <f t="shared" si="6"/>
        <v>-12.230852477931542</v>
      </c>
    </row>
    <row r="56" spans="1:28" x14ac:dyDescent="0.25">
      <c r="A56" s="1">
        <v>39326</v>
      </c>
      <c r="B56">
        <v>6.4057358801398001</v>
      </c>
      <c r="C56">
        <v>6737850</v>
      </c>
      <c r="E56" s="1">
        <v>39326</v>
      </c>
      <c r="F56">
        <v>6.7289641010039496</v>
      </c>
      <c r="G56">
        <v>8217500</v>
      </c>
      <c r="I56" s="1">
        <v>40299</v>
      </c>
      <c r="J56">
        <v>5.1217568917369602</v>
      </c>
      <c r="K56">
        <v>870833148</v>
      </c>
      <c r="M56" s="1">
        <v>40299</v>
      </c>
      <c r="N56">
        <v>5.1903040639201699</v>
      </c>
      <c r="O56">
        <v>232853934</v>
      </c>
      <c r="Q56" s="1">
        <v>39326</v>
      </c>
      <c r="R56" s="3">
        <f t="shared" si="0"/>
        <v>6.4057358801398001</v>
      </c>
      <c r="S56" s="12">
        <f t="shared" si="1"/>
        <v>6737850</v>
      </c>
      <c r="T56" s="3">
        <f t="shared" si="7"/>
        <v>6.3800802822951299</v>
      </c>
      <c r="U56" s="12">
        <f t="shared" si="8"/>
        <v>29454564</v>
      </c>
      <c r="V56" s="4">
        <f t="shared" si="2"/>
        <v>6.3848565199326011</v>
      </c>
      <c r="W56" s="3">
        <f t="shared" si="3"/>
        <v>6.7289641010039496</v>
      </c>
      <c r="X56" s="12">
        <f t="shared" si="4"/>
        <v>8217500</v>
      </c>
      <c r="Y56" s="3">
        <f t="shared" si="9"/>
        <v>6.43423424120164</v>
      </c>
      <c r="Z56" s="12">
        <f t="shared" si="10"/>
        <v>21399506</v>
      </c>
      <c r="AA56" s="4">
        <f t="shared" si="5"/>
        <v>6.5160096449316951</v>
      </c>
      <c r="AB56" s="13">
        <f t="shared" si="6"/>
        <v>-13.115312499909404</v>
      </c>
    </row>
    <row r="57" spans="1:28" x14ac:dyDescent="0.25">
      <c r="A57" s="1">
        <v>39356</v>
      </c>
      <c r="B57">
        <v>6.2611772009865998</v>
      </c>
      <c r="C57">
        <v>5935520</v>
      </c>
      <c r="E57" s="1">
        <v>39356</v>
      </c>
      <c r="F57">
        <v>6.5680101765823098</v>
      </c>
      <c r="G57">
        <v>7792400</v>
      </c>
      <c r="I57" s="1">
        <v>40330</v>
      </c>
      <c r="J57">
        <v>5.1774154051112804</v>
      </c>
      <c r="K57">
        <v>1070665307</v>
      </c>
      <c r="M57" s="1">
        <v>40330</v>
      </c>
      <c r="N57">
        <v>5.2649822783195104</v>
      </c>
      <c r="O57">
        <v>342423508</v>
      </c>
      <c r="Q57" s="1">
        <v>39356</v>
      </c>
      <c r="R57" s="3">
        <f t="shared" si="0"/>
        <v>6.2611772009865998</v>
      </c>
      <c r="S57" s="12">
        <f t="shared" si="1"/>
        <v>5935520</v>
      </c>
      <c r="T57" s="3">
        <f t="shared" si="7"/>
        <v>6.3249149173922303</v>
      </c>
      <c r="U57" s="12">
        <f t="shared" si="8"/>
        <v>28628060</v>
      </c>
      <c r="V57" s="4">
        <f t="shared" si="2"/>
        <v>6.313969393506107</v>
      </c>
      <c r="W57" s="3">
        <f t="shared" si="3"/>
        <v>6.5680101765823098</v>
      </c>
      <c r="X57" s="12">
        <f t="shared" si="4"/>
        <v>7792400</v>
      </c>
      <c r="Y57" s="3">
        <f t="shared" si="9"/>
        <v>6.4211292355379399</v>
      </c>
      <c r="Z57" s="12">
        <f t="shared" si="10"/>
        <v>29057348</v>
      </c>
      <c r="AA57" s="4">
        <f t="shared" si="5"/>
        <v>6.4521892863419277</v>
      </c>
      <c r="AB57" s="13">
        <f t="shared" si="6"/>
        <v>-13.82198928358207</v>
      </c>
    </row>
    <row r="58" spans="1:28" x14ac:dyDescent="0.25">
      <c r="A58" s="1">
        <v>39387</v>
      </c>
      <c r="B58">
        <v>6.2124993453097899</v>
      </c>
      <c r="C58">
        <v>5727900</v>
      </c>
      <c r="E58" s="1">
        <v>39387</v>
      </c>
      <c r="F58">
        <v>6.1524960599607796</v>
      </c>
      <c r="G58">
        <v>16624200</v>
      </c>
      <c r="I58" s="1">
        <v>40360</v>
      </c>
      <c r="J58">
        <v>5.0540001228724902</v>
      </c>
      <c r="K58">
        <v>1043496317</v>
      </c>
      <c r="M58" s="1">
        <v>40360</v>
      </c>
      <c r="N58">
        <v>5.1393247315326196</v>
      </c>
      <c r="O58">
        <v>287228657</v>
      </c>
      <c r="Q58" s="1">
        <v>39387</v>
      </c>
      <c r="R58" s="3">
        <f t="shared" si="0"/>
        <v>6.2124993453097899</v>
      </c>
      <c r="S58" s="12">
        <f t="shared" si="1"/>
        <v>5727900</v>
      </c>
      <c r="T58" s="3">
        <f t="shared" si="7"/>
        <v>6.1261000581862</v>
      </c>
      <c r="U58" s="12">
        <f t="shared" si="8"/>
        <v>23545100</v>
      </c>
      <c r="V58" s="4">
        <f t="shared" si="2"/>
        <v>6.1430059604413572</v>
      </c>
      <c r="W58" s="3">
        <f t="shared" si="3"/>
        <v>6.1524960599607796</v>
      </c>
      <c r="X58" s="12">
        <f t="shared" si="4"/>
        <v>16624200</v>
      </c>
      <c r="Y58" s="3">
        <f t="shared" si="9"/>
        <v>6.2143613632284902</v>
      </c>
      <c r="Z58" s="12">
        <f t="shared" si="10"/>
        <v>37634366</v>
      </c>
      <c r="AA58" s="4">
        <f t="shared" si="5"/>
        <v>6.1954065464981127</v>
      </c>
      <c r="AB58" s="13">
        <f t="shared" si="6"/>
        <v>-5.2400586056755571</v>
      </c>
    </row>
    <row r="59" spans="1:28" x14ac:dyDescent="0.25">
      <c r="A59" s="1">
        <v>39417</v>
      </c>
      <c r="B59">
        <v>6.2046517686905602</v>
      </c>
      <c r="C59">
        <v>8444100</v>
      </c>
      <c r="E59" s="1">
        <v>39417</v>
      </c>
      <c r="F59">
        <v>6.2466674774993898</v>
      </c>
      <c r="G59">
        <v>15416250</v>
      </c>
      <c r="I59" s="1">
        <v>40391</v>
      </c>
      <c r="J59">
        <v>4.9348957791122201</v>
      </c>
      <c r="K59">
        <v>812252916</v>
      </c>
      <c r="M59" s="1">
        <v>40391</v>
      </c>
      <c r="N59">
        <v>5.0694472559555903</v>
      </c>
      <c r="O59">
        <v>218589447</v>
      </c>
      <c r="Q59" s="1">
        <v>39417</v>
      </c>
      <c r="R59" s="3">
        <f t="shared" si="0"/>
        <v>6.2046517686905602</v>
      </c>
      <c r="S59" s="12">
        <f t="shared" si="1"/>
        <v>8444100</v>
      </c>
      <c r="T59" s="3">
        <f t="shared" si="7"/>
        <v>5.9353992175247701</v>
      </c>
      <c r="U59" s="12">
        <f t="shared" si="8"/>
        <v>32250989</v>
      </c>
      <c r="V59" s="4">
        <f t="shared" si="2"/>
        <v>5.9912682553661432</v>
      </c>
      <c r="W59" s="3">
        <f t="shared" si="3"/>
        <v>6.2466674774993898</v>
      </c>
      <c r="X59" s="12">
        <f t="shared" si="4"/>
        <v>15416250</v>
      </c>
      <c r="Y59" s="3">
        <f t="shared" si="9"/>
        <v>6.1365979490177596</v>
      </c>
      <c r="Z59" s="12">
        <f t="shared" si="10"/>
        <v>26310223</v>
      </c>
      <c r="AA59" s="4">
        <f t="shared" si="5"/>
        <v>6.1772642034710161</v>
      </c>
      <c r="AB59" s="13">
        <f t="shared" si="6"/>
        <v>-18.599594810487297</v>
      </c>
    </row>
    <row r="60" spans="1:28" x14ac:dyDescent="0.25">
      <c r="A60" s="1">
        <v>39448</v>
      </c>
      <c r="B60">
        <v>5.9476724747401901</v>
      </c>
      <c r="C60">
        <v>9295796</v>
      </c>
      <c r="E60" s="1">
        <v>39448</v>
      </c>
      <c r="F60">
        <v>6.0086558018785903</v>
      </c>
      <c r="G60">
        <v>9783900</v>
      </c>
      <c r="I60" s="1">
        <v>40422</v>
      </c>
      <c r="J60">
        <v>4.8054423198684102</v>
      </c>
      <c r="K60">
        <v>1155903457</v>
      </c>
      <c r="M60" s="1">
        <v>40422</v>
      </c>
      <c r="N60">
        <v>4.9435883776043896</v>
      </c>
      <c r="O60">
        <v>301400255</v>
      </c>
      <c r="Q60" s="1">
        <v>39448</v>
      </c>
      <c r="R60" s="3">
        <f t="shared" si="0"/>
        <v>5.9476724747401901</v>
      </c>
      <c r="S60" s="12">
        <f t="shared" si="1"/>
        <v>9295796</v>
      </c>
      <c r="T60" s="3">
        <f t="shared" si="7"/>
        <v>5.9702399901642504</v>
      </c>
      <c r="U60" s="12">
        <f t="shared" si="8"/>
        <v>34697922</v>
      </c>
      <c r="V60" s="4">
        <f t="shared" si="2"/>
        <v>5.9654715134556238</v>
      </c>
      <c r="W60" s="3">
        <f t="shared" si="3"/>
        <v>6.0086558018785903</v>
      </c>
      <c r="X60" s="12">
        <f t="shared" si="4"/>
        <v>9783900</v>
      </c>
      <c r="Y60" s="3">
        <f t="shared" si="9"/>
        <v>5.9586527164725496</v>
      </c>
      <c r="Z60" s="12">
        <f t="shared" si="10"/>
        <v>28896850</v>
      </c>
      <c r="AA60" s="4">
        <f t="shared" si="5"/>
        <v>5.9713004853835496</v>
      </c>
      <c r="AB60" s="13">
        <f t="shared" si="6"/>
        <v>-0.58289719279258634</v>
      </c>
    </row>
    <row r="61" spans="1:28" x14ac:dyDescent="0.25">
      <c r="A61" s="1">
        <v>39479</v>
      </c>
      <c r="B61">
        <v>5.6464385044452996</v>
      </c>
      <c r="C61">
        <v>17532438</v>
      </c>
      <c r="E61" s="1">
        <v>39479</v>
      </c>
      <c r="F61">
        <v>5.8370958526193402</v>
      </c>
      <c r="G61">
        <v>17697628</v>
      </c>
      <c r="I61" s="1">
        <v>40452</v>
      </c>
      <c r="J61">
        <v>4.7290619626136996</v>
      </c>
      <c r="K61">
        <v>916159271</v>
      </c>
      <c r="M61" s="1">
        <v>40452</v>
      </c>
      <c r="N61">
        <v>4.8058011992192702</v>
      </c>
      <c r="O61">
        <v>253820804</v>
      </c>
      <c r="Q61" s="1">
        <v>39479</v>
      </c>
      <c r="R61" s="3">
        <f t="shared" si="0"/>
        <v>5.6464385044452996</v>
      </c>
      <c r="S61" s="12">
        <f t="shared" si="1"/>
        <v>17532438</v>
      </c>
      <c r="T61" s="3">
        <f t="shared" si="7"/>
        <v>5.8365500632774197</v>
      </c>
      <c r="U61" s="12">
        <f t="shared" si="8"/>
        <v>37647705</v>
      </c>
      <c r="V61" s="4">
        <f t="shared" si="2"/>
        <v>5.7761457414128046</v>
      </c>
      <c r="W61" s="3">
        <f t="shared" si="3"/>
        <v>5.8370958526193402</v>
      </c>
      <c r="X61" s="12">
        <f t="shared" si="4"/>
        <v>17697628</v>
      </c>
      <c r="Y61" s="3">
        <f t="shared" si="9"/>
        <v>5.94904941225019</v>
      </c>
      <c r="Z61" s="12">
        <f t="shared" si="10"/>
        <v>39649864</v>
      </c>
      <c r="AA61" s="4">
        <f t="shared" si="5"/>
        <v>5.9145001689873355</v>
      </c>
      <c r="AB61" s="13">
        <f t="shared" si="6"/>
        <v>-13.835442757453098</v>
      </c>
    </row>
    <row r="62" spans="1:28" x14ac:dyDescent="0.25">
      <c r="A62" s="1">
        <v>39508</v>
      </c>
      <c r="B62">
        <v>5.4989543773425602</v>
      </c>
      <c r="C62">
        <v>20143500</v>
      </c>
      <c r="E62" s="1">
        <v>39508</v>
      </c>
      <c r="F62">
        <v>5.5022921253430601</v>
      </c>
      <c r="G62">
        <v>16578500</v>
      </c>
      <c r="I62" s="1">
        <v>40483</v>
      </c>
      <c r="J62">
        <v>4.5382049958257404</v>
      </c>
      <c r="K62">
        <v>1105890094</v>
      </c>
      <c r="M62" s="1">
        <v>40483</v>
      </c>
      <c r="N62">
        <v>4.6222352683995398</v>
      </c>
      <c r="O62">
        <v>231400265</v>
      </c>
      <c r="Q62" s="1">
        <v>39508</v>
      </c>
      <c r="R62" s="3">
        <f t="shared" si="0"/>
        <v>5.4989543773425602</v>
      </c>
      <c r="S62" s="12">
        <f t="shared" si="1"/>
        <v>20143500</v>
      </c>
      <c r="T62" s="3">
        <f t="shared" si="7"/>
        <v>5.6561895681052299</v>
      </c>
      <c r="U62" s="12">
        <f t="shared" si="8"/>
        <v>79298461</v>
      </c>
      <c r="V62" s="4">
        <f t="shared" si="2"/>
        <v>5.6243391597536911</v>
      </c>
      <c r="W62" s="3">
        <f t="shared" si="3"/>
        <v>5.5022921253430601</v>
      </c>
      <c r="X62" s="12">
        <f t="shared" si="4"/>
        <v>16578500</v>
      </c>
      <c r="Y62" s="3">
        <f t="shared" si="9"/>
        <v>5.7316969228591201</v>
      </c>
      <c r="Z62" s="12">
        <f t="shared" si="10"/>
        <v>47326400</v>
      </c>
      <c r="AA62" s="4">
        <f t="shared" si="5"/>
        <v>5.672183686227501</v>
      </c>
      <c r="AB62" s="13">
        <f t="shared" si="6"/>
        <v>-4.7844526473809879</v>
      </c>
    </row>
    <row r="63" spans="1:28" x14ac:dyDescent="0.25">
      <c r="A63" s="1">
        <v>39539</v>
      </c>
      <c r="B63">
        <v>5.5074156043434499</v>
      </c>
      <c r="C63">
        <v>21972754</v>
      </c>
      <c r="E63" s="1">
        <v>39539</v>
      </c>
      <c r="F63">
        <v>5.5845086656787597</v>
      </c>
      <c r="G63">
        <v>24559011</v>
      </c>
      <c r="I63" s="1">
        <v>40513</v>
      </c>
      <c r="J63">
        <v>4.5344208095926302</v>
      </c>
      <c r="K63">
        <v>1673045523</v>
      </c>
      <c r="M63" s="1">
        <v>40513</v>
      </c>
      <c r="N63">
        <v>4.7163114048936299</v>
      </c>
      <c r="O63">
        <v>495357649</v>
      </c>
      <c r="Q63" s="1">
        <v>39539</v>
      </c>
      <c r="R63" s="3">
        <f t="shared" si="0"/>
        <v>5.5074156043434499</v>
      </c>
      <c r="S63" s="12">
        <f t="shared" si="1"/>
        <v>21972754</v>
      </c>
      <c r="T63" s="3">
        <f t="shared" si="7"/>
        <v>5.6534452211190196</v>
      </c>
      <c r="U63" s="12">
        <f t="shared" si="8"/>
        <v>62713667</v>
      </c>
      <c r="V63" s="4">
        <f t="shared" si="2"/>
        <v>5.6155563505275481</v>
      </c>
      <c r="W63" s="3">
        <f t="shared" si="3"/>
        <v>5.5845086656787597</v>
      </c>
      <c r="X63" s="12">
        <f t="shared" si="4"/>
        <v>24559011</v>
      </c>
      <c r="Y63" s="3">
        <f t="shared" si="9"/>
        <v>5.7929253662950799</v>
      </c>
      <c r="Z63" s="12">
        <f t="shared" si="10"/>
        <v>58008081</v>
      </c>
      <c r="AA63" s="4">
        <f t="shared" si="5"/>
        <v>5.730933258797581</v>
      </c>
      <c r="AB63" s="13">
        <f t="shared" si="6"/>
        <v>-11.537690827003289</v>
      </c>
    </row>
    <row r="64" spans="1:28" x14ac:dyDescent="0.25">
      <c r="A64" s="1">
        <v>39569</v>
      </c>
      <c r="B64">
        <v>5.6996290469127802</v>
      </c>
      <c r="C64">
        <v>14968200</v>
      </c>
      <c r="E64" s="1">
        <v>39569</v>
      </c>
      <c r="F64">
        <v>5.8401720043899701</v>
      </c>
      <c r="G64">
        <v>13232889</v>
      </c>
      <c r="I64" s="1">
        <v>40544</v>
      </c>
      <c r="J64">
        <v>4.5037321027812496</v>
      </c>
      <c r="K64">
        <v>1299781915</v>
      </c>
      <c r="M64" s="1">
        <v>40544</v>
      </c>
      <c r="N64">
        <v>4.6305084811829396</v>
      </c>
      <c r="O64">
        <v>308778860</v>
      </c>
      <c r="Q64" s="1">
        <v>39569</v>
      </c>
      <c r="R64" s="3">
        <f t="shared" si="0"/>
        <v>5.6996290469127802</v>
      </c>
      <c r="S64" s="12">
        <f t="shared" si="1"/>
        <v>14968200</v>
      </c>
      <c r="T64" s="3">
        <f t="shared" si="7"/>
        <v>6.1007092761855697</v>
      </c>
      <c r="U64" s="12">
        <f t="shared" si="8"/>
        <v>179330813</v>
      </c>
      <c r="V64" s="4">
        <f t="shared" si="2"/>
        <v>6.0698112855313351</v>
      </c>
      <c r="W64" s="3">
        <f t="shared" si="3"/>
        <v>5.8401720043899701</v>
      </c>
      <c r="X64" s="12">
        <f t="shared" si="4"/>
        <v>13232889</v>
      </c>
      <c r="Y64" s="3">
        <f t="shared" si="9"/>
        <v>6.0586403597184901</v>
      </c>
      <c r="Z64" s="12">
        <f t="shared" si="10"/>
        <v>80166020</v>
      </c>
      <c r="AA64" s="4">
        <f t="shared" si="5"/>
        <v>6.0276874553748767</v>
      </c>
      <c r="AB64" s="13">
        <f t="shared" si="6"/>
        <v>4.2123830156458375</v>
      </c>
    </row>
    <row r="65" spans="1:28" x14ac:dyDescent="0.25">
      <c r="A65" s="1">
        <v>39600</v>
      </c>
      <c r="B65">
        <v>5.7609842769556403</v>
      </c>
      <c r="C65">
        <v>22435159</v>
      </c>
      <c r="E65" s="1">
        <v>39600</v>
      </c>
      <c r="F65">
        <v>5.8600826289119698</v>
      </c>
      <c r="G65">
        <v>14595319.859999999</v>
      </c>
      <c r="I65" s="1">
        <v>40575</v>
      </c>
      <c r="J65">
        <v>4.6295559241816999</v>
      </c>
      <c r="K65">
        <v>2024490713</v>
      </c>
      <c r="M65" s="1">
        <v>40575</v>
      </c>
      <c r="N65">
        <v>4.7541841083936198</v>
      </c>
      <c r="O65">
        <v>549755147</v>
      </c>
      <c r="Q65" s="1">
        <v>39600</v>
      </c>
      <c r="R65" s="3">
        <f t="shared" si="0"/>
        <v>5.7609842769556403</v>
      </c>
      <c r="S65" s="12">
        <f t="shared" si="1"/>
        <v>22435159</v>
      </c>
      <c r="T65" s="3">
        <f t="shared" si="7"/>
        <v>6.1032673020431103</v>
      </c>
      <c r="U65" s="12">
        <f t="shared" si="8"/>
        <v>199164239</v>
      </c>
      <c r="V65" s="4">
        <f t="shared" si="2"/>
        <v>6.0686138952191513</v>
      </c>
      <c r="W65" s="3">
        <f t="shared" si="3"/>
        <v>5.8600826289119698</v>
      </c>
      <c r="X65" s="12">
        <f t="shared" si="4"/>
        <v>14595319.859999999</v>
      </c>
      <c r="Y65" s="3">
        <f t="shared" si="9"/>
        <v>6.0703618045071401</v>
      </c>
      <c r="Z65" s="12">
        <f t="shared" si="10"/>
        <v>74354574</v>
      </c>
      <c r="AA65" s="4">
        <f t="shared" si="5"/>
        <v>6.0358582014726139</v>
      </c>
      <c r="AB65" s="13">
        <f t="shared" si="6"/>
        <v>3.2755693746537418</v>
      </c>
    </row>
    <row r="66" spans="1:28" x14ac:dyDescent="0.25">
      <c r="A66" s="1">
        <v>39630</v>
      </c>
      <c r="B66">
        <v>5.9690006837600302</v>
      </c>
      <c r="C66">
        <v>55528253</v>
      </c>
      <c r="E66" s="1">
        <v>39630</v>
      </c>
      <c r="F66">
        <v>6.1237058794559696</v>
      </c>
      <c r="G66">
        <v>36630668</v>
      </c>
      <c r="I66" s="1">
        <v>40603</v>
      </c>
      <c r="J66">
        <v>4.7801000578627004</v>
      </c>
      <c r="K66">
        <v>781505050</v>
      </c>
      <c r="M66" s="1">
        <v>40603</v>
      </c>
      <c r="N66">
        <v>4.8403940242330998</v>
      </c>
      <c r="O66">
        <v>239664536</v>
      </c>
      <c r="Q66" s="1">
        <v>39630</v>
      </c>
      <c r="R66" s="3">
        <f t="shared" si="0"/>
        <v>5.9690006837600302</v>
      </c>
      <c r="S66" s="12">
        <f t="shared" si="1"/>
        <v>55528253</v>
      </c>
      <c r="T66" s="3">
        <f t="shared" si="7"/>
        <v>6.0767739258753304</v>
      </c>
      <c r="U66" s="12">
        <f t="shared" si="8"/>
        <v>203470424</v>
      </c>
      <c r="V66" s="4">
        <f t="shared" si="2"/>
        <v>6.0536677852412275</v>
      </c>
      <c r="W66" s="3">
        <f t="shared" si="3"/>
        <v>6.1237058794559696</v>
      </c>
      <c r="X66" s="12">
        <f t="shared" si="4"/>
        <v>36630668</v>
      </c>
      <c r="Y66" s="3">
        <f t="shared" si="9"/>
        <v>6.1053922915335797</v>
      </c>
      <c r="Z66" s="12">
        <f t="shared" si="10"/>
        <v>69068187</v>
      </c>
      <c r="AA66" s="4">
        <f t="shared" si="5"/>
        <v>6.1117389918746001</v>
      </c>
      <c r="AB66" s="13">
        <f t="shared" si="6"/>
        <v>-5.8071206633372618</v>
      </c>
    </row>
    <row r="67" spans="1:28" x14ac:dyDescent="0.25">
      <c r="A67" s="1">
        <v>39661</v>
      </c>
      <c r="B67">
        <v>6.1509251330230903</v>
      </c>
      <c r="C67">
        <v>46743386</v>
      </c>
      <c r="E67" s="1">
        <v>39661</v>
      </c>
      <c r="F67">
        <v>6.1994687813554101</v>
      </c>
      <c r="G67">
        <v>43393620</v>
      </c>
      <c r="I67" s="1">
        <v>40634</v>
      </c>
      <c r="J67">
        <v>4.9289004123856799</v>
      </c>
      <c r="K67">
        <v>885064680</v>
      </c>
      <c r="M67" s="1">
        <v>40634</v>
      </c>
      <c r="N67">
        <v>5.0453273681375297</v>
      </c>
      <c r="O67">
        <v>292380791</v>
      </c>
      <c r="Q67" s="1">
        <v>39661</v>
      </c>
      <c r="R67" s="3">
        <f t="shared" si="0"/>
        <v>6.1509251330230903</v>
      </c>
      <c r="S67" s="12">
        <f t="shared" si="1"/>
        <v>46743386</v>
      </c>
      <c r="T67" s="3">
        <f t="shared" si="7"/>
        <v>6.2766712016249597</v>
      </c>
      <c r="U67" s="12">
        <f t="shared" si="8"/>
        <v>133349260</v>
      </c>
      <c r="V67" s="4">
        <f t="shared" si="2"/>
        <v>6.2440335723092151</v>
      </c>
      <c r="W67" s="3">
        <f t="shared" si="3"/>
        <v>6.1994687813554101</v>
      </c>
      <c r="X67" s="12">
        <f t="shared" si="4"/>
        <v>43393620</v>
      </c>
      <c r="Y67" s="3">
        <f t="shared" si="9"/>
        <v>6.3469940994455998</v>
      </c>
      <c r="Z67" s="12">
        <f t="shared" si="10"/>
        <v>63325914</v>
      </c>
      <c r="AA67" s="4">
        <f t="shared" si="5"/>
        <v>6.2870082903472877</v>
      </c>
      <c r="AB67" s="13">
        <f t="shared" si="6"/>
        <v>-4.2974718038072623</v>
      </c>
    </row>
    <row r="68" spans="1:28" x14ac:dyDescent="0.25">
      <c r="A68" s="1">
        <v>39692</v>
      </c>
      <c r="B68">
        <v>6.3270085932619198</v>
      </c>
      <c r="C68">
        <v>37631810</v>
      </c>
      <c r="E68" s="1">
        <v>39692</v>
      </c>
      <c r="F68">
        <v>6.3726577550941403</v>
      </c>
      <c r="G68">
        <v>34006905</v>
      </c>
      <c r="I68" s="1">
        <v>40664</v>
      </c>
      <c r="J68">
        <v>4.9720871297714497</v>
      </c>
      <c r="K68">
        <v>909290139</v>
      </c>
      <c r="M68" s="1">
        <v>40664</v>
      </c>
      <c r="N68">
        <v>5.0553652360928103</v>
      </c>
      <c r="O68">
        <v>292093531</v>
      </c>
      <c r="Q68" s="1">
        <v>39692</v>
      </c>
      <c r="R68" s="3">
        <f t="shared" ref="R68:R131" si="11">VLOOKUP($Q68,A:C,2,0)</f>
        <v>6.3270085932619198</v>
      </c>
      <c r="S68" s="12">
        <f t="shared" ref="S68:S131" si="12">VLOOKUP($Q68,A:C,3,0)</f>
        <v>37631810</v>
      </c>
      <c r="T68" s="3">
        <f t="shared" si="7"/>
        <v>6.2822239844341503</v>
      </c>
      <c r="U68" s="12">
        <f t="shared" si="8"/>
        <v>77204423</v>
      </c>
      <c r="V68" s="4">
        <f t="shared" ref="V68:V131" si="13">(R68*S68+T68*U68)/(S68+U68)</f>
        <v>6.2968998915612238</v>
      </c>
      <c r="W68" s="3">
        <f t="shared" ref="W68:W131" si="14">VLOOKUP($Q68,E:G,2,0)</f>
        <v>6.3726577550941403</v>
      </c>
      <c r="X68" s="12">
        <f t="shared" ref="X68:X131" si="15">VLOOKUP($Q68,E:G,3,0)</f>
        <v>34006905</v>
      </c>
      <c r="Y68" s="3">
        <f t="shared" si="9"/>
        <v>6.4133804462178103</v>
      </c>
      <c r="Z68" s="12">
        <f t="shared" si="10"/>
        <v>31823920</v>
      </c>
      <c r="AA68" s="4">
        <f t="shared" ref="AA68:AA131" si="16">(W68*X68+Y68*Z68)/(X68+Z68)</f>
        <v>6.3923439076602735</v>
      </c>
      <c r="AB68" s="13">
        <f t="shared" ref="AB68:AB131" si="17">(V68-AA68)*100</f>
        <v>-9.5444016099049733</v>
      </c>
    </row>
    <row r="69" spans="1:28" x14ac:dyDescent="0.25">
      <c r="A69" s="1">
        <v>39722</v>
      </c>
      <c r="B69">
        <v>6.2853903093545904</v>
      </c>
      <c r="C69">
        <v>31831853</v>
      </c>
      <c r="E69" s="1">
        <v>39722</v>
      </c>
      <c r="F69">
        <v>6.2897262456263698</v>
      </c>
      <c r="G69">
        <v>15847677.4</v>
      </c>
      <c r="I69" s="1">
        <v>40695</v>
      </c>
      <c r="J69">
        <v>4.9727531842557102</v>
      </c>
      <c r="K69">
        <v>1091169746</v>
      </c>
      <c r="M69" s="1">
        <v>40695</v>
      </c>
      <c r="N69">
        <v>5.1011423150499402</v>
      </c>
      <c r="O69">
        <v>313780686</v>
      </c>
      <c r="Q69" s="1">
        <v>39722</v>
      </c>
      <c r="R69" s="3">
        <f t="shared" si="11"/>
        <v>6.2853903093545904</v>
      </c>
      <c r="S69" s="12">
        <f t="shared" si="12"/>
        <v>31831853</v>
      </c>
      <c r="T69" s="3">
        <f t="shared" si="7"/>
        <v>6.4479666152091797</v>
      </c>
      <c r="U69" s="12">
        <f t="shared" si="8"/>
        <v>128234681</v>
      </c>
      <c r="V69" s="4">
        <f t="shared" si="13"/>
        <v>6.4156356529529077</v>
      </c>
      <c r="W69" s="3">
        <f t="shared" si="14"/>
        <v>6.2897262456263698</v>
      </c>
      <c r="X69" s="12">
        <f t="shared" si="15"/>
        <v>15847677.4</v>
      </c>
      <c r="Y69" s="3">
        <f t="shared" si="9"/>
        <v>6.5399030276930397</v>
      </c>
      <c r="Z69" s="12">
        <f t="shared" si="10"/>
        <v>70770153</v>
      </c>
      <c r="AA69" s="4">
        <f t="shared" si="16"/>
        <v>6.4941304550384986</v>
      </c>
      <c r="AB69" s="13">
        <f t="shared" si="17"/>
        <v>-7.8494802085590898</v>
      </c>
    </row>
    <row r="70" spans="1:28" x14ac:dyDescent="0.25">
      <c r="A70" s="1">
        <v>39753</v>
      </c>
      <c r="B70">
        <v>6.1044356129307502</v>
      </c>
      <c r="C70">
        <v>4686500</v>
      </c>
      <c r="E70" s="1">
        <v>39753</v>
      </c>
      <c r="F70">
        <v>5.9964118553011696</v>
      </c>
      <c r="G70">
        <v>5851492</v>
      </c>
      <c r="I70" s="1">
        <v>40725</v>
      </c>
      <c r="J70">
        <v>4.7914287683796797</v>
      </c>
      <c r="K70">
        <v>785593796</v>
      </c>
      <c r="M70" s="1">
        <v>40725</v>
      </c>
      <c r="N70">
        <v>4.94307710856057</v>
      </c>
      <c r="O70">
        <v>219158857</v>
      </c>
      <c r="Q70" s="1">
        <v>39753</v>
      </c>
      <c r="R70" s="3">
        <f t="shared" si="11"/>
        <v>6.1044356129307502</v>
      </c>
      <c r="S70" s="12">
        <f t="shared" si="12"/>
        <v>4686500</v>
      </c>
      <c r="T70" s="3">
        <f t="shared" si="7"/>
        <v>5.99755378591147</v>
      </c>
      <c r="U70" s="12">
        <f t="shared" si="8"/>
        <v>75612505</v>
      </c>
      <c r="V70" s="4">
        <f t="shared" si="13"/>
        <v>6.0037917421890832</v>
      </c>
      <c r="W70" s="3">
        <f t="shared" si="14"/>
        <v>5.9964118553011696</v>
      </c>
      <c r="X70" s="12">
        <f t="shared" si="15"/>
        <v>5851492</v>
      </c>
      <c r="Y70" s="3">
        <f t="shared" si="9"/>
        <v>6.1779502904119497</v>
      </c>
      <c r="Z70" s="12">
        <f t="shared" si="10"/>
        <v>42467260</v>
      </c>
      <c r="AA70" s="4">
        <f t="shared" si="16"/>
        <v>6.1559656435248931</v>
      </c>
      <c r="AB70" s="13">
        <f t="shared" si="17"/>
        <v>-15.217390133580988</v>
      </c>
    </row>
    <row r="71" spans="1:28" x14ac:dyDescent="0.25">
      <c r="A71" s="1">
        <v>39783</v>
      </c>
      <c r="B71">
        <v>5.8678154273833698</v>
      </c>
      <c r="C71">
        <v>11771925</v>
      </c>
      <c r="E71" s="1">
        <v>39783</v>
      </c>
      <c r="F71">
        <v>6.0718657057881398</v>
      </c>
      <c r="G71">
        <v>6556500</v>
      </c>
      <c r="I71" s="1">
        <v>40756</v>
      </c>
      <c r="J71">
        <v>4.7230451808437</v>
      </c>
      <c r="K71">
        <v>930963580</v>
      </c>
      <c r="M71" s="1">
        <v>40756</v>
      </c>
      <c r="N71">
        <v>4.8829992662850499</v>
      </c>
      <c r="O71">
        <v>261007360</v>
      </c>
      <c r="Q71" s="1">
        <v>39783</v>
      </c>
      <c r="R71" s="3">
        <f t="shared" si="11"/>
        <v>5.8678154273833698</v>
      </c>
      <c r="S71" s="12">
        <f t="shared" si="12"/>
        <v>11771925</v>
      </c>
      <c r="T71" s="3">
        <f t="shared" si="7"/>
        <v>6.0180125301503899</v>
      </c>
      <c r="U71" s="12">
        <f t="shared" si="8"/>
        <v>101661190</v>
      </c>
      <c r="V71" s="4">
        <f t="shared" si="13"/>
        <v>6.0024252915473539</v>
      </c>
      <c r="W71" s="3">
        <f t="shared" si="14"/>
        <v>6.0718657057881398</v>
      </c>
      <c r="X71" s="12">
        <f t="shared" si="15"/>
        <v>6556500</v>
      </c>
      <c r="Y71" s="3">
        <f t="shared" si="9"/>
        <v>6.11478714022281</v>
      </c>
      <c r="Z71" s="12">
        <f t="shared" si="10"/>
        <v>58090120</v>
      </c>
      <c r="AA71" s="4">
        <f t="shared" si="16"/>
        <v>6.1104340219179258</v>
      </c>
      <c r="AB71" s="13">
        <f t="shared" si="17"/>
        <v>-10.80087303705719</v>
      </c>
    </row>
    <row r="72" spans="1:28" x14ac:dyDescent="0.25">
      <c r="A72" s="1">
        <v>39814</v>
      </c>
      <c r="B72">
        <v>5.2348052261315701</v>
      </c>
      <c r="C72">
        <v>49097654</v>
      </c>
      <c r="E72" s="1">
        <v>39814</v>
      </c>
      <c r="F72">
        <v>5.3576638118123796</v>
      </c>
      <c r="G72">
        <v>22803499</v>
      </c>
      <c r="I72" s="1">
        <v>40787</v>
      </c>
      <c r="J72">
        <v>4.6624184975847101</v>
      </c>
      <c r="K72">
        <v>1056770216</v>
      </c>
      <c r="M72" s="1">
        <v>40787</v>
      </c>
      <c r="N72">
        <v>4.8171026976983597</v>
      </c>
      <c r="O72">
        <v>352610882</v>
      </c>
      <c r="Q72" s="1">
        <v>39814</v>
      </c>
      <c r="R72" s="3">
        <f t="shared" si="11"/>
        <v>5.2348052261315701</v>
      </c>
      <c r="S72" s="12">
        <f t="shared" si="12"/>
        <v>49097654</v>
      </c>
      <c r="T72" s="3">
        <f t="shared" si="7"/>
        <v>5.5021270654658299</v>
      </c>
      <c r="U72" s="12">
        <f t="shared" si="8"/>
        <v>229832959</v>
      </c>
      <c r="V72" s="4">
        <f t="shared" si="13"/>
        <v>5.4550727997718838</v>
      </c>
      <c r="W72" s="3">
        <f t="shared" si="14"/>
        <v>5.3576638118123796</v>
      </c>
      <c r="X72" s="12">
        <f t="shared" si="15"/>
        <v>22803499</v>
      </c>
      <c r="Y72" s="3">
        <f t="shared" si="9"/>
        <v>5.7140389175239097</v>
      </c>
      <c r="Z72" s="12">
        <f t="shared" si="10"/>
        <v>59033175</v>
      </c>
      <c r="AA72" s="4">
        <f t="shared" si="16"/>
        <v>5.6147362580986524</v>
      </c>
      <c r="AB72" s="13">
        <f t="shared" si="17"/>
        <v>-15.966345832676865</v>
      </c>
    </row>
    <row r="73" spans="1:28" x14ac:dyDescent="0.25">
      <c r="A73" s="1">
        <v>39845</v>
      </c>
      <c r="B73">
        <v>4.9257894578753598</v>
      </c>
      <c r="C73">
        <v>270451479</v>
      </c>
      <c r="E73" s="1">
        <v>39845</v>
      </c>
      <c r="F73">
        <v>5.0811774626932298</v>
      </c>
      <c r="G73">
        <v>107546728</v>
      </c>
      <c r="I73" s="1">
        <v>40817</v>
      </c>
      <c r="J73">
        <v>4.3975640373486504</v>
      </c>
      <c r="K73">
        <v>1548482871</v>
      </c>
      <c r="M73" s="1">
        <v>40817</v>
      </c>
      <c r="N73">
        <v>4.60669445841115</v>
      </c>
      <c r="O73">
        <v>368779597</v>
      </c>
      <c r="Q73" s="1">
        <v>39845</v>
      </c>
      <c r="R73" s="3">
        <f t="shared" si="11"/>
        <v>4.9257894578753598</v>
      </c>
      <c r="S73" s="12">
        <f t="shared" si="12"/>
        <v>270451479</v>
      </c>
      <c r="T73" s="3">
        <f t="shared" si="7"/>
        <v>5.24968384201172</v>
      </c>
      <c r="U73" s="12">
        <f t="shared" si="8"/>
        <v>802621662</v>
      </c>
      <c r="V73" s="4">
        <f t="shared" si="13"/>
        <v>5.1680512748711056</v>
      </c>
      <c r="W73" s="3">
        <f t="shared" si="14"/>
        <v>5.0811774626932298</v>
      </c>
      <c r="X73" s="12">
        <f t="shared" si="15"/>
        <v>107546728</v>
      </c>
      <c r="Y73" s="3">
        <f t="shared" si="9"/>
        <v>5.3658936339307601</v>
      </c>
      <c r="Z73" s="12">
        <f t="shared" si="10"/>
        <v>203142874</v>
      </c>
      <c r="AA73" s="4">
        <f t="shared" si="16"/>
        <v>5.2673377362496918</v>
      </c>
      <c r="AB73" s="13">
        <f t="shared" si="17"/>
        <v>-9.928646137858621</v>
      </c>
    </row>
    <row r="74" spans="1:28" x14ac:dyDescent="0.25">
      <c r="A74" s="1">
        <v>39873</v>
      </c>
      <c r="B74">
        <v>4.8287438484045104</v>
      </c>
      <c r="C74">
        <v>632073274.39999998</v>
      </c>
      <c r="E74" s="1">
        <v>39873</v>
      </c>
      <c r="F74">
        <v>4.9164520509576199</v>
      </c>
      <c r="G74">
        <v>220864967.80000001</v>
      </c>
      <c r="I74" s="1">
        <v>40848</v>
      </c>
      <c r="J74">
        <v>4.3173195585159698</v>
      </c>
      <c r="K74">
        <v>1485245682</v>
      </c>
      <c r="M74" s="1">
        <v>40848</v>
      </c>
      <c r="N74">
        <v>4.4285432342521904</v>
      </c>
      <c r="O74">
        <v>319077220</v>
      </c>
      <c r="Q74" s="1">
        <v>39873</v>
      </c>
      <c r="R74" s="3">
        <f t="shared" si="11"/>
        <v>4.8287438484045104</v>
      </c>
      <c r="S74" s="12">
        <f t="shared" si="12"/>
        <v>632073274.39999998</v>
      </c>
      <c r="T74" s="3">
        <f t="shared" si="7"/>
        <v>5.00435394606939</v>
      </c>
      <c r="U74" s="12">
        <f t="shared" si="8"/>
        <v>1772490637</v>
      </c>
      <c r="V74" s="4">
        <f t="shared" si="13"/>
        <v>4.9581923743505003</v>
      </c>
      <c r="W74" s="3">
        <f t="shared" si="14"/>
        <v>4.9164520509576199</v>
      </c>
      <c r="X74" s="12">
        <f t="shared" si="15"/>
        <v>220864967.80000001</v>
      </c>
      <c r="Y74" s="3">
        <f t="shared" si="9"/>
        <v>5.0459360204533201</v>
      </c>
      <c r="Z74" s="12">
        <f t="shared" si="10"/>
        <v>399285730</v>
      </c>
      <c r="AA74" s="4">
        <f t="shared" si="16"/>
        <v>4.9998206603404673</v>
      </c>
      <c r="AB74" s="13">
        <f t="shared" si="17"/>
        <v>-4.162828598996704</v>
      </c>
    </row>
    <row r="75" spans="1:28" x14ac:dyDescent="0.25">
      <c r="A75" s="1">
        <v>39904</v>
      </c>
      <c r="B75">
        <v>4.8012705913175999</v>
      </c>
      <c r="C75">
        <v>457290650.57999998</v>
      </c>
      <c r="E75" s="1">
        <v>39904</v>
      </c>
      <c r="F75">
        <v>4.9294186232281803</v>
      </c>
      <c r="G75">
        <v>189719307.68000001</v>
      </c>
      <c r="I75" s="1">
        <v>40878</v>
      </c>
      <c r="J75">
        <v>4.2439616648421001</v>
      </c>
      <c r="K75">
        <v>978821089</v>
      </c>
      <c r="M75" s="1">
        <v>40878</v>
      </c>
      <c r="N75">
        <v>4.4310652259796104</v>
      </c>
      <c r="O75">
        <v>217909828</v>
      </c>
      <c r="Q75" s="1">
        <v>39904</v>
      </c>
      <c r="R75" s="3">
        <f t="shared" si="11"/>
        <v>4.8012705913175999</v>
      </c>
      <c r="S75" s="12">
        <f t="shared" si="12"/>
        <v>457290650.57999998</v>
      </c>
      <c r="T75" s="3">
        <f t="shared" si="7"/>
        <v>4.9529413617547702</v>
      </c>
      <c r="U75" s="12">
        <f t="shared" si="8"/>
        <v>1822454826</v>
      </c>
      <c r="V75" s="4">
        <f t="shared" si="13"/>
        <v>4.922517954405266</v>
      </c>
      <c r="W75" s="3">
        <f t="shared" si="14"/>
        <v>4.9294186232281803</v>
      </c>
      <c r="X75" s="12">
        <f t="shared" si="15"/>
        <v>189719307.68000001</v>
      </c>
      <c r="Y75" s="3">
        <f t="shared" si="9"/>
        <v>5.0255696936880101</v>
      </c>
      <c r="Z75" s="12">
        <f t="shared" si="10"/>
        <v>413556978</v>
      </c>
      <c r="AA75" s="4">
        <f t="shared" si="16"/>
        <v>4.99533194863929</v>
      </c>
      <c r="AB75" s="13">
        <f t="shared" si="17"/>
        <v>-7.2813994234024015</v>
      </c>
    </row>
    <row r="76" spans="1:28" x14ac:dyDescent="0.25">
      <c r="A76" s="1">
        <v>39934</v>
      </c>
      <c r="B76">
        <v>5.0365672503654801</v>
      </c>
      <c r="C76">
        <v>737826718.35000002</v>
      </c>
      <c r="E76" s="1">
        <v>39934</v>
      </c>
      <c r="F76">
        <v>5.3173412917423803</v>
      </c>
      <c r="G76">
        <v>340976269.68000001</v>
      </c>
      <c r="I76" s="1">
        <v>40909</v>
      </c>
      <c r="J76">
        <v>4.2183416361736397</v>
      </c>
      <c r="K76">
        <v>1737332302</v>
      </c>
      <c r="M76" s="1">
        <v>40909</v>
      </c>
      <c r="N76">
        <v>4.3478375215020701</v>
      </c>
      <c r="O76">
        <v>369251001</v>
      </c>
      <c r="Q76" s="1">
        <v>39934</v>
      </c>
      <c r="R76" s="3">
        <f t="shared" si="11"/>
        <v>5.0365672503654801</v>
      </c>
      <c r="S76" s="12">
        <f t="shared" si="12"/>
        <v>737826718.35000002</v>
      </c>
      <c r="T76" s="3">
        <f t="shared" si="7"/>
        <v>4.9302745166588604</v>
      </c>
      <c r="U76" s="12">
        <f t="shared" si="8"/>
        <v>1925414134</v>
      </c>
      <c r="V76" s="4">
        <f t="shared" si="13"/>
        <v>4.9597219542895967</v>
      </c>
      <c r="W76" s="3">
        <f t="shared" si="14"/>
        <v>5.3173412917423803</v>
      </c>
      <c r="X76" s="12">
        <f t="shared" si="15"/>
        <v>340976269.68000001</v>
      </c>
      <c r="Y76" s="3">
        <f t="shared" si="9"/>
        <v>4.9714064779119198</v>
      </c>
      <c r="Z76" s="12">
        <f t="shared" si="10"/>
        <v>421224251</v>
      </c>
      <c r="AA76" s="4">
        <f t="shared" si="16"/>
        <v>5.1261630795829882</v>
      </c>
      <c r="AB76" s="13">
        <f t="shared" si="17"/>
        <v>-16.64411252933915</v>
      </c>
    </row>
    <row r="77" spans="1:28" x14ac:dyDescent="0.25">
      <c r="A77" s="1">
        <v>39965</v>
      </c>
      <c r="B77">
        <v>4.8347939515197504</v>
      </c>
      <c r="C77">
        <v>1541956995.8299999</v>
      </c>
      <c r="E77" s="1">
        <v>39965</v>
      </c>
      <c r="F77">
        <v>5.0284763269981898</v>
      </c>
      <c r="G77">
        <v>547323219.95000005</v>
      </c>
      <c r="I77" s="1">
        <v>40940</v>
      </c>
      <c r="J77">
        <v>4.18935340619492</v>
      </c>
      <c r="K77">
        <v>2015281054</v>
      </c>
      <c r="M77" s="1">
        <v>40940</v>
      </c>
      <c r="N77">
        <v>4.3484241351144499</v>
      </c>
      <c r="O77">
        <v>392546595</v>
      </c>
      <c r="Q77" s="1">
        <v>39965</v>
      </c>
      <c r="R77" s="3">
        <f t="shared" si="11"/>
        <v>4.8347939515197504</v>
      </c>
      <c r="S77" s="12">
        <f t="shared" si="12"/>
        <v>1541956995.8299999</v>
      </c>
      <c r="T77" s="3">
        <f t="shared" si="7"/>
        <v>4.8882577991922798</v>
      </c>
      <c r="U77" s="12">
        <f t="shared" si="8"/>
        <v>2434241048</v>
      </c>
      <c r="V77" s="4">
        <f t="shared" si="13"/>
        <v>4.8675246885589774</v>
      </c>
      <c r="W77" s="3">
        <f t="shared" si="14"/>
        <v>5.0284763269981898</v>
      </c>
      <c r="X77" s="12">
        <f t="shared" si="15"/>
        <v>547323219.95000005</v>
      </c>
      <c r="Y77" s="3">
        <f t="shared" si="9"/>
        <v>4.9526677029724802</v>
      </c>
      <c r="Z77" s="12">
        <f t="shared" si="10"/>
        <v>518161716</v>
      </c>
      <c r="AA77" s="4">
        <f t="shared" si="16"/>
        <v>4.991609426878445</v>
      </c>
      <c r="AB77" s="13">
        <f t="shared" si="17"/>
        <v>-12.408473831946765</v>
      </c>
    </row>
    <row r="78" spans="1:28" x14ac:dyDescent="0.25">
      <c r="A78" s="1">
        <v>39995</v>
      </c>
      <c r="B78">
        <v>4.7986779793147898</v>
      </c>
      <c r="C78">
        <v>1355967766.47</v>
      </c>
      <c r="E78" s="1">
        <v>39995</v>
      </c>
      <c r="F78">
        <v>4.93400483073657</v>
      </c>
      <c r="G78">
        <v>449687250.89999998</v>
      </c>
      <c r="I78" s="1">
        <v>40969</v>
      </c>
      <c r="J78">
        <v>4.1019142817241301</v>
      </c>
      <c r="K78">
        <v>1826182508</v>
      </c>
      <c r="M78" s="1">
        <v>40969</v>
      </c>
      <c r="N78">
        <v>4.3062870065526102</v>
      </c>
      <c r="O78">
        <v>389111900</v>
      </c>
      <c r="Q78" s="1">
        <v>39995</v>
      </c>
      <c r="R78" s="3">
        <f t="shared" si="11"/>
        <v>4.7986779793147898</v>
      </c>
      <c r="S78" s="12">
        <f t="shared" si="12"/>
        <v>1355967766.47</v>
      </c>
      <c r="T78" s="3">
        <f t="shared" si="7"/>
        <v>4.9290046094467801</v>
      </c>
      <c r="U78" s="12">
        <f t="shared" si="8"/>
        <v>1909218702</v>
      </c>
      <c r="V78" s="4">
        <f t="shared" si="13"/>
        <v>4.8748825213889901</v>
      </c>
      <c r="W78" s="3">
        <f t="shared" si="14"/>
        <v>4.93400483073657</v>
      </c>
      <c r="X78" s="12">
        <f t="shared" si="15"/>
        <v>449687250.89999998</v>
      </c>
      <c r="Y78" s="3">
        <f t="shared" si="9"/>
        <v>5.0074627969079799</v>
      </c>
      <c r="Z78" s="12">
        <f t="shared" si="10"/>
        <v>424787797</v>
      </c>
      <c r="AA78" s="4">
        <f t="shared" si="16"/>
        <v>4.9696880074000882</v>
      </c>
      <c r="AB78" s="13">
        <f t="shared" si="17"/>
        <v>-9.4805486011098061</v>
      </c>
    </row>
    <row r="79" spans="1:28" x14ac:dyDescent="0.25">
      <c r="A79" s="1">
        <v>40026</v>
      </c>
      <c r="B79">
        <v>4.9677360276817701</v>
      </c>
      <c r="C79">
        <v>1082407653.4100001</v>
      </c>
      <c r="E79" s="1">
        <v>40026</v>
      </c>
      <c r="F79">
        <v>5.1388863713535997</v>
      </c>
      <c r="G79">
        <v>440160206.49000001</v>
      </c>
      <c r="I79" s="1">
        <v>41000</v>
      </c>
      <c r="J79">
        <v>4.0549133563400597</v>
      </c>
      <c r="K79">
        <v>786657651</v>
      </c>
      <c r="M79" s="1">
        <v>41000</v>
      </c>
      <c r="N79">
        <v>4.19295600540873</v>
      </c>
      <c r="O79">
        <v>193455167</v>
      </c>
      <c r="Q79" s="1">
        <v>40026</v>
      </c>
      <c r="R79" s="3">
        <f t="shared" si="11"/>
        <v>4.9677360276817701</v>
      </c>
      <c r="S79" s="12">
        <f t="shared" si="12"/>
        <v>1082407653.4100001</v>
      </c>
      <c r="T79" s="3">
        <f t="shared" si="7"/>
        <v>5.0630542849424103</v>
      </c>
      <c r="U79" s="12">
        <f t="shared" si="8"/>
        <v>2069971635</v>
      </c>
      <c r="V79" s="4">
        <f t="shared" si="13"/>
        <v>5.0303256055135286</v>
      </c>
      <c r="W79" s="3">
        <f t="shared" si="14"/>
        <v>5.1388863713535997</v>
      </c>
      <c r="X79" s="12">
        <f t="shared" si="15"/>
        <v>440160206.49000001</v>
      </c>
      <c r="Y79" s="3">
        <f t="shared" si="9"/>
        <v>5.1061974108083303</v>
      </c>
      <c r="Z79" s="12">
        <f t="shared" si="10"/>
        <v>474549032</v>
      </c>
      <c r="AA79" s="4">
        <f t="shared" si="16"/>
        <v>5.121927414418332</v>
      </c>
      <c r="AB79" s="13">
        <f t="shared" si="17"/>
        <v>-9.1601808904803406</v>
      </c>
    </row>
    <row r="80" spans="1:28" x14ac:dyDescent="0.25">
      <c r="A80" s="1">
        <v>40057</v>
      </c>
      <c r="B80">
        <v>5.04624947656073</v>
      </c>
      <c r="C80">
        <v>1216700964.77</v>
      </c>
      <c r="E80" s="1">
        <v>40057</v>
      </c>
      <c r="F80">
        <v>5.2462768082529001</v>
      </c>
      <c r="G80">
        <v>464975946.81999999</v>
      </c>
      <c r="I80" s="1">
        <v>41030</v>
      </c>
      <c r="J80">
        <v>4.0954005937896296</v>
      </c>
      <c r="K80">
        <v>958626706</v>
      </c>
      <c r="M80" s="1">
        <v>41030</v>
      </c>
      <c r="N80">
        <v>4.2938826031011299</v>
      </c>
      <c r="O80">
        <v>251398438</v>
      </c>
      <c r="Q80" s="1">
        <v>40057</v>
      </c>
      <c r="R80" s="3">
        <f t="shared" si="11"/>
        <v>5.04624947656073</v>
      </c>
      <c r="S80" s="12">
        <f t="shared" si="12"/>
        <v>1216700964.77</v>
      </c>
      <c r="T80" s="3">
        <f t="shared" si="7"/>
        <v>5.2130693138995303</v>
      </c>
      <c r="U80" s="12">
        <f t="shared" si="8"/>
        <v>1407343991</v>
      </c>
      <c r="V80" s="4">
        <f t="shared" si="13"/>
        <v>5.1357193216341219</v>
      </c>
      <c r="W80" s="3">
        <f t="shared" si="14"/>
        <v>5.2462768082529001</v>
      </c>
      <c r="X80" s="12">
        <f t="shared" si="15"/>
        <v>464975946.81999999</v>
      </c>
      <c r="Y80" s="3">
        <f t="shared" si="9"/>
        <v>5.2438133043284498</v>
      </c>
      <c r="Z80" s="12">
        <f t="shared" si="10"/>
        <v>384954522</v>
      </c>
      <c r="AA80" s="4">
        <f t="shared" si="16"/>
        <v>5.2451610264207718</v>
      </c>
      <c r="AB80" s="13">
        <f t="shared" si="17"/>
        <v>-10.944170478664983</v>
      </c>
    </row>
    <row r="81" spans="1:28" x14ac:dyDescent="0.25">
      <c r="A81" s="1">
        <v>40087</v>
      </c>
      <c r="B81">
        <v>5.0746996760485601</v>
      </c>
      <c r="C81">
        <v>1186937768.51</v>
      </c>
      <c r="E81" s="1">
        <v>40087</v>
      </c>
      <c r="F81">
        <v>5.1495513747816997</v>
      </c>
      <c r="G81">
        <v>409498658.92000002</v>
      </c>
      <c r="I81" s="1">
        <v>41061</v>
      </c>
      <c r="J81">
        <v>4.0788034116725296</v>
      </c>
      <c r="K81">
        <v>1691493113</v>
      </c>
      <c r="M81" s="1">
        <v>41061</v>
      </c>
      <c r="N81">
        <v>4.2625082988579202</v>
      </c>
      <c r="O81">
        <v>435279774</v>
      </c>
      <c r="Q81" s="1">
        <v>40087</v>
      </c>
      <c r="R81" s="3">
        <f t="shared" si="11"/>
        <v>5.0746996760485601</v>
      </c>
      <c r="S81" s="12">
        <f t="shared" si="12"/>
        <v>1186937768.51</v>
      </c>
      <c r="T81" s="3">
        <f t="shared" si="7"/>
        <v>5.2617631117075296</v>
      </c>
      <c r="U81" s="12">
        <f t="shared" si="8"/>
        <v>1274645614</v>
      </c>
      <c r="V81" s="4">
        <f t="shared" si="13"/>
        <v>5.1715639909024196</v>
      </c>
      <c r="W81" s="3">
        <f t="shared" si="14"/>
        <v>5.1495513747816997</v>
      </c>
      <c r="X81" s="12">
        <f t="shared" si="15"/>
        <v>409498658.92000002</v>
      </c>
      <c r="Y81" s="3">
        <f t="shared" si="9"/>
        <v>5.3380417471705401</v>
      </c>
      <c r="Z81" s="12">
        <f t="shared" si="10"/>
        <v>350378572</v>
      </c>
      <c r="AA81" s="4">
        <f t="shared" si="16"/>
        <v>5.2364640822902402</v>
      </c>
      <c r="AB81" s="13">
        <f t="shared" si="17"/>
        <v>-6.4900091387820602</v>
      </c>
    </row>
    <row r="82" spans="1:28" x14ac:dyDescent="0.25">
      <c r="A82" s="1">
        <v>40118</v>
      </c>
      <c r="B82">
        <v>5.2151936637199396</v>
      </c>
      <c r="C82">
        <v>798482226.01999998</v>
      </c>
      <c r="E82" s="1">
        <v>40118</v>
      </c>
      <c r="F82">
        <v>5.3509740610369398</v>
      </c>
      <c r="G82">
        <v>332030102.05000001</v>
      </c>
      <c r="I82" s="1">
        <v>41091</v>
      </c>
      <c r="J82">
        <v>3.9622085647229799</v>
      </c>
      <c r="K82">
        <v>1062115543</v>
      </c>
      <c r="M82" s="1">
        <v>41091</v>
      </c>
      <c r="N82">
        <v>4.1288306135328599</v>
      </c>
      <c r="O82">
        <v>240540072</v>
      </c>
      <c r="Q82" s="1">
        <v>40118</v>
      </c>
      <c r="R82" s="3">
        <f t="shared" si="11"/>
        <v>5.2151936637199396</v>
      </c>
      <c r="S82" s="12">
        <f t="shared" si="12"/>
        <v>798482226.01999998</v>
      </c>
      <c r="T82" s="3">
        <f t="shared" si="7"/>
        <v>5.1382236832645702</v>
      </c>
      <c r="U82" s="12">
        <f t="shared" si="8"/>
        <v>1195885935</v>
      </c>
      <c r="V82" s="4">
        <f t="shared" si="13"/>
        <v>5.169040040310346</v>
      </c>
      <c r="W82" s="3">
        <f t="shared" si="14"/>
        <v>5.3509740610369398</v>
      </c>
      <c r="X82" s="12">
        <f t="shared" si="15"/>
        <v>332030102.05000001</v>
      </c>
      <c r="Y82" s="3">
        <f t="shared" si="9"/>
        <v>5.24526389989372</v>
      </c>
      <c r="Z82" s="12">
        <f t="shared" si="10"/>
        <v>319148897</v>
      </c>
      <c r="AA82" s="4">
        <f t="shared" si="16"/>
        <v>5.2991645257482256</v>
      </c>
      <c r="AB82" s="13">
        <f t="shared" si="17"/>
        <v>-13.012448543787958</v>
      </c>
    </row>
    <row r="83" spans="1:28" x14ac:dyDescent="0.25">
      <c r="A83" s="1">
        <v>40148</v>
      </c>
      <c r="B83">
        <v>5.0900421362228201</v>
      </c>
      <c r="C83">
        <v>961437746.04999995</v>
      </c>
      <c r="E83" s="1">
        <v>40148</v>
      </c>
      <c r="F83">
        <v>5.2579453031755001</v>
      </c>
      <c r="G83">
        <v>407536929.74000001</v>
      </c>
      <c r="I83" s="1">
        <v>41122</v>
      </c>
      <c r="J83">
        <v>3.8924030548966702</v>
      </c>
      <c r="K83">
        <v>1547715391</v>
      </c>
      <c r="M83" s="1">
        <v>41122</v>
      </c>
      <c r="N83">
        <v>4.0995804032105401</v>
      </c>
      <c r="O83">
        <v>365313360</v>
      </c>
      <c r="Q83" s="1">
        <v>40148</v>
      </c>
      <c r="R83" s="3">
        <f t="shared" si="11"/>
        <v>5.0900421362228201</v>
      </c>
      <c r="S83" s="12">
        <f t="shared" si="12"/>
        <v>961437746.04999995</v>
      </c>
      <c r="T83" s="3">
        <f t="shared" si="7"/>
        <v>5.1007786222255502</v>
      </c>
      <c r="U83" s="12">
        <f t="shared" si="8"/>
        <v>1804620911</v>
      </c>
      <c r="V83" s="4">
        <f t="shared" si="13"/>
        <v>5.0970467914212199</v>
      </c>
      <c r="W83" s="3">
        <f t="shared" si="14"/>
        <v>5.2579453031755001</v>
      </c>
      <c r="X83" s="12">
        <f t="shared" si="15"/>
        <v>407536929.74000001</v>
      </c>
      <c r="Y83" s="3">
        <f t="shared" si="9"/>
        <v>5.1695672021843704</v>
      </c>
      <c r="Z83" s="12">
        <f t="shared" si="10"/>
        <v>413476463</v>
      </c>
      <c r="AA83" s="4">
        <f t="shared" si="16"/>
        <v>5.2134365717374962</v>
      </c>
      <c r="AB83" s="13">
        <f t="shared" si="17"/>
        <v>-11.638978031627634</v>
      </c>
    </row>
    <row r="84" spans="1:28" x14ac:dyDescent="0.25">
      <c r="A84" s="1">
        <v>40179</v>
      </c>
      <c r="B84">
        <v>5.0681423813824802</v>
      </c>
      <c r="C84">
        <v>890073347.80999994</v>
      </c>
      <c r="E84" s="1">
        <v>40179</v>
      </c>
      <c r="F84">
        <v>5.1892938372345201</v>
      </c>
      <c r="G84">
        <v>320035150.18000001</v>
      </c>
      <c r="I84" s="1">
        <v>41153</v>
      </c>
      <c r="J84">
        <v>3.80766266443747</v>
      </c>
      <c r="K84">
        <v>1960551473</v>
      </c>
      <c r="M84" s="1">
        <v>41153</v>
      </c>
      <c r="N84">
        <v>3.9558656538333801</v>
      </c>
      <c r="O84">
        <v>404895989</v>
      </c>
      <c r="Q84" s="1">
        <v>40179</v>
      </c>
      <c r="R84" s="3">
        <f t="shared" si="11"/>
        <v>5.0681423813824802</v>
      </c>
      <c r="S84" s="12">
        <f t="shared" si="12"/>
        <v>890073347.80999994</v>
      </c>
      <c r="T84" s="3">
        <f t="shared" si="7"/>
        <v>5.04332460312183</v>
      </c>
      <c r="U84" s="12">
        <f t="shared" si="8"/>
        <v>1256715067</v>
      </c>
      <c r="V84" s="4">
        <f t="shared" si="13"/>
        <v>5.053614225904064</v>
      </c>
      <c r="W84" s="3">
        <f t="shared" si="14"/>
        <v>5.1892938372345201</v>
      </c>
      <c r="X84" s="12">
        <f t="shared" si="15"/>
        <v>320035150.18000001</v>
      </c>
      <c r="Y84" s="3">
        <f t="shared" si="9"/>
        <v>5.1282884735316303</v>
      </c>
      <c r="Z84" s="12">
        <f t="shared" si="10"/>
        <v>329942423</v>
      </c>
      <c r="AA84" s="4">
        <f t="shared" si="16"/>
        <v>5.15832621874016</v>
      </c>
      <c r="AB84" s="13">
        <f t="shared" si="17"/>
        <v>-10.4711992836096</v>
      </c>
    </row>
    <row r="85" spans="1:28" x14ac:dyDescent="0.25">
      <c r="A85" s="1">
        <v>40210</v>
      </c>
      <c r="B85">
        <v>5.0632867360185898</v>
      </c>
      <c r="C85">
        <v>918185970.79999995</v>
      </c>
      <c r="E85" s="1">
        <v>40210</v>
      </c>
      <c r="F85">
        <v>5.19301303181566</v>
      </c>
      <c r="G85">
        <v>354569614.73000002</v>
      </c>
      <c r="I85" s="1">
        <v>41183</v>
      </c>
      <c r="J85">
        <v>3.77805547204823</v>
      </c>
      <c r="K85">
        <v>2785800235</v>
      </c>
      <c r="M85" s="1">
        <v>41183</v>
      </c>
      <c r="N85">
        <v>3.8956928109778</v>
      </c>
      <c r="O85">
        <v>542186071</v>
      </c>
      <c r="Q85" s="1">
        <v>40210</v>
      </c>
      <c r="R85" s="3">
        <f t="shared" si="11"/>
        <v>5.0632867360185898</v>
      </c>
      <c r="S85" s="12">
        <f t="shared" si="12"/>
        <v>918185970.79999995</v>
      </c>
      <c r="T85" s="3">
        <f t="shared" si="7"/>
        <v>5.0831925473229704</v>
      </c>
      <c r="U85" s="12">
        <f t="shared" si="8"/>
        <v>1353420411</v>
      </c>
      <c r="V85" s="4">
        <f t="shared" si="13"/>
        <v>5.0751465949856671</v>
      </c>
      <c r="W85" s="3">
        <f t="shared" si="14"/>
        <v>5.19301303181566</v>
      </c>
      <c r="X85" s="12">
        <f t="shared" si="15"/>
        <v>354569614.73000002</v>
      </c>
      <c r="Y85" s="3">
        <f t="shared" si="9"/>
        <v>5.1627233291869903</v>
      </c>
      <c r="Z85" s="12">
        <f t="shared" si="10"/>
        <v>346225010</v>
      </c>
      <c r="AA85" s="4">
        <f t="shared" si="16"/>
        <v>5.1780485155002722</v>
      </c>
      <c r="AB85" s="13">
        <f t="shared" si="17"/>
        <v>-10.290192051460512</v>
      </c>
    </row>
    <row r="86" spans="1:28" x14ac:dyDescent="0.25">
      <c r="A86" s="1">
        <v>40238</v>
      </c>
      <c r="B86">
        <v>5.1080282424214003</v>
      </c>
      <c r="C86">
        <v>771213941.63999999</v>
      </c>
      <c r="E86" s="1">
        <v>40238</v>
      </c>
      <c r="F86">
        <v>5.2754831357102896</v>
      </c>
      <c r="G86">
        <v>302410424</v>
      </c>
      <c r="I86" s="1">
        <v>41214</v>
      </c>
      <c r="J86">
        <v>3.6842258857779799</v>
      </c>
      <c r="K86">
        <v>3157395279</v>
      </c>
      <c r="M86" s="1">
        <v>41214</v>
      </c>
      <c r="N86">
        <v>3.8386087765179902</v>
      </c>
      <c r="O86">
        <v>630550157</v>
      </c>
      <c r="Q86" s="1">
        <v>40238</v>
      </c>
      <c r="R86" s="3">
        <f t="shared" si="11"/>
        <v>5.1080282424214003</v>
      </c>
      <c r="S86" s="12">
        <f t="shared" si="12"/>
        <v>771213941.63999999</v>
      </c>
      <c r="T86" s="3">
        <f t="shared" si="7"/>
        <v>5.1116099108354502</v>
      </c>
      <c r="U86" s="12">
        <f t="shared" si="8"/>
        <v>1399899299</v>
      </c>
      <c r="V86" s="4">
        <f t="shared" si="13"/>
        <v>5.1103376452697757</v>
      </c>
      <c r="W86" s="3">
        <f t="shared" si="14"/>
        <v>5.2754831357102896</v>
      </c>
      <c r="X86" s="12">
        <f t="shared" si="15"/>
        <v>302410424</v>
      </c>
      <c r="Y86" s="3">
        <f t="shared" si="9"/>
        <v>5.1983329970659797</v>
      </c>
      <c r="Z86" s="12">
        <f t="shared" si="10"/>
        <v>406671460</v>
      </c>
      <c r="AA86" s="4">
        <f t="shared" si="16"/>
        <v>5.2312361168121395</v>
      </c>
      <c r="AB86" s="13">
        <f t="shared" si="17"/>
        <v>-12.089847154236377</v>
      </c>
    </row>
    <row r="87" spans="1:28" x14ac:dyDescent="0.25">
      <c r="A87" s="1">
        <v>40269</v>
      </c>
      <c r="B87">
        <v>5.0789446498627804</v>
      </c>
      <c r="C87">
        <v>654782472.72000003</v>
      </c>
      <c r="E87" s="1">
        <v>40269</v>
      </c>
      <c r="F87">
        <v>5.1524499257766898</v>
      </c>
      <c r="G87">
        <v>249256356.87</v>
      </c>
      <c r="I87" s="1">
        <v>41244</v>
      </c>
      <c r="J87">
        <v>3.6520187944123599</v>
      </c>
      <c r="K87">
        <v>1109764306</v>
      </c>
      <c r="M87" s="1">
        <v>41244</v>
      </c>
      <c r="N87">
        <v>3.77964307980201</v>
      </c>
      <c r="O87">
        <v>271038864</v>
      </c>
      <c r="Q87" s="1">
        <v>40269</v>
      </c>
      <c r="R87" s="3">
        <f t="shared" si="11"/>
        <v>5.0789446498627804</v>
      </c>
      <c r="S87" s="12">
        <f t="shared" si="12"/>
        <v>654782472.72000003</v>
      </c>
      <c r="T87" s="3">
        <f t="shared" si="7"/>
        <v>5.13314470530017</v>
      </c>
      <c r="U87" s="12">
        <f t="shared" si="8"/>
        <v>895483910</v>
      </c>
      <c r="V87" s="4">
        <f t="shared" si="13"/>
        <v>5.1102523516269978</v>
      </c>
      <c r="W87" s="3">
        <f t="shared" si="14"/>
        <v>5.1524499257766898</v>
      </c>
      <c r="X87" s="12">
        <f t="shared" si="15"/>
        <v>249256356.87</v>
      </c>
      <c r="Y87" s="3">
        <f t="shared" si="9"/>
        <v>5.2383357766286203</v>
      </c>
      <c r="Z87" s="12">
        <f t="shared" si="10"/>
        <v>258152723</v>
      </c>
      <c r="AA87" s="4">
        <f t="shared" si="16"/>
        <v>5.1961457663601456</v>
      </c>
      <c r="AB87" s="13">
        <f t="shared" si="17"/>
        <v>-8.5893414733147821</v>
      </c>
    </row>
    <row r="88" spans="1:28" x14ac:dyDescent="0.25">
      <c r="A88" s="1">
        <v>40299</v>
      </c>
      <c r="B88">
        <v>5.0958219278708698</v>
      </c>
      <c r="C88">
        <v>601303975.46000004</v>
      </c>
      <c r="E88" s="1">
        <v>40299</v>
      </c>
      <c r="F88">
        <v>5.1956765462759398</v>
      </c>
      <c r="G88">
        <v>234684922</v>
      </c>
      <c r="I88" s="1">
        <v>41275</v>
      </c>
      <c r="J88">
        <v>3.6333638013032901</v>
      </c>
      <c r="K88">
        <v>2003795573</v>
      </c>
      <c r="M88" s="1">
        <v>41275</v>
      </c>
      <c r="N88">
        <v>3.74872574992665</v>
      </c>
      <c r="O88">
        <v>438781611</v>
      </c>
      <c r="Q88" s="1">
        <v>40299</v>
      </c>
      <c r="R88" s="3">
        <f t="shared" si="11"/>
        <v>5.0958219278708698</v>
      </c>
      <c r="S88" s="12">
        <f t="shared" si="12"/>
        <v>601303975.46000004</v>
      </c>
      <c r="T88" s="3">
        <f t="shared" si="7"/>
        <v>5.1217568917369602</v>
      </c>
      <c r="U88" s="12">
        <f t="shared" si="8"/>
        <v>870833148</v>
      </c>
      <c r="V88" s="4">
        <f t="shared" si="13"/>
        <v>5.1111635871951666</v>
      </c>
      <c r="W88" s="3">
        <f t="shared" si="14"/>
        <v>5.1956765462759398</v>
      </c>
      <c r="X88" s="12">
        <f t="shared" si="15"/>
        <v>234684922</v>
      </c>
      <c r="Y88" s="3">
        <f t="shared" si="9"/>
        <v>5.1903040639201699</v>
      </c>
      <c r="Z88" s="12">
        <f t="shared" si="10"/>
        <v>232853934</v>
      </c>
      <c r="AA88" s="4">
        <f t="shared" si="16"/>
        <v>5.1930008250266102</v>
      </c>
      <c r="AB88" s="13">
        <f t="shared" si="17"/>
        <v>-8.1837237831443588</v>
      </c>
    </row>
    <row r="89" spans="1:28" x14ac:dyDescent="0.25">
      <c r="A89" s="1">
        <v>40330</v>
      </c>
      <c r="B89">
        <v>5.11647744276965</v>
      </c>
      <c r="C89">
        <v>621049868.38999999</v>
      </c>
      <c r="E89" s="1">
        <v>40330</v>
      </c>
      <c r="F89">
        <v>5.2482356252840496</v>
      </c>
      <c r="G89">
        <v>244536043.62</v>
      </c>
      <c r="I89" s="1">
        <v>41306</v>
      </c>
      <c r="J89">
        <v>3.6299531832230598</v>
      </c>
      <c r="K89">
        <v>1758004574</v>
      </c>
      <c r="M89" s="1">
        <v>41306</v>
      </c>
      <c r="N89">
        <v>3.77265686140611</v>
      </c>
      <c r="O89">
        <v>440990389</v>
      </c>
      <c r="Q89" s="1">
        <v>40330</v>
      </c>
      <c r="R89" s="3">
        <f t="shared" si="11"/>
        <v>5.11647744276965</v>
      </c>
      <c r="S89" s="12">
        <f t="shared" si="12"/>
        <v>621049868.38999999</v>
      </c>
      <c r="T89" s="3">
        <f t="shared" si="7"/>
        <v>5.1774154051112804</v>
      </c>
      <c r="U89" s="12">
        <f t="shared" si="8"/>
        <v>1070665307</v>
      </c>
      <c r="V89" s="4">
        <f t="shared" si="13"/>
        <v>5.155044314491076</v>
      </c>
      <c r="W89" s="3">
        <f t="shared" si="14"/>
        <v>5.2482356252840496</v>
      </c>
      <c r="X89" s="12">
        <f t="shared" si="15"/>
        <v>244536043.62</v>
      </c>
      <c r="Y89" s="3">
        <f t="shared" si="9"/>
        <v>5.2649822783195104</v>
      </c>
      <c r="Z89" s="12">
        <f t="shared" si="10"/>
        <v>342423508</v>
      </c>
      <c r="AA89" s="4">
        <f t="shared" si="16"/>
        <v>5.2580053746029494</v>
      </c>
      <c r="AB89" s="13">
        <f t="shared" si="17"/>
        <v>-10.296106011187334</v>
      </c>
    </row>
    <row r="90" spans="1:28" x14ac:dyDescent="0.25">
      <c r="A90" s="1">
        <v>40360</v>
      </c>
      <c r="B90">
        <v>5.0026574011794898</v>
      </c>
      <c r="C90">
        <v>944782337.25999999</v>
      </c>
      <c r="E90" s="1">
        <v>40360</v>
      </c>
      <c r="F90">
        <v>5.0729929665586502</v>
      </c>
      <c r="G90">
        <v>309314330.39999998</v>
      </c>
      <c r="I90" s="1">
        <v>41334</v>
      </c>
      <c r="J90">
        <v>3.6476116664209801</v>
      </c>
      <c r="K90">
        <v>2442071449</v>
      </c>
      <c r="M90" s="1">
        <v>41334</v>
      </c>
      <c r="N90">
        <v>3.7522502650768299</v>
      </c>
      <c r="O90">
        <v>623634284</v>
      </c>
      <c r="Q90" s="1">
        <v>40360</v>
      </c>
      <c r="R90" s="3">
        <f t="shared" si="11"/>
        <v>5.0026574011794898</v>
      </c>
      <c r="S90" s="12">
        <f t="shared" si="12"/>
        <v>944782337.25999999</v>
      </c>
      <c r="T90" s="3">
        <f t="shared" si="7"/>
        <v>5.0540001228724902</v>
      </c>
      <c r="U90" s="12">
        <f t="shared" si="8"/>
        <v>1043496317</v>
      </c>
      <c r="V90" s="4">
        <f t="shared" si="13"/>
        <v>5.029603292730763</v>
      </c>
      <c r="W90" s="3">
        <f t="shared" si="14"/>
        <v>5.0729929665586502</v>
      </c>
      <c r="X90" s="12">
        <f t="shared" si="15"/>
        <v>309314330.39999998</v>
      </c>
      <c r="Y90" s="3">
        <f t="shared" si="9"/>
        <v>5.1393247315326196</v>
      </c>
      <c r="Z90" s="12">
        <f t="shared" si="10"/>
        <v>287228657</v>
      </c>
      <c r="AA90" s="4">
        <f t="shared" si="16"/>
        <v>5.1049309562296914</v>
      </c>
      <c r="AB90" s="13">
        <f t="shared" si="17"/>
        <v>-7.5327663498928388</v>
      </c>
    </row>
    <row r="91" spans="1:28" x14ac:dyDescent="0.25">
      <c r="A91" s="1">
        <v>40391</v>
      </c>
      <c r="B91">
        <v>4.8705253836584301</v>
      </c>
      <c r="C91">
        <v>1171078779.1500001</v>
      </c>
      <c r="E91" s="1">
        <v>40391</v>
      </c>
      <c r="F91">
        <v>4.9348818375017398</v>
      </c>
      <c r="G91">
        <v>351523769.93000001</v>
      </c>
      <c r="I91" s="1">
        <v>41365</v>
      </c>
      <c r="J91">
        <v>3.73357757354322</v>
      </c>
      <c r="K91">
        <v>1406909862</v>
      </c>
      <c r="M91" s="1">
        <v>41365</v>
      </c>
      <c r="N91">
        <v>3.8492167967153001</v>
      </c>
      <c r="O91">
        <v>435434397</v>
      </c>
      <c r="Q91" s="1">
        <v>40391</v>
      </c>
      <c r="R91" s="3">
        <f t="shared" si="11"/>
        <v>4.8705253836584301</v>
      </c>
      <c r="S91" s="12">
        <f t="shared" si="12"/>
        <v>1171078779.1500001</v>
      </c>
      <c r="T91" s="3">
        <f t="shared" si="7"/>
        <v>4.9348957791122201</v>
      </c>
      <c r="U91" s="12">
        <f t="shared" si="8"/>
        <v>812252916</v>
      </c>
      <c r="V91" s="4">
        <f t="shared" si="13"/>
        <v>4.8968876111866191</v>
      </c>
      <c r="W91" s="3">
        <f t="shared" si="14"/>
        <v>4.9348818375017398</v>
      </c>
      <c r="X91" s="12">
        <f t="shared" si="15"/>
        <v>351523769.93000001</v>
      </c>
      <c r="Y91" s="3">
        <f t="shared" si="9"/>
        <v>5.0694472559555903</v>
      </c>
      <c r="Z91" s="12">
        <f t="shared" si="10"/>
        <v>218589447</v>
      </c>
      <c r="AA91" s="4">
        <f t="shared" si="16"/>
        <v>4.9864761165530913</v>
      </c>
      <c r="AB91" s="13">
        <f t="shared" si="17"/>
        <v>-8.9588505366472226</v>
      </c>
    </row>
    <row r="92" spans="1:28" x14ac:dyDescent="0.25">
      <c r="A92" s="1">
        <v>40422</v>
      </c>
      <c r="B92">
        <v>4.7275417922148497</v>
      </c>
      <c r="C92">
        <v>1938889306.96</v>
      </c>
      <c r="E92" s="1">
        <v>40422</v>
      </c>
      <c r="F92">
        <v>4.81392687251354</v>
      </c>
      <c r="G92">
        <v>520048275.48000002</v>
      </c>
      <c r="I92" s="1">
        <v>41395</v>
      </c>
      <c r="J92">
        <v>3.7613040262216999</v>
      </c>
      <c r="K92">
        <v>1398983889</v>
      </c>
      <c r="M92" s="1">
        <v>41395</v>
      </c>
      <c r="N92">
        <v>3.8755758057240701</v>
      </c>
      <c r="O92">
        <v>467749117</v>
      </c>
      <c r="Q92" s="1">
        <v>40422</v>
      </c>
      <c r="R92" s="3">
        <f t="shared" si="11"/>
        <v>4.7275417922148497</v>
      </c>
      <c r="S92" s="12">
        <f t="shared" si="12"/>
        <v>1938889306.96</v>
      </c>
      <c r="T92" s="3">
        <f t="shared" si="7"/>
        <v>4.8054423198684102</v>
      </c>
      <c r="U92" s="12">
        <f t="shared" si="8"/>
        <v>1155903457</v>
      </c>
      <c r="V92" s="4">
        <f t="shared" si="13"/>
        <v>4.7566375980036852</v>
      </c>
      <c r="W92" s="3">
        <f t="shared" si="14"/>
        <v>4.81392687251354</v>
      </c>
      <c r="X92" s="12">
        <f t="shared" si="15"/>
        <v>520048275.48000002</v>
      </c>
      <c r="Y92" s="3">
        <f t="shared" si="9"/>
        <v>4.9435883776043896</v>
      </c>
      <c r="Z92" s="12">
        <f t="shared" si="10"/>
        <v>301400255</v>
      </c>
      <c r="AA92" s="4">
        <f t="shared" si="16"/>
        <v>4.8615013817469181</v>
      </c>
      <c r="AB92" s="13">
        <f t="shared" si="17"/>
        <v>-10.486378374323291</v>
      </c>
    </row>
    <row r="93" spans="1:28" x14ac:dyDescent="0.25">
      <c r="A93" s="1">
        <v>40452</v>
      </c>
      <c r="B93">
        <v>4.6129410490974001</v>
      </c>
      <c r="C93">
        <v>2117411063.3</v>
      </c>
      <c r="E93" s="1">
        <v>40452</v>
      </c>
      <c r="F93">
        <v>4.7180727476810196</v>
      </c>
      <c r="G93">
        <v>553772928.48000002</v>
      </c>
      <c r="I93" s="1">
        <v>41426</v>
      </c>
      <c r="J93">
        <v>3.7173294637179701</v>
      </c>
      <c r="K93">
        <v>1626943702</v>
      </c>
      <c r="M93" s="1">
        <v>41426</v>
      </c>
      <c r="N93">
        <v>3.8567514481113601</v>
      </c>
      <c r="O93">
        <v>505292286</v>
      </c>
      <c r="Q93" s="1">
        <v>40452</v>
      </c>
      <c r="R93" s="3">
        <f t="shared" si="11"/>
        <v>4.6129410490974001</v>
      </c>
      <c r="S93" s="12">
        <f t="shared" si="12"/>
        <v>2117411063.3</v>
      </c>
      <c r="T93" s="3">
        <f t="shared" si="7"/>
        <v>4.7290619626136996</v>
      </c>
      <c r="U93" s="12">
        <f t="shared" si="8"/>
        <v>916159271</v>
      </c>
      <c r="V93" s="4">
        <f t="shared" si="13"/>
        <v>4.6480103699804758</v>
      </c>
      <c r="W93" s="3">
        <f t="shared" si="14"/>
        <v>4.7180727476810196</v>
      </c>
      <c r="X93" s="12">
        <f t="shared" si="15"/>
        <v>553772928.48000002</v>
      </c>
      <c r="Y93" s="3">
        <f t="shared" si="9"/>
        <v>4.8058011992192702</v>
      </c>
      <c r="Z93" s="12">
        <f t="shared" si="10"/>
        <v>253820804</v>
      </c>
      <c r="AA93" s="4">
        <f t="shared" si="16"/>
        <v>4.7456451584211745</v>
      </c>
      <c r="AB93" s="13">
        <f t="shared" si="17"/>
        <v>-9.7634788440698728</v>
      </c>
    </row>
    <row r="94" spans="1:28" x14ac:dyDescent="0.25">
      <c r="A94" s="1">
        <v>40483</v>
      </c>
      <c r="B94">
        <v>4.5436764130149996</v>
      </c>
      <c r="C94">
        <v>2378855750.2800002</v>
      </c>
      <c r="E94" s="1">
        <v>40483</v>
      </c>
      <c r="F94">
        <v>4.6260069324564697</v>
      </c>
      <c r="G94">
        <v>596461464.30999994</v>
      </c>
      <c r="I94" s="1">
        <v>41456</v>
      </c>
      <c r="J94">
        <v>3.7501655405750398</v>
      </c>
      <c r="K94">
        <v>1504802517</v>
      </c>
      <c r="M94" s="1">
        <v>41456</v>
      </c>
      <c r="N94">
        <v>3.9074154519006399</v>
      </c>
      <c r="O94">
        <v>500173071</v>
      </c>
      <c r="Q94" s="1">
        <v>40483</v>
      </c>
      <c r="R94" s="3">
        <f t="shared" si="11"/>
        <v>4.5436764130149996</v>
      </c>
      <c r="S94" s="12">
        <f t="shared" si="12"/>
        <v>2378855750.2800002</v>
      </c>
      <c r="T94" s="3">
        <f t="shared" si="7"/>
        <v>4.5382049958257404</v>
      </c>
      <c r="U94" s="12">
        <f t="shared" si="8"/>
        <v>1105890094</v>
      </c>
      <c r="V94" s="4">
        <f t="shared" si="13"/>
        <v>4.5419400493488586</v>
      </c>
      <c r="W94" s="3">
        <f t="shared" si="14"/>
        <v>4.6260069324564697</v>
      </c>
      <c r="X94" s="12">
        <f t="shared" si="15"/>
        <v>596461464.30999994</v>
      </c>
      <c r="Y94" s="3">
        <f t="shared" si="9"/>
        <v>4.6222352683995398</v>
      </c>
      <c r="Z94" s="12">
        <f t="shared" si="10"/>
        <v>231400265</v>
      </c>
      <c r="AA94" s="4">
        <f t="shared" si="16"/>
        <v>4.6249526935281988</v>
      </c>
      <c r="AB94" s="13">
        <f t="shared" si="17"/>
        <v>-8.3012644179340178</v>
      </c>
    </row>
    <row r="95" spans="1:28" x14ac:dyDescent="0.25">
      <c r="A95" s="1">
        <v>40513</v>
      </c>
      <c r="B95">
        <v>4.4613657135271003</v>
      </c>
      <c r="C95">
        <v>3187613346.4299998</v>
      </c>
      <c r="E95" s="1">
        <v>40513</v>
      </c>
      <c r="F95">
        <v>4.5391458951171701</v>
      </c>
      <c r="G95">
        <v>804200233.09000003</v>
      </c>
      <c r="I95" s="1">
        <v>41487</v>
      </c>
      <c r="J95">
        <v>3.9373877410215501</v>
      </c>
      <c r="K95">
        <v>1276360626</v>
      </c>
      <c r="M95" s="1">
        <v>41487</v>
      </c>
      <c r="N95">
        <v>4.0877022672058203</v>
      </c>
      <c r="O95">
        <v>499911736</v>
      </c>
      <c r="Q95" s="1">
        <v>40513</v>
      </c>
      <c r="R95" s="3">
        <f t="shared" si="11"/>
        <v>4.4613657135271003</v>
      </c>
      <c r="S95" s="12">
        <f t="shared" si="12"/>
        <v>3187613346.4299998</v>
      </c>
      <c r="T95" s="3">
        <f t="shared" si="7"/>
        <v>4.5344208095926302</v>
      </c>
      <c r="U95" s="12">
        <f t="shared" si="8"/>
        <v>1673045523</v>
      </c>
      <c r="V95" s="4">
        <f t="shared" si="13"/>
        <v>4.4865113788963518</v>
      </c>
      <c r="W95" s="3">
        <f t="shared" si="14"/>
        <v>4.5391458951171701</v>
      </c>
      <c r="X95" s="12">
        <f t="shared" si="15"/>
        <v>804200233.09000003</v>
      </c>
      <c r="Y95" s="3">
        <f t="shared" si="9"/>
        <v>4.7163114048936299</v>
      </c>
      <c r="Z95" s="12">
        <f t="shared" si="10"/>
        <v>495357649</v>
      </c>
      <c r="AA95" s="4">
        <f t="shared" si="16"/>
        <v>4.6066767774397137</v>
      </c>
      <c r="AB95" s="13">
        <f t="shared" si="17"/>
        <v>-12.016539854336195</v>
      </c>
    </row>
    <row r="96" spans="1:28" x14ac:dyDescent="0.25">
      <c r="A96" s="1">
        <v>40544</v>
      </c>
      <c r="B96">
        <v>4.44365202771165</v>
      </c>
      <c r="C96">
        <v>2841440355.6399999</v>
      </c>
      <c r="E96" s="1">
        <v>40544</v>
      </c>
      <c r="F96">
        <v>4.5358489899026404</v>
      </c>
      <c r="G96">
        <v>720016644.07000005</v>
      </c>
      <c r="I96" s="1">
        <v>41518</v>
      </c>
      <c r="J96">
        <v>4.3593780671516997</v>
      </c>
      <c r="K96">
        <v>808096685</v>
      </c>
      <c r="M96" s="1">
        <v>41518</v>
      </c>
      <c r="N96">
        <v>4.4930912738587097</v>
      </c>
      <c r="O96">
        <v>413868018</v>
      </c>
      <c r="Q96" s="1">
        <v>40544</v>
      </c>
      <c r="R96" s="3">
        <f t="shared" si="11"/>
        <v>4.44365202771165</v>
      </c>
      <c r="S96" s="12">
        <f t="shared" si="12"/>
        <v>2841440355.6399999</v>
      </c>
      <c r="T96" s="3">
        <f t="shared" si="7"/>
        <v>4.5037321027812496</v>
      </c>
      <c r="U96" s="12">
        <f t="shared" si="8"/>
        <v>1299781915</v>
      </c>
      <c r="V96" s="4">
        <f t="shared" si="13"/>
        <v>4.4625090196632646</v>
      </c>
      <c r="W96" s="3">
        <f t="shared" si="14"/>
        <v>4.5358489899026404</v>
      </c>
      <c r="X96" s="12">
        <f t="shared" si="15"/>
        <v>720016644.07000005</v>
      </c>
      <c r="Y96" s="3">
        <f t="shared" si="9"/>
        <v>4.6305084811829396</v>
      </c>
      <c r="Z96" s="12">
        <f t="shared" si="10"/>
        <v>308778860</v>
      </c>
      <c r="AA96" s="4">
        <f t="shared" si="16"/>
        <v>4.5642597378987952</v>
      </c>
      <c r="AB96" s="13">
        <f t="shared" si="17"/>
        <v>-10.175071823553061</v>
      </c>
    </row>
    <row r="97" spans="1:28" x14ac:dyDescent="0.25">
      <c r="A97" s="1">
        <v>40575</v>
      </c>
      <c r="B97">
        <v>4.5020306157323002</v>
      </c>
      <c r="C97">
        <v>1950084978.76</v>
      </c>
      <c r="E97" s="1">
        <v>40575</v>
      </c>
      <c r="F97">
        <v>4.5946932109774696</v>
      </c>
      <c r="G97">
        <v>523211144.02999997</v>
      </c>
      <c r="I97" s="1">
        <v>41548</v>
      </c>
      <c r="J97">
        <v>4.4147212914983802</v>
      </c>
      <c r="K97">
        <v>687429712</v>
      </c>
      <c r="M97" s="1">
        <v>41548</v>
      </c>
      <c r="N97">
        <v>4.63066568310854</v>
      </c>
      <c r="O97">
        <v>324130990</v>
      </c>
      <c r="Q97" s="1">
        <v>40575</v>
      </c>
      <c r="R97" s="3">
        <f t="shared" si="11"/>
        <v>4.5020306157323002</v>
      </c>
      <c r="S97" s="12">
        <f t="shared" si="12"/>
        <v>1950084978.76</v>
      </c>
      <c r="T97" s="3">
        <f t="shared" si="7"/>
        <v>4.6295559241816999</v>
      </c>
      <c r="U97" s="12">
        <f t="shared" si="8"/>
        <v>2024490713</v>
      </c>
      <c r="V97" s="4">
        <f t="shared" si="13"/>
        <v>4.5669869337522364</v>
      </c>
      <c r="W97" s="3">
        <f t="shared" si="14"/>
        <v>4.5946932109774696</v>
      </c>
      <c r="X97" s="12">
        <f t="shared" si="15"/>
        <v>523211144.02999997</v>
      </c>
      <c r="Y97" s="3">
        <f t="shared" si="9"/>
        <v>4.7541841083936198</v>
      </c>
      <c r="Z97" s="12">
        <f t="shared" si="10"/>
        <v>549755147</v>
      </c>
      <c r="AA97" s="4">
        <f t="shared" si="16"/>
        <v>4.6764114741579546</v>
      </c>
      <c r="AB97" s="13">
        <f t="shared" si="17"/>
        <v>-10.942454040571814</v>
      </c>
    </row>
    <row r="98" spans="1:28" x14ac:dyDescent="0.25">
      <c r="A98" s="1">
        <v>40603</v>
      </c>
      <c r="B98">
        <v>4.6709394992293296</v>
      </c>
      <c r="C98">
        <v>1447460006.02</v>
      </c>
      <c r="E98" s="1">
        <v>40603</v>
      </c>
      <c r="F98">
        <v>4.7976165715501002</v>
      </c>
      <c r="G98">
        <v>461436928.29000002</v>
      </c>
      <c r="I98" s="1">
        <v>41579</v>
      </c>
      <c r="J98">
        <v>4.5732787235796701</v>
      </c>
      <c r="K98">
        <v>665825594</v>
      </c>
      <c r="M98" s="1">
        <v>41579</v>
      </c>
      <c r="N98">
        <v>4.7296970462135404</v>
      </c>
      <c r="O98">
        <v>335637330</v>
      </c>
      <c r="Q98" s="1">
        <v>40603</v>
      </c>
      <c r="R98" s="3">
        <f t="shared" si="11"/>
        <v>4.6709394992293296</v>
      </c>
      <c r="S98" s="12">
        <f t="shared" si="12"/>
        <v>1447460006.02</v>
      </c>
      <c r="T98" s="3">
        <f t="shared" si="7"/>
        <v>4.7801000578627004</v>
      </c>
      <c r="U98" s="12">
        <f t="shared" si="8"/>
        <v>781505050</v>
      </c>
      <c r="V98" s="4">
        <f t="shared" si="13"/>
        <v>4.7092126554649534</v>
      </c>
      <c r="W98" s="3">
        <f t="shared" si="14"/>
        <v>4.7976165715501002</v>
      </c>
      <c r="X98" s="12">
        <f t="shared" si="15"/>
        <v>461436928.29000002</v>
      </c>
      <c r="Y98" s="3">
        <f t="shared" si="9"/>
        <v>4.8403940242330998</v>
      </c>
      <c r="Z98" s="12">
        <f t="shared" si="10"/>
        <v>239664536</v>
      </c>
      <c r="AA98" s="4">
        <f t="shared" si="16"/>
        <v>4.8122396166736978</v>
      </c>
      <c r="AB98" s="13">
        <f t="shared" si="17"/>
        <v>-10.302696120874444</v>
      </c>
    </row>
    <row r="99" spans="1:28" x14ac:dyDescent="0.25">
      <c r="A99" s="1">
        <v>40634</v>
      </c>
      <c r="B99">
        <v>4.8090180308123296</v>
      </c>
      <c r="C99">
        <v>708430497.14999998</v>
      </c>
      <c r="E99" s="1">
        <v>40634</v>
      </c>
      <c r="F99">
        <v>4.8894946514886604</v>
      </c>
      <c r="G99">
        <v>243342193.44</v>
      </c>
      <c r="I99" s="1">
        <v>41609</v>
      </c>
      <c r="J99">
        <v>4.4794699025000302</v>
      </c>
      <c r="K99">
        <v>891965563</v>
      </c>
      <c r="M99" s="1">
        <v>41609</v>
      </c>
      <c r="N99">
        <v>4.6288001751315901</v>
      </c>
      <c r="O99">
        <v>420007598</v>
      </c>
      <c r="Q99" s="1">
        <v>40634</v>
      </c>
      <c r="R99" s="3">
        <f t="shared" si="11"/>
        <v>4.8090180308123296</v>
      </c>
      <c r="S99" s="12">
        <f t="shared" si="12"/>
        <v>708430497.14999998</v>
      </c>
      <c r="T99" s="3">
        <f t="shared" si="7"/>
        <v>4.9289004123856799</v>
      </c>
      <c r="U99" s="12">
        <f t="shared" si="8"/>
        <v>885064680</v>
      </c>
      <c r="V99" s="4">
        <f t="shared" si="13"/>
        <v>4.875603523637368</v>
      </c>
      <c r="W99" s="3">
        <f t="shared" si="14"/>
        <v>4.8894946514886604</v>
      </c>
      <c r="X99" s="12">
        <f t="shared" si="15"/>
        <v>243342193.44</v>
      </c>
      <c r="Y99" s="3">
        <f t="shared" si="9"/>
        <v>5.0453273681375297</v>
      </c>
      <c r="Z99" s="12">
        <f t="shared" si="10"/>
        <v>292380791</v>
      </c>
      <c r="AA99" s="4">
        <f t="shared" si="16"/>
        <v>4.974543257355557</v>
      </c>
      <c r="AB99" s="13">
        <f t="shared" si="17"/>
        <v>-9.8939733718188982</v>
      </c>
    </row>
    <row r="100" spans="1:28" x14ac:dyDescent="0.25">
      <c r="A100" s="1">
        <v>40664</v>
      </c>
      <c r="B100">
        <v>4.9194633780255099</v>
      </c>
      <c r="C100">
        <v>529409891.70999998</v>
      </c>
      <c r="E100" s="1">
        <v>40664</v>
      </c>
      <c r="F100">
        <v>4.9895917387864204</v>
      </c>
      <c r="G100">
        <v>190071161.22999999</v>
      </c>
      <c r="I100" s="1">
        <v>41640</v>
      </c>
      <c r="J100">
        <v>4.4929369396430401</v>
      </c>
      <c r="K100">
        <v>673446965</v>
      </c>
      <c r="M100" s="1">
        <v>41640</v>
      </c>
      <c r="N100">
        <v>4.6508724028325297</v>
      </c>
      <c r="O100">
        <v>324385994</v>
      </c>
      <c r="Q100" s="1">
        <v>40664</v>
      </c>
      <c r="R100" s="3">
        <f t="shared" si="11"/>
        <v>4.9194633780255099</v>
      </c>
      <c r="S100" s="12">
        <f t="shared" si="12"/>
        <v>529409891.70999998</v>
      </c>
      <c r="T100" s="3">
        <f t="shared" ref="T100:T163" si="18">VLOOKUP($Q100,I:K,2,0)</f>
        <v>4.9720871297714497</v>
      </c>
      <c r="U100" s="12">
        <f t="shared" ref="U100:U155" si="19">VLOOKUP($Q100,I:K,3,0)</f>
        <v>909290139</v>
      </c>
      <c r="V100" s="4">
        <f t="shared" si="13"/>
        <v>4.9527227493457104</v>
      </c>
      <c r="W100" s="3">
        <f t="shared" si="14"/>
        <v>4.9895917387864204</v>
      </c>
      <c r="X100" s="12">
        <f t="shared" si="15"/>
        <v>190071161.22999999</v>
      </c>
      <c r="Y100" s="3">
        <f t="shared" ref="Y100:Y155" si="20">VLOOKUP($Q100,M:O,2,0)</f>
        <v>5.0553652360928103</v>
      </c>
      <c r="Z100" s="12">
        <f t="shared" ref="Z100:Z155" si="21">VLOOKUP($Q100,M:O,3,0)</f>
        <v>292093531</v>
      </c>
      <c r="AA100" s="4">
        <f t="shared" si="16"/>
        <v>5.0294370725158295</v>
      </c>
      <c r="AB100" s="13">
        <f t="shared" si="17"/>
        <v>-7.6714323170119059</v>
      </c>
    </row>
    <row r="101" spans="1:28" x14ac:dyDescent="0.25">
      <c r="A101" s="1">
        <v>40695</v>
      </c>
      <c r="B101">
        <v>4.8977345631490596</v>
      </c>
      <c r="C101">
        <v>681288315.70000005</v>
      </c>
      <c r="E101" s="1">
        <v>40695</v>
      </c>
      <c r="F101">
        <v>4.9611285039496504</v>
      </c>
      <c r="G101">
        <v>212749632</v>
      </c>
      <c r="I101" s="1">
        <v>41671</v>
      </c>
      <c r="J101">
        <v>4.5707246682131197</v>
      </c>
      <c r="K101">
        <v>543870516</v>
      </c>
      <c r="M101" s="1">
        <v>41671</v>
      </c>
      <c r="N101">
        <v>4.7295354452043501</v>
      </c>
      <c r="O101">
        <v>316818148</v>
      </c>
      <c r="Q101" s="1">
        <v>40695</v>
      </c>
      <c r="R101" s="3">
        <f t="shared" si="11"/>
        <v>4.8977345631490596</v>
      </c>
      <c r="S101" s="12">
        <f t="shared" si="12"/>
        <v>681288315.70000005</v>
      </c>
      <c r="T101" s="3">
        <f t="shared" si="18"/>
        <v>4.9727531842557102</v>
      </c>
      <c r="U101" s="12">
        <f t="shared" si="19"/>
        <v>1091169746</v>
      </c>
      <c r="V101" s="4">
        <f t="shared" si="13"/>
        <v>4.94391791242374</v>
      </c>
      <c r="W101" s="3">
        <f t="shared" si="14"/>
        <v>4.9611285039496504</v>
      </c>
      <c r="X101" s="12">
        <f t="shared" si="15"/>
        <v>212749632</v>
      </c>
      <c r="Y101" s="3">
        <f t="shared" si="20"/>
        <v>5.1011423150499402</v>
      </c>
      <c r="Z101" s="12">
        <f t="shared" si="21"/>
        <v>313780686</v>
      </c>
      <c r="AA101" s="4">
        <f t="shared" si="16"/>
        <v>5.0445683899250735</v>
      </c>
      <c r="AB101" s="13">
        <f t="shared" si="17"/>
        <v>-10.065047750133349</v>
      </c>
    </row>
    <row r="102" spans="1:28" x14ac:dyDescent="0.25">
      <c r="A102" s="1">
        <v>40725</v>
      </c>
      <c r="B102">
        <v>4.7946737276481199</v>
      </c>
      <c r="C102">
        <v>709064406.08000004</v>
      </c>
      <c r="E102" s="1">
        <v>40725</v>
      </c>
      <c r="F102">
        <v>4.8853986998933099</v>
      </c>
      <c r="G102">
        <v>231539951.59999999</v>
      </c>
      <c r="I102" s="1">
        <v>41699</v>
      </c>
      <c r="J102">
        <v>4.5929797358076403</v>
      </c>
      <c r="K102">
        <v>481081744</v>
      </c>
      <c r="M102" s="1">
        <v>41699</v>
      </c>
      <c r="N102">
        <v>4.7334097122316896</v>
      </c>
      <c r="O102">
        <v>292290700</v>
      </c>
      <c r="Q102" s="1">
        <v>40725</v>
      </c>
      <c r="R102" s="3">
        <f t="shared" si="11"/>
        <v>4.7946737276481199</v>
      </c>
      <c r="S102" s="12">
        <f t="shared" si="12"/>
        <v>709064406.08000004</v>
      </c>
      <c r="T102" s="3">
        <f t="shared" si="18"/>
        <v>4.7914287683796797</v>
      </c>
      <c r="U102" s="12">
        <f t="shared" si="19"/>
        <v>785593796</v>
      </c>
      <c r="V102" s="4">
        <f t="shared" si="13"/>
        <v>4.7929681739195074</v>
      </c>
      <c r="W102" s="3">
        <f t="shared" si="14"/>
        <v>4.8853986998933099</v>
      </c>
      <c r="X102" s="12">
        <f t="shared" si="15"/>
        <v>231539951.59999999</v>
      </c>
      <c r="Y102" s="3">
        <f t="shared" si="20"/>
        <v>4.94307710856057</v>
      </c>
      <c r="Z102" s="12">
        <f t="shared" si="21"/>
        <v>219158857</v>
      </c>
      <c r="AA102" s="4">
        <f t="shared" si="16"/>
        <v>4.9134456657957974</v>
      </c>
      <c r="AB102" s="13">
        <f t="shared" si="17"/>
        <v>-12.047749187629009</v>
      </c>
    </row>
    <row r="103" spans="1:28" x14ac:dyDescent="0.25">
      <c r="A103" s="1">
        <v>40756</v>
      </c>
      <c r="B103">
        <v>4.6952048681013103</v>
      </c>
      <c r="C103">
        <v>1095235906.95</v>
      </c>
      <c r="E103" s="1">
        <v>40756</v>
      </c>
      <c r="F103">
        <v>4.7932452383003898</v>
      </c>
      <c r="G103">
        <v>311789618</v>
      </c>
      <c r="I103" s="1">
        <v>41730</v>
      </c>
      <c r="J103">
        <v>4.5438522265321399</v>
      </c>
      <c r="K103">
        <v>617489603</v>
      </c>
      <c r="M103" s="1">
        <v>41730</v>
      </c>
      <c r="N103">
        <v>4.7068270159300898</v>
      </c>
      <c r="O103">
        <v>354636615</v>
      </c>
      <c r="Q103" s="1">
        <v>40756</v>
      </c>
      <c r="R103" s="3">
        <f t="shared" si="11"/>
        <v>4.6952048681013103</v>
      </c>
      <c r="S103" s="12">
        <f t="shared" si="12"/>
        <v>1095235906.95</v>
      </c>
      <c r="T103" s="3">
        <f t="shared" si="18"/>
        <v>4.7230451808437</v>
      </c>
      <c r="U103" s="12">
        <f t="shared" si="19"/>
        <v>930963580</v>
      </c>
      <c r="V103" s="4">
        <f t="shared" si="13"/>
        <v>4.7079964601365001</v>
      </c>
      <c r="W103" s="3">
        <f t="shared" si="14"/>
        <v>4.7932452383003898</v>
      </c>
      <c r="X103" s="12">
        <f t="shared" si="15"/>
        <v>311789618</v>
      </c>
      <c r="Y103" s="3">
        <f t="shared" si="20"/>
        <v>4.8829992662850499</v>
      </c>
      <c r="Z103" s="12">
        <f t="shared" si="21"/>
        <v>261007360</v>
      </c>
      <c r="AA103" s="4">
        <f t="shared" si="16"/>
        <v>4.8341436068208363</v>
      </c>
      <c r="AB103" s="13">
        <f t="shared" si="17"/>
        <v>-12.614714668433624</v>
      </c>
    </row>
    <row r="104" spans="1:28" x14ac:dyDescent="0.25">
      <c r="A104" s="1">
        <v>40787</v>
      </c>
      <c r="B104">
        <v>4.6121183185878296</v>
      </c>
      <c r="C104">
        <v>1509375948.53</v>
      </c>
      <c r="E104" s="1">
        <v>40787</v>
      </c>
      <c r="F104">
        <v>4.7190312060375703</v>
      </c>
      <c r="G104">
        <v>430386144.64999998</v>
      </c>
      <c r="I104" s="1">
        <v>41760</v>
      </c>
      <c r="J104">
        <v>4.5334494332254804</v>
      </c>
      <c r="K104">
        <v>638741937</v>
      </c>
      <c r="M104" s="1">
        <v>41760</v>
      </c>
      <c r="N104">
        <v>4.7044445634736203</v>
      </c>
      <c r="O104">
        <v>340490733</v>
      </c>
      <c r="Q104" s="1">
        <v>40787</v>
      </c>
      <c r="R104" s="3">
        <f t="shared" si="11"/>
        <v>4.6121183185878296</v>
      </c>
      <c r="S104" s="12">
        <f t="shared" si="12"/>
        <v>1509375948.53</v>
      </c>
      <c r="T104" s="3">
        <f t="shared" si="18"/>
        <v>4.6624184975847101</v>
      </c>
      <c r="U104" s="12">
        <f t="shared" si="19"/>
        <v>1056770216</v>
      </c>
      <c r="V104" s="4">
        <f t="shared" si="13"/>
        <v>4.6328325443626923</v>
      </c>
      <c r="W104" s="3">
        <f t="shared" si="14"/>
        <v>4.7190312060375703</v>
      </c>
      <c r="X104" s="12">
        <f t="shared" si="15"/>
        <v>430386144.64999998</v>
      </c>
      <c r="Y104" s="3">
        <f t="shared" si="20"/>
        <v>4.8171026976983597</v>
      </c>
      <c r="Z104" s="12">
        <f t="shared" si="21"/>
        <v>352610882</v>
      </c>
      <c r="AA104" s="4">
        <f t="shared" si="16"/>
        <v>4.7631962207139598</v>
      </c>
      <c r="AB104" s="13">
        <f t="shared" si="17"/>
        <v>-13.036367635126744</v>
      </c>
    </row>
    <row r="105" spans="1:28" x14ac:dyDescent="0.25">
      <c r="A105" s="1">
        <v>40817</v>
      </c>
      <c r="B105">
        <v>4.4158403481592403</v>
      </c>
      <c r="C105">
        <v>2481309701.3000002</v>
      </c>
      <c r="E105" s="1">
        <v>40817</v>
      </c>
      <c r="F105">
        <v>4.5033445764335696</v>
      </c>
      <c r="G105">
        <v>532604134</v>
      </c>
      <c r="I105" s="1">
        <v>41791</v>
      </c>
      <c r="J105">
        <v>4.49627919838517</v>
      </c>
      <c r="K105">
        <v>732900120</v>
      </c>
      <c r="M105" s="1">
        <v>41791</v>
      </c>
      <c r="N105">
        <v>4.6578751028706904</v>
      </c>
      <c r="O105">
        <v>388053915</v>
      </c>
      <c r="Q105" s="1">
        <v>40817</v>
      </c>
      <c r="R105" s="3">
        <f t="shared" si="11"/>
        <v>4.4158403481592403</v>
      </c>
      <c r="S105" s="12">
        <f t="shared" si="12"/>
        <v>2481309701.3000002</v>
      </c>
      <c r="T105" s="3">
        <f t="shared" si="18"/>
        <v>4.3975640373486504</v>
      </c>
      <c r="U105" s="12">
        <f t="shared" si="19"/>
        <v>1548482871</v>
      </c>
      <c r="V105" s="4">
        <f t="shared" si="13"/>
        <v>4.4088175166542634</v>
      </c>
      <c r="W105" s="3">
        <f t="shared" si="14"/>
        <v>4.5033445764335696</v>
      </c>
      <c r="X105" s="12">
        <f t="shared" si="15"/>
        <v>532604134</v>
      </c>
      <c r="Y105" s="3">
        <f t="shared" si="20"/>
        <v>4.60669445841115</v>
      </c>
      <c r="Z105" s="12">
        <f t="shared" si="21"/>
        <v>368779597</v>
      </c>
      <c r="AA105" s="4">
        <f t="shared" si="16"/>
        <v>4.5456277090383779</v>
      </c>
      <c r="AB105" s="13">
        <f t="shared" si="17"/>
        <v>-13.681019238411452</v>
      </c>
    </row>
    <row r="106" spans="1:28" x14ac:dyDescent="0.25">
      <c r="A106" s="1">
        <v>40848</v>
      </c>
      <c r="B106">
        <v>4.3616849531328699</v>
      </c>
      <c r="C106">
        <v>2774807812.02</v>
      </c>
      <c r="E106" s="1">
        <v>40848</v>
      </c>
      <c r="F106">
        <v>4.4486718391922899</v>
      </c>
      <c r="G106">
        <v>649050755</v>
      </c>
      <c r="I106" s="1">
        <v>41821</v>
      </c>
      <c r="J106">
        <v>4.4008881048557598</v>
      </c>
      <c r="K106">
        <v>828187511</v>
      </c>
      <c r="M106" s="1">
        <v>41821</v>
      </c>
      <c r="N106">
        <v>4.5823441415845503</v>
      </c>
      <c r="O106">
        <v>449054915</v>
      </c>
      <c r="Q106" s="1">
        <v>40848</v>
      </c>
      <c r="R106" s="3">
        <f t="shared" si="11"/>
        <v>4.3616849531328699</v>
      </c>
      <c r="S106" s="12">
        <f t="shared" si="12"/>
        <v>2774807812.02</v>
      </c>
      <c r="T106" s="3">
        <f t="shared" si="18"/>
        <v>4.3173195585159698</v>
      </c>
      <c r="U106" s="12">
        <f t="shared" si="19"/>
        <v>1485245682</v>
      </c>
      <c r="V106" s="4">
        <f t="shared" si="13"/>
        <v>4.3462171870878015</v>
      </c>
      <c r="W106" s="3">
        <f t="shared" si="14"/>
        <v>4.4486718391922899</v>
      </c>
      <c r="X106" s="12">
        <f t="shared" si="15"/>
        <v>649050755</v>
      </c>
      <c r="Y106" s="3">
        <f t="shared" si="20"/>
        <v>4.4285432342521904</v>
      </c>
      <c r="Z106" s="12">
        <f t="shared" si="21"/>
        <v>319077220</v>
      </c>
      <c r="AA106" s="4">
        <f t="shared" si="16"/>
        <v>4.4420378202685358</v>
      </c>
      <c r="AB106" s="13">
        <f t="shared" si="17"/>
        <v>-9.5820633180734305</v>
      </c>
    </row>
    <row r="107" spans="1:28" x14ac:dyDescent="0.25">
      <c r="A107" s="1">
        <v>40878</v>
      </c>
      <c r="B107">
        <v>4.2476500538026798</v>
      </c>
      <c r="C107">
        <v>2354718528.27</v>
      </c>
      <c r="E107" s="1">
        <v>40878</v>
      </c>
      <c r="F107">
        <v>4.35713764270601</v>
      </c>
      <c r="G107">
        <v>485975708.83999997</v>
      </c>
      <c r="I107" s="1">
        <v>41852</v>
      </c>
      <c r="J107">
        <v>4.3383262701807102</v>
      </c>
      <c r="K107">
        <v>1129902433</v>
      </c>
      <c r="M107" s="1">
        <v>41852</v>
      </c>
      <c r="N107">
        <v>4.5016928261345601</v>
      </c>
      <c r="O107">
        <v>629833657</v>
      </c>
      <c r="Q107" s="1">
        <v>40878</v>
      </c>
      <c r="R107" s="3">
        <f t="shared" si="11"/>
        <v>4.2476500538026798</v>
      </c>
      <c r="S107" s="12">
        <f t="shared" si="12"/>
        <v>2354718528.27</v>
      </c>
      <c r="T107" s="3">
        <f t="shared" si="18"/>
        <v>4.2439616648421001</v>
      </c>
      <c r="U107" s="12">
        <f t="shared" si="19"/>
        <v>978821089</v>
      </c>
      <c r="V107" s="4">
        <f t="shared" si="13"/>
        <v>4.2465670389555346</v>
      </c>
      <c r="W107" s="3">
        <f t="shared" si="14"/>
        <v>4.35713764270601</v>
      </c>
      <c r="X107" s="12">
        <f t="shared" si="15"/>
        <v>485975708.83999997</v>
      </c>
      <c r="Y107" s="3">
        <f t="shared" si="20"/>
        <v>4.4310652259796104</v>
      </c>
      <c r="Z107" s="12">
        <f t="shared" si="21"/>
        <v>217909828</v>
      </c>
      <c r="AA107" s="4">
        <f t="shared" si="16"/>
        <v>4.3800242430301592</v>
      </c>
      <c r="AB107" s="13">
        <f t="shared" si="17"/>
        <v>-13.345720407462469</v>
      </c>
    </row>
    <row r="108" spans="1:28" x14ac:dyDescent="0.25">
      <c r="A108" s="1">
        <v>40909</v>
      </c>
      <c r="B108">
        <v>4.2605965711179499</v>
      </c>
      <c r="C108">
        <v>2438202368.2399998</v>
      </c>
      <c r="E108" s="1">
        <v>40909</v>
      </c>
      <c r="F108">
        <v>4.3641825165356503</v>
      </c>
      <c r="G108">
        <v>462543941.55000001</v>
      </c>
      <c r="I108" s="1">
        <v>41883</v>
      </c>
      <c r="J108">
        <v>4.3701793329415404</v>
      </c>
      <c r="K108">
        <v>919814082</v>
      </c>
      <c r="M108" s="1">
        <v>41883</v>
      </c>
      <c r="N108">
        <v>4.5437751078459003</v>
      </c>
      <c r="O108">
        <v>564303786</v>
      </c>
      <c r="Q108" s="1">
        <v>40909</v>
      </c>
      <c r="R108" s="3">
        <f t="shared" si="11"/>
        <v>4.2605965711179499</v>
      </c>
      <c r="S108" s="12">
        <f t="shared" si="12"/>
        <v>2438202368.2399998</v>
      </c>
      <c r="T108" s="3">
        <f t="shared" si="18"/>
        <v>4.2183416361736397</v>
      </c>
      <c r="U108" s="12">
        <f t="shared" si="19"/>
        <v>1737332302</v>
      </c>
      <c r="V108" s="4">
        <f t="shared" si="13"/>
        <v>4.243015382313347</v>
      </c>
      <c r="W108" s="3">
        <f t="shared" si="14"/>
        <v>4.3641825165356503</v>
      </c>
      <c r="X108" s="12">
        <f t="shared" si="15"/>
        <v>462543941.55000001</v>
      </c>
      <c r="Y108" s="3">
        <f t="shared" si="20"/>
        <v>4.3478375215020701</v>
      </c>
      <c r="Z108" s="12">
        <f t="shared" si="21"/>
        <v>369251001</v>
      </c>
      <c r="AA108" s="4">
        <f t="shared" si="16"/>
        <v>4.3569266347446565</v>
      </c>
      <c r="AB108" s="13">
        <f t="shared" si="17"/>
        <v>-11.391125243130951</v>
      </c>
    </row>
    <row r="109" spans="1:28" x14ac:dyDescent="0.25">
      <c r="A109" s="1">
        <v>40940</v>
      </c>
      <c r="B109">
        <v>4.1958584824252698</v>
      </c>
      <c r="C109">
        <v>2608540923.1799998</v>
      </c>
      <c r="E109" s="1">
        <v>40940</v>
      </c>
      <c r="F109">
        <v>4.2915293013344904</v>
      </c>
      <c r="G109">
        <v>469181930.25</v>
      </c>
      <c r="I109" s="1">
        <v>41913</v>
      </c>
      <c r="J109">
        <v>4.3439259090313804</v>
      </c>
      <c r="K109">
        <v>984418295</v>
      </c>
      <c r="M109" s="1">
        <v>41913</v>
      </c>
      <c r="N109">
        <v>4.5079627603474801</v>
      </c>
      <c r="O109">
        <v>621725028</v>
      </c>
      <c r="Q109" s="1">
        <v>40940</v>
      </c>
      <c r="R109" s="3">
        <f t="shared" si="11"/>
        <v>4.1958584824252698</v>
      </c>
      <c r="S109" s="12">
        <f t="shared" si="12"/>
        <v>2608540923.1799998</v>
      </c>
      <c r="T109" s="3">
        <f t="shared" si="18"/>
        <v>4.18935340619492</v>
      </c>
      <c r="U109" s="12">
        <f t="shared" si="19"/>
        <v>2015281054</v>
      </c>
      <c r="V109" s="4">
        <f t="shared" si="13"/>
        <v>4.1930232614875802</v>
      </c>
      <c r="W109" s="3">
        <f t="shared" si="14"/>
        <v>4.2915293013344904</v>
      </c>
      <c r="X109" s="12">
        <f t="shared" si="15"/>
        <v>469181930.25</v>
      </c>
      <c r="Y109" s="3">
        <f t="shared" si="20"/>
        <v>4.3484241351144499</v>
      </c>
      <c r="Z109" s="12">
        <f t="shared" si="21"/>
        <v>392546595</v>
      </c>
      <c r="AA109" s="4">
        <f t="shared" si="16"/>
        <v>4.317446829441077</v>
      </c>
      <c r="AB109" s="13">
        <f t="shared" si="17"/>
        <v>-12.442356795349685</v>
      </c>
    </row>
    <row r="110" spans="1:28" x14ac:dyDescent="0.25">
      <c r="A110" s="1">
        <v>40969</v>
      </c>
      <c r="B110">
        <v>4.1185619284916299</v>
      </c>
      <c r="C110">
        <v>4821134916.79</v>
      </c>
      <c r="E110" s="1">
        <v>40969</v>
      </c>
      <c r="F110">
        <v>4.22123894893081</v>
      </c>
      <c r="G110">
        <v>884365117.22000003</v>
      </c>
      <c r="I110" s="1">
        <v>41944</v>
      </c>
      <c r="J110">
        <v>4.3294128761663098</v>
      </c>
      <c r="K110">
        <v>915680499</v>
      </c>
      <c r="M110" s="1">
        <v>41944</v>
      </c>
      <c r="N110">
        <v>4.4936127349379298</v>
      </c>
      <c r="O110">
        <v>547767601</v>
      </c>
      <c r="Q110" s="1">
        <v>40969</v>
      </c>
      <c r="R110" s="3">
        <f t="shared" si="11"/>
        <v>4.1185619284916299</v>
      </c>
      <c r="S110" s="12">
        <f t="shared" si="12"/>
        <v>4821134916.79</v>
      </c>
      <c r="T110" s="3">
        <f t="shared" si="18"/>
        <v>4.1019142817241301</v>
      </c>
      <c r="U110" s="12">
        <f t="shared" si="19"/>
        <v>1826182508</v>
      </c>
      <c r="V110" s="4">
        <f t="shared" si="13"/>
        <v>4.1139884081700648</v>
      </c>
      <c r="W110" s="3">
        <f t="shared" si="14"/>
        <v>4.22123894893081</v>
      </c>
      <c r="X110" s="12">
        <f t="shared" si="15"/>
        <v>884365117.22000003</v>
      </c>
      <c r="Y110" s="3">
        <f t="shared" si="20"/>
        <v>4.3062870065526102</v>
      </c>
      <c r="Z110" s="12">
        <f t="shared" si="21"/>
        <v>389111900</v>
      </c>
      <c r="AA110" s="4">
        <f t="shared" si="16"/>
        <v>4.247225449546872</v>
      </c>
      <c r="AB110" s="13">
        <f t="shared" si="17"/>
        <v>-13.323704137680714</v>
      </c>
    </row>
    <row r="111" spans="1:28" x14ac:dyDescent="0.25">
      <c r="A111" s="1">
        <v>41000</v>
      </c>
      <c r="B111">
        <v>4.0828101539662596</v>
      </c>
      <c r="C111">
        <v>1788057524.8900001</v>
      </c>
      <c r="E111" s="1">
        <v>41000</v>
      </c>
      <c r="F111">
        <v>4.1756977429367197</v>
      </c>
      <c r="G111">
        <v>343299116.18000001</v>
      </c>
      <c r="I111" s="1">
        <v>41974</v>
      </c>
      <c r="J111">
        <v>4.2521429390292003</v>
      </c>
      <c r="K111">
        <v>957114028</v>
      </c>
      <c r="M111" s="1">
        <v>41974</v>
      </c>
      <c r="N111">
        <v>4.4312745510803797</v>
      </c>
      <c r="O111">
        <v>580111762</v>
      </c>
      <c r="Q111" s="1">
        <v>41000</v>
      </c>
      <c r="R111" s="3">
        <f t="shared" si="11"/>
        <v>4.0828101539662596</v>
      </c>
      <c r="S111" s="12">
        <f t="shared" si="12"/>
        <v>1788057524.8900001</v>
      </c>
      <c r="T111" s="3">
        <f t="shared" si="18"/>
        <v>4.0549133563400597</v>
      </c>
      <c r="U111" s="12">
        <f t="shared" si="19"/>
        <v>786657651</v>
      </c>
      <c r="V111" s="4">
        <f t="shared" si="13"/>
        <v>4.0742867920439201</v>
      </c>
      <c r="W111" s="3">
        <f t="shared" si="14"/>
        <v>4.1756977429367197</v>
      </c>
      <c r="X111" s="12">
        <f t="shared" si="15"/>
        <v>343299116.18000001</v>
      </c>
      <c r="Y111" s="3">
        <f t="shared" si="20"/>
        <v>4.19295600540873</v>
      </c>
      <c r="Z111" s="12">
        <f t="shared" si="21"/>
        <v>193455167</v>
      </c>
      <c r="AA111" s="4">
        <f t="shared" si="16"/>
        <v>4.1819179076438777</v>
      </c>
      <c r="AB111" s="13">
        <f t="shared" si="17"/>
        <v>-10.763111559995764</v>
      </c>
    </row>
    <row r="112" spans="1:28" x14ac:dyDescent="0.25">
      <c r="A112" s="1">
        <v>41030</v>
      </c>
      <c r="B112">
        <v>4.1074629330547303</v>
      </c>
      <c r="C112">
        <v>3020888813.5</v>
      </c>
      <c r="E112" s="1">
        <v>41030</v>
      </c>
      <c r="F112">
        <v>4.2065693955952597</v>
      </c>
      <c r="G112">
        <v>620411419.64999998</v>
      </c>
      <c r="I112" s="1">
        <v>42005</v>
      </c>
      <c r="J112">
        <v>4.1968054631914802</v>
      </c>
      <c r="K112">
        <v>1006405361</v>
      </c>
      <c r="M112" s="1">
        <v>42005</v>
      </c>
      <c r="N112">
        <v>4.3877782862072401</v>
      </c>
      <c r="O112">
        <v>558211370</v>
      </c>
      <c r="Q112" s="1">
        <v>41030</v>
      </c>
      <c r="R112" s="3">
        <f t="shared" si="11"/>
        <v>4.1074629330547303</v>
      </c>
      <c r="S112" s="12">
        <f t="shared" si="12"/>
        <v>3020888813.5</v>
      </c>
      <c r="T112" s="3">
        <f t="shared" si="18"/>
        <v>4.0954005937896296</v>
      </c>
      <c r="U112" s="12">
        <f t="shared" si="19"/>
        <v>958626706</v>
      </c>
      <c r="V112" s="4">
        <f t="shared" si="13"/>
        <v>4.104557232473919</v>
      </c>
      <c r="W112" s="3">
        <f t="shared" si="14"/>
        <v>4.2065693955952597</v>
      </c>
      <c r="X112" s="12">
        <f t="shared" si="15"/>
        <v>620411419.64999998</v>
      </c>
      <c r="Y112" s="3">
        <f t="shared" si="20"/>
        <v>4.2938826031011299</v>
      </c>
      <c r="Z112" s="12">
        <f t="shared" si="21"/>
        <v>251398438</v>
      </c>
      <c r="AA112" s="4">
        <f t="shared" si="16"/>
        <v>4.231747367364143</v>
      </c>
      <c r="AB112" s="13">
        <f t="shared" si="17"/>
        <v>-12.719013489022402</v>
      </c>
    </row>
    <row r="113" spans="1:28" x14ac:dyDescent="0.25">
      <c r="A113" s="1">
        <v>41061</v>
      </c>
      <c r="B113">
        <v>4.1003505260213604</v>
      </c>
      <c r="C113">
        <v>2626956127.9899998</v>
      </c>
      <c r="E113" s="1">
        <v>41061</v>
      </c>
      <c r="F113">
        <v>4.1793578763536896</v>
      </c>
      <c r="G113">
        <v>531590465.97000003</v>
      </c>
      <c r="I113" s="1">
        <v>42036</v>
      </c>
      <c r="J113">
        <v>4.0139895735313598</v>
      </c>
      <c r="K113">
        <v>1583124601</v>
      </c>
      <c r="M113" s="1">
        <v>42036</v>
      </c>
      <c r="N113">
        <v>4.2068484789766796</v>
      </c>
      <c r="O113">
        <v>720170420</v>
      </c>
      <c r="Q113" s="1">
        <v>41061</v>
      </c>
      <c r="R113" s="3">
        <f t="shared" si="11"/>
        <v>4.1003505260213604</v>
      </c>
      <c r="S113" s="12">
        <f t="shared" si="12"/>
        <v>2626956127.9899998</v>
      </c>
      <c r="T113" s="3">
        <f t="shared" si="18"/>
        <v>4.0788034116725296</v>
      </c>
      <c r="U113" s="12">
        <f t="shared" si="19"/>
        <v>1691493113</v>
      </c>
      <c r="V113" s="4">
        <f t="shared" si="13"/>
        <v>4.0919107381502595</v>
      </c>
      <c r="W113" s="3">
        <f t="shared" si="14"/>
        <v>4.1793578763536896</v>
      </c>
      <c r="X113" s="12">
        <f t="shared" si="15"/>
        <v>531590465.97000003</v>
      </c>
      <c r="Y113" s="3">
        <f t="shared" si="20"/>
        <v>4.2625082988579202</v>
      </c>
      <c r="Z113" s="12">
        <f t="shared" si="21"/>
        <v>435279774</v>
      </c>
      <c r="AA113" s="4">
        <f t="shared" si="16"/>
        <v>4.2167917486763802</v>
      </c>
      <c r="AB113" s="13">
        <f t="shared" si="17"/>
        <v>-12.488101052612066</v>
      </c>
    </row>
    <row r="114" spans="1:28" x14ac:dyDescent="0.25">
      <c r="A114" s="1">
        <v>41091</v>
      </c>
      <c r="B114">
        <v>3.9952508025401001</v>
      </c>
      <c r="C114">
        <v>3599030277.8699999</v>
      </c>
      <c r="E114" s="1">
        <v>41091</v>
      </c>
      <c r="F114">
        <v>4.0771298476640396</v>
      </c>
      <c r="G114">
        <v>701802914</v>
      </c>
      <c r="I114" s="1">
        <v>42064</v>
      </c>
      <c r="J114">
        <v>3.9431534218242899</v>
      </c>
      <c r="K114">
        <v>1470042460</v>
      </c>
      <c r="M114" s="1">
        <v>42064</v>
      </c>
      <c r="N114">
        <v>4.1805771471639002</v>
      </c>
      <c r="O114">
        <v>624644116</v>
      </c>
      <c r="Q114" s="1">
        <v>41091</v>
      </c>
      <c r="R114" s="3">
        <f t="shared" si="11"/>
        <v>3.9952508025401001</v>
      </c>
      <c r="S114" s="12">
        <f t="shared" si="12"/>
        <v>3599030277.8699999</v>
      </c>
      <c r="T114" s="3">
        <f t="shared" si="18"/>
        <v>3.9622085647229799</v>
      </c>
      <c r="U114" s="12">
        <f t="shared" si="19"/>
        <v>1062115543</v>
      </c>
      <c r="V114" s="4">
        <f t="shared" si="13"/>
        <v>3.987721607850689</v>
      </c>
      <c r="W114" s="3">
        <f t="shared" si="14"/>
        <v>4.0771298476640396</v>
      </c>
      <c r="X114" s="12">
        <f t="shared" si="15"/>
        <v>701802914</v>
      </c>
      <c r="Y114" s="3">
        <f t="shared" si="20"/>
        <v>4.1288306135328599</v>
      </c>
      <c r="Z114" s="12">
        <f t="shared" si="21"/>
        <v>240540072</v>
      </c>
      <c r="AA114" s="4">
        <f t="shared" si="16"/>
        <v>4.0903268535624218</v>
      </c>
      <c r="AB114" s="13">
        <f t="shared" si="17"/>
        <v>-10.26052457117328</v>
      </c>
    </row>
    <row r="115" spans="1:28" x14ac:dyDescent="0.25">
      <c r="A115" s="1">
        <v>41122</v>
      </c>
      <c r="B115">
        <v>3.9298042652729102</v>
      </c>
      <c r="C115">
        <v>4241788726.6399999</v>
      </c>
      <c r="E115" s="1">
        <v>41122</v>
      </c>
      <c r="F115">
        <v>4.0023521744929198</v>
      </c>
      <c r="G115">
        <v>743386516.28999996</v>
      </c>
      <c r="I115" s="1">
        <v>42095</v>
      </c>
      <c r="J115">
        <v>3.92506239550021</v>
      </c>
      <c r="K115">
        <v>1652164942</v>
      </c>
      <c r="M115" s="1">
        <v>42095</v>
      </c>
      <c r="N115">
        <v>4.1154357596153996</v>
      </c>
      <c r="O115">
        <v>726906140</v>
      </c>
      <c r="Q115" s="1">
        <v>41122</v>
      </c>
      <c r="R115" s="3">
        <f t="shared" si="11"/>
        <v>3.9298042652729102</v>
      </c>
      <c r="S115" s="12">
        <f t="shared" si="12"/>
        <v>4241788726.6399999</v>
      </c>
      <c r="T115" s="3">
        <f t="shared" si="18"/>
        <v>3.8924030548966702</v>
      </c>
      <c r="U115" s="12">
        <f t="shared" si="19"/>
        <v>1547715391</v>
      </c>
      <c r="V115" s="4">
        <f t="shared" si="13"/>
        <v>3.9198057528329655</v>
      </c>
      <c r="W115" s="3">
        <f t="shared" si="14"/>
        <v>4.0023521744929198</v>
      </c>
      <c r="X115" s="12">
        <f t="shared" si="15"/>
        <v>743386516.28999996</v>
      </c>
      <c r="Y115" s="3">
        <f t="shared" si="20"/>
        <v>4.0995804032105401</v>
      </c>
      <c r="Z115" s="12">
        <f t="shared" si="21"/>
        <v>365313360</v>
      </c>
      <c r="AA115" s="4">
        <f t="shared" si="16"/>
        <v>4.0343885909111634</v>
      </c>
      <c r="AB115" s="13">
        <f t="shared" si="17"/>
        <v>-11.458283807819791</v>
      </c>
    </row>
    <row r="116" spans="1:28" x14ac:dyDescent="0.25">
      <c r="A116" s="1">
        <v>41153</v>
      </c>
      <c r="B116">
        <v>3.8423109071771502</v>
      </c>
      <c r="C116">
        <v>4441712526.3500004</v>
      </c>
      <c r="E116" s="1">
        <v>41153</v>
      </c>
      <c r="F116">
        <v>3.9243226513003999</v>
      </c>
      <c r="G116">
        <v>774380052.35000002</v>
      </c>
      <c r="I116" s="1">
        <v>42125</v>
      </c>
      <c r="J116">
        <v>3.9479226811703301</v>
      </c>
      <c r="K116">
        <v>1686564910</v>
      </c>
      <c r="M116" s="1">
        <v>42125</v>
      </c>
      <c r="N116">
        <v>4.12618749840966</v>
      </c>
      <c r="O116">
        <v>825573461</v>
      </c>
      <c r="Q116" s="1">
        <v>41153</v>
      </c>
      <c r="R116" s="3">
        <f t="shared" si="11"/>
        <v>3.8423109071771502</v>
      </c>
      <c r="S116" s="12">
        <f t="shared" si="12"/>
        <v>4441712526.3500004</v>
      </c>
      <c r="T116" s="3">
        <f t="shared" si="18"/>
        <v>3.80766266443747</v>
      </c>
      <c r="U116" s="12">
        <f t="shared" si="19"/>
        <v>1960551473</v>
      </c>
      <c r="V116" s="4">
        <f t="shared" si="13"/>
        <v>3.8317006506574192</v>
      </c>
      <c r="W116" s="3">
        <f t="shared" si="14"/>
        <v>3.9243226513003999</v>
      </c>
      <c r="X116" s="12">
        <f t="shared" si="15"/>
        <v>774380052.35000002</v>
      </c>
      <c r="Y116" s="3">
        <f t="shared" si="20"/>
        <v>3.9558656538333801</v>
      </c>
      <c r="Z116" s="12">
        <f t="shared" si="21"/>
        <v>404895989</v>
      </c>
      <c r="AA116" s="4">
        <f t="shared" si="16"/>
        <v>3.9351527154743486</v>
      </c>
      <c r="AB116" s="13">
        <f t="shared" si="17"/>
        <v>-10.345206481692948</v>
      </c>
    </row>
    <row r="117" spans="1:28" x14ac:dyDescent="0.25">
      <c r="A117" s="1">
        <v>41183</v>
      </c>
      <c r="B117">
        <v>3.7806536542814402</v>
      </c>
      <c r="C117">
        <v>3149335198.3200002</v>
      </c>
      <c r="E117" s="1">
        <v>41183</v>
      </c>
      <c r="F117">
        <v>3.8923975234300001</v>
      </c>
      <c r="G117">
        <v>599018841.13999999</v>
      </c>
      <c r="I117" s="1">
        <v>42156</v>
      </c>
      <c r="J117">
        <v>3.9802143923137998</v>
      </c>
      <c r="K117">
        <v>1927477915</v>
      </c>
      <c r="M117" s="1">
        <v>42156</v>
      </c>
      <c r="N117">
        <v>4.1294691080122297</v>
      </c>
      <c r="O117">
        <v>869728138</v>
      </c>
      <c r="Q117" s="1">
        <v>41183</v>
      </c>
      <c r="R117" s="3">
        <f t="shared" si="11"/>
        <v>3.7806536542814402</v>
      </c>
      <c r="S117" s="12">
        <f t="shared" si="12"/>
        <v>3149335198.3200002</v>
      </c>
      <c r="T117" s="3">
        <f t="shared" si="18"/>
        <v>3.77805547204823</v>
      </c>
      <c r="U117" s="12">
        <f t="shared" si="19"/>
        <v>2785800235</v>
      </c>
      <c r="V117" s="4">
        <f t="shared" si="13"/>
        <v>3.7794341342288371</v>
      </c>
      <c r="W117" s="3">
        <f t="shared" si="14"/>
        <v>3.8923975234300001</v>
      </c>
      <c r="X117" s="12">
        <f t="shared" si="15"/>
        <v>599018841.13999999</v>
      </c>
      <c r="Y117" s="3">
        <f t="shared" si="20"/>
        <v>3.8956928109778</v>
      </c>
      <c r="Z117" s="12">
        <f t="shared" si="21"/>
        <v>542186071</v>
      </c>
      <c r="AA117" s="4">
        <f t="shared" si="16"/>
        <v>3.8939631134387276</v>
      </c>
      <c r="AB117" s="13">
        <f t="shared" si="17"/>
        <v>-11.452897920989047</v>
      </c>
    </row>
    <row r="118" spans="1:28" x14ac:dyDescent="0.25">
      <c r="A118" s="1">
        <v>41214</v>
      </c>
      <c r="B118">
        <v>3.7088106795192002</v>
      </c>
      <c r="C118">
        <v>5858738517.5299997</v>
      </c>
      <c r="E118" s="1">
        <v>41214</v>
      </c>
      <c r="F118">
        <v>3.80251749709136</v>
      </c>
      <c r="G118">
        <v>1070839693.41</v>
      </c>
      <c r="I118" s="1">
        <v>42186</v>
      </c>
      <c r="J118">
        <v>4.0816576998933503</v>
      </c>
      <c r="K118">
        <v>1781323424</v>
      </c>
      <c r="M118" s="1">
        <v>42186</v>
      </c>
      <c r="N118">
        <v>4.2419309725037504</v>
      </c>
      <c r="O118">
        <v>825234379</v>
      </c>
      <c r="Q118" s="1">
        <v>41214</v>
      </c>
      <c r="R118" s="3">
        <f t="shared" si="11"/>
        <v>3.7088106795192002</v>
      </c>
      <c r="S118" s="12">
        <f t="shared" si="12"/>
        <v>5858738517.5299997</v>
      </c>
      <c r="T118" s="3">
        <f t="shared" si="18"/>
        <v>3.6842258857779799</v>
      </c>
      <c r="U118" s="12">
        <f t="shared" si="19"/>
        <v>3157395279</v>
      </c>
      <c r="V118" s="4">
        <f t="shared" si="13"/>
        <v>3.7002012341132779</v>
      </c>
      <c r="W118" s="3">
        <f t="shared" si="14"/>
        <v>3.80251749709136</v>
      </c>
      <c r="X118" s="12">
        <f t="shared" si="15"/>
        <v>1070839693.41</v>
      </c>
      <c r="Y118" s="3">
        <f t="shared" si="20"/>
        <v>3.8386087765179902</v>
      </c>
      <c r="Z118" s="12">
        <f t="shared" si="21"/>
        <v>630550157</v>
      </c>
      <c r="AA118" s="4">
        <f t="shared" si="16"/>
        <v>3.8158932451030863</v>
      </c>
      <c r="AB118" s="13">
        <f t="shared" si="17"/>
        <v>-11.56920109898083</v>
      </c>
    </row>
    <row r="119" spans="1:28" x14ac:dyDescent="0.25">
      <c r="A119" s="1">
        <v>41244</v>
      </c>
      <c r="B119">
        <v>3.6252170291732799</v>
      </c>
      <c r="C119">
        <v>2615020839.9200001</v>
      </c>
      <c r="E119" s="1">
        <v>41244</v>
      </c>
      <c r="F119">
        <v>3.7093569284769998</v>
      </c>
      <c r="G119">
        <v>523844843</v>
      </c>
      <c r="I119" s="1">
        <v>42217</v>
      </c>
      <c r="J119">
        <v>4.1578089975116796</v>
      </c>
      <c r="K119">
        <v>1245325174</v>
      </c>
      <c r="M119" s="1">
        <v>42217</v>
      </c>
      <c r="N119">
        <v>4.3263575606327001</v>
      </c>
      <c r="O119">
        <v>728296211</v>
      </c>
      <c r="Q119" s="1">
        <v>41244</v>
      </c>
      <c r="R119" s="3">
        <f t="shared" si="11"/>
        <v>3.6252170291732799</v>
      </c>
      <c r="S119" s="12">
        <f t="shared" si="12"/>
        <v>2615020839.9200001</v>
      </c>
      <c r="T119" s="3">
        <f t="shared" si="18"/>
        <v>3.6520187944123599</v>
      </c>
      <c r="U119" s="12">
        <f t="shared" si="19"/>
        <v>1109764306</v>
      </c>
      <c r="V119" s="4">
        <f t="shared" si="13"/>
        <v>3.6332023602017562</v>
      </c>
      <c r="W119" s="3">
        <f t="shared" si="14"/>
        <v>3.7093569284769998</v>
      </c>
      <c r="X119" s="12">
        <f t="shared" si="15"/>
        <v>523844843</v>
      </c>
      <c r="Y119" s="3">
        <f t="shared" si="20"/>
        <v>3.77964307980201</v>
      </c>
      <c r="Z119" s="12">
        <f t="shared" si="21"/>
        <v>271038864</v>
      </c>
      <c r="AA119" s="4">
        <f t="shared" si="16"/>
        <v>3.7333230488570002</v>
      </c>
      <c r="AB119" s="13">
        <f t="shared" si="17"/>
        <v>-10.012068865524393</v>
      </c>
    </row>
    <row r="120" spans="1:28" x14ac:dyDescent="0.25">
      <c r="A120" s="1">
        <v>41275</v>
      </c>
      <c r="B120">
        <v>3.6205512170085501</v>
      </c>
      <c r="C120">
        <v>4651009109.4499998</v>
      </c>
      <c r="E120" s="1">
        <v>41275</v>
      </c>
      <c r="F120">
        <v>3.6973956690300098</v>
      </c>
      <c r="G120">
        <v>928511347.50999999</v>
      </c>
      <c r="I120" s="1">
        <v>42248</v>
      </c>
      <c r="J120">
        <v>4.2055466558468799</v>
      </c>
      <c r="K120">
        <v>1021946898</v>
      </c>
      <c r="M120" s="1">
        <v>42248</v>
      </c>
      <c r="N120">
        <v>4.4002295905874904</v>
      </c>
      <c r="O120">
        <v>659708774</v>
      </c>
      <c r="Q120" s="1">
        <v>41275</v>
      </c>
      <c r="R120" s="3">
        <f t="shared" si="11"/>
        <v>3.6205512170085501</v>
      </c>
      <c r="S120" s="12">
        <f t="shared" si="12"/>
        <v>4651009109.4499998</v>
      </c>
      <c r="T120" s="3">
        <f t="shared" si="18"/>
        <v>3.6333638013032901</v>
      </c>
      <c r="U120" s="12">
        <f t="shared" si="19"/>
        <v>2003795573</v>
      </c>
      <c r="V120" s="4">
        <f t="shared" si="13"/>
        <v>3.6244091513753087</v>
      </c>
      <c r="W120" s="3">
        <f t="shared" si="14"/>
        <v>3.6973956690300098</v>
      </c>
      <c r="X120" s="12">
        <f t="shared" si="15"/>
        <v>928511347.50999999</v>
      </c>
      <c r="Y120" s="3">
        <f t="shared" si="20"/>
        <v>3.74872574992665</v>
      </c>
      <c r="Z120" s="12">
        <f t="shared" si="21"/>
        <v>438781611</v>
      </c>
      <c r="AA120" s="4">
        <f t="shared" si="16"/>
        <v>3.7138681414788786</v>
      </c>
      <c r="AB120" s="13">
        <f t="shared" si="17"/>
        <v>-8.9458990103569835</v>
      </c>
    </row>
    <row r="121" spans="1:28" x14ac:dyDescent="0.25">
      <c r="A121" s="1">
        <v>41306</v>
      </c>
      <c r="B121">
        <v>3.6205427239598502</v>
      </c>
      <c r="C121">
        <v>3658707132.04</v>
      </c>
      <c r="E121" s="1">
        <v>41306</v>
      </c>
      <c r="F121">
        <v>3.7047875828117798</v>
      </c>
      <c r="G121">
        <v>857744344.89999998</v>
      </c>
      <c r="I121" s="1">
        <v>42278</v>
      </c>
      <c r="J121">
        <v>4.1983477524589903</v>
      </c>
      <c r="K121">
        <v>921851503</v>
      </c>
      <c r="M121" s="1">
        <v>42278</v>
      </c>
      <c r="N121">
        <v>4.3840273048532703</v>
      </c>
      <c r="O121">
        <v>586113642</v>
      </c>
      <c r="Q121" s="1">
        <v>41306</v>
      </c>
      <c r="R121" s="3">
        <f t="shared" si="11"/>
        <v>3.6205427239598502</v>
      </c>
      <c r="S121" s="12">
        <f t="shared" si="12"/>
        <v>3658707132.04</v>
      </c>
      <c r="T121" s="3">
        <f t="shared" si="18"/>
        <v>3.6299531832230598</v>
      </c>
      <c r="U121" s="12">
        <f t="shared" si="19"/>
        <v>1758004574</v>
      </c>
      <c r="V121" s="4">
        <f t="shared" si="13"/>
        <v>3.6235969072588645</v>
      </c>
      <c r="W121" s="3">
        <f t="shared" si="14"/>
        <v>3.7047875828117798</v>
      </c>
      <c r="X121" s="12">
        <f t="shared" si="15"/>
        <v>857744344.89999998</v>
      </c>
      <c r="Y121" s="3">
        <f t="shared" si="20"/>
        <v>3.77265686140611</v>
      </c>
      <c r="Z121" s="12">
        <f t="shared" si="21"/>
        <v>440990389</v>
      </c>
      <c r="AA121" s="4">
        <f t="shared" si="16"/>
        <v>3.7278328581765079</v>
      </c>
      <c r="AB121" s="13">
        <f t="shared" si="17"/>
        <v>-10.423595091764337</v>
      </c>
    </row>
    <row r="122" spans="1:28" x14ac:dyDescent="0.25">
      <c r="A122" s="1">
        <v>41334</v>
      </c>
      <c r="B122">
        <v>3.6839315961802499</v>
      </c>
      <c r="C122">
        <v>3220076373.3099999</v>
      </c>
      <c r="E122" s="1">
        <v>41334</v>
      </c>
      <c r="F122">
        <v>3.76323220689184</v>
      </c>
      <c r="G122">
        <v>750868265</v>
      </c>
      <c r="I122" s="1">
        <v>42309</v>
      </c>
      <c r="J122">
        <v>4.1661091798361802</v>
      </c>
      <c r="K122">
        <v>705829077</v>
      </c>
      <c r="M122" s="1">
        <v>42309</v>
      </c>
      <c r="N122">
        <v>4.3632466388916598</v>
      </c>
      <c r="O122">
        <v>466091492</v>
      </c>
      <c r="Q122" s="1">
        <v>41334</v>
      </c>
      <c r="R122" s="3">
        <f t="shared" si="11"/>
        <v>3.6839315961802499</v>
      </c>
      <c r="S122" s="12">
        <f t="shared" si="12"/>
        <v>3220076373.3099999</v>
      </c>
      <c r="T122" s="3">
        <f t="shared" si="18"/>
        <v>3.6476116664209801</v>
      </c>
      <c r="U122" s="12">
        <f t="shared" si="19"/>
        <v>2442071449</v>
      </c>
      <c r="V122" s="4">
        <f t="shared" si="13"/>
        <v>3.6682668932656921</v>
      </c>
      <c r="W122" s="3">
        <f t="shared" si="14"/>
        <v>3.76323220689184</v>
      </c>
      <c r="X122" s="12">
        <f t="shared" si="15"/>
        <v>750868265</v>
      </c>
      <c r="Y122" s="3">
        <f t="shared" si="20"/>
        <v>3.7522502650768299</v>
      </c>
      <c r="Z122" s="12">
        <f t="shared" si="21"/>
        <v>623634284</v>
      </c>
      <c r="AA122" s="4">
        <f t="shared" si="16"/>
        <v>3.75824952030045</v>
      </c>
      <c r="AB122" s="13">
        <f t="shared" si="17"/>
        <v>-8.99826270347579</v>
      </c>
    </row>
    <row r="123" spans="1:28" x14ac:dyDescent="0.25">
      <c r="A123" s="1">
        <v>41365</v>
      </c>
      <c r="B123">
        <v>3.7319711591047899</v>
      </c>
      <c r="C123">
        <v>3473621038.5599999</v>
      </c>
      <c r="E123" s="1">
        <v>41365</v>
      </c>
      <c r="F123">
        <v>3.8206332041683</v>
      </c>
      <c r="G123">
        <v>923808049.01999998</v>
      </c>
      <c r="I123" s="1">
        <v>42339</v>
      </c>
      <c r="J123">
        <v>4.1351054735638098</v>
      </c>
      <c r="K123">
        <v>359030819</v>
      </c>
      <c r="M123" s="1">
        <v>42339</v>
      </c>
      <c r="N123">
        <v>4.3712525648592102</v>
      </c>
      <c r="O123">
        <v>265674913</v>
      </c>
      <c r="Q123" s="1">
        <v>41365</v>
      </c>
      <c r="R123" s="3">
        <f t="shared" si="11"/>
        <v>3.7319711591047899</v>
      </c>
      <c r="S123" s="12">
        <f t="shared" si="12"/>
        <v>3473621038.5599999</v>
      </c>
      <c r="T123" s="3">
        <f t="shared" si="18"/>
        <v>3.73357757354322</v>
      </c>
      <c r="U123" s="12">
        <f t="shared" si="19"/>
        <v>1406909862</v>
      </c>
      <c r="V123" s="4">
        <f t="shared" si="13"/>
        <v>3.73243423993799</v>
      </c>
      <c r="W123" s="3">
        <f t="shared" si="14"/>
        <v>3.8206332041683</v>
      </c>
      <c r="X123" s="12">
        <f t="shared" si="15"/>
        <v>923808049.01999998</v>
      </c>
      <c r="Y123" s="3">
        <f t="shared" si="20"/>
        <v>3.8492167967153001</v>
      </c>
      <c r="Z123" s="12">
        <f t="shared" si="21"/>
        <v>435434397</v>
      </c>
      <c r="AA123" s="4">
        <f t="shared" si="16"/>
        <v>3.8297899807398679</v>
      </c>
      <c r="AB123" s="13">
        <f t="shared" si="17"/>
        <v>-9.7355740801877921</v>
      </c>
    </row>
    <row r="124" spans="1:28" x14ac:dyDescent="0.25">
      <c r="A124" s="1">
        <v>41395</v>
      </c>
      <c r="B124">
        <v>3.7642436920987099</v>
      </c>
      <c r="C124">
        <v>3491432924.8699999</v>
      </c>
      <c r="E124" s="1">
        <v>41395</v>
      </c>
      <c r="F124">
        <v>3.8738365215856199</v>
      </c>
      <c r="G124">
        <v>943797573.45000005</v>
      </c>
      <c r="Q124" s="1">
        <v>41395</v>
      </c>
      <c r="R124" s="3">
        <f t="shared" si="11"/>
        <v>3.7642436920987099</v>
      </c>
      <c r="S124" s="12">
        <f t="shared" si="12"/>
        <v>3491432924.8699999</v>
      </c>
      <c r="T124" s="3">
        <f t="shared" si="18"/>
        <v>3.7613040262216999</v>
      </c>
      <c r="U124" s="12">
        <f t="shared" si="19"/>
        <v>1398983889</v>
      </c>
      <c r="V124" s="4">
        <f t="shared" si="13"/>
        <v>3.763402752490185</v>
      </c>
      <c r="W124" s="3">
        <f t="shared" si="14"/>
        <v>3.8738365215856199</v>
      </c>
      <c r="X124" s="12">
        <f t="shared" si="15"/>
        <v>943797573.45000005</v>
      </c>
      <c r="Y124" s="3">
        <f t="shared" si="20"/>
        <v>3.8755758057240701</v>
      </c>
      <c r="Z124" s="12">
        <f t="shared" si="21"/>
        <v>467749117</v>
      </c>
      <c r="AA124" s="4">
        <f t="shared" si="16"/>
        <v>3.874412874196183</v>
      </c>
      <c r="AB124" s="13">
        <f t="shared" si="17"/>
        <v>-11.1010121705998</v>
      </c>
    </row>
    <row r="125" spans="1:28" x14ac:dyDescent="0.25">
      <c r="A125" s="1">
        <v>41426</v>
      </c>
      <c r="B125">
        <v>3.71670003871303</v>
      </c>
      <c r="C125">
        <v>3574776967.75</v>
      </c>
      <c r="E125" s="1">
        <v>41426</v>
      </c>
      <c r="F125">
        <v>3.8266986279405</v>
      </c>
      <c r="G125">
        <v>920678812.71000004</v>
      </c>
      <c r="Q125" s="1">
        <v>41426</v>
      </c>
      <c r="R125" s="3">
        <f t="shared" si="11"/>
        <v>3.71670003871303</v>
      </c>
      <c r="S125" s="12">
        <f t="shared" si="12"/>
        <v>3574776967.75</v>
      </c>
      <c r="T125" s="3">
        <f t="shared" si="18"/>
        <v>3.7173294637179701</v>
      </c>
      <c r="U125" s="12">
        <f t="shared" si="19"/>
        <v>1626943702</v>
      </c>
      <c r="V125" s="4">
        <f t="shared" si="13"/>
        <v>3.7168969041567328</v>
      </c>
      <c r="W125" s="3">
        <f t="shared" si="14"/>
        <v>3.8266986279405</v>
      </c>
      <c r="X125" s="12">
        <f t="shared" si="15"/>
        <v>920678812.71000004</v>
      </c>
      <c r="Y125" s="3">
        <f t="shared" si="20"/>
        <v>3.8567514481113601</v>
      </c>
      <c r="Z125" s="12">
        <f t="shared" si="21"/>
        <v>505292286</v>
      </c>
      <c r="AA125" s="4">
        <f t="shared" si="16"/>
        <v>3.8373478326955039</v>
      </c>
      <c r="AB125" s="13">
        <f t="shared" si="17"/>
        <v>-12.045092853877115</v>
      </c>
    </row>
    <row r="126" spans="1:28" x14ac:dyDescent="0.25">
      <c r="A126" s="1">
        <v>41456</v>
      </c>
      <c r="B126">
        <v>3.79094825362262</v>
      </c>
      <c r="C126">
        <v>3270979081.1199999</v>
      </c>
      <c r="E126" s="1">
        <v>41456</v>
      </c>
      <c r="F126">
        <v>3.9033375802686501</v>
      </c>
      <c r="G126">
        <v>1046339127.54</v>
      </c>
      <c r="Q126" s="1">
        <v>41456</v>
      </c>
      <c r="R126" s="3">
        <f t="shared" si="11"/>
        <v>3.79094825362262</v>
      </c>
      <c r="S126" s="12">
        <f t="shared" si="12"/>
        <v>3270979081.1199999</v>
      </c>
      <c r="T126" s="3">
        <f t="shared" si="18"/>
        <v>3.7501655405750398</v>
      </c>
      <c r="U126" s="12">
        <f t="shared" si="19"/>
        <v>1504802517</v>
      </c>
      <c r="V126" s="4">
        <f t="shared" si="13"/>
        <v>3.7780980158168864</v>
      </c>
      <c r="W126" s="3">
        <f t="shared" si="14"/>
        <v>3.9033375802686501</v>
      </c>
      <c r="X126" s="12">
        <f t="shared" si="15"/>
        <v>1046339127.54</v>
      </c>
      <c r="Y126" s="3">
        <f t="shared" si="20"/>
        <v>3.9074154519006399</v>
      </c>
      <c r="Z126" s="12">
        <f t="shared" si="21"/>
        <v>500173071</v>
      </c>
      <c r="AA126" s="4">
        <f t="shared" si="16"/>
        <v>3.9046564457643385</v>
      </c>
      <c r="AB126" s="13">
        <f t="shared" si="17"/>
        <v>-12.655842994745203</v>
      </c>
    </row>
    <row r="127" spans="1:28" x14ac:dyDescent="0.25">
      <c r="A127" s="1">
        <v>41487</v>
      </c>
      <c r="B127">
        <v>4.0469352970283499</v>
      </c>
      <c r="C127">
        <v>2768165970.2399998</v>
      </c>
      <c r="E127" s="1">
        <v>41487</v>
      </c>
      <c r="F127">
        <v>4.2005281520308504</v>
      </c>
      <c r="G127">
        <v>999000219.96000004</v>
      </c>
      <c r="Q127" s="1">
        <v>41487</v>
      </c>
      <c r="R127" s="3">
        <f t="shared" si="11"/>
        <v>4.0469352970283499</v>
      </c>
      <c r="S127" s="12">
        <f t="shared" si="12"/>
        <v>2768165970.2399998</v>
      </c>
      <c r="T127" s="3">
        <f t="shared" si="18"/>
        <v>3.9373877410215501</v>
      </c>
      <c r="U127" s="12">
        <f t="shared" si="19"/>
        <v>1276360626</v>
      </c>
      <c r="V127" s="4">
        <f t="shared" si="13"/>
        <v>4.0123645793350615</v>
      </c>
      <c r="W127" s="3">
        <f t="shared" si="14"/>
        <v>4.2005281520308504</v>
      </c>
      <c r="X127" s="12">
        <f t="shared" si="15"/>
        <v>999000219.96000004</v>
      </c>
      <c r="Y127" s="3">
        <f t="shared" si="20"/>
        <v>4.0877022672058203</v>
      </c>
      <c r="Z127" s="12">
        <f t="shared" si="21"/>
        <v>499911736</v>
      </c>
      <c r="AA127" s="4">
        <f t="shared" si="16"/>
        <v>4.1628988678528529</v>
      </c>
      <c r="AB127" s="13">
        <f t="shared" si="17"/>
        <v>-15.053428851779138</v>
      </c>
    </row>
    <row r="128" spans="1:28" x14ac:dyDescent="0.25">
      <c r="A128" s="1">
        <v>41518</v>
      </c>
      <c r="B128">
        <v>4.36580623880175</v>
      </c>
      <c r="C128">
        <v>1836066398.5899999</v>
      </c>
      <c r="E128" s="1">
        <v>41518</v>
      </c>
      <c r="F128">
        <v>4.47713911953399</v>
      </c>
      <c r="G128">
        <v>738897404.46000004</v>
      </c>
      <c r="Q128" s="1">
        <v>41518</v>
      </c>
      <c r="R128" s="3">
        <f t="shared" si="11"/>
        <v>4.36580623880175</v>
      </c>
      <c r="S128" s="12">
        <f t="shared" si="12"/>
        <v>1836066398.5899999</v>
      </c>
      <c r="T128" s="3">
        <f t="shared" si="18"/>
        <v>4.3593780671516997</v>
      </c>
      <c r="U128" s="12">
        <f t="shared" si="19"/>
        <v>808096685</v>
      </c>
      <c r="V128" s="4">
        <f t="shared" si="13"/>
        <v>4.3638416912164457</v>
      </c>
      <c r="W128" s="3">
        <f t="shared" si="14"/>
        <v>4.47713911953399</v>
      </c>
      <c r="X128" s="12">
        <f t="shared" si="15"/>
        <v>738897404.46000004</v>
      </c>
      <c r="Y128" s="3">
        <f t="shared" si="20"/>
        <v>4.4930912738587097</v>
      </c>
      <c r="Z128" s="12">
        <f t="shared" si="21"/>
        <v>413868018</v>
      </c>
      <c r="AA128" s="4">
        <f t="shared" si="16"/>
        <v>4.4828662920918836</v>
      </c>
      <c r="AB128" s="13">
        <f t="shared" si="17"/>
        <v>-11.902460087543787</v>
      </c>
    </row>
    <row r="129" spans="1:28" x14ac:dyDescent="0.25">
      <c r="A129" s="1">
        <v>41548</v>
      </c>
      <c r="B129">
        <v>4.5932204442295896</v>
      </c>
      <c r="C129">
        <v>1595655151.51</v>
      </c>
      <c r="E129" s="1">
        <v>41548</v>
      </c>
      <c r="F129">
        <v>4.7198057486676497</v>
      </c>
      <c r="G129">
        <v>710022601.04999995</v>
      </c>
      <c r="Q129" s="1">
        <v>41548</v>
      </c>
      <c r="R129" s="3">
        <f t="shared" si="11"/>
        <v>4.5932204442295896</v>
      </c>
      <c r="S129" s="12">
        <f t="shared" si="12"/>
        <v>1595655151.51</v>
      </c>
      <c r="T129" s="3">
        <f t="shared" si="18"/>
        <v>4.4147212914983802</v>
      </c>
      <c r="U129" s="12">
        <f t="shared" si="19"/>
        <v>687429712</v>
      </c>
      <c r="V129" s="4">
        <f t="shared" si="13"/>
        <v>4.5394749076026182</v>
      </c>
      <c r="W129" s="3">
        <f t="shared" si="14"/>
        <v>4.7198057486676497</v>
      </c>
      <c r="X129" s="12">
        <f t="shared" si="15"/>
        <v>710022601.04999995</v>
      </c>
      <c r="Y129" s="3">
        <f t="shared" si="20"/>
        <v>4.63066568310854</v>
      </c>
      <c r="Z129" s="12">
        <f t="shared" si="21"/>
        <v>324130990</v>
      </c>
      <c r="AA129" s="4">
        <f t="shared" si="16"/>
        <v>4.6918669028826603</v>
      </c>
      <c r="AB129" s="13">
        <f t="shared" si="17"/>
        <v>-15.23919952800421</v>
      </c>
    </row>
    <row r="130" spans="1:28" x14ac:dyDescent="0.25">
      <c r="A130" s="1">
        <v>41579</v>
      </c>
      <c r="B130">
        <v>4.5617060761150796</v>
      </c>
      <c r="C130">
        <v>1317788186.6300001</v>
      </c>
      <c r="E130" s="1">
        <v>41579</v>
      </c>
      <c r="F130">
        <v>4.7187473655486301</v>
      </c>
      <c r="G130">
        <v>608900665.64999998</v>
      </c>
      <c r="Q130" s="1">
        <v>41579</v>
      </c>
      <c r="R130" s="3">
        <f t="shared" si="11"/>
        <v>4.5617060761150796</v>
      </c>
      <c r="S130" s="12">
        <f t="shared" si="12"/>
        <v>1317788186.6300001</v>
      </c>
      <c r="T130" s="3">
        <f t="shared" si="18"/>
        <v>4.5732787235796701</v>
      </c>
      <c r="U130" s="12">
        <f t="shared" si="19"/>
        <v>665825594</v>
      </c>
      <c r="V130" s="4">
        <f t="shared" si="13"/>
        <v>4.565590584756583</v>
      </c>
      <c r="W130" s="3">
        <f t="shared" si="14"/>
        <v>4.7187473655486301</v>
      </c>
      <c r="X130" s="12">
        <f t="shared" si="15"/>
        <v>608900665.64999998</v>
      </c>
      <c r="Y130" s="3">
        <f t="shared" si="20"/>
        <v>4.7296970462135404</v>
      </c>
      <c r="Z130" s="12">
        <f t="shared" si="21"/>
        <v>335637330</v>
      </c>
      <c r="AA130" s="4">
        <f t="shared" si="16"/>
        <v>4.7226382853418496</v>
      </c>
      <c r="AB130" s="13">
        <f t="shared" si="17"/>
        <v>-15.704770058526663</v>
      </c>
    </row>
    <row r="131" spans="1:28" x14ac:dyDescent="0.25">
      <c r="A131" s="1">
        <v>41609</v>
      </c>
      <c r="B131">
        <v>4.4709243475289204</v>
      </c>
      <c r="C131">
        <v>1113918763</v>
      </c>
      <c r="E131" s="1">
        <v>41609</v>
      </c>
      <c r="F131">
        <v>4.63652373190821</v>
      </c>
      <c r="G131">
        <v>580585361</v>
      </c>
      <c r="Q131" s="1">
        <v>41609</v>
      </c>
      <c r="R131" s="3">
        <f t="shared" si="11"/>
        <v>4.4709243475289204</v>
      </c>
      <c r="S131" s="12">
        <f t="shared" si="12"/>
        <v>1113918763</v>
      </c>
      <c r="T131" s="3">
        <f t="shared" si="18"/>
        <v>4.4794699025000302</v>
      </c>
      <c r="U131" s="12">
        <f t="shared" si="19"/>
        <v>891965563</v>
      </c>
      <c r="V131" s="4">
        <f t="shared" si="13"/>
        <v>4.4747243377138748</v>
      </c>
      <c r="W131" s="3">
        <f t="shared" si="14"/>
        <v>4.63652373190821</v>
      </c>
      <c r="X131" s="12">
        <f t="shared" si="15"/>
        <v>580585361</v>
      </c>
      <c r="Y131" s="3">
        <f t="shared" si="20"/>
        <v>4.6288001751315901</v>
      </c>
      <c r="Z131" s="12">
        <f t="shared" si="21"/>
        <v>420007598</v>
      </c>
      <c r="AA131" s="4">
        <f t="shared" si="16"/>
        <v>4.6332817017693948</v>
      </c>
      <c r="AB131" s="13">
        <f t="shared" si="17"/>
        <v>-15.855736405552001</v>
      </c>
    </row>
    <row r="132" spans="1:28" x14ac:dyDescent="0.25">
      <c r="A132" s="1">
        <v>41640</v>
      </c>
      <c r="B132">
        <v>4.5096000956954896</v>
      </c>
      <c r="C132">
        <v>784236734.92999995</v>
      </c>
      <c r="E132" s="1">
        <v>41640</v>
      </c>
      <c r="F132">
        <v>4.6486841384429098</v>
      </c>
      <c r="G132">
        <v>461357404</v>
      </c>
      <c r="Q132" s="1">
        <v>41640</v>
      </c>
      <c r="R132" s="3">
        <f t="shared" ref="R132:R155" si="22">VLOOKUP($Q132,A:C,2,0)</f>
        <v>4.5096000956954896</v>
      </c>
      <c r="S132" s="12">
        <f t="shared" ref="S132:S155" si="23">VLOOKUP($Q132,A:C,3,0)</f>
        <v>784236734.92999995</v>
      </c>
      <c r="T132" s="3">
        <f t="shared" si="18"/>
        <v>4.4929369396430401</v>
      </c>
      <c r="U132" s="12">
        <f t="shared" si="19"/>
        <v>673446965</v>
      </c>
      <c r="V132" s="4">
        <f t="shared" ref="V132:V155" si="24">(R132*S132+T132*U132)/(S132+U132)</f>
        <v>4.5019017507998296</v>
      </c>
      <c r="W132" s="3">
        <f t="shared" ref="W132:W187" si="25">VLOOKUP($Q132,E:G,2,0)</f>
        <v>4.6486841384429098</v>
      </c>
      <c r="X132" s="12">
        <f t="shared" ref="X132:X187" si="26">VLOOKUP($Q132,E:G,3,0)</f>
        <v>461357404</v>
      </c>
      <c r="Y132" s="3">
        <f t="shared" si="20"/>
        <v>4.6508724028325297</v>
      </c>
      <c r="Z132" s="12">
        <f t="shared" si="21"/>
        <v>324385994</v>
      </c>
      <c r="AA132" s="4">
        <f t="shared" ref="AA132:AA155" si="27">(W132*X132+Y132*Z132)/(X132+Z132)</f>
        <v>4.6495875406489846</v>
      </c>
      <c r="AB132" s="13">
        <f t="shared" ref="AB132:AB155" si="28">(V132-AA132)*100</f>
        <v>-14.768578984915504</v>
      </c>
    </row>
    <row r="133" spans="1:28" x14ac:dyDescent="0.25">
      <c r="A133" s="1">
        <v>41671</v>
      </c>
      <c r="B133">
        <v>4.5941940140378099</v>
      </c>
      <c r="C133">
        <v>699096839.00999999</v>
      </c>
      <c r="E133" s="1">
        <v>41671</v>
      </c>
      <c r="F133">
        <v>4.7325640081626199</v>
      </c>
      <c r="G133">
        <v>473937455.89999998</v>
      </c>
      <c r="Q133" s="1">
        <v>41671</v>
      </c>
      <c r="R133" s="3">
        <f t="shared" si="22"/>
        <v>4.5941940140378099</v>
      </c>
      <c r="S133" s="12">
        <f t="shared" si="23"/>
        <v>699096839.00999999</v>
      </c>
      <c r="T133" s="3">
        <f t="shared" si="18"/>
        <v>4.5707246682131197</v>
      </c>
      <c r="U133" s="12">
        <f t="shared" si="19"/>
        <v>543870516</v>
      </c>
      <c r="V133" s="4">
        <f t="shared" si="24"/>
        <v>4.5839248101263737</v>
      </c>
      <c r="W133" s="3">
        <f t="shared" si="25"/>
        <v>4.7325640081626199</v>
      </c>
      <c r="X133" s="12">
        <f t="shared" si="26"/>
        <v>473937455.89999998</v>
      </c>
      <c r="Y133" s="3">
        <f t="shared" si="20"/>
        <v>4.7295354452043501</v>
      </c>
      <c r="Z133" s="12">
        <f t="shared" si="21"/>
        <v>316818148</v>
      </c>
      <c r="AA133" s="4">
        <f t="shared" si="27"/>
        <v>4.731350607077875</v>
      </c>
      <c r="AB133" s="13">
        <f t="shared" si="28"/>
        <v>-14.742579695150138</v>
      </c>
    </row>
    <row r="134" spans="1:28" x14ac:dyDescent="0.25">
      <c r="A134" s="1">
        <v>41699</v>
      </c>
      <c r="B134">
        <v>4.5823284699151996</v>
      </c>
      <c r="C134">
        <v>536692390.5</v>
      </c>
      <c r="E134" s="1">
        <v>41699</v>
      </c>
      <c r="F134">
        <v>4.7193278081579599</v>
      </c>
      <c r="G134">
        <v>372681323</v>
      </c>
      <c r="Q134" s="1">
        <v>41699</v>
      </c>
      <c r="R134" s="3">
        <f t="shared" si="22"/>
        <v>4.5823284699151996</v>
      </c>
      <c r="S134" s="12">
        <f t="shared" si="23"/>
        <v>536692390.5</v>
      </c>
      <c r="T134" s="3">
        <f t="shared" si="18"/>
        <v>4.5929797358076403</v>
      </c>
      <c r="U134" s="12">
        <f t="shared" si="19"/>
        <v>481081744</v>
      </c>
      <c r="V134" s="4">
        <f t="shared" si="24"/>
        <v>4.5873631130620902</v>
      </c>
      <c r="W134" s="3">
        <f t="shared" si="25"/>
        <v>4.7193278081579599</v>
      </c>
      <c r="X134" s="12">
        <f t="shared" si="26"/>
        <v>372681323</v>
      </c>
      <c r="Y134" s="3">
        <f t="shared" si="20"/>
        <v>4.7334097122316896</v>
      </c>
      <c r="Z134" s="12">
        <f t="shared" si="21"/>
        <v>292290700</v>
      </c>
      <c r="AA134" s="4">
        <f t="shared" si="27"/>
        <v>4.7255175566837302</v>
      </c>
      <c r="AB134" s="13">
        <f t="shared" si="28"/>
        <v>-13.815444362163998</v>
      </c>
    </row>
    <row r="135" spans="1:28" x14ac:dyDescent="0.25">
      <c r="A135" s="1">
        <v>41730</v>
      </c>
      <c r="B135">
        <v>4.5359750162366401</v>
      </c>
      <c r="C135">
        <v>729557462.5</v>
      </c>
      <c r="E135" s="1">
        <v>41730</v>
      </c>
      <c r="F135">
        <v>4.6752357183211997</v>
      </c>
      <c r="G135">
        <v>460443208</v>
      </c>
      <c r="Q135" s="1">
        <v>41730</v>
      </c>
      <c r="R135" s="3">
        <f t="shared" si="22"/>
        <v>4.5359750162366401</v>
      </c>
      <c r="S135" s="12">
        <f t="shared" si="23"/>
        <v>729557462.5</v>
      </c>
      <c r="T135" s="3">
        <f t="shared" si="18"/>
        <v>4.5438522265321399</v>
      </c>
      <c r="U135" s="12">
        <f t="shared" si="19"/>
        <v>617489603</v>
      </c>
      <c r="V135" s="4">
        <f t="shared" si="24"/>
        <v>4.5395859483136949</v>
      </c>
      <c r="W135" s="3">
        <f t="shared" si="25"/>
        <v>4.6752357183211997</v>
      </c>
      <c r="X135" s="12">
        <f t="shared" si="26"/>
        <v>460443208</v>
      </c>
      <c r="Y135" s="3">
        <f t="shared" si="20"/>
        <v>4.7068270159300898</v>
      </c>
      <c r="Z135" s="12">
        <f t="shared" si="21"/>
        <v>354636615</v>
      </c>
      <c r="AA135" s="4">
        <f t="shared" si="27"/>
        <v>4.6889809130019344</v>
      </c>
      <c r="AB135" s="13">
        <f t="shared" si="28"/>
        <v>-14.939496468823954</v>
      </c>
    </row>
    <row r="136" spans="1:28" x14ac:dyDescent="0.25">
      <c r="A136" s="1">
        <v>41760</v>
      </c>
      <c r="B136">
        <v>4.5437063063434602</v>
      </c>
      <c r="C136">
        <v>712207204.76999998</v>
      </c>
      <c r="E136" s="1">
        <v>41760</v>
      </c>
      <c r="F136">
        <v>4.6867466548070196</v>
      </c>
      <c r="G136">
        <v>458678376.58999997</v>
      </c>
      <c r="Q136" s="1">
        <v>41760</v>
      </c>
      <c r="R136" s="3">
        <f t="shared" si="22"/>
        <v>4.5437063063434602</v>
      </c>
      <c r="S136" s="12">
        <f t="shared" si="23"/>
        <v>712207204.76999998</v>
      </c>
      <c r="T136" s="3">
        <f t="shared" si="18"/>
        <v>4.5334494332254804</v>
      </c>
      <c r="U136" s="12">
        <f t="shared" si="19"/>
        <v>638741937</v>
      </c>
      <c r="V136" s="4">
        <f t="shared" si="24"/>
        <v>4.5388567566451217</v>
      </c>
      <c r="W136" s="3">
        <f t="shared" si="25"/>
        <v>4.6867466548070196</v>
      </c>
      <c r="X136" s="12">
        <f t="shared" si="26"/>
        <v>458678376.58999997</v>
      </c>
      <c r="Y136" s="3">
        <f t="shared" si="20"/>
        <v>4.7044445634736203</v>
      </c>
      <c r="Z136" s="12">
        <f t="shared" si="21"/>
        <v>340490733</v>
      </c>
      <c r="AA136" s="4">
        <f t="shared" si="27"/>
        <v>4.6942869536275653</v>
      </c>
      <c r="AB136" s="13">
        <f t="shared" si="28"/>
        <v>-15.543019698244365</v>
      </c>
    </row>
    <row r="137" spans="1:28" x14ac:dyDescent="0.25">
      <c r="A137" s="1">
        <v>41791</v>
      </c>
      <c r="B137">
        <v>4.4832148096159896</v>
      </c>
      <c r="C137">
        <v>805035149.46000004</v>
      </c>
      <c r="E137" s="1">
        <v>41791</v>
      </c>
      <c r="F137">
        <v>4.6461696320129198</v>
      </c>
      <c r="G137">
        <v>486825036.60000002</v>
      </c>
      <c r="Q137" s="1">
        <v>41791</v>
      </c>
      <c r="R137" s="3">
        <f t="shared" si="22"/>
        <v>4.4832148096159896</v>
      </c>
      <c r="S137" s="12">
        <f t="shared" si="23"/>
        <v>805035149.46000004</v>
      </c>
      <c r="T137" s="3">
        <f t="shared" si="18"/>
        <v>4.49627919838517</v>
      </c>
      <c r="U137" s="12">
        <f t="shared" si="19"/>
        <v>732900120</v>
      </c>
      <c r="V137" s="4">
        <f t="shared" si="24"/>
        <v>4.4894406191716945</v>
      </c>
      <c r="W137" s="3">
        <f t="shared" si="25"/>
        <v>4.6461696320129198</v>
      </c>
      <c r="X137" s="12">
        <f t="shared" si="26"/>
        <v>486825036.60000002</v>
      </c>
      <c r="Y137" s="3">
        <f t="shared" si="20"/>
        <v>4.6578751028706904</v>
      </c>
      <c r="Z137" s="12">
        <f t="shared" si="21"/>
        <v>388053915</v>
      </c>
      <c r="AA137" s="4">
        <f t="shared" si="27"/>
        <v>4.6513616117547674</v>
      </c>
      <c r="AB137" s="13">
        <f t="shared" si="28"/>
        <v>-16.192099258307291</v>
      </c>
    </row>
    <row r="138" spans="1:28" x14ac:dyDescent="0.25">
      <c r="A138" s="1">
        <v>41821</v>
      </c>
      <c r="B138">
        <v>4.3779581166224197</v>
      </c>
      <c r="C138">
        <v>1071143146.53</v>
      </c>
      <c r="E138" s="1">
        <v>41821</v>
      </c>
      <c r="F138">
        <v>4.5284228965983502</v>
      </c>
      <c r="G138">
        <v>645522131.61000001</v>
      </c>
      <c r="Q138" s="1">
        <v>41821</v>
      </c>
      <c r="R138" s="3">
        <f t="shared" si="22"/>
        <v>4.3779581166224197</v>
      </c>
      <c r="S138" s="12">
        <f t="shared" si="23"/>
        <v>1071143146.53</v>
      </c>
      <c r="T138" s="3">
        <f t="shared" si="18"/>
        <v>4.4008881048557598</v>
      </c>
      <c r="U138" s="12">
        <f t="shared" si="19"/>
        <v>828187511</v>
      </c>
      <c r="V138" s="4">
        <f t="shared" si="24"/>
        <v>4.3879565493897426</v>
      </c>
      <c r="W138" s="3">
        <f t="shared" si="25"/>
        <v>4.5284228965983502</v>
      </c>
      <c r="X138" s="12">
        <f t="shared" si="26"/>
        <v>645522131.61000001</v>
      </c>
      <c r="Y138" s="3">
        <f t="shared" si="20"/>
        <v>4.5823441415845503</v>
      </c>
      <c r="Z138" s="12">
        <f t="shared" si="21"/>
        <v>449054915</v>
      </c>
      <c r="AA138" s="4">
        <f t="shared" si="27"/>
        <v>4.5505443179811236</v>
      </c>
      <c r="AB138" s="13">
        <f t="shared" si="28"/>
        <v>-16.258776859138102</v>
      </c>
    </row>
    <row r="139" spans="1:28" x14ac:dyDescent="0.25">
      <c r="A139" s="1">
        <v>41852</v>
      </c>
      <c r="B139">
        <v>4.3435134417397903</v>
      </c>
      <c r="C139">
        <v>1026962738.37</v>
      </c>
      <c r="E139" s="1">
        <v>41852</v>
      </c>
      <c r="F139">
        <v>4.50843281793576</v>
      </c>
      <c r="G139">
        <v>675165244.45000005</v>
      </c>
      <c r="Q139" s="1">
        <v>41852</v>
      </c>
      <c r="R139" s="3">
        <f t="shared" si="22"/>
        <v>4.3435134417397903</v>
      </c>
      <c r="S139" s="12">
        <f t="shared" si="23"/>
        <v>1026962738.37</v>
      </c>
      <c r="T139" s="3">
        <f t="shared" si="18"/>
        <v>4.3383262701807102</v>
      </c>
      <c r="U139" s="12">
        <f t="shared" si="19"/>
        <v>1129902433</v>
      </c>
      <c r="V139" s="4">
        <f t="shared" si="24"/>
        <v>4.3407960731055377</v>
      </c>
      <c r="W139" s="3">
        <f t="shared" si="25"/>
        <v>4.50843281793576</v>
      </c>
      <c r="X139" s="12">
        <f t="shared" si="26"/>
        <v>675165244.45000005</v>
      </c>
      <c r="Y139" s="3">
        <f t="shared" si="20"/>
        <v>4.5016928261345601</v>
      </c>
      <c r="Z139" s="12">
        <f t="shared" si="21"/>
        <v>629833657</v>
      </c>
      <c r="AA139" s="4">
        <f t="shared" si="27"/>
        <v>4.5051798851711551</v>
      </c>
      <c r="AB139" s="13">
        <f t="shared" si="28"/>
        <v>-16.438381206561736</v>
      </c>
    </row>
    <row r="140" spans="1:28" x14ac:dyDescent="0.25">
      <c r="A140" s="1">
        <v>41883</v>
      </c>
      <c r="B140">
        <v>4.3492381075348296</v>
      </c>
      <c r="C140">
        <v>1382557658.9300001</v>
      </c>
      <c r="E140" s="1">
        <v>41883</v>
      </c>
      <c r="F140">
        <v>4.49759714765338</v>
      </c>
      <c r="G140">
        <v>759966032.16999996</v>
      </c>
      <c r="Q140" s="1">
        <v>41883</v>
      </c>
      <c r="R140" s="3">
        <f t="shared" si="22"/>
        <v>4.3492381075348296</v>
      </c>
      <c r="S140" s="12">
        <f t="shared" si="23"/>
        <v>1382557658.9300001</v>
      </c>
      <c r="T140" s="3">
        <f t="shared" si="18"/>
        <v>4.3701793329415404</v>
      </c>
      <c r="U140" s="12">
        <f t="shared" si="19"/>
        <v>919814082</v>
      </c>
      <c r="V140" s="4">
        <f t="shared" si="24"/>
        <v>4.3576042778108981</v>
      </c>
      <c r="W140" s="3">
        <f t="shared" si="25"/>
        <v>4.49759714765338</v>
      </c>
      <c r="X140" s="12">
        <f t="shared" si="26"/>
        <v>759966032.16999996</v>
      </c>
      <c r="Y140" s="3">
        <f t="shared" si="20"/>
        <v>4.5437751078459003</v>
      </c>
      <c r="Z140" s="12">
        <f t="shared" si="21"/>
        <v>564303786</v>
      </c>
      <c r="AA140" s="4">
        <f t="shared" si="27"/>
        <v>4.5172747068704329</v>
      </c>
      <c r="AB140" s="13">
        <f t="shared" si="28"/>
        <v>-15.967042905953477</v>
      </c>
    </row>
    <row r="141" spans="1:28" x14ac:dyDescent="0.25">
      <c r="A141" s="1">
        <v>41913</v>
      </c>
      <c r="B141">
        <v>4.3140294119880798</v>
      </c>
      <c r="C141">
        <v>1228104141.01</v>
      </c>
      <c r="E141" s="1">
        <v>41913</v>
      </c>
      <c r="F141">
        <v>4.4727286066167498</v>
      </c>
      <c r="G141">
        <v>771060524.97000003</v>
      </c>
      <c r="Q141" s="1">
        <v>41913</v>
      </c>
      <c r="R141" s="3">
        <f t="shared" si="22"/>
        <v>4.3140294119880798</v>
      </c>
      <c r="S141" s="12">
        <f t="shared" si="23"/>
        <v>1228104141.01</v>
      </c>
      <c r="T141" s="3">
        <f t="shared" si="18"/>
        <v>4.3439259090313804</v>
      </c>
      <c r="U141" s="12">
        <f t="shared" si="19"/>
        <v>984418295</v>
      </c>
      <c r="V141" s="4">
        <f t="shared" si="24"/>
        <v>4.3273312697079556</v>
      </c>
      <c r="W141" s="3">
        <f t="shared" si="25"/>
        <v>4.4727286066167498</v>
      </c>
      <c r="X141" s="12">
        <f t="shared" si="26"/>
        <v>771060524.97000003</v>
      </c>
      <c r="Y141" s="3">
        <f t="shared" si="20"/>
        <v>4.5079627603474801</v>
      </c>
      <c r="Z141" s="12">
        <f t="shared" si="21"/>
        <v>621725028</v>
      </c>
      <c r="AA141" s="4">
        <f t="shared" si="27"/>
        <v>4.4884567674725844</v>
      </c>
      <c r="AB141" s="13">
        <f t="shared" si="28"/>
        <v>-16.112549776462881</v>
      </c>
    </row>
    <row r="142" spans="1:28" x14ac:dyDescent="0.25">
      <c r="A142" s="1">
        <v>41944</v>
      </c>
      <c r="B142">
        <v>4.3726302289769103</v>
      </c>
      <c r="C142">
        <v>971401429.96000004</v>
      </c>
      <c r="E142" s="1">
        <v>41944</v>
      </c>
      <c r="F142">
        <v>4.4782362975769301</v>
      </c>
      <c r="G142">
        <v>602420300.55999994</v>
      </c>
      <c r="Q142" s="1">
        <v>41944</v>
      </c>
      <c r="R142" s="3">
        <f t="shared" si="22"/>
        <v>4.3726302289769103</v>
      </c>
      <c r="S142" s="12">
        <f t="shared" si="23"/>
        <v>971401429.96000004</v>
      </c>
      <c r="T142" s="3">
        <f t="shared" si="18"/>
        <v>4.3294128761663098</v>
      </c>
      <c r="U142" s="12">
        <f t="shared" si="19"/>
        <v>915680499</v>
      </c>
      <c r="V142" s="4">
        <f t="shared" si="24"/>
        <v>4.3516596041302833</v>
      </c>
      <c r="W142" s="3">
        <f t="shared" si="25"/>
        <v>4.4782362975769301</v>
      </c>
      <c r="X142" s="12">
        <f t="shared" si="26"/>
        <v>602420300.55999994</v>
      </c>
      <c r="Y142" s="3">
        <f t="shared" si="20"/>
        <v>4.4936127349379298</v>
      </c>
      <c r="Z142" s="12">
        <f t="shared" si="21"/>
        <v>547767601</v>
      </c>
      <c r="AA142" s="4">
        <f t="shared" si="27"/>
        <v>4.4855592003771925</v>
      </c>
      <c r="AB142" s="13">
        <f t="shared" si="28"/>
        <v>-13.389959624690917</v>
      </c>
    </row>
    <row r="143" spans="1:28" x14ac:dyDescent="0.25">
      <c r="A143" s="1">
        <v>41974</v>
      </c>
      <c r="B143">
        <v>4.22567975546903</v>
      </c>
      <c r="C143">
        <v>1531695961.54</v>
      </c>
      <c r="E143" s="1">
        <v>41974</v>
      </c>
      <c r="F143">
        <v>4.3995218837507899</v>
      </c>
      <c r="G143">
        <v>940379802.50999999</v>
      </c>
      <c r="Q143" s="1">
        <v>41974</v>
      </c>
      <c r="R143" s="3">
        <f t="shared" si="22"/>
        <v>4.22567975546903</v>
      </c>
      <c r="S143" s="12">
        <f t="shared" si="23"/>
        <v>1531695961.54</v>
      </c>
      <c r="T143" s="3">
        <f t="shared" si="18"/>
        <v>4.2521429390292003</v>
      </c>
      <c r="U143" s="12">
        <f t="shared" si="19"/>
        <v>957114028</v>
      </c>
      <c r="V143" s="4">
        <f t="shared" si="24"/>
        <v>4.2358566208454258</v>
      </c>
      <c r="W143" s="3">
        <f t="shared" si="25"/>
        <v>4.3995218837507899</v>
      </c>
      <c r="X143" s="12">
        <f t="shared" si="26"/>
        <v>940379802.50999999</v>
      </c>
      <c r="Y143" s="3">
        <f t="shared" si="20"/>
        <v>4.4312745510803797</v>
      </c>
      <c r="Z143" s="12">
        <f t="shared" si="21"/>
        <v>580111762</v>
      </c>
      <c r="AA143" s="4">
        <f t="shared" si="27"/>
        <v>4.4116364500020691</v>
      </c>
      <c r="AB143" s="13">
        <f t="shared" si="28"/>
        <v>-17.577982915664325</v>
      </c>
    </row>
    <row r="144" spans="1:28" x14ac:dyDescent="0.25">
      <c r="A144" s="1">
        <v>42005</v>
      </c>
      <c r="B144">
        <v>4.1653066353769699</v>
      </c>
      <c r="C144">
        <v>1243516118.9400001</v>
      </c>
      <c r="E144" s="1">
        <v>42005</v>
      </c>
      <c r="F144">
        <v>4.3245560084478898</v>
      </c>
      <c r="G144">
        <v>758695867.41999996</v>
      </c>
      <c r="Q144" s="1">
        <v>42005</v>
      </c>
      <c r="R144" s="3">
        <f t="shared" si="22"/>
        <v>4.1653066353769699</v>
      </c>
      <c r="S144" s="12">
        <f t="shared" si="23"/>
        <v>1243516118.9400001</v>
      </c>
      <c r="T144" s="3">
        <f t="shared" si="18"/>
        <v>4.1968054631914802</v>
      </c>
      <c r="U144" s="12">
        <f t="shared" si="19"/>
        <v>1006405361</v>
      </c>
      <c r="V144" s="4">
        <f t="shared" si="24"/>
        <v>4.1793962778202189</v>
      </c>
      <c r="W144" s="3">
        <f t="shared" si="25"/>
        <v>4.3245560084478898</v>
      </c>
      <c r="X144" s="12">
        <f t="shared" si="26"/>
        <v>758695867.41999996</v>
      </c>
      <c r="Y144" s="3">
        <f t="shared" si="20"/>
        <v>4.3877782862072401</v>
      </c>
      <c r="Z144" s="12">
        <f t="shared" si="21"/>
        <v>558211370</v>
      </c>
      <c r="AA144" s="4">
        <f t="shared" si="27"/>
        <v>4.3513547026001875</v>
      </c>
      <c r="AB144" s="13">
        <f t="shared" si="28"/>
        <v>-17.195842477996859</v>
      </c>
    </row>
    <row r="145" spans="1:28" x14ac:dyDescent="0.25">
      <c r="A145" s="1">
        <v>42036</v>
      </c>
      <c r="B145">
        <v>4.0332638289727303</v>
      </c>
      <c r="C145">
        <v>1327020650.8299999</v>
      </c>
      <c r="E145" s="1">
        <v>42036</v>
      </c>
      <c r="F145">
        <v>4.2382862824552099</v>
      </c>
      <c r="G145">
        <v>707655201.46000004</v>
      </c>
      <c r="Q145" s="1">
        <v>42036</v>
      </c>
      <c r="R145" s="3">
        <f t="shared" si="22"/>
        <v>4.0332638289727303</v>
      </c>
      <c r="S145" s="12">
        <f t="shared" si="23"/>
        <v>1327020650.8299999</v>
      </c>
      <c r="T145" s="3">
        <f t="shared" si="18"/>
        <v>4.0139895735313598</v>
      </c>
      <c r="U145" s="12">
        <f t="shared" si="19"/>
        <v>1583124601</v>
      </c>
      <c r="V145" s="4">
        <f t="shared" si="24"/>
        <v>4.0227785970290659</v>
      </c>
      <c r="W145" s="3">
        <f t="shared" si="25"/>
        <v>4.2382862824552099</v>
      </c>
      <c r="X145" s="12">
        <f t="shared" si="26"/>
        <v>707655201.46000004</v>
      </c>
      <c r="Y145" s="3">
        <f t="shared" si="20"/>
        <v>4.2068484789766796</v>
      </c>
      <c r="Z145" s="12">
        <f t="shared" si="21"/>
        <v>720170420</v>
      </c>
      <c r="AA145" s="4">
        <f t="shared" si="27"/>
        <v>4.2224296009426174</v>
      </c>
      <c r="AB145" s="13">
        <f t="shared" si="28"/>
        <v>-19.965100391355151</v>
      </c>
    </row>
    <row r="146" spans="1:28" x14ac:dyDescent="0.25">
      <c r="A146" s="1">
        <v>42064</v>
      </c>
      <c r="B146">
        <v>3.9302669464228899</v>
      </c>
      <c r="C146">
        <v>2028078686.6500001</v>
      </c>
      <c r="E146" s="1">
        <v>42064</v>
      </c>
      <c r="F146">
        <v>4.0856669438492501</v>
      </c>
      <c r="G146">
        <v>930382116.25999999</v>
      </c>
      <c r="Q146" s="1">
        <v>42064</v>
      </c>
      <c r="R146" s="3">
        <f t="shared" si="22"/>
        <v>3.9302669464228899</v>
      </c>
      <c r="S146" s="12">
        <f t="shared" si="23"/>
        <v>2028078686.6500001</v>
      </c>
      <c r="T146" s="3">
        <f t="shared" si="18"/>
        <v>3.9431534218242899</v>
      </c>
      <c r="U146" s="12">
        <f t="shared" si="19"/>
        <v>1470042460</v>
      </c>
      <c r="V146" s="4">
        <f t="shared" si="24"/>
        <v>3.9356823294830066</v>
      </c>
      <c r="W146" s="3">
        <f t="shared" si="25"/>
        <v>4.0856669438492501</v>
      </c>
      <c r="X146" s="12">
        <f t="shared" si="26"/>
        <v>930382116.25999999</v>
      </c>
      <c r="Y146" s="3">
        <f t="shared" si="20"/>
        <v>4.1805771471639002</v>
      </c>
      <c r="Z146" s="12">
        <f t="shared" si="21"/>
        <v>624644116</v>
      </c>
      <c r="AA146" s="4">
        <f t="shared" si="27"/>
        <v>4.1237917669673125</v>
      </c>
      <c r="AB146" s="13">
        <f t="shared" si="28"/>
        <v>-18.810943748430596</v>
      </c>
    </row>
    <row r="147" spans="1:28" x14ac:dyDescent="0.25">
      <c r="A147" s="1">
        <v>42095</v>
      </c>
      <c r="B147">
        <v>3.9069269810356402</v>
      </c>
      <c r="C147">
        <v>1998801913.9000001</v>
      </c>
      <c r="E147" s="1">
        <v>42095</v>
      </c>
      <c r="F147">
        <v>4.0812877668806102</v>
      </c>
      <c r="G147">
        <v>914906433.22000003</v>
      </c>
      <c r="Q147" s="1">
        <v>42095</v>
      </c>
      <c r="R147" s="3">
        <f t="shared" si="22"/>
        <v>3.9069269810356402</v>
      </c>
      <c r="S147" s="12">
        <f t="shared" si="23"/>
        <v>1998801913.9000001</v>
      </c>
      <c r="T147" s="3">
        <f t="shared" si="18"/>
        <v>3.92506239550021</v>
      </c>
      <c r="U147" s="12">
        <f t="shared" si="19"/>
        <v>1652164942</v>
      </c>
      <c r="V147" s="4">
        <f t="shared" si="24"/>
        <v>3.9151337649286742</v>
      </c>
      <c r="W147" s="3">
        <f t="shared" si="25"/>
        <v>4.0812877668806102</v>
      </c>
      <c r="X147" s="12">
        <f t="shared" si="26"/>
        <v>914906433.22000003</v>
      </c>
      <c r="Y147" s="3">
        <f t="shared" si="20"/>
        <v>4.1154357596153996</v>
      </c>
      <c r="Z147" s="12">
        <f t="shared" si="21"/>
        <v>726906140</v>
      </c>
      <c r="AA147" s="4">
        <f t="shared" si="27"/>
        <v>4.0964066580332776</v>
      </c>
      <c r="AB147" s="13">
        <f t="shared" si="28"/>
        <v>-18.127289310460348</v>
      </c>
    </row>
    <row r="148" spans="1:28" x14ac:dyDescent="0.25">
      <c r="A148" s="1">
        <v>42125</v>
      </c>
      <c r="B148">
        <v>3.95537915891359</v>
      </c>
      <c r="C148">
        <v>1793745352.46</v>
      </c>
      <c r="E148" s="1">
        <v>42125</v>
      </c>
      <c r="F148">
        <v>4.1052167651814297</v>
      </c>
      <c r="G148">
        <v>776371405.85000002</v>
      </c>
      <c r="Q148" s="1">
        <v>42125</v>
      </c>
      <c r="R148" s="3">
        <f t="shared" si="22"/>
        <v>3.95537915891359</v>
      </c>
      <c r="S148" s="12">
        <f t="shared" si="23"/>
        <v>1793745352.46</v>
      </c>
      <c r="T148" s="3">
        <f t="shared" si="18"/>
        <v>3.9479226811703301</v>
      </c>
      <c r="U148" s="12">
        <f t="shared" si="19"/>
        <v>1686564910</v>
      </c>
      <c r="V148" s="4">
        <f t="shared" si="24"/>
        <v>3.9517657357514007</v>
      </c>
      <c r="W148" s="3">
        <f t="shared" si="25"/>
        <v>4.1052167651814297</v>
      </c>
      <c r="X148" s="12">
        <f t="shared" si="26"/>
        <v>776371405.85000002</v>
      </c>
      <c r="Y148" s="3">
        <f t="shared" si="20"/>
        <v>4.12618749840966</v>
      </c>
      <c r="Z148" s="12">
        <f t="shared" si="21"/>
        <v>825573461</v>
      </c>
      <c r="AA148" s="4">
        <f t="shared" si="27"/>
        <v>4.1160241788254348</v>
      </c>
      <c r="AB148" s="13">
        <f t="shared" si="28"/>
        <v>-16.425844307403416</v>
      </c>
    </row>
    <row r="149" spans="1:28" x14ac:dyDescent="0.25">
      <c r="A149" s="1">
        <v>42156</v>
      </c>
      <c r="B149">
        <v>3.90299209044379</v>
      </c>
      <c r="C149">
        <v>2271480026.48</v>
      </c>
      <c r="E149" s="1">
        <v>42156</v>
      </c>
      <c r="F149">
        <v>4.0908534100992098</v>
      </c>
      <c r="G149">
        <v>852814593.73000002</v>
      </c>
      <c r="Q149" s="1">
        <v>42156</v>
      </c>
      <c r="R149" s="3">
        <f t="shared" si="22"/>
        <v>3.90299209044379</v>
      </c>
      <c r="S149" s="12">
        <f t="shared" si="23"/>
        <v>2271480026.48</v>
      </c>
      <c r="T149" s="3">
        <f t="shared" si="18"/>
        <v>3.9802143923137998</v>
      </c>
      <c r="U149" s="12">
        <f t="shared" si="19"/>
        <v>1927477915</v>
      </c>
      <c r="V149" s="4">
        <f t="shared" si="24"/>
        <v>3.9384400000142881</v>
      </c>
      <c r="W149" s="3">
        <f t="shared" si="25"/>
        <v>4.0908534100992098</v>
      </c>
      <c r="X149" s="12">
        <f t="shared" si="26"/>
        <v>852814593.73000002</v>
      </c>
      <c r="Y149" s="3">
        <f t="shared" si="20"/>
        <v>4.1294691080122297</v>
      </c>
      <c r="Z149" s="12">
        <f t="shared" si="21"/>
        <v>869728138</v>
      </c>
      <c r="AA149" s="4">
        <f t="shared" si="27"/>
        <v>4.1103508416722025</v>
      </c>
      <c r="AB149" s="13">
        <f t="shared" si="28"/>
        <v>-17.191084165791448</v>
      </c>
    </row>
    <row r="150" spans="1:28" x14ac:dyDescent="0.25">
      <c r="A150" s="1">
        <v>42186</v>
      </c>
      <c r="B150">
        <v>4.0077296562855196</v>
      </c>
      <c r="C150">
        <v>1559147374.1300001</v>
      </c>
      <c r="E150" s="1">
        <v>42186</v>
      </c>
      <c r="F150">
        <v>4.1935257307349003</v>
      </c>
      <c r="G150">
        <v>859780196.24000001</v>
      </c>
      <c r="Q150" s="1">
        <v>42186</v>
      </c>
      <c r="R150" s="3">
        <f t="shared" si="22"/>
        <v>4.0077296562855196</v>
      </c>
      <c r="S150" s="12">
        <f t="shared" si="23"/>
        <v>1559147374.1300001</v>
      </c>
      <c r="T150" s="3">
        <f t="shared" si="18"/>
        <v>4.0816576998933503</v>
      </c>
      <c r="U150" s="12">
        <f t="shared" si="19"/>
        <v>1781323424</v>
      </c>
      <c r="V150" s="4">
        <f t="shared" si="24"/>
        <v>4.0471521699751598</v>
      </c>
      <c r="W150" s="3">
        <f t="shared" si="25"/>
        <v>4.1935257307349003</v>
      </c>
      <c r="X150" s="12">
        <f t="shared" si="26"/>
        <v>859780196.24000001</v>
      </c>
      <c r="Y150" s="3">
        <f t="shared" si="20"/>
        <v>4.2419309725037504</v>
      </c>
      <c r="Z150" s="12">
        <f t="shared" si="21"/>
        <v>825234379</v>
      </c>
      <c r="AA150" s="4">
        <f t="shared" si="27"/>
        <v>4.2172321545358766</v>
      </c>
      <c r="AB150" s="13">
        <f t="shared" si="28"/>
        <v>-17.007998456071682</v>
      </c>
    </row>
    <row r="151" spans="1:28" x14ac:dyDescent="0.25">
      <c r="A151" s="1">
        <v>42217</v>
      </c>
      <c r="B151">
        <v>4.0887573694858803</v>
      </c>
      <c r="C151">
        <v>1358892623.2</v>
      </c>
      <c r="E151" s="1">
        <v>42217</v>
      </c>
      <c r="F151">
        <v>4.2860412029358601</v>
      </c>
      <c r="G151">
        <v>786982458.20000005</v>
      </c>
      <c r="Q151" s="1">
        <v>42217</v>
      </c>
      <c r="R151" s="3">
        <f t="shared" si="22"/>
        <v>4.0887573694858803</v>
      </c>
      <c r="S151" s="12">
        <f t="shared" si="23"/>
        <v>1358892623.2</v>
      </c>
      <c r="T151" s="3">
        <f t="shared" si="18"/>
        <v>4.1578089975116796</v>
      </c>
      <c r="U151" s="12">
        <f t="shared" si="19"/>
        <v>1245325174</v>
      </c>
      <c r="V151" s="4">
        <f t="shared" si="24"/>
        <v>4.1217775457471246</v>
      </c>
      <c r="W151" s="3">
        <f t="shared" si="25"/>
        <v>4.2860412029358601</v>
      </c>
      <c r="X151" s="12">
        <f t="shared" si="26"/>
        <v>786982458.20000005</v>
      </c>
      <c r="Y151" s="3">
        <f t="shared" si="20"/>
        <v>4.3263575606327001</v>
      </c>
      <c r="Z151" s="12">
        <f t="shared" si="21"/>
        <v>728296211</v>
      </c>
      <c r="AA151" s="4">
        <f t="shared" si="27"/>
        <v>4.3054186621113608</v>
      </c>
      <c r="AB151" s="13">
        <f t="shared" si="28"/>
        <v>-18.364111636423619</v>
      </c>
    </row>
    <row r="152" spans="1:28" x14ac:dyDescent="0.25">
      <c r="A152" s="1">
        <v>42248</v>
      </c>
      <c r="B152">
        <v>4.1446256961858703</v>
      </c>
      <c r="C152">
        <v>1298494696.3099999</v>
      </c>
      <c r="E152" s="1">
        <v>42248</v>
      </c>
      <c r="F152">
        <v>4.32334945159882</v>
      </c>
      <c r="G152">
        <v>925582876.22000003</v>
      </c>
      <c r="Q152" s="1">
        <v>42248</v>
      </c>
      <c r="R152" s="3">
        <f t="shared" si="22"/>
        <v>4.1446256961858703</v>
      </c>
      <c r="S152" s="12">
        <f t="shared" si="23"/>
        <v>1298494696.3099999</v>
      </c>
      <c r="T152" s="3">
        <f t="shared" si="18"/>
        <v>4.2055466558468799</v>
      </c>
      <c r="U152" s="12">
        <f t="shared" si="19"/>
        <v>1021946898</v>
      </c>
      <c r="V152" s="4">
        <f t="shared" si="24"/>
        <v>4.1714559279406433</v>
      </c>
      <c r="W152" s="3">
        <f t="shared" si="25"/>
        <v>4.32334945159882</v>
      </c>
      <c r="X152" s="12">
        <f t="shared" si="26"/>
        <v>925582876.22000003</v>
      </c>
      <c r="Y152" s="3">
        <f t="shared" si="20"/>
        <v>4.4002295905874904</v>
      </c>
      <c r="Z152" s="12">
        <f t="shared" si="21"/>
        <v>659708774</v>
      </c>
      <c r="AA152" s="4">
        <f t="shared" si="27"/>
        <v>4.3553426196888223</v>
      </c>
      <c r="AB152" s="13">
        <f t="shared" si="28"/>
        <v>-18.388669174817895</v>
      </c>
    </row>
    <row r="153" spans="1:28" x14ac:dyDescent="0.25">
      <c r="A153" s="1">
        <v>42278</v>
      </c>
      <c r="B153">
        <v>4.1237442126210899</v>
      </c>
      <c r="C153">
        <v>1231696914.6099999</v>
      </c>
      <c r="E153" s="1">
        <v>42278</v>
      </c>
      <c r="F153">
        <v>4.2984814368245301</v>
      </c>
      <c r="G153">
        <v>796764596</v>
      </c>
      <c r="Q153" s="1">
        <v>42278</v>
      </c>
      <c r="R153" s="3">
        <f t="shared" si="22"/>
        <v>4.1237442126210899</v>
      </c>
      <c r="S153" s="12">
        <f t="shared" si="23"/>
        <v>1231696914.6099999</v>
      </c>
      <c r="T153" s="3">
        <f t="shared" si="18"/>
        <v>4.1983477524589903</v>
      </c>
      <c r="U153" s="12">
        <f t="shared" si="19"/>
        <v>921851503</v>
      </c>
      <c r="V153" s="4">
        <f t="shared" si="24"/>
        <v>4.155679127465036</v>
      </c>
      <c r="W153" s="3">
        <f t="shared" si="25"/>
        <v>4.2984814368245301</v>
      </c>
      <c r="X153" s="12">
        <f t="shared" si="26"/>
        <v>796764596</v>
      </c>
      <c r="Y153" s="3">
        <f t="shared" si="20"/>
        <v>4.3840273048532703</v>
      </c>
      <c r="Z153" s="12">
        <f t="shared" si="21"/>
        <v>586113642</v>
      </c>
      <c r="AA153" s="4">
        <f t="shared" si="27"/>
        <v>4.3347388591272278</v>
      </c>
      <c r="AB153" s="13">
        <f t="shared" si="28"/>
        <v>-17.90597316621918</v>
      </c>
    </row>
    <row r="154" spans="1:28" x14ac:dyDescent="0.25">
      <c r="A154" s="1">
        <v>42309</v>
      </c>
      <c r="B154">
        <v>4.0685352728286199</v>
      </c>
      <c r="C154">
        <v>858750593</v>
      </c>
      <c r="E154" s="1">
        <v>42309</v>
      </c>
      <c r="F154">
        <v>4.2472322816721899</v>
      </c>
      <c r="G154">
        <v>608855467</v>
      </c>
      <c r="Q154" s="1">
        <v>42309</v>
      </c>
      <c r="R154" s="3">
        <f t="shared" si="22"/>
        <v>4.0685352728286199</v>
      </c>
      <c r="S154" s="12">
        <f t="shared" si="23"/>
        <v>858750593</v>
      </c>
      <c r="T154" s="3">
        <f t="shared" si="18"/>
        <v>4.1661091798361802</v>
      </c>
      <c r="U154" s="12">
        <f t="shared" si="19"/>
        <v>705829077</v>
      </c>
      <c r="V154" s="4">
        <f t="shared" si="24"/>
        <v>4.1125538051175061</v>
      </c>
      <c r="W154" s="3">
        <f t="shared" si="25"/>
        <v>4.2472322816721899</v>
      </c>
      <c r="X154" s="12">
        <f t="shared" si="26"/>
        <v>608855467</v>
      </c>
      <c r="Y154" s="3">
        <f t="shared" si="20"/>
        <v>4.3632466388916598</v>
      </c>
      <c r="Z154" s="12">
        <f t="shared" si="21"/>
        <v>466091492</v>
      </c>
      <c r="AA154" s="4">
        <f t="shared" si="27"/>
        <v>4.2975355123545178</v>
      </c>
      <c r="AB154" s="13">
        <f t="shared" si="28"/>
        <v>-18.498170723701168</v>
      </c>
    </row>
    <row r="155" spans="1:28" x14ac:dyDescent="0.25">
      <c r="A155" s="1">
        <v>42339</v>
      </c>
      <c r="B155">
        <v>4.0070538061189698</v>
      </c>
      <c r="C155">
        <v>758214493.82000005</v>
      </c>
      <c r="E155" s="1">
        <v>42339</v>
      </c>
      <c r="F155">
        <v>4.2175996537302103</v>
      </c>
      <c r="G155">
        <v>491620669.33999997</v>
      </c>
      <c r="Q155" s="1">
        <v>42339</v>
      </c>
      <c r="R155" s="3">
        <f t="shared" si="22"/>
        <v>4.0070538061189698</v>
      </c>
      <c r="S155" s="12">
        <f t="shared" si="23"/>
        <v>758214493.82000005</v>
      </c>
      <c r="T155" s="3">
        <f t="shared" si="18"/>
        <v>4.1351054735638098</v>
      </c>
      <c r="U155" s="12">
        <f t="shared" si="19"/>
        <v>359030819</v>
      </c>
      <c r="V155" s="4">
        <f t="shared" si="24"/>
        <v>4.0482036722311792</v>
      </c>
      <c r="W155" s="3">
        <f t="shared" si="25"/>
        <v>4.2175996537302103</v>
      </c>
      <c r="X155" s="12">
        <f t="shared" si="26"/>
        <v>491620669.33999997</v>
      </c>
      <c r="Y155" s="3">
        <f t="shared" si="20"/>
        <v>4.3712525648592102</v>
      </c>
      <c r="Z155" s="12">
        <f t="shared" si="21"/>
        <v>265674913</v>
      </c>
      <c r="AA155" s="4">
        <f t="shared" si="27"/>
        <v>4.2715042647544257</v>
      </c>
      <c r="AB155" s="13">
        <f t="shared" si="28"/>
        <v>-22.330059252324652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WAC Differences</vt:lpstr>
      <vt:lpstr>LLPA Differences</vt:lpstr>
      <vt:lpstr>Issuance</vt:lpstr>
      <vt:lpstr>Rate Differences</vt:lpstr>
      <vt:lpstr>Rate Differences - Credit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Sharad Chaudhary</cp:lastModifiedBy>
  <dcterms:created xsi:type="dcterms:W3CDTF">2015-11-23T17:56:11Z</dcterms:created>
  <dcterms:modified xsi:type="dcterms:W3CDTF">2015-12-11T14:58:34Z</dcterms:modified>
</cp:coreProperties>
</file>