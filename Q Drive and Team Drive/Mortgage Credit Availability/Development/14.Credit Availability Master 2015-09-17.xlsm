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 activeTab="1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Report!$X$2</definedName>
    <definedName name="DatabaseEnv">Report!$X$1</definedName>
    <definedName name="LastAvailableDate">Report!$X$9</definedName>
    <definedName name="LastMonth">Report!$X$11</definedName>
    <definedName name="LastSurveyDate">Report!$X$8</definedName>
    <definedName name="newDataPoint">#REF!</definedName>
    <definedName name="PDFReportDir">Report!$X$3</definedName>
    <definedName name="PDFReportName">Report!$X$4</definedName>
    <definedName name="_xlnm.Print_Area" localSheetId="0">Report!$B$7:$T$61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Query'!$I$4:$J$151</definedName>
    <definedName name="Query_from_Agency_14" localSheetId="1" hidden="1">'Time Series Query'!#REF!</definedName>
    <definedName name="Query_from_Agency_15" localSheetId="1" hidden="1">'Time Series Query'!$P$4:$Q$151</definedName>
    <definedName name="Query_from_Agency_16" localSheetId="1" hidden="1">'Time Series Query'!$U$4:$V$151</definedName>
    <definedName name="Query_from_Agency_17" localSheetId="1" hidden="1">'Time Series Query'!$Z$4:$AA$151</definedName>
    <definedName name="Query_from_Agency_18" localSheetId="1" hidden="1">'Time Series Query'!$AE$4:$AF$151</definedName>
    <definedName name="Query_from_Agency_19" localSheetId="1" hidden="1">'Time Series Query'!$BI$4:$BJ$151</definedName>
    <definedName name="Query_from_Agency_2" localSheetId="1" hidden="1">'Time Series Query'!#REF!</definedName>
    <definedName name="Query_from_Agency_20" localSheetId="1" hidden="1">'Time Series Query'!$BE$4:$BF$151</definedName>
    <definedName name="Query_from_Agency_21" localSheetId="1" hidden="1">'Time Series Query'!$BA$4:$BB$151</definedName>
    <definedName name="Query_from_Agency_22" localSheetId="1" hidden="1">'Time Series Query'!$AW$4:$AX$151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Query'!$A$4:$B$151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BK5" i="5" l="1"/>
  <c r="BK6" i="5"/>
  <c r="BK7" i="5"/>
  <c r="BK8" i="5"/>
  <c r="BK9" i="5"/>
  <c r="BK10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BK32" i="5"/>
  <c r="BK33" i="5"/>
  <c r="BK34" i="5"/>
  <c r="BK35" i="5"/>
  <c r="BK36" i="5"/>
  <c r="BK37" i="5"/>
  <c r="BK38" i="5"/>
  <c r="BK39" i="5"/>
  <c r="BK40" i="5"/>
  <c r="BK41" i="5"/>
  <c r="BK42" i="5"/>
  <c r="BK43" i="5"/>
  <c r="BK44" i="5"/>
  <c r="BK45" i="5"/>
  <c r="BK46" i="5"/>
  <c r="BK47" i="5"/>
  <c r="BK48" i="5"/>
  <c r="BK49" i="5"/>
  <c r="BK50" i="5"/>
  <c r="BK51" i="5"/>
  <c r="BK52" i="5"/>
  <c r="BK53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BK70" i="5"/>
  <c r="BK71" i="5"/>
  <c r="BK72" i="5"/>
  <c r="BK73" i="5"/>
  <c r="BK74" i="5"/>
  <c r="BK75" i="5"/>
  <c r="BK76" i="5"/>
  <c r="BK77" i="5"/>
  <c r="BK78" i="5"/>
  <c r="BK79" i="5"/>
  <c r="BK80" i="5"/>
  <c r="BK81" i="5"/>
  <c r="BK82" i="5"/>
  <c r="BK83" i="5"/>
  <c r="BK84" i="5"/>
  <c r="BK85" i="5"/>
  <c r="BK86" i="5"/>
  <c r="BK87" i="5"/>
  <c r="BK88" i="5"/>
  <c r="BK89" i="5"/>
  <c r="BK90" i="5"/>
  <c r="BK91" i="5"/>
  <c r="BK92" i="5"/>
  <c r="BK93" i="5"/>
  <c r="BK94" i="5"/>
  <c r="BK95" i="5"/>
  <c r="BK96" i="5"/>
  <c r="BK97" i="5"/>
  <c r="BK98" i="5"/>
  <c r="BK99" i="5"/>
  <c r="BK100" i="5"/>
  <c r="BK101" i="5"/>
  <c r="BK102" i="5"/>
  <c r="BK103" i="5"/>
  <c r="BK104" i="5"/>
  <c r="BK105" i="5"/>
  <c r="BK106" i="5"/>
  <c r="BK107" i="5"/>
  <c r="BK108" i="5"/>
  <c r="BK109" i="5"/>
  <c r="BK110" i="5"/>
  <c r="BK111" i="5"/>
  <c r="BK112" i="5"/>
  <c r="BK113" i="5"/>
  <c r="BK114" i="5"/>
  <c r="BK115" i="5"/>
  <c r="BK116" i="5"/>
  <c r="BK117" i="5"/>
  <c r="BK118" i="5"/>
  <c r="BK119" i="5"/>
  <c r="BK120" i="5"/>
  <c r="BK121" i="5"/>
  <c r="BK122" i="5"/>
  <c r="BK123" i="5"/>
  <c r="BK124" i="5"/>
  <c r="BK125" i="5"/>
  <c r="BK126" i="5"/>
  <c r="BK127" i="5"/>
  <c r="BK128" i="5"/>
  <c r="BK129" i="5"/>
  <c r="BK130" i="5"/>
  <c r="BK131" i="5"/>
  <c r="BK132" i="5"/>
  <c r="BK133" i="5"/>
  <c r="BK134" i="5"/>
  <c r="BK135" i="5"/>
  <c r="BK136" i="5"/>
  <c r="BK137" i="5"/>
  <c r="BK138" i="5"/>
  <c r="BK139" i="5"/>
  <c r="BK140" i="5"/>
  <c r="BK141" i="5"/>
  <c r="BK142" i="5"/>
  <c r="BK143" i="5"/>
  <c r="BK144" i="5"/>
  <c r="BK145" i="5"/>
  <c r="BK146" i="5"/>
  <c r="BK147" i="5"/>
  <c r="BK148" i="5"/>
  <c r="BK149" i="5"/>
  <c r="BK150" i="5"/>
  <c r="BK151" i="5"/>
  <c r="BL5" i="5"/>
  <c r="BL6" i="5"/>
  <c r="BL7" i="5"/>
  <c r="BL8" i="5"/>
  <c r="BL9" i="5"/>
  <c r="BL10" i="5"/>
  <c r="BL11" i="5"/>
  <c r="BL12" i="5"/>
  <c r="BL13" i="5"/>
  <c r="BL14" i="5"/>
  <c r="BL15" i="5"/>
  <c r="BL16" i="5"/>
  <c r="BL17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L55" i="5"/>
  <c r="BL56" i="5"/>
  <c r="BL57" i="5"/>
  <c r="BL58" i="5"/>
  <c r="BL59" i="5"/>
  <c r="BL60" i="5"/>
  <c r="BL61" i="5"/>
  <c r="BL62" i="5"/>
  <c r="BL63" i="5"/>
  <c r="BL64" i="5"/>
  <c r="BL65" i="5"/>
  <c r="BL66" i="5"/>
  <c r="BL67" i="5"/>
  <c r="BL68" i="5"/>
  <c r="BL69" i="5"/>
  <c r="BL70" i="5"/>
  <c r="BL71" i="5"/>
  <c r="BL72" i="5"/>
  <c r="BL73" i="5"/>
  <c r="BL74" i="5"/>
  <c r="BL75" i="5"/>
  <c r="BL76" i="5"/>
  <c r="BL77" i="5"/>
  <c r="BL78" i="5"/>
  <c r="BL79" i="5"/>
  <c r="BL80" i="5"/>
  <c r="BL81" i="5"/>
  <c r="BL82" i="5"/>
  <c r="BL83" i="5"/>
  <c r="BL84" i="5"/>
  <c r="BL85" i="5"/>
  <c r="BL86" i="5"/>
  <c r="BL87" i="5"/>
  <c r="BL88" i="5"/>
  <c r="BL89" i="5"/>
  <c r="BL90" i="5"/>
  <c r="BL91" i="5"/>
  <c r="BL92" i="5"/>
  <c r="BL93" i="5"/>
  <c r="BL94" i="5"/>
  <c r="BL95" i="5"/>
  <c r="BL96" i="5"/>
  <c r="BL97" i="5"/>
  <c r="BL98" i="5"/>
  <c r="BL99" i="5"/>
  <c r="BL100" i="5"/>
  <c r="BL101" i="5"/>
  <c r="BL102" i="5"/>
  <c r="BL103" i="5"/>
  <c r="BL104" i="5"/>
  <c r="BL105" i="5"/>
  <c r="BL106" i="5"/>
  <c r="BL107" i="5"/>
  <c r="BL108" i="5"/>
  <c r="BL109" i="5"/>
  <c r="BL110" i="5"/>
  <c r="BL111" i="5"/>
  <c r="BL112" i="5"/>
  <c r="BL113" i="5"/>
  <c r="BL114" i="5"/>
  <c r="BL115" i="5"/>
  <c r="BL116" i="5"/>
  <c r="BL117" i="5"/>
  <c r="BL118" i="5"/>
  <c r="BL119" i="5"/>
  <c r="BL120" i="5"/>
  <c r="BL121" i="5"/>
  <c r="BL122" i="5"/>
  <c r="BL123" i="5"/>
  <c r="BL124" i="5"/>
  <c r="BL125" i="5"/>
  <c r="BL126" i="5"/>
  <c r="BL127" i="5"/>
  <c r="BL128" i="5"/>
  <c r="BL129" i="5"/>
  <c r="BL130" i="5"/>
  <c r="BL131" i="5"/>
  <c r="BL132" i="5"/>
  <c r="BL133" i="5"/>
  <c r="BL134" i="5"/>
  <c r="BL135" i="5"/>
  <c r="BL136" i="5"/>
  <c r="BL137" i="5"/>
  <c r="BL138" i="5"/>
  <c r="BL139" i="5"/>
  <c r="BL140" i="5"/>
  <c r="BL141" i="5"/>
  <c r="BL142" i="5"/>
  <c r="BL143" i="5"/>
  <c r="BL144" i="5"/>
  <c r="BL145" i="5"/>
  <c r="BL146" i="5"/>
  <c r="BL147" i="5"/>
  <c r="BL148" i="5"/>
  <c r="BL149" i="5"/>
  <c r="BL150" i="5"/>
  <c r="BL151" i="5"/>
  <c r="BM5" i="5"/>
  <c r="BM6" i="5"/>
  <c r="BM7" i="5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/>
  <c r="BM31" i="5"/>
  <c r="BM32" i="5"/>
  <c r="BM33" i="5"/>
  <c r="BM34" i="5"/>
  <c r="BM35" i="5"/>
  <c r="BM36" i="5"/>
  <c r="BM37" i="5"/>
  <c r="BM38" i="5"/>
  <c r="BM39" i="5"/>
  <c r="BM40" i="5"/>
  <c r="BM41" i="5"/>
  <c r="BM42" i="5"/>
  <c r="BM43" i="5"/>
  <c r="BM44" i="5"/>
  <c r="BM45" i="5"/>
  <c r="BM46" i="5"/>
  <c r="BM47" i="5"/>
  <c r="BM48" i="5"/>
  <c r="BM49" i="5"/>
  <c r="BM50" i="5"/>
  <c r="BM51" i="5"/>
  <c r="BM52" i="5"/>
  <c r="BM53" i="5"/>
  <c r="BM54" i="5"/>
  <c r="BM55" i="5"/>
  <c r="BM56" i="5"/>
  <c r="BM57" i="5"/>
  <c r="BM58" i="5"/>
  <c r="BM59" i="5"/>
  <c r="BM60" i="5"/>
  <c r="BM61" i="5"/>
  <c r="BM62" i="5"/>
  <c r="BM63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M77" i="5"/>
  <c r="BM78" i="5"/>
  <c r="BM79" i="5"/>
  <c r="BM80" i="5"/>
  <c r="BM81" i="5"/>
  <c r="BM82" i="5"/>
  <c r="BM83" i="5"/>
  <c r="BM84" i="5"/>
  <c r="BM85" i="5"/>
  <c r="BM86" i="5"/>
  <c r="BM87" i="5"/>
  <c r="BM88" i="5"/>
  <c r="BM89" i="5"/>
  <c r="BM90" i="5"/>
  <c r="BM91" i="5"/>
  <c r="BM92" i="5"/>
  <c r="BM93" i="5"/>
  <c r="BM94" i="5"/>
  <c r="BM95" i="5"/>
  <c r="BM96" i="5"/>
  <c r="BM97" i="5"/>
  <c r="BM98" i="5"/>
  <c r="BM99" i="5"/>
  <c r="BM100" i="5"/>
  <c r="BM101" i="5"/>
  <c r="BM102" i="5"/>
  <c r="BM103" i="5"/>
  <c r="BM104" i="5"/>
  <c r="BM105" i="5"/>
  <c r="BM106" i="5"/>
  <c r="BM107" i="5"/>
  <c r="BM108" i="5"/>
  <c r="BM109" i="5"/>
  <c r="BM110" i="5"/>
  <c r="BM111" i="5"/>
  <c r="BM112" i="5"/>
  <c r="BM113" i="5"/>
  <c r="BM114" i="5"/>
  <c r="BM115" i="5"/>
  <c r="BM116" i="5"/>
  <c r="BM117" i="5"/>
  <c r="BM118" i="5"/>
  <c r="BM119" i="5"/>
  <c r="BM120" i="5"/>
  <c r="BM121" i="5"/>
  <c r="BM122" i="5"/>
  <c r="BM123" i="5"/>
  <c r="BM124" i="5"/>
  <c r="BM125" i="5"/>
  <c r="BM126" i="5"/>
  <c r="BM127" i="5"/>
  <c r="BM128" i="5"/>
  <c r="BM129" i="5"/>
  <c r="BM130" i="5"/>
  <c r="BM131" i="5"/>
  <c r="BM132" i="5"/>
  <c r="BM133" i="5"/>
  <c r="BM134" i="5"/>
  <c r="BM135" i="5"/>
  <c r="BM136" i="5"/>
  <c r="BM137" i="5"/>
  <c r="BM138" i="5"/>
  <c r="BM139" i="5"/>
  <c r="BM140" i="5"/>
  <c r="BM141" i="5"/>
  <c r="BM142" i="5"/>
  <c r="BM143" i="5"/>
  <c r="BM144" i="5"/>
  <c r="BM145" i="5"/>
  <c r="BM146" i="5"/>
  <c r="BM147" i="5"/>
  <c r="BM148" i="5"/>
  <c r="BM149" i="5"/>
  <c r="BM150" i="5"/>
  <c r="BM151" i="5"/>
  <c r="BN5" i="5"/>
  <c r="BN6" i="5"/>
  <c r="BN7" i="5"/>
  <c r="BN8" i="5"/>
  <c r="BN9" i="5"/>
  <c r="BN10" i="5"/>
  <c r="BN11" i="5"/>
  <c r="BN12" i="5"/>
  <c r="BN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13" i="5"/>
  <c r="BN114" i="5"/>
  <c r="BN115" i="5"/>
  <c r="BN116" i="5"/>
  <c r="BN117" i="5"/>
  <c r="BN118" i="5"/>
  <c r="BN119" i="5"/>
  <c r="BN120" i="5"/>
  <c r="BN121" i="5"/>
  <c r="BN122" i="5"/>
  <c r="BN123" i="5"/>
  <c r="BN124" i="5"/>
  <c r="BN125" i="5"/>
  <c r="BN126" i="5"/>
  <c r="BN127" i="5"/>
  <c r="BN128" i="5"/>
  <c r="BN129" i="5"/>
  <c r="BN130" i="5"/>
  <c r="BN131" i="5"/>
  <c r="BN132" i="5"/>
  <c r="BN133" i="5"/>
  <c r="BN134" i="5"/>
  <c r="BN135" i="5"/>
  <c r="BN136" i="5"/>
  <c r="BN137" i="5"/>
  <c r="BN138" i="5"/>
  <c r="BN139" i="5"/>
  <c r="BN140" i="5"/>
  <c r="BN141" i="5"/>
  <c r="BN142" i="5"/>
  <c r="BN143" i="5"/>
  <c r="BN144" i="5"/>
  <c r="BN145" i="5"/>
  <c r="BN146" i="5"/>
  <c r="BN147" i="5"/>
  <c r="BN148" i="5"/>
  <c r="BN149" i="5"/>
  <c r="BN150" i="5"/>
  <c r="BN151" i="5"/>
  <c r="BO5" i="5"/>
  <c r="BO6" i="5"/>
  <c r="BO7" i="5"/>
  <c r="BO8" i="5"/>
  <c r="BO9" i="5"/>
  <c r="BO10" i="5"/>
  <c r="BO11" i="5"/>
  <c r="BO12" i="5"/>
  <c r="BO13" i="5"/>
  <c r="BO14" i="5"/>
  <c r="BO15" i="5"/>
  <c r="BO16" i="5"/>
  <c r="BO17" i="5"/>
  <c r="BO18" i="5"/>
  <c r="BO19" i="5"/>
  <c r="BO20" i="5"/>
  <c r="BO21" i="5"/>
  <c r="BO22" i="5"/>
  <c r="BO23" i="5"/>
  <c r="BO24" i="5"/>
  <c r="BO25" i="5"/>
  <c r="BO26" i="5"/>
  <c r="BO27" i="5"/>
  <c r="BO28" i="5"/>
  <c r="BO29" i="5"/>
  <c r="BO30" i="5"/>
  <c r="BO31" i="5"/>
  <c r="BO32" i="5"/>
  <c r="BO33" i="5"/>
  <c r="BO34" i="5"/>
  <c r="BO35" i="5"/>
  <c r="BO36" i="5"/>
  <c r="BO37" i="5"/>
  <c r="BO38" i="5"/>
  <c r="BO39" i="5"/>
  <c r="BO40" i="5"/>
  <c r="BO41" i="5"/>
  <c r="BO42" i="5"/>
  <c r="BO43" i="5"/>
  <c r="BO44" i="5"/>
  <c r="BO45" i="5"/>
  <c r="BO46" i="5"/>
  <c r="BO47" i="5"/>
  <c r="BO48" i="5"/>
  <c r="BO49" i="5"/>
  <c r="BO50" i="5"/>
  <c r="BO51" i="5"/>
  <c r="BO52" i="5"/>
  <c r="BO53" i="5"/>
  <c r="BO54" i="5"/>
  <c r="BO55" i="5"/>
  <c r="BO56" i="5"/>
  <c r="BO57" i="5"/>
  <c r="BO58" i="5"/>
  <c r="BO59" i="5"/>
  <c r="BO60" i="5"/>
  <c r="BO61" i="5"/>
  <c r="BO62" i="5"/>
  <c r="BO63" i="5"/>
  <c r="BO64" i="5"/>
  <c r="BO65" i="5"/>
  <c r="BO66" i="5"/>
  <c r="BO67" i="5"/>
  <c r="BO68" i="5"/>
  <c r="BO69" i="5"/>
  <c r="BO70" i="5"/>
  <c r="BO71" i="5"/>
  <c r="BO72" i="5"/>
  <c r="BO73" i="5"/>
  <c r="BO74" i="5"/>
  <c r="BO75" i="5"/>
  <c r="BO76" i="5"/>
  <c r="BO77" i="5"/>
  <c r="BO78" i="5"/>
  <c r="BO79" i="5"/>
  <c r="BO80" i="5"/>
  <c r="BO81" i="5"/>
  <c r="BO82" i="5"/>
  <c r="BO83" i="5"/>
  <c r="BO84" i="5"/>
  <c r="BO85" i="5"/>
  <c r="BO86" i="5"/>
  <c r="BO87" i="5"/>
  <c r="BO88" i="5"/>
  <c r="BO89" i="5"/>
  <c r="BO90" i="5"/>
  <c r="BO91" i="5"/>
  <c r="BO92" i="5"/>
  <c r="BO93" i="5"/>
  <c r="BO94" i="5"/>
  <c r="BO95" i="5"/>
  <c r="BO96" i="5"/>
  <c r="BO97" i="5"/>
  <c r="BO98" i="5"/>
  <c r="BO99" i="5"/>
  <c r="BO100" i="5"/>
  <c r="BO101" i="5"/>
  <c r="BO102" i="5"/>
  <c r="BO103" i="5"/>
  <c r="BO104" i="5"/>
  <c r="BO105" i="5"/>
  <c r="BO106" i="5"/>
  <c r="BO107" i="5"/>
  <c r="BO108" i="5"/>
  <c r="BO109" i="5"/>
  <c r="BO110" i="5"/>
  <c r="BO111" i="5"/>
  <c r="BO112" i="5"/>
  <c r="BO113" i="5"/>
  <c r="BO114" i="5"/>
  <c r="BO115" i="5"/>
  <c r="BO116" i="5"/>
  <c r="BO117" i="5"/>
  <c r="BO118" i="5"/>
  <c r="BO119" i="5"/>
  <c r="BO120" i="5"/>
  <c r="BO121" i="5"/>
  <c r="BO122" i="5"/>
  <c r="BO123" i="5"/>
  <c r="BO124" i="5"/>
  <c r="BO125" i="5"/>
  <c r="BO126" i="5"/>
  <c r="BO127" i="5"/>
  <c r="BO128" i="5"/>
  <c r="BO129" i="5"/>
  <c r="BO130" i="5"/>
  <c r="BO131" i="5"/>
  <c r="BO132" i="5"/>
  <c r="BO133" i="5"/>
  <c r="BO134" i="5"/>
  <c r="BO135" i="5"/>
  <c r="BO136" i="5"/>
  <c r="BO137" i="5"/>
  <c r="BO138" i="5"/>
  <c r="BO139" i="5"/>
  <c r="BO140" i="5"/>
  <c r="BO141" i="5"/>
  <c r="BO142" i="5"/>
  <c r="BO143" i="5"/>
  <c r="BO144" i="5"/>
  <c r="BO145" i="5"/>
  <c r="BO146" i="5"/>
  <c r="BO147" i="5"/>
  <c r="BO148" i="5"/>
  <c r="BO149" i="5"/>
  <c r="BO150" i="5"/>
  <c r="BO151" i="5"/>
  <c r="D25" i="15"/>
  <c r="B25" i="15"/>
  <c r="X4" i="4"/>
  <c r="G25" i="15" l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S5" i="5"/>
  <c r="AS6" i="5"/>
  <c r="AS7" i="5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/>
  <c r="AS31" i="5"/>
  <c r="AS32" i="5"/>
  <c r="AS33" i="5"/>
  <c r="AS34" i="5"/>
  <c r="AS35" i="5"/>
  <c r="AS36" i="5"/>
  <c r="AS37" i="5"/>
  <c r="AS38" i="5"/>
  <c r="AS39" i="5"/>
  <c r="AS40" i="5"/>
  <c r="AS41" i="5"/>
  <c r="AS42" i="5"/>
  <c r="AS43" i="5"/>
  <c r="AS44" i="5"/>
  <c r="AS45" i="5"/>
  <c r="AS46" i="5"/>
  <c r="AS47" i="5"/>
  <c r="AS48" i="5"/>
  <c r="AS49" i="5"/>
  <c r="AS50" i="5"/>
  <c r="AS51" i="5"/>
  <c r="AS52" i="5"/>
  <c r="AS53" i="5"/>
  <c r="AS54" i="5"/>
  <c r="AS55" i="5"/>
  <c r="AS56" i="5"/>
  <c r="AS57" i="5"/>
  <c r="AS58" i="5"/>
  <c r="AS59" i="5"/>
  <c r="AS60" i="5"/>
  <c r="AS61" i="5"/>
  <c r="AS62" i="5"/>
  <c r="AS63" i="5"/>
  <c r="AS64" i="5"/>
  <c r="AS65" i="5"/>
  <c r="AS66" i="5"/>
  <c r="AS67" i="5"/>
  <c r="AS68" i="5"/>
  <c r="AS69" i="5"/>
  <c r="AS70" i="5"/>
  <c r="AS71" i="5"/>
  <c r="AS72" i="5"/>
  <c r="AS73" i="5"/>
  <c r="AS74" i="5"/>
  <c r="AS75" i="5"/>
  <c r="AS76" i="5"/>
  <c r="AS77" i="5"/>
  <c r="AS78" i="5"/>
  <c r="AS79" i="5"/>
  <c r="AS80" i="5"/>
  <c r="AS81" i="5"/>
  <c r="AS82" i="5"/>
  <c r="AS83" i="5"/>
  <c r="AS84" i="5"/>
  <c r="AS85" i="5"/>
  <c r="AS86" i="5"/>
  <c r="AS87" i="5"/>
  <c r="AS88" i="5"/>
  <c r="AS89" i="5"/>
  <c r="AS90" i="5"/>
  <c r="AS91" i="5"/>
  <c r="AS92" i="5"/>
  <c r="AS93" i="5"/>
  <c r="AS94" i="5"/>
  <c r="AS95" i="5"/>
  <c r="AS96" i="5"/>
  <c r="AS97" i="5"/>
  <c r="AS98" i="5"/>
  <c r="AS99" i="5"/>
  <c r="AS100" i="5"/>
  <c r="AS101" i="5"/>
  <c r="AS102" i="5"/>
  <c r="AS103" i="5"/>
  <c r="AS104" i="5"/>
  <c r="AS105" i="5"/>
  <c r="AS106" i="5"/>
  <c r="AS107" i="5"/>
  <c r="AS108" i="5"/>
  <c r="AS109" i="5"/>
  <c r="AS110" i="5"/>
  <c r="AS111" i="5"/>
  <c r="AS112" i="5"/>
  <c r="AS113" i="5"/>
  <c r="AS114" i="5"/>
  <c r="AS115" i="5"/>
  <c r="AS116" i="5"/>
  <c r="AS117" i="5"/>
  <c r="AS118" i="5"/>
  <c r="AS119" i="5"/>
  <c r="AS120" i="5"/>
  <c r="AS121" i="5"/>
  <c r="AS122" i="5"/>
  <c r="AS123" i="5"/>
  <c r="AS124" i="5"/>
  <c r="AS125" i="5"/>
  <c r="AS126" i="5"/>
  <c r="AS127" i="5"/>
  <c r="AS128" i="5"/>
  <c r="AS129" i="5"/>
  <c r="AS130" i="5"/>
  <c r="AS131" i="5"/>
  <c r="AS132" i="5"/>
  <c r="AS133" i="5"/>
  <c r="AS134" i="5"/>
  <c r="AS135" i="5"/>
  <c r="AS136" i="5"/>
  <c r="AS137" i="5"/>
  <c r="AS138" i="5"/>
  <c r="AS139" i="5"/>
  <c r="AS140" i="5"/>
  <c r="AS141" i="5"/>
  <c r="AS142" i="5"/>
  <c r="AS143" i="5"/>
  <c r="AS144" i="5"/>
  <c r="AS145" i="5"/>
  <c r="AS146" i="5"/>
  <c r="AS147" i="5"/>
  <c r="AS148" i="5"/>
  <c r="AS149" i="5"/>
  <c r="AS150" i="5"/>
  <c r="AS151" i="5"/>
  <c r="AR5" i="5"/>
  <c r="AR6" i="5"/>
  <c r="AR7" i="5"/>
  <c r="AR8" i="5"/>
  <c r="AR9" i="5"/>
  <c r="AR10" i="5"/>
  <c r="AR11" i="5"/>
  <c r="AR12" i="5"/>
  <c r="AR13" i="5"/>
  <c r="AR14" i="5"/>
  <c r="AR15" i="5"/>
  <c r="AR16" i="5"/>
  <c r="AR17" i="5"/>
  <c r="AR18" i="5"/>
  <c r="AR19" i="5"/>
  <c r="AR20" i="5"/>
  <c r="AR21" i="5"/>
  <c r="AR22" i="5"/>
  <c r="AR23" i="5"/>
  <c r="AR24" i="5"/>
  <c r="AR25" i="5"/>
  <c r="AR26" i="5"/>
  <c r="AR27" i="5"/>
  <c r="AR28" i="5"/>
  <c r="AR29" i="5"/>
  <c r="AR30" i="5"/>
  <c r="AR31" i="5"/>
  <c r="AR32" i="5"/>
  <c r="AR33" i="5"/>
  <c r="AR34" i="5"/>
  <c r="AR35" i="5"/>
  <c r="AR36" i="5"/>
  <c r="AR37" i="5"/>
  <c r="AR38" i="5"/>
  <c r="AR39" i="5"/>
  <c r="AR40" i="5"/>
  <c r="AR41" i="5"/>
  <c r="AR42" i="5"/>
  <c r="AR43" i="5"/>
  <c r="AR44" i="5"/>
  <c r="AR45" i="5"/>
  <c r="AR46" i="5"/>
  <c r="AR47" i="5"/>
  <c r="AR48" i="5"/>
  <c r="AR49" i="5"/>
  <c r="AR50" i="5"/>
  <c r="AR51" i="5"/>
  <c r="AR52" i="5"/>
  <c r="AR53" i="5"/>
  <c r="AR54" i="5"/>
  <c r="AR55" i="5"/>
  <c r="AR56" i="5"/>
  <c r="AR57" i="5"/>
  <c r="AR58" i="5"/>
  <c r="AR59" i="5"/>
  <c r="AR60" i="5"/>
  <c r="AR61" i="5"/>
  <c r="AR62" i="5"/>
  <c r="AR63" i="5"/>
  <c r="AR64" i="5"/>
  <c r="AR65" i="5"/>
  <c r="AR66" i="5"/>
  <c r="AR67" i="5"/>
  <c r="AR68" i="5"/>
  <c r="AR69" i="5"/>
  <c r="AR70" i="5"/>
  <c r="AR71" i="5"/>
  <c r="AR72" i="5"/>
  <c r="AR73" i="5"/>
  <c r="AR74" i="5"/>
  <c r="AR75" i="5"/>
  <c r="AR76" i="5"/>
  <c r="AR77" i="5"/>
  <c r="AR78" i="5"/>
  <c r="AR79" i="5"/>
  <c r="AR80" i="5"/>
  <c r="AR81" i="5"/>
  <c r="AR82" i="5"/>
  <c r="AR83" i="5"/>
  <c r="AR84" i="5"/>
  <c r="AR85" i="5"/>
  <c r="AR86" i="5"/>
  <c r="AR87" i="5"/>
  <c r="AR88" i="5"/>
  <c r="AR89" i="5"/>
  <c r="AR90" i="5"/>
  <c r="AR91" i="5"/>
  <c r="AR92" i="5"/>
  <c r="AR93" i="5"/>
  <c r="AR94" i="5"/>
  <c r="AR95" i="5"/>
  <c r="AR96" i="5"/>
  <c r="AR97" i="5"/>
  <c r="AR98" i="5"/>
  <c r="AR99" i="5"/>
  <c r="AR100" i="5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AR142" i="5"/>
  <c r="AR143" i="5"/>
  <c r="AR144" i="5"/>
  <c r="AR145" i="5"/>
  <c r="AR146" i="5"/>
  <c r="AR147" i="5"/>
  <c r="AR148" i="5"/>
  <c r="AR149" i="5"/>
  <c r="AR150" i="5"/>
  <c r="AR151" i="5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AP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92" i="5"/>
  <c r="AP93" i="5"/>
  <c r="AP94" i="5"/>
  <c r="AP95" i="5"/>
  <c r="AP96" i="5"/>
  <c r="AP97" i="5"/>
  <c r="AP98" i="5"/>
  <c r="AP99" i="5"/>
  <c r="AP100" i="5"/>
  <c r="AP101" i="5"/>
  <c r="AP102" i="5"/>
  <c r="AP103" i="5"/>
  <c r="AP104" i="5"/>
  <c r="AP105" i="5"/>
  <c r="AP106" i="5"/>
  <c r="AP107" i="5"/>
  <c r="AP108" i="5"/>
  <c r="AP109" i="5"/>
  <c r="AP110" i="5"/>
  <c r="AP111" i="5"/>
  <c r="AP112" i="5"/>
  <c r="AP113" i="5"/>
  <c r="AP114" i="5"/>
  <c r="AP115" i="5"/>
  <c r="AP116" i="5"/>
  <c r="AP117" i="5"/>
  <c r="AP118" i="5"/>
  <c r="AP119" i="5"/>
  <c r="AP120" i="5"/>
  <c r="AP121" i="5"/>
  <c r="AP122" i="5"/>
  <c r="AP123" i="5"/>
  <c r="AP124" i="5"/>
  <c r="AP125" i="5"/>
  <c r="AP126" i="5"/>
  <c r="AP127" i="5"/>
  <c r="AP128" i="5"/>
  <c r="AP129" i="5"/>
  <c r="AP130" i="5"/>
  <c r="AP131" i="5"/>
  <c r="AP132" i="5"/>
  <c r="AP133" i="5"/>
  <c r="AP134" i="5"/>
  <c r="AP135" i="5"/>
  <c r="AP136" i="5"/>
  <c r="AP137" i="5"/>
  <c r="AP138" i="5"/>
  <c r="AP139" i="5"/>
  <c r="AP140" i="5"/>
  <c r="AP141" i="5"/>
  <c r="AP142" i="5"/>
  <c r="AP143" i="5"/>
  <c r="AP144" i="5"/>
  <c r="AP145" i="5"/>
  <c r="AP146" i="5"/>
  <c r="AP147" i="5"/>
  <c r="AP148" i="5"/>
  <c r="AP149" i="5"/>
  <c r="AP150" i="5"/>
  <c r="AP151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25" i="15" l="1"/>
  <c r="L25" i="15"/>
  <c r="J25" i="15"/>
  <c r="I25" i="15"/>
  <c r="K25" i="15"/>
  <c r="H25" i="15"/>
  <c r="M12" i="15"/>
  <c r="M19" i="15"/>
  <c r="L12" i="15"/>
  <c r="K12" i="15"/>
  <c r="H22" i="15"/>
  <c r="L21" i="15"/>
  <c r="J15" i="15"/>
  <c r="AQ11" i="5"/>
  <c r="L7" i="15"/>
  <c r="K21" i="15"/>
  <c r="L16" i="15"/>
  <c r="I15" i="15"/>
  <c r="J12" i="15"/>
  <c r="K7" i="15"/>
  <c r="M14" i="15"/>
  <c r="L6" i="15"/>
  <c r="K19" i="15"/>
  <c r="AQ114" i="5"/>
  <c r="M17" i="15"/>
  <c r="J16" i="15"/>
  <c r="L13" i="15"/>
  <c r="L8" i="15"/>
  <c r="I6" i="15"/>
  <c r="K15" i="15"/>
  <c r="H15" i="15"/>
  <c r="I21" i="15"/>
  <c r="AQ55" i="5"/>
  <c r="H4" i="15"/>
  <c r="L17" i="15"/>
  <c r="L15" i="15"/>
  <c r="K13" i="15"/>
  <c r="H8" i="15"/>
  <c r="AQ124" i="5"/>
  <c r="AQ132" i="5"/>
  <c r="AQ128" i="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AQ52" i="5"/>
  <c r="H14" i="15"/>
  <c r="AQ12" i="5"/>
  <c r="AQ5" i="5"/>
  <c r="AQ6" i="5"/>
  <c r="AQ7" i="5"/>
  <c r="AQ8" i="5"/>
  <c r="AQ9" i="5"/>
  <c r="AQ10" i="5"/>
  <c r="H23" i="15"/>
  <c r="I10" i="15"/>
  <c r="K10" i="15"/>
  <c r="L10" i="15"/>
  <c r="AQ116" i="5"/>
  <c r="AQ109" i="5"/>
  <c r="AQ117" i="5"/>
  <c r="AQ110" i="5"/>
  <c r="AQ118" i="5"/>
  <c r="AQ115" i="5"/>
  <c r="AQ111" i="5"/>
  <c r="AQ120" i="5"/>
  <c r="AQ113" i="5"/>
  <c r="AQ112" i="5"/>
  <c r="I22" i="15"/>
  <c r="K22" i="15"/>
  <c r="L22" i="15"/>
  <c r="J13" i="15"/>
  <c r="H13" i="15"/>
  <c r="J5" i="15"/>
  <c r="L5" i="15"/>
  <c r="M5" i="15"/>
  <c r="I5" i="15"/>
  <c r="J22" i="15"/>
  <c r="J20" i="15"/>
  <c r="J24" i="15"/>
  <c r="AQ145" i="5" s="1"/>
  <c r="L19" i="15"/>
  <c r="M13" i="15"/>
  <c r="L11" i="15"/>
  <c r="K9" i="15"/>
  <c r="AQ119" i="5"/>
  <c r="H17" i="15"/>
  <c r="I12" i="15"/>
  <c r="M7" i="15"/>
  <c r="I7" i="15"/>
  <c r="J7" i="15"/>
  <c r="M8" i="15"/>
  <c r="N25" i="15" l="1"/>
  <c r="AQ46" i="5"/>
  <c r="AQ151" i="5"/>
  <c r="AQ43" i="5"/>
  <c r="AQ38" i="5"/>
  <c r="AQ150" i="5"/>
  <c r="AQ53" i="5"/>
  <c r="AQ127" i="5"/>
  <c r="AQ48" i="5"/>
  <c r="AQ147" i="5"/>
  <c r="AQ149" i="5"/>
  <c r="AQ57" i="5"/>
  <c r="AQ54" i="5"/>
  <c r="AQ131" i="5"/>
  <c r="AQ129" i="5"/>
  <c r="AQ47" i="5"/>
  <c r="AQ37" i="5"/>
  <c r="AQ49" i="5"/>
  <c r="AQ60" i="5"/>
  <c r="AQ123" i="5"/>
  <c r="AQ45" i="5"/>
  <c r="AQ44" i="5"/>
  <c r="AQ146" i="5"/>
  <c r="AQ58" i="5"/>
  <c r="AQ125" i="5"/>
  <c r="AQ130" i="5"/>
  <c r="AQ122" i="5"/>
  <c r="AQ126" i="5"/>
  <c r="AQ42" i="5"/>
  <c r="AQ41" i="5"/>
  <c r="AQ39" i="5"/>
  <c r="AQ59" i="5"/>
  <c r="AQ121" i="5"/>
  <c r="AQ56" i="5"/>
  <c r="AQ40" i="5"/>
  <c r="AQ148" i="5"/>
  <c r="AQ50" i="5"/>
  <c r="AQ51" i="5"/>
  <c r="AQ20" i="5"/>
  <c r="AQ13" i="5"/>
  <c r="AQ21" i="5"/>
  <c r="AQ14" i="5"/>
  <c r="AQ22" i="5"/>
  <c r="AQ15" i="5"/>
  <c r="AQ18" i="5"/>
  <c r="AQ19" i="5"/>
  <c r="AQ17" i="5"/>
  <c r="AQ16" i="5"/>
  <c r="AQ23" i="5"/>
  <c r="AQ24" i="5"/>
  <c r="AQ68" i="5"/>
  <c r="AQ61" i="5"/>
  <c r="AQ69" i="5"/>
  <c r="AQ62" i="5"/>
  <c r="AQ70" i="5"/>
  <c r="AQ65" i="5"/>
  <c r="AQ71" i="5"/>
  <c r="AQ72" i="5"/>
  <c r="AQ66" i="5"/>
  <c r="AQ67" i="5"/>
  <c r="AQ63" i="5"/>
  <c r="AQ64" i="5"/>
  <c r="AQ28" i="5"/>
  <c r="AQ36" i="5"/>
  <c r="AQ29" i="5"/>
  <c r="AQ30" i="5"/>
  <c r="AQ26" i="5"/>
  <c r="AQ32" i="5"/>
  <c r="AQ33" i="5"/>
  <c r="AQ25" i="5"/>
  <c r="AQ31" i="5"/>
  <c r="AQ27" i="5"/>
  <c r="AQ35" i="5"/>
  <c r="AQ34" i="5"/>
  <c r="I18" i="15"/>
  <c r="L18" i="15"/>
  <c r="J18" i="15"/>
  <c r="H18" i="15"/>
  <c r="M18" i="15"/>
  <c r="AQ140" i="5"/>
  <c r="AQ133" i="5"/>
  <c r="AQ141" i="5"/>
  <c r="AQ134" i="5"/>
  <c r="AQ142" i="5"/>
  <c r="AQ143" i="5"/>
  <c r="AQ135" i="5"/>
  <c r="AQ136" i="5"/>
  <c r="AQ139" i="5"/>
  <c r="AQ137" i="5"/>
  <c r="AQ138" i="5"/>
  <c r="AQ144" i="5"/>
  <c r="AQ92" i="5"/>
  <c r="AQ85" i="5"/>
  <c r="AQ93" i="5"/>
  <c r="AQ86" i="5"/>
  <c r="AQ94" i="5"/>
  <c r="AQ90" i="5"/>
  <c r="AQ96" i="5"/>
  <c r="AQ88" i="5"/>
  <c r="AQ89" i="5"/>
  <c r="AQ91" i="5"/>
  <c r="AQ87" i="5"/>
  <c r="AQ95" i="5"/>
  <c r="AQ100" i="5"/>
  <c r="AQ108" i="5"/>
  <c r="AQ101" i="5"/>
  <c r="AQ102" i="5"/>
  <c r="AQ104" i="5"/>
  <c r="AQ107" i="5"/>
  <c r="AQ97" i="5"/>
  <c r="AQ99" i="5"/>
  <c r="AQ106" i="5"/>
  <c r="AQ98" i="5"/>
  <c r="AQ103" i="5"/>
  <c r="AQ105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 s="1"/>
  <c r="AK46" i="5"/>
  <c r="AK47" i="5"/>
  <c r="AK48" i="5"/>
  <c r="AK49" i="5"/>
  <c r="AK50" i="5"/>
  <c r="AK51" i="5" s="1"/>
  <c r="AK52" i="5"/>
  <c r="AK53" i="5"/>
  <c r="AK54" i="5"/>
  <c r="AK55" i="5"/>
  <c r="AK56" i="5"/>
  <c r="AK57" i="5" s="1"/>
  <c r="AK58" i="5"/>
  <c r="AK59" i="5" s="1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I103" i="5"/>
  <c r="AI104" i="5"/>
  <c r="AI105" i="5"/>
  <c r="AI106" i="5"/>
  <c r="AI107" i="5"/>
  <c r="AI108" i="5"/>
  <c r="AI109" i="5"/>
  <c r="AI110" i="5"/>
  <c r="AI111" i="5"/>
  <c r="AI112" i="5"/>
  <c r="AI113" i="5"/>
  <c r="AI114" i="5"/>
  <c r="AI115" i="5"/>
  <c r="AI116" i="5"/>
  <c r="AI117" i="5"/>
  <c r="AI118" i="5"/>
  <c r="AI119" i="5"/>
  <c r="AI120" i="5"/>
  <c r="AI121" i="5"/>
  <c r="AI122" i="5"/>
  <c r="AI123" i="5"/>
  <c r="AI124" i="5"/>
  <c r="AI125" i="5"/>
  <c r="AI126" i="5"/>
  <c r="AI127" i="5"/>
  <c r="AI128" i="5"/>
  <c r="AI129" i="5"/>
  <c r="AI130" i="5"/>
  <c r="AI131" i="5"/>
  <c r="AI132" i="5"/>
  <c r="AI133" i="5"/>
  <c r="AI134" i="5"/>
  <c r="AI135" i="5"/>
  <c r="AI136" i="5"/>
  <c r="AI137" i="5"/>
  <c r="AI138" i="5"/>
  <c r="AI139" i="5"/>
  <c r="AI140" i="5"/>
  <c r="AI141" i="5"/>
  <c r="AI142" i="5"/>
  <c r="AI143" i="5"/>
  <c r="AI144" i="5"/>
  <c r="AI145" i="5"/>
  <c r="AI146" i="5"/>
  <c r="AI147" i="5"/>
  <c r="AI148" i="5"/>
  <c r="AI149" i="5"/>
  <c r="AI150" i="5"/>
  <c r="AI151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AM144" i="5" l="1"/>
  <c r="AU144" i="5" s="1"/>
  <c r="AN144" i="5"/>
  <c r="AM120" i="5"/>
  <c r="AN120" i="5"/>
  <c r="AM96" i="5"/>
  <c r="AN96" i="5"/>
  <c r="AM72" i="5"/>
  <c r="AN72" i="5"/>
  <c r="AM48" i="5"/>
  <c r="AN48" i="5"/>
  <c r="AM32" i="5"/>
  <c r="AN32" i="5"/>
  <c r="AM16" i="5"/>
  <c r="AN16" i="5"/>
  <c r="AM8" i="5"/>
  <c r="AU8" i="5" s="1"/>
  <c r="AN8" i="5"/>
  <c r="AM151" i="5"/>
  <c r="AN151" i="5"/>
  <c r="AM127" i="5"/>
  <c r="AN127" i="5"/>
  <c r="AM103" i="5"/>
  <c r="AN103" i="5"/>
  <c r="AM79" i="5"/>
  <c r="AN79" i="5"/>
  <c r="AN55" i="5"/>
  <c r="AM55" i="5"/>
  <c r="AU55" i="5" s="1"/>
  <c r="AN31" i="5"/>
  <c r="AM31" i="5"/>
  <c r="AU31" i="5" s="1"/>
  <c r="AM150" i="5"/>
  <c r="AN150" i="5"/>
  <c r="AM142" i="5"/>
  <c r="AU142" i="5" s="1"/>
  <c r="AN142" i="5"/>
  <c r="AN134" i="5"/>
  <c r="AM134" i="5"/>
  <c r="AU134" i="5" s="1"/>
  <c r="AM126" i="5"/>
  <c r="AN126" i="5"/>
  <c r="AM118" i="5"/>
  <c r="AN118" i="5"/>
  <c r="AN110" i="5"/>
  <c r="AU110" i="5" s="1"/>
  <c r="AM110" i="5"/>
  <c r="AM102" i="5"/>
  <c r="AN102" i="5"/>
  <c r="AM94" i="5"/>
  <c r="AN94" i="5"/>
  <c r="AN86" i="5"/>
  <c r="AM86" i="5"/>
  <c r="AM78" i="5"/>
  <c r="AN78" i="5"/>
  <c r="AM70" i="5"/>
  <c r="AN70" i="5"/>
  <c r="AN62" i="5"/>
  <c r="AM62" i="5"/>
  <c r="AU62" i="5" s="1"/>
  <c r="AM54" i="5"/>
  <c r="AN54" i="5"/>
  <c r="AM46" i="5"/>
  <c r="AU46" i="5" s="1"/>
  <c r="AN46" i="5"/>
  <c r="AN38" i="5"/>
  <c r="AM38" i="5"/>
  <c r="AU38" i="5" s="1"/>
  <c r="AM30" i="5"/>
  <c r="AN30" i="5"/>
  <c r="AM22" i="5"/>
  <c r="AN22" i="5"/>
  <c r="AN14" i="5"/>
  <c r="AU14" i="5" s="1"/>
  <c r="AM14" i="5"/>
  <c r="AM6" i="5"/>
  <c r="AN6" i="5"/>
  <c r="AM149" i="5"/>
  <c r="AN149" i="5"/>
  <c r="AM141" i="5"/>
  <c r="AN141" i="5"/>
  <c r="AM133" i="5"/>
  <c r="AU133" i="5" s="1"/>
  <c r="AN133" i="5"/>
  <c r="AM125" i="5"/>
  <c r="AN125" i="5"/>
  <c r="AM117" i="5"/>
  <c r="AN117" i="5"/>
  <c r="AM109" i="5"/>
  <c r="AN109" i="5"/>
  <c r="AM101" i="5"/>
  <c r="AU101" i="5" s="1"/>
  <c r="AN101" i="5"/>
  <c r="AM93" i="5"/>
  <c r="AN93" i="5"/>
  <c r="AM85" i="5"/>
  <c r="AN85" i="5"/>
  <c r="AM77" i="5"/>
  <c r="AN77" i="5"/>
  <c r="AM69" i="5"/>
  <c r="AU69" i="5" s="1"/>
  <c r="AN69" i="5"/>
  <c r="AM61" i="5"/>
  <c r="AN61" i="5"/>
  <c r="AM53" i="5"/>
  <c r="AN53" i="5"/>
  <c r="AM45" i="5"/>
  <c r="AN45" i="5"/>
  <c r="AM37" i="5"/>
  <c r="AU37" i="5" s="1"/>
  <c r="AN37" i="5"/>
  <c r="AM29" i="5"/>
  <c r="AN29" i="5"/>
  <c r="AM21" i="5"/>
  <c r="AN21" i="5"/>
  <c r="AM13" i="5"/>
  <c r="AN13" i="5"/>
  <c r="AM5" i="5"/>
  <c r="AU5" i="5" s="1"/>
  <c r="AN5" i="5"/>
  <c r="AM136" i="5"/>
  <c r="AN136" i="5"/>
  <c r="AM112" i="5"/>
  <c r="AN112" i="5"/>
  <c r="AM88" i="5"/>
  <c r="AN88" i="5"/>
  <c r="AM64" i="5"/>
  <c r="AU64" i="5" s="1"/>
  <c r="AN64" i="5"/>
  <c r="AM40" i="5"/>
  <c r="AN40" i="5"/>
  <c r="AM24" i="5"/>
  <c r="AN24" i="5"/>
  <c r="AM135" i="5"/>
  <c r="AN135" i="5"/>
  <c r="AM111" i="5"/>
  <c r="AU111" i="5" s="1"/>
  <c r="AN111" i="5"/>
  <c r="AM87" i="5"/>
  <c r="AU87" i="5" s="1"/>
  <c r="AN87" i="5"/>
  <c r="AM63" i="5"/>
  <c r="AN63" i="5"/>
  <c r="AN39" i="5"/>
  <c r="AM39" i="5"/>
  <c r="AN23" i="5"/>
  <c r="AU23" i="5" s="1"/>
  <c r="AM23" i="5"/>
  <c r="AN15" i="5"/>
  <c r="AM15" i="5"/>
  <c r="AM7" i="5"/>
  <c r="AN7" i="5"/>
  <c r="AN140" i="5"/>
  <c r="AM140" i="5"/>
  <c r="AN124" i="5"/>
  <c r="AU124" i="5" s="1"/>
  <c r="AM124" i="5"/>
  <c r="AN108" i="5"/>
  <c r="AM108" i="5"/>
  <c r="AU108" i="5" s="1"/>
  <c r="AN92" i="5"/>
  <c r="AM92" i="5"/>
  <c r="AU92" i="5" s="1"/>
  <c r="AN76" i="5"/>
  <c r="AM76" i="5"/>
  <c r="AN60" i="5"/>
  <c r="AU60" i="5" s="1"/>
  <c r="AM60" i="5"/>
  <c r="AN44" i="5"/>
  <c r="AM44" i="5"/>
  <c r="AN36" i="5"/>
  <c r="AM36" i="5"/>
  <c r="AU36" i="5" s="1"/>
  <c r="AN28" i="5"/>
  <c r="AM28" i="5"/>
  <c r="AN20" i="5"/>
  <c r="AM20" i="5"/>
  <c r="AN12" i="5"/>
  <c r="AM12" i="5"/>
  <c r="AU12" i="5" s="1"/>
  <c r="AN139" i="5"/>
  <c r="AM139" i="5"/>
  <c r="AU139" i="5" s="1"/>
  <c r="AN123" i="5"/>
  <c r="AM123" i="5"/>
  <c r="AN107" i="5"/>
  <c r="AM107" i="5"/>
  <c r="AN91" i="5"/>
  <c r="AM91" i="5"/>
  <c r="AU91" i="5" s="1"/>
  <c r="AN75" i="5"/>
  <c r="AM75" i="5"/>
  <c r="AU75" i="5" s="1"/>
  <c r="AN59" i="5"/>
  <c r="AM59" i="5"/>
  <c r="AN43" i="5"/>
  <c r="AM43" i="5"/>
  <c r="AN146" i="5"/>
  <c r="AM146" i="5"/>
  <c r="AU146" i="5" s="1"/>
  <c r="AN138" i="5"/>
  <c r="AM138" i="5"/>
  <c r="AU138" i="5" s="1"/>
  <c r="AN130" i="5"/>
  <c r="AM130" i="5"/>
  <c r="AN122" i="5"/>
  <c r="AU122" i="5" s="1"/>
  <c r="AM122" i="5"/>
  <c r="AN114" i="5"/>
  <c r="AM114" i="5"/>
  <c r="AU114" i="5" s="1"/>
  <c r="AN106" i="5"/>
  <c r="AM106" i="5"/>
  <c r="AU106" i="5" s="1"/>
  <c r="AN98" i="5"/>
  <c r="AM98" i="5"/>
  <c r="AN90" i="5"/>
  <c r="AM90" i="5"/>
  <c r="AN82" i="5"/>
  <c r="AM82" i="5"/>
  <c r="AN74" i="5"/>
  <c r="AM74" i="5"/>
  <c r="AN66" i="5"/>
  <c r="AM66" i="5"/>
  <c r="AN58" i="5"/>
  <c r="AM58" i="5"/>
  <c r="AN50" i="5"/>
  <c r="AM50" i="5"/>
  <c r="AU50" i="5" s="1"/>
  <c r="AN42" i="5"/>
  <c r="AM42" i="5"/>
  <c r="AU42" i="5" s="1"/>
  <c r="AN34" i="5"/>
  <c r="AM34" i="5"/>
  <c r="AN26" i="5"/>
  <c r="AM26" i="5"/>
  <c r="AN18" i="5"/>
  <c r="AM18" i="5"/>
  <c r="AU18" i="5" s="1"/>
  <c r="AN10" i="5"/>
  <c r="AM10" i="5"/>
  <c r="AU10" i="5" s="1"/>
  <c r="AM128" i="5"/>
  <c r="AN128" i="5"/>
  <c r="AM104" i="5"/>
  <c r="AU104" i="5" s="1"/>
  <c r="AN104" i="5"/>
  <c r="AM80" i="5"/>
  <c r="AN80" i="5"/>
  <c r="AM56" i="5"/>
  <c r="AN56" i="5"/>
  <c r="AM143" i="5"/>
  <c r="AN143" i="5"/>
  <c r="AM119" i="5"/>
  <c r="AU119" i="5" s="1"/>
  <c r="AN119" i="5"/>
  <c r="AM95" i="5"/>
  <c r="AU95" i="5" s="1"/>
  <c r="AN95" i="5"/>
  <c r="AM71" i="5"/>
  <c r="AN71" i="5"/>
  <c r="AM47" i="5"/>
  <c r="AN47" i="5"/>
  <c r="AN148" i="5"/>
  <c r="AM148" i="5"/>
  <c r="AN132" i="5"/>
  <c r="AM132" i="5"/>
  <c r="AU132" i="5" s="1"/>
  <c r="AN116" i="5"/>
  <c r="AM116" i="5"/>
  <c r="AU116" i="5" s="1"/>
  <c r="AN100" i="5"/>
  <c r="AM100" i="5"/>
  <c r="AN84" i="5"/>
  <c r="AM84" i="5"/>
  <c r="AN68" i="5"/>
  <c r="AM68" i="5"/>
  <c r="AU68" i="5" s="1"/>
  <c r="AN52" i="5"/>
  <c r="AM52" i="5"/>
  <c r="AU52" i="5" s="1"/>
  <c r="AN147" i="5"/>
  <c r="AM147" i="5"/>
  <c r="AN131" i="5"/>
  <c r="AM131" i="5"/>
  <c r="AN115" i="5"/>
  <c r="AM115" i="5"/>
  <c r="AU115" i="5" s="1"/>
  <c r="AN99" i="5"/>
  <c r="AM99" i="5"/>
  <c r="AU99" i="5" s="1"/>
  <c r="AN83" i="5"/>
  <c r="AM83" i="5"/>
  <c r="AN67" i="5"/>
  <c r="AU67" i="5" s="1"/>
  <c r="AM67" i="5"/>
  <c r="AN51" i="5"/>
  <c r="AM51" i="5"/>
  <c r="AU51" i="5" s="1"/>
  <c r="AN35" i="5"/>
  <c r="AM35" i="5"/>
  <c r="AU35" i="5" s="1"/>
  <c r="AN27" i="5"/>
  <c r="AM27" i="5"/>
  <c r="AN19" i="5"/>
  <c r="AM19" i="5"/>
  <c r="AN11" i="5"/>
  <c r="AM11" i="5"/>
  <c r="AU11" i="5" s="1"/>
  <c r="AM145" i="5"/>
  <c r="AN145" i="5"/>
  <c r="AM137" i="5"/>
  <c r="AN137" i="5"/>
  <c r="AM129" i="5"/>
  <c r="AU129" i="5" s="1"/>
  <c r="AN129" i="5"/>
  <c r="AM121" i="5"/>
  <c r="AN121" i="5"/>
  <c r="AU121" i="5" s="1"/>
  <c r="AM113" i="5"/>
  <c r="AN113" i="5"/>
  <c r="AM105" i="5"/>
  <c r="AN105" i="5"/>
  <c r="AM97" i="5"/>
  <c r="AU97" i="5" s="1"/>
  <c r="AN97" i="5"/>
  <c r="AM89" i="5"/>
  <c r="AN89" i="5"/>
  <c r="AM81" i="5"/>
  <c r="AN81" i="5"/>
  <c r="AU81" i="5" s="1"/>
  <c r="AM73" i="5"/>
  <c r="AN73" i="5"/>
  <c r="AM65" i="5"/>
  <c r="AU65" i="5" s="1"/>
  <c r="AN65" i="5"/>
  <c r="AM57" i="5"/>
  <c r="AN57" i="5"/>
  <c r="AM49" i="5"/>
  <c r="AN49" i="5"/>
  <c r="AM41" i="5"/>
  <c r="AN41" i="5"/>
  <c r="AM33" i="5"/>
  <c r="AU33" i="5" s="1"/>
  <c r="AN33" i="5"/>
  <c r="AM25" i="5"/>
  <c r="AN25" i="5"/>
  <c r="AM17" i="5"/>
  <c r="AN17" i="5"/>
  <c r="AM9" i="5"/>
  <c r="AN9" i="5"/>
  <c r="AQ76" i="5"/>
  <c r="AQ84" i="5"/>
  <c r="AQ77" i="5"/>
  <c r="AQ78" i="5"/>
  <c r="AQ79" i="5"/>
  <c r="AQ82" i="5"/>
  <c r="AU82" i="5" s="1"/>
  <c r="AQ83" i="5"/>
  <c r="AQ80" i="5"/>
  <c r="AQ73" i="5"/>
  <c r="AQ75" i="5"/>
  <c r="AQ81" i="5"/>
  <c r="AQ7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M151" i="5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X11" i="4"/>
  <c r="AU102" i="5" l="1"/>
  <c r="AU48" i="5"/>
  <c r="AU72" i="5"/>
  <c r="AU94" i="5"/>
  <c r="AU57" i="5"/>
  <c r="AU40" i="5"/>
  <c r="AU136" i="5"/>
  <c r="AU93" i="5"/>
  <c r="AU125" i="5"/>
  <c r="AU6" i="5"/>
  <c r="AU151" i="5"/>
  <c r="AU131" i="5"/>
  <c r="AU58" i="5"/>
  <c r="AU30" i="5"/>
  <c r="AU73" i="5"/>
  <c r="AU80" i="5"/>
  <c r="AU27" i="5"/>
  <c r="AU147" i="5"/>
  <c r="AU34" i="5"/>
  <c r="AU98" i="5"/>
  <c r="AU28" i="5"/>
  <c r="AU86" i="5"/>
  <c r="AU84" i="5"/>
  <c r="AU105" i="5"/>
  <c r="AU66" i="5"/>
  <c r="AU76" i="5"/>
  <c r="AU45" i="5"/>
  <c r="AU19" i="5"/>
  <c r="AU148" i="5"/>
  <c r="AU26" i="5"/>
  <c r="AU90" i="5"/>
  <c r="AU43" i="5"/>
  <c r="AU107" i="5"/>
  <c r="AU20" i="5"/>
  <c r="AU83" i="5"/>
  <c r="AU47" i="5"/>
  <c r="AU130" i="5"/>
  <c r="AU135" i="5"/>
  <c r="AU141" i="5"/>
  <c r="AU103" i="5"/>
  <c r="AU41" i="5"/>
  <c r="AU100" i="5"/>
  <c r="AU128" i="5"/>
  <c r="AU123" i="5"/>
  <c r="AU140" i="5"/>
  <c r="AU88" i="5"/>
  <c r="AU77" i="5"/>
  <c r="AU22" i="5"/>
  <c r="AU150" i="5"/>
  <c r="AU96" i="5"/>
  <c r="AU79" i="5"/>
  <c r="AU49" i="5"/>
  <c r="AU113" i="5"/>
  <c r="AU71" i="5"/>
  <c r="AU7" i="5"/>
  <c r="AU24" i="5"/>
  <c r="AU21" i="5"/>
  <c r="AU85" i="5"/>
  <c r="AU149" i="5"/>
  <c r="AU127" i="5"/>
  <c r="AU120" i="5"/>
  <c r="AU74" i="5"/>
  <c r="AU78" i="5"/>
  <c r="AU44" i="5"/>
  <c r="AU15" i="5"/>
  <c r="AU29" i="5"/>
  <c r="AU61" i="5"/>
  <c r="AU9" i="5"/>
  <c r="AU137" i="5"/>
  <c r="AU143" i="5"/>
  <c r="AU59" i="5"/>
  <c r="AU39" i="5"/>
  <c r="AU13" i="5"/>
  <c r="AU109" i="5"/>
  <c r="AU54" i="5"/>
  <c r="AU118" i="5"/>
  <c r="AU16" i="5"/>
  <c r="AU17" i="5"/>
  <c r="AU145" i="5"/>
  <c r="AU56" i="5"/>
  <c r="AU63" i="5"/>
  <c r="AU112" i="5"/>
  <c r="AU53" i="5"/>
  <c r="AU117" i="5"/>
  <c r="AU126" i="5"/>
  <c r="AU32" i="5"/>
  <c r="AU25" i="5"/>
  <c r="AU89" i="5"/>
  <c r="AU70" i="5"/>
  <c r="M143" i="5"/>
  <c r="M135" i="5"/>
  <c r="M127" i="5"/>
  <c r="M119" i="5"/>
  <c r="M111" i="5"/>
  <c r="M103" i="5"/>
  <c r="M95" i="5"/>
  <c r="M87" i="5"/>
  <c r="M79" i="5"/>
  <c r="M71" i="5"/>
  <c r="M63" i="5"/>
  <c r="M55" i="5"/>
  <c r="M47" i="5"/>
  <c r="M39" i="5"/>
  <c r="M31" i="5"/>
  <c r="M23" i="5"/>
  <c r="M15" i="5"/>
  <c r="M7" i="5"/>
  <c r="M92" i="5"/>
  <c r="M60" i="5"/>
  <c r="M123" i="5"/>
  <c r="M75" i="5"/>
  <c r="M59" i="5"/>
  <c r="M43" i="5"/>
  <c r="M27" i="5"/>
  <c r="M11" i="5"/>
  <c r="M144" i="5"/>
  <c r="M136" i="5"/>
  <c r="M128" i="5"/>
  <c r="M120" i="5"/>
  <c r="M112" i="5"/>
  <c r="M104" i="5"/>
  <c r="M96" i="5"/>
  <c r="M88" i="5"/>
  <c r="M80" i="5"/>
  <c r="M72" i="5"/>
  <c r="M64" i="5"/>
  <c r="M56" i="5"/>
  <c r="M48" i="5"/>
  <c r="M40" i="5"/>
  <c r="M32" i="5"/>
  <c r="M24" i="5"/>
  <c r="M16" i="5"/>
  <c r="M8" i="5"/>
  <c r="M91" i="5"/>
  <c r="M148" i="5"/>
  <c r="M132" i="5"/>
  <c r="M76" i="5"/>
  <c r="M28" i="5"/>
  <c r="M12" i="5"/>
  <c r="M124" i="5"/>
  <c r="M108" i="5"/>
  <c r="M140" i="5"/>
  <c r="M44" i="5"/>
  <c r="M149" i="5"/>
  <c r="M141" i="5"/>
  <c r="M133" i="5"/>
  <c r="M125" i="5"/>
  <c r="M117" i="5"/>
  <c r="M109" i="5"/>
  <c r="M101" i="5"/>
  <c r="M93" i="5"/>
  <c r="M85" i="5"/>
  <c r="M77" i="5"/>
  <c r="M69" i="5"/>
  <c r="M61" i="5"/>
  <c r="M53" i="5"/>
  <c r="M45" i="5"/>
  <c r="M37" i="5"/>
  <c r="M29" i="5"/>
  <c r="M21" i="5"/>
  <c r="M13" i="5"/>
  <c r="M5" i="5"/>
  <c r="M147" i="5"/>
  <c r="M139" i="5"/>
  <c r="M131" i="5"/>
  <c r="M115" i="5"/>
  <c r="M107" i="5"/>
  <c r="M99" i="5"/>
  <c r="M83" i="5"/>
  <c r="M67" i="5"/>
  <c r="M51" i="5"/>
  <c r="M35" i="5"/>
  <c r="M19" i="5"/>
  <c r="M6" i="5"/>
  <c r="M54" i="5"/>
  <c r="M38" i="5"/>
  <c r="M86" i="5"/>
  <c r="M134" i="5"/>
  <c r="M118" i="5"/>
  <c r="M116" i="5"/>
  <c r="M100" i="5"/>
  <c r="M84" i="5"/>
  <c r="M68" i="5"/>
  <c r="M52" i="5"/>
  <c r="M36" i="5"/>
  <c r="M20" i="5"/>
  <c r="M70" i="5"/>
  <c r="M150" i="5"/>
  <c r="M22" i="5"/>
  <c r="M102" i="5"/>
  <c r="M142" i="5"/>
  <c r="M126" i="5"/>
  <c r="M110" i="5"/>
  <c r="M94" i="5"/>
  <c r="M78" i="5"/>
  <c r="M62" i="5"/>
  <c r="M46" i="5"/>
  <c r="M30" i="5"/>
  <c r="M14" i="5"/>
  <c r="M146" i="5"/>
  <c r="M138" i="5"/>
  <c r="M130" i="5"/>
  <c r="M122" i="5"/>
  <c r="M114" i="5"/>
  <c r="M106" i="5"/>
  <c r="M98" i="5"/>
  <c r="M90" i="5"/>
  <c r="M82" i="5"/>
  <c r="M74" i="5"/>
  <c r="M66" i="5"/>
  <c r="M58" i="5"/>
  <c r="M50" i="5"/>
  <c r="M42" i="5"/>
  <c r="M34" i="5"/>
  <c r="M26" i="5"/>
  <c r="M18" i="5"/>
  <c r="M10" i="5"/>
  <c r="M145" i="5"/>
  <c r="M137" i="5"/>
  <c r="M129" i="5"/>
  <c r="M121" i="5"/>
  <c r="M113" i="5"/>
  <c r="M105" i="5"/>
  <c r="M97" i="5"/>
  <c r="M89" i="5"/>
  <c r="M81" i="5"/>
  <c r="M73" i="5"/>
  <c r="M65" i="5"/>
  <c r="M57" i="5"/>
  <c r="M49" i="5"/>
  <c r="M41" i="5"/>
  <c r="M33" i="5"/>
  <c r="M25" i="5"/>
  <c r="M17" i="5"/>
  <c r="M9" i="5"/>
  <c r="X13" i="4"/>
  <c r="X12" i="4" l="1"/>
  <c r="M123" i="4" l="1"/>
  <c r="C118" i="4"/>
  <c r="L118" i="4" s="1"/>
  <c r="C121" i="4"/>
  <c r="L121" i="4" s="1"/>
  <c r="C126" i="4"/>
  <c r="L126" i="4" s="1"/>
  <c r="C129" i="4"/>
  <c r="L129" i="4" s="1"/>
  <c r="M121" i="4"/>
  <c r="N120" i="4"/>
  <c r="E123" i="4"/>
  <c r="E128" i="4"/>
  <c r="F118" i="4"/>
  <c r="F122" i="4"/>
  <c r="F130" i="4"/>
  <c r="G119" i="4"/>
  <c r="G128" i="4"/>
  <c r="H120" i="4"/>
  <c r="H125" i="4"/>
  <c r="I118" i="4"/>
  <c r="R120" i="4"/>
  <c r="I124" i="4"/>
  <c r="I126" i="4"/>
  <c r="R128" i="4"/>
  <c r="R130" i="4"/>
  <c r="J121" i="4"/>
  <c r="J122" i="4"/>
  <c r="S124" i="4"/>
  <c r="J126" i="4"/>
  <c r="J130" i="4"/>
  <c r="S117" i="4"/>
  <c r="R117" i="4"/>
  <c r="Q117" i="4"/>
  <c r="P117" i="4"/>
  <c r="O117" i="4"/>
  <c r="N117" i="4"/>
  <c r="D119" i="4"/>
  <c r="J117" i="4"/>
  <c r="I117" i="4"/>
  <c r="H117" i="4"/>
  <c r="G117" i="4"/>
  <c r="F117" i="4"/>
  <c r="E117" i="4"/>
  <c r="J119" i="4"/>
  <c r="J120" i="4"/>
  <c r="J123" i="4"/>
  <c r="J128" i="4"/>
  <c r="J129" i="4"/>
  <c r="R122" i="4"/>
  <c r="I125" i="4"/>
  <c r="H118" i="4"/>
  <c r="Q119" i="4"/>
  <c r="H123" i="4"/>
  <c r="H127" i="4"/>
  <c r="H128" i="4"/>
  <c r="G120" i="4"/>
  <c r="G121" i="4"/>
  <c r="G125" i="4"/>
  <c r="G127" i="4"/>
  <c r="G129" i="4"/>
  <c r="F119" i="4"/>
  <c r="F123" i="4"/>
  <c r="F125" i="4"/>
  <c r="F126" i="4"/>
  <c r="F127" i="4"/>
  <c r="E122" i="4"/>
  <c r="E126" i="4"/>
  <c r="E130" i="4"/>
  <c r="C119" i="4"/>
  <c r="L119" i="4" s="1"/>
  <c r="C120" i="4"/>
  <c r="L120" i="4" s="1"/>
  <c r="C122" i="4"/>
  <c r="L122" i="4" s="1"/>
  <c r="C123" i="4"/>
  <c r="L123" i="4" s="1"/>
  <c r="C124" i="4"/>
  <c r="L124" i="4" s="1"/>
  <c r="C125" i="4"/>
  <c r="L125" i="4" s="1"/>
  <c r="C127" i="4"/>
  <c r="L127" i="4" s="1"/>
  <c r="C128" i="4"/>
  <c r="L128" i="4" s="1"/>
  <c r="C130" i="4"/>
  <c r="L130" i="4" s="1"/>
  <c r="D118" i="4"/>
  <c r="D120" i="4"/>
  <c r="D121" i="4"/>
  <c r="D125" i="4"/>
  <c r="D126" i="4"/>
  <c r="D128" i="4"/>
  <c r="D129" i="4"/>
  <c r="D130" i="4"/>
  <c r="J125" i="4" l="1"/>
  <c r="D127" i="4"/>
  <c r="J124" i="4"/>
  <c r="R129" i="4"/>
  <c r="R121" i="4"/>
  <c r="I121" i="4"/>
  <c r="Q123" i="4"/>
  <c r="Q126" i="4"/>
  <c r="P119" i="4"/>
  <c r="P124" i="4"/>
  <c r="O119" i="4"/>
  <c r="Q129" i="4"/>
  <c r="Q121" i="4"/>
  <c r="R123" i="4"/>
  <c r="N124" i="4"/>
  <c r="Q130" i="4"/>
  <c r="R124" i="4"/>
  <c r="S118" i="4"/>
  <c r="O124" i="4"/>
  <c r="P126" i="4"/>
  <c r="P118" i="4"/>
  <c r="H129" i="4"/>
  <c r="F120" i="4"/>
  <c r="S128" i="4"/>
  <c r="O126" i="4"/>
  <c r="Q122" i="4"/>
  <c r="Q128" i="4"/>
  <c r="M122" i="4"/>
  <c r="N126" i="4"/>
  <c r="N123" i="4"/>
  <c r="O129" i="4"/>
  <c r="P123" i="4"/>
  <c r="N118" i="4"/>
  <c r="N125" i="4"/>
  <c r="P129" i="4"/>
  <c r="P121" i="4"/>
  <c r="S127" i="4"/>
  <c r="S119" i="4"/>
  <c r="J127" i="4"/>
  <c r="G123" i="4"/>
  <c r="H119" i="4"/>
  <c r="P127" i="4"/>
  <c r="N122" i="4"/>
  <c r="N119" i="4"/>
  <c r="R119" i="4"/>
  <c r="P122" i="4"/>
  <c r="Q127" i="4"/>
  <c r="G118" i="4"/>
  <c r="R118" i="4"/>
  <c r="O121" i="4"/>
  <c r="R127" i="4"/>
  <c r="O123" i="4"/>
  <c r="O128" i="4"/>
  <c r="P130" i="4"/>
  <c r="Q124" i="4"/>
  <c r="F128" i="4"/>
  <c r="G126" i="4"/>
  <c r="I122" i="4"/>
  <c r="S125" i="4"/>
  <c r="S120" i="4"/>
  <c r="I130" i="4"/>
  <c r="N130" i="4"/>
  <c r="Q120" i="4"/>
  <c r="N129" i="4"/>
  <c r="N121" i="4"/>
  <c r="S123" i="4"/>
  <c r="I129" i="4"/>
  <c r="H121" i="4"/>
  <c r="E120" i="4"/>
  <c r="H126" i="4"/>
  <c r="O130" i="4"/>
  <c r="E119" i="4"/>
  <c r="Q118" i="4"/>
  <c r="H124" i="4"/>
  <c r="O127" i="4"/>
  <c r="D124" i="4"/>
  <c r="E125" i="4"/>
  <c r="F129" i="4"/>
  <c r="G124" i="4"/>
  <c r="F121" i="4"/>
  <c r="O118" i="4"/>
  <c r="P128" i="4"/>
  <c r="N127" i="4"/>
  <c r="R125" i="4"/>
  <c r="P120" i="4"/>
  <c r="D122" i="4"/>
  <c r="D123" i="4"/>
  <c r="E124" i="4"/>
  <c r="H130" i="4"/>
  <c r="F124" i="4"/>
  <c r="H122" i="4"/>
  <c r="S130" i="4"/>
  <c r="S126" i="4"/>
  <c r="Q125" i="4"/>
  <c r="S122" i="4"/>
  <c r="O120" i="4"/>
  <c r="I127" i="4"/>
  <c r="I119" i="4"/>
  <c r="S129" i="4"/>
  <c r="E118" i="4"/>
  <c r="G130" i="4"/>
  <c r="I128" i="4"/>
  <c r="G122" i="4"/>
  <c r="I120" i="4"/>
  <c r="N128" i="4"/>
  <c r="R126" i="4"/>
  <c r="P125" i="4"/>
  <c r="O122" i="4"/>
  <c r="E127" i="4"/>
  <c r="I123" i="4"/>
  <c r="J118" i="4"/>
  <c r="O125" i="4"/>
  <c r="S121" i="4"/>
  <c r="E129" i="4"/>
  <c r="E121" i="4"/>
  <c r="M128" i="4"/>
  <c r="M120" i="4"/>
  <c r="M125" i="4"/>
  <c r="M129" i="4"/>
  <c r="M130" i="4"/>
  <c r="M126" i="4"/>
  <c r="M118" i="4"/>
  <c r="M127" i="4"/>
  <c r="M119" i="4"/>
  <c r="M124" i="4"/>
  <c r="X8" i="4" l="1"/>
  <c r="X9" i="4" l="1"/>
</calcChain>
</file>

<file path=xl/connections.xml><?xml version="1.0" encoding="utf-8"?>
<connections xmlns="http://schemas.openxmlformats.org/spreadsheetml/2006/main">
  <connection id="1" name="FICODist700Query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FHAFixed30_CreditAvailability'"/>
  </connection>
  <connection id="2" name="FICODist700Query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VAFixed30_CreditAvailability'"/>
  </connection>
  <connection id="3" name="FICODist700Query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mbinedFixed30_CreditAvailability'"/>
  </connection>
  <connection id="4" name="FICODist700Query1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nventionalFixed30_CreditAvailability'"/>
  </connection>
  <connection id="5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6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7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8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9" name="Index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"/>
  </connection>
  <connection id="10" name="IndexQuery1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 desc"/>
  </connection>
</connections>
</file>

<file path=xl/sharedStrings.xml><?xml version="1.0" encoding="utf-8"?>
<sst xmlns="http://schemas.openxmlformats.org/spreadsheetml/2006/main" count="1585" uniqueCount="201">
  <si>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</si>
  <si>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</si>
  <si>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</si>
  <si>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</si>
  <si>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</si>
  <si>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</si>
  <si>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</si>
  <si>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</si>
  <si>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</si>
  <si>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</si>
  <si>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</si>
  <si>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</si>
  <si>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</si>
  <si>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</si>
  <si>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</si>
  <si>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</si>
  <si>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</si>
  <si>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</si>
  <si>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</si>
  <si>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</si>
  <si>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</si>
  <si>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</si>
  <si>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</si>
  <si>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</si>
  <si>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</si>
  <si>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</si>
  <si>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</si>
  <si>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</si>
  <si>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</si>
  <si>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</si>
  <si>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</si>
  <si>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</si>
  <si>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</si>
  <si>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</si>
  <si>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</si>
  <si>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</si>
  <si>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</si>
  <si>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</si>
  <si>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</si>
  <si>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</si>
  <si>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</si>
  <si>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</si>
  <si>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</si>
  <si>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</si>
  <si>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</si>
  <si>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</si>
  <si>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</si>
  <si>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</si>
  <si>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</si>
  <si>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</si>
  <si>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</si>
  <si>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</si>
  <si>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</si>
  <si>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</si>
  <si>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</si>
  <si>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</si>
  <si>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</si>
  <si>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</si>
  <si>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</si>
  <si>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</si>
  <si>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</si>
  <si>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</si>
  <si>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</si>
  <si>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</si>
  <si>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</si>
  <si>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</si>
  <si>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</si>
  <si>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</si>
  <si>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</si>
  <si>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</si>
  <si>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</si>
  <si>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</si>
  <si>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</si>
  <si>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</si>
  <si>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</si>
  <si>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</si>
  <si>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</si>
  <si>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</si>
  <si>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</si>
  <si>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</si>
  <si>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</si>
  <si>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</si>
  <si>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</si>
  <si>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</si>
  <si>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</si>
  <si>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</si>
  <si>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</si>
  <si>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</si>
  <si>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</si>
  <si>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</si>
  <si>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</si>
  <si>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</si>
  <si>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</si>
  <si>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</si>
  <si>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</si>
  <si>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</si>
  <si>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</si>
  <si>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</si>
  <si>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</si>
  <si>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</si>
  <si>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</si>
  <si>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</si>
  <si>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</si>
  <si>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</si>
  <si>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</si>
  <si>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</si>
  <si>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</si>
  <si>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</si>
  <si>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</si>
  <si>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</si>
  <si>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</si>
  <si>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</si>
  <si>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</si>
  <si>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</si>
  <si>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</si>
  <si>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</si>
  <si>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</si>
  <si>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</si>
  <si>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</si>
  <si>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</si>
  <si>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</si>
  <si>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</si>
  <si>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</si>
  <si>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</si>
  <si>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</si>
  <si>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</si>
  <si>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</si>
  <si>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</si>
  <si>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</si>
  <si>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</si>
  <si>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</si>
  <si>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</si>
  <si>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</si>
  <si>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</si>
  <si>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</si>
  <si>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</si>
  <si>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</si>
  <si>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</si>
  <si>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</si>
  <si>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</si>
  <si>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</si>
  <si>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</si>
  <si>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</si>
  <si>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</si>
  <si>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</si>
  <si>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</si>
  <si>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</si>
  <si>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</si>
  <si>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</si>
  <si>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</si>
  <si>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</si>
  <si>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</si>
  <si>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</si>
  <si>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</si>
  <si>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</si>
  <si>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</si>
  <si>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</si>
  <si>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</si>
  <si>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</si>
  <si>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</si>
  <si>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CreditAvailabilityIndex Changes</t>
  </si>
  <si>
    <t>Changes</t>
  </si>
  <si>
    <t>Benchmanrk</t>
  </si>
  <si>
    <t>Dark color means looser Underwriting Criteria</t>
  </si>
  <si>
    <t>Value</t>
  </si>
  <si>
    <t>One Month Changes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</si>
  <si>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</si>
  <si>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</si>
  <si>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</si>
  <si>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</si>
  <si>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</si>
  <si>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</si>
  <si>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</si>
  <si>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</si>
  <si>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</si>
  <si>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</si>
  <si>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</si>
  <si>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</si>
  <si>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</si>
  <si>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</si>
  <si>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</si>
  <si>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</si>
  <si>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</si>
  <si>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</si>
  <si>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</si>
  <si>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</si>
  <si>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</si>
  <si>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</si>
  <si>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</si>
  <si>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</si>
  <si>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</si>
  <si>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</si>
  <si>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</si>
  <si>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</si>
  <si>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</si>
  <si>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>Universe Series</t>
  </si>
  <si>
    <t xml:space="preserve">All Balance </t>
  </si>
  <si>
    <t>All Cum Default</t>
  </si>
  <si>
    <t>Pct Volume -&gt;</t>
  </si>
  <si>
    <t>Fake Number, need to update</t>
  </si>
  <si>
    <t>Universe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</si>
</sst>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46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0" fillId="0" borderId="0" xfId="1" applyFont="1"/>
    <xf numFmtId="14" fontId="31" fillId="53" borderId="0" xfId="350" applyNumberFormat="1" applyFont="1" applyFill="1"/>
    <xf numFmtId="0" fontId="6" fillId="53" borderId="0" xfId="0" applyFont="1" applyFill="1"/>
    <xf numFmtId="0" fontId="6" fillId="0" borderId="0" xfId="0" applyNumberFormat="1" applyFont="1"/>
    <xf numFmtId="0" fontId="131" fillId="40" borderId="0" xfId="350" applyNumberFormat="1" applyFont="1"/>
    <xf numFmtId="0" fontId="132" fillId="0" borderId="0" xfId="0" applyFont="1"/>
    <xf numFmtId="0" fontId="132" fillId="53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  <xf numFmtId="164" fontId="130" fillId="51" borderId="41" xfId="0" applyNumberFormat="1" applyFont="1" applyFill="1" applyBorder="1" applyAlignment="1">
      <alignment horizontal="center" vertical="center"/>
    </xf>
    <xf numFmtId="164" fontId="6" fillId="0" borderId="41" xfId="1" applyNumberFormat="1" applyFont="1" applyBorder="1" applyAlignment="1">
      <alignment horizontal="center"/>
    </xf>
    <xf numFmtId="194" fontId="6" fillId="0" borderId="41" xfId="1" applyNumberFormat="1" applyFont="1" applyBorder="1" applyAlignment="1">
      <alignment horizontal="center"/>
    </xf>
    <xf numFmtId="164" fontId="6" fillId="0" borderId="40" xfId="1" applyNumberFormat="1" applyFont="1" applyBorder="1" applyAlignment="1">
      <alignment horizontal="center"/>
    </xf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71"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2E398A"/>
      <color rgb="FFE0D8CA"/>
      <color rgb="FF9D7455"/>
      <color rgb="FF533D2D"/>
      <color rgb="FF968880"/>
      <color rgb="FFEFEBE4"/>
      <color rgb="FF8891D5"/>
      <color rgb="FFC7732D"/>
      <color rgb="FF1B7A76"/>
      <color rgb="FFAD27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Query'!$AU$4</c:f>
              <c:strCache>
                <c:ptCount val="1"/>
                <c:pt idx="0">
                  <c:v>Universe Series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Query'!$AU$5:$AU$151</c:f>
              <c:numCache>
                <c:formatCode>General</c:formatCode>
                <c:ptCount val="147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  <c:pt idx="146">
                  <c:v>2.5938160640522973E-2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Query'!$AI$4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Query'!$AI$5:$AI$151</c:f>
              <c:numCache>
                <c:formatCode>General</c:formatCode>
                <c:ptCount val="147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Query'!$AJ$4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Query'!$AJ$5:$AJ$151</c:f>
              <c:numCache>
                <c:formatCode>General</c:formatCode>
                <c:ptCount val="147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Query'!$AK$4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Query'!$AK$5:$AK$151</c:f>
              <c:numCache>
                <c:formatCode>General</c:formatCode>
                <c:ptCount val="147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85792"/>
        <c:axId val="558457216"/>
      </c:lineChart>
      <c:catAx>
        <c:axId val="558385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84572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5845721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5583857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Query'!$AO$5:$AO$151</c:f>
              <c:numCache>
                <c:formatCode>General</c:formatCode>
                <c:ptCount val="147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Query'!$AP$5:$AP$151</c:f>
              <c:numCache>
                <c:formatCode>General</c:formatCode>
                <c:ptCount val="147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Query'!$AQ$5:$AQ$151</c:f>
              <c:numCache>
                <c:formatCode>General</c:formatCode>
                <c:ptCount val="147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Query'!$AR$5:$AR$151</c:f>
              <c:numCache>
                <c:formatCode>General</c:formatCode>
                <c:ptCount val="147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Query'!$AS$5:$AS$151</c:f>
              <c:numCache>
                <c:formatCode>General</c:formatCode>
                <c:ptCount val="147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Query'!$AH$5:$AH$151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Query'!$AT$5:$AT$151</c:f>
              <c:numCache>
                <c:formatCode>General</c:formatCode>
                <c:ptCount val="147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506368"/>
        <c:axId val="558507904"/>
      </c:areaChart>
      <c:catAx>
        <c:axId val="558506368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55850790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58507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85063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215397</xdr:colOff>
      <xdr:row>40</xdr:row>
      <xdr:rowOff>96371</xdr:rowOff>
    </xdr:from>
    <xdr:to>
      <xdr:col>12</xdr:col>
      <xdr:colOff>717177</xdr:colOff>
      <xdr:row>42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16</xdr:row>
      <xdr:rowOff>139451</xdr:rowOff>
    </xdr:from>
    <xdr:to>
      <xdr:col>13</xdr:col>
      <xdr:colOff>145676</xdr:colOff>
      <xdr:row>40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43</xdr:row>
      <xdr:rowOff>168088</xdr:rowOff>
    </xdr:from>
    <xdr:to>
      <xdr:col>13</xdr:col>
      <xdr:colOff>257735</xdr:colOff>
      <xdr:row>58</xdr:row>
      <xdr:rowOff>159311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9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13" backgroundRefresh="0" adjustColumnWidth="0" connectionId="10" autoFormatId="16" applyNumberFormats="0" applyBorderFormats="0" applyFontFormats="0" applyPatternFormats="0" applyAlignmentFormats="0" applyWidthHeightFormats="0">
  <queryTableRefresh nextId="93" unboundColumnsRight="3">
    <queryTableFields count="5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</queryTableFields>
  </queryTableRefresh>
</queryTable>
</file>

<file path=xl/queryTables/queryTable3.xml><?xml version="1.0" encoding="utf-8"?>
<queryTable xmlns="http://schemas.openxmlformats.org/spreadsheetml/2006/main" name="Query from Agency_15" backgroundRefresh="0" adjustColumnWidth="0" connectionId="1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4.xml><?xml version="1.0" encoding="utf-8"?>
<queryTable xmlns="http://schemas.openxmlformats.org/spreadsheetml/2006/main" name="Query from Agency_16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7" backgroundRefresh="0" adjustColumnWidth="0" connectionId="3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6.xml><?xml version="1.0" encoding="utf-8"?>
<queryTable xmlns="http://schemas.openxmlformats.org/spreadsheetml/2006/main" name="Query from Agency_18" backgroundRefresh="0" adjustColumnWidth="0" connectionId="4" autoFormatId="16" applyNumberFormats="0" applyBorderFormats="0" applyFontFormats="0" applyPatternFormats="0" applyAlignmentFormats="0" applyWidthHeightFormats="0">
  <queryTableRefresh nextId="101" unboundColumnsRight="15">
    <queryTableFields count="17">
      <queryTableField id="51" name="AsOfDate" tableColumnId="10"/>
      <queryTableField id="68" name="SeriesNumValue" tableColumnId="5"/>
      <queryTableField id="85" dataBound="0" tableColumnId="1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8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21" backgroundRefresh="0" adjustColumnWidth="0" connectionId="7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9.xml><?xml version="1.0" encoding="utf-8"?>
<queryTable xmlns="http://schemas.openxmlformats.org/spreadsheetml/2006/main" name="Query from Agency_20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0.xml><?xml version="1.0" encoding="utf-8"?>
<queryTable xmlns="http://schemas.openxmlformats.org/spreadsheetml/2006/main" name="Query from Agency_19" backgroundRefresh="0" adjustColumnWidth="0" connectionId="5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7" name="CurrentMtgRatesDataTable8" displayName="CurrentMtgRatesDataTable8" ref="A4:D151" tableType="queryTable" totalsRowShown="0" headerRowDxfId="70" dataDxfId="69">
  <tableColumns count="4">
    <tableColumn id="10" uniqueName="10" name="asofdate" queryTableFieldId="51" dataDxfId="68" dataCellStyle="Normal 2 7"/>
    <tableColumn id="5" uniqueName="5" name="SeriesNumValue" queryTableFieldId="68" dataDxfId="67"/>
    <tableColumn id="1" uniqueName="1" name="Month" queryTableFieldId="85" dataDxfId="66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65" dataCellStyle="Normal 2 7">
      <calculatedColumnFormula>((CurrentMtgRatesDataTable8[[#This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8" name="CurrentMtgRatesDataTable89" displayName="CurrentMtgRatesDataTable89" ref="I4:M151" tableType="queryTable" totalsRowShown="0" headerRowDxfId="64" dataDxfId="63">
  <tableColumns count="5">
    <tableColumn id="10" uniqueName="10" name="asofdate" queryTableFieldId="51" dataDxfId="62" dataCellStyle="Normal 2 7"/>
    <tableColumn id="5" uniqueName="5" name="SeriesNumValue" queryTableFieldId="68" dataDxfId="61"/>
    <tableColumn id="1" uniqueName="1" name="Month" queryTableFieldId="85" dataDxfId="60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59" dataCellStyle="Normal 2 7">
      <calculatedColumnFormula>((CurrentMtgRatesDataTable89[[#This Row],[SeriesNumValue]]-$D$1)/$D$1+1)*100</calculatedColumnFormula>
    </tableColumn>
    <tableColumn id="3" uniqueName="3" name="Changes" queryTableFieldId="86" dataDxfId="58" dataCellStyle="Normal 2 7">
      <calculatedColumnFormula>CurrentMtgRatesDataTable89[[#This Row],[Index]]-L6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0" name="CurrentMtgRatesDataTable8711" displayName="CurrentMtgRatesDataTable8711" ref="P4:R151" tableType="queryTable" totalsRowShown="0" headerRowDxfId="57" dataDxfId="56">
  <tableColumns count="3">
    <tableColumn id="10" uniqueName="10" name="asofdate" queryTableFieldId="51" dataDxfId="55" dataCellStyle="Normal 2 7"/>
    <tableColumn id="5" uniqueName="5" name="SeriesNumValue" queryTableFieldId="68" dataDxfId="54"/>
    <tableColumn id="1" uniqueName="1" name="Column1" queryTableFieldId="85" dataDxfId="53">
      <calculatedColumnFormula>((CurrentMtgRatesDataTable8711[[#This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1" name="CurrentMtgRatesDataTable871112" displayName="CurrentMtgRatesDataTable871112" ref="U4:W151" tableType="queryTable" totalsRowShown="0" headerRowDxfId="52" dataDxfId="51">
  <tableColumns count="3">
    <tableColumn id="10" uniqueName="10" name="asofdate" queryTableFieldId="51" dataDxfId="50" dataCellStyle="Normal 2 7"/>
    <tableColumn id="5" uniqueName="5" name="SeriesNumValue" queryTableFieldId="68" dataDxfId="49"/>
    <tableColumn id="1" uniqueName="1" name="Column1" queryTableFieldId="85" dataDxfId="48">
      <calculatedColumnFormula>((CurrentMtgRatesDataTable871112[[#This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2" name="CurrentMtgRatesDataTable87111213" displayName="CurrentMtgRatesDataTable87111213" ref="Z4:AB151" tableType="queryTable" totalsRowShown="0" headerRowDxfId="47" dataDxfId="46">
  <tableColumns count="3">
    <tableColumn id="10" uniqueName="10" name="asofdate" queryTableFieldId="51" dataDxfId="45" dataCellStyle="Normal 2 7"/>
    <tableColumn id="5" uniqueName="5" name="SeriesNumValue" queryTableFieldId="68" dataDxfId="44"/>
    <tableColumn id="1" uniqueName="1" name="Column1" queryTableFieldId="85" dataDxfId="43">
      <calculatedColumnFormula>((CurrentMtgRatesDataTable87111213[[#This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3" name="CurrentMtgRatesDataTable8711121314" displayName="CurrentMtgRatesDataTable8711121314" ref="AE4:AU151" tableType="queryTable" totalsRowShown="0" headerRowDxfId="42" dataDxfId="41">
  <tableColumns count="17">
    <tableColumn id="10" uniqueName="10" name="asofdate" queryTableFieldId="51" dataDxfId="40" dataCellStyle="Normal 2 7"/>
    <tableColumn id="5" uniqueName="5" name="SeriesNumValue" queryTableFieldId="68" dataDxfId="39"/>
    <tableColumn id="1" uniqueName="1" name="Column1" queryTableFieldId="85" dataDxfId="38" dataCellStyle="Normal 2 7">
      <calculatedColumnFormula>((CurrentMtgRatesDataTable8711121314[[#This Row],[SeriesNumValue]]-$D$1)/$D$1+1)*100</calculatedColumnFormula>
    </tableColumn>
    <tableColumn id="2" uniqueName="2" name="Month" queryTableFieldId="86" dataDxfId="3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36">
      <calculatedColumnFormula>CurrentMtgRatesDataTable8711121314[[#This Row],[SeriesNumValue]]</calculatedColumnFormula>
    </tableColumn>
    <tableColumn id="4" uniqueName="4" name="FHA" queryTableFieldId="88" dataDxfId="35">
      <calculatedColumnFormula>VLOOKUP(CurrentMtgRatesDataTable8711121314[[#This Row],[asofdate]],P:R,2,0)</calculatedColumnFormula>
    </tableColumn>
    <tableColumn id="6" uniqueName="6" name="VA" queryTableFieldId="89" dataDxfId="34">
      <calculatedColumnFormula>IF(VLOOKUP(CurrentMtgRatesDataTable8711121314[[#This Row],[asofdate]],U:W,2,0)&lt;&gt;0,VLOOKUP(CurrentMtgRatesDataTable8711121314[[#This Row],[asofdate]],U:W,2,0),AK4)</calculatedColumnFormula>
    </tableColumn>
    <tableColumn id="7" uniqueName="7" name="Combined" queryTableFieldId="90" dataDxfId="33">
      <calculatedColumnFormula>VLOOKUP(CurrentMtgRatesDataTable8711121314[[#This Row],[asofdate]],Z:AB,2,0)</calculatedColumnFormula>
    </tableColumn>
    <tableColumn id="16" uniqueName="16" name="FHA + 0.5 Conforming" queryTableFieldId="98" dataDxfId="32" dataCellStyle="Normal 2 7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31" dataCellStyle="Normal 2 7">
      <calculatedColumnFormula>2*CurrentMtgRatesDataTable8711121314[[#This Row],[FHA]]</calculatedColumnFormula>
    </tableColumn>
    <tableColumn id="8" uniqueName="8" name="Pct Conventional" queryTableFieldId="91" dataDxfId="30">
      <calculatedColumnFormula>VLOOKUP(YEAR(CurrentMtgRatesDataTable8711121314[[#This Row],[asofdate]]),OriginationVolume!$A:$N,8,FALSE)</calculatedColumnFormula>
    </tableColumn>
    <tableColumn id="9" uniqueName="9" name="Pct VA" queryTableFieldId="92" dataDxfId="29">
      <calculatedColumnFormula>VLOOKUP(YEAR(CurrentMtgRatesDataTable8711121314[[#This Row],[asofdate]]),OriginationVolume!$A:$N,9,FALSE)</calculatedColumnFormula>
    </tableColumn>
    <tableColumn id="11" uniqueName="11" name="Pct FHA" queryTableFieldId="93" dataDxfId="28">
      <calculatedColumnFormula>VLOOKUP(YEAR(CurrentMtgRatesDataTable8711121314[[#This Row],[asofdate]]),OriginationVolume!$A:$N,10,FALSE)</calculatedColumnFormula>
    </tableColumn>
    <tableColumn id="12" uniqueName="12" name="Pct Jumbo" queryTableFieldId="94" dataDxfId="27">
      <calculatedColumnFormula>VLOOKUP(YEAR(CurrentMtgRatesDataTable8711121314[[#This Row],[asofdate]]),OriginationVolume!$A:$N,11,FALSE)</calculatedColumnFormula>
    </tableColumn>
    <tableColumn id="13" uniqueName="13" name="Pct Alt-A" queryTableFieldId="95" dataDxfId="26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25">
      <calculatedColumnFormula>VLOOKUP(YEAR(CurrentMtgRatesDataTable8711121314[[#This Row],[asofdate]]),OriginationVolume!$A:$N,13,FALSE)</calculatedColumnFormula>
    </tableColumn>
    <tableColumn id="17" uniqueName="17" name="Universe Series" queryTableFieldId="99" dataDxfId="24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W4:AX151" tableType="queryTable" totalsRowShown="0" headerRowDxfId="23" dataDxfId="22">
  <tableColumns count="2">
    <tableColumn id="10" uniqueName="10" name="asofdate" queryTableFieldId="51" dataDxfId="21" dataCellStyle="Normal 2 7"/>
    <tableColumn id="5" uniqueName="5" name="SeriesNumValue" queryTableFieldId="68" dataDxfId="2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14" name="CurrentMtgRatesDataTable87111215" displayName="CurrentMtgRatesDataTable87111215" ref="BA4:BB151" tableType="queryTable" totalsRowShown="0" headerRowDxfId="19" dataDxfId="18">
  <tableColumns count="2">
    <tableColumn id="10" uniqueName="10" name="asofdate" queryTableFieldId="51" dataDxfId="17" dataCellStyle="Normal 2 7"/>
    <tableColumn id="5" uniqueName="5" name="SeriesNumValue" queryTableFieldId="68" dataDxfId="1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5" name="CurrentMtgRatesDataTable8711121316" displayName="CurrentMtgRatesDataTable8711121316" ref="BE4:BF151" tableType="queryTable" totalsRowShown="0" headerRowDxfId="15" dataDxfId="14">
  <tableColumns count="2">
    <tableColumn id="10" uniqueName="10" name="asofdate" queryTableFieldId="51" dataDxfId="13" dataCellStyle="Normal 2 7"/>
    <tableColumn id="5" uniqueName="5" name="SeriesNumValue" queryTableFieldId="68" dataDxfId="1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6" name="CurrentMtgRatesDataTable871112131417" displayName="CurrentMtgRatesDataTable871112131417" ref="BI4:BO151" tableType="queryTable" totalsRowShown="0" headerRowDxfId="11" dataDxfId="10">
  <tableColumns count="7">
    <tableColumn id="10" uniqueName="10" name="asofdate" queryTableFieldId="51" dataDxfId="9" dataCellStyle="Normal 2 7"/>
    <tableColumn id="5" uniqueName="5" name="SeriesNumValue" queryTableFieldId="68" dataDxfId="8"/>
    <tableColumn id="2" uniqueName="2" name="Month" queryTableFieldId="86" dataDxfId="7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6" dataCellStyle="Normal 2 7">
      <calculatedColumnFormula>CurrentMtgRatesDataTable871112131417[[#This Row],[SeriesNumValue]]</calculatedColumnFormula>
    </tableColumn>
    <tableColumn id="4" uniqueName="4" name="FHA" queryTableFieldId="88" dataDxfId="5" dataCellStyle="Normal 2 7">
      <calculatedColumnFormula>VLOOKUP(CurrentMtgRatesDataTable871112131417[[#This Row],[asofdate]],AW:AX,2,0)</calculatedColumnFormula>
    </tableColumn>
    <tableColumn id="6" uniqueName="6" name="VA" queryTableFieldId="89" dataDxfId="4" dataCellStyle="Normal 2 7">
      <calculatedColumnFormula>IF(VLOOKUP(CurrentMtgRatesDataTable871112131417[[#This Row],[asofdate]],BA:BB,2,0)&lt;&gt;0,VLOOKUP(CurrentMtgRatesDataTable871112131417[[#This Row],[asofdate]],BA:BB,2,0),BN4)</calculatedColumnFormula>
    </tableColumn>
    <tableColumn id="7" uniqueName="7" name="Combined" queryTableFieldId="90" dataDxfId="3" dataCellStyle="Normal 2 7">
      <calculatedColumnFormula>VLOOKUP(CurrentMtgRatesDataTable871112131417[[#This Row],[asofdate]],BE:BF,2,0)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131"/>
  <sheetViews>
    <sheetView showGridLines="0" zoomScale="85" zoomScaleNormal="85" workbookViewId="0">
      <selection activeCell="W44" sqref="W44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166</v>
      </c>
      <c r="Y1" t="s">
        <v>1</v>
      </c>
      <c r="Z1" s="2" t="s">
        <v>4</v>
      </c>
    </row>
    <row r="2" spans="23:26">
      <c r="W2" s="1" t="s">
        <v>2</v>
      </c>
      <c r="X2" s="3">
        <v>42236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"Universe Credit Availability " &amp; TEXT(CurrentCloseDate, "yyyy-mm-dd") &amp; ".pdf"</f>
        <v>S:\IT\Production\Daily Reports\Primary Market\tmp\Universe Credit Availability 2015-08-20.pdf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42236</v>
      </c>
      <c r="Y8" s="9"/>
    </row>
    <row r="9" spans="23:26">
      <c r="W9" t="s">
        <v>26</v>
      </c>
      <c r="X9" s="9">
        <f>LastSurveyDate-1</f>
        <v>42235</v>
      </c>
    </row>
    <row r="11" spans="23:26">
      <c r="W11" t="s">
        <v>159</v>
      </c>
      <c r="X11" s="9">
        <f>IF(DAY(CurrentCloseDate)&lt;35,(CurrentCloseDate-DAY(CurrentCloseDate))-DAY((CurrentCloseDate-DAY(CurrentCloseDate)))+1,CurrentCloseDate-DAY(CurrentCloseDate)+1)</f>
        <v>42186</v>
      </c>
    </row>
    <row r="12" spans="23:26">
      <c r="X12" s="9">
        <f>IF(DAY(CurrentCloseDate)&lt;32,(CurrentCloseDate-DAY(CurrentCloseDate))-DAY((CurrentCloseDate-DAY(CurrentCloseDate)))+1,CurrentCloseDate-DAY(CurrentCloseDate)+1)</f>
        <v>42186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42156</v>
      </c>
    </row>
    <row r="45" spans="15:19">
      <c r="O45" s="15" t="s">
        <v>164</v>
      </c>
    </row>
    <row r="46" spans="15:19">
      <c r="O46" s="19"/>
      <c r="P46" s="21" t="s">
        <v>200</v>
      </c>
      <c r="Q46" s="42" t="s">
        <v>172</v>
      </c>
      <c r="R46" s="42" t="s">
        <v>169</v>
      </c>
      <c r="S46" s="20" t="s">
        <v>168</v>
      </c>
    </row>
    <row r="47" spans="15:19">
      <c r="O47" s="13"/>
      <c r="P47" s="24"/>
      <c r="Q47" s="43"/>
      <c r="R47" s="44"/>
      <c r="S47" s="45"/>
    </row>
    <row r="48" spans="15:19">
      <c r="O48" s="13"/>
      <c r="P48" s="24"/>
      <c r="Q48" s="43"/>
      <c r="R48" s="44"/>
      <c r="S48" s="45"/>
    </row>
    <row r="49" spans="15:19">
      <c r="O49" s="13"/>
      <c r="P49" s="24"/>
      <c r="Q49" s="43"/>
      <c r="R49" s="44"/>
      <c r="S49" s="45"/>
    </row>
    <row r="50" spans="15:19">
      <c r="O50" s="13"/>
      <c r="P50" s="24"/>
      <c r="Q50" s="43"/>
      <c r="R50" s="44"/>
      <c r="S50" s="45"/>
    </row>
    <row r="51" spans="15:19">
      <c r="O51" s="13"/>
      <c r="P51" s="24"/>
      <c r="Q51" s="43"/>
      <c r="R51" s="44"/>
      <c r="S51" s="45"/>
    </row>
    <row r="52" spans="15:19">
      <c r="O52" s="13"/>
      <c r="P52" s="24"/>
      <c r="Q52" s="43"/>
      <c r="R52" s="44"/>
      <c r="S52" s="45"/>
    </row>
    <row r="53" spans="15:19">
      <c r="O53" s="13"/>
      <c r="P53" s="24"/>
      <c r="Q53" s="43"/>
      <c r="R53" s="44"/>
      <c r="S53" s="45"/>
    </row>
    <row r="54" spans="15:19">
      <c r="O54" s="13"/>
      <c r="P54" s="24"/>
      <c r="Q54" s="43"/>
      <c r="R54" s="44"/>
      <c r="S54" s="45"/>
    </row>
    <row r="55" spans="15:19">
      <c r="O55" s="13"/>
      <c r="P55" s="24"/>
      <c r="Q55" s="43"/>
      <c r="R55" s="44"/>
      <c r="S55" s="45"/>
    </row>
    <row r="56" spans="15:19">
      <c r="O56" s="13"/>
      <c r="P56" s="24"/>
      <c r="Q56" s="43"/>
      <c r="R56" s="44"/>
      <c r="S56" s="45"/>
    </row>
    <row r="57" spans="15:19">
      <c r="O57" s="13"/>
      <c r="P57" s="24"/>
      <c r="Q57" s="43"/>
      <c r="R57" s="44"/>
      <c r="S57" s="45"/>
    </row>
    <row r="116" spans="3:19">
      <c r="C116" s="15" t="s">
        <v>164</v>
      </c>
      <c r="L116" s="15" t="s">
        <v>165</v>
      </c>
    </row>
    <row r="117" spans="3:19" s="23" customFormat="1">
      <c r="C117" s="19"/>
      <c r="D117" s="20" t="s">
        <v>158</v>
      </c>
      <c r="E117" s="21" t="e">
        <f>#REF!</f>
        <v>#REF!</v>
      </c>
      <c r="F117" s="20" t="e">
        <f>#REF!</f>
        <v>#REF!</v>
      </c>
      <c r="G117" s="21" t="e">
        <f>#REF!</f>
        <v>#REF!</v>
      </c>
      <c r="H117" s="20" t="e">
        <f>#REF!</f>
        <v>#REF!</v>
      </c>
      <c r="I117" s="21" t="e">
        <f>#REF!</f>
        <v>#REF!</v>
      </c>
      <c r="J117" s="20" t="e">
        <f>#REF!</f>
        <v>#REF!</v>
      </c>
      <c r="K117" s="22"/>
      <c r="L117" s="19"/>
      <c r="M117" s="20" t="s">
        <v>158</v>
      </c>
      <c r="N117" s="21" t="e">
        <f>#REF!</f>
        <v>#REF!</v>
      </c>
      <c r="O117" s="20" t="e">
        <f>#REF!</f>
        <v>#REF!</v>
      </c>
      <c r="P117" s="21" t="e">
        <f>#REF!</f>
        <v>#REF!</v>
      </c>
      <c r="Q117" s="20" t="e">
        <f>#REF!</f>
        <v>#REF!</v>
      </c>
      <c r="R117" s="21" t="e">
        <f>#REF!</f>
        <v>#REF!</v>
      </c>
      <c r="S117" s="20" t="e">
        <f>#REF!</f>
        <v>#REF!</v>
      </c>
    </row>
    <row r="118" spans="3:19">
      <c r="C118" s="13" t="str">
        <f>'Time Series Query'!K5</f>
        <v>2015-7</v>
      </c>
      <c r="D118" s="13">
        <f>'Time Series Query'!L5</f>
        <v>109.72039931324066</v>
      </c>
      <c r="E118" s="24" t="e">
        <f>'Time Series Query'!#REF!</f>
        <v>#REF!</v>
      </c>
      <c r="F118" s="25" t="e">
        <f>'Time Series Query'!#REF!</f>
        <v>#REF!</v>
      </c>
      <c r="G118" s="24" t="e">
        <f>'Time Series Query'!#REF!</f>
        <v>#REF!</v>
      </c>
      <c r="H118" s="25" t="e">
        <f>'Time Series Query'!#REF!</f>
        <v>#REF!</v>
      </c>
      <c r="I118" s="24" t="e">
        <f>'Time Series Query'!#REF!</f>
        <v>#REF!</v>
      </c>
      <c r="J118" s="25" t="e">
        <f>'Time Series Query'!#REF!</f>
        <v>#REF!</v>
      </c>
      <c r="L118" s="13" t="str">
        <f>C118</f>
        <v>2015-7</v>
      </c>
      <c r="M118" s="13">
        <f>'Time Series Query'!M5</f>
        <v>-9.237159696622669</v>
      </c>
      <c r="N118" s="14" t="e">
        <f>'Time Series Query'!#REF!-'Time Series Query'!#REF!</f>
        <v>#REF!</v>
      </c>
      <c r="O118" s="18" t="e">
        <f>'Time Series Query'!#REF!-'Time Series Query'!#REF!</f>
        <v>#REF!</v>
      </c>
      <c r="P118" s="14" t="e">
        <f>'Time Series Query'!#REF!-'Time Series Query'!#REF!</f>
        <v>#REF!</v>
      </c>
      <c r="Q118" s="18" t="e">
        <f>'Time Series Query'!#REF!-'Time Series Query'!#REF!</f>
        <v>#REF!</v>
      </c>
      <c r="R118" s="14" t="e">
        <f>'Time Series Query'!#REF!-'Time Series Query'!#REF!</f>
        <v>#REF!</v>
      </c>
      <c r="S118" s="18" t="e">
        <f>'Time Series Query'!#REF!-'Time Series Query'!#REF!</f>
        <v>#REF!</v>
      </c>
    </row>
    <row r="119" spans="3:19">
      <c r="C119" s="13" t="str">
        <f>'Time Series Query'!K6</f>
        <v>2015-6</v>
      </c>
      <c r="D119" s="13">
        <f>'Time Series Query'!L6</f>
        <v>118.95755900986333</v>
      </c>
      <c r="E119" s="24" t="e">
        <f>'Time Series Query'!#REF!</f>
        <v>#REF!</v>
      </c>
      <c r="F119" s="25" t="e">
        <f>'Time Series Query'!#REF!</f>
        <v>#REF!</v>
      </c>
      <c r="G119" s="24" t="e">
        <f>'Time Series Query'!#REF!</f>
        <v>#REF!</v>
      </c>
      <c r="H119" s="25" t="e">
        <f>'Time Series Query'!#REF!</f>
        <v>#REF!</v>
      </c>
      <c r="I119" s="24" t="e">
        <f>'Time Series Query'!#REF!</f>
        <v>#REF!</v>
      </c>
      <c r="J119" s="25" t="e">
        <f>'Time Series Query'!#REF!</f>
        <v>#REF!</v>
      </c>
      <c r="L119" s="13" t="str">
        <f t="shared" ref="L119:L130" si="0">C119</f>
        <v>2015-6</v>
      </c>
      <c r="M119" s="13">
        <f>'Time Series Query'!M6</f>
        <v>-0.44259907693866296</v>
      </c>
      <c r="N119" s="14" t="e">
        <f>'Time Series Query'!#REF!-'Time Series Query'!#REF!</f>
        <v>#REF!</v>
      </c>
      <c r="O119" s="18" t="e">
        <f>'Time Series Query'!#REF!-'Time Series Query'!#REF!</f>
        <v>#REF!</v>
      </c>
      <c r="P119" s="14" t="e">
        <f>'Time Series Query'!#REF!-'Time Series Query'!#REF!</f>
        <v>#REF!</v>
      </c>
      <c r="Q119" s="18" t="e">
        <f>'Time Series Query'!#REF!-'Time Series Query'!#REF!</f>
        <v>#REF!</v>
      </c>
      <c r="R119" s="14" t="e">
        <f>'Time Series Query'!#REF!-'Time Series Query'!#REF!</f>
        <v>#REF!</v>
      </c>
      <c r="S119" s="18" t="e">
        <f>'Time Series Query'!#REF!-'Time Series Query'!#REF!</f>
        <v>#REF!</v>
      </c>
    </row>
    <row r="120" spans="3:19">
      <c r="C120" s="13" t="str">
        <f>'Time Series Query'!K7</f>
        <v>2015-5</v>
      </c>
      <c r="D120" s="13">
        <f>'Time Series Query'!L7</f>
        <v>119.40015808680199</v>
      </c>
      <c r="E120" s="24" t="e">
        <f>'Time Series Query'!#REF!</f>
        <v>#REF!</v>
      </c>
      <c r="F120" s="25" t="e">
        <f>'Time Series Query'!#REF!</f>
        <v>#REF!</v>
      </c>
      <c r="G120" s="24" t="e">
        <f>'Time Series Query'!#REF!</f>
        <v>#REF!</v>
      </c>
      <c r="H120" s="25" t="e">
        <f>'Time Series Query'!#REF!</f>
        <v>#REF!</v>
      </c>
      <c r="I120" s="24" t="e">
        <f>'Time Series Query'!#REF!</f>
        <v>#REF!</v>
      </c>
      <c r="J120" s="25" t="e">
        <f>'Time Series Query'!#REF!</f>
        <v>#REF!</v>
      </c>
      <c r="L120" s="13" t="str">
        <f t="shared" si="0"/>
        <v>2015-5</v>
      </c>
      <c r="M120" s="13">
        <f>'Time Series Query'!M7</f>
        <v>1.1986894263626766</v>
      </c>
      <c r="N120" s="14" t="e">
        <f>'Time Series Query'!#REF!-'Time Series Query'!#REF!</f>
        <v>#REF!</v>
      </c>
      <c r="O120" s="18" t="e">
        <f>'Time Series Query'!#REF!-'Time Series Query'!#REF!</f>
        <v>#REF!</v>
      </c>
      <c r="P120" s="14" t="e">
        <f>'Time Series Query'!#REF!-'Time Series Query'!#REF!</f>
        <v>#REF!</v>
      </c>
      <c r="Q120" s="18" t="e">
        <f>'Time Series Query'!#REF!-'Time Series Query'!#REF!</f>
        <v>#REF!</v>
      </c>
      <c r="R120" s="14" t="e">
        <f>'Time Series Query'!#REF!-'Time Series Query'!#REF!</f>
        <v>#REF!</v>
      </c>
      <c r="S120" s="18" t="e">
        <f>'Time Series Query'!#REF!-'Time Series Query'!#REF!</f>
        <v>#REF!</v>
      </c>
    </row>
    <row r="121" spans="3:19">
      <c r="C121" s="13" t="str">
        <f>'Time Series Query'!K8</f>
        <v>2015-4</v>
      </c>
      <c r="D121" s="13">
        <f>'Time Series Query'!L8</f>
        <v>118.20146866043932</v>
      </c>
      <c r="E121" s="24" t="e">
        <f>'Time Series Query'!#REF!</f>
        <v>#REF!</v>
      </c>
      <c r="F121" s="25" t="e">
        <f>'Time Series Query'!#REF!</f>
        <v>#REF!</v>
      </c>
      <c r="G121" s="24" t="e">
        <f>'Time Series Query'!#REF!</f>
        <v>#REF!</v>
      </c>
      <c r="H121" s="25" t="e">
        <f>'Time Series Query'!#REF!</f>
        <v>#REF!</v>
      </c>
      <c r="I121" s="24" t="e">
        <f>'Time Series Query'!#REF!</f>
        <v>#REF!</v>
      </c>
      <c r="J121" s="25" t="e">
        <f>'Time Series Query'!#REF!</f>
        <v>#REF!</v>
      </c>
      <c r="L121" s="13" t="str">
        <f t="shared" si="0"/>
        <v>2015-4</v>
      </c>
      <c r="M121" s="13">
        <f>'Time Series Query'!M8</f>
        <v>-10.819160289196006</v>
      </c>
      <c r="N121" s="14" t="e">
        <f>'Time Series Query'!#REF!-'Time Series Query'!#REF!</f>
        <v>#REF!</v>
      </c>
      <c r="O121" s="18" t="e">
        <f>'Time Series Query'!#REF!-'Time Series Query'!#REF!</f>
        <v>#REF!</v>
      </c>
      <c r="P121" s="14" t="e">
        <f>'Time Series Query'!#REF!-'Time Series Query'!#REF!</f>
        <v>#REF!</v>
      </c>
      <c r="Q121" s="18" t="e">
        <f>'Time Series Query'!#REF!-'Time Series Query'!#REF!</f>
        <v>#REF!</v>
      </c>
      <c r="R121" s="14" t="e">
        <f>'Time Series Query'!#REF!-'Time Series Query'!#REF!</f>
        <v>#REF!</v>
      </c>
      <c r="S121" s="18" t="e">
        <f>'Time Series Query'!#REF!-'Time Series Query'!#REF!</f>
        <v>#REF!</v>
      </c>
    </row>
    <row r="122" spans="3:19">
      <c r="C122" s="13" t="str">
        <f>'Time Series Query'!K9</f>
        <v>2015-3</v>
      </c>
      <c r="D122" s="13">
        <f>'Time Series Query'!L9</f>
        <v>129.02062894963532</v>
      </c>
      <c r="E122" s="24" t="e">
        <f>'Time Series Query'!#REF!</f>
        <v>#REF!</v>
      </c>
      <c r="F122" s="25" t="e">
        <f>'Time Series Query'!#REF!</f>
        <v>#REF!</v>
      </c>
      <c r="G122" s="24" t="e">
        <f>'Time Series Query'!#REF!</f>
        <v>#REF!</v>
      </c>
      <c r="H122" s="25" t="e">
        <f>'Time Series Query'!#REF!</f>
        <v>#REF!</v>
      </c>
      <c r="I122" s="24" t="e">
        <f>'Time Series Query'!#REF!</f>
        <v>#REF!</v>
      </c>
      <c r="J122" s="25" t="e">
        <f>'Time Series Query'!#REF!</f>
        <v>#REF!</v>
      </c>
      <c r="L122" s="13" t="str">
        <f t="shared" si="0"/>
        <v>2015-3</v>
      </c>
      <c r="M122" s="13">
        <f>'Time Series Query'!M9</f>
        <v>-0.99549242061868881</v>
      </c>
      <c r="N122" s="14" t="e">
        <f>'Time Series Query'!#REF!-'Time Series Query'!#REF!</f>
        <v>#REF!</v>
      </c>
      <c r="O122" s="18" t="e">
        <f>'Time Series Query'!#REF!-'Time Series Query'!#REF!</f>
        <v>#REF!</v>
      </c>
      <c r="P122" s="14" t="e">
        <f>'Time Series Query'!#REF!-'Time Series Query'!#REF!</f>
        <v>#REF!</v>
      </c>
      <c r="Q122" s="18" t="e">
        <f>'Time Series Query'!#REF!-'Time Series Query'!#REF!</f>
        <v>#REF!</v>
      </c>
      <c r="R122" s="14" t="e">
        <f>'Time Series Query'!#REF!-'Time Series Query'!#REF!</f>
        <v>#REF!</v>
      </c>
      <c r="S122" s="18" t="e">
        <f>'Time Series Query'!#REF!-'Time Series Query'!#REF!</f>
        <v>#REF!</v>
      </c>
    </row>
    <row r="123" spans="3:19">
      <c r="C123" s="13" t="str">
        <f>'Time Series Query'!K10</f>
        <v>2015-2</v>
      </c>
      <c r="D123" s="13">
        <f>'Time Series Query'!L10</f>
        <v>130.01612137025401</v>
      </c>
      <c r="E123" s="24" t="e">
        <f>'Time Series Query'!#REF!</f>
        <v>#REF!</v>
      </c>
      <c r="F123" s="25" t="e">
        <f>'Time Series Query'!#REF!</f>
        <v>#REF!</v>
      </c>
      <c r="G123" s="24" t="e">
        <f>'Time Series Query'!#REF!</f>
        <v>#REF!</v>
      </c>
      <c r="H123" s="25" t="e">
        <f>'Time Series Query'!#REF!</f>
        <v>#REF!</v>
      </c>
      <c r="I123" s="24" t="e">
        <f>'Time Series Query'!#REF!</f>
        <v>#REF!</v>
      </c>
      <c r="J123" s="25" t="e">
        <f>'Time Series Query'!#REF!</f>
        <v>#REF!</v>
      </c>
      <c r="L123" s="13" t="str">
        <f t="shared" si="0"/>
        <v>2015-2</v>
      </c>
      <c r="M123" s="13">
        <f>'Time Series Query'!M10</f>
        <v>5.5776888994633396</v>
      </c>
      <c r="N123" s="14" t="e">
        <f>'Time Series Query'!#REF!-'Time Series Query'!#REF!</f>
        <v>#REF!</v>
      </c>
      <c r="O123" s="18" t="e">
        <f>'Time Series Query'!#REF!-'Time Series Query'!#REF!</f>
        <v>#REF!</v>
      </c>
      <c r="P123" s="14" t="e">
        <f>'Time Series Query'!#REF!-'Time Series Query'!#REF!</f>
        <v>#REF!</v>
      </c>
      <c r="Q123" s="18" t="e">
        <f>'Time Series Query'!#REF!-'Time Series Query'!#REF!</f>
        <v>#REF!</v>
      </c>
      <c r="R123" s="14" t="e">
        <f>'Time Series Query'!#REF!-'Time Series Query'!#REF!</f>
        <v>#REF!</v>
      </c>
      <c r="S123" s="18" t="e">
        <f>'Time Series Query'!#REF!-'Time Series Query'!#REF!</f>
        <v>#REF!</v>
      </c>
    </row>
    <row r="124" spans="3:19">
      <c r="C124" s="13" t="str">
        <f>'Time Series Query'!K11</f>
        <v>2015-1</v>
      </c>
      <c r="D124" s="13">
        <f>'Time Series Query'!L11</f>
        <v>124.43843247079067</v>
      </c>
      <c r="E124" s="24" t="e">
        <f>'Time Series Query'!#REF!</f>
        <v>#REF!</v>
      </c>
      <c r="F124" s="25" t="e">
        <f>'Time Series Query'!#REF!</f>
        <v>#REF!</v>
      </c>
      <c r="G124" s="24" t="e">
        <f>'Time Series Query'!#REF!</f>
        <v>#REF!</v>
      </c>
      <c r="H124" s="25" t="e">
        <f>'Time Series Query'!#REF!</f>
        <v>#REF!</v>
      </c>
      <c r="I124" s="24" t="e">
        <f>'Time Series Query'!#REF!</f>
        <v>#REF!</v>
      </c>
      <c r="J124" s="25" t="e">
        <f>'Time Series Query'!#REF!</f>
        <v>#REF!</v>
      </c>
      <c r="L124" s="13" t="str">
        <f t="shared" si="0"/>
        <v>2015-1</v>
      </c>
      <c r="M124" s="13">
        <f>'Time Series Query'!M11</f>
        <v>-1.2149666502266712</v>
      </c>
      <c r="N124" s="14" t="e">
        <f>'Time Series Query'!#REF!-'Time Series Query'!#REF!</f>
        <v>#REF!</v>
      </c>
      <c r="O124" s="18" t="e">
        <f>'Time Series Query'!#REF!-'Time Series Query'!#REF!</f>
        <v>#REF!</v>
      </c>
      <c r="P124" s="14" t="e">
        <f>'Time Series Query'!#REF!-'Time Series Query'!#REF!</f>
        <v>#REF!</v>
      </c>
      <c r="Q124" s="18" t="e">
        <f>'Time Series Query'!#REF!-'Time Series Query'!#REF!</f>
        <v>#REF!</v>
      </c>
      <c r="R124" s="14" t="e">
        <f>'Time Series Query'!#REF!-'Time Series Query'!#REF!</f>
        <v>#REF!</v>
      </c>
      <c r="S124" s="18" t="e">
        <f>'Time Series Query'!#REF!-'Time Series Query'!#REF!</f>
        <v>#REF!</v>
      </c>
    </row>
    <row r="125" spans="3:19">
      <c r="C125" s="13" t="str">
        <f>'Time Series Query'!K12</f>
        <v>2014-12</v>
      </c>
      <c r="D125" s="13">
        <f>'Time Series Query'!L12</f>
        <v>125.65339912101734</v>
      </c>
      <c r="E125" s="24" t="e">
        <f>'Time Series Query'!#REF!</f>
        <v>#REF!</v>
      </c>
      <c r="F125" s="25" t="e">
        <f>'Time Series Query'!#REF!</f>
        <v>#REF!</v>
      </c>
      <c r="G125" s="24" t="e">
        <f>'Time Series Query'!#REF!</f>
        <v>#REF!</v>
      </c>
      <c r="H125" s="25" t="e">
        <f>'Time Series Query'!#REF!</f>
        <v>#REF!</v>
      </c>
      <c r="I125" s="24" t="e">
        <f>'Time Series Query'!#REF!</f>
        <v>#REF!</v>
      </c>
      <c r="J125" s="25" t="e">
        <f>'Time Series Query'!#REF!</f>
        <v>#REF!</v>
      </c>
      <c r="L125" s="13" t="str">
        <f t="shared" si="0"/>
        <v>2014-12</v>
      </c>
      <c r="M125" s="13">
        <f>'Time Series Query'!M12</f>
        <v>2.6500484790566645</v>
      </c>
      <c r="N125" s="14" t="e">
        <f>'Time Series Query'!#REF!-'Time Series Query'!#REF!</f>
        <v>#REF!</v>
      </c>
      <c r="O125" s="18" t="e">
        <f>'Time Series Query'!#REF!-'Time Series Query'!#REF!</f>
        <v>#REF!</v>
      </c>
      <c r="P125" s="14" t="e">
        <f>'Time Series Query'!#REF!-'Time Series Query'!#REF!</f>
        <v>#REF!</v>
      </c>
      <c r="Q125" s="18" t="e">
        <f>'Time Series Query'!#REF!-'Time Series Query'!#REF!</f>
        <v>#REF!</v>
      </c>
      <c r="R125" s="14" t="e">
        <f>'Time Series Query'!#REF!-'Time Series Query'!#REF!</f>
        <v>#REF!</v>
      </c>
      <c r="S125" s="18" t="e">
        <f>'Time Series Query'!#REF!-'Time Series Query'!#REF!</f>
        <v>#REF!</v>
      </c>
    </row>
    <row r="126" spans="3:19">
      <c r="C126" s="13" t="str">
        <f>'Time Series Query'!K13</f>
        <v>2014-11</v>
      </c>
      <c r="D126" s="13">
        <f>'Time Series Query'!L13</f>
        <v>123.00335064196068</v>
      </c>
      <c r="E126" s="24" t="e">
        <f>'Time Series Query'!#REF!</f>
        <v>#REF!</v>
      </c>
      <c r="F126" s="25" t="e">
        <f>'Time Series Query'!#REF!</f>
        <v>#REF!</v>
      </c>
      <c r="G126" s="24" t="e">
        <f>'Time Series Query'!#REF!</f>
        <v>#REF!</v>
      </c>
      <c r="H126" s="25" t="e">
        <f>'Time Series Query'!#REF!</f>
        <v>#REF!</v>
      </c>
      <c r="I126" s="24" t="e">
        <f>'Time Series Query'!#REF!</f>
        <v>#REF!</v>
      </c>
      <c r="J126" s="25" t="e">
        <f>'Time Series Query'!#REF!</f>
        <v>#REF!</v>
      </c>
      <c r="L126" s="13" t="str">
        <f t="shared" si="0"/>
        <v>2014-11</v>
      </c>
      <c r="M126" s="13">
        <f>'Time Series Query'!M13</f>
        <v>3.7901319208433364</v>
      </c>
      <c r="N126" s="14" t="e">
        <f>'Time Series Query'!#REF!-'Time Series Query'!#REF!</f>
        <v>#REF!</v>
      </c>
      <c r="O126" s="18" t="e">
        <f>'Time Series Query'!#REF!-'Time Series Query'!#REF!</f>
        <v>#REF!</v>
      </c>
      <c r="P126" s="14" t="e">
        <f>'Time Series Query'!#REF!-'Time Series Query'!#REF!</f>
        <v>#REF!</v>
      </c>
      <c r="Q126" s="18" t="e">
        <f>'Time Series Query'!#REF!-'Time Series Query'!#REF!</f>
        <v>#REF!</v>
      </c>
      <c r="R126" s="14" t="e">
        <f>'Time Series Query'!#REF!-'Time Series Query'!#REF!</f>
        <v>#REF!</v>
      </c>
      <c r="S126" s="18" t="e">
        <f>'Time Series Query'!#REF!-'Time Series Query'!#REF!</f>
        <v>#REF!</v>
      </c>
    </row>
    <row r="127" spans="3:19">
      <c r="C127" s="13" t="str">
        <f>'Time Series Query'!K14</f>
        <v>2014-10</v>
      </c>
      <c r="D127" s="13">
        <f>'Time Series Query'!L14</f>
        <v>119.21321872111734</v>
      </c>
      <c r="E127" s="24" t="e">
        <f>'Time Series Query'!#REF!</f>
        <v>#REF!</v>
      </c>
      <c r="F127" s="25" t="e">
        <f>'Time Series Query'!#REF!</f>
        <v>#REF!</v>
      </c>
      <c r="G127" s="24" t="e">
        <f>'Time Series Query'!#REF!</f>
        <v>#REF!</v>
      </c>
      <c r="H127" s="25" t="e">
        <f>'Time Series Query'!#REF!</f>
        <v>#REF!</v>
      </c>
      <c r="I127" s="24" t="e">
        <f>'Time Series Query'!#REF!</f>
        <v>#REF!</v>
      </c>
      <c r="J127" s="25" t="e">
        <f>'Time Series Query'!#REF!</f>
        <v>#REF!</v>
      </c>
      <c r="L127" s="13" t="str">
        <f t="shared" si="0"/>
        <v>2014-10</v>
      </c>
      <c r="M127" s="13">
        <f>'Time Series Query'!M14</f>
        <v>0.49197567056067726</v>
      </c>
      <c r="N127" s="14" t="e">
        <f>'Time Series Query'!#REF!-'Time Series Query'!#REF!</f>
        <v>#REF!</v>
      </c>
      <c r="O127" s="18" t="e">
        <f>'Time Series Query'!#REF!-'Time Series Query'!#REF!</f>
        <v>#REF!</v>
      </c>
      <c r="P127" s="14" t="e">
        <f>'Time Series Query'!#REF!-'Time Series Query'!#REF!</f>
        <v>#REF!</v>
      </c>
      <c r="Q127" s="18" t="e">
        <f>'Time Series Query'!#REF!-'Time Series Query'!#REF!</f>
        <v>#REF!</v>
      </c>
      <c r="R127" s="14" t="e">
        <f>'Time Series Query'!#REF!-'Time Series Query'!#REF!</f>
        <v>#REF!</v>
      </c>
      <c r="S127" s="18" t="e">
        <f>'Time Series Query'!#REF!-'Time Series Query'!#REF!</f>
        <v>#REF!</v>
      </c>
    </row>
    <row r="128" spans="3:19">
      <c r="C128" s="13" t="str">
        <f>'Time Series Query'!K15</f>
        <v>2014-9</v>
      </c>
      <c r="D128" s="13">
        <f>'Time Series Query'!L15</f>
        <v>118.72124305055667</v>
      </c>
      <c r="E128" s="24" t="e">
        <f>'Time Series Query'!#REF!</f>
        <v>#REF!</v>
      </c>
      <c r="F128" s="25" t="e">
        <f>'Time Series Query'!#REF!</f>
        <v>#REF!</v>
      </c>
      <c r="G128" s="24" t="e">
        <f>'Time Series Query'!#REF!</f>
        <v>#REF!</v>
      </c>
      <c r="H128" s="25" t="e">
        <f>'Time Series Query'!#REF!</f>
        <v>#REF!</v>
      </c>
      <c r="I128" s="24" t="e">
        <f>'Time Series Query'!#REF!</f>
        <v>#REF!</v>
      </c>
      <c r="J128" s="25" t="e">
        <f>'Time Series Query'!#REF!</f>
        <v>#REF!</v>
      </c>
      <c r="L128" s="13" t="str">
        <f t="shared" si="0"/>
        <v>2014-9</v>
      </c>
      <c r="M128" s="13">
        <f>'Time Series Query'!M15</f>
        <v>-0.11322836864734143</v>
      </c>
      <c r="N128" s="14" t="e">
        <f>'Time Series Query'!#REF!-'Time Series Query'!#REF!</f>
        <v>#REF!</v>
      </c>
      <c r="O128" s="18" t="e">
        <f>'Time Series Query'!#REF!-'Time Series Query'!#REF!</f>
        <v>#REF!</v>
      </c>
      <c r="P128" s="14" t="e">
        <f>'Time Series Query'!#REF!-'Time Series Query'!#REF!</f>
        <v>#REF!</v>
      </c>
      <c r="Q128" s="18" t="e">
        <f>'Time Series Query'!#REF!-'Time Series Query'!#REF!</f>
        <v>#REF!</v>
      </c>
      <c r="R128" s="14" t="e">
        <f>'Time Series Query'!#REF!-'Time Series Query'!#REF!</f>
        <v>#REF!</v>
      </c>
      <c r="S128" s="18" t="e">
        <f>'Time Series Query'!#REF!-'Time Series Query'!#REF!</f>
        <v>#REF!</v>
      </c>
    </row>
    <row r="129" spans="3:19">
      <c r="C129" s="13" t="str">
        <f>'Time Series Query'!K16</f>
        <v>2014-8</v>
      </c>
      <c r="D129" s="13">
        <f>'Time Series Query'!L16</f>
        <v>118.83447141920401</v>
      </c>
      <c r="E129" s="24" t="e">
        <f>'Time Series Query'!#REF!</f>
        <v>#REF!</v>
      </c>
      <c r="F129" s="25" t="e">
        <f>'Time Series Query'!#REF!</f>
        <v>#REF!</v>
      </c>
      <c r="G129" s="24" t="e">
        <f>'Time Series Query'!#REF!</f>
        <v>#REF!</v>
      </c>
      <c r="H129" s="25" t="e">
        <f>'Time Series Query'!#REF!</f>
        <v>#REF!</v>
      </c>
      <c r="I129" s="24" t="e">
        <f>'Time Series Query'!#REF!</f>
        <v>#REF!</v>
      </c>
      <c r="J129" s="25" t="e">
        <f>'Time Series Query'!#REF!</f>
        <v>#REF!</v>
      </c>
      <c r="L129" s="13" t="str">
        <f t="shared" si="0"/>
        <v>2014-8</v>
      </c>
      <c r="M129" s="13">
        <f>'Time Series Query'!M16</f>
        <v>-5.0739057982933389</v>
      </c>
      <c r="N129" s="14" t="e">
        <f>'Time Series Query'!#REF!-'Time Series Query'!#REF!</f>
        <v>#REF!</v>
      </c>
      <c r="O129" s="18" t="e">
        <f>'Time Series Query'!#REF!-'Time Series Query'!#REF!</f>
        <v>#REF!</v>
      </c>
      <c r="P129" s="14" t="e">
        <f>'Time Series Query'!#REF!-'Time Series Query'!#REF!</f>
        <v>#REF!</v>
      </c>
      <c r="Q129" s="18" t="e">
        <f>'Time Series Query'!#REF!-'Time Series Query'!#REF!</f>
        <v>#REF!</v>
      </c>
      <c r="R129" s="14" t="e">
        <f>'Time Series Query'!#REF!-'Time Series Query'!#REF!</f>
        <v>#REF!</v>
      </c>
      <c r="S129" s="18" t="e">
        <f>'Time Series Query'!#REF!-'Time Series Query'!#REF!</f>
        <v>#REF!</v>
      </c>
    </row>
    <row r="130" spans="3:19">
      <c r="C130" s="13" t="str">
        <f>'Time Series Query'!K17</f>
        <v>2014-7</v>
      </c>
      <c r="D130" s="13">
        <f>'Time Series Query'!L17</f>
        <v>123.90837721749735</v>
      </c>
      <c r="E130" s="24" t="e">
        <f>'Time Series Query'!#REF!</f>
        <v>#REF!</v>
      </c>
      <c r="F130" s="25" t="e">
        <f>'Time Series Query'!#REF!</f>
        <v>#REF!</v>
      </c>
      <c r="G130" s="24" t="e">
        <f>'Time Series Query'!#REF!</f>
        <v>#REF!</v>
      </c>
      <c r="H130" s="25" t="e">
        <f>'Time Series Query'!#REF!</f>
        <v>#REF!</v>
      </c>
      <c r="I130" s="24" t="e">
        <f>'Time Series Query'!#REF!</f>
        <v>#REF!</v>
      </c>
      <c r="J130" s="25" t="e">
        <f>'Time Series Query'!#REF!</f>
        <v>#REF!</v>
      </c>
      <c r="L130" s="13" t="str">
        <f t="shared" si="0"/>
        <v>2014-7</v>
      </c>
      <c r="M130" s="13">
        <f>'Time Series Query'!M17</f>
        <v>3.3578951789013445</v>
      </c>
      <c r="N130" s="14" t="e">
        <f>'Time Series Query'!#REF!-'Time Series Query'!#REF!</f>
        <v>#REF!</v>
      </c>
      <c r="O130" s="18" t="e">
        <f>'Time Series Query'!#REF!-'Time Series Query'!#REF!</f>
        <v>#REF!</v>
      </c>
      <c r="P130" s="14" t="e">
        <f>'Time Series Query'!#REF!-'Time Series Query'!#REF!</f>
        <v>#REF!</v>
      </c>
      <c r="Q130" s="18" t="e">
        <f>'Time Series Query'!#REF!-'Time Series Query'!#REF!</f>
        <v>#REF!</v>
      </c>
      <c r="R130" s="14" t="e">
        <f>'Time Series Query'!#REF!-'Time Series Query'!#REF!</f>
        <v>#REF!</v>
      </c>
      <c r="S130" s="18" t="e">
        <f>'Time Series Query'!#REF!-'Time Series Query'!#REF!</f>
        <v>#REF!</v>
      </c>
    </row>
    <row r="131" spans="3:19">
      <c r="C131" t="s">
        <v>163</v>
      </c>
    </row>
  </sheetData>
  <conditionalFormatting sqref="M118:O130">
    <cfRule type="cellIs" dxfId="2" priority="42" operator="lessThan">
      <formula>0</formula>
    </cfRule>
  </conditionalFormatting>
  <conditionalFormatting sqref="D118:D130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8:E130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8:F130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8:G130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8:H130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8:I130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8:J130">
    <cfRule type="colorScale" priority="12">
      <colorScale>
        <cfvo type="min"/>
        <cfvo type="max"/>
        <color theme="0"/>
        <color theme="3" tint="0.59999389629810485"/>
      </colorScale>
    </cfRule>
  </conditionalFormatting>
  <conditionalFormatting sqref="P118:Q130">
    <cfRule type="cellIs" dxfId="1" priority="11" operator="lessThan">
      <formula>0</formula>
    </cfRule>
  </conditionalFormatting>
  <conditionalFormatting sqref="R118:S130">
    <cfRule type="cellIs" dxfId="0" priority="10" operator="lessThan">
      <formula>0</formula>
    </cfRule>
  </conditionalFormatting>
  <conditionalFormatting sqref="P47:P57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Q47:Q57">
    <cfRule type="colorScale" priority="7">
      <colorScale>
        <cfvo type="min"/>
        <cfvo type="max"/>
        <color theme="0"/>
        <color theme="3" tint="0.59999389629810485"/>
      </colorScale>
    </cfRule>
  </conditionalFormatting>
  <conditionalFormatting sqref="R47:R57">
    <cfRule type="colorScale" priority="6">
      <colorScale>
        <cfvo type="min"/>
        <cfvo type="max"/>
        <color theme="0"/>
        <color theme="3" tint="0.59999389629810485"/>
      </colorScale>
    </cfRule>
  </conditionalFormatting>
  <conditionalFormatting sqref="S47:S57">
    <cfRule type="colorScale" priority="5">
      <colorScale>
        <cfvo type="min"/>
        <cfvo type="max"/>
        <color theme="0"/>
        <color theme="3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58" orientation="landscape" r:id="rId1"/>
  <headerFooter scaleWithDoc="0">
    <oddHeader>&amp;L&amp;G&amp;C&amp;"-,Bold"&amp;10&amp;K2E398A
&amp;15Credit Availability Index&amp;R&amp;"-,Bold"&amp;10&amp;K2E398A
As of 08/20/2015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BO263"/>
  <sheetViews>
    <sheetView tabSelected="1" topLeftCell="AQ1" workbookViewId="0">
      <selection activeCell="AO4" sqref="AO4"/>
    </sheetView>
  </sheetViews>
  <sheetFormatPr defaultRowHeight="12.75"/>
  <cols>
    <col min="1" max="6" width="10" style="5" customWidth="1"/>
    <col min="7" max="7" width="12.28515625" style="5" customWidth="1"/>
    <col min="8" max="15" width="9.140625" style="5"/>
    <col min="16" max="19" width="10" style="5" customWidth="1"/>
    <col min="20" max="20" width="9.140625" style="5"/>
    <col min="21" max="24" width="10" style="5" customWidth="1"/>
    <col min="25" max="25" width="9.140625" style="5"/>
    <col min="26" max="27" width="10" style="5" customWidth="1"/>
    <col min="28" max="30" width="9.140625" style="5"/>
    <col min="31" max="31" width="17.85546875" style="5" bestFit="1" customWidth="1"/>
    <col min="32" max="32" width="14.140625" style="5" bestFit="1" customWidth="1"/>
    <col min="33" max="33" width="12" style="5" bestFit="1" customWidth="1"/>
    <col min="34" max="34" width="7.5703125" style="5" bestFit="1" customWidth="1"/>
    <col min="35" max="38" width="12" style="5" bestFit="1" customWidth="1"/>
    <col min="39" max="40" width="12" style="5" customWidth="1"/>
    <col min="41" max="41" width="14.28515625" style="5" bestFit="1" customWidth="1"/>
    <col min="42" max="46" width="12" style="5" bestFit="1" customWidth="1"/>
    <col min="47" max="48" width="9.140625" style="5"/>
    <col min="49" max="49" width="10.140625" style="5" bestFit="1" customWidth="1"/>
    <col min="50" max="50" width="14.140625" style="5" bestFit="1" customWidth="1"/>
    <col min="51" max="51" width="10" style="5" customWidth="1"/>
    <col min="52" max="52" width="9.140625" style="5"/>
    <col min="53" max="53" width="10.140625" style="5" bestFit="1" customWidth="1"/>
    <col min="54" max="54" width="14.140625" style="5" bestFit="1" customWidth="1"/>
    <col min="55" max="55" width="10" style="5" customWidth="1"/>
    <col min="56" max="56" width="9.140625" style="5"/>
    <col min="57" max="57" width="14" style="5" bestFit="1" customWidth="1"/>
    <col min="58" max="58" width="14.140625" style="5" bestFit="1" customWidth="1"/>
    <col min="59" max="60" width="9.140625" style="5"/>
    <col min="61" max="61" width="17.85546875" style="5" bestFit="1" customWidth="1"/>
    <col min="62" max="62" width="14.140625" style="5" bestFit="1" customWidth="1"/>
    <col min="63" max="63" width="7.5703125" style="5" bestFit="1" customWidth="1"/>
    <col min="64" max="65" width="12" style="5" bestFit="1" customWidth="1"/>
    <col min="66" max="66" width="11" style="5" bestFit="1" customWidth="1"/>
    <col min="67" max="67" width="12" style="5" bestFit="1" customWidth="1"/>
    <col min="68" max="16384" width="9.140625" style="5"/>
  </cols>
  <sheetData>
    <row r="1" spans="1:67">
      <c r="C1" s="5" t="s">
        <v>162</v>
      </c>
      <c r="D1" s="5">
        <v>1.4999999999999999E-2</v>
      </c>
    </row>
    <row r="3" spans="1:67" ht="21">
      <c r="A3" s="17" t="s">
        <v>34</v>
      </c>
      <c r="I3" s="17" t="s">
        <v>160</v>
      </c>
      <c r="P3" s="17" t="s">
        <v>168</v>
      </c>
      <c r="U3" s="17" t="s">
        <v>169</v>
      </c>
      <c r="Z3" s="17" t="s">
        <v>170</v>
      </c>
      <c r="AE3" s="17" t="s">
        <v>172</v>
      </c>
      <c r="AH3" s="17" t="s">
        <v>197</v>
      </c>
      <c r="AO3" s="17" t="s">
        <v>198</v>
      </c>
      <c r="AW3" s="17" t="s">
        <v>168</v>
      </c>
      <c r="AX3" s="17" t="s">
        <v>173</v>
      </c>
      <c r="BA3" s="17" t="s">
        <v>169</v>
      </c>
      <c r="BB3" s="17" t="s">
        <v>173</v>
      </c>
      <c r="BE3" s="17" t="s">
        <v>170</v>
      </c>
      <c r="BF3" s="17" t="s">
        <v>173</v>
      </c>
      <c r="BI3" s="17" t="s">
        <v>172</v>
      </c>
      <c r="BK3" s="17" t="s">
        <v>196</v>
      </c>
    </row>
    <row r="4" spans="1:67" s="12" customFormat="1" ht="15">
      <c r="A4" s="12" t="s">
        <v>32</v>
      </c>
      <c r="B4" s="12" t="s">
        <v>5</v>
      </c>
      <c r="C4" s="16" t="s">
        <v>159</v>
      </c>
      <c r="D4" s="16" t="s">
        <v>158</v>
      </c>
      <c r="E4"/>
      <c r="I4" s="12" t="s">
        <v>32</v>
      </c>
      <c r="J4" s="12" t="s">
        <v>5</v>
      </c>
      <c r="K4" s="16" t="s">
        <v>159</v>
      </c>
      <c r="L4" s="16" t="s">
        <v>158</v>
      </c>
      <c r="M4" s="12" t="s">
        <v>161</v>
      </c>
      <c r="P4" s="12" t="s">
        <v>32</v>
      </c>
      <c r="Q4" s="12" t="s">
        <v>5</v>
      </c>
      <c r="R4" s="33" t="s">
        <v>171</v>
      </c>
      <c r="S4" s="33"/>
      <c r="U4" s="12" t="s">
        <v>32</v>
      </c>
      <c r="V4" s="12" t="s">
        <v>5</v>
      </c>
      <c r="W4" s="33" t="s">
        <v>171</v>
      </c>
      <c r="X4" s="33"/>
      <c r="Z4" s="12" t="s">
        <v>32</v>
      </c>
      <c r="AA4" s="12" t="s">
        <v>5</v>
      </c>
      <c r="AB4" s="33" t="s">
        <v>171</v>
      </c>
      <c r="AC4" s="33"/>
      <c r="AE4" s="12" t="s">
        <v>32</v>
      </c>
      <c r="AF4" s="12" t="s">
        <v>5</v>
      </c>
      <c r="AG4" s="33" t="s">
        <v>171</v>
      </c>
      <c r="AH4" s="33" t="s">
        <v>159</v>
      </c>
      <c r="AI4" s="33" t="s">
        <v>172</v>
      </c>
      <c r="AJ4" s="33" t="s">
        <v>168</v>
      </c>
      <c r="AK4" s="33" t="s">
        <v>169</v>
      </c>
      <c r="AL4" s="33" t="s">
        <v>170</v>
      </c>
      <c r="AM4" s="12" t="s">
        <v>191</v>
      </c>
      <c r="AN4" s="12" t="s">
        <v>194</v>
      </c>
      <c r="AO4" s="12" t="s">
        <v>193</v>
      </c>
      <c r="AP4" s="12" t="s">
        <v>181</v>
      </c>
      <c r="AQ4" s="12" t="s">
        <v>182</v>
      </c>
      <c r="AR4" s="12" t="s">
        <v>184</v>
      </c>
      <c r="AS4" s="12" t="s">
        <v>185</v>
      </c>
      <c r="AT4" s="12" t="s">
        <v>186</v>
      </c>
      <c r="AU4" s="12" t="s">
        <v>195</v>
      </c>
      <c r="AW4" s="12" t="s">
        <v>32</v>
      </c>
      <c r="AX4" s="12" t="s">
        <v>5</v>
      </c>
      <c r="AY4" s="33"/>
      <c r="BA4" s="12" t="s">
        <v>32</v>
      </c>
      <c r="BB4" s="12" t="s">
        <v>5</v>
      </c>
      <c r="BC4" s="33"/>
      <c r="BE4" s="12" t="s">
        <v>32</v>
      </c>
      <c r="BF4" s="12" t="s">
        <v>5</v>
      </c>
      <c r="BG4" s="33"/>
      <c r="BI4" s="12" t="s">
        <v>32</v>
      </c>
      <c r="BJ4" s="12" t="s">
        <v>5</v>
      </c>
      <c r="BK4" s="33" t="s">
        <v>159</v>
      </c>
      <c r="BL4" s="33" t="s">
        <v>172</v>
      </c>
      <c r="BM4" s="33" t="s">
        <v>168</v>
      </c>
      <c r="BN4" s="33" t="s">
        <v>169</v>
      </c>
      <c r="BO4" s="33" t="s">
        <v>170</v>
      </c>
    </row>
    <row r="5" spans="1:67" s="6" customFormat="1">
      <c r="A5" s="7" t="s">
        <v>33</v>
      </c>
      <c r="B5" s="11">
        <v>2.1503360827248699E-2</v>
      </c>
      <c r="C5" s="11" t="str">
        <f>YEAR(CurrentMtgRatesDataTable8[[#This Row],[asofdate]])&amp;"-"&amp;MONTH(CurrentMtgRatesDataTable8[[#This Row],[asofdate]])</f>
        <v>2003-5</v>
      </c>
      <c r="D5" s="6">
        <f>((CurrentMtgRatesDataTable8[[#This Row],[SeriesNumValue]]-$D$1)/$D$1+1)*100</f>
        <v>143.35573884832468</v>
      </c>
      <c r="I5" s="7" t="s">
        <v>167</v>
      </c>
      <c r="J5" s="11">
        <v>1.6458059896986101E-2</v>
      </c>
      <c r="K5" s="11" t="str">
        <f>YEAR(CurrentMtgRatesDataTable89[[#This Row],[asofdate]])&amp;"-"&amp;MONTH(CurrentMtgRatesDataTable89[[#This Row],[asofdate]])</f>
        <v>2015-7</v>
      </c>
      <c r="L5" s="6">
        <f>((CurrentMtgRatesDataTable89[[#This Row],[SeriesNumValue]]-$D$1)/$D$1+1)*100</f>
        <v>109.72039931324066</v>
      </c>
      <c r="M5" s="6">
        <f>CurrentMtgRatesDataTable89[[#This Row],[Index]]-L6</f>
        <v>-9.237159696622669</v>
      </c>
      <c r="P5" s="7" t="s">
        <v>33</v>
      </c>
      <c r="Q5" s="11">
        <v>9.4285995591371505E-2</v>
      </c>
      <c r="R5" s="30">
        <f>((CurrentMtgRatesDataTable8711[[#This Row],[SeriesNumValue]]-$D$1)/$D$1+1)*100</f>
        <v>628.57330394247674</v>
      </c>
      <c r="S5" s="30"/>
      <c r="U5" s="7" t="s">
        <v>33</v>
      </c>
      <c r="V5" s="11">
        <v>7.43698517370701E-2</v>
      </c>
      <c r="W5" s="30">
        <f>((CurrentMtgRatesDataTable871112[[#This Row],[SeriesNumValue]]-$D$1)/$D$1+1)*100</f>
        <v>495.79901158046732</v>
      </c>
      <c r="X5" s="30"/>
      <c r="Z5" s="7" t="s">
        <v>33</v>
      </c>
      <c r="AA5" s="11">
        <v>2.32616667999501E-2</v>
      </c>
      <c r="AB5" s="34">
        <f>((CurrentMtgRatesDataTable87111213[[#This Row],[SeriesNumValue]]-$D$1)/$D$1+1)*100</f>
        <v>155.07777866633398</v>
      </c>
      <c r="AC5" s="34"/>
      <c r="AE5" s="7" t="s">
        <v>33</v>
      </c>
      <c r="AF5" s="11">
        <v>2.1450741055419598E-2</v>
      </c>
      <c r="AG5" s="34">
        <f>((CurrentMtgRatesDataTable8711121314[[#This Row],[SeriesNumValue]]-$D$1)/$D$1+1)*100</f>
        <v>143.00494036946398</v>
      </c>
      <c r="AH5" s="34" t="str">
        <f>YEAR(CurrentMtgRatesDataTable8711121314[[#This Row],[asofdate]])&amp;"-"&amp;MONTH(CurrentMtgRatesDataTable8711121314[[#This Row],[asofdate]])</f>
        <v>2003-5</v>
      </c>
      <c r="AI5" s="34">
        <f>CurrentMtgRatesDataTable8711121314[[#This Row],[SeriesNumValue]]</f>
        <v>2.1450741055419598E-2</v>
      </c>
      <c r="AJ5" s="34">
        <f>VLOOKUP(CurrentMtgRatesDataTable8711121314[[#This Row],[asofdate]],P:R,2,0)</f>
        <v>9.4285995591371505E-2</v>
      </c>
      <c r="AK5" s="30">
        <f>IF(VLOOKUP(CurrentMtgRatesDataTable8711121314[[#This Row],[asofdate]],U:W,2,0)&lt;&gt;0,VLOOKUP(CurrentMtgRatesDataTable8711121314[[#This Row],[asofdate]],U:W,2,0),AK4)</f>
        <v>7.43698517370701E-2</v>
      </c>
      <c r="AL5" s="30">
        <f>VLOOKUP(CurrentMtgRatesDataTable8711121314[[#This Row],[asofdate]],Z:AB,2,0)</f>
        <v>2.32616667999501E-2</v>
      </c>
      <c r="AM5" s="30">
        <f>CurrentMtgRatesDataTable8711121314[[#This Row],[FHA]]+0.5*CurrentMtgRatesDataTable8711121314[[#This Row],[Conventional]]</f>
        <v>0.10501136611908131</v>
      </c>
      <c r="AN5" s="30">
        <f>2*CurrentMtgRatesDataTable8711121314[[#This Row],[FHA]]</f>
        <v>0.18857199118274301</v>
      </c>
      <c r="AO5" s="11">
        <f>VLOOKUP(YEAR(CurrentMtgRatesDataTable8711121314[[#This Row],[asofdate]]),OriginationVolume!$A:$N,8,FALSE)</f>
        <v>0.66040268456375839</v>
      </c>
      <c r="AP5" s="11">
        <f>VLOOKUP(YEAR(CurrentMtgRatesDataTable8711121314[[#This Row],[asofdate]]),OriginationVolume!$A:$N,9,FALSE)</f>
        <v>1.4765100671140939E-2</v>
      </c>
      <c r="AQ5" s="11">
        <f>VLOOKUP(YEAR(CurrentMtgRatesDataTable8711121314[[#This Row],[asofdate]]),OriginationVolume!$A:$N,10,FALSE)</f>
        <v>4.429530201342282E-2</v>
      </c>
      <c r="AR5" s="11">
        <f>VLOOKUP(YEAR(CurrentMtgRatesDataTable8711121314[[#This Row],[asofdate]]),OriginationVolume!$A:$N,11,FALSE)</f>
        <v>0.17449664429530201</v>
      </c>
      <c r="AS5" s="11">
        <f>VLOOKUP(YEAR(CurrentMtgRatesDataTable8711121314[[#This Row],[asofdate]]),OriginationVolume!$A:$N,12,FALSE)</f>
        <v>2.2818791946308724E-2</v>
      </c>
      <c r="AT5" s="11">
        <f>VLOOKUP(YEAR(CurrentMtgRatesDataTable8711121314[[#This Row],[asofdate]]),OriginationVolume!$A:$N,13,FALSE)</f>
        <v>8.3221476510067116E-2</v>
      </c>
      <c r="AU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AW5" s="7" t="s">
        <v>33</v>
      </c>
      <c r="AX5" s="11">
        <v>113035000</v>
      </c>
      <c r="AY5" s="30"/>
      <c r="BA5" s="7" t="s">
        <v>33</v>
      </c>
      <c r="BB5" s="11">
        <v>30154000</v>
      </c>
      <c r="BC5" s="30"/>
      <c r="BE5" s="7" t="s">
        <v>33</v>
      </c>
      <c r="BF5" s="11">
        <v>2625285436.02</v>
      </c>
      <c r="BG5" s="34"/>
      <c r="BI5" s="7" t="s">
        <v>33</v>
      </c>
      <c r="BJ5" s="11">
        <v>2482096436.02</v>
      </c>
      <c r="BK5" s="34" t="str">
        <f>YEAR(CurrentMtgRatesDataTable871112131417[[#This Row],[asofdate]])&amp;"-"&amp;MONTH(CurrentMtgRatesDataTable871112131417[[#This Row],[asofdate]])</f>
        <v>2003-5</v>
      </c>
      <c r="BL5" s="34">
        <f>CurrentMtgRatesDataTable871112131417[[#This Row],[SeriesNumValue]]</f>
        <v>2482096436.02</v>
      </c>
      <c r="BM5" s="34">
        <f>VLOOKUP(CurrentMtgRatesDataTable871112131417[[#This Row],[asofdate]],AW:AX,2,0)</f>
        <v>113035000</v>
      </c>
      <c r="BN5" s="30">
        <f>IF(VLOOKUP(CurrentMtgRatesDataTable871112131417[[#This Row],[asofdate]],BA:BB,2,0)&lt;&gt;0,VLOOKUP(CurrentMtgRatesDataTable871112131417[[#This Row],[asofdate]],BA:BB,2,0),BN4)</f>
        <v>30154000</v>
      </c>
      <c r="BO5" s="30">
        <f>VLOOKUP(CurrentMtgRatesDataTable871112131417[[#This Row],[asofdate]],BE:BF,2,0)</f>
        <v>2625285436.02</v>
      </c>
    </row>
    <row r="6" spans="1:67" s="6" customFormat="1">
      <c r="A6" s="7" t="s">
        <v>35</v>
      </c>
      <c r="B6" s="10">
        <v>2.1014268088431001E-2</v>
      </c>
      <c r="C6" s="10" t="str">
        <f>YEAR(CurrentMtgRatesDataTable8[[#This Row],[asofdate]])&amp;"-"&amp;MONTH(CurrentMtgRatesDataTable8[[#This Row],[asofdate]])</f>
        <v>2003-6</v>
      </c>
      <c r="D6" s="6">
        <f>((CurrentMtgRatesDataTable8[[#This Row],[SeriesNumValue]]-$D$1)/$D$1+1)*100</f>
        <v>140.09512058954002</v>
      </c>
      <c r="I6" s="7" t="s">
        <v>31</v>
      </c>
      <c r="J6" s="10">
        <v>1.7843633851479499E-2</v>
      </c>
      <c r="K6" s="10" t="str">
        <f>YEAR(CurrentMtgRatesDataTable89[[#This Row],[asofdate]])&amp;"-"&amp;MONTH(CurrentMtgRatesDataTable89[[#This Row],[asofdate]])</f>
        <v>2015-6</v>
      </c>
      <c r="L6" s="6">
        <f>((CurrentMtgRatesDataTable89[[#This Row],[SeriesNumValue]]-$D$1)/$D$1+1)*100</f>
        <v>118.95755900986333</v>
      </c>
      <c r="M6" s="6">
        <f>CurrentMtgRatesDataTable89[[#This Row],[Index]]-L7</f>
        <v>-0.44259907693866296</v>
      </c>
      <c r="P6" s="7" t="s">
        <v>35</v>
      </c>
      <c r="Q6" s="10">
        <v>8.5363662487838804E-2</v>
      </c>
      <c r="R6" s="31">
        <f>((CurrentMtgRatesDataTable8711[[#This Row],[SeriesNumValue]]-$D$1)/$D$1+1)*100</f>
        <v>569.09108325225873</v>
      </c>
      <c r="S6" s="31"/>
      <c r="U6" s="7" t="s">
        <v>35</v>
      </c>
      <c r="V6" s="10">
        <v>7.30825171843862E-2</v>
      </c>
      <c r="W6" s="31">
        <f>((CurrentMtgRatesDataTable871112[[#This Row],[SeriesNumValue]]-$D$1)/$D$1+1)*100</f>
        <v>487.21678122924141</v>
      </c>
      <c r="X6" s="31"/>
      <c r="Z6" s="7" t="s">
        <v>35</v>
      </c>
      <c r="AA6" s="10">
        <v>2.2632217187818399E-2</v>
      </c>
      <c r="AB6" s="34">
        <f>((CurrentMtgRatesDataTable87111213[[#This Row],[SeriesNumValue]]-$D$1)/$D$1+1)*100</f>
        <v>150.88144791878935</v>
      </c>
      <c r="AC6" s="34"/>
      <c r="AE6" s="7" t="s">
        <v>35</v>
      </c>
      <c r="AF6" s="10">
        <v>2.0777950043804699E-2</v>
      </c>
      <c r="AG6" s="34">
        <f>((CurrentMtgRatesDataTable8711121314[[#This Row],[SeriesNumValue]]-$D$1)/$D$1+1)*100</f>
        <v>138.519666958698</v>
      </c>
      <c r="AH6" s="34" t="str">
        <f>YEAR(CurrentMtgRatesDataTable8711121314[[#This Row],[asofdate]])&amp;"-"&amp;MONTH(CurrentMtgRatesDataTable8711121314[[#This Row],[asofdate]])</f>
        <v>2003-6</v>
      </c>
      <c r="AI6" s="34">
        <f>CurrentMtgRatesDataTable8711121314[[#This Row],[SeriesNumValue]]</f>
        <v>2.0777950043804699E-2</v>
      </c>
      <c r="AJ6" s="34">
        <f>VLOOKUP(CurrentMtgRatesDataTable8711121314[[#This Row],[asofdate]],P:R,2,0)</f>
        <v>8.5363662487838804E-2</v>
      </c>
      <c r="AK6" s="30">
        <f>IF(VLOOKUP(CurrentMtgRatesDataTable8711121314[[#This Row],[asofdate]],U:W,2,0)&lt;&gt;0,VLOOKUP(CurrentMtgRatesDataTable8711121314[[#This Row],[asofdate]],U:W,2,0),AK5)</f>
        <v>7.30825171843862E-2</v>
      </c>
      <c r="AL6" s="30">
        <f>VLOOKUP(CurrentMtgRatesDataTable8711121314[[#This Row],[asofdate]],Z:AB,2,0)</f>
        <v>2.2632217187818399E-2</v>
      </c>
      <c r="AM6" s="30">
        <f>CurrentMtgRatesDataTable8711121314[[#This Row],[FHA]]+0.5*CurrentMtgRatesDataTable8711121314[[#This Row],[Conventional]]</f>
        <v>9.5752637509741154E-2</v>
      </c>
      <c r="AN6" s="30">
        <f>2*CurrentMtgRatesDataTable8711121314[[#This Row],[FHA]]</f>
        <v>0.17072732497567761</v>
      </c>
      <c r="AO6" s="11">
        <f>VLOOKUP(YEAR(CurrentMtgRatesDataTable8711121314[[#This Row],[asofdate]]),OriginationVolume!$A:$N,8,FALSE)</f>
        <v>0.66040268456375839</v>
      </c>
      <c r="AP6" s="11">
        <f>VLOOKUP(YEAR(CurrentMtgRatesDataTable8711121314[[#This Row],[asofdate]]),OriginationVolume!$A:$N,9,FALSE)</f>
        <v>1.4765100671140939E-2</v>
      </c>
      <c r="AQ6" s="11">
        <f>VLOOKUP(YEAR(CurrentMtgRatesDataTable8711121314[[#This Row],[asofdate]]),OriginationVolume!$A:$N,10,FALSE)</f>
        <v>4.429530201342282E-2</v>
      </c>
      <c r="AR6" s="11">
        <f>VLOOKUP(YEAR(CurrentMtgRatesDataTable8711121314[[#This Row],[asofdate]]),OriginationVolume!$A:$N,11,FALSE)</f>
        <v>0.17449664429530201</v>
      </c>
      <c r="AS6" s="11">
        <f>VLOOKUP(YEAR(CurrentMtgRatesDataTable8711121314[[#This Row],[asofdate]]),OriginationVolume!$A:$N,12,FALSE)</f>
        <v>2.2818791946308724E-2</v>
      </c>
      <c r="AT6" s="11">
        <f>VLOOKUP(YEAR(CurrentMtgRatesDataTable8711121314[[#This Row],[asofdate]]),OriginationVolume!$A:$N,13,FALSE)</f>
        <v>8.3221476510067116E-2</v>
      </c>
      <c r="AU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AW6" s="7" t="s">
        <v>35</v>
      </c>
      <c r="AX6" s="10">
        <v>143944000</v>
      </c>
      <c r="AY6" s="31"/>
      <c r="BA6" s="7" t="s">
        <v>35</v>
      </c>
      <c r="BB6" s="10">
        <v>35561000</v>
      </c>
      <c r="BC6" s="31"/>
      <c r="BE6" s="7" t="s">
        <v>35</v>
      </c>
      <c r="BF6" s="10">
        <v>3014884433.79</v>
      </c>
      <c r="BG6" s="34"/>
      <c r="BI6" s="7" t="s">
        <v>35</v>
      </c>
      <c r="BJ6" s="10">
        <v>2835379433.79</v>
      </c>
      <c r="BK6" s="34" t="str">
        <f>YEAR(CurrentMtgRatesDataTable871112131417[[#This Row],[asofdate]])&amp;"-"&amp;MONTH(CurrentMtgRatesDataTable871112131417[[#This Row],[asofdate]])</f>
        <v>2003-6</v>
      </c>
      <c r="BL6" s="34">
        <f>CurrentMtgRatesDataTable871112131417[[#This Row],[SeriesNumValue]]</f>
        <v>2835379433.79</v>
      </c>
      <c r="BM6" s="34">
        <f>VLOOKUP(CurrentMtgRatesDataTable871112131417[[#This Row],[asofdate]],AW:AX,2,0)</f>
        <v>143944000</v>
      </c>
      <c r="BN6" s="30">
        <f>IF(VLOOKUP(CurrentMtgRatesDataTable871112131417[[#This Row],[asofdate]],BA:BB,2,0)&lt;&gt;0,VLOOKUP(CurrentMtgRatesDataTable871112131417[[#This Row],[asofdate]],BA:BB,2,0),BN5)</f>
        <v>35561000</v>
      </c>
      <c r="BO6" s="30">
        <f>VLOOKUP(CurrentMtgRatesDataTable871112131417[[#This Row],[asofdate]],BE:BF,2,0)</f>
        <v>3014884433.79</v>
      </c>
    </row>
    <row r="7" spans="1:67" s="6" customFormat="1">
      <c r="A7" s="7" t="s">
        <v>36</v>
      </c>
      <c r="B7" s="10">
        <v>2.2630247439423299E-2</v>
      </c>
      <c r="C7" s="10" t="str">
        <f>YEAR(CurrentMtgRatesDataTable8[[#This Row],[asofdate]])&amp;"-"&amp;MONTH(CurrentMtgRatesDataTable8[[#This Row],[asofdate]])</f>
        <v>2003-7</v>
      </c>
      <c r="D7" s="6">
        <f>((CurrentMtgRatesDataTable8[[#This Row],[SeriesNumValue]]-$D$1)/$D$1+1)*100</f>
        <v>150.86831626282199</v>
      </c>
      <c r="I7" s="7" t="s">
        <v>30</v>
      </c>
      <c r="J7" s="10">
        <v>1.79100237130203E-2</v>
      </c>
      <c r="K7" s="10" t="str">
        <f>YEAR(CurrentMtgRatesDataTable89[[#This Row],[asofdate]])&amp;"-"&amp;MONTH(CurrentMtgRatesDataTable89[[#This Row],[asofdate]])</f>
        <v>2015-5</v>
      </c>
      <c r="L7" s="6">
        <f>((CurrentMtgRatesDataTable89[[#This Row],[SeriesNumValue]]-$D$1)/$D$1+1)*100</f>
        <v>119.40015808680199</v>
      </c>
      <c r="M7" s="6">
        <f>CurrentMtgRatesDataTable89[[#This Row],[Index]]-L8</f>
        <v>1.1986894263626766</v>
      </c>
      <c r="P7" s="7" t="s">
        <v>36</v>
      </c>
      <c r="Q7" s="10">
        <v>9.1805440656946596E-2</v>
      </c>
      <c r="R7" s="31">
        <f>((CurrentMtgRatesDataTable8711[[#This Row],[SeriesNumValue]]-$D$1)/$D$1+1)*100</f>
        <v>612.03627104631073</v>
      </c>
      <c r="S7" s="31"/>
      <c r="U7" s="7" t="s">
        <v>36</v>
      </c>
      <c r="V7" s="10">
        <v>7.5057002809456902E-2</v>
      </c>
      <c r="W7" s="31">
        <f>((CurrentMtgRatesDataTable871112[[#This Row],[SeriesNumValue]]-$D$1)/$D$1+1)*100</f>
        <v>500.38001872971273</v>
      </c>
      <c r="X7" s="31"/>
      <c r="Z7" s="7" t="s">
        <v>36</v>
      </c>
      <c r="AA7" s="10">
        <v>2.4293347257835499E-2</v>
      </c>
      <c r="AB7" s="34">
        <f>((CurrentMtgRatesDataTable87111213[[#This Row],[SeriesNumValue]]-$D$1)/$D$1+1)*100</f>
        <v>161.95564838557002</v>
      </c>
      <c r="AC7" s="34"/>
      <c r="AE7" s="7" t="s">
        <v>36</v>
      </c>
      <c r="AF7" s="10">
        <v>2.24205388581304E-2</v>
      </c>
      <c r="AG7" s="34">
        <f>((CurrentMtgRatesDataTable8711121314[[#This Row],[SeriesNumValue]]-$D$1)/$D$1+1)*100</f>
        <v>149.47025905420267</v>
      </c>
      <c r="AH7" s="34" t="str">
        <f>YEAR(CurrentMtgRatesDataTable8711121314[[#This Row],[asofdate]])&amp;"-"&amp;MONTH(CurrentMtgRatesDataTable8711121314[[#This Row],[asofdate]])</f>
        <v>2003-7</v>
      </c>
      <c r="AI7" s="34">
        <f>CurrentMtgRatesDataTable8711121314[[#This Row],[SeriesNumValue]]</f>
        <v>2.24205388581304E-2</v>
      </c>
      <c r="AJ7" s="34">
        <f>VLOOKUP(CurrentMtgRatesDataTable8711121314[[#This Row],[asofdate]],P:R,2,0)</f>
        <v>9.1805440656946596E-2</v>
      </c>
      <c r="AK7" s="30">
        <f>IF(VLOOKUP(CurrentMtgRatesDataTable8711121314[[#This Row],[asofdate]],U:W,2,0)&lt;&gt;0,VLOOKUP(CurrentMtgRatesDataTable8711121314[[#This Row],[asofdate]],U:W,2,0),AK6)</f>
        <v>7.5057002809456902E-2</v>
      </c>
      <c r="AL7" s="30">
        <f>VLOOKUP(CurrentMtgRatesDataTable8711121314[[#This Row],[asofdate]],Z:AB,2,0)</f>
        <v>2.4293347257835499E-2</v>
      </c>
      <c r="AM7" s="30">
        <f>CurrentMtgRatesDataTable8711121314[[#This Row],[FHA]]+0.5*CurrentMtgRatesDataTable8711121314[[#This Row],[Conventional]]</f>
        <v>0.10301571008601179</v>
      </c>
      <c r="AN7" s="30">
        <f>2*CurrentMtgRatesDataTable8711121314[[#This Row],[FHA]]</f>
        <v>0.18361088131389319</v>
      </c>
      <c r="AO7" s="11">
        <f>VLOOKUP(YEAR(CurrentMtgRatesDataTable8711121314[[#This Row],[asofdate]]),OriginationVolume!$A:$N,8,FALSE)</f>
        <v>0.66040268456375839</v>
      </c>
      <c r="AP7" s="11">
        <f>VLOOKUP(YEAR(CurrentMtgRatesDataTable8711121314[[#This Row],[asofdate]]),OriginationVolume!$A:$N,9,FALSE)</f>
        <v>1.4765100671140939E-2</v>
      </c>
      <c r="AQ7" s="11">
        <f>VLOOKUP(YEAR(CurrentMtgRatesDataTable8711121314[[#This Row],[asofdate]]),OriginationVolume!$A:$N,10,FALSE)</f>
        <v>4.429530201342282E-2</v>
      </c>
      <c r="AR7" s="11">
        <f>VLOOKUP(YEAR(CurrentMtgRatesDataTable8711121314[[#This Row],[asofdate]]),OriginationVolume!$A:$N,11,FALSE)</f>
        <v>0.17449664429530201</v>
      </c>
      <c r="AS7" s="11">
        <f>VLOOKUP(YEAR(CurrentMtgRatesDataTable8711121314[[#This Row],[asofdate]]),OriginationVolume!$A:$N,12,FALSE)</f>
        <v>2.2818791946308724E-2</v>
      </c>
      <c r="AT7" s="11">
        <f>VLOOKUP(YEAR(CurrentMtgRatesDataTable8711121314[[#This Row],[asofdate]]),OriginationVolume!$A:$N,13,FALSE)</f>
        <v>8.3221476510067116E-2</v>
      </c>
      <c r="AU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AW7" s="7" t="s">
        <v>36</v>
      </c>
      <c r="AX7" s="10">
        <v>164026000</v>
      </c>
      <c r="AY7" s="31"/>
      <c r="BA7" s="7" t="s">
        <v>36</v>
      </c>
      <c r="BB7" s="10">
        <v>41545000</v>
      </c>
      <c r="BC7" s="31"/>
      <c r="BE7" s="7" t="s">
        <v>36</v>
      </c>
      <c r="BF7" s="10">
        <v>3651588513.8000002</v>
      </c>
      <c r="BG7" s="34"/>
      <c r="BI7" s="7" t="s">
        <v>36</v>
      </c>
      <c r="BJ7" s="10">
        <v>3446017513.8000002</v>
      </c>
      <c r="BK7" s="34" t="str">
        <f>YEAR(CurrentMtgRatesDataTable871112131417[[#This Row],[asofdate]])&amp;"-"&amp;MONTH(CurrentMtgRatesDataTable871112131417[[#This Row],[asofdate]])</f>
        <v>2003-7</v>
      </c>
      <c r="BL7" s="34">
        <f>CurrentMtgRatesDataTable871112131417[[#This Row],[SeriesNumValue]]</f>
        <v>3446017513.8000002</v>
      </c>
      <c r="BM7" s="34">
        <f>VLOOKUP(CurrentMtgRatesDataTable871112131417[[#This Row],[asofdate]],AW:AX,2,0)</f>
        <v>164026000</v>
      </c>
      <c r="BN7" s="30">
        <f>IF(VLOOKUP(CurrentMtgRatesDataTable871112131417[[#This Row],[asofdate]],BA:BB,2,0)&lt;&gt;0,VLOOKUP(CurrentMtgRatesDataTable871112131417[[#This Row],[asofdate]],BA:BB,2,0),BN6)</f>
        <v>41545000</v>
      </c>
      <c r="BO7" s="30">
        <f>VLOOKUP(CurrentMtgRatesDataTable871112131417[[#This Row],[asofdate]],BE:BF,2,0)</f>
        <v>3651588513.8000002</v>
      </c>
    </row>
    <row r="8" spans="1:67" s="6" customFormat="1">
      <c r="A8" s="7" t="s">
        <v>37</v>
      </c>
      <c r="B8" s="10">
        <v>2.1572375642371501E-2</v>
      </c>
      <c r="C8" s="10" t="str">
        <f>YEAR(CurrentMtgRatesDataTable8[[#This Row],[asofdate]])&amp;"-"&amp;MONTH(CurrentMtgRatesDataTable8[[#This Row],[asofdate]])</f>
        <v>2003-8</v>
      </c>
      <c r="D8" s="6">
        <f>((CurrentMtgRatesDataTable8[[#This Row],[SeriesNumValue]]-$D$1)/$D$1+1)*100</f>
        <v>143.81583761581001</v>
      </c>
      <c r="I8" s="7" t="s">
        <v>29</v>
      </c>
      <c r="J8" s="10">
        <v>1.7730220299065898E-2</v>
      </c>
      <c r="K8" s="10" t="str">
        <f>YEAR(CurrentMtgRatesDataTable89[[#This Row],[asofdate]])&amp;"-"&amp;MONTH(CurrentMtgRatesDataTable89[[#This Row],[asofdate]])</f>
        <v>2015-4</v>
      </c>
      <c r="L8" s="6">
        <f>((CurrentMtgRatesDataTable89[[#This Row],[SeriesNumValue]]-$D$1)/$D$1+1)*100</f>
        <v>118.20146866043932</v>
      </c>
      <c r="M8" s="6">
        <f>CurrentMtgRatesDataTable89[[#This Row],[Index]]-L9</f>
        <v>-10.819160289196006</v>
      </c>
      <c r="P8" s="7" t="s">
        <v>37</v>
      </c>
      <c r="Q8" s="10">
        <v>9.2379201142605005E-2</v>
      </c>
      <c r="R8" s="31">
        <f>((CurrentMtgRatesDataTable8711[[#This Row],[SeriesNumValue]]-$D$1)/$D$1+1)*100</f>
        <v>615.86134095070008</v>
      </c>
      <c r="S8" s="31"/>
      <c r="U8" s="7" t="s">
        <v>37</v>
      </c>
      <c r="V8" s="10">
        <v>7.2909944145716804E-2</v>
      </c>
      <c r="W8" s="31">
        <f>((CurrentMtgRatesDataTable871112[[#This Row],[SeriesNumValue]]-$D$1)/$D$1+1)*100</f>
        <v>486.06629430477869</v>
      </c>
      <c r="X8" s="31"/>
      <c r="Z8" s="7" t="s">
        <v>37</v>
      </c>
      <c r="AA8" s="10">
        <v>2.3358645970912001E-2</v>
      </c>
      <c r="AB8" s="34">
        <f>((CurrentMtgRatesDataTable87111213[[#This Row],[SeriesNumValue]]-$D$1)/$D$1+1)*100</f>
        <v>155.72430647274666</v>
      </c>
      <c r="AC8" s="34"/>
      <c r="AE8" s="7" t="s">
        <v>37</v>
      </c>
      <c r="AF8" s="10">
        <v>2.1746038746394102E-2</v>
      </c>
      <c r="AG8" s="34">
        <f>((CurrentMtgRatesDataTable8711121314[[#This Row],[SeriesNumValue]]-$D$1)/$D$1+1)*100</f>
        <v>144.97359164262735</v>
      </c>
      <c r="AH8" s="34" t="str">
        <f>YEAR(CurrentMtgRatesDataTable8711121314[[#This Row],[asofdate]])&amp;"-"&amp;MONTH(CurrentMtgRatesDataTable8711121314[[#This Row],[asofdate]])</f>
        <v>2003-8</v>
      </c>
      <c r="AI8" s="34">
        <f>CurrentMtgRatesDataTable8711121314[[#This Row],[SeriesNumValue]]</f>
        <v>2.1746038746394102E-2</v>
      </c>
      <c r="AJ8" s="34">
        <f>VLOOKUP(CurrentMtgRatesDataTable8711121314[[#This Row],[asofdate]],P:R,2,0)</f>
        <v>9.2379201142605005E-2</v>
      </c>
      <c r="AK8" s="30">
        <f>IF(VLOOKUP(CurrentMtgRatesDataTable8711121314[[#This Row],[asofdate]],U:W,2,0)&lt;&gt;0,VLOOKUP(CurrentMtgRatesDataTable8711121314[[#This Row],[asofdate]],U:W,2,0),AK7)</f>
        <v>7.2909944145716804E-2</v>
      </c>
      <c r="AL8" s="30">
        <f>VLOOKUP(CurrentMtgRatesDataTable8711121314[[#This Row],[asofdate]],Z:AB,2,0)</f>
        <v>2.3358645970912001E-2</v>
      </c>
      <c r="AM8" s="30">
        <f>CurrentMtgRatesDataTable8711121314[[#This Row],[FHA]]+0.5*CurrentMtgRatesDataTable8711121314[[#This Row],[Conventional]]</f>
        <v>0.10325222051580206</v>
      </c>
      <c r="AN8" s="30">
        <f>2*CurrentMtgRatesDataTable8711121314[[#This Row],[FHA]]</f>
        <v>0.18475840228521001</v>
      </c>
      <c r="AO8" s="11">
        <f>VLOOKUP(YEAR(CurrentMtgRatesDataTable8711121314[[#This Row],[asofdate]]),OriginationVolume!$A:$N,8,FALSE)</f>
        <v>0.66040268456375839</v>
      </c>
      <c r="AP8" s="11">
        <f>VLOOKUP(YEAR(CurrentMtgRatesDataTable8711121314[[#This Row],[asofdate]]),OriginationVolume!$A:$N,9,FALSE)</f>
        <v>1.4765100671140939E-2</v>
      </c>
      <c r="AQ8" s="11">
        <f>VLOOKUP(YEAR(CurrentMtgRatesDataTable8711121314[[#This Row],[asofdate]]),OriginationVolume!$A:$N,10,FALSE)</f>
        <v>4.429530201342282E-2</v>
      </c>
      <c r="AR8" s="11">
        <f>VLOOKUP(YEAR(CurrentMtgRatesDataTable8711121314[[#This Row],[asofdate]]),OriginationVolume!$A:$N,11,FALSE)</f>
        <v>0.17449664429530201</v>
      </c>
      <c r="AS8" s="11">
        <f>VLOOKUP(YEAR(CurrentMtgRatesDataTable8711121314[[#This Row],[asofdate]]),OriginationVolume!$A:$N,12,FALSE)</f>
        <v>2.2818791946308724E-2</v>
      </c>
      <c r="AT8" s="11">
        <f>VLOOKUP(YEAR(CurrentMtgRatesDataTable8711121314[[#This Row],[asofdate]]),OriginationVolume!$A:$N,13,FALSE)</f>
        <v>8.3221476510067116E-2</v>
      </c>
      <c r="AU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AW8" s="7" t="s">
        <v>37</v>
      </c>
      <c r="AX8" s="10">
        <v>185993000</v>
      </c>
      <c r="AY8" s="31"/>
      <c r="BA8" s="7" t="s">
        <v>37</v>
      </c>
      <c r="BB8" s="10">
        <v>52420000</v>
      </c>
      <c r="BC8" s="31"/>
      <c r="BE8" s="7" t="s">
        <v>37</v>
      </c>
      <c r="BF8" s="10">
        <v>4809370938.4499998</v>
      </c>
      <c r="BG8" s="34"/>
      <c r="BI8" s="7" t="s">
        <v>37</v>
      </c>
      <c r="BJ8" s="10">
        <v>4570957938.4499998</v>
      </c>
      <c r="BK8" s="34" t="str">
        <f>YEAR(CurrentMtgRatesDataTable871112131417[[#This Row],[asofdate]])&amp;"-"&amp;MONTH(CurrentMtgRatesDataTable871112131417[[#This Row],[asofdate]])</f>
        <v>2003-8</v>
      </c>
      <c r="BL8" s="34">
        <f>CurrentMtgRatesDataTable871112131417[[#This Row],[SeriesNumValue]]</f>
        <v>4570957938.4499998</v>
      </c>
      <c r="BM8" s="34">
        <f>VLOOKUP(CurrentMtgRatesDataTable871112131417[[#This Row],[asofdate]],AW:AX,2,0)</f>
        <v>185993000</v>
      </c>
      <c r="BN8" s="30">
        <f>IF(VLOOKUP(CurrentMtgRatesDataTable871112131417[[#This Row],[asofdate]],BA:BB,2,0)&lt;&gt;0,VLOOKUP(CurrentMtgRatesDataTable871112131417[[#This Row],[asofdate]],BA:BB,2,0),BN7)</f>
        <v>52420000</v>
      </c>
      <c r="BO8" s="30">
        <f>VLOOKUP(CurrentMtgRatesDataTable871112131417[[#This Row],[asofdate]],BE:BF,2,0)</f>
        <v>4809370938.4499998</v>
      </c>
    </row>
    <row r="9" spans="1:67" s="6" customFormat="1">
      <c r="A9" s="7" t="s">
        <v>38</v>
      </c>
      <c r="B9" s="10">
        <v>1.7521679101447599E-2</v>
      </c>
      <c r="C9" s="10" t="str">
        <f>YEAR(CurrentMtgRatesDataTable8[[#This Row],[asofdate]])&amp;"-"&amp;MONTH(CurrentMtgRatesDataTable8[[#This Row],[asofdate]])</f>
        <v>2003-9</v>
      </c>
      <c r="D9" s="6">
        <f>((CurrentMtgRatesDataTable8[[#This Row],[SeriesNumValue]]-$D$1)/$D$1+1)*100</f>
        <v>116.81119400965065</v>
      </c>
      <c r="I9" s="7" t="s">
        <v>157</v>
      </c>
      <c r="J9" s="10">
        <v>1.9353094342445299E-2</v>
      </c>
      <c r="K9" s="10" t="str">
        <f>YEAR(CurrentMtgRatesDataTable89[[#This Row],[asofdate]])&amp;"-"&amp;MONTH(CurrentMtgRatesDataTable89[[#This Row],[asofdate]])</f>
        <v>2015-3</v>
      </c>
      <c r="L9" s="6">
        <f>((CurrentMtgRatesDataTable89[[#This Row],[SeriesNumValue]]-$D$1)/$D$1+1)*100</f>
        <v>129.02062894963532</v>
      </c>
      <c r="M9" s="6">
        <f>CurrentMtgRatesDataTable89[[#This Row],[Index]]-L10</f>
        <v>-0.99549242061868881</v>
      </c>
      <c r="P9" s="7" t="s">
        <v>38</v>
      </c>
      <c r="Q9" s="10">
        <v>7.25860078665896E-2</v>
      </c>
      <c r="R9" s="31">
        <f>((CurrentMtgRatesDataTable8711[[#This Row],[SeriesNumValue]]-$D$1)/$D$1+1)*100</f>
        <v>483.90671911059735</v>
      </c>
      <c r="S9" s="31"/>
      <c r="U9" s="7" t="s">
        <v>38</v>
      </c>
      <c r="V9" s="10">
        <v>5.9572386776244698E-2</v>
      </c>
      <c r="W9" s="31">
        <f>((CurrentMtgRatesDataTable871112[[#This Row],[SeriesNumValue]]-$D$1)/$D$1+1)*100</f>
        <v>397.14924517496468</v>
      </c>
      <c r="X9" s="31"/>
      <c r="Z9" s="7" t="s">
        <v>38</v>
      </c>
      <c r="AA9" s="10">
        <v>1.9096882546996499E-2</v>
      </c>
      <c r="AB9" s="34">
        <f>((CurrentMtgRatesDataTable87111213[[#This Row],[SeriesNumValue]]-$D$1)/$D$1+1)*100</f>
        <v>127.31255031331</v>
      </c>
      <c r="AC9" s="34"/>
      <c r="AE9" s="7" t="s">
        <v>38</v>
      </c>
      <c r="AF9" s="10">
        <v>1.7642684597579599E-2</v>
      </c>
      <c r="AG9" s="34">
        <f>((CurrentMtgRatesDataTable8711121314[[#This Row],[SeriesNumValue]]-$D$1)/$D$1+1)*100</f>
        <v>117.61789731719733</v>
      </c>
      <c r="AH9" s="34" t="str">
        <f>YEAR(CurrentMtgRatesDataTable8711121314[[#This Row],[asofdate]])&amp;"-"&amp;MONTH(CurrentMtgRatesDataTable8711121314[[#This Row],[asofdate]])</f>
        <v>2003-9</v>
      </c>
      <c r="AI9" s="34">
        <f>CurrentMtgRatesDataTable8711121314[[#This Row],[SeriesNumValue]]</f>
        <v>1.7642684597579599E-2</v>
      </c>
      <c r="AJ9" s="34">
        <f>VLOOKUP(CurrentMtgRatesDataTable8711121314[[#This Row],[asofdate]],P:R,2,0)</f>
        <v>7.25860078665896E-2</v>
      </c>
      <c r="AK9" s="30">
        <f>IF(VLOOKUP(CurrentMtgRatesDataTable8711121314[[#This Row],[asofdate]],U:W,2,0)&lt;&gt;0,VLOOKUP(CurrentMtgRatesDataTable8711121314[[#This Row],[asofdate]],U:W,2,0),AK8)</f>
        <v>5.9572386776244698E-2</v>
      </c>
      <c r="AL9" s="30">
        <f>VLOOKUP(CurrentMtgRatesDataTable8711121314[[#This Row],[asofdate]],Z:AB,2,0)</f>
        <v>1.9096882546996499E-2</v>
      </c>
      <c r="AM9" s="30">
        <f>CurrentMtgRatesDataTable8711121314[[#This Row],[FHA]]+0.5*CurrentMtgRatesDataTable8711121314[[#This Row],[Conventional]]</f>
        <v>8.1407350165379394E-2</v>
      </c>
      <c r="AN9" s="30">
        <f>2*CurrentMtgRatesDataTable8711121314[[#This Row],[FHA]]</f>
        <v>0.1451720157331792</v>
      </c>
      <c r="AO9" s="11">
        <f>VLOOKUP(YEAR(CurrentMtgRatesDataTable8711121314[[#This Row],[asofdate]]),OriginationVolume!$A:$N,8,FALSE)</f>
        <v>0.66040268456375839</v>
      </c>
      <c r="AP9" s="11">
        <f>VLOOKUP(YEAR(CurrentMtgRatesDataTable8711121314[[#This Row],[asofdate]]),OriginationVolume!$A:$N,9,FALSE)</f>
        <v>1.4765100671140939E-2</v>
      </c>
      <c r="AQ9" s="11">
        <f>VLOOKUP(YEAR(CurrentMtgRatesDataTable8711121314[[#This Row],[asofdate]]),OriginationVolume!$A:$N,10,FALSE)</f>
        <v>4.429530201342282E-2</v>
      </c>
      <c r="AR9" s="11">
        <f>VLOOKUP(YEAR(CurrentMtgRatesDataTable8711121314[[#This Row],[asofdate]]),OriginationVolume!$A:$N,11,FALSE)</f>
        <v>0.17449664429530201</v>
      </c>
      <c r="AS9" s="11">
        <f>VLOOKUP(YEAR(CurrentMtgRatesDataTable8711121314[[#This Row],[asofdate]]),OriginationVolume!$A:$N,12,FALSE)</f>
        <v>2.2818791946308724E-2</v>
      </c>
      <c r="AT9" s="11">
        <f>VLOOKUP(YEAR(CurrentMtgRatesDataTable8711121314[[#This Row],[asofdate]]),OriginationVolume!$A:$N,13,FALSE)</f>
        <v>8.3221476510067116E-2</v>
      </c>
      <c r="AU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AW9" s="7" t="s">
        <v>38</v>
      </c>
      <c r="AX9" s="10">
        <v>205840000</v>
      </c>
      <c r="AY9" s="31"/>
      <c r="BA9" s="7" t="s">
        <v>38</v>
      </c>
      <c r="BB9" s="10">
        <v>61780000</v>
      </c>
      <c r="BC9" s="31"/>
      <c r="BE9" s="7" t="s">
        <v>38</v>
      </c>
      <c r="BF9" s="10">
        <v>4793848935.9399996</v>
      </c>
      <c r="BG9" s="34"/>
      <c r="BI9" s="7" t="s">
        <v>38</v>
      </c>
      <c r="BJ9" s="10">
        <v>4526228935.9399996</v>
      </c>
      <c r="BK9" s="34" t="str">
        <f>YEAR(CurrentMtgRatesDataTable871112131417[[#This Row],[asofdate]])&amp;"-"&amp;MONTH(CurrentMtgRatesDataTable871112131417[[#This Row],[asofdate]])</f>
        <v>2003-9</v>
      </c>
      <c r="BL9" s="34">
        <f>CurrentMtgRatesDataTable871112131417[[#This Row],[SeriesNumValue]]</f>
        <v>4526228935.9399996</v>
      </c>
      <c r="BM9" s="34">
        <f>VLOOKUP(CurrentMtgRatesDataTable871112131417[[#This Row],[asofdate]],AW:AX,2,0)</f>
        <v>205840000</v>
      </c>
      <c r="BN9" s="30">
        <f>IF(VLOOKUP(CurrentMtgRatesDataTable871112131417[[#This Row],[asofdate]],BA:BB,2,0)&lt;&gt;0,VLOOKUP(CurrentMtgRatesDataTable871112131417[[#This Row],[asofdate]],BA:BB,2,0),BN8)</f>
        <v>61780000</v>
      </c>
      <c r="BO9" s="30">
        <f>VLOOKUP(CurrentMtgRatesDataTable871112131417[[#This Row],[asofdate]],BE:BF,2,0)</f>
        <v>4793848935.9399996</v>
      </c>
    </row>
    <row r="10" spans="1:67" s="6" customFormat="1">
      <c r="A10" s="7" t="s">
        <v>39</v>
      </c>
      <c r="B10" s="10">
        <v>1.65993963000538E-2</v>
      </c>
      <c r="C10" s="10" t="str">
        <f>YEAR(CurrentMtgRatesDataTable8[[#This Row],[asofdate]])&amp;"-"&amp;MONTH(CurrentMtgRatesDataTable8[[#This Row],[asofdate]])</f>
        <v>2003-10</v>
      </c>
      <c r="D10" s="6">
        <f>((CurrentMtgRatesDataTable8[[#This Row],[SeriesNumValue]]-$D$1)/$D$1+1)*100</f>
        <v>110.66264200035867</v>
      </c>
      <c r="I10" s="7" t="s">
        <v>156</v>
      </c>
      <c r="J10" s="10">
        <v>1.9502418205538101E-2</v>
      </c>
      <c r="K10" s="10" t="str">
        <f>YEAR(CurrentMtgRatesDataTable89[[#This Row],[asofdate]])&amp;"-"&amp;MONTH(CurrentMtgRatesDataTable89[[#This Row],[asofdate]])</f>
        <v>2015-2</v>
      </c>
      <c r="L10" s="6">
        <f>((CurrentMtgRatesDataTable89[[#This Row],[SeriesNumValue]]-$D$1)/$D$1+1)*100</f>
        <v>130.01612137025401</v>
      </c>
      <c r="M10" s="6">
        <f>CurrentMtgRatesDataTable89[[#This Row],[Index]]-L11</f>
        <v>5.5776888994633396</v>
      </c>
      <c r="P10" s="7" t="s">
        <v>39</v>
      </c>
      <c r="Q10" s="10">
        <v>6.51072617401625E-2</v>
      </c>
      <c r="R10" s="31">
        <f>((CurrentMtgRatesDataTable8711[[#This Row],[SeriesNumValue]]-$D$1)/$D$1+1)*100</f>
        <v>434.04841160108327</v>
      </c>
      <c r="S10" s="31"/>
      <c r="U10" s="7" t="s">
        <v>39</v>
      </c>
      <c r="V10" s="10">
        <v>5.8551251558796702E-2</v>
      </c>
      <c r="W10" s="31">
        <f>((CurrentMtgRatesDataTable871112[[#This Row],[SeriesNumValue]]-$D$1)/$D$1+1)*100</f>
        <v>390.34167705864473</v>
      </c>
      <c r="X10" s="31"/>
      <c r="Z10" s="7" t="s">
        <v>39</v>
      </c>
      <c r="AA10" s="10">
        <v>1.80351781500914E-2</v>
      </c>
      <c r="AB10" s="34">
        <f>((CurrentMtgRatesDataTable87111213[[#This Row],[SeriesNumValue]]-$D$1)/$D$1+1)*100</f>
        <v>120.23452100060933</v>
      </c>
      <c r="AC10" s="34"/>
      <c r="AE10" s="7" t="s">
        <v>39</v>
      </c>
      <c r="AF10" s="10">
        <v>1.64145800400433E-2</v>
      </c>
      <c r="AG10" s="34">
        <f>((CurrentMtgRatesDataTable8711121314[[#This Row],[SeriesNumValue]]-$D$1)/$D$1+1)*100</f>
        <v>109.43053360028867</v>
      </c>
      <c r="AH10" s="34" t="str">
        <f>YEAR(CurrentMtgRatesDataTable8711121314[[#This Row],[asofdate]])&amp;"-"&amp;MONTH(CurrentMtgRatesDataTable8711121314[[#This Row],[asofdate]])</f>
        <v>2003-10</v>
      </c>
      <c r="AI10" s="34">
        <f>CurrentMtgRatesDataTable8711121314[[#This Row],[SeriesNumValue]]</f>
        <v>1.64145800400433E-2</v>
      </c>
      <c r="AJ10" s="34">
        <f>VLOOKUP(CurrentMtgRatesDataTable8711121314[[#This Row],[asofdate]],P:R,2,0)</f>
        <v>6.51072617401625E-2</v>
      </c>
      <c r="AK10" s="30">
        <f>IF(VLOOKUP(CurrentMtgRatesDataTable8711121314[[#This Row],[asofdate]],U:W,2,0)&lt;&gt;0,VLOOKUP(CurrentMtgRatesDataTable8711121314[[#This Row],[asofdate]],U:W,2,0),AK9)</f>
        <v>5.8551251558796702E-2</v>
      </c>
      <c r="AL10" s="30">
        <f>VLOOKUP(CurrentMtgRatesDataTable8711121314[[#This Row],[asofdate]],Z:AB,2,0)</f>
        <v>1.80351781500914E-2</v>
      </c>
      <c r="AM10" s="30">
        <f>CurrentMtgRatesDataTable8711121314[[#This Row],[FHA]]+0.5*CurrentMtgRatesDataTable8711121314[[#This Row],[Conventional]]</f>
        <v>7.3314551760184143E-2</v>
      </c>
      <c r="AN10" s="30">
        <f>2*CurrentMtgRatesDataTable8711121314[[#This Row],[FHA]]</f>
        <v>0.130214523480325</v>
      </c>
      <c r="AO10" s="11">
        <f>VLOOKUP(YEAR(CurrentMtgRatesDataTable8711121314[[#This Row],[asofdate]]),OriginationVolume!$A:$N,8,FALSE)</f>
        <v>0.66040268456375839</v>
      </c>
      <c r="AP10" s="11">
        <f>VLOOKUP(YEAR(CurrentMtgRatesDataTable8711121314[[#This Row],[asofdate]]),OriginationVolume!$A:$N,9,FALSE)</f>
        <v>1.4765100671140939E-2</v>
      </c>
      <c r="AQ10" s="11">
        <f>VLOOKUP(YEAR(CurrentMtgRatesDataTable8711121314[[#This Row],[asofdate]]),OriginationVolume!$A:$N,10,FALSE)</f>
        <v>4.429530201342282E-2</v>
      </c>
      <c r="AR10" s="11">
        <f>VLOOKUP(YEAR(CurrentMtgRatesDataTable8711121314[[#This Row],[asofdate]]),OriginationVolume!$A:$N,11,FALSE)</f>
        <v>0.17449664429530201</v>
      </c>
      <c r="AS10" s="11">
        <f>VLOOKUP(YEAR(CurrentMtgRatesDataTable8711121314[[#This Row],[asofdate]]),OriginationVolume!$A:$N,12,FALSE)</f>
        <v>2.2818791946308724E-2</v>
      </c>
      <c r="AT10" s="11">
        <f>VLOOKUP(YEAR(CurrentMtgRatesDataTable8711121314[[#This Row],[asofdate]]),OriginationVolume!$A:$N,13,FALSE)</f>
        <v>8.3221476510067116E-2</v>
      </c>
      <c r="AU1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AW10" s="7" t="s">
        <v>39</v>
      </c>
      <c r="AX10" s="10">
        <v>173162000</v>
      </c>
      <c r="AY10" s="31"/>
      <c r="BA10" s="7" t="s">
        <v>39</v>
      </c>
      <c r="BB10" s="10">
        <v>53874000</v>
      </c>
      <c r="BC10" s="31"/>
      <c r="BE10" s="7" t="s">
        <v>39</v>
      </c>
      <c r="BF10" s="10">
        <v>3366345364.3299999</v>
      </c>
      <c r="BG10" s="34"/>
      <c r="BI10" s="7" t="s">
        <v>39</v>
      </c>
      <c r="BJ10" s="10">
        <v>3139309364.3299999</v>
      </c>
      <c r="BK10" s="34" t="str">
        <f>YEAR(CurrentMtgRatesDataTable871112131417[[#This Row],[asofdate]])&amp;"-"&amp;MONTH(CurrentMtgRatesDataTable871112131417[[#This Row],[asofdate]])</f>
        <v>2003-10</v>
      </c>
      <c r="BL10" s="34">
        <f>CurrentMtgRatesDataTable871112131417[[#This Row],[SeriesNumValue]]</f>
        <v>3139309364.3299999</v>
      </c>
      <c r="BM10" s="34">
        <f>VLOOKUP(CurrentMtgRatesDataTable871112131417[[#This Row],[asofdate]],AW:AX,2,0)</f>
        <v>173162000</v>
      </c>
      <c r="BN10" s="30">
        <f>IF(VLOOKUP(CurrentMtgRatesDataTable871112131417[[#This Row],[asofdate]],BA:BB,2,0)&lt;&gt;0,VLOOKUP(CurrentMtgRatesDataTable871112131417[[#This Row],[asofdate]],BA:BB,2,0),BN9)</f>
        <v>53874000</v>
      </c>
      <c r="BO10" s="30">
        <f>VLOOKUP(CurrentMtgRatesDataTable871112131417[[#This Row],[asofdate]],BE:BF,2,0)</f>
        <v>3366345364.3299999</v>
      </c>
    </row>
    <row r="11" spans="1:67" s="6" customFormat="1">
      <c r="A11" s="7" t="s">
        <v>40</v>
      </c>
      <c r="B11" s="10">
        <v>2.1574111788502E-2</v>
      </c>
      <c r="C11" s="10" t="str">
        <f>YEAR(CurrentMtgRatesDataTable8[[#This Row],[asofdate]])&amp;"-"&amp;MONTH(CurrentMtgRatesDataTable8[[#This Row],[asofdate]])</f>
        <v>2003-11</v>
      </c>
      <c r="D11" s="6">
        <f>((CurrentMtgRatesDataTable8[[#This Row],[SeriesNumValue]]-$D$1)/$D$1+1)*100</f>
        <v>143.82741192334666</v>
      </c>
      <c r="I11" s="7" t="s">
        <v>155</v>
      </c>
      <c r="J11" s="10">
        <v>1.8665764870618599E-2</v>
      </c>
      <c r="K11" s="10" t="str">
        <f>YEAR(CurrentMtgRatesDataTable89[[#This Row],[asofdate]])&amp;"-"&amp;MONTH(CurrentMtgRatesDataTable89[[#This Row],[asofdate]])</f>
        <v>2015-1</v>
      </c>
      <c r="L11" s="6">
        <f>((CurrentMtgRatesDataTable89[[#This Row],[SeriesNumValue]]-$D$1)/$D$1+1)*100</f>
        <v>124.43843247079067</v>
      </c>
      <c r="M11" s="6">
        <f>CurrentMtgRatesDataTable89[[#This Row],[Index]]-L12</f>
        <v>-1.2149666502266712</v>
      </c>
      <c r="P11" s="7" t="s">
        <v>40</v>
      </c>
      <c r="Q11" s="10">
        <v>8.6871460414936999E-2</v>
      </c>
      <c r="R11" s="31">
        <f>((CurrentMtgRatesDataTable8711[[#This Row],[SeriesNumValue]]-$D$1)/$D$1+1)*100</f>
        <v>579.14306943291342</v>
      </c>
      <c r="S11" s="31"/>
      <c r="U11" s="7" t="s">
        <v>40</v>
      </c>
      <c r="V11" s="10">
        <v>7.5610136798633196E-2</v>
      </c>
      <c r="W11" s="31">
        <f>((CurrentMtgRatesDataTable871112[[#This Row],[SeriesNumValue]]-$D$1)/$D$1+1)*100</f>
        <v>504.06757865755463</v>
      </c>
      <c r="X11" s="31"/>
      <c r="Z11" s="7" t="s">
        <v>40</v>
      </c>
      <c r="AA11" s="10">
        <v>2.3669485192650899E-2</v>
      </c>
      <c r="AB11" s="34">
        <f>((CurrentMtgRatesDataTable87111213[[#This Row],[SeriesNumValue]]-$D$1)/$D$1+1)*100</f>
        <v>157.79656795100601</v>
      </c>
      <c r="AC11" s="34"/>
      <c r="AE11" s="7" t="s">
        <v>40</v>
      </c>
      <c r="AF11" s="10">
        <v>2.1358095033052499E-2</v>
      </c>
      <c r="AG11" s="34">
        <f>((CurrentMtgRatesDataTable8711121314[[#This Row],[SeriesNumValue]]-$D$1)/$D$1+1)*100</f>
        <v>142.38730022035</v>
      </c>
      <c r="AH11" s="34" t="str">
        <f>YEAR(CurrentMtgRatesDataTable8711121314[[#This Row],[asofdate]])&amp;"-"&amp;MONTH(CurrentMtgRatesDataTable8711121314[[#This Row],[asofdate]])</f>
        <v>2003-11</v>
      </c>
      <c r="AI11" s="34">
        <f>CurrentMtgRatesDataTable8711121314[[#This Row],[SeriesNumValue]]</f>
        <v>2.1358095033052499E-2</v>
      </c>
      <c r="AJ11" s="34">
        <f>VLOOKUP(CurrentMtgRatesDataTable8711121314[[#This Row],[asofdate]],P:R,2,0)</f>
        <v>8.6871460414936999E-2</v>
      </c>
      <c r="AK11" s="30">
        <f>IF(VLOOKUP(CurrentMtgRatesDataTable8711121314[[#This Row],[asofdate]],U:W,2,0)&lt;&gt;0,VLOOKUP(CurrentMtgRatesDataTable8711121314[[#This Row],[asofdate]],U:W,2,0),AK10)</f>
        <v>7.5610136798633196E-2</v>
      </c>
      <c r="AL11" s="30">
        <f>VLOOKUP(CurrentMtgRatesDataTable8711121314[[#This Row],[asofdate]],Z:AB,2,0)</f>
        <v>2.3669485192650899E-2</v>
      </c>
      <c r="AM11" s="30">
        <f>CurrentMtgRatesDataTable8711121314[[#This Row],[FHA]]+0.5*CurrentMtgRatesDataTable8711121314[[#This Row],[Conventional]]</f>
        <v>9.7550507931463248E-2</v>
      </c>
      <c r="AN11" s="30">
        <f>2*CurrentMtgRatesDataTable8711121314[[#This Row],[FHA]]</f>
        <v>0.173742920829874</v>
      </c>
      <c r="AO11" s="11">
        <f>VLOOKUP(YEAR(CurrentMtgRatesDataTable8711121314[[#This Row],[asofdate]]),OriginationVolume!$A:$N,8,FALSE)</f>
        <v>0.66040268456375839</v>
      </c>
      <c r="AP11" s="11">
        <f>VLOOKUP(YEAR(CurrentMtgRatesDataTable8711121314[[#This Row],[asofdate]]),OriginationVolume!$A:$N,9,FALSE)</f>
        <v>1.4765100671140939E-2</v>
      </c>
      <c r="AQ11" s="11">
        <f>VLOOKUP(YEAR(CurrentMtgRatesDataTable8711121314[[#This Row],[asofdate]]),OriginationVolume!$A:$N,10,FALSE)</f>
        <v>4.429530201342282E-2</v>
      </c>
      <c r="AR11" s="11">
        <f>VLOOKUP(YEAR(CurrentMtgRatesDataTable8711121314[[#This Row],[asofdate]]),OriginationVolume!$A:$N,11,FALSE)</f>
        <v>0.17449664429530201</v>
      </c>
      <c r="AS11" s="11">
        <f>VLOOKUP(YEAR(CurrentMtgRatesDataTable8711121314[[#This Row],[asofdate]]),OriginationVolume!$A:$N,12,FALSE)</f>
        <v>2.2818791946308724E-2</v>
      </c>
      <c r="AT11" s="11">
        <f>VLOOKUP(YEAR(CurrentMtgRatesDataTable8711121314[[#This Row],[asofdate]]),OriginationVolume!$A:$N,13,FALSE)</f>
        <v>8.3221476510067116E-2</v>
      </c>
      <c r="AU1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AW11" s="7" t="s">
        <v>40</v>
      </c>
      <c r="AX11" s="10">
        <v>128151000</v>
      </c>
      <c r="AY11" s="31"/>
      <c r="BA11" s="7" t="s">
        <v>40</v>
      </c>
      <c r="BB11" s="10">
        <v>37241000</v>
      </c>
      <c r="BC11" s="31"/>
      <c r="BE11" s="7" t="s">
        <v>40</v>
      </c>
      <c r="BF11" s="10">
        <v>2323781186.5599999</v>
      </c>
      <c r="BG11" s="34"/>
      <c r="BI11" s="7" t="s">
        <v>40</v>
      </c>
      <c r="BJ11" s="10">
        <v>2158389186.5599999</v>
      </c>
      <c r="BK11" s="34" t="str">
        <f>YEAR(CurrentMtgRatesDataTable871112131417[[#This Row],[asofdate]])&amp;"-"&amp;MONTH(CurrentMtgRatesDataTable871112131417[[#This Row],[asofdate]])</f>
        <v>2003-11</v>
      </c>
      <c r="BL11" s="34">
        <f>CurrentMtgRatesDataTable871112131417[[#This Row],[SeriesNumValue]]</f>
        <v>2158389186.5599999</v>
      </c>
      <c r="BM11" s="34">
        <f>VLOOKUP(CurrentMtgRatesDataTable871112131417[[#This Row],[asofdate]],AW:AX,2,0)</f>
        <v>128151000</v>
      </c>
      <c r="BN11" s="30">
        <f>IF(VLOOKUP(CurrentMtgRatesDataTable871112131417[[#This Row],[asofdate]],BA:BB,2,0)&lt;&gt;0,VLOOKUP(CurrentMtgRatesDataTable871112131417[[#This Row],[asofdate]],BA:BB,2,0),BN10)</f>
        <v>37241000</v>
      </c>
      <c r="BO11" s="30">
        <f>VLOOKUP(CurrentMtgRatesDataTable871112131417[[#This Row],[asofdate]],BE:BF,2,0)</f>
        <v>2323781186.5599999</v>
      </c>
    </row>
    <row r="12" spans="1:67" s="6" customFormat="1">
      <c r="A12" s="7" t="s">
        <v>41</v>
      </c>
      <c r="B12" s="10">
        <v>2.18301222546513E-2</v>
      </c>
      <c r="C12" s="10" t="str">
        <f>YEAR(CurrentMtgRatesDataTable8[[#This Row],[asofdate]])&amp;"-"&amp;MONTH(CurrentMtgRatesDataTable8[[#This Row],[asofdate]])</f>
        <v>2003-12</v>
      </c>
      <c r="D12" s="6">
        <f>((CurrentMtgRatesDataTable8[[#This Row],[SeriesNumValue]]-$D$1)/$D$1+1)*100</f>
        <v>145.53414836434203</v>
      </c>
      <c r="I12" s="7" t="s">
        <v>16</v>
      </c>
      <c r="J12" s="10">
        <v>1.8848009868152601E-2</v>
      </c>
      <c r="K12" s="10" t="str">
        <f>YEAR(CurrentMtgRatesDataTable89[[#This Row],[asofdate]])&amp;"-"&amp;MONTH(CurrentMtgRatesDataTable89[[#This Row],[asofdate]])</f>
        <v>2014-12</v>
      </c>
      <c r="L12" s="6">
        <f>((CurrentMtgRatesDataTable89[[#This Row],[SeriesNumValue]]-$D$1)/$D$1+1)*100</f>
        <v>125.65339912101734</v>
      </c>
      <c r="M12" s="6">
        <f>CurrentMtgRatesDataTable89[[#This Row],[Index]]-L13</f>
        <v>2.6500484790566645</v>
      </c>
      <c r="P12" s="7" t="s">
        <v>41</v>
      </c>
      <c r="Q12" s="10">
        <v>9.0167160769596993E-2</v>
      </c>
      <c r="R12" s="31">
        <f>((CurrentMtgRatesDataTable8711[[#This Row],[SeriesNumValue]]-$D$1)/$D$1+1)*100</f>
        <v>601.11440513064667</v>
      </c>
      <c r="S12" s="31"/>
      <c r="U12" s="7" t="s">
        <v>41</v>
      </c>
      <c r="V12" s="10">
        <v>7.7229764557536801E-2</v>
      </c>
      <c r="W12" s="31">
        <f>((CurrentMtgRatesDataTable871112[[#This Row],[SeriesNumValue]]-$D$1)/$D$1+1)*100</f>
        <v>514.86509705024537</v>
      </c>
      <c r="X12" s="31"/>
      <c r="Z12" s="7" t="s">
        <v>41</v>
      </c>
      <c r="AA12" s="10">
        <v>2.3981964348724599E-2</v>
      </c>
      <c r="AB12" s="34">
        <f>((CurrentMtgRatesDataTable87111213[[#This Row],[SeriesNumValue]]-$D$1)/$D$1+1)*100</f>
        <v>159.87976232483066</v>
      </c>
      <c r="AC12" s="34"/>
      <c r="AE12" s="7" t="s">
        <v>41</v>
      </c>
      <c r="AF12" s="10">
        <v>2.1730055868424501E-2</v>
      </c>
      <c r="AG12" s="34">
        <f>((CurrentMtgRatesDataTable8711121314[[#This Row],[SeriesNumValue]]-$D$1)/$D$1+1)*100</f>
        <v>144.86703912283002</v>
      </c>
      <c r="AH12" s="34" t="str">
        <f>YEAR(CurrentMtgRatesDataTable8711121314[[#This Row],[asofdate]])&amp;"-"&amp;MONTH(CurrentMtgRatesDataTable8711121314[[#This Row],[asofdate]])</f>
        <v>2003-12</v>
      </c>
      <c r="AI12" s="34">
        <f>CurrentMtgRatesDataTable8711121314[[#This Row],[SeriesNumValue]]</f>
        <v>2.1730055868424501E-2</v>
      </c>
      <c r="AJ12" s="34">
        <f>VLOOKUP(CurrentMtgRatesDataTable8711121314[[#This Row],[asofdate]],P:R,2,0)</f>
        <v>9.0167160769596993E-2</v>
      </c>
      <c r="AK12" s="30">
        <f>IF(VLOOKUP(CurrentMtgRatesDataTable8711121314[[#This Row],[asofdate]],U:W,2,0)&lt;&gt;0,VLOOKUP(CurrentMtgRatesDataTable8711121314[[#This Row],[asofdate]],U:W,2,0),AK11)</f>
        <v>7.7229764557536801E-2</v>
      </c>
      <c r="AL12" s="30">
        <f>VLOOKUP(CurrentMtgRatesDataTable8711121314[[#This Row],[asofdate]],Z:AB,2,0)</f>
        <v>2.3981964348724599E-2</v>
      </c>
      <c r="AM12" s="30">
        <f>CurrentMtgRatesDataTable8711121314[[#This Row],[FHA]]+0.5*CurrentMtgRatesDataTable8711121314[[#This Row],[Conventional]]</f>
        <v>0.10103218870380924</v>
      </c>
      <c r="AN12" s="30">
        <f>2*CurrentMtgRatesDataTable8711121314[[#This Row],[FHA]]</f>
        <v>0.18033432153919399</v>
      </c>
      <c r="AO12" s="11">
        <f>VLOOKUP(YEAR(CurrentMtgRatesDataTable8711121314[[#This Row],[asofdate]]),OriginationVolume!$A:$N,8,FALSE)</f>
        <v>0.66040268456375839</v>
      </c>
      <c r="AP12" s="11">
        <f>VLOOKUP(YEAR(CurrentMtgRatesDataTable8711121314[[#This Row],[asofdate]]),OriginationVolume!$A:$N,9,FALSE)</f>
        <v>1.4765100671140939E-2</v>
      </c>
      <c r="AQ12" s="11">
        <f>VLOOKUP(YEAR(CurrentMtgRatesDataTable8711121314[[#This Row],[asofdate]]),OriginationVolume!$A:$N,10,FALSE)</f>
        <v>4.429530201342282E-2</v>
      </c>
      <c r="AR12" s="11">
        <f>VLOOKUP(YEAR(CurrentMtgRatesDataTable8711121314[[#This Row],[asofdate]]),OriginationVolume!$A:$N,11,FALSE)</f>
        <v>0.17449664429530201</v>
      </c>
      <c r="AS12" s="11">
        <f>VLOOKUP(YEAR(CurrentMtgRatesDataTable8711121314[[#This Row],[asofdate]]),OriginationVolume!$A:$N,12,FALSE)</f>
        <v>2.2818791946308724E-2</v>
      </c>
      <c r="AT12" s="11">
        <f>VLOOKUP(YEAR(CurrentMtgRatesDataTable8711121314[[#This Row],[asofdate]]),OriginationVolume!$A:$N,13,FALSE)</f>
        <v>8.3221476510067116E-2</v>
      </c>
      <c r="AU1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AW12" s="7" t="s">
        <v>41</v>
      </c>
      <c r="AX12" s="10">
        <v>132948000</v>
      </c>
      <c r="AY12" s="31"/>
      <c r="BA12" s="7" t="s">
        <v>41</v>
      </c>
      <c r="BB12" s="10">
        <v>34516000</v>
      </c>
      <c r="BC12" s="31"/>
      <c r="BE12" s="7" t="s">
        <v>41</v>
      </c>
      <c r="BF12" s="10">
        <v>2482247302.0700002</v>
      </c>
      <c r="BG12" s="34"/>
      <c r="BI12" s="7" t="s">
        <v>41</v>
      </c>
      <c r="BJ12" s="10">
        <v>2314783302.0700002</v>
      </c>
      <c r="BK12" s="34" t="str">
        <f>YEAR(CurrentMtgRatesDataTable871112131417[[#This Row],[asofdate]])&amp;"-"&amp;MONTH(CurrentMtgRatesDataTable871112131417[[#This Row],[asofdate]])</f>
        <v>2003-12</v>
      </c>
      <c r="BL12" s="34">
        <f>CurrentMtgRatesDataTable871112131417[[#This Row],[SeriesNumValue]]</f>
        <v>2314783302.0700002</v>
      </c>
      <c r="BM12" s="34">
        <f>VLOOKUP(CurrentMtgRatesDataTable871112131417[[#This Row],[asofdate]],AW:AX,2,0)</f>
        <v>132948000</v>
      </c>
      <c r="BN12" s="30">
        <f>IF(VLOOKUP(CurrentMtgRatesDataTable871112131417[[#This Row],[asofdate]],BA:BB,2,0)&lt;&gt;0,VLOOKUP(CurrentMtgRatesDataTable871112131417[[#This Row],[asofdate]],BA:BB,2,0),BN11)</f>
        <v>34516000</v>
      </c>
      <c r="BO12" s="30">
        <f>VLOOKUP(CurrentMtgRatesDataTable871112131417[[#This Row],[asofdate]],BE:BF,2,0)</f>
        <v>2482247302.0700002</v>
      </c>
    </row>
    <row r="13" spans="1:67" s="6" customFormat="1">
      <c r="A13" s="7" t="s">
        <v>42</v>
      </c>
      <c r="B13" s="10">
        <v>2.14212055237409E-2</v>
      </c>
      <c r="C13" s="10" t="str">
        <f>YEAR(CurrentMtgRatesDataTable8[[#This Row],[asofdate]])&amp;"-"&amp;MONTH(CurrentMtgRatesDataTable8[[#This Row],[asofdate]])</f>
        <v>2004-1</v>
      </c>
      <c r="D13" s="6">
        <f>((CurrentMtgRatesDataTable8[[#This Row],[SeriesNumValue]]-$D$1)/$D$1+1)*100</f>
        <v>142.80803682493934</v>
      </c>
      <c r="I13" s="7" t="s">
        <v>154</v>
      </c>
      <c r="J13" s="10">
        <v>1.8450502596294101E-2</v>
      </c>
      <c r="K13" s="10" t="str">
        <f>YEAR(CurrentMtgRatesDataTable89[[#This Row],[asofdate]])&amp;"-"&amp;MONTH(CurrentMtgRatesDataTable89[[#This Row],[asofdate]])</f>
        <v>2014-11</v>
      </c>
      <c r="L13" s="6">
        <f>((CurrentMtgRatesDataTable89[[#This Row],[SeriesNumValue]]-$D$1)/$D$1+1)*100</f>
        <v>123.00335064196068</v>
      </c>
      <c r="M13" s="6">
        <f>CurrentMtgRatesDataTable89[[#This Row],[Index]]-L14</f>
        <v>3.7901319208433364</v>
      </c>
      <c r="P13" s="7" t="s">
        <v>42</v>
      </c>
      <c r="Q13" s="10">
        <v>9.1083275828594504E-2</v>
      </c>
      <c r="R13" s="31">
        <f>((CurrentMtgRatesDataTable8711[[#This Row],[SeriesNumValue]]-$D$1)/$D$1+1)*100</f>
        <v>607.22183885729669</v>
      </c>
      <c r="S13" s="31"/>
      <c r="U13" s="7" t="s">
        <v>42</v>
      </c>
      <c r="V13" s="10">
        <v>7.3919928128802895E-2</v>
      </c>
      <c r="W13" s="31">
        <f>((CurrentMtgRatesDataTable871112[[#This Row],[SeriesNumValue]]-$D$1)/$D$1+1)*100</f>
        <v>492.79952085868598</v>
      </c>
      <c r="X13" s="31"/>
      <c r="Z13" s="7" t="s">
        <v>42</v>
      </c>
      <c r="AA13" s="10">
        <v>2.34180885770074E-2</v>
      </c>
      <c r="AB13" s="34">
        <f>((CurrentMtgRatesDataTable87111213[[#This Row],[SeriesNumValue]]-$D$1)/$D$1+1)*100</f>
        <v>156.12059051338267</v>
      </c>
      <c r="AC13" s="34"/>
      <c r="AE13" s="7" t="s">
        <v>42</v>
      </c>
      <c r="AF13" s="10">
        <v>2.12987117078158E-2</v>
      </c>
      <c r="AG13" s="34">
        <f>((CurrentMtgRatesDataTable8711121314[[#This Row],[SeriesNumValue]]-$D$1)/$D$1+1)*100</f>
        <v>141.99141138543868</v>
      </c>
      <c r="AH13" s="34" t="str">
        <f>YEAR(CurrentMtgRatesDataTable8711121314[[#This Row],[asofdate]])&amp;"-"&amp;MONTH(CurrentMtgRatesDataTable8711121314[[#This Row],[asofdate]])</f>
        <v>2004-1</v>
      </c>
      <c r="AI13" s="34">
        <f>CurrentMtgRatesDataTable8711121314[[#This Row],[SeriesNumValue]]</f>
        <v>2.12987117078158E-2</v>
      </c>
      <c r="AJ13" s="34">
        <f>VLOOKUP(CurrentMtgRatesDataTable8711121314[[#This Row],[asofdate]],P:R,2,0)</f>
        <v>9.1083275828594504E-2</v>
      </c>
      <c r="AK13" s="30">
        <f>IF(VLOOKUP(CurrentMtgRatesDataTable8711121314[[#This Row],[asofdate]],U:W,2,0)&lt;&gt;0,VLOOKUP(CurrentMtgRatesDataTable8711121314[[#This Row],[asofdate]],U:W,2,0),AK12)</f>
        <v>7.3919928128802895E-2</v>
      </c>
      <c r="AL13" s="30">
        <f>VLOOKUP(CurrentMtgRatesDataTable8711121314[[#This Row],[asofdate]],Z:AB,2,0)</f>
        <v>2.34180885770074E-2</v>
      </c>
      <c r="AM13" s="30">
        <f>CurrentMtgRatesDataTable8711121314[[#This Row],[FHA]]+0.5*CurrentMtgRatesDataTable8711121314[[#This Row],[Conventional]]</f>
        <v>0.10173263168250241</v>
      </c>
      <c r="AN13" s="30">
        <f>2*CurrentMtgRatesDataTable8711121314[[#This Row],[FHA]]</f>
        <v>0.18216655165718901</v>
      </c>
      <c r="AO13" s="11">
        <f>VLOOKUP(YEAR(CurrentMtgRatesDataTable8711121314[[#This Row],[asofdate]]),OriginationVolume!$A:$N,8,FALSE)</f>
        <v>0.46718146718146719</v>
      </c>
      <c r="AP13" s="11">
        <f>VLOOKUP(YEAR(CurrentMtgRatesDataTable8711121314[[#This Row],[asofdate]]),OriginationVolume!$A:$N,9,FALSE)</f>
        <v>1.3030888030888031E-2</v>
      </c>
      <c r="AQ13" s="11">
        <f>VLOOKUP(YEAR(CurrentMtgRatesDataTable8711121314[[#This Row],[asofdate]]),OriginationVolume!$A:$N,10,FALSE)</f>
        <v>3.9092664092664091E-2</v>
      </c>
      <c r="AR13" s="11">
        <f>VLOOKUP(YEAR(CurrentMtgRatesDataTable8711121314[[#This Row],[asofdate]]),OriginationVolume!$A:$N,11,FALSE)</f>
        <v>0.19884169884169883</v>
      </c>
      <c r="AS13" s="11">
        <f>VLOOKUP(YEAR(CurrentMtgRatesDataTable8711121314[[#This Row],[asofdate]]),OriginationVolume!$A:$N,12,FALSE)</f>
        <v>7.3359073359073365E-2</v>
      </c>
      <c r="AT13" s="11">
        <f>VLOOKUP(YEAR(CurrentMtgRatesDataTable8711121314[[#This Row],[asofdate]]),OriginationVolume!$A:$N,13,FALSE)</f>
        <v>0.20849420849420849</v>
      </c>
      <c r="AU1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AW13" s="7" t="s">
        <v>42</v>
      </c>
      <c r="AX13" s="10">
        <v>107918000</v>
      </c>
      <c r="AY13" s="31"/>
      <c r="BA13" s="7" t="s">
        <v>42</v>
      </c>
      <c r="BB13" s="10">
        <v>32126000</v>
      </c>
      <c r="BC13" s="31"/>
      <c r="BE13" s="7" t="s">
        <v>42</v>
      </c>
      <c r="BF13" s="10">
        <v>2182102190.5999999</v>
      </c>
      <c r="BG13" s="34"/>
      <c r="BI13" s="7" t="s">
        <v>42</v>
      </c>
      <c r="BJ13" s="10">
        <v>2042058190.5999999</v>
      </c>
      <c r="BK13" s="34" t="str">
        <f>YEAR(CurrentMtgRatesDataTable871112131417[[#This Row],[asofdate]])&amp;"-"&amp;MONTH(CurrentMtgRatesDataTable871112131417[[#This Row],[asofdate]])</f>
        <v>2004-1</v>
      </c>
      <c r="BL13" s="34">
        <f>CurrentMtgRatesDataTable871112131417[[#This Row],[SeriesNumValue]]</f>
        <v>2042058190.5999999</v>
      </c>
      <c r="BM13" s="34">
        <f>VLOOKUP(CurrentMtgRatesDataTable871112131417[[#This Row],[asofdate]],AW:AX,2,0)</f>
        <v>107918000</v>
      </c>
      <c r="BN13" s="30">
        <f>IF(VLOOKUP(CurrentMtgRatesDataTable871112131417[[#This Row],[asofdate]],BA:BB,2,0)&lt;&gt;0,VLOOKUP(CurrentMtgRatesDataTable871112131417[[#This Row],[asofdate]],BA:BB,2,0),BN12)</f>
        <v>32126000</v>
      </c>
      <c r="BO13" s="30">
        <f>VLOOKUP(CurrentMtgRatesDataTable871112131417[[#This Row],[asofdate]],BE:BF,2,0)</f>
        <v>2182102190.5999999</v>
      </c>
    </row>
    <row r="14" spans="1:67" s="6" customFormat="1">
      <c r="A14" s="7" t="s">
        <v>43</v>
      </c>
      <c r="B14" s="10">
        <v>2.0722056197098701E-2</v>
      </c>
      <c r="C14" s="10" t="str">
        <f>YEAR(CurrentMtgRatesDataTable8[[#This Row],[asofdate]])&amp;"-"&amp;MONTH(CurrentMtgRatesDataTable8[[#This Row],[asofdate]])</f>
        <v>2004-2</v>
      </c>
      <c r="D14" s="6">
        <f>((CurrentMtgRatesDataTable8[[#This Row],[SeriesNumValue]]-$D$1)/$D$1+1)*100</f>
        <v>138.14704131399137</v>
      </c>
      <c r="I14" s="7" t="s">
        <v>8</v>
      </c>
      <c r="J14" s="10">
        <v>1.78819828081676E-2</v>
      </c>
      <c r="K14" s="10" t="str">
        <f>YEAR(CurrentMtgRatesDataTable89[[#This Row],[asofdate]])&amp;"-"&amp;MONTH(CurrentMtgRatesDataTable89[[#This Row],[asofdate]])</f>
        <v>2014-10</v>
      </c>
      <c r="L14" s="6">
        <f>((CurrentMtgRatesDataTable89[[#This Row],[SeriesNumValue]]-$D$1)/$D$1+1)*100</f>
        <v>119.21321872111734</v>
      </c>
      <c r="M14" s="6">
        <f>CurrentMtgRatesDataTable89[[#This Row],[Index]]-L15</f>
        <v>0.49197567056067726</v>
      </c>
      <c r="P14" s="7" t="s">
        <v>43</v>
      </c>
      <c r="Q14" s="10">
        <v>8.9059484799799998E-2</v>
      </c>
      <c r="R14" s="31">
        <f>((CurrentMtgRatesDataTable8711[[#This Row],[SeriesNumValue]]-$D$1)/$D$1+1)*100</f>
        <v>593.72989866533339</v>
      </c>
      <c r="S14" s="31"/>
      <c r="U14" s="7" t="s">
        <v>43</v>
      </c>
      <c r="V14" s="10">
        <v>7.5837312969968707E-2</v>
      </c>
      <c r="W14" s="31">
        <f>((CurrentMtgRatesDataTable871112[[#This Row],[SeriesNumValue]]-$D$1)/$D$1+1)*100</f>
        <v>505.58208646645807</v>
      </c>
      <c r="X14" s="31"/>
      <c r="Z14" s="7" t="s">
        <v>43</v>
      </c>
      <c r="AA14" s="10">
        <v>2.23500279789118E-2</v>
      </c>
      <c r="AB14" s="34">
        <f>((CurrentMtgRatesDataTable87111213[[#This Row],[SeriesNumValue]]-$D$1)/$D$1+1)*100</f>
        <v>149.00018652607866</v>
      </c>
      <c r="AC14" s="34"/>
      <c r="AE14" s="7" t="s">
        <v>43</v>
      </c>
      <c r="AF14" s="10">
        <v>2.04919210486827E-2</v>
      </c>
      <c r="AG14" s="34">
        <f>((CurrentMtgRatesDataTable8711121314[[#This Row],[SeriesNumValue]]-$D$1)/$D$1+1)*100</f>
        <v>136.61280699121801</v>
      </c>
      <c r="AH14" s="34" t="str">
        <f>YEAR(CurrentMtgRatesDataTable8711121314[[#This Row],[asofdate]])&amp;"-"&amp;MONTH(CurrentMtgRatesDataTable8711121314[[#This Row],[asofdate]])</f>
        <v>2004-2</v>
      </c>
      <c r="AI14" s="34">
        <f>CurrentMtgRatesDataTable8711121314[[#This Row],[SeriesNumValue]]</f>
        <v>2.04919210486827E-2</v>
      </c>
      <c r="AJ14" s="34">
        <f>VLOOKUP(CurrentMtgRatesDataTable8711121314[[#This Row],[asofdate]],P:R,2,0)</f>
        <v>8.9059484799799998E-2</v>
      </c>
      <c r="AK14" s="30">
        <f>IF(VLOOKUP(CurrentMtgRatesDataTable8711121314[[#This Row],[asofdate]],U:W,2,0)&lt;&gt;0,VLOOKUP(CurrentMtgRatesDataTable8711121314[[#This Row],[asofdate]],U:W,2,0),AK13)</f>
        <v>7.5837312969968707E-2</v>
      </c>
      <c r="AL14" s="30">
        <f>VLOOKUP(CurrentMtgRatesDataTable8711121314[[#This Row],[asofdate]],Z:AB,2,0)</f>
        <v>2.23500279789118E-2</v>
      </c>
      <c r="AM14" s="30">
        <f>CurrentMtgRatesDataTable8711121314[[#This Row],[FHA]]+0.5*CurrentMtgRatesDataTable8711121314[[#This Row],[Conventional]]</f>
        <v>9.9305445324141345E-2</v>
      </c>
      <c r="AN14" s="30">
        <f>2*CurrentMtgRatesDataTable8711121314[[#This Row],[FHA]]</f>
        <v>0.1781189695996</v>
      </c>
      <c r="AO14" s="11">
        <f>VLOOKUP(YEAR(CurrentMtgRatesDataTable8711121314[[#This Row],[asofdate]]),OriginationVolume!$A:$N,8,FALSE)</f>
        <v>0.46718146718146719</v>
      </c>
      <c r="AP14" s="11">
        <f>VLOOKUP(YEAR(CurrentMtgRatesDataTable8711121314[[#This Row],[asofdate]]),OriginationVolume!$A:$N,9,FALSE)</f>
        <v>1.3030888030888031E-2</v>
      </c>
      <c r="AQ14" s="11">
        <f>VLOOKUP(YEAR(CurrentMtgRatesDataTable8711121314[[#This Row],[asofdate]]),OriginationVolume!$A:$N,10,FALSE)</f>
        <v>3.9092664092664091E-2</v>
      </c>
      <c r="AR14" s="11">
        <f>VLOOKUP(YEAR(CurrentMtgRatesDataTable8711121314[[#This Row],[asofdate]]),OriginationVolume!$A:$N,11,FALSE)</f>
        <v>0.19884169884169883</v>
      </c>
      <c r="AS14" s="11">
        <f>VLOOKUP(YEAR(CurrentMtgRatesDataTable8711121314[[#This Row],[asofdate]]),OriginationVolume!$A:$N,12,FALSE)</f>
        <v>7.3359073359073365E-2</v>
      </c>
      <c r="AT14" s="11">
        <f>VLOOKUP(YEAR(CurrentMtgRatesDataTable8711121314[[#This Row],[asofdate]]),OriginationVolume!$A:$N,13,FALSE)</f>
        <v>0.20849420849420849</v>
      </c>
      <c r="AU1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AW14" s="7" t="s">
        <v>43</v>
      </c>
      <c r="AX14" s="10">
        <v>107712000</v>
      </c>
      <c r="AY14" s="31"/>
      <c r="BA14" s="7" t="s">
        <v>43</v>
      </c>
      <c r="BB14" s="10">
        <v>36831000</v>
      </c>
      <c r="BC14" s="31"/>
      <c r="BE14" s="7" t="s">
        <v>43</v>
      </c>
      <c r="BF14" s="10">
        <v>2485253534.2600002</v>
      </c>
      <c r="BG14" s="34"/>
      <c r="BI14" s="7" t="s">
        <v>43</v>
      </c>
      <c r="BJ14" s="10">
        <v>2340710534.2600002</v>
      </c>
      <c r="BK14" s="34" t="str">
        <f>YEAR(CurrentMtgRatesDataTable871112131417[[#This Row],[asofdate]])&amp;"-"&amp;MONTH(CurrentMtgRatesDataTable871112131417[[#This Row],[asofdate]])</f>
        <v>2004-2</v>
      </c>
      <c r="BL14" s="34">
        <f>CurrentMtgRatesDataTable871112131417[[#This Row],[SeriesNumValue]]</f>
        <v>2340710534.2600002</v>
      </c>
      <c r="BM14" s="34">
        <f>VLOOKUP(CurrentMtgRatesDataTable871112131417[[#This Row],[asofdate]],AW:AX,2,0)</f>
        <v>107712000</v>
      </c>
      <c r="BN14" s="30">
        <f>IF(VLOOKUP(CurrentMtgRatesDataTable871112131417[[#This Row],[asofdate]],BA:BB,2,0)&lt;&gt;0,VLOOKUP(CurrentMtgRatesDataTable871112131417[[#This Row],[asofdate]],BA:BB,2,0),BN13)</f>
        <v>36831000</v>
      </c>
      <c r="BO14" s="30">
        <f>VLOOKUP(CurrentMtgRatesDataTable871112131417[[#This Row],[asofdate]],BE:BF,2,0)</f>
        <v>2485253534.2600002</v>
      </c>
    </row>
    <row r="15" spans="1:67" s="6" customFormat="1">
      <c r="A15" s="7" t="s">
        <v>44</v>
      </c>
      <c r="B15" s="10">
        <v>2.0864116220785298E-2</v>
      </c>
      <c r="C15" s="10" t="str">
        <f>YEAR(CurrentMtgRatesDataTable8[[#This Row],[asofdate]])&amp;"-"&amp;MONTH(CurrentMtgRatesDataTable8[[#This Row],[asofdate]])</f>
        <v>2004-3</v>
      </c>
      <c r="D15" s="6">
        <f>((CurrentMtgRatesDataTable8[[#This Row],[SeriesNumValue]]-$D$1)/$D$1+1)*100</f>
        <v>139.09410813856866</v>
      </c>
      <c r="I15" s="7" t="s">
        <v>153</v>
      </c>
      <c r="J15" s="10">
        <v>1.7808186457583499E-2</v>
      </c>
      <c r="K15" s="10" t="str">
        <f>YEAR(CurrentMtgRatesDataTable89[[#This Row],[asofdate]])&amp;"-"&amp;MONTH(CurrentMtgRatesDataTable89[[#This Row],[asofdate]])</f>
        <v>2014-9</v>
      </c>
      <c r="L15" s="6">
        <f>((CurrentMtgRatesDataTable89[[#This Row],[SeriesNumValue]]-$D$1)/$D$1+1)*100</f>
        <v>118.72124305055667</v>
      </c>
      <c r="M15" s="6">
        <f>CurrentMtgRatesDataTable89[[#This Row],[Index]]-L16</f>
        <v>-0.11322836864734143</v>
      </c>
      <c r="P15" s="7" t="s">
        <v>44</v>
      </c>
      <c r="Q15" s="10">
        <v>9.1836813388869107E-2</v>
      </c>
      <c r="R15" s="31">
        <f>((CurrentMtgRatesDataTable8711[[#This Row],[SeriesNumValue]]-$D$1)/$D$1+1)*100</f>
        <v>612.24542259246073</v>
      </c>
      <c r="S15" s="31"/>
      <c r="U15" s="7" t="s">
        <v>44</v>
      </c>
      <c r="V15" s="10">
        <v>6.9937168914830303E-2</v>
      </c>
      <c r="W15" s="31">
        <f>((CurrentMtgRatesDataTable871112[[#This Row],[SeriesNumValue]]-$D$1)/$D$1+1)*100</f>
        <v>466.24779276553545</v>
      </c>
      <c r="X15" s="31"/>
      <c r="Z15" s="7" t="s">
        <v>44</v>
      </c>
      <c r="AA15" s="10">
        <v>2.2510107179977E-2</v>
      </c>
      <c r="AB15" s="34">
        <f>((CurrentMtgRatesDataTable87111213[[#This Row],[SeriesNumValue]]-$D$1)/$D$1+1)*100</f>
        <v>150.06738119984666</v>
      </c>
      <c r="AC15" s="34"/>
      <c r="AE15" s="7" t="s">
        <v>44</v>
      </c>
      <c r="AF15" s="10">
        <v>2.0715890182779199E-2</v>
      </c>
      <c r="AG15" s="34">
        <f>((CurrentMtgRatesDataTable8711121314[[#This Row],[SeriesNumValue]]-$D$1)/$D$1+1)*100</f>
        <v>138.10593455186134</v>
      </c>
      <c r="AH15" s="34" t="str">
        <f>YEAR(CurrentMtgRatesDataTable8711121314[[#This Row],[asofdate]])&amp;"-"&amp;MONTH(CurrentMtgRatesDataTable8711121314[[#This Row],[asofdate]])</f>
        <v>2004-3</v>
      </c>
      <c r="AI15" s="34">
        <f>CurrentMtgRatesDataTable8711121314[[#This Row],[SeriesNumValue]]</f>
        <v>2.0715890182779199E-2</v>
      </c>
      <c r="AJ15" s="34">
        <f>VLOOKUP(CurrentMtgRatesDataTable8711121314[[#This Row],[asofdate]],P:R,2,0)</f>
        <v>9.1836813388869107E-2</v>
      </c>
      <c r="AK15" s="30">
        <f>IF(VLOOKUP(CurrentMtgRatesDataTable8711121314[[#This Row],[asofdate]],U:W,2,0)&lt;&gt;0,VLOOKUP(CurrentMtgRatesDataTable8711121314[[#This Row],[asofdate]],U:W,2,0),AK14)</f>
        <v>6.9937168914830303E-2</v>
      </c>
      <c r="AL15" s="30">
        <f>VLOOKUP(CurrentMtgRatesDataTable8711121314[[#This Row],[asofdate]],Z:AB,2,0)</f>
        <v>2.2510107179977E-2</v>
      </c>
      <c r="AM15" s="30">
        <f>CurrentMtgRatesDataTable8711121314[[#This Row],[FHA]]+0.5*CurrentMtgRatesDataTable8711121314[[#This Row],[Conventional]]</f>
        <v>0.1021947584802587</v>
      </c>
      <c r="AN15" s="30">
        <f>2*CurrentMtgRatesDataTable8711121314[[#This Row],[FHA]]</f>
        <v>0.18367362677773821</v>
      </c>
      <c r="AO15" s="11">
        <f>VLOOKUP(YEAR(CurrentMtgRatesDataTable8711121314[[#This Row],[asofdate]]),OriginationVolume!$A:$N,8,FALSE)</f>
        <v>0.46718146718146719</v>
      </c>
      <c r="AP15" s="11">
        <f>VLOOKUP(YEAR(CurrentMtgRatesDataTable8711121314[[#This Row],[asofdate]]),OriginationVolume!$A:$N,9,FALSE)</f>
        <v>1.3030888030888031E-2</v>
      </c>
      <c r="AQ15" s="11">
        <f>VLOOKUP(YEAR(CurrentMtgRatesDataTable8711121314[[#This Row],[asofdate]]),OriginationVolume!$A:$N,10,FALSE)</f>
        <v>3.9092664092664091E-2</v>
      </c>
      <c r="AR15" s="11">
        <f>VLOOKUP(YEAR(CurrentMtgRatesDataTable8711121314[[#This Row],[asofdate]]),OriginationVolume!$A:$N,11,FALSE)</f>
        <v>0.19884169884169883</v>
      </c>
      <c r="AS15" s="11">
        <f>VLOOKUP(YEAR(CurrentMtgRatesDataTable8711121314[[#This Row],[asofdate]]),OriginationVolume!$A:$N,12,FALSE)</f>
        <v>7.3359073359073365E-2</v>
      </c>
      <c r="AT15" s="11">
        <f>VLOOKUP(YEAR(CurrentMtgRatesDataTable8711121314[[#This Row],[asofdate]]),OriginationVolume!$A:$N,13,FALSE)</f>
        <v>0.20849420849420849</v>
      </c>
      <c r="AU1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AW15" s="7" t="s">
        <v>44</v>
      </c>
      <c r="AX15" s="10">
        <v>83527000</v>
      </c>
      <c r="AY15" s="31"/>
      <c r="BA15" s="7" t="s">
        <v>44</v>
      </c>
      <c r="BB15" s="10">
        <v>27390000</v>
      </c>
      <c r="BC15" s="31"/>
      <c r="BE15" s="7" t="s">
        <v>44</v>
      </c>
      <c r="BF15" s="10">
        <v>1997909919.6700001</v>
      </c>
      <c r="BG15" s="34"/>
      <c r="BI15" s="7" t="s">
        <v>44</v>
      </c>
      <c r="BJ15" s="10">
        <v>1886992919.6700001</v>
      </c>
      <c r="BK15" s="34" t="str">
        <f>YEAR(CurrentMtgRatesDataTable871112131417[[#This Row],[asofdate]])&amp;"-"&amp;MONTH(CurrentMtgRatesDataTable871112131417[[#This Row],[asofdate]])</f>
        <v>2004-3</v>
      </c>
      <c r="BL15" s="34">
        <f>CurrentMtgRatesDataTable871112131417[[#This Row],[SeriesNumValue]]</f>
        <v>1886992919.6700001</v>
      </c>
      <c r="BM15" s="34">
        <f>VLOOKUP(CurrentMtgRatesDataTable871112131417[[#This Row],[asofdate]],AW:AX,2,0)</f>
        <v>83527000</v>
      </c>
      <c r="BN15" s="30">
        <f>IF(VLOOKUP(CurrentMtgRatesDataTable871112131417[[#This Row],[asofdate]],BA:BB,2,0)&lt;&gt;0,VLOOKUP(CurrentMtgRatesDataTable871112131417[[#This Row],[asofdate]],BA:BB,2,0),BN14)</f>
        <v>27390000</v>
      </c>
      <c r="BO15" s="30">
        <f>VLOOKUP(CurrentMtgRatesDataTable871112131417[[#This Row],[asofdate]],BE:BF,2,0)</f>
        <v>1997909919.6700001</v>
      </c>
    </row>
    <row r="16" spans="1:67" s="6" customFormat="1">
      <c r="A16" s="7" t="s">
        <v>45</v>
      </c>
      <c r="B16" s="10">
        <v>2.1650471804586801E-2</v>
      </c>
      <c r="C16" s="10" t="str">
        <f>YEAR(CurrentMtgRatesDataTable8[[#This Row],[asofdate]])&amp;"-"&amp;MONTH(CurrentMtgRatesDataTable8[[#This Row],[asofdate]])</f>
        <v>2004-4</v>
      </c>
      <c r="D16" s="6">
        <f>((CurrentMtgRatesDataTable8[[#This Row],[SeriesNumValue]]-$D$1)/$D$1+1)*100</f>
        <v>144.33647869724535</v>
      </c>
      <c r="I16" s="7" t="s">
        <v>21</v>
      </c>
      <c r="J16" s="10">
        <v>1.78251707128806E-2</v>
      </c>
      <c r="K16" s="10" t="str">
        <f>YEAR(CurrentMtgRatesDataTable89[[#This Row],[asofdate]])&amp;"-"&amp;MONTH(CurrentMtgRatesDataTable89[[#This Row],[asofdate]])</f>
        <v>2014-8</v>
      </c>
      <c r="L16" s="6">
        <f>((CurrentMtgRatesDataTable89[[#This Row],[SeriesNumValue]]-$D$1)/$D$1+1)*100</f>
        <v>118.83447141920401</v>
      </c>
      <c r="M16" s="6">
        <f>CurrentMtgRatesDataTable89[[#This Row],[Index]]-L17</f>
        <v>-5.0739057982933389</v>
      </c>
      <c r="P16" s="7" t="s">
        <v>45</v>
      </c>
      <c r="Q16" s="10">
        <v>9.4924068582742202E-2</v>
      </c>
      <c r="R16" s="31">
        <f>((CurrentMtgRatesDataTable8711[[#This Row],[SeriesNumValue]]-$D$1)/$D$1+1)*100</f>
        <v>632.82712388494804</v>
      </c>
      <c r="S16" s="31"/>
      <c r="U16" s="7" t="s">
        <v>45</v>
      </c>
      <c r="V16" s="10">
        <v>7.4150153276567904E-2</v>
      </c>
      <c r="W16" s="31">
        <f>((CurrentMtgRatesDataTable871112[[#This Row],[SeriesNumValue]]-$D$1)/$D$1+1)*100</f>
        <v>494.33435517711939</v>
      </c>
      <c r="X16" s="31"/>
      <c r="Z16" s="7" t="s">
        <v>45</v>
      </c>
      <c r="AA16" s="10">
        <v>2.3425347341866899E-2</v>
      </c>
      <c r="AB16" s="34">
        <f>((CurrentMtgRatesDataTable87111213[[#This Row],[SeriesNumValue]]-$D$1)/$D$1+1)*100</f>
        <v>156.16898227911267</v>
      </c>
      <c r="AC16" s="34"/>
      <c r="AE16" s="7" t="s">
        <v>45</v>
      </c>
      <c r="AF16" s="10">
        <v>2.1443810366087699E-2</v>
      </c>
      <c r="AG16" s="34">
        <f>((CurrentMtgRatesDataTable8711121314[[#This Row],[SeriesNumValue]]-$D$1)/$D$1+1)*100</f>
        <v>142.95873577391799</v>
      </c>
      <c r="AH16" s="34" t="str">
        <f>YEAR(CurrentMtgRatesDataTable8711121314[[#This Row],[asofdate]])&amp;"-"&amp;MONTH(CurrentMtgRatesDataTable8711121314[[#This Row],[asofdate]])</f>
        <v>2004-4</v>
      </c>
      <c r="AI16" s="34">
        <f>CurrentMtgRatesDataTable8711121314[[#This Row],[SeriesNumValue]]</f>
        <v>2.1443810366087699E-2</v>
      </c>
      <c r="AJ16" s="34">
        <f>VLOOKUP(CurrentMtgRatesDataTable8711121314[[#This Row],[asofdate]],P:R,2,0)</f>
        <v>9.4924068582742202E-2</v>
      </c>
      <c r="AK16" s="30">
        <f>IF(VLOOKUP(CurrentMtgRatesDataTable8711121314[[#This Row],[asofdate]],U:W,2,0)&lt;&gt;0,VLOOKUP(CurrentMtgRatesDataTable8711121314[[#This Row],[asofdate]],U:W,2,0),AK15)</f>
        <v>7.4150153276567904E-2</v>
      </c>
      <c r="AL16" s="30">
        <f>VLOOKUP(CurrentMtgRatesDataTable8711121314[[#This Row],[asofdate]],Z:AB,2,0)</f>
        <v>2.3425347341866899E-2</v>
      </c>
      <c r="AM16" s="30">
        <f>CurrentMtgRatesDataTable8711121314[[#This Row],[FHA]]+0.5*CurrentMtgRatesDataTable8711121314[[#This Row],[Conventional]]</f>
        <v>0.10564597376578605</v>
      </c>
      <c r="AN16" s="30">
        <f>2*CurrentMtgRatesDataTable8711121314[[#This Row],[FHA]]</f>
        <v>0.1898481371654844</v>
      </c>
      <c r="AO16" s="11">
        <f>VLOOKUP(YEAR(CurrentMtgRatesDataTable8711121314[[#This Row],[asofdate]]),OriginationVolume!$A:$N,8,FALSE)</f>
        <v>0.46718146718146719</v>
      </c>
      <c r="AP16" s="11">
        <f>VLOOKUP(YEAR(CurrentMtgRatesDataTable8711121314[[#This Row],[asofdate]]),OriginationVolume!$A:$N,9,FALSE)</f>
        <v>1.3030888030888031E-2</v>
      </c>
      <c r="AQ16" s="11">
        <f>VLOOKUP(YEAR(CurrentMtgRatesDataTable8711121314[[#This Row],[asofdate]]),OriginationVolume!$A:$N,10,FALSE)</f>
        <v>3.9092664092664091E-2</v>
      </c>
      <c r="AR16" s="11">
        <f>VLOOKUP(YEAR(CurrentMtgRatesDataTable8711121314[[#This Row],[asofdate]]),OriginationVolume!$A:$N,11,FALSE)</f>
        <v>0.19884169884169883</v>
      </c>
      <c r="AS16" s="11">
        <f>VLOOKUP(YEAR(CurrentMtgRatesDataTable8711121314[[#This Row],[asofdate]]),OriginationVolume!$A:$N,12,FALSE)</f>
        <v>7.3359073359073365E-2</v>
      </c>
      <c r="AT16" s="11">
        <f>VLOOKUP(YEAR(CurrentMtgRatesDataTable8711121314[[#This Row],[asofdate]]),OriginationVolume!$A:$N,13,FALSE)</f>
        <v>0.20849420849420849</v>
      </c>
      <c r="AU1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AW16" s="7" t="s">
        <v>45</v>
      </c>
      <c r="AX16" s="10">
        <v>98131000</v>
      </c>
      <c r="AY16" s="31"/>
      <c r="BA16" s="7" t="s">
        <v>45</v>
      </c>
      <c r="BB16" s="10">
        <v>34406000</v>
      </c>
      <c r="BC16" s="31"/>
      <c r="BE16" s="7" t="s">
        <v>45</v>
      </c>
      <c r="BF16" s="10">
        <v>2247482214.3499999</v>
      </c>
      <c r="BG16" s="34"/>
      <c r="BI16" s="7" t="s">
        <v>45</v>
      </c>
      <c r="BJ16" s="10">
        <v>2114945214.3499999</v>
      </c>
      <c r="BK16" s="34" t="str">
        <f>YEAR(CurrentMtgRatesDataTable871112131417[[#This Row],[asofdate]])&amp;"-"&amp;MONTH(CurrentMtgRatesDataTable871112131417[[#This Row],[asofdate]])</f>
        <v>2004-4</v>
      </c>
      <c r="BL16" s="34">
        <f>CurrentMtgRatesDataTable871112131417[[#This Row],[SeriesNumValue]]</f>
        <v>2114945214.3499999</v>
      </c>
      <c r="BM16" s="34">
        <f>VLOOKUP(CurrentMtgRatesDataTable871112131417[[#This Row],[asofdate]],AW:AX,2,0)</f>
        <v>98131000</v>
      </c>
      <c r="BN16" s="30">
        <f>IF(VLOOKUP(CurrentMtgRatesDataTable871112131417[[#This Row],[asofdate]],BA:BB,2,0)&lt;&gt;0,VLOOKUP(CurrentMtgRatesDataTable871112131417[[#This Row],[asofdate]],BA:BB,2,0),BN15)</f>
        <v>34406000</v>
      </c>
      <c r="BO16" s="30">
        <f>VLOOKUP(CurrentMtgRatesDataTable871112131417[[#This Row],[asofdate]],BE:BF,2,0)</f>
        <v>2247482214.3499999</v>
      </c>
    </row>
    <row r="17" spans="1:67" s="6" customFormat="1">
      <c r="A17" s="7" t="s">
        <v>46</v>
      </c>
      <c r="B17" s="10">
        <v>2.1269141510104499E-2</v>
      </c>
      <c r="C17" s="10" t="str">
        <f>YEAR(CurrentMtgRatesDataTable8[[#This Row],[asofdate]])&amp;"-"&amp;MONTH(CurrentMtgRatesDataTable8[[#This Row],[asofdate]])</f>
        <v>2004-5</v>
      </c>
      <c r="D17" s="6">
        <f>((CurrentMtgRatesDataTable8[[#This Row],[SeriesNumValue]]-$D$1)/$D$1+1)*100</f>
        <v>141.79427673403001</v>
      </c>
      <c r="I17" s="7" t="s">
        <v>13</v>
      </c>
      <c r="J17" s="10">
        <v>1.85862565826246E-2</v>
      </c>
      <c r="K17" s="10" t="str">
        <f>YEAR(CurrentMtgRatesDataTable89[[#This Row],[asofdate]])&amp;"-"&amp;MONTH(CurrentMtgRatesDataTable89[[#This Row],[asofdate]])</f>
        <v>2014-7</v>
      </c>
      <c r="L17" s="6">
        <f>((CurrentMtgRatesDataTable89[[#This Row],[SeriesNumValue]]-$D$1)/$D$1+1)*100</f>
        <v>123.90837721749735</v>
      </c>
      <c r="M17" s="6">
        <f>CurrentMtgRatesDataTable89[[#This Row],[Index]]-L18</f>
        <v>3.3578951789013445</v>
      </c>
      <c r="P17" s="7" t="s">
        <v>46</v>
      </c>
      <c r="Q17" s="10">
        <v>9.9504059217308802E-2</v>
      </c>
      <c r="R17" s="31">
        <f>((CurrentMtgRatesDataTable8711[[#This Row],[SeriesNumValue]]-$D$1)/$D$1+1)*100</f>
        <v>663.36039478205873</v>
      </c>
      <c r="S17" s="31"/>
      <c r="U17" s="7" t="s">
        <v>46</v>
      </c>
      <c r="V17" s="10">
        <v>8.2929537204315798E-2</v>
      </c>
      <c r="W17" s="31">
        <f>((CurrentMtgRatesDataTable871112[[#This Row],[SeriesNumValue]]-$D$1)/$D$1+1)*100</f>
        <v>552.86358136210538</v>
      </c>
      <c r="X17" s="31"/>
      <c r="Z17" s="7" t="s">
        <v>46</v>
      </c>
      <c r="AA17" s="10">
        <v>2.3397774141078201E-2</v>
      </c>
      <c r="AB17" s="34">
        <f>((CurrentMtgRatesDataTable87111213[[#This Row],[SeriesNumValue]]-$D$1)/$D$1+1)*100</f>
        <v>155.98516094052135</v>
      </c>
      <c r="AC17" s="34"/>
      <c r="AE17" s="7" t="s">
        <v>46</v>
      </c>
      <c r="AF17" s="10">
        <v>2.1497562705386799E-2</v>
      </c>
      <c r="AG17" s="34">
        <f>((CurrentMtgRatesDataTable8711121314[[#This Row],[SeriesNumValue]]-$D$1)/$D$1+1)*100</f>
        <v>143.31708470257865</v>
      </c>
      <c r="AH17" s="34" t="str">
        <f>YEAR(CurrentMtgRatesDataTable8711121314[[#This Row],[asofdate]])&amp;"-"&amp;MONTH(CurrentMtgRatesDataTable8711121314[[#This Row],[asofdate]])</f>
        <v>2004-5</v>
      </c>
      <c r="AI17" s="34">
        <f>CurrentMtgRatesDataTable8711121314[[#This Row],[SeriesNumValue]]</f>
        <v>2.1497562705386799E-2</v>
      </c>
      <c r="AJ17" s="34">
        <f>VLOOKUP(CurrentMtgRatesDataTable8711121314[[#This Row],[asofdate]],P:R,2,0)</f>
        <v>9.9504059217308802E-2</v>
      </c>
      <c r="AK17" s="30">
        <f>IF(VLOOKUP(CurrentMtgRatesDataTable8711121314[[#This Row],[asofdate]],U:W,2,0)&lt;&gt;0,VLOOKUP(CurrentMtgRatesDataTable8711121314[[#This Row],[asofdate]],U:W,2,0),AK16)</f>
        <v>8.2929537204315798E-2</v>
      </c>
      <c r="AL17" s="30">
        <f>VLOOKUP(CurrentMtgRatesDataTable8711121314[[#This Row],[asofdate]],Z:AB,2,0)</f>
        <v>2.3397774141078201E-2</v>
      </c>
      <c r="AM17" s="30">
        <f>CurrentMtgRatesDataTable8711121314[[#This Row],[FHA]]+0.5*CurrentMtgRatesDataTable8711121314[[#This Row],[Conventional]]</f>
        <v>0.1102528405700022</v>
      </c>
      <c r="AN17" s="30">
        <f>2*CurrentMtgRatesDataTable8711121314[[#This Row],[FHA]]</f>
        <v>0.1990081184346176</v>
      </c>
      <c r="AO17" s="11">
        <f>VLOOKUP(YEAR(CurrentMtgRatesDataTable8711121314[[#This Row],[asofdate]]),OriginationVolume!$A:$N,8,FALSE)</f>
        <v>0.46718146718146719</v>
      </c>
      <c r="AP17" s="11">
        <f>VLOOKUP(YEAR(CurrentMtgRatesDataTable8711121314[[#This Row],[asofdate]]),OriginationVolume!$A:$N,9,FALSE)</f>
        <v>1.3030888030888031E-2</v>
      </c>
      <c r="AQ17" s="11">
        <f>VLOOKUP(YEAR(CurrentMtgRatesDataTable8711121314[[#This Row],[asofdate]]),OriginationVolume!$A:$N,10,FALSE)</f>
        <v>3.9092664092664091E-2</v>
      </c>
      <c r="AR17" s="11">
        <f>VLOOKUP(YEAR(CurrentMtgRatesDataTable8711121314[[#This Row],[asofdate]]),OriginationVolume!$A:$N,11,FALSE)</f>
        <v>0.19884169884169883</v>
      </c>
      <c r="AS17" s="11">
        <f>VLOOKUP(YEAR(CurrentMtgRatesDataTable8711121314[[#This Row],[asofdate]]),OriginationVolume!$A:$N,12,FALSE)</f>
        <v>7.3359073359073365E-2</v>
      </c>
      <c r="AT17" s="11">
        <f>VLOOKUP(YEAR(CurrentMtgRatesDataTable8711121314[[#This Row],[asofdate]]),OriginationVolume!$A:$N,13,FALSE)</f>
        <v>0.20849420849420849</v>
      </c>
      <c r="AU1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AW17" s="7" t="s">
        <v>46</v>
      </c>
      <c r="AX17" s="10">
        <v>122977000</v>
      </c>
      <c r="AY17" s="31"/>
      <c r="BA17" s="7" t="s">
        <v>46</v>
      </c>
      <c r="BB17" s="10">
        <v>44050000</v>
      </c>
      <c r="BC17" s="31"/>
      <c r="BE17" s="7" t="s">
        <v>46</v>
      </c>
      <c r="BF17" s="10">
        <v>3122723942.98</v>
      </c>
      <c r="BG17" s="34"/>
      <c r="BI17" s="7" t="s">
        <v>46</v>
      </c>
      <c r="BJ17" s="10">
        <v>2955696942.98</v>
      </c>
      <c r="BK17" s="34" t="str">
        <f>YEAR(CurrentMtgRatesDataTable871112131417[[#This Row],[asofdate]])&amp;"-"&amp;MONTH(CurrentMtgRatesDataTable871112131417[[#This Row],[asofdate]])</f>
        <v>2004-5</v>
      </c>
      <c r="BL17" s="34">
        <f>CurrentMtgRatesDataTable871112131417[[#This Row],[SeriesNumValue]]</f>
        <v>2955696942.98</v>
      </c>
      <c r="BM17" s="34">
        <f>VLOOKUP(CurrentMtgRatesDataTable871112131417[[#This Row],[asofdate]],AW:AX,2,0)</f>
        <v>122977000</v>
      </c>
      <c r="BN17" s="30">
        <f>IF(VLOOKUP(CurrentMtgRatesDataTable871112131417[[#This Row],[asofdate]],BA:BB,2,0)&lt;&gt;0,VLOOKUP(CurrentMtgRatesDataTable871112131417[[#This Row],[asofdate]],BA:BB,2,0),BN16)</f>
        <v>44050000</v>
      </c>
      <c r="BO17" s="30">
        <f>VLOOKUP(CurrentMtgRatesDataTable871112131417[[#This Row],[asofdate]],BE:BF,2,0)</f>
        <v>3122723942.98</v>
      </c>
    </row>
    <row r="18" spans="1:67" s="6" customFormat="1">
      <c r="A18" s="7" t="s">
        <v>47</v>
      </c>
      <c r="B18" s="10">
        <v>1.73385755493809E-2</v>
      </c>
      <c r="C18" s="10" t="str">
        <f>YEAR(CurrentMtgRatesDataTable8[[#This Row],[asofdate]])&amp;"-"&amp;MONTH(CurrentMtgRatesDataTable8[[#This Row],[asofdate]])</f>
        <v>2004-6</v>
      </c>
      <c r="D18" s="6">
        <f>((CurrentMtgRatesDataTable8[[#This Row],[SeriesNumValue]]-$D$1)/$D$1+1)*100</f>
        <v>115.59050366253933</v>
      </c>
      <c r="I18" s="7" t="s">
        <v>152</v>
      </c>
      <c r="J18" s="10">
        <v>1.8082572305789399E-2</v>
      </c>
      <c r="K18" s="10" t="str">
        <f>YEAR(CurrentMtgRatesDataTable89[[#This Row],[asofdate]])&amp;"-"&amp;MONTH(CurrentMtgRatesDataTable89[[#This Row],[asofdate]])</f>
        <v>2014-6</v>
      </c>
      <c r="L18" s="6">
        <f>((CurrentMtgRatesDataTable89[[#This Row],[SeriesNumValue]]-$D$1)/$D$1+1)*100</f>
        <v>120.550482038596</v>
      </c>
      <c r="M18" s="6">
        <f>CurrentMtgRatesDataTable89[[#This Row],[Index]]-L19</f>
        <v>6.4953799493753053</v>
      </c>
      <c r="P18" s="7" t="s">
        <v>47</v>
      </c>
      <c r="Q18" s="10">
        <v>8.4638727196081204E-2</v>
      </c>
      <c r="R18" s="31">
        <f>((CurrentMtgRatesDataTable8711[[#This Row],[SeriesNumValue]]-$D$1)/$D$1+1)*100</f>
        <v>564.25818130720802</v>
      </c>
      <c r="S18" s="31"/>
      <c r="U18" s="7" t="s">
        <v>47</v>
      </c>
      <c r="V18" s="10">
        <v>7.4392139597998494E-2</v>
      </c>
      <c r="W18" s="31">
        <f>((CurrentMtgRatesDataTable871112[[#This Row],[SeriesNumValue]]-$D$1)/$D$1+1)*100</f>
        <v>495.94759731998994</v>
      </c>
      <c r="X18" s="31"/>
      <c r="Z18" s="7" t="s">
        <v>47</v>
      </c>
      <c r="AA18" s="10">
        <v>1.9155079692861201E-2</v>
      </c>
      <c r="AB18" s="34">
        <f>((CurrentMtgRatesDataTable87111213[[#This Row],[SeriesNumValue]]-$D$1)/$D$1+1)*100</f>
        <v>127.70053128574135</v>
      </c>
      <c r="AC18" s="34"/>
      <c r="AE18" s="7" t="s">
        <v>47</v>
      </c>
      <c r="AF18" s="10">
        <v>1.74296567987994E-2</v>
      </c>
      <c r="AG18" s="34">
        <f>((CurrentMtgRatesDataTable8711121314[[#This Row],[SeriesNumValue]]-$D$1)/$D$1+1)*100</f>
        <v>116.197711991996</v>
      </c>
      <c r="AH18" s="34" t="str">
        <f>YEAR(CurrentMtgRatesDataTable8711121314[[#This Row],[asofdate]])&amp;"-"&amp;MONTH(CurrentMtgRatesDataTable8711121314[[#This Row],[asofdate]])</f>
        <v>2004-6</v>
      </c>
      <c r="AI18" s="34">
        <f>CurrentMtgRatesDataTable8711121314[[#This Row],[SeriesNumValue]]</f>
        <v>1.74296567987994E-2</v>
      </c>
      <c r="AJ18" s="34">
        <f>VLOOKUP(CurrentMtgRatesDataTable8711121314[[#This Row],[asofdate]],P:R,2,0)</f>
        <v>8.4638727196081204E-2</v>
      </c>
      <c r="AK18" s="30">
        <f>IF(VLOOKUP(CurrentMtgRatesDataTable8711121314[[#This Row],[asofdate]],U:W,2,0)&lt;&gt;0,VLOOKUP(CurrentMtgRatesDataTable8711121314[[#This Row],[asofdate]],U:W,2,0),AK17)</f>
        <v>7.4392139597998494E-2</v>
      </c>
      <c r="AL18" s="30">
        <f>VLOOKUP(CurrentMtgRatesDataTable8711121314[[#This Row],[asofdate]],Z:AB,2,0)</f>
        <v>1.9155079692861201E-2</v>
      </c>
      <c r="AM18" s="30">
        <f>CurrentMtgRatesDataTable8711121314[[#This Row],[FHA]]+0.5*CurrentMtgRatesDataTable8711121314[[#This Row],[Conventional]]</f>
        <v>9.3353555595480905E-2</v>
      </c>
      <c r="AN18" s="30">
        <f>2*CurrentMtgRatesDataTable8711121314[[#This Row],[FHA]]</f>
        <v>0.16927745439216241</v>
      </c>
      <c r="AO18" s="11">
        <f>VLOOKUP(YEAR(CurrentMtgRatesDataTable8711121314[[#This Row],[asofdate]]),OriginationVolume!$A:$N,8,FALSE)</f>
        <v>0.46718146718146719</v>
      </c>
      <c r="AP18" s="11">
        <f>VLOOKUP(YEAR(CurrentMtgRatesDataTable8711121314[[#This Row],[asofdate]]),OriginationVolume!$A:$N,9,FALSE)</f>
        <v>1.3030888030888031E-2</v>
      </c>
      <c r="AQ18" s="11">
        <f>VLOOKUP(YEAR(CurrentMtgRatesDataTable8711121314[[#This Row],[asofdate]]),OriginationVolume!$A:$N,10,FALSE)</f>
        <v>3.9092664092664091E-2</v>
      </c>
      <c r="AR18" s="11">
        <f>VLOOKUP(YEAR(CurrentMtgRatesDataTable8711121314[[#This Row],[asofdate]]),OriginationVolume!$A:$N,11,FALSE)</f>
        <v>0.19884169884169883</v>
      </c>
      <c r="AS18" s="11">
        <f>VLOOKUP(YEAR(CurrentMtgRatesDataTable8711121314[[#This Row],[asofdate]]),OriginationVolume!$A:$N,12,FALSE)</f>
        <v>7.3359073359073365E-2</v>
      </c>
      <c r="AT18" s="11">
        <f>VLOOKUP(YEAR(CurrentMtgRatesDataTable8711121314[[#This Row],[asofdate]]),OriginationVolume!$A:$N,13,FALSE)</f>
        <v>0.20849420849420849</v>
      </c>
      <c r="AU1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AW18" s="7" t="s">
        <v>47</v>
      </c>
      <c r="AX18" s="10">
        <v>145698000</v>
      </c>
      <c r="AY18" s="31"/>
      <c r="BA18" s="7" t="s">
        <v>47</v>
      </c>
      <c r="BB18" s="10">
        <v>46729000</v>
      </c>
      <c r="BC18" s="31"/>
      <c r="BE18" s="7" t="s">
        <v>47</v>
      </c>
      <c r="BF18" s="10">
        <v>3327289540.4099998</v>
      </c>
      <c r="BG18" s="34"/>
      <c r="BI18" s="7" t="s">
        <v>47</v>
      </c>
      <c r="BJ18" s="10">
        <v>3134862540.4099998</v>
      </c>
      <c r="BK18" s="34" t="str">
        <f>YEAR(CurrentMtgRatesDataTable871112131417[[#This Row],[asofdate]])&amp;"-"&amp;MONTH(CurrentMtgRatesDataTable871112131417[[#This Row],[asofdate]])</f>
        <v>2004-6</v>
      </c>
      <c r="BL18" s="34">
        <f>CurrentMtgRatesDataTable871112131417[[#This Row],[SeriesNumValue]]</f>
        <v>3134862540.4099998</v>
      </c>
      <c r="BM18" s="34">
        <f>VLOOKUP(CurrentMtgRatesDataTable871112131417[[#This Row],[asofdate]],AW:AX,2,0)</f>
        <v>145698000</v>
      </c>
      <c r="BN18" s="30">
        <f>IF(VLOOKUP(CurrentMtgRatesDataTable871112131417[[#This Row],[asofdate]],BA:BB,2,0)&lt;&gt;0,VLOOKUP(CurrentMtgRatesDataTable871112131417[[#This Row],[asofdate]],BA:BB,2,0),BN17)</f>
        <v>46729000</v>
      </c>
      <c r="BO18" s="30">
        <f>VLOOKUP(CurrentMtgRatesDataTable871112131417[[#This Row],[asofdate]],BE:BF,2,0)</f>
        <v>3327289540.4099998</v>
      </c>
    </row>
    <row r="19" spans="1:67" s="6" customFormat="1">
      <c r="A19" s="7" t="s">
        <v>48</v>
      </c>
      <c r="B19" s="10">
        <v>1.72832740779441E-2</v>
      </c>
      <c r="C19" s="10" t="str">
        <f>YEAR(CurrentMtgRatesDataTable8[[#This Row],[asofdate]])&amp;"-"&amp;MONTH(CurrentMtgRatesDataTable8[[#This Row],[asofdate]])</f>
        <v>2004-7</v>
      </c>
      <c r="D19" s="6">
        <f>((CurrentMtgRatesDataTable8[[#This Row],[SeriesNumValue]]-$D$1)/$D$1+1)*100</f>
        <v>115.22182718629401</v>
      </c>
      <c r="I19" s="7" t="s">
        <v>24</v>
      </c>
      <c r="J19" s="10">
        <v>1.7108265313383102E-2</v>
      </c>
      <c r="K19" s="10" t="str">
        <f>YEAR(CurrentMtgRatesDataTable89[[#This Row],[asofdate]])&amp;"-"&amp;MONTH(CurrentMtgRatesDataTable89[[#This Row],[asofdate]])</f>
        <v>2014-5</v>
      </c>
      <c r="L19" s="6">
        <f>((CurrentMtgRatesDataTable89[[#This Row],[SeriesNumValue]]-$D$1)/$D$1+1)*100</f>
        <v>114.0551020892207</v>
      </c>
      <c r="M19" s="6">
        <f>CurrentMtgRatesDataTable89[[#This Row],[Index]]-L20</f>
        <v>-1.784567474295315</v>
      </c>
      <c r="P19" s="7" t="s">
        <v>48</v>
      </c>
      <c r="Q19" s="10">
        <v>7.7886223139598698E-2</v>
      </c>
      <c r="R19" s="31">
        <f>((CurrentMtgRatesDataTable8711[[#This Row],[SeriesNumValue]]-$D$1)/$D$1+1)*100</f>
        <v>519.24148759732475</v>
      </c>
      <c r="S19" s="31"/>
      <c r="U19" s="7" t="s">
        <v>48</v>
      </c>
      <c r="V19" s="10">
        <v>6.5266934728069798E-2</v>
      </c>
      <c r="W19" s="31">
        <f>((CurrentMtgRatesDataTable871112[[#This Row],[SeriesNumValue]]-$D$1)/$D$1+1)*100</f>
        <v>435.11289818713192</v>
      </c>
      <c r="X19" s="31"/>
      <c r="Z19" s="7" t="s">
        <v>48</v>
      </c>
      <c r="AA19" s="10">
        <v>1.8822606569101501E-2</v>
      </c>
      <c r="AB19" s="34">
        <f>((CurrentMtgRatesDataTable87111213[[#This Row],[SeriesNumValue]]-$D$1)/$D$1+1)*100</f>
        <v>125.48404379401002</v>
      </c>
      <c r="AC19" s="34"/>
      <c r="AE19" s="7" t="s">
        <v>48</v>
      </c>
      <c r="AF19" s="10">
        <v>1.71623636029434E-2</v>
      </c>
      <c r="AG19" s="34">
        <f>((CurrentMtgRatesDataTable8711121314[[#This Row],[SeriesNumValue]]-$D$1)/$D$1+1)*100</f>
        <v>114.41575735295602</v>
      </c>
      <c r="AH19" s="34" t="str">
        <f>YEAR(CurrentMtgRatesDataTable8711121314[[#This Row],[asofdate]])&amp;"-"&amp;MONTH(CurrentMtgRatesDataTable8711121314[[#This Row],[asofdate]])</f>
        <v>2004-7</v>
      </c>
      <c r="AI19" s="34">
        <f>CurrentMtgRatesDataTable8711121314[[#This Row],[SeriesNumValue]]</f>
        <v>1.71623636029434E-2</v>
      </c>
      <c r="AJ19" s="34">
        <f>VLOOKUP(CurrentMtgRatesDataTable8711121314[[#This Row],[asofdate]],P:R,2,0)</f>
        <v>7.7886223139598698E-2</v>
      </c>
      <c r="AK19" s="30">
        <f>IF(VLOOKUP(CurrentMtgRatesDataTable8711121314[[#This Row],[asofdate]],U:W,2,0)&lt;&gt;0,VLOOKUP(CurrentMtgRatesDataTable8711121314[[#This Row],[asofdate]],U:W,2,0),AK18)</f>
        <v>6.5266934728069798E-2</v>
      </c>
      <c r="AL19" s="30">
        <f>VLOOKUP(CurrentMtgRatesDataTable8711121314[[#This Row],[asofdate]],Z:AB,2,0)</f>
        <v>1.8822606569101501E-2</v>
      </c>
      <c r="AM19" s="30">
        <f>CurrentMtgRatesDataTable8711121314[[#This Row],[FHA]]+0.5*CurrentMtgRatesDataTable8711121314[[#This Row],[Conventional]]</f>
        <v>8.64674049410704E-2</v>
      </c>
      <c r="AN19" s="30">
        <f>2*CurrentMtgRatesDataTable8711121314[[#This Row],[FHA]]</f>
        <v>0.1557724462791974</v>
      </c>
      <c r="AO19" s="11">
        <f>VLOOKUP(YEAR(CurrentMtgRatesDataTable8711121314[[#This Row],[asofdate]]),OriginationVolume!$A:$N,8,FALSE)</f>
        <v>0.46718146718146719</v>
      </c>
      <c r="AP19" s="11">
        <f>VLOOKUP(YEAR(CurrentMtgRatesDataTable8711121314[[#This Row],[asofdate]]),OriginationVolume!$A:$N,9,FALSE)</f>
        <v>1.3030888030888031E-2</v>
      </c>
      <c r="AQ19" s="11">
        <f>VLOOKUP(YEAR(CurrentMtgRatesDataTable8711121314[[#This Row],[asofdate]]),OriginationVolume!$A:$N,10,FALSE)</f>
        <v>3.9092664092664091E-2</v>
      </c>
      <c r="AR19" s="11">
        <f>VLOOKUP(YEAR(CurrentMtgRatesDataTable8711121314[[#This Row],[asofdate]]),OriginationVolume!$A:$N,11,FALSE)</f>
        <v>0.19884169884169883</v>
      </c>
      <c r="AS19" s="11">
        <f>VLOOKUP(YEAR(CurrentMtgRatesDataTable8711121314[[#This Row],[asofdate]]),OriginationVolume!$A:$N,12,FALSE)</f>
        <v>7.3359073359073365E-2</v>
      </c>
      <c r="AT19" s="11">
        <f>VLOOKUP(YEAR(CurrentMtgRatesDataTable8711121314[[#This Row],[asofdate]]),OriginationVolume!$A:$N,13,FALSE)</f>
        <v>0.20849420849420849</v>
      </c>
      <c r="AU1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AW19" s="7" t="s">
        <v>48</v>
      </c>
      <c r="AX19" s="10">
        <v>127438000</v>
      </c>
      <c r="AY19" s="31"/>
      <c r="BA19" s="7" t="s">
        <v>48</v>
      </c>
      <c r="BB19" s="10">
        <v>36444000</v>
      </c>
      <c r="BC19" s="31"/>
      <c r="BE19" s="7" t="s">
        <v>48</v>
      </c>
      <c r="BF19" s="10">
        <v>2747560879.1900001</v>
      </c>
      <c r="BG19" s="34"/>
      <c r="BI19" s="7" t="s">
        <v>48</v>
      </c>
      <c r="BJ19" s="10">
        <v>2583678879.1900001</v>
      </c>
      <c r="BK19" s="34" t="str">
        <f>YEAR(CurrentMtgRatesDataTable871112131417[[#This Row],[asofdate]])&amp;"-"&amp;MONTH(CurrentMtgRatesDataTable871112131417[[#This Row],[asofdate]])</f>
        <v>2004-7</v>
      </c>
      <c r="BL19" s="34">
        <f>CurrentMtgRatesDataTable871112131417[[#This Row],[SeriesNumValue]]</f>
        <v>2583678879.1900001</v>
      </c>
      <c r="BM19" s="34">
        <f>VLOOKUP(CurrentMtgRatesDataTable871112131417[[#This Row],[asofdate]],AW:AX,2,0)</f>
        <v>127438000</v>
      </c>
      <c r="BN19" s="30">
        <f>IF(VLOOKUP(CurrentMtgRatesDataTable871112131417[[#This Row],[asofdate]],BA:BB,2,0)&lt;&gt;0,VLOOKUP(CurrentMtgRatesDataTable871112131417[[#This Row],[asofdate]],BA:BB,2,0),BN18)</f>
        <v>36444000</v>
      </c>
      <c r="BO19" s="30">
        <f>VLOOKUP(CurrentMtgRatesDataTable871112131417[[#This Row],[asofdate]],BE:BF,2,0)</f>
        <v>2747560879.1900001</v>
      </c>
    </row>
    <row r="20" spans="1:67" s="6" customFormat="1">
      <c r="A20" s="7" t="s">
        <v>49</v>
      </c>
      <c r="B20" s="10">
        <v>2.0860951056748501E-2</v>
      </c>
      <c r="C20" s="10" t="str">
        <f>YEAR(CurrentMtgRatesDataTable8[[#This Row],[asofdate]])&amp;"-"&amp;MONTH(CurrentMtgRatesDataTable8[[#This Row],[asofdate]])</f>
        <v>2004-8</v>
      </c>
      <c r="D20" s="6">
        <f>((CurrentMtgRatesDataTable8[[#This Row],[SeriesNumValue]]-$D$1)/$D$1+1)*100</f>
        <v>139.07300704499002</v>
      </c>
      <c r="I20" s="7" t="s">
        <v>12</v>
      </c>
      <c r="J20" s="10">
        <v>1.7375950434527401E-2</v>
      </c>
      <c r="K20" s="10" t="str">
        <f>YEAR(CurrentMtgRatesDataTable89[[#This Row],[asofdate]])&amp;"-"&amp;MONTH(CurrentMtgRatesDataTable89[[#This Row],[asofdate]])</f>
        <v>2014-4</v>
      </c>
      <c r="L20" s="6">
        <f>((CurrentMtgRatesDataTable89[[#This Row],[SeriesNumValue]]-$D$1)/$D$1+1)*100</f>
        <v>115.83966956351601</v>
      </c>
      <c r="M20" s="6">
        <f>CurrentMtgRatesDataTable89[[#This Row],[Index]]-L21</f>
        <v>3.274574689758694</v>
      </c>
      <c r="P20" s="7" t="s">
        <v>49</v>
      </c>
      <c r="Q20" s="10">
        <v>9.0779477365927799E-2</v>
      </c>
      <c r="R20" s="31">
        <f>((CurrentMtgRatesDataTable8711[[#This Row],[SeriesNumValue]]-$D$1)/$D$1+1)*100</f>
        <v>605.19651577285197</v>
      </c>
      <c r="S20" s="31"/>
      <c r="U20" s="7" t="s">
        <v>49</v>
      </c>
      <c r="V20" s="10">
        <v>6.6895577239321505E-2</v>
      </c>
      <c r="W20" s="31">
        <f>((CurrentMtgRatesDataTable871112[[#This Row],[SeriesNumValue]]-$D$1)/$D$1+1)*100</f>
        <v>445.97051492881008</v>
      </c>
      <c r="X20" s="31"/>
      <c r="Z20" s="7" t="s">
        <v>49</v>
      </c>
      <c r="AA20" s="10">
        <v>2.2441121105814602E-2</v>
      </c>
      <c r="AB20" s="34">
        <f>((CurrentMtgRatesDataTable87111213[[#This Row],[SeriesNumValue]]-$D$1)/$D$1+1)*100</f>
        <v>149.60747403876402</v>
      </c>
      <c r="AC20" s="34"/>
      <c r="AE20" s="7" t="s">
        <v>49</v>
      </c>
      <c r="AF20" s="10">
        <v>2.0583368674609099E-2</v>
      </c>
      <c r="AG20" s="34">
        <f>((CurrentMtgRatesDataTable8711121314[[#This Row],[SeriesNumValue]]-$D$1)/$D$1+1)*100</f>
        <v>137.22245783072734</v>
      </c>
      <c r="AH20" s="34" t="str">
        <f>YEAR(CurrentMtgRatesDataTable8711121314[[#This Row],[asofdate]])&amp;"-"&amp;MONTH(CurrentMtgRatesDataTable8711121314[[#This Row],[asofdate]])</f>
        <v>2004-8</v>
      </c>
      <c r="AI20" s="34">
        <f>CurrentMtgRatesDataTable8711121314[[#This Row],[SeriesNumValue]]</f>
        <v>2.0583368674609099E-2</v>
      </c>
      <c r="AJ20" s="34">
        <f>VLOOKUP(CurrentMtgRatesDataTable8711121314[[#This Row],[asofdate]],P:R,2,0)</f>
        <v>9.0779477365927799E-2</v>
      </c>
      <c r="AK20" s="30">
        <f>IF(VLOOKUP(CurrentMtgRatesDataTable8711121314[[#This Row],[asofdate]],U:W,2,0)&lt;&gt;0,VLOOKUP(CurrentMtgRatesDataTable8711121314[[#This Row],[asofdate]],U:W,2,0),AK19)</f>
        <v>6.6895577239321505E-2</v>
      </c>
      <c r="AL20" s="30">
        <f>VLOOKUP(CurrentMtgRatesDataTable8711121314[[#This Row],[asofdate]],Z:AB,2,0)</f>
        <v>2.2441121105814602E-2</v>
      </c>
      <c r="AM20" s="30">
        <f>CurrentMtgRatesDataTable8711121314[[#This Row],[FHA]]+0.5*CurrentMtgRatesDataTable8711121314[[#This Row],[Conventional]]</f>
        <v>0.10107116170323235</v>
      </c>
      <c r="AN20" s="30">
        <f>2*CurrentMtgRatesDataTable8711121314[[#This Row],[FHA]]</f>
        <v>0.1815589547318556</v>
      </c>
      <c r="AO20" s="11">
        <f>VLOOKUP(YEAR(CurrentMtgRatesDataTable8711121314[[#This Row],[asofdate]]),OriginationVolume!$A:$N,8,FALSE)</f>
        <v>0.46718146718146719</v>
      </c>
      <c r="AP20" s="11">
        <f>VLOOKUP(YEAR(CurrentMtgRatesDataTable8711121314[[#This Row],[asofdate]]),OriginationVolume!$A:$N,9,FALSE)</f>
        <v>1.3030888030888031E-2</v>
      </c>
      <c r="AQ20" s="11">
        <f>VLOOKUP(YEAR(CurrentMtgRatesDataTable8711121314[[#This Row],[asofdate]]),OriginationVolume!$A:$N,10,FALSE)</f>
        <v>3.9092664092664091E-2</v>
      </c>
      <c r="AR20" s="11">
        <f>VLOOKUP(YEAR(CurrentMtgRatesDataTable8711121314[[#This Row],[asofdate]]),OriginationVolume!$A:$N,11,FALSE)</f>
        <v>0.19884169884169883</v>
      </c>
      <c r="AS20" s="11">
        <f>VLOOKUP(YEAR(CurrentMtgRatesDataTable8711121314[[#This Row],[asofdate]]),OriginationVolume!$A:$N,12,FALSE)</f>
        <v>7.3359073359073365E-2</v>
      </c>
      <c r="AT20" s="11">
        <f>VLOOKUP(YEAR(CurrentMtgRatesDataTable8711121314[[#This Row],[asofdate]]),OriginationVolume!$A:$N,13,FALSE)</f>
        <v>0.20849420849420849</v>
      </c>
      <c r="AU2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AW20" s="7" t="s">
        <v>49</v>
      </c>
      <c r="AX20" s="10">
        <v>114120000</v>
      </c>
      <c r="AY20" s="31"/>
      <c r="BA20" s="7" t="s">
        <v>49</v>
      </c>
      <c r="BB20" s="10">
        <v>30085000</v>
      </c>
      <c r="BC20" s="31"/>
      <c r="BE20" s="7" t="s">
        <v>49</v>
      </c>
      <c r="BF20" s="10">
        <v>2488610613.04</v>
      </c>
      <c r="BG20" s="34"/>
      <c r="BI20" s="7" t="s">
        <v>49</v>
      </c>
      <c r="BJ20" s="10">
        <v>2344405613.04</v>
      </c>
      <c r="BK20" s="34" t="str">
        <f>YEAR(CurrentMtgRatesDataTable871112131417[[#This Row],[asofdate]])&amp;"-"&amp;MONTH(CurrentMtgRatesDataTable871112131417[[#This Row],[asofdate]])</f>
        <v>2004-8</v>
      </c>
      <c r="BL20" s="34">
        <f>CurrentMtgRatesDataTable871112131417[[#This Row],[SeriesNumValue]]</f>
        <v>2344405613.04</v>
      </c>
      <c r="BM20" s="34">
        <f>VLOOKUP(CurrentMtgRatesDataTable871112131417[[#This Row],[asofdate]],AW:AX,2,0)</f>
        <v>114120000</v>
      </c>
      <c r="BN20" s="30">
        <f>IF(VLOOKUP(CurrentMtgRatesDataTable871112131417[[#This Row],[asofdate]],BA:BB,2,0)&lt;&gt;0,VLOOKUP(CurrentMtgRatesDataTable871112131417[[#This Row],[asofdate]],BA:BB,2,0),BN19)</f>
        <v>30085000</v>
      </c>
      <c r="BO20" s="30">
        <f>VLOOKUP(CurrentMtgRatesDataTable871112131417[[#This Row],[asofdate]],BE:BF,2,0)</f>
        <v>2488610613.04</v>
      </c>
    </row>
    <row r="21" spans="1:67" s="6" customFormat="1">
      <c r="A21" s="7" t="s">
        <v>50</v>
      </c>
      <c r="B21" s="10">
        <v>2.3219619060123198E-2</v>
      </c>
      <c r="C21" s="10" t="str">
        <f>YEAR(CurrentMtgRatesDataTable8[[#This Row],[asofdate]])&amp;"-"&amp;MONTH(CurrentMtgRatesDataTable8[[#This Row],[asofdate]])</f>
        <v>2004-9</v>
      </c>
      <c r="D21" s="6">
        <f>((CurrentMtgRatesDataTable8[[#This Row],[SeriesNumValue]]-$D$1)/$D$1+1)*100</f>
        <v>154.79746040082131</v>
      </c>
      <c r="I21" s="7" t="s">
        <v>151</v>
      </c>
      <c r="J21" s="10">
        <v>1.6884764231063599E-2</v>
      </c>
      <c r="K21" s="10" t="str">
        <f>YEAR(CurrentMtgRatesDataTable89[[#This Row],[asofdate]])&amp;"-"&amp;MONTH(CurrentMtgRatesDataTable89[[#This Row],[asofdate]])</f>
        <v>2014-3</v>
      </c>
      <c r="L21" s="6">
        <f>((CurrentMtgRatesDataTable89[[#This Row],[SeriesNumValue]]-$D$1)/$D$1+1)*100</f>
        <v>112.56509487375732</v>
      </c>
      <c r="M21" s="6">
        <f>CurrentMtgRatesDataTable89[[#This Row],[Index]]-L22</f>
        <v>9.1220866186693144</v>
      </c>
      <c r="P21" s="7" t="s">
        <v>50</v>
      </c>
      <c r="Q21" s="10">
        <v>9.7491194732257994E-2</v>
      </c>
      <c r="R21" s="31">
        <f>((CurrentMtgRatesDataTable8711[[#This Row],[SeriesNumValue]]-$D$1)/$D$1+1)*100</f>
        <v>649.94129821505328</v>
      </c>
      <c r="S21" s="31"/>
      <c r="U21" s="7" t="s">
        <v>50</v>
      </c>
      <c r="V21" s="10">
        <v>8.3094273500979796E-2</v>
      </c>
      <c r="W21" s="31">
        <f>((CurrentMtgRatesDataTable871112[[#This Row],[SeriesNumValue]]-$D$1)/$D$1+1)*100</f>
        <v>553.9618233398653</v>
      </c>
      <c r="X21" s="31"/>
      <c r="Z21" s="7" t="s">
        <v>50</v>
      </c>
      <c r="AA21" s="10">
        <v>2.4949522689313199E-2</v>
      </c>
      <c r="AB21" s="34">
        <f>((CurrentMtgRatesDataTable87111213[[#This Row],[SeriesNumValue]]-$D$1)/$D$1+1)*100</f>
        <v>166.33015126208801</v>
      </c>
      <c r="AC21" s="34"/>
      <c r="AE21" s="7" t="s">
        <v>50</v>
      </c>
      <c r="AF21" s="10">
        <v>2.3047577050655299E-2</v>
      </c>
      <c r="AG21" s="34">
        <f>((CurrentMtgRatesDataTable8711121314[[#This Row],[SeriesNumValue]]-$D$1)/$D$1+1)*100</f>
        <v>153.65051367103533</v>
      </c>
      <c r="AH21" s="34" t="str">
        <f>YEAR(CurrentMtgRatesDataTable8711121314[[#This Row],[asofdate]])&amp;"-"&amp;MONTH(CurrentMtgRatesDataTable8711121314[[#This Row],[asofdate]])</f>
        <v>2004-9</v>
      </c>
      <c r="AI21" s="34">
        <f>CurrentMtgRatesDataTable8711121314[[#This Row],[SeriesNumValue]]</f>
        <v>2.3047577050655299E-2</v>
      </c>
      <c r="AJ21" s="34">
        <f>VLOOKUP(CurrentMtgRatesDataTable8711121314[[#This Row],[asofdate]],P:R,2,0)</f>
        <v>9.7491194732257994E-2</v>
      </c>
      <c r="AK21" s="30">
        <f>IF(VLOOKUP(CurrentMtgRatesDataTable8711121314[[#This Row],[asofdate]],U:W,2,0)&lt;&gt;0,VLOOKUP(CurrentMtgRatesDataTable8711121314[[#This Row],[asofdate]],U:W,2,0),AK20)</f>
        <v>8.3094273500979796E-2</v>
      </c>
      <c r="AL21" s="30">
        <f>VLOOKUP(CurrentMtgRatesDataTable8711121314[[#This Row],[asofdate]],Z:AB,2,0)</f>
        <v>2.4949522689313199E-2</v>
      </c>
      <c r="AM21" s="30">
        <f>CurrentMtgRatesDataTable8711121314[[#This Row],[FHA]]+0.5*CurrentMtgRatesDataTable8711121314[[#This Row],[Conventional]]</f>
        <v>0.10901498325758564</v>
      </c>
      <c r="AN21" s="30">
        <f>2*CurrentMtgRatesDataTable8711121314[[#This Row],[FHA]]</f>
        <v>0.19498238946451599</v>
      </c>
      <c r="AO21" s="11">
        <f>VLOOKUP(YEAR(CurrentMtgRatesDataTable8711121314[[#This Row],[asofdate]]),OriginationVolume!$A:$N,8,FALSE)</f>
        <v>0.46718146718146719</v>
      </c>
      <c r="AP21" s="11">
        <f>VLOOKUP(YEAR(CurrentMtgRatesDataTable8711121314[[#This Row],[asofdate]]),OriginationVolume!$A:$N,9,FALSE)</f>
        <v>1.3030888030888031E-2</v>
      </c>
      <c r="AQ21" s="11">
        <f>VLOOKUP(YEAR(CurrentMtgRatesDataTable8711121314[[#This Row],[asofdate]]),OriginationVolume!$A:$N,10,FALSE)</f>
        <v>3.9092664092664091E-2</v>
      </c>
      <c r="AR21" s="11">
        <f>VLOOKUP(YEAR(CurrentMtgRatesDataTable8711121314[[#This Row],[asofdate]]),OriginationVolume!$A:$N,11,FALSE)</f>
        <v>0.19884169884169883</v>
      </c>
      <c r="AS21" s="11">
        <f>VLOOKUP(YEAR(CurrentMtgRatesDataTable8711121314[[#This Row],[asofdate]]),OriginationVolume!$A:$N,12,FALSE)</f>
        <v>7.3359073359073365E-2</v>
      </c>
      <c r="AT21" s="11">
        <f>VLOOKUP(YEAR(CurrentMtgRatesDataTable8711121314[[#This Row],[asofdate]]),OriginationVolume!$A:$N,13,FALSE)</f>
        <v>0.20849420849420849</v>
      </c>
      <c r="AU2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AW21" s="7" t="s">
        <v>50</v>
      </c>
      <c r="AX21" s="10">
        <v>101391000</v>
      </c>
      <c r="AY21" s="31"/>
      <c r="BA21" s="7" t="s">
        <v>50</v>
      </c>
      <c r="BB21" s="10">
        <v>32534000</v>
      </c>
      <c r="BC21" s="31"/>
      <c r="BE21" s="7" t="s">
        <v>50</v>
      </c>
      <c r="BF21" s="10">
        <v>2501128882.71</v>
      </c>
      <c r="BG21" s="34"/>
      <c r="BI21" s="7" t="s">
        <v>50</v>
      </c>
      <c r="BJ21" s="10">
        <v>2367203882.71</v>
      </c>
      <c r="BK21" s="34" t="str">
        <f>YEAR(CurrentMtgRatesDataTable871112131417[[#This Row],[asofdate]])&amp;"-"&amp;MONTH(CurrentMtgRatesDataTable871112131417[[#This Row],[asofdate]])</f>
        <v>2004-9</v>
      </c>
      <c r="BL21" s="34">
        <f>CurrentMtgRatesDataTable871112131417[[#This Row],[SeriesNumValue]]</f>
        <v>2367203882.71</v>
      </c>
      <c r="BM21" s="34">
        <f>VLOOKUP(CurrentMtgRatesDataTable871112131417[[#This Row],[asofdate]],AW:AX,2,0)</f>
        <v>101391000</v>
      </c>
      <c r="BN21" s="30">
        <f>IF(VLOOKUP(CurrentMtgRatesDataTable871112131417[[#This Row],[asofdate]],BA:BB,2,0)&lt;&gt;0,VLOOKUP(CurrentMtgRatesDataTable871112131417[[#This Row],[asofdate]],BA:BB,2,0),BN20)</f>
        <v>32534000</v>
      </c>
      <c r="BO21" s="30">
        <f>VLOOKUP(CurrentMtgRatesDataTable871112131417[[#This Row],[asofdate]],BE:BF,2,0)</f>
        <v>2501128882.71</v>
      </c>
    </row>
    <row r="22" spans="1:67" s="6" customFormat="1">
      <c r="A22" s="7" t="s">
        <v>51</v>
      </c>
      <c r="B22" s="10">
        <v>2.25309271196323E-2</v>
      </c>
      <c r="C22" s="10" t="str">
        <f>YEAR(CurrentMtgRatesDataTable8[[#This Row],[asofdate]])&amp;"-"&amp;MONTH(CurrentMtgRatesDataTable8[[#This Row],[asofdate]])</f>
        <v>2004-10</v>
      </c>
      <c r="D22" s="6">
        <f>((CurrentMtgRatesDataTable8[[#This Row],[SeriesNumValue]]-$D$1)/$D$1+1)*100</f>
        <v>150.20618079754868</v>
      </c>
      <c r="I22" s="7" t="s">
        <v>150</v>
      </c>
      <c r="J22" s="10">
        <v>1.55164512382632E-2</v>
      </c>
      <c r="K22" s="10" t="str">
        <f>YEAR(CurrentMtgRatesDataTable89[[#This Row],[asofdate]])&amp;"-"&amp;MONTH(CurrentMtgRatesDataTable89[[#This Row],[asofdate]])</f>
        <v>2014-2</v>
      </c>
      <c r="L22" s="6">
        <f>((CurrentMtgRatesDataTable89[[#This Row],[SeriesNumValue]]-$D$1)/$D$1+1)*100</f>
        <v>103.443008255088</v>
      </c>
      <c r="M22" s="6">
        <f>CurrentMtgRatesDataTable89[[#This Row],[Index]]-L23</f>
        <v>-1.2115632664313551</v>
      </c>
      <c r="P22" s="7" t="s">
        <v>51</v>
      </c>
      <c r="Q22" s="10">
        <v>9.4413817020581894E-2</v>
      </c>
      <c r="R22" s="31">
        <f>((CurrentMtgRatesDataTable8711[[#This Row],[SeriesNumValue]]-$D$1)/$D$1+1)*100</f>
        <v>629.42544680387925</v>
      </c>
      <c r="S22" s="31"/>
      <c r="U22" s="7" t="s">
        <v>51</v>
      </c>
      <c r="V22" s="10">
        <v>8.1387626202597499E-2</v>
      </c>
      <c r="W22" s="31">
        <f>((CurrentMtgRatesDataTable871112[[#This Row],[SeriesNumValue]]-$D$1)/$D$1+1)*100</f>
        <v>542.58417468398341</v>
      </c>
      <c r="X22" s="31"/>
      <c r="Z22" s="7" t="s">
        <v>51</v>
      </c>
      <c r="AA22" s="10">
        <v>2.3952750069844202E-2</v>
      </c>
      <c r="AB22" s="34">
        <f>((CurrentMtgRatesDataTable87111213[[#This Row],[SeriesNumValue]]-$D$1)/$D$1+1)*100</f>
        <v>159.68500046562801</v>
      </c>
      <c r="AC22" s="34"/>
      <c r="AE22" s="7" t="s">
        <v>51</v>
      </c>
      <c r="AF22" s="10">
        <v>2.23860040024676E-2</v>
      </c>
      <c r="AG22" s="34">
        <f>((CurrentMtgRatesDataTable8711121314[[#This Row],[SeriesNumValue]]-$D$1)/$D$1+1)*100</f>
        <v>149.24002668311732</v>
      </c>
      <c r="AH22" s="34" t="str">
        <f>YEAR(CurrentMtgRatesDataTable8711121314[[#This Row],[asofdate]])&amp;"-"&amp;MONTH(CurrentMtgRatesDataTable8711121314[[#This Row],[asofdate]])</f>
        <v>2004-10</v>
      </c>
      <c r="AI22" s="34">
        <f>CurrentMtgRatesDataTable8711121314[[#This Row],[SeriesNumValue]]</f>
        <v>2.23860040024676E-2</v>
      </c>
      <c r="AJ22" s="34">
        <f>VLOOKUP(CurrentMtgRatesDataTable8711121314[[#This Row],[asofdate]],P:R,2,0)</f>
        <v>9.4413817020581894E-2</v>
      </c>
      <c r="AK22" s="30">
        <f>IF(VLOOKUP(CurrentMtgRatesDataTable8711121314[[#This Row],[asofdate]],U:W,2,0)&lt;&gt;0,VLOOKUP(CurrentMtgRatesDataTable8711121314[[#This Row],[asofdate]],U:W,2,0),AK21)</f>
        <v>8.1387626202597499E-2</v>
      </c>
      <c r="AL22" s="30">
        <f>VLOOKUP(CurrentMtgRatesDataTable8711121314[[#This Row],[asofdate]],Z:AB,2,0)</f>
        <v>2.3952750069844202E-2</v>
      </c>
      <c r="AM22" s="30">
        <f>CurrentMtgRatesDataTable8711121314[[#This Row],[FHA]]+0.5*CurrentMtgRatesDataTable8711121314[[#This Row],[Conventional]]</f>
        <v>0.10560681902181569</v>
      </c>
      <c r="AN22" s="30">
        <f>2*CurrentMtgRatesDataTable8711121314[[#This Row],[FHA]]</f>
        <v>0.18882763404116379</v>
      </c>
      <c r="AO22" s="11">
        <f>VLOOKUP(YEAR(CurrentMtgRatesDataTable8711121314[[#This Row],[asofdate]]),OriginationVolume!$A:$N,8,FALSE)</f>
        <v>0.46718146718146719</v>
      </c>
      <c r="AP22" s="11">
        <f>VLOOKUP(YEAR(CurrentMtgRatesDataTable8711121314[[#This Row],[asofdate]]),OriginationVolume!$A:$N,9,FALSE)</f>
        <v>1.3030888030888031E-2</v>
      </c>
      <c r="AQ22" s="11">
        <f>VLOOKUP(YEAR(CurrentMtgRatesDataTable8711121314[[#This Row],[asofdate]]),OriginationVolume!$A:$N,10,FALSE)</f>
        <v>3.9092664092664091E-2</v>
      </c>
      <c r="AR22" s="11">
        <f>VLOOKUP(YEAR(CurrentMtgRatesDataTable8711121314[[#This Row],[asofdate]]),OriginationVolume!$A:$N,11,FALSE)</f>
        <v>0.19884169884169883</v>
      </c>
      <c r="AS22" s="11">
        <f>VLOOKUP(YEAR(CurrentMtgRatesDataTable8711121314[[#This Row],[asofdate]]),OriginationVolume!$A:$N,12,FALSE)</f>
        <v>7.3359073359073365E-2</v>
      </c>
      <c r="AT22" s="11">
        <f>VLOOKUP(YEAR(CurrentMtgRatesDataTable8711121314[[#This Row],[asofdate]]),OriginationVolume!$A:$N,13,FALSE)</f>
        <v>0.20849420849420849</v>
      </c>
      <c r="AU2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AW22" s="7" t="s">
        <v>51</v>
      </c>
      <c r="AX22" s="10">
        <v>96928000</v>
      </c>
      <c r="AY22" s="31"/>
      <c r="BA22" s="7" t="s">
        <v>51</v>
      </c>
      <c r="BB22" s="10">
        <v>35548000</v>
      </c>
      <c r="BC22" s="31"/>
      <c r="BE22" s="7" t="s">
        <v>51</v>
      </c>
      <c r="BF22" s="10">
        <v>2895188458.04</v>
      </c>
      <c r="BG22" s="34"/>
      <c r="BI22" s="7" t="s">
        <v>51</v>
      </c>
      <c r="BJ22" s="10">
        <v>2762712458.04</v>
      </c>
      <c r="BK22" s="34" t="str">
        <f>YEAR(CurrentMtgRatesDataTable871112131417[[#This Row],[asofdate]])&amp;"-"&amp;MONTH(CurrentMtgRatesDataTable871112131417[[#This Row],[asofdate]])</f>
        <v>2004-10</v>
      </c>
      <c r="BL22" s="34">
        <f>CurrentMtgRatesDataTable871112131417[[#This Row],[SeriesNumValue]]</f>
        <v>2762712458.04</v>
      </c>
      <c r="BM22" s="34">
        <f>VLOOKUP(CurrentMtgRatesDataTable871112131417[[#This Row],[asofdate]],AW:AX,2,0)</f>
        <v>96928000</v>
      </c>
      <c r="BN22" s="30">
        <f>IF(VLOOKUP(CurrentMtgRatesDataTable871112131417[[#This Row],[asofdate]],BA:BB,2,0)&lt;&gt;0,VLOOKUP(CurrentMtgRatesDataTable871112131417[[#This Row],[asofdate]],BA:BB,2,0),BN21)</f>
        <v>35548000</v>
      </c>
      <c r="BO22" s="30">
        <f>VLOOKUP(CurrentMtgRatesDataTable871112131417[[#This Row],[asofdate]],BE:BF,2,0)</f>
        <v>2895188458.04</v>
      </c>
    </row>
    <row r="23" spans="1:67" s="6" customFormat="1">
      <c r="A23" s="7" t="s">
        <v>52</v>
      </c>
      <c r="B23" s="10">
        <v>2.18945118890157E-2</v>
      </c>
      <c r="C23" s="10" t="str">
        <f>YEAR(CurrentMtgRatesDataTable8[[#This Row],[asofdate]])&amp;"-"&amp;MONTH(CurrentMtgRatesDataTable8[[#This Row],[asofdate]])</f>
        <v>2004-11</v>
      </c>
      <c r="D23" s="6">
        <f>((CurrentMtgRatesDataTable8[[#This Row],[SeriesNumValue]]-$D$1)/$D$1+1)*100</f>
        <v>145.96341259343802</v>
      </c>
      <c r="I23" s="7" t="s">
        <v>149</v>
      </c>
      <c r="J23" s="10">
        <v>1.5698185728227902E-2</v>
      </c>
      <c r="K23" s="10" t="str">
        <f>YEAR(CurrentMtgRatesDataTable89[[#This Row],[asofdate]])&amp;"-"&amp;MONTH(CurrentMtgRatesDataTable89[[#This Row],[asofdate]])</f>
        <v>2014-1</v>
      </c>
      <c r="L23" s="6">
        <f>((CurrentMtgRatesDataTable89[[#This Row],[SeriesNumValue]]-$D$1)/$D$1+1)*100</f>
        <v>104.65457152151936</v>
      </c>
      <c r="M23" s="6">
        <f>CurrentMtgRatesDataTable89[[#This Row],[Index]]-L24</f>
        <v>-11.380634707621311</v>
      </c>
      <c r="P23" s="7" t="s">
        <v>52</v>
      </c>
      <c r="Q23" s="10">
        <v>9.8333062406187999E-2</v>
      </c>
      <c r="R23" s="31">
        <f>((CurrentMtgRatesDataTable8711[[#This Row],[SeriesNumValue]]-$D$1)/$D$1+1)*100</f>
        <v>655.55374937458669</v>
      </c>
      <c r="S23" s="31"/>
      <c r="U23" s="7" t="s">
        <v>52</v>
      </c>
      <c r="V23" s="10">
        <v>8.7159265808458106E-2</v>
      </c>
      <c r="W23" s="31">
        <f>((CurrentMtgRatesDataTable871112[[#This Row],[SeriesNumValue]]-$D$1)/$D$1+1)*100</f>
        <v>581.06177205638744</v>
      </c>
      <c r="X23" s="31"/>
      <c r="Z23" s="7" t="s">
        <v>52</v>
      </c>
      <c r="AA23" s="10">
        <v>2.3429669392828301E-2</v>
      </c>
      <c r="AB23" s="34">
        <f>((CurrentMtgRatesDataTable87111213[[#This Row],[SeriesNumValue]]-$D$1)/$D$1+1)*100</f>
        <v>156.19779595218867</v>
      </c>
      <c r="AC23" s="34"/>
      <c r="AE23" s="7" t="s">
        <v>52</v>
      </c>
      <c r="AF23" s="10">
        <v>2.1779564208262402E-2</v>
      </c>
      <c r="AG23" s="34">
        <f>((CurrentMtgRatesDataTable8711121314[[#This Row],[SeriesNumValue]]-$D$1)/$D$1+1)*100</f>
        <v>145.19709472174935</v>
      </c>
      <c r="AH23" s="34" t="str">
        <f>YEAR(CurrentMtgRatesDataTable8711121314[[#This Row],[asofdate]])&amp;"-"&amp;MONTH(CurrentMtgRatesDataTable8711121314[[#This Row],[asofdate]])</f>
        <v>2004-11</v>
      </c>
      <c r="AI23" s="34">
        <f>CurrentMtgRatesDataTable8711121314[[#This Row],[SeriesNumValue]]</f>
        <v>2.1779564208262402E-2</v>
      </c>
      <c r="AJ23" s="34">
        <f>VLOOKUP(CurrentMtgRatesDataTable8711121314[[#This Row],[asofdate]],P:R,2,0)</f>
        <v>9.8333062406187999E-2</v>
      </c>
      <c r="AK23" s="30">
        <f>IF(VLOOKUP(CurrentMtgRatesDataTable8711121314[[#This Row],[asofdate]],U:W,2,0)&lt;&gt;0,VLOOKUP(CurrentMtgRatesDataTable8711121314[[#This Row],[asofdate]],U:W,2,0),AK22)</f>
        <v>8.7159265808458106E-2</v>
      </c>
      <c r="AL23" s="30">
        <f>VLOOKUP(CurrentMtgRatesDataTable8711121314[[#This Row],[asofdate]],Z:AB,2,0)</f>
        <v>2.3429669392828301E-2</v>
      </c>
      <c r="AM23" s="30">
        <f>CurrentMtgRatesDataTable8711121314[[#This Row],[FHA]]+0.5*CurrentMtgRatesDataTable8711121314[[#This Row],[Conventional]]</f>
        <v>0.1092228445103192</v>
      </c>
      <c r="AN23" s="30">
        <f>2*CurrentMtgRatesDataTable8711121314[[#This Row],[FHA]]</f>
        <v>0.196666124812376</v>
      </c>
      <c r="AO23" s="11">
        <f>VLOOKUP(YEAR(CurrentMtgRatesDataTable8711121314[[#This Row],[asofdate]]),OriginationVolume!$A:$N,8,FALSE)</f>
        <v>0.46718146718146719</v>
      </c>
      <c r="AP23" s="11">
        <f>VLOOKUP(YEAR(CurrentMtgRatesDataTable8711121314[[#This Row],[asofdate]]),OriginationVolume!$A:$N,9,FALSE)</f>
        <v>1.3030888030888031E-2</v>
      </c>
      <c r="AQ23" s="11">
        <f>VLOOKUP(YEAR(CurrentMtgRatesDataTable8711121314[[#This Row],[asofdate]]),OriginationVolume!$A:$N,10,FALSE)</f>
        <v>3.9092664092664091E-2</v>
      </c>
      <c r="AR23" s="11">
        <f>VLOOKUP(YEAR(CurrentMtgRatesDataTable8711121314[[#This Row],[asofdate]]),OriginationVolume!$A:$N,11,FALSE)</f>
        <v>0.19884169884169883</v>
      </c>
      <c r="AS23" s="11">
        <f>VLOOKUP(YEAR(CurrentMtgRatesDataTable8711121314[[#This Row],[asofdate]]),OriginationVolume!$A:$N,12,FALSE)</f>
        <v>7.3359073359073365E-2</v>
      </c>
      <c r="AT23" s="11">
        <f>VLOOKUP(YEAR(CurrentMtgRatesDataTable8711121314[[#This Row],[asofdate]]),OriginationVolume!$A:$N,13,FALSE)</f>
        <v>0.20849420849420849</v>
      </c>
      <c r="AU2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AW23" s="7" t="s">
        <v>52</v>
      </c>
      <c r="AX23" s="10">
        <v>95506000</v>
      </c>
      <c r="AY23" s="31"/>
      <c r="BA23" s="7" t="s">
        <v>52</v>
      </c>
      <c r="BB23" s="10">
        <v>36358000</v>
      </c>
      <c r="BC23" s="31"/>
      <c r="BE23" s="7" t="s">
        <v>52</v>
      </c>
      <c r="BF23" s="10">
        <v>2838671852.71</v>
      </c>
      <c r="BG23" s="34"/>
      <c r="BI23" s="7" t="s">
        <v>52</v>
      </c>
      <c r="BJ23" s="10">
        <v>2706807852.71</v>
      </c>
      <c r="BK23" s="34" t="str">
        <f>YEAR(CurrentMtgRatesDataTable871112131417[[#This Row],[asofdate]])&amp;"-"&amp;MONTH(CurrentMtgRatesDataTable871112131417[[#This Row],[asofdate]])</f>
        <v>2004-11</v>
      </c>
      <c r="BL23" s="34">
        <f>CurrentMtgRatesDataTable871112131417[[#This Row],[SeriesNumValue]]</f>
        <v>2706807852.71</v>
      </c>
      <c r="BM23" s="34">
        <f>VLOOKUP(CurrentMtgRatesDataTable871112131417[[#This Row],[asofdate]],AW:AX,2,0)</f>
        <v>95506000</v>
      </c>
      <c r="BN23" s="30">
        <f>IF(VLOOKUP(CurrentMtgRatesDataTable871112131417[[#This Row],[asofdate]],BA:BB,2,0)&lt;&gt;0,VLOOKUP(CurrentMtgRatesDataTable871112131417[[#This Row],[asofdate]],BA:BB,2,0),BN22)</f>
        <v>36358000</v>
      </c>
      <c r="BO23" s="30">
        <f>VLOOKUP(CurrentMtgRatesDataTable871112131417[[#This Row],[asofdate]],BE:BF,2,0)</f>
        <v>2838671852.71</v>
      </c>
    </row>
    <row r="24" spans="1:67" s="6" customFormat="1">
      <c r="A24" s="7" t="s">
        <v>53</v>
      </c>
      <c r="B24" s="10">
        <v>2.11726953585613E-2</v>
      </c>
      <c r="C24" s="10" t="str">
        <f>YEAR(CurrentMtgRatesDataTable8[[#This Row],[asofdate]])&amp;"-"&amp;MONTH(CurrentMtgRatesDataTable8[[#This Row],[asofdate]])</f>
        <v>2004-12</v>
      </c>
      <c r="D24" s="6">
        <f>((CurrentMtgRatesDataTable8[[#This Row],[SeriesNumValue]]-$D$1)/$D$1+1)*100</f>
        <v>141.15130239040866</v>
      </c>
      <c r="I24" s="7" t="s">
        <v>148</v>
      </c>
      <c r="J24" s="10">
        <v>1.74052809343711E-2</v>
      </c>
      <c r="K24" s="10" t="str">
        <f>YEAR(CurrentMtgRatesDataTable89[[#This Row],[asofdate]])&amp;"-"&amp;MONTH(CurrentMtgRatesDataTable89[[#This Row],[asofdate]])</f>
        <v>2013-12</v>
      </c>
      <c r="L24" s="6">
        <f>((CurrentMtgRatesDataTable89[[#This Row],[SeriesNumValue]]-$D$1)/$D$1+1)*100</f>
        <v>116.03520622914067</v>
      </c>
      <c r="M24" s="6">
        <f>CurrentMtgRatesDataTable89[[#This Row],[Index]]-L25</f>
        <v>5.3555640954860024</v>
      </c>
      <c r="P24" s="7" t="s">
        <v>53</v>
      </c>
      <c r="Q24" s="10">
        <v>9.2820204237606396E-2</v>
      </c>
      <c r="R24" s="31">
        <f>((CurrentMtgRatesDataTable8711[[#This Row],[SeriesNumValue]]-$D$1)/$D$1+1)*100</f>
        <v>618.80136158404264</v>
      </c>
      <c r="S24" s="31"/>
      <c r="U24" s="7" t="s">
        <v>53</v>
      </c>
      <c r="V24" s="10">
        <v>7.2886696269449006E-2</v>
      </c>
      <c r="W24" s="31">
        <f>((CurrentMtgRatesDataTable871112[[#This Row],[SeriesNumValue]]-$D$1)/$D$1+1)*100</f>
        <v>485.91130846299342</v>
      </c>
      <c r="X24" s="31"/>
      <c r="Z24" s="7" t="s">
        <v>53</v>
      </c>
      <c r="AA24" s="10">
        <v>2.2795679799247098E-2</v>
      </c>
      <c r="AB24" s="34">
        <f>((CurrentMtgRatesDataTable87111213[[#This Row],[SeriesNumValue]]-$D$1)/$D$1+1)*100</f>
        <v>151.97119866164735</v>
      </c>
      <c r="AC24" s="34"/>
      <c r="AE24" s="7" t="s">
        <v>53</v>
      </c>
      <c r="AF24" s="10">
        <v>2.1090668706571499E-2</v>
      </c>
      <c r="AG24" s="34">
        <f>((CurrentMtgRatesDataTable8711121314[[#This Row],[SeriesNumValue]]-$D$1)/$D$1+1)*100</f>
        <v>140.60445804380998</v>
      </c>
      <c r="AH24" s="34" t="str">
        <f>YEAR(CurrentMtgRatesDataTable8711121314[[#This Row],[asofdate]])&amp;"-"&amp;MONTH(CurrentMtgRatesDataTable8711121314[[#This Row],[asofdate]])</f>
        <v>2004-12</v>
      </c>
      <c r="AI24" s="34">
        <f>CurrentMtgRatesDataTable8711121314[[#This Row],[SeriesNumValue]]</f>
        <v>2.1090668706571499E-2</v>
      </c>
      <c r="AJ24" s="34">
        <f>VLOOKUP(CurrentMtgRatesDataTable8711121314[[#This Row],[asofdate]],P:R,2,0)</f>
        <v>9.2820204237606396E-2</v>
      </c>
      <c r="AK24" s="30">
        <f>IF(VLOOKUP(CurrentMtgRatesDataTable8711121314[[#This Row],[asofdate]],U:W,2,0)&lt;&gt;0,VLOOKUP(CurrentMtgRatesDataTable8711121314[[#This Row],[asofdate]],U:W,2,0),AK23)</f>
        <v>7.2886696269449006E-2</v>
      </c>
      <c r="AL24" s="30">
        <f>VLOOKUP(CurrentMtgRatesDataTable8711121314[[#This Row],[asofdate]],Z:AB,2,0)</f>
        <v>2.2795679799247098E-2</v>
      </c>
      <c r="AM24" s="30">
        <f>CurrentMtgRatesDataTable8711121314[[#This Row],[FHA]]+0.5*CurrentMtgRatesDataTable8711121314[[#This Row],[Conventional]]</f>
        <v>0.10336553859089215</v>
      </c>
      <c r="AN24" s="30">
        <f>2*CurrentMtgRatesDataTable8711121314[[#This Row],[FHA]]</f>
        <v>0.18564040847521279</v>
      </c>
      <c r="AO24" s="11">
        <f>VLOOKUP(YEAR(CurrentMtgRatesDataTable8711121314[[#This Row],[asofdate]]),OriginationVolume!$A:$N,8,FALSE)</f>
        <v>0.46718146718146719</v>
      </c>
      <c r="AP24" s="11">
        <f>VLOOKUP(YEAR(CurrentMtgRatesDataTable8711121314[[#This Row],[asofdate]]),OriginationVolume!$A:$N,9,FALSE)</f>
        <v>1.3030888030888031E-2</v>
      </c>
      <c r="AQ24" s="11">
        <f>VLOOKUP(YEAR(CurrentMtgRatesDataTable8711121314[[#This Row],[asofdate]]),OriginationVolume!$A:$N,10,FALSE)</f>
        <v>3.9092664092664091E-2</v>
      </c>
      <c r="AR24" s="11">
        <f>VLOOKUP(YEAR(CurrentMtgRatesDataTable8711121314[[#This Row],[asofdate]]),OriginationVolume!$A:$N,11,FALSE)</f>
        <v>0.19884169884169883</v>
      </c>
      <c r="AS24" s="11">
        <f>VLOOKUP(YEAR(CurrentMtgRatesDataTable8711121314[[#This Row],[asofdate]]),OriginationVolume!$A:$N,12,FALSE)</f>
        <v>7.3359073359073365E-2</v>
      </c>
      <c r="AT24" s="11">
        <f>VLOOKUP(YEAR(CurrentMtgRatesDataTable8711121314[[#This Row],[asofdate]]),OriginationVolume!$A:$N,13,FALSE)</f>
        <v>0.20849420849420849</v>
      </c>
      <c r="AU2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AW24" s="7" t="s">
        <v>53</v>
      </c>
      <c r="AX24" s="10">
        <v>111136000</v>
      </c>
      <c r="AY24" s="31"/>
      <c r="BA24" s="7" t="s">
        <v>53</v>
      </c>
      <c r="BB24" s="10">
        <v>44624000</v>
      </c>
      <c r="BC24" s="31"/>
      <c r="BE24" s="7" t="s">
        <v>53</v>
      </c>
      <c r="BF24" s="10">
        <v>3011468730.9099998</v>
      </c>
      <c r="BG24" s="34"/>
      <c r="BI24" s="7" t="s">
        <v>53</v>
      </c>
      <c r="BJ24" s="10">
        <v>2855708730.9099998</v>
      </c>
      <c r="BK24" s="34" t="str">
        <f>YEAR(CurrentMtgRatesDataTable871112131417[[#This Row],[asofdate]])&amp;"-"&amp;MONTH(CurrentMtgRatesDataTable871112131417[[#This Row],[asofdate]])</f>
        <v>2004-12</v>
      </c>
      <c r="BL24" s="34">
        <f>CurrentMtgRatesDataTable871112131417[[#This Row],[SeriesNumValue]]</f>
        <v>2855708730.9099998</v>
      </c>
      <c r="BM24" s="34">
        <f>VLOOKUP(CurrentMtgRatesDataTable871112131417[[#This Row],[asofdate]],AW:AX,2,0)</f>
        <v>111136000</v>
      </c>
      <c r="BN24" s="30">
        <f>IF(VLOOKUP(CurrentMtgRatesDataTable871112131417[[#This Row],[asofdate]],BA:BB,2,0)&lt;&gt;0,VLOOKUP(CurrentMtgRatesDataTable871112131417[[#This Row],[asofdate]],BA:BB,2,0),BN23)</f>
        <v>44624000</v>
      </c>
      <c r="BO24" s="30">
        <f>VLOOKUP(CurrentMtgRatesDataTable871112131417[[#This Row],[asofdate]],BE:BF,2,0)</f>
        <v>3011468730.9099998</v>
      </c>
    </row>
    <row r="25" spans="1:67" s="6" customFormat="1">
      <c r="A25" s="7" t="s">
        <v>54</v>
      </c>
      <c r="B25" s="10">
        <v>2.10460909155403E-2</v>
      </c>
      <c r="C25" s="10" t="str">
        <f>YEAR(CurrentMtgRatesDataTable8[[#This Row],[asofdate]])&amp;"-"&amp;MONTH(CurrentMtgRatesDataTable8[[#This Row],[asofdate]])</f>
        <v>2005-1</v>
      </c>
      <c r="D25" s="6">
        <f>((CurrentMtgRatesDataTable8[[#This Row],[SeriesNumValue]]-$D$1)/$D$1+1)*100</f>
        <v>140.30727277026867</v>
      </c>
      <c r="I25" s="7" t="s">
        <v>20</v>
      </c>
      <c r="J25" s="10">
        <v>1.6601946320048199E-2</v>
      </c>
      <c r="K25" s="10" t="str">
        <f>YEAR(CurrentMtgRatesDataTable89[[#This Row],[asofdate]])&amp;"-"&amp;MONTH(CurrentMtgRatesDataTable89[[#This Row],[asofdate]])</f>
        <v>2013-11</v>
      </c>
      <c r="L25" s="6">
        <f>((CurrentMtgRatesDataTable89[[#This Row],[SeriesNumValue]]-$D$1)/$D$1+1)*100</f>
        <v>110.67964213365467</v>
      </c>
      <c r="M25" s="6">
        <f>CurrentMtgRatesDataTable89[[#This Row],[Index]]-L26</f>
        <v>9.6373724019546643</v>
      </c>
      <c r="P25" s="7" t="s">
        <v>54</v>
      </c>
      <c r="Q25" s="10">
        <v>9.4900478598202095E-2</v>
      </c>
      <c r="R25" s="31">
        <f>((CurrentMtgRatesDataTable8711[[#This Row],[SeriesNumValue]]-$D$1)/$D$1+1)*100</f>
        <v>632.66985732134731</v>
      </c>
      <c r="S25" s="31"/>
      <c r="U25" s="7" t="s">
        <v>54</v>
      </c>
      <c r="V25" s="10">
        <v>7.5690097036033105E-2</v>
      </c>
      <c r="W25" s="31">
        <f>((CurrentMtgRatesDataTable871112[[#This Row],[SeriesNumValue]]-$D$1)/$D$1+1)*100</f>
        <v>504.60064690688739</v>
      </c>
      <c r="X25" s="31"/>
      <c r="Z25" s="7" t="s">
        <v>54</v>
      </c>
      <c r="AA25" s="10">
        <v>2.2697524660081202E-2</v>
      </c>
      <c r="AB25" s="34">
        <f>((CurrentMtgRatesDataTable87111213[[#This Row],[SeriesNumValue]]-$D$1)/$D$1+1)*100</f>
        <v>151.316831067208</v>
      </c>
      <c r="AC25" s="34"/>
      <c r="AE25" s="7" t="s">
        <v>54</v>
      </c>
      <c r="AF25" s="10">
        <v>2.09712423123837E-2</v>
      </c>
      <c r="AG25" s="34">
        <f>((CurrentMtgRatesDataTable8711121314[[#This Row],[SeriesNumValue]]-$D$1)/$D$1+1)*100</f>
        <v>139.80828208255801</v>
      </c>
      <c r="AH25" s="34" t="str">
        <f>YEAR(CurrentMtgRatesDataTable8711121314[[#This Row],[asofdate]])&amp;"-"&amp;MONTH(CurrentMtgRatesDataTable8711121314[[#This Row],[asofdate]])</f>
        <v>2005-1</v>
      </c>
      <c r="AI25" s="34">
        <f>CurrentMtgRatesDataTable8711121314[[#This Row],[SeriesNumValue]]</f>
        <v>2.09712423123837E-2</v>
      </c>
      <c r="AJ25" s="34">
        <f>VLOOKUP(CurrentMtgRatesDataTable8711121314[[#This Row],[asofdate]],P:R,2,0)</f>
        <v>9.4900478598202095E-2</v>
      </c>
      <c r="AK25" s="30">
        <f>IF(VLOOKUP(CurrentMtgRatesDataTable8711121314[[#This Row],[asofdate]],U:W,2,0)&lt;&gt;0,VLOOKUP(CurrentMtgRatesDataTable8711121314[[#This Row],[asofdate]],U:W,2,0),AK24)</f>
        <v>7.5690097036033105E-2</v>
      </c>
      <c r="AL25" s="30">
        <f>VLOOKUP(CurrentMtgRatesDataTable8711121314[[#This Row],[asofdate]],Z:AB,2,0)</f>
        <v>2.2697524660081202E-2</v>
      </c>
      <c r="AM25" s="30">
        <f>CurrentMtgRatesDataTable8711121314[[#This Row],[FHA]]+0.5*CurrentMtgRatesDataTable8711121314[[#This Row],[Conventional]]</f>
        <v>0.10538609975439395</v>
      </c>
      <c r="AN25" s="30">
        <f>2*CurrentMtgRatesDataTable8711121314[[#This Row],[FHA]]</f>
        <v>0.18980095719640419</v>
      </c>
      <c r="AO25" s="11">
        <f>VLOOKUP(YEAR(CurrentMtgRatesDataTable8711121314[[#This Row],[asofdate]]),OriginationVolume!$A:$N,8,FALSE)</f>
        <v>0.39564428312159711</v>
      </c>
      <c r="AP25" s="11">
        <f>VLOOKUP(YEAR(CurrentMtgRatesDataTable8711121314[[#This Row],[asofdate]]),OriginationVolume!$A:$N,9,FALSE)</f>
        <v>8.1669691470054439E-3</v>
      </c>
      <c r="AQ25" s="11">
        <f>VLOOKUP(YEAR(CurrentMtgRatesDataTable8711121314[[#This Row],[asofdate]]),OriginationVolume!$A:$N,10,FALSE)</f>
        <v>2.4500907441016333E-2</v>
      </c>
      <c r="AR25" s="11">
        <f>VLOOKUP(YEAR(CurrentMtgRatesDataTable8711121314[[#This Row],[asofdate]]),OriginationVolume!$A:$N,11,FALSE)</f>
        <v>0.20689655172413793</v>
      </c>
      <c r="AS25" s="11">
        <f>VLOOKUP(YEAR(CurrentMtgRatesDataTable8711121314[[#This Row],[asofdate]]),OriginationVolume!$A:$N,12,FALSE)</f>
        <v>0.13793103448275862</v>
      </c>
      <c r="AT25" s="11">
        <f>VLOOKUP(YEAR(CurrentMtgRatesDataTable8711121314[[#This Row],[asofdate]]),OriginationVolume!$A:$N,13,FALSE)</f>
        <v>0.22686025408348456</v>
      </c>
      <c r="AU2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AW25" s="7" t="s">
        <v>54</v>
      </c>
      <c r="AX25" s="10">
        <v>100461000</v>
      </c>
      <c r="AY25" s="31"/>
      <c r="BA25" s="7" t="s">
        <v>54</v>
      </c>
      <c r="BB25" s="10">
        <v>42826000</v>
      </c>
      <c r="BC25" s="31"/>
      <c r="BE25" s="7" t="s">
        <v>54</v>
      </c>
      <c r="BF25" s="10">
        <v>2800069561.1900001</v>
      </c>
      <c r="BG25" s="34"/>
      <c r="BI25" s="7" t="s">
        <v>54</v>
      </c>
      <c r="BJ25" s="10">
        <v>2656782561.1900001</v>
      </c>
      <c r="BK25" s="34" t="str">
        <f>YEAR(CurrentMtgRatesDataTable871112131417[[#This Row],[asofdate]])&amp;"-"&amp;MONTH(CurrentMtgRatesDataTable871112131417[[#This Row],[asofdate]])</f>
        <v>2005-1</v>
      </c>
      <c r="BL25" s="34">
        <f>CurrentMtgRatesDataTable871112131417[[#This Row],[SeriesNumValue]]</f>
        <v>2656782561.1900001</v>
      </c>
      <c r="BM25" s="34">
        <f>VLOOKUP(CurrentMtgRatesDataTable871112131417[[#This Row],[asofdate]],AW:AX,2,0)</f>
        <v>100461000</v>
      </c>
      <c r="BN25" s="30">
        <f>IF(VLOOKUP(CurrentMtgRatesDataTable871112131417[[#This Row],[asofdate]],BA:BB,2,0)&lt;&gt;0,VLOOKUP(CurrentMtgRatesDataTable871112131417[[#This Row],[asofdate]],BA:BB,2,0),BN24)</f>
        <v>42826000</v>
      </c>
      <c r="BO25" s="30">
        <f>VLOOKUP(CurrentMtgRatesDataTable871112131417[[#This Row],[asofdate]],BE:BF,2,0)</f>
        <v>2800069561.1900001</v>
      </c>
    </row>
    <row r="26" spans="1:67" s="6" customFormat="1">
      <c r="A26" s="7" t="s">
        <v>55</v>
      </c>
      <c r="B26" s="10">
        <v>2.0771989464414699E-2</v>
      </c>
      <c r="C26" s="10" t="str">
        <f>YEAR(CurrentMtgRatesDataTable8[[#This Row],[asofdate]])&amp;"-"&amp;MONTH(CurrentMtgRatesDataTable8[[#This Row],[asofdate]])</f>
        <v>2005-2</v>
      </c>
      <c r="D26" s="6">
        <f>((CurrentMtgRatesDataTable8[[#This Row],[SeriesNumValue]]-$D$1)/$D$1+1)*100</f>
        <v>138.47992976276467</v>
      </c>
      <c r="I26" s="7" t="s">
        <v>11</v>
      </c>
      <c r="J26" s="10">
        <v>1.5156340459755E-2</v>
      </c>
      <c r="K26" s="10" t="str">
        <f>YEAR(CurrentMtgRatesDataTable89[[#This Row],[asofdate]])&amp;"-"&amp;MONTH(CurrentMtgRatesDataTable89[[#This Row],[asofdate]])</f>
        <v>2013-10</v>
      </c>
      <c r="L26" s="6">
        <f>((CurrentMtgRatesDataTable89[[#This Row],[SeriesNumValue]]-$D$1)/$D$1+1)*100</f>
        <v>101.0422697317</v>
      </c>
      <c r="M26" s="6">
        <f>CurrentMtgRatesDataTable89[[#This Row],[Index]]-L27</f>
        <v>9.2525249045599907</v>
      </c>
      <c r="P26" s="7" t="s">
        <v>55</v>
      </c>
      <c r="Q26" s="10">
        <v>9.1799771417411899E-2</v>
      </c>
      <c r="R26" s="31">
        <f>((CurrentMtgRatesDataTable8711[[#This Row],[SeriesNumValue]]-$D$1)/$D$1+1)*100</f>
        <v>611.99847611607936</v>
      </c>
      <c r="S26" s="31"/>
      <c r="U26" s="7" t="s">
        <v>55</v>
      </c>
      <c r="V26" s="10">
        <v>7.5038770054298307E-2</v>
      </c>
      <c r="W26" s="31">
        <f>((CurrentMtgRatesDataTable871112[[#This Row],[SeriesNumValue]]-$D$1)/$D$1+1)*100</f>
        <v>500.25846702865539</v>
      </c>
      <c r="X26" s="31"/>
      <c r="Z26" s="7" t="s">
        <v>55</v>
      </c>
      <c r="AA26" s="10">
        <v>2.2269168090484601E-2</v>
      </c>
      <c r="AB26" s="34">
        <f>((CurrentMtgRatesDataTable87111213[[#This Row],[SeriesNumValue]]-$D$1)/$D$1+1)*100</f>
        <v>148.46112060323068</v>
      </c>
      <c r="AC26" s="34"/>
      <c r="AE26" s="7" t="s">
        <v>55</v>
      </c>
      <c r="AF26" s="10">
        <v>2.0659358627216601E-2</v>
      </c>
      <c r="AG26" s="34">
        <f>((CurrentMtgRatesDataTable8711121314[[#This Row],[SeriesNumValue]]-$D$1)/$D$1+1)*100</f>
        <v>137.72905751477734</v>
      </c>
      <c r="AH26" s="34" t="str">
        <f>YEAR(CurrentMtgRatesDataTable8711121314[[#This Row],[asofdate]])&amp;"-"&amp;MONTH(CurrentMtgRatesDataTable8711121314[[#This Row],[asofdate]])</f>
        <v>2005-2</v>
      </c>
      <c r="AI26" s="34">
        <f>CurrentMtgRatesDataTable8711121314[[#This Row],[SeriesNumValue]]</f>
        <v>2.0659358627216601E-2</v>
      </c>
      <c r="AJ26" s="34">
        <f>VLOOKUP(CurrentMtgRatesDataTable8711121314[[#This Row],[asofdate]],P:R,2,0)</f>
        <v>9.1799771417411899E-2</v>
      </c>
      <c r="AK26" s="30">
        <f>IF(VLOOKUP(CurrentMtgRatesDataTable8711121314[[#This Row],[asofdate]],U:W,2,0)&lt;&gt;0,VLOOKUP(CurrentMtgRatesDataTable8711121314[[#This Row],[asofdate]],U:W,2,0),AK25)</f>
        <v>7.5038770054298307E-2</v>
      </c>
      <c r="AL26" s="30">
        <f>VLOOKUP(CurrentMtgRatesDataTable8711121314[[#This Row],[asofdate]],Z:AB,2,0)</f>
        <v>2.2269168090484601E-2</v>
      </c>
      <c r="AM26" s="30">
        <f>CurrentMtgRatesDataTable8711121314[[#This Row],[FHA]]+0.5*CurrentMtgRatesDataTable8711121314[[#This Row],[Conventional]]</f>
        <v>0.1021294507310202</v>
      </c>
      <c r="AN26" s="30">
        <f>2*CurrentMtgRatesDataTable8711121314[[#This Row],[FHA]]</f>
        <v>0.1835995428348238</v>
      </c>
      <c r="AO26" s="11">
        <f>VLOOKUP(YEAR(CurrentMtgRatesDataTable8711121314[[#This Row],[asofdate]]),OriginationVolume!$A:$N,8,FALSE)</f>
        <v>0.39564428312159711</v>
      </c>
      <c r="AP26" s="11">
        <f>VLOOKUP(YEAR(CurrentMtgRatesDataTable8711121314[[#This Row],[asofdate]]),OriginationVolume!$A:$N,9,FALSE)</f>
        <v>8.1669691470054439E-3</v>
      </c>
      <c r="AQ26" s="11">
        <f>VLOOKUP(YEAR(CurrentMtgRatesDataTable8711121314[[#This Row],[asofdate]]),OriginationVolume!$A:$N,10,FALSE)</f>
        <v>2.4500907441016333E-2</v>
      </c>
      <c r="AR26" s="11">
        <f>VLOOKUP(YEAR(CurrentMtgRatesDataTable8711121314[[#This Row],[asofdate]]),OriginationVolume!$A:$N,11,FALSE)</f>
        <v>0.20689655172413793</v>
      </c>
      <c r="AS26" s="11">
        <f>VLOOKUP(YEAR(CurrentMtgRatesDataTable8711121314[[#This Row],[asofdate]]),OriginationVolume!$A:$N,12,FALSE)</f>
        <v>0.13793103448275862</v>
      </c>
      <c r="AT26" s="11">
        <f>VLOOKUP(YEAR(CurrentMtgRatesDataTable8711121314[[#This Row],[asofdate]]),OriginationVolume!$A:$N,13,FALSE)</f>
        <v>0.22686025408348456</v>
      </c>
      <c r="AU2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AW26" s="7" t="s">
        <v>55</v>
      </c>
      <c r="AX26" s="10">
        <v>93266000</v>
      </c>
      <c r="AY26" s="31"/>
      <c r="BA26" s="7" t="s">
        <v>55</v>
      </c>
      <c r="BB26" s="10">
        <v>44772000</v>
      </c>
      <c r="BC26" s="31"/>
      <c r="BE26" s="7" t="s">
        <v>55</v>
      </c>
      <c r="BF26" s="10">
        <v>2767593588.27</v>
      </c>
      <c r="BG26" s="34"/>
      <c r="BI26" s="7" t="s">
        <v>55</v>
      </c>
      <c r="BJ26" s="10">
        <v>2629555588.27</v>
      </c>
      <c r="BK26" s="34" t="str">
        <f>YEAR(CurrentMtgRatesDataTable871112131417[[#This Row],[asofdate]])&amp;"-"&amp;MONTH(CurrentMtgRatesDataTable871112131417[[#This Row],[asofdate]])</f>
        <v>2005-2</v>
      </c>
      <c r="BL26" s="34">
        <f>CurrentMtgRatesDataTable871112131417[[#This Row],[SeriesNumValue]]</f>
        <v>2629555588.27</v>
      </c>
      <c r="BM26" s="34">
        <f>VLOOKUP(CurrentMtgRatesDataTable871112131417[[#This Row],[asofdate]],AW:AX,2,0)</f>
        <v>93266000</v>
      </c>
      <c r="BN26" s="30">
        <f>IF(VLOOKUP(CurrentMtgRatesDataTable871112131417[[#This Row],[asofdate]],BA:BB,2,0)&lt;&gt;0,VLOOKUP(CurrentMtgRatesDataTable871112131417[[#This Row],[asofdate]],BA:BB,2,0),BN25)</f>
        <v>44772000</v>
      </c>
      <c r="BO26" s="30">
        <f>VLOOKUP(CurrentMtgRatesDataTable871112131417[[#This Row],[asofdate]],BE:BF,2,0)</f>
        <v>2767593588.27</v>
      </c>
    </row>
    <row r="27" spans="1:67" s="6" customFormat="1">
      <c r="A27" s="7" t="s">
        <v>56</v>
      </c>
      <c r="B27" s="10">
        <v>2.0540909133300301E-2</v>
      </c>
      <c r="C27" s="10" t="str">
        <f>YEAR(CurrentMtgRatesDataTable8[[#This Row],[asofdate]])&amp;"-"&amp;MONTH(CurrentMtgRatesDataTable8[[#This Row],[asofdate]])</f>
        <v>2005-3</v>
      </c>
      <c r="D27" s="6">
        <f>((CurrentMtgRatesDataTable8[[#This Row],[SeriesNumValue]]-$D$1)/$D$1+1)*100</f>
        <v>136.93939422200202</v>
      </c>
      <c r="I27" s="7" t="s">
        <v>147</v>
      </c>
      <c r="J27" s="10">
        <v>1.3768461724071E-2</v>
      </c>
      <c r="K27" s="10" t="str">
        <f>YEAR(CurrentMtgRatesDataTable89[[#This Row],[asofdate]])&amp;"-"&amp;MONTH(CurrentMtgRatesDataTable89[[#This Row],[asofdate]])</f>
        <v>2013-9</v>
      </c>
      <c r="L27" s="6">
        <f>((CurrentMtgRatesDataTable89[[#This Row],[SeriesNumValue]]-$D$1)/$D$1+1)*100</f>
        <v>91.789744827140012</v>
      </c>
      <c r="M27" s="6">
        <f>CurrentMtgRatesDataTable89[[#This Row],[Index]]-L28</f>
        <v>8.6569432610406665</v>
      </c>
      <c r="P27" s="7" t="s">
        <v>56</v>
      </c>
      <c r="Q27" s="10">
        <v>9.1464698836870098E-2</v>
      </c>
      <c r="R27" s="31">
        <f>((CurrentMtgRatesDataTable8711[[#This Row],[SeriesNumValue]]-$D$1)/$D$1+1)*100</f>
        <v>609.76465891246733</v>
      </c>
      <c r="S27" s="31"/>
      <c r="U27" s="7" t="s">
        <v>56</v>
      </c>
      <c r="V27" s="10">
        <v>7.3859808783187805E-2</v>
      </c>
      <c r="W27" s="31">
        <f>((CurrentMtgRatesDataTable871112[[#This Row],[SeriesNumValue]]-$D$1)/$D$1+1)*100</f>
        <v>492.39872522125205</v>
      </c>
      <c r="X27" s="31"/>
      <c r="Z27" s="7" t="s">
        <v>56</v>
      </c>
      <c r="AA27" s="10">
        <v>2.20261032389053E-2</v>
      </c>
      <c r="AB27" s="34">
        <f>((CurrentMtgRatesDataTable87111213[[#This Row],[SeriesNumValue]]-$D$1)/$D$1+1)*100</f>
        <v>146.84068825936868</v>
      </c>
      <c r="AC27" s="34"/>
      <c r="AE27" s="7" t="s">
        <v>56</v>
      </c>
      <c r="AF27" s="10">
        <v>2.0417926363663502E-2</v>
      </c>
      <c r="AG27" s="34">
        <f>((CurrentMtgRatesDataTable8711121314[[#This Row],[SeriesNumValue]]-$D$1)/$D$1+1)*100</f>
        <v>136.11950909109001</v>
      </c>
      <c r="AH27" s="34" t="str">
        <f>YEAR(CurrentMtgRatesDataTable8711121314[[#This Row],[asofdate]])&amp;"-"&amp;MONTH(CurrentMtgRatesDataTable8711121314[[#This Row],[asofdate]])</f>
        <v>2005-3</v>
      </c>
      <c r="AI27" s="34">
        <f>CurrentMtgRatesDataTable8711121314[[#This Row],[SeriesNumValue]]</f>
        <v>2.0417926363663502E-2</v>
      </c>
      <c r="AJ27" s="34">
        <f>VLOOKUP(CurrentMtgRatesDataTable8711121314[[#This Row],[asofdate]],P:R,2,0)</f>
        <v>9.1464698836870098E-2</v>
      </c>
      <c r="AK27" s="30">
        <f>IF(VLOOKUP(CurrentMtgRatesDataTable8711121314[[#This Row],[asofdate]],U:W,2,0)&lt;&gt;0,VLOOKUP(CurrentMtgRatesDataTable8711121314[[#This Row],[asofdate]],U:W,2,0),AK26)</f>
        <v>7.3859808783187805E-2</v>
      </c>
      <c r="AL27" s="30">
        <f>VLOOKUP(CurrentMtgRatesDataTable8711121314[[#This Row],[asofdate]],Z:AB,2,0)</f>
        <v>2.20261032389053E-2</v>
      </c>
      <c r="AM27" s="30">
        <f>CurrentMtgRatesDataTable8711121314[[#This Row],[FHA]]+0.5*CurrentMtgRatesDataTable8711121314[[#This Row],[Conventional]]</f>
        <v>0.10167366201870184</v>
      </c>
      <c r="AN27" s="30">
        <f>2*CurrentMtgRatesDataTable8711121314[[#This Row],[FHA]]</f>
        <v>0.1829293976737402</v>
      </c>
      <c r="AO27" s="11">
        <f>VLOOKUP(YEAR(CurrentMtgRatesDataTable8711121314[[#This Row],[asofdate]]),OriginationVolume!$A:$N,8,FALSE)</f>
        <v>0.39564428312159711</v>
      </c>
      <c r="AP27" s="11">
        <f>VLOOKUP(YEAR(CurrentMtgRatesDataTable8711121314[[#This Row],[asofdate]]),OriginationVolume!$A:$N,9,FALSE)</f>
        <v>8.1669691470054439E-3</v>
      </c>
      <c r="AQ27" s="11">
        <f>VLOOKUP(YEAR(CurrentMtgRatesDataTable8711121314[[#This Row],[asofdate]]),OriginationVolume!$A:$N,10,FALSE)</f>
        <v>2.4500907441016333E-2</v>
      </c>
      <c r="AR27" s="11">
        <f>VLOOKUP(YEAR(CurrentMtgRatesDataTable8711121314[[#This Row],[asofdate]]),OriginationVolume!$A:$N,11,FALSE)</f>
        <v>0.20689655172413793</v>
      </c>
      <c r="AS27" s="11">
        <f>VLOOKUP(YEAR(CurrentMtgRatesDataTable8711121314[[#This Row],[asofdate]]),OriginationVolume!$A:$N,12,FALSE)</f>
        <v>0.13793103448275862</v>
      </c>
      <c r="AT27" s="11">
        <f>VLOOKUP(YEAR(CurrentMtgRatesDataTable8711121314[[#This Row],[asofdate]]),OriginationVolume!$A:$N,13,FALSE)</f>
        <v>0.22686025408348456</v>
      </c>
      <c r="AU2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AW27" s="7" t="s">
        <v>56</v>
      </c>
      <c r="AX27" s="10">
        <v>74931000</v>
      </c>
      <c r="AY27" s="31"/>
      <c r="BA27" s="7" t="s">
        <v>56</v>
      </c>
      <c r="BB27" s="10">
        <v>37690000</v>
      </c>
      <c r="BC27" s="31"/>
      <c r="BE27" s="7" t="s">
        <v>56</v>
      </c>
      <c r="BF27" s="10">
        <v>2252434329.1100001</v>
      </c>
      <c r="BG27" s="34"/>
      <c r="BI27" s="7" t="s">
        <v>56</v>
      </c>
      <c r="BJ27" s="10">
        <v>2139813329.1099999</v>
      </c>
      <c r="BK27" s="34" t="str">
        <f>YEAR(CurrentMtgRatesDataTable871112131417[[#This Row],[asofdate]])&amp;"-"&amp;MONTH(CurrentMtgRatesDataTable871112131417[[#This Row],[asofdate]])</f>
        <v>2005-3</v>
      </c>
      <c r="BL27" s="34">
        <f>CurrentMtgRatesDataTable871112131417[[#This Row],[SeriesNumValue]]</f>
        <v>2139813329.1099999</v>
      </c>
      <c r="BM27" s="34">
        <f>VLOOKUP(CurrentMtgRatesDataTable871112131417[[#This Row],[asofdate]],AW:AX,2,0)</f>
        <v>74931000</v>
      </c>
      <c r="BN27" s="30">
        <f>IF(VLOOKUP(CurrentMtgRatesDataTable871112131417[[#This Row],[asofdate]],BA:BB,2,0)&lt;&gt;0,VLOOKUP(CurrentMtgRatesDataTable871112131417[[#This Row],[asofdate]],BA:BB,2,0),BN26)</f>
        <v>37690000</v>
      </c>
      <c r="BO27" s="30">
        <f>VLOOKUP(CurrentMtgRatesDataTable871112131417[[#This Row],[asofdate]],BE:BF,2,0)</f>
        <v>2252434329.1100001</v>
      </c>
    </row>
    <row r="28" spans="1:67" s="6" customFormat="1">
      <c r="A28" s="7" t="s">
        <v>57</v>
      </c>
      <c r="B28" s="10">
        <v>1.992669947727E-2</v>
      </c>
      <c r="C28" s="10" t="str">
        <f>YEAR(CurrentMtgRatesDataTable8[[#This Row],[asofdate]])&amp;"-"&amp;MONTH(CurrentMtgRatesDataTable8[[#This Row],[asofdate]])</f>
        <v>2005-4</v>
      </c>
      <c r="D28" s="6">
        <f>((CurrentMtgRatesDataTable8[[#This Row],[SeriesNumValue]]-$D$1)/$D$1+1)*100</f>
        <v>132.8446631818</v>
      </c>
      <c r="I28" s="7" t="s">
        <v>23</v>
      </c>
      <c r="J28" s="10">
        <v>1.2469920234914901E-2</v>
      </c>
      <c r="K28" s="10" t="str">
        <f>YEAR(CurrentMtgRatesDataTable89[[#This Row],[asofdate]])&amp;"-"&amp;MONTH(CurrentMtgRatesDataTable89[[#This Row],[asofdate]])</f>
        <v>2013-8</v>
      </c>
      <c r="L28" s="6">
        <f>((CurrentMtgRatesDataTable89[[#This Row],[SeriesNumValue]]-$D$1)/$D$1+1)*100</f>
        <v>83.132801566099346</v>
      </c>
      <c r="M28" s="6">
        <f>CurrentMtgRatesDataTable89[[#This Row],[Index]]-L29</f>
        <v>-7.8509496957106535</v>
      </c>
      <c r="P28" s="7" t="s">
        <v>57</v>
      </c>
      <c r="Q28" s="10">
        <v>9.2497341698870306E-2</v>
      </c>
      <c r="R28" s="31">
        <f>((CurrentMtgRatesDataTable8711[[#This Row],[SeriesNumValue]]-$D$1)/$D$1+1)*100</f>
        <v>616.6489446591354</v>
      </c>
      <c r="S28" s="31"/>
      <c r="U28" s="7" t="s">
        <v>57</v>
      </c>
      <c r="V28" s="10">
        <v>7.1507871154995101E-2</v>
      </c>
      <c r="W28" s="31">
        <f>((CurrentMtgRatesDataTable871112[[#This Row],[SeriesNumValue]]-$D$1)/$D$1+1)*100</f>
        <v>476.71914103330073</v>
      </c>
      <c r="X28" s="31"/>
      <c r="Z28" s="7" t="s">
        <v>57</v>
      </c>
      <c r="AA28" s="10">
        <v>2.18098719756726E-2</v>
      </c>
      <c r="AB28" s="34">
        <f>((CurrentMtgRatesDataTable87111213[[#This Row],[SeriesNumValue]]-$D$1)/$D$1+1)*100</f>
        <v>145.39914650448401</v>
      </c>
      <c r="AC28" s="34"/>
      <c r="AE28" s="7" t="s">
        <v>57</v>
      </c>
      <c r="AF28" s="10">
        <v>1.9984193341813401E-2</v>
      </c>
      <c r="AG28" s="34">
        <f>((CurrentMtgRatesDataTable8711121314[[#This Row],[SeriesNumValue]]-$D$1)/$D$1+1)*100</f>
        <v>133.22795561208935</v>
      </c>
      <c r="AH28" s="34" t="str">
        <f>YEAR(CurrentMtgRatesDataTable8711121314[[#This Row],[asofdate]])&amp;"-"&amp;MONTH(CurrentMtgRatesDataTable8711121314[[#This Row],[asofdate]])</f>
        <v>2005-4</v>
      </c>
      <c r="AI28" s="34">
        <f>CurrentMtgRatesDataTable8711121314[[#This Row],[SeriesNumValue]]</f>
        <v>1.9984193341813401E-2</v>
      </c>
      <c r="AJ28" s="34">
        <f>VLOOKUP(CurrentMtgRatesDataTable8711121314[[#This Row],[asofdate]],P:R,2,0)</f>
        <v>9.2497341698870306E-2</v>
      </c>
      <c r="AK28" s="30">
        <f>IF(VLOOKUP(CurrentMtgRatesDataTable8711121314[[#This Row],[asofdate]],U:W,2,0)&lt;&gt;0,VLOOKUP(CurrentMtgRatesDataTable8711121314[[#This Row],[asofdate]],U:W,2,0),AK27)</f>
        <v>7.1507871154995101E-2</v>
      </c>
      <c r="AL28" s="30">
        <f>VLOOKUP(CurrentMtgRatesDataTable8711121314[[#This Row],[asofdate]],Z:AB,2,0)</f>
        <v>2.18098719756726E-2</v>
      </c>
      <c r="AM28" s="30">
        <f>CurrentMtgRatesDataTable8711121314[[#This Row],[FHA]]+0.5*CurrentMtgRatesDataTable8711121314[[#This Row],[Conventional]]</f>
        <v>0.102489438369777</v>
      </c>
      <c r="AN28" s="30">
        <f>2*CurrentMtgRatesDataTable8711121314[[#This Row],[FHA]]</f>
        <v>0.18499468339774061</v>
      </c>
      <c r="AO28" s="11">
        <f>VLOOKUP(YEAR(CurrentMtgRatesDataTable8711121314[[#This Row],[asofdate]]),OriginationVolume!$A:$N,8,FALSE)</f>
        <v>0.39564428312159711</v>
      </c>
      <c r="AP28" s="11">
        <f>VLOOKUP(YEAR(CurrentMtgRatesDataTable8711121314[[#This Row],[asofdate]]),OriginationVolume!$A:$N,9,FALSE)</f>
        <v>8.1669691470054439E-3</v>
      </c>
      <c r="AQ28" s="11">
        <f>VLOOKUP(YEAR(CurrentMtgRatesDataTable8711121314[[#This Row],[asofdate]]),OriginationVolume!$A:$N,10,FALSE)</f>
        <v>2.4500907441016333E-2</v>
      </c>
      <c r="AR28" s="11">
        <f>VLOOKUP(YEAR(CurrentMtgRatesDataTable8711121314[[#This Row],[asofdate]]),OriginationVolume!$A:$N,11,FALSE)</f>
        <v>0.20689655172413793</v>
      </c>
      <c r="AS28" s="11">
        <f>VLOOKUP(YEAR(CurrentMtgRatesDataTable8711121314[[#This Row],[asofdate]]),OriginationVolume!$A:$N,12,FALSE)</f>
        <v>0.13793103448275862</v>
      </c>
      <c r="AT28" s="11">
        <f>VLOOKUP(YEAR(CurrentMtgRatesDataTable8711121314[[#This Row],[asofdate]]),OriginationVolume!$A:$N,13,FALSE)</f>
        <v>0.22686025408348456</v>
      </c>
      <c r="AU2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AW28" s="7" t="s">
        <v>57</v>
      </c>
      <c r="AX28" s="10">
        <v>96553000</v>
      </c>
      <c r="AY28" s="31"/>
      <c r="BA28" s="7" t="s">
        <v>57</v>
      </c>
      <c r="BB28" s="10">
        <v>50433000</v>
      </c>
      <c r="BC28" s="31"/>
      <c r="BE28" s="7" t="s">
        <v>57</v>
      </c>
      <c r="BF28" s="10">
        <v>2596024130.0700002</v>
      </c>
      <c r="BG28" s="34"/>
      <c r="BI28" s="7" t="s">
        <v>57</v>
      </c>
      <c r="BJ28" s="10">
        <v>2449038130.0700002</v>
      </c>
      <c r="BK28" s="34" t="str">
        <f>YEAR(CurrentMtgRatesDataTable871112131417[[#This Row],[asofdate]])&amp;"-"&amp;MONTH(CurrentMtgRatesDataTable871112131417[[#This Row],[asofdate]])</f>
        <v>2005-4</v>
      </c>
      <c r="BL28" s="34">
        <f>CurrentMtgRatesDataTable871112131417[[#This Row],[SeriesNumValue]]</f>
        <v>2449038130.0700002</v>
      </c>
      <c r="BM28" s="34">
        <f>VLOOKUP(CurrentMtgRatesDataTable871112131417[[#This Row],[asofdate]],AW:AX,2,0)</f>
        <v>96553000</v>
      </c>
      <c r="BN28" s="30">
        <f>IF(VLOOKUP(CurrentMtgRatesDataTable871112131417[[#This Row],[asofdate]],BA:BB,2,0)&lt;&gt;0,VLOOKUP(CurrentMtgRatesDataTable871112131417[[#This Row],[asofdate]],BA:BB,2,0),BN27)</f>
        <v>50433000</v>
      </c>
      <c r="BO28" s="30">
        <f>VLOOKUP(CurrentMtgRatesDataTable871112131417[[#This Row],[asofdate]],BE:BF,2,0)</f>
        <v>2596024130.0700002</v>
      </c>
    </row>
    <row r="29" spans="1:67" s="6" customFormat="1">
      <c r="A29" s="7" t="s">
        <v>58</v>
      </c>
      <c r="B29" s="10">
        <v>1.8296678395220301E-2</v>
      </c>
      <c r="C29" s="10" t="str">
        <f>YEAR(CurrentMtgRatesDataTable8[[#This Row],[asofdate]])&amp;"-"&amp;MONTH(CurrentMtgRatesDataTable8[[#This Row],[asofdate]])</f>
        <v>2005-5</v>
      </c>
      <c r="D29" s="6">
        <f>((CurrentMtgRatesDataTable8[[#This Row],[SeriesNumValue]]-$D$1)/$D$1+1)*100</f>
        <v>121.97785596813534</v>
      </c>
      <c r="I29" s="7" t="s">
        <v>10</v>
      </c>
      <c r="J29" s="10">
        <v>1.3647562689271499E-2</v>
      </c>
      <c r="K29" s="10" t="str">
        <f>YEAR(CurrentMtgRatesDataTable89[[#This Row],[asofdate]])&amp;"-"&amp;MONTH(CurrentMtgRatesDataTable89[[#This Row],[asofdate]])</f>
        <v>2013-7</v>
      </c>
      <c r="L29" s="6">
        <f>((CurrentMtgRatesDataTable89[[#This Row],[SeriesNumValue]]-$D$1)/$D$1+1)*100</f>
        <v>90.983751261809999</v>
      </c>
      <c r="M29" s="6">
        <f>CurrentMtgRatesDataTable89[[#This Row],[Index]]-L30</f>
        <v>-11.774292616447326</v>
      </c>
      <c r="P29" s="7" t="s">
        <v>58</v>
      </c>
      <c r="Q29" s="10">
        <v>8.1934200099123194E-2</v>
      </c>
      <c r="R29" s="31">
        <f>((CurrentMtgRatesDataTable8711[[#This Row],[SeriesNumValue]]-$D$1)/$D$1+1)*100</f>
        <v>546.22800066082129</v>
      </c>
      <c r="S29" s="31"/>
      <c r="U29" s="7" t="s">
        <v>58</v>
      </c>
      <c r="V29" s="10">
        <v>6.8831034977123506E-2</v>
      </c>
      <c r="W29" s="31">
        <f>((CurrentMtgRatesDataTable871112[[#This Row],[SeriesNumValue]]-$D$1)/$D$1+1)*100</f>
        <v>458.87356651415672</v>
      </c>
      <c r="X29" s="31"/>
      <c r="Z29" s="7" t="s">
        <v>58</v>
      </c>
      <c r="AA29" s="10">
        <v>1.9765511564367799E-2</v>
      </c>
      <c r="AB29" s="34">
        <f>((CurrentMtgRatesDataTable87111213[[#This Row],[SeriesNumValue]]-$D$1)/$D$1+1)*100</f>
        <v>131.77007709578533</v>
      </c>
      <c r="AC29" s="34"/>
      <c r="AE29" s="7" t="s">
        <v>58</v>
      </c>
      <c r="AF29" s="10">
        <v>1.8157566395530299E-2</v>
      </c>
      <c r="AG29" s="34">
        <f>((CurrentMtgRatesDataTable8711121314[[#This Row],[SeriesNumValue]]-$D$1)/$D$1+1)*100</f>
        <v>121.05044263686867</v>
      </c>
      <c r="AH29" s="34" t="str">
        <f>YEAR(CurrentMtgRatesDataTable8711121314[[#This Row],[asofdate]])&amp;"-"&amp;MONTH(CurrentMtgRatesDataTable8711121314[[#This Row],[asofdate]])</f>
        <v>2005-5</v>
      </c>
      <c r="AI29" s="34">
        <f>CurrentMtgRatesDataTable8711121314[[#This Row],[SeriesNumValue]]</f>
        <v>1.8157566395530299E-2</v>
      </c>
      <c r="AJ29" s="34">
        <f>VLOOKUP(CurrentMtgRatesDataTable8711121314[[#This Row],[asofdate]],P:R,2,0)</f>
        <v>8.1934200099123194E-2</v>
      </c>
      <c r="AK29" s="30">
        <f>IF(VLOOKUP(CurrentMtgRatesDataTable8711121314[[#This Row],[asofdate]],U:W,2,0)&lt;&gt;0,VLOOKUP(CurrentMtgRatesDataTable8711121314[[#This Row],[asofdate]],U:W,2,0),AK28)</f>
        <v>6.8831034977123506E-2</v>
      </c>
      <c r="AL29" s="30">
        <f>VLOOKUP(CurrentMtgRatesDataTable8711121314[[#This Row],[asofdate]],Z:AB,2,0)</f>
        <v>1.9765511564367799E-2</v>
      </c>
      <c r="AM29" s="30">
        <f>CurrentMtgRatesDataTable8711121314[[#This Row],[FHA]]+0.5*CurrentMtgRatesDataTable8711121314[[#This Row],[Conventional]]</f>
        <v>9.1012983296888339E-2</v>
      </c>
      <c r="AN29" s="30">
        <f>2*CurrentMtgRatesDataTable8711121314[[#This Row],[FHA]]</f>
        <v>0.16386840019824639</v>
      </c>
      <c r="AO29" s="11">
        <f>VLOOKUP(YEAR(CurrentMtgRatesDataTable8711121314[[#This Row],[asofdate]]),OriginationVolume!$A:$N,8,FALSE)</f>
        <v>0.39564428312159711</v>
      </c>
      <c r="AP29" s="11">
        <f>VLOOKUP(YEAR(CurrentMtgRatesDataTable8711121314[[#This Row],[asofdate]]),OriginationVolume!$A:$N,9,FALSE)</f>
        <v>8.1669691470054439E-3</v>
      </c>
      <c r="AQ29" s="11">
        <f>VLOOKUP(YEAR(CurrentMtgRatesDataTable8711121314[[#This Row],[asofdate]]),OriginationVolume!$A:$N,10,FALSE)</f>
        <v>2.4500907441016333E-2</v>
      </c>
      <c r="AR29" s="11">
        <f>VLOOKUP(YEAR(CurrentMtgRatesDataTable8711121314[[#This Row],[asofdate]]),OriginationVolume!$A:$N,11,FALSE)</f>
        <v>0.20689655172413793</v>
      </c>
      <c r="AS29" s="11">
        <f>VLOOKUP(YEAR(CurrentMtgRatesDataTable8711121314[[#This Row],[asofdate]]),OriginationVolume!$A:$N,12,FALSE)</f>
        <v>0.13793103448275862</v>
      </c>
      <c r="AT29" s="11">
        <f>VLOOKUP(YEAR(CurrentMtgRatesDataTable8711121314[[#This Row],[asofdate]]),OriginationVolume!$A:$N,13,FALSE)</f>
        <v>0.22686025408348456</v>
      </c>
      <c r="AU2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AW29" s="7" t="s">
        <v>58</v>
      </c>
      <c r="AX29" s="10">
        <v>125618000</v>
      </c>
      <c r="AY29" s="31"/>
      <c r="BA29" s="7" t="s">
        <v>58</v>
      </c>
      <c r="BB29" s="10">
        <v>61299000</v>
      </c>
      <c r="BC29" s="31"/>
      <c r="BE29" s="7" t="s">
        <v>58</v>
      </c>
      <c r="BF29" s="10">
        <v>3379652014.46</v>
      </c>
      <c r="BG29" s="34"/>
      <c r="BI29" s="7" t="s">
        <v>58</v>
      </c>
      <c r="BJ29" s="10">
        <v>3192735014.46</v>
      </c>
      <c r="BK29" s="34" t="str">
        <f>YEAR(CurrentMtgRatesDataTable871112131417[[#This Row],[asofdate]])&amp;"-"&amp;MONTH(CurrentMtgRatesDataTable871112131417[[#This Row],[asofdate]])</f>
        <v>2005-5</v>
      </c>
      <c r="BL29" s="34">
        <f>CurrentMtgRatesDataTable871112131417[[#This Row],[SeriesNumValue]]</f>
        <v>3192735014.46</v>
      </c>
      <c r="BM29" s="34">
        <f>VLOOKUP(CurrentMtgRatesDataTable871112131417[[#This Row],[asofdate]],AW:AX,2,0)</f>
        <v>125618000</v>
      </c>
      <c r="BN29" s="30">
        <f>IF(VLOOKUP(CurrentMtgRatesDataTable871112131417[[#This Row],[asofdate]],BA:BB,2,0)&lt;&gt;0,VLOOKUP(CurrentMtgRatesDataTable871112131417[[#This Row],[asofdate]],BA:BB,2,0),BN28)</f>
        <v>61299000</v>
      </c>
      <c r="BO29" s="30">
        <f>VLOOKUP(CurrentMtgRatesDataTable871112131417[[#This Row],[asofdate]],BE:BF,2,0)</f>
        <v>3379652014.46</v>
      </c>
    </row>
    <row r="30" spans="1:67" s="6" customFormat="1">
      <c r="A30" s="7" t="s">
        <v>59</v>
      </c>
      <c r="B30" s="10">
        <v>2.0832087804865802E-2</v>
      </c>
      <c r="C30" s="10" t="str">
        <f>YEAR(CurrentMtgRatesDataTable8[[#This Row],[asofdate]])&amp;"-"&amp;MONTH(CurrentMtgRatesDataTable8[[#This Row],[asofdate]])</f>
        <v>2005-6</v>
      </c>
      <c r="D30" s="6">
        <f>((CurrentMtgRatesDataTable8[[#This Row],[SeriesNumValue]]-$D$1)/$D$1+1)*100</f>
        <v>138.88058536577202</v>
      </c>
      <c r="I30" s="7" t="s">
        <v>146</v>
      </c>
      <c r="J30" s="10">
        <v>1.5413706581738599E-2</v>
      </c>
      <c r="K30" s="10" t="str">
        <f>YEAR(CurrentMtgRatesDataTable89[[#This Row],[asofdate]])&amp;"-"&amp;MONTH(CurrentMtgRatesDataTable89[[#This Row],[asofdate]])</f>
        <v>2013-6</v>
      </c>
      <c r="L30" s="6">
        <f>((CurrentMtgRatesDataTable89[[#This Row],[SeriesNumValue]]-$D$1)/$D$1+1)*100</f>
        <v>102.75804387825733</v>
      </c>
      <c r="M30" s="6">
        <f>CurrentMtgRatesDataTable89[[#This Row],[Index]]-L31</f>
        <v>3.8467203221993174</v>
      </c>
      <c r="P30" s="7" t="s">
        <v>59</v>
      </c>
      <c r="Q30" s="10">
        <v>9.0211093283241298E-2</v>
      </c>
      <c r="R30" s="31">
        <f>((CurrentMtgRatesDataTable8711[[#This Row],[SeriesNumValue]]-$D$1)/$D$1+1)*100</f>
        <v>601.40728855494206</v>
      </c>
      <c r="S30" s="31"/>
      <c r="U30" s="7" t="s">
        <v>59</v>
      </c>
      <c r="V30" s="10">
        <v>7.2760553043788298E-2</v>
      </c>
      <c r="W30" s="31">
        <f>((CurrentMtgRatesDataTable871112[[#This Row],[SeriesNumValue]]-$D$1)/$D$1+1)*100</f>
        <v>485.07035362525528</v>
      </c>
      <c r="X30" s="31"/>
      <c r="Z30" s="7" t="s">
        <v>59</v>
      </c>
      <c r="AA30" s="10">
        <v>2.2284089052185301E-2</v>
      </c>
      <c r="AB30" s="34">
        <f>((CurrentMtgRatesDataTable87111213[[#This Row],[SeriesNumValue]]-$D$1)/$D$1+1)*100</f>
        <v>148.56059368123536</v>
      </c>
      <c r="AC30" s="34"/>
      <c r="AE30" s="7" t="s">
        <v>59</v>
      </c>
      <c r="AF30" s="10">
        <v>2.0661572747784799E-2</v>
      </c>
      <c r="AG30" s="34">
        <f>((CurrentMtgRatesDataTable8711121314[[#This Row],[SeriesNumValue]]-$D$1)/$D$1+1)*100</f>
        <v>137.74381831856533</v>
      </c>
      <c r="AH30" s="34" t="str">
        <f>YEAR(CurrentMtgRatesDataTable8711121314[[#This Row],[asofdate]])&amp;"-"&amp;MONTH(CurrentMtgRatesDataTable8711121314[[#This Row],[asofdate]])</f>
        <v>2005-6</v>
      </c>
      <c r="AI30" s="34">
        <f>CurrentMtgRatesDataTable8711121314[[#This Row],[SeriesNumValue]]</f>
        <v>2.0661572747784799E-2</v>
      </c>
      <c r="AJ30" s="34">
        <f>VLOOKUP(CurrentMtgRatesDataTable8711121314[[#This Row],[asofdate]],P:R,2,0)</f>
        <v>9.0211093283241298E-2</v>
      </c>
      <c r="AK30" s="30">
        <f>IF(VLOOKUP(CurrentMtgRatesDataTable8711121314[[#This Row],[asofdate]],U:W,2,0)&lt;&gt;0,VLOOKUP(CurrentMtgRatesDataTable8711121314[[#This Row],[asofdate]],U:W,2,0),AK29)</f>
        <v>7.2760553043788298E-2</v>
      </c>
      <c r="AL30" s="30">
        <f>VLOOKUP(CurrentMtgRatesDataTable8711121314[[#This Row],[asofdate]],Z:AB,2,0)</f>
        <v>2.2284089052185301E-2</v>
      </c>
      <c r="AM30" s="30">
        <f>CurrentMtgRatesDataTable8711121314[[#This Row],[FHA]]+0.5*CurrentMtgRatesDataTable8711121314[[#This Row],[Conventional]]</f>
        <v>0.1005418796571337</v>
      </c>
      <c r="AN30" s="30">
        <f>2*CurrentMtgRatesDataTable8711121314[[#This Row],[FHA]]</f>
        <v>0.1804221865664826</v>
      </c>
      <c r="AO30" s="11">
        <f>VLOOKUP(YEAR(CurrentMtgRatesDataTable8711121314[[#This Row],[asofdate]]),OriginationVolume!$A:$N,8,FALSE)</f>
        <v>0.39564428312159711</v>
      </c>
      <c r="AP30" s="11">
        <f>VLOOKUP(YEAR(CurrentMtgRatesDataTable8711121314[[#This Row],[asofdate]]),OriginationVolume!$A:$N,9,FALSE)</f>
        <v>8.1669691470054439E-3</v>
      </c>
      <c r="AQ30" s="11">
        <f>VLOOKUP(YEAR(CurrentMtgRatesDataTable8711121314[[#This Row],[asofdate]]),OriginationVolume!$A:$N,10,FALSE)</f>
        <v>2.4500907441016333E-2</v>
      </c>
      <c r="AR30" s="11">
        <f>VLOOKUP(YEAR(CurrentMtgRatesDataTable8711121314[[#This Row],[asofdate]]),OriginationVolume!$A:$N,11,FALSE)</f>
        <v>0.20689655172413793</v>
      </c>
      <c r="AS30" s="11">
        <f>VLOOKUP(YEAR(CurrentMtgRatesDataTable8711121314[[#This Row],[asofdate]]),OriginationVolume!$A:$N,12,FALSE)</f>
        <v>0.13793103448275862</v>
      </c>
      <c r="AT30" s="11">
        <f>VLOOKUP(YEAR(CurrentMtgRatesDataTable8711121314[[#This Row],[asofdate]]),OriginationVolume!$A:$N,13,FALSE)</f>
        <v>0.22686025408348456</v>
      </c>
      <c r="AU3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AW30" s="7" t="s">
        <v>59</v>
      </c>
      <c r="AX30" s="10">
        <v>116694000</v>
      </c>
      <c r="AY30" s="31"/>
      <c r="BA30" s="7" t="s">
        <v>59</v>
      </c>
      <c r="BB30" s="10">
        <v>47993000</v>
      </c>
      <c r="BC30" s="31"/>
      <c r="BE30" s="7" t="s">
        <v>59</v>
      </c>
      <c r="BF30" s="10">
        <v>3272606324.4499998</v>
      </c>
      <c r="BG30" s="34"/>
      <c r="BI30" s="7" t="s">
        <v>59</v>
      </c>
      <c r="BJ30" s="10">
        <v>3107919324.4499998</v>
      </c>
      <c r="BK30" s="34" t="str">
        <f>YEAR(CurrentMtgRatesDataTable871112131417[[#This Row],[asofdate]])&amp;"-"&amp;MONTH(CurrentMtgRatesDataTable871112131417[[#This Row],[asofdate]])</f>
        <v>2005-6</v>
      </c>
      <c r="BL30" s="34">
        <f>CurrentMtgRatesDataTable871112131417[[#This Row],[SeriesNumValue]]</f>
        <v>3107919324.4499998</v>
      </c>
      <c r="BM30" s="34">
        <f>VLOOKUP(CurrentMtgRatesDataTable871112131417[[#This Row],[asofdate]],AW:AX,2,0)</f>
        <v>116694000</v>
      </c>
      <c r="BN30" s="30">
        <f>IF(VLOOKUP(CurrentMtgRatesDataTable871112131417[[#This Row],[asofdate]],BA:BB,2,0)&lt;&gt;0,VLOOKUP(CurrentMtgRatesDataTable871112131417[[#This Row],[asofdate]],BA:BB,2,0),BN29)</f>
        <v>47993000</v>
      </c>
      <c r="BO30" s="30">
        <f>VLOOKUP(CurrentMtgRatesDataTable871112131417[[#This Row],[asofdate]],BE:BF,2,0)</f>
        <v>3272606324.4499998</v>
      </c>
    </row>
    <row r="31" spans="1:67" s="6" customFormat="1">
      <c r="A31" s="7" t="s">
        <v>60</v>
      </c>
      <c r="B31" s="10">
        <v>2.1305256927180299E-2</v>
      </c>
      <c r="C31" s="10" t="str">
        <f>YEAR(CurrentMtgRatesDataTable8[[#This Row],[asofdate]])&amp;"-"&amp;MONTH(CurrentMtgRatesDataTable8[[#This Row],[asofdate]])</f>
        <v>2005-7</v>
      </c>
      <c r="D31" s="6">
        <f>((CurrentMtgRatesDataTable8[[#This Row],[SeriesNumValue]]-$D$1)/$D$1+1)*100</f>
        <v>142.03504618120201</v>
      </c>
      <c r="I31" s="7" t="s">
        <v>7</v>
      </c>
      <c r="J31" s="10">
        <v>1.48366985334087E-2</v>
      </c>
      <c r="K31" s="10" t="str">
        <f>YEAR(CurrentMtgRatesDataTable89[[#This Row],[asofdate]])&amp;"-"&amp;MONTH(CurrentMtgRatesDataTable89[[#This Row],[asofdate]])</f>
        <v>2013-5</v>
      </c>
      <c r="L31" s="6">
        <f>((CurrentMtgRatesDataTable89[[#This Row],[SeriesNumValue]]-$D$1)/$D$1+1)*100</f>
        <v>98.911323556058008</v>
      </c>
      <c r="M31" s="6">
        <f>CurrentMtgRatesDataTable89[[#This Row],[Index]]-L32</f>
        <v>5.0356796270526729</v>
      </c>
      <c r="P31" s="7" t="s">
        <v>60</v>
      </c>
      <c r="Q31" s="10">
        <v>9.2319504582030504E-2</v>
      </c>
      <c r="R31" s="31">
        <f>((CurrentMtgRatesDataTable8711[[#This Row],[SeriesNumValue]]-$D$1)/$D$1+1)*100</f>
        <v>615.46336388020336</v>
      </c>
      <c r="S31" s="31"/>
      <c r="U31" s="7" t="s">
        <v>60</v>
      </c>
      <c r="V31" s="10">
        <v>8.0514821186880595E-2</v>
      </c>
      <c r="W31" s="31">
        <f>((CurrentMtgRatesDataTable871112[[#This Row],[SeriesNumValue]]-$D$1)/$D$1+1)*100</f>
        <v>536.76547457920401</v>
      </c>
      <c r="X31" s="31"/>
      <c r="Z31" s="7" t="s">
        <v>60</v>
      </c>
      <c r="AA31" s="10">
        <v>2.26230481171209E-2</v>
      </c>
      <c r="AB31" s="34">
        <f>((CurrentMtgRatesDataTable87111213[[#This Row],[SeriesNumValue]]-$D$1)/$D$1+1)*100</f>
        <v>150.82032078080601</v>
      </c>
      <c r="AC31" s="34"/>
      <c r="AE31" s="7" t="s">
        <v>60</v>
      </c>
      <c r="AF31" s="10">
        <v>2.1131997562814898E-2</v>
      </c>
      <c r="AG31" s="34">
        <f>((CurrentMtgRatesDataTable8711121314[[#This Row],[SeriesNumValue]]-$D$1)/$D$1+1)*100</f>
        <v>140.87998375209935</v>
      </c>
      <c r="AH31" s="34" t="str">
        <f>YEAR(CurrentMtgRatesDataTable8711121314[[#This Row],[asofdate]])&amp;"-"&amp;MONTH(CurrentMtgRatesDataTable8711121314[[#This Row],[asofdate]])</f>
        <v>2005-7</v>
      </c>
      <c r="AI31" s="34">
        <f>CurrentMtgRatesDataTable8711121314[[#This Row],[SeriesNumValue]]</f>
        <v>2.1131997562814898E-2</v>
      </c>
      <c r="AJ31" s="34">
        <f>VLOOKUP(CurrentMtgRatesDataTable8711121314[[#This Row],[asofdate]],P:R,2,0)</f>
        <v>9.2319504582030504E-2</v>
      </c>
      <c r="AK31" s="30">
        <f>IF(VLOOKUP(CurrentMtgRatesDataTable8711121314[[#This Row],[asofdate]],U:W,2,0)&lt;&gt;0,VLOOKUP(CurrentMtgRatesDataTable8711121314[[#This Row],[asofdate]],U:W,2,0),AK30)</f>
        <v>8.0514821186880595E-2</v>
      </c>
      <c r="AL31" s="30">
        <f>VLOOKUP(CurrentMtgRatesDataTable8711121314[[#This Row],[asofdate]],Z:AB,2,0)</f>
        <v>2.26230481171209E-2</v>
      </c>
      <c r="AM31" s="30">
        <f>CurrentMtgRatesDataTable8711121314[[#This Row],[FHA]]+0.5*CurrentMtgRatesDataTable8711121314[[#This Row],[Conventional]]</f>
        <v>0.10288550336343795</v>
      </c>
      <c r="AN31" s="30">
        <f>2*CurrentMtgRatesDataTable8711121314[[#This Row],[FHA]]</f>
        <v>0.18463900916406101</v>
      </c>
      <c r="AO31" s="11">
        <f>VLOOKUP(YEAR(CurrentMtgRatesDataTable8711121314[[#This Row],[asofdate]]),OriginationVolume!$A:$N,8,FALSE)</f>
        <v>0.39564428312159711</v>
      </c>
      <c r="AP31" s="11">
        <f>VLOOKUP(YEAR(CurrentMtgRatesDataTable8711121314[[#This Row],[asofdate]]),OriginationVolume!$A:$N,9,FALSE)</f>
        <v>8.1669691470054439E-3</v>
      </c>
      <c r="AQ31" s="11">
        <f>VLOOKUP(YEAR(CurrentMtgRatesDataTable8711121314[[#This Row],[asofdate]]),OriginationVolume!$A:$N,10,FALSE)</f>
        <v>2.4500907441016333E-2</v>
      </c>
      <c r="AR31" s="11">
        <f>VLOOKUP(YEAR(CurrentMtgRatesDataTable8711121314[[#This Row],[asofdate]]),OriginationVolume!$A:$N,11,FALSE)</f>
        <v>0.20689655172413793</v>
      </c>
      <c r="AS31" s="11">
        <f>VLOOKUP(YEAR(CurrentMtgRatesDataTable8711121314[[#This Row],[asofdate]]),OriginationVolume!$A:$N,12,FALSE)</f>
        <v>0.13793103448275862</v>
      </c>
      <c r="AT31" s="11">
        <f>VLOOKUP(YEAR(CurrentMtgRatesDataTable8711121314[[#This Row],[asofdate]]),OriginationVolume!$A:$N,13,FALSE)</f>
        <v>0.22686025408348456</v>
      </c>
      <c r="AU3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AW31" s="7" t="s">
        <v>60</v>
      </c>
      <c r="AX31" s="10">
        <v>125308000</v>
      </c>
      <c r="AY31" s="31"/>
      <c r="BA31" s="7" t="s">
        <v>60</v>
      </c>
      <c r="BB31" s="10">
        <v>54721000</v>
      </c>
      <c r="BC31" s="31"/>
      <c r="BE31" s="7" t="s">
        <v>60</v>
      </c>
      <c r="BF31" s="10">
        <v>4017517837.4099998</v>
      </c>
      <c r="BG31" s="34"/>
      <c r="BI31" s="7" t="s">
        <v>60</v>
      </c>
      <c r="BJ31" s="10">
        <v>3837488837.4099998</v>
      </c>
      <c r="BK31" s="34" t="str">
        <f>YEAR(CurrentMtgRatesDataTable871112131417[[#This Row],[asofdate]])&amp;"-"&amp;MONTH(CurrentMtgRatesDataTable871112131417[[#This Row],[asofdate]])</f>
        <v>2005-7</v>
      </c>
      <c r="BL31" s="34">
        <f>CurrentMtgRatesDataTable871112131417[[#This Row],[SeriesNumValue]]</f>
        <v>3837488837.4099998</v>
      </c>
      <c r="BM31" s="34">
        <f>VLOOKUP(CurrentMtgRatesDataTable871112131417[[#This Row],[asofdate]],AW:AX,2,0)</f>
        <v>125308000</v>
      </c>
      <c r="BN31" s="30">
        <f>IF(VLOOKUP(CurrentMtgRatesDataTable871112131417[[#This Row],[asofdate]],BA:BB,2,0)&lt;&gt;0,VLOOKUP(CurrentMtgRatesDataTable871112131417[[#This Row],[asofdate]],BA:BB,2,0),BN30)</f>
        <v>54721000</v>
      </c>
      <c r="BO31" s="30">
        <f>VLOOKUP(CurrentMtgRatesDataTable871112131417[[#This Row],[asofdate]],BE:BF,2,0)</f>
        <v>4017517837.4099998</v>
      </c>
    </row>
    <row r="32" spans="1:67" s="6" customFormat="1">
      <c r="A32" s="7" t="s">
        <v>61</v>
      </c>
      <c r="B32" s="10">
        <v>1.9644279623908599E-2</v>
      </c>
      <c r="C32" s="10" t="str">
        <f>YEAR(CurrentMtgRatesDataTable8[[#This Row],[asofdate]])&amp;"-"&amp;MONTH(CurrentMtgRatesDataTable8[[#This Row],[asofdate]])</f>
        <v>2005-8</v>
      </c>
      <c r="D32" s="6">
        <f>((CurrentMtgRatesDataTable8[[#This Row],[SeriesNumValue]]-$D$1)/$D$1+1)*100</f>
        <v>130.96186415939067</v>
      </c>
      <c r="I32" s="7" t="s">
        <v>15</v>
      </c>
      <c r="J32" s="10">
        <v>1.4081346589350801E-2</v>
      </c>
      <c r="K32" s="10" t="str">
        <f>YEAR(CurrentMtgRatesDataTable89[[#This Row],[asofdate]])&amp;"-"&amp;MONTH(CurrentMtgRatesDataTable89[[#This Row],[asofdate]])</f>
        <v>2013-4</v>
      </c>
      <c r="L32" s="6">
        <f>((CurrentMtgRatesDataTable89[[#This Row],[SeriesNumValue]]-$D$1)/$D$1+1)*100</f>
        <v>93.875643929005335</v>
      </c>
      <c r="M32" s="6">
        <f>CurrentMtgRatesDataTable89[[#This Row],[Index]]-L33</f>
        <v>0.62633340059731779</v>
      </c>
      <c r="P32" s="7" t="s">
        <v>61</v>
      </c>
      <c r="Q32" s="10">
        <v>9.6079655045307605E-2</v>
      </c>
      <c r="R32" s="31">
        <f>((CurrentMtgRatesDataTable8711[[#This Row],[SeriesNumValue]]-$D$1)/$D$1+1)*100</f>
        <v>640.53103363538412</v>
      </c>
      <c r="S32" s="31"/>
      <c r="U32" s="7" t="s">
        <v>61</v>
      </c>
      <c r="V32" s="10">
        <v>8.0042668586271001E-2</v>
      </c>
      <c r="W32" s="31">
        <f>((CurrentMtgRatesDataTable871112[[#This Row],[SeriesNumValue]]-$D$1)/$D$1+1)*100</f>
        <v>533.61779057514002</v>
      </c>
      <c r="X32" s="31"/>
      <c r="Z32" s="7" t="s">
        <v>61</v>
      </c>
      <c r="AA32" s="10">
        <v>2.0953525461249501E-2</v>
      </c>
      <c r="AB32" s="34">
        <f>((CurrentMtgRatesDataTable87111213[[#This Row],[SeriesNumValue]]-$D$1)/$D$1+1)*100</f>
        <v>139.69016974166334</v>
      </c>
      <c r="AC32" s="34"/>
      <c r="AE32" s="7" t="s">
        <v>61</v>
      </c>
      <c r="AF32" s="10">
        <v>1.9632918587673898E-2</v>
      </c>
      <c r="AG32" s="34">
        <f>((CurrentMtgRatesDataTable8711121314[[#This Row],[SeriesNumValue]]-$D$1)/$D$1+1)*100</f>
        <v>130.88612391782598</v>
      </c>
      <c r="AH32" s="34" t="str">
        <f>YEAR(CurrentMtgRatesDataTable8711121314[[#This Row],[asofdate]])&amp;"-"&amp;MONTH(CurrentMtgRatesDataTable8711121314[[#This Row],[asofdate]])</f>
        <v>2005-8</v>
      </c>
      <c r="AI32" s="34">
        <f>CurrentMtgRatesDataTable8711121314[[#This Row],[SeriesNumValue]]</f>
        <v>1.9632918587673898E-2</v>
      </c>
      <c r="AJ32" s="34">
        <f>VLOOKUP(CurrentMtgRatesDataTable8711121314[[#This Row],[asofdate]],P:R,2,0)</f>
        <v>9.6079655045307605E-2</v>
      </c>
      <c r="AK32" s="30">
        <f>IF(VLOOKUP(CurrentMtgRatesDataTable8711121314[[#This Row],[asofdate]],U:W,2,0)&lt;&gt;0,VLOOKUP(CurrentMtgRatesDataTable8711121314[[#This Row],[asofdate]],U:W,2,0),AK31)</f>
        <v>8.0042668586271001E-2</v>
      </c>
      <c r="AL32" s="30">
        <f>VLOOKUP(CurrentMtgRatesDataTable8711121314[[#This Row],[asofdate]],Z:AB,2,0)</f>
        <v>2.0953525461249501E-2</v>
      </c>
      <c r="AM32" s="30">
        <f>CurrentMtgRatesDataTable8711121314[[#This Row],[FHA]]+0.5*CurrentMtgRatesDataTable8711121314[[#This Row],[Conventional]]</f>
        <v>0.10589611433914456</v>
      </c>
      <c r="AN32" s="30">
        <f>2*CurrentMtgRatesDataTable8711121314[[#This Row],[FHA]]</f>
        <v>0.19215931009061521</v>
      </c>
      <c r="AO32" s="11">
        <f>VLOOKUP(YEAR(CurrentMtgRatesDataTable8711121314[[#This Row],[asofdate]]),OriginationVolume!$A:$N,8,FALSE)</f>
        <v>0.39564428312159711</v>
      </c>
      <c r="AP32" s="11">
        <f>VLOOKUP(YEAR(CurrentMtgRatesDataTable8711121314[[#This Row],[asofdate]]),OriginationVolume!$A:$N,9,FALSE)</f>
        <v>8.1669691470054439E-3</v>
      </c>
      <c r="AQ32" s="11">
        <f>VLOOKUP(YEAR(CurrentMtgRatesDataTable8711121314[[#This Row],[asofdate]]),OriginationVolume!$A:$N,10,FALSE)</f>
        <v>2.4500907441016333E-2</v>
      </c>
      <c r="AR32" s="11">
        <f>VLOOKUP(YEAR(CurrentMtgRatesDataTable8711121314[[#This Row],[asofdate]]),OriginationVolume!$A:$N,11,FALSE)</f>
        <v>0.20689655172413793</v>
      </c>
      <c r="AS32" s="11">
        <f>VLOOKUP(YEAR(CurrentMtgRatesDataTable8711121314[[#This Row],[asofdate]]),OriginationVolume!$A:$N,12,FALSE)</f>
        <v>0.13793103448275862</v>
      </c>
      <c r="AT32" s="11">
        <f>VLOOKUP(YEAR(CurrentMtgRatesDataTable8711121314[[#This Row],[asofdate]]),OriginationVolume!$A:$N,13,FALSE)</f>
        <v>0.22686025408348456</v>
      </c>
      <c r="AU3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AW32" s="7" t="s">
        <v>61</v>
      </c>
      <c r="AX32" s="10">
        <v>138053000</v>
      </c>
      <c r="AY32" s="31"/>
      <c r="BA32" s="7" t="s">
        <v>61</v>
      </c>
      <c r="BB32" s="10">
        <v>74842000</v>
      </c>
      <c r="BC32" s="31"/>
      <c r="BE32" s="7" t="s">
        <v>61</v>
      </c>
      <c r="BF32" s="10">
        <v>5295177663.5200005</v>
      </c>
      <c r="BG32" s="34"/>
      <c r="BI32" s="7" t="s">
        <v>61</v>
      </c>
      <c r="BJ32" s="10">
        <v>5082282663.5200005</v>
      </c>
      <c r="BK32" s="34" t="str">
        <f>YEAR(CurrentMtgRatesDataTable871112131417[[#This Row],[asofdate]])&amp;"-"&amp;MONTH(CurrentMtgRatesDataTable871112131417[[#This Row],[asofdate]])</f>
        <v>2005-8</v>
      </c>
      <c r="BL32" s="34">
        <f>CurrentMtgRatesDataTable871112131417[[#This Row],[SeriesNumValue]]</f>
        <v>5082282663.5200005</v>
      </c>
      <c r="BM32" s="34">
        <f>VLOOKUP(CurrentMtgRatesDataTable871112131417[[#This Row],[asofdate]],AW:AX,2,0)</f>
        <v>138053000</v>
      </c>
      <c r="BN32" s="30">
        <f>IF(VLOOKUP(CurrentMtgRatesDataTable871112131417[[#This Row],[asofdate]],BA:BB,2,0)&lt;&gt;0,VLOOKUP(CurrentMtgRatesDataTable871112131417[[#This Row],[asofdate]],BA:BB,2,0),BN31)</f>
        <v>74842000</v>
      </c>
      <c r="BO32" s="30">
        <f>VLOOKUP(CurrentMtgRatesDataTable871112131417[[#This Row],[asofdate]],BE:BF,2,0)</f>
        <v>5295177663.5200005</v>
      </c>
    </row>
    <row r="33" spans="1:67" s="6" customFormat="1">
      <c r="A33" s="7" t="s">
        <v>62</v>
      </c>
      <c r="B33" s="10">
        <v>1.8340270781847499E-2</v>
      </c>
      <c r="C33" s="10" t="str">
        <f>YEAR(CurrentMtgRatesDataTable8[[#This Row],[asofdate]])&amp;"-"&amp;MONTH(CurrentMtgRatesDataTable8[[#This Row],[asofdate]])</f>
        <v>2005-9</v>
      </c>
      <c r="D33" s="6">
        <f>((CurrentMtgRatesDataTable8[[#This Row],[SeriesNumValue]]-$D$1)/$D$1+1)*100</f>
        <v>122.26847187898333</v>
      </c>
      <c r="I33" s="7" t="s">
        <v>19</v>
      </c>
      <c r="J33" s="10">
        <v>1.3987396579261201E-2</v>
      </c>
      <c r="K33" s="10" t="str">
        <f>YEAR(CurrentMtgRatesDataTable89[[#This Row],[asofdate]])&amp;"-"&amp;MONTH(CurrentMtgRatesDataTable89[[#This Row],[asofdate]])</f>
        <v>2013-3</v>
      </c>
      <c r="L33" s="6">
        <f>((CurrentMtgRatesDataTable89[[#This Row],[SeriesNumValue]]-$D$1)/$D$1+1)*100</f>
        <v>93.249310528408017</v>
      </c>
      <c r="M33" s="6">
        <f>CurrentMtgRatesDataTable89[[#This Row],[Index]]-L34</f>
        <v>-0.95998772795798004</v>
      </c>
      <c r="P33" s="7" t="s">
        <v>62</v>
      </c>
      <c r="Q33" s="10">
        <v>8.5380791907585393E-2</v>
      </c>
      <c r="R33" s="31">
        <f>((CurrentMtgRatesDataTable8711[[#This Row],[SeriesNumValue]]-$D$1)/$D$1+1)*100</f>
        <v>569.20527938390273</v>
      </c>
      <c r="S33" s="31"/>
      <c r="U33" s="7" t="s">
        <v>62</v>
      </c>
      <c r="V33" s="10">
        <v>7.3908989895033E-2</v>
      </c>
      <c r="W33" s="31">
        <f>((CurrentMtgRatesDataTable871112[[#This Row],[SeriesNumValue]]-$D$1)/$D$1+1)*100</f>
        <v>492.72659930021996</v>
      </c>
      <c r="X33" s="31"/>
      <c r="Z33" s="7" t="s">
        <v>62</v>
      </c>
      <c r="AA33" s="10">
        <v>1.9605186958939501E-2</v>
      </c>
      <c r="AB33" s="34">
        <f>((CurrentMtgRatesDataTable87111213[[#This Row],[SeriesNumValue]]-$D$1)/$D$1+1)*100</f>
        <v>130.70124639293002</v>
      </c>
      <c r="AC33" s="34"/>
      <c r="AE33" s="7" t="s">
        <v>62</v>
      </c>
      <c r="AF33" s="10">
        <v>1.8331825804747001E-2</v>
      </c>
      <c r="AG33" s="34">
        <f>((CurrentMtgRatesDataTable8711121314[[#This Row],[SeriesNumValue]]-$D$1)/$D$1+1)*100</f>
        <v>122.21217203164667</v>
      </c>
      <c r="AH33" s="34" t="str">
        <f>YEAR(CurrentMtgRatesDataTable8711121314[[#This Row],[asofdate]])&amp;"-"&amp;MONTH(CurrentMtgRatesDataTable8711121314[[#This Row],[asofdate]])</f>
        <v>2005-9</v>
      </c>
      <c r="AI33" s="34">
        <f>CurrentMtgRatesDataTable8711121314[[#This Row],[SeriesNumValue]]</f>
        <v>1.8331825804747001E-2</v>
      </c>
      <c r="AJ33" s="34">
        <f>VLOOKUP(CurrentMtgRatesDataTable8711121314[[#This Row],[asofdate]],P:R,2,0)</f>
        <v>8.5380791907585393E-2</v>
      </c>
      <c r="AK33" s="30">
        <f>IF(VLOOKUP(CurrentMtgRatesDataTable8711121314[[#This Row],[asofdate]],U:W,2,0)&lt;&gt;0,VLOOKUP(CurrentMtgRatesDataTable8711121314[[#This Row],[asofdate]],U:W,2,0),AK32)</f>
        <v>7.3908989895033E-2</v>
      </c>
      <c r="AL33" s="30">
        <f>VLOOKUP(CurrentMtgRatesDataTable8711121314[[#This Row],[asofdate]],Z:AB,2,0)</f>
        <v>1.9605186958939501E-2</v>
      </c>
      <c r="AM33" s="30">
        <f>CurrentMtgRatesDataTable8711121314[[#This Row],[FHA]]+0.5*CurrentMtgRatesDataTable8711121314[[#This Row],[Conventional]]</f>
        <v>9.4546704809958887E-2</v>
      </c>
      <c r="AN33" s="30">
        <f>2*CurrentMtgRatesDataTable8711121314[[#This Row],[FHA]]</f>
        <v>0.17076158381517079</v>
      </c>
      <c r="AO33" s="11">
        <f>VLOOKUP(YEAR(CurrentMtgRatesDataTable8711121314[[#This Row],[asofdate]]),OriginationVolume!$A:$N,8,FALSE)</f>
        <v>0.39564428312159711</v>
      </c>
      <c r="AP33" s="11">
        <f>VLOOKUP(YEAR(CurrentMtgRatesDataTable8711121314[[#This Row],[asofdate]]),OriginationVolume!$A:$N,9,FALSE)</f>
        <v>8.1669691470054439E-3</v>
      </c>
      <c r="AQ33" s="11">
        <f>VLOOKUP(YEAR(CurrentMtgRatesDataTable8711121314[[#This Row],[asofdate]]),OriginationVolume!$A:$N,10,FALSE)</f>
        <v>2.4500907441016333E-2</v>
      </c>
      <c r="AR33" s="11">
        <f>VLOOKUP(YEAR(CurrentMtgRatesDataTable8711121314[[#This Row],[asofdate]]),OriginationVolume!$A:$N,11,FALSE)</f>
        <v>0.20689655172413793</v>
      </c>
      <c r="AS33" s="11">
        <f>VLOOKUP(YEAR(CurrentMtgRatesDataTable8711121314[[#This Row],[asofdate]]),OriginationVolume!$A:$N,12,FALSE)</f>
        <v>0.13793103448275862</v>
      </c>
      <c r="AT33" s="11">
        <f>VLOOKUP(YEAR(CurrentMtgRatesDataTable8711121314[[#This Row],[asofdate]]),OriginationVolume!$A:$N,13,FALSE)</f>
        <v>0.22686025408348456</v>
      </c>
      <c r="AU3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AW33" s="7" t="s">
        <v>62</v>
      </c>
      <c r="AX33" s="10">
        <v>134189000</v>
      </c>
      <c r="AY33" s="31"/>
      <c r="BA33" s="7" t="s">
        <v>62</v>
      </c>
      <c r="BB33" s="10">
        <v>80936000</v>
      </c>
      <c r="BC33" s="31"/>
      <c r="BE33" s="7" t="s">
        <v>62</v>
      </c>
      <c r="BF33" s="10">
        <v>4998945666.0500002</v>
      </c>
      <c r="BG33" s="34"/>
      <c r="BI33" s="7" t="s">
        <v>62</v>
      </c>
      <c r="BJ33" s="10">
        <v>4783820666.0500002</v>
      </c>
      <c r="BK33" s="34" t="str">
        <f>YEAR(CurrentMtgRatesDataTable871112131417[[#This Row],[asofdate]])&amp;"-"&amp;MONTH(CurrentMtgRatesDataTable871112131417[[#This Row],[asofdate]])</f>
        <v>2005-9</v>
      </c>
      <c r="BL33" s="34">
        <f>CurrentMtgRatesDataTable871112131417[[#This Row],[SeriesNumValue]]</f>
        <v>4783820666.0500002</v>
      </c>
      <c r="BM33" s="34">
        <f>VLOOKUP(CurrentMtgRatesDataTable871112131417[[#This Row],[asofdate]],AW:AX,2,0)</f>
        <v>134189000</v>
      </c>
      <c r="BN33" s="30">
        <f>IF(VLOOKUP(CurrentMtgRatesDataTable871112131417[[#This Row],[asofdate]],BA:BB,2,0)&lt;&gt;0,VLOOKUP(CurrentMtgRatesDataTable871112131417[[#This Row],[asofdate]],BA:BB,2,0),BN32)</f>
        <v>80936000</v>
      </c>
      <c r="BO33" s="30">
        <f>VLOOKUP(CurrentMtgRatesDataTable871112131417[[#This Row],[asofdate]],BE:BF,2,0)</f>
        <v>4998945666.0500002</v>
      </c>
    </row>
    <row r="34" spans="1:67" s="6" customFormat="1">
      <c r="A34" s="7" t="s">
        <v>63</v>
      </c>
      <c r="B34" s="10">
        <v>1.89834805820751E-2</v>
      </c>
      <c r="C34" s="10" t="str">
        <f>YEAR(CurrentMtgRatesDataTable8[[#This Row],[asofdate]])&amp;"-"&amp;MONTH(CurrentMtgRatesDataTable8[[#This Row],[asofdate]])</f>
        <v>2005-10</v>
      </c>
      <c r="D34" s="6">
        <f>((CurrentMtgRatesDataTable8[[#This Row],[SeriesNumValue]]-$D$1)/$D$1+1)*100</f>
        <v>126.55653721383402</v>
      </c>
      <c r="I34" s="7" t="s">
        <v>18</v>
      </c>
      <c r="J34" s="10">
        <v>1.41313947384549E-2</v>
      </c>
      <c r="K34" s="10" t="str">
        <f>YEAR(CurrentMtgRatesDataTable89[[#This Row],[asofdate]])&amp;"-"&amp;MONTH(CurrentMtgRatesDataTable89[[#This Row],[asofdate]])</f>
        <v>2013-2</v>
      </c>
      <c r="L34" s="6">
        <f>((CurrentMtgRatesDataTable89[[#This Row],[SeriesNumValue]]-$D$1)/$D$1+1)*100</f>
        <v>94.209298256365997</v>
      </c>
      <c r="M34" s="6">
        <f>CurrentMtgRatesDataTable89[[#This Row],[Index]]-L35</f>
        <v>-1.3583861412720069</v>
      </c>
      <c r="P34" s="7" t="s">
        <v>63</v>
      </c>
      <c r="Q34" s="10">
        <v>9.0218440732812502E-2</v>
      </c>
      <c r="R34" s="31">
        <f>((CurrentMtgRatesDataTable8711[[#This Row],[SeriesNumValue]]-$D$1)/$D$1+1)*100</f>
        <v>601.45627155208331</v>
      </c>
      <c r="S34" s="31"/>
      <c r="U34" s="7" t="s">
        <v>63</v>
      </c>
      <c r="V34" s="10">
        <v>7.7491922918333095E-2</v>
      </c>
      <c r="W34" s="31">
        <f>((CurrentMtgRatesDataTable871112[[#This Row],[SeriesNumValue]]-$D$1)/$D$1+1)*100</f>
        <v>516.61281945555402</v>
      </c>
      <c r="X34" s="31"/>
      <c r="Z34" s="7" t="s">
        <v>63</v>
      </c>
      <c r="AA34" s="10">
        <v>2.01721106038079E-2</v>
      </c>
      <c r="AB34" s="34">
        <f>((CurrentMtgRatesDataTable87111213[[#This Row],[SeriesNumValue]]-$D$1)/$D$1+1)*100</f>
        <v>134.48073735871935</v>
      </c>
      <c r="AC34" s="34"/>
      <c r="AE34" s="7" t="s">
        <v>63</v>
      </c>
      <c r="AF34" s="10">
        <v>1.8906432407664899E-2</v>
      </c>
      <c r="AG34" s="34">
        <f>((CurrentMtgRatesDataTable8711121314[[#This Row],[SeriesNumValue]]-$D$1)/$D$1+1)*100</f>
        <v>126.04288271776601</v>
      </c>
      <c r="AH34" s="34" t="str">
        <f>YEAR(CurrentMtgRatesDataTable8711121314[[#This Row],[asofdate]])&amp;"-"&amp;MONTH(CurrentMtgRatesDataTable8711121314[[#This Row],[asofdate]])</f>
        <v>2005-10</v>
      </c>
      <c r="AI34" s="34">
        <f>CurrentMtgRatesDataTable8711121314[[#This Row],[SeriesNumValue]]</f>
        <v>1.8906432407664899E-2</v>
      </c>
      <c r="AJ34" s="34">
        <f>VLOOKUP(CurrentMtgRatesDataTable8711121314[[#This Row],[asofdate]],P:R,2,0)</f>
        <v>9.0218440732812502E-2</v>
      </c>
      <c r="AK34" s="30">
        <f>IF(VLOOKUP(CurrentMtgRatesDataTable8711121314[[#This Row],[asofdate]],U:W,2,0)&lt;&gt;0,VLOOKUP(CurrentMtgRatesDataTable8711121314[[#This Row],[asofdate]],U:W,2,0),AK33)</f>
        <v>7.7491922918333095E-2</v>
      </c>
      <c r="AL34" s="30">
        <f>VLOOKUP(CurrentMtgRatesDataTable8711121314[[#This Row],[asofdate]],Z:AB,2,0)</f>
        <v>2.01721106038079E-2</v>
      </c>
      <c r="AM34" s="30">
        <f>CurrentMtgRatesDataTable8711121314[[#This Row],[FHA]]+0.5*CurrentMtgRatesDataTable8711121314[[#This Row],[Conventional]]</f>
        <v>9.9671656936644953E-2</v>
      </c>
      <c r="AN34" s="30">
        <f>2*CurrentMtgRatesDataTable8711121314[[#This Row],[FHA]]</f>
        <v>0.180436881465625</v>
      </c>
      <c r="AO34" s="11">
        <f>VLOOKUP(YEAR(CurrentMtgRatesDataTable8711121314[[#This Row],[asofdate]]),OriginationVolume!$A:$N,8,FALSE)</f>
        <v>0.39564428312159711</v>
      </c>
      <c r="AP34" s="11">
        <f>VLOOKUP(YEAR(CurrentMtgRatesDataTable8711121314[[#This Row],[asofdate]]),OriginationVolume!$A:$N,9,FALSE)</f>
        <v>8.1669691470054439E-3</v>
      </c>
      <c r="AQ34" s="11">
        <f>VLOOKUP(YEAR(CurrentMtgRatesDataTable8711121314[[#This Row],[asofdate]]),OriginationVolume!$A:$N,10,FALSE)</f>
        <v>2.4500907441016333E-2</v>
      </c>
      <c r="AR34" s="11">
        <f>VLOOKUP(YEAR(CurrentMtgRatesDataTable8711121314[[#This Row],[asofdate]]),OriginationVolume!$A:$N,11,FALSE)</f>
        <v>0.20689655172413793</v>
      </c>
      <c r="AS34" s="11">
        <f>VLOOKUP(YEAR(CurrentMtgRatesDataTable8711121314[[#This Row],[asofdate]]),OriginationVolume!$A:$N,12,FALSE)</f>
        <v>0.13793103448275862</v>
      </c>
      <c r="AT34" s="11">
        <f>VLOOKUP(YEAR(CurrentMtgRatesDataTable8711121314[[#This Row],[asofdate]]),OriginationVolume!$A:$N,13,FALSE)</f>
        <v>0.22686025408348456</v>
      </c>
      <c r="AU3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AW34" s="7" t="s">
        <v>63</v>
      </c>
      <c r="AX34" s="10">
        <v>140699000</v>
      </c>
      <c r="AY34" s="31"/>
      <c r="BA34" s="7" t="s">
        <v>63</v>
      </c>
      <c r="BB34" s="10">
        <v>74887000</v>
      </c>
      <c r="BC34" s="31"/>
      <c r="BE34" s="7" t="s">
        <v>63</v>
      </c>
      <c r="BF34" s="10">
        <v>5323357137.1700001</v>
      </c>
      <c r="BG34" s="34"/>
      <c r="BI34" s="7" t="s">
        <v>63</v>
      </c>
      <c r="BJ34" s="10">
        <v>5107771137.1700001</v>
      </c>
      <c r="BK34" s="34" t="str">
        <f>YEAR(CurrentMtgRatesDataTable871112131417[[#This Row],[asofdate]])&amp;"-"&amp;MONTH(CurrentMtgRatesDataTable871112131417[[#This Row],[asofdate]])</f>
        <v>2005-10</v>
      </c>
      <c r="BL34" s="34">
        <f>CurrentMtgRatesDataTable871112131417[[#This Row],[SeriesNumValue]]</f>
        <v>5107771137.1700001</v>
      </c>
      <c r="BM34" s="34">
        <f>VLOOKUP(CurrentMtgRatesDataTable871112131417[[#This Row],[asofdate]],AW:AX,2,0)</f>
        <v>140699000</v>
      </c>
      <c r="BN34" s="30">
        <f>IF(VLOOKUP(CurrentMtgRatesDataTable871112131417[[#This Row],[asofdate]],BA:BB,2,0)&lt;&gt;0,VLOOKUP(CurrentMtgRatesDataTable871112131417[[#This Row],[asofdate]],BA:BB,2,0),BN33)</f>
        <v>74887000</v>
      </c>
      <c r="BO34" s="30">
        <f>VLOOKUP(CurrentMtgRatesDataTable871112131417[[#This Row],[asofdate]],BE:BF,2,0)</f>
        <v>5323357137.1700001</v>
      </c>
    </row>
    <row r="35" spans="1:67" s="6" customFormat="1">
      <c r="A35" s="7" t="s">
        <v>64</v>
      </c>
      <c r="B35" s="10">
        <v>1.8192428877670801E-2</v>
      </c>
      <c r="C35" s="10" t="str">
        <f>YEAR(CurrentMtgRatesDataTable8[[#This Row],[asofdate]])&amp;"-"&amp;MONTH(CurrentMtgRatesDataTable8[[#This Row],[asofdate]])</f>
        <v>2005-11</v>
      </c>
      <c r="D35" s="6">
        <f>((CurrentMtgRatesDataTable8[[#This Row],[SeriesNumValue]]-$D$1)/$D$1+1)*100</f>
        <v>121.28285918447202</v>
      </c>
      <c r="I35" s="7" t="s">
        <v>145</v>
      </c>
      <c r="J35" s="10">
        <v>1.4335152659645699E-2</v>
      </c>
      <c r="K35" s="10" t="str">
        <f>YEAR(CurrentMtgRatesDataTable89[[#This Row],[asofdate]])&amp;"-"&amp;MONTH(CurrentMtgRatesDataTable89[[#This Row],[asofdate]])</f>
        <v>2013-1</v>
      </c>
      <c r="L35" s="6">
        <f>((CurrentMtgRatesDataTable89[[#This Row],[SeriesNumValue]]-$D$1)/$D$1+1)*100</f>
        <v>95.567684397638004</v>
      </c>
      <c r="M35" s="6">
        <f>CurrentMtgRatesDataTable89[[#This Row],[Index]]-L36</f>
        <v>-1.3771112399953438</v>
      </c>
      <c r="P35" s="7" t="s">
        <v>64</v>
      </c>
      <c r="Q35" s="10">
        <v>9.2285525328509796E-2</v>
      </c>
      <c r="R35" s="31">
        <f>((CurrentMtgRatesDataTable8711[[#This Row],[SeriesNumValue]]-$D$1)/$D$1+1)*100</f>
        <v>615.23683552339867</v>
      </c>
      <c r="S35" s="31"/>
      <c r="U35" s="7" t="s">
        <v>64</v>
      </c>
      <c r="V35" s="10">
        <v>7.1121707446048593E-2</v>
      </c>
      <c r="W35" s="31">
        <f>((CurrentMtgRatesDataTable871112[[#This Row],[SeriesNumValue]]-$D$1)/$D$1+1)*100</f>
        <v>474.14471630699069</v>
      </c>
      <c r="X35" s="31"/>
      <c r="Z35" s="7" t="s">
        <v>64</v>
      </c>
      <c r="AA35" s="10">
        <v>1.9570266945903199E-2</v>
      </c>
      <c r="AB35" s="34">
        <f>((CurrentMtgRatesDataTable87111213[[#This Row],[SeriesNumValue]]-$D$1)/$D$1+1)*100</f>
        <v>130.46844630602132</v>
      </c>
      <c r="AC35" s="34"/>
      <c r="AE35" s="7" t="s">
        <v>64</v>
      </c>
      <c r="AF35" s="10">
        <v>1.8669000371853501E-2</v>
      </c>
      <c r="AG35" s="34">
        <f>((CurrentMtgRatesDataTable8711121314[[#This Row],[SeriesNumValue]]-$D$1)/$D$1+1)*100</f>
        <v>124.46000247902333</v>
      </c>
      <c r="AH35" s="34" t="str">
        <f>YEAR(CurrentMtgRatesDataTable8711121314[[#This Row],[asofdate]])&amp;"-"&amp;MONTH(CurrentMtgRatesDataTable8711121314[[#This Row],[asofdate]])</f>
        <v>2005-11</v>
      </c>
      <c r="AI35" s="34">
        <f>CurrentMtgRatesDataTable8711121314[[#This Row],[SeriesNumValue]]</f>
        <v>1.8669000371853501E-2</v>
      </c>
      <c r="AJ35" s="34">
        <f>VLOOKUP(CurrentMtgRatesDataTable8711121314[[#This Row],[asofdate]],P:R,2,0)</f>
        <v>9.2285525328509796E-2</v>
      </c>
      <c r="AK35" s="30">
        <f>IF(VLOOKUP(CurrentMtgRatesDataTable8711121314[[#This Row],[asofdate]],U:W,2,0)&lt;&gt;0,VLOOKUP(CurrentMtgRatesDataTable8711121314[[#This Row],[asofdate]],U:W,2,0),AK34)</f>
        <v>7.1121707446048593E-2</v>
      </c>
      <c r="AL35" s="30">
        <f>VLOOKUP(CurrentMtgRatesDataTable8711121314[[#This Row],[asofdate]],Z:AB,2,0)</f>
        <v>1.9570266945903199E-2</v>
      </c>
      <c r="AM35" s="30">
        <f>CurrentMtgRatesDataTable8711121314[[#This Row],[FHA]]+0.5*CurrentMtgRatesDataTable8711121314[[#This Row],[Conventional]]</f>
        <v>0.10162002551443655</v>
      </c>
      <c r="AN35" s="30">
        <f>2*CurrentMtgRatesDataTable8711121314[[#This Row],[FHA]]</f>
        <v>0.18457105065701959</v>
      </c>
      <c r="AO35" s="11">
        <f>VLOOKUP(YEAR(CurrentMtgRatesDataTable8711121314[[#This Row],[asofdate]]),OriginationVolume!$A:$N,8,FALSE)</f>
        <v>0.39564428312159711</v>
      </c>
      <c r="AP35" s="11">
        <f>VLOOKUP(YEAR(CurrentMtgRatesDataTable8711121314[[#This Row],[asofdate]]),OriginationVolume!$A:$N,9,FALSE)</f>
        <v>8.1669691470054439E-3</v>
      </c>
      <c r="AQ35" s="11">
        <f>VLOOKUP(YEAR(CurrentMtgRatesDataTable8711121314[[#This Row],[asofdate]]),OriginationVolume!$A:$N,10,FALSE)</f>
        <v>2.4500907441016333E-2</v>
      </c>
      <c r="AR35" s="11">
        <f>VLOOKUP(YEAR(CurrentMtgRatesDataTable8711121314[[#This Row],[asofdate]]),OriginationVolume!$A:$N,11,FALSE)</f>
        <v>0.20689655172413793</v>
      </c>
      <c r="AS35" s="11">
        <f>VLOOKUP(YEAR(CurrentMtgRatesDataTable8711121314[[#This Row],[asofdate]]),OriginationVolume!$A:$N,12,FALSE)</f>
        <v>0.13793103448275862</v>
      </c>
      <c r="AT35" s="11">
        <f>VLOOKUP(YEAR(CurrentMtgRatesDataTable8711121314[[#This Row],[asofdate]]),OriginationVolume!$A:$N,13,FALSE)</f>
        <v>0.22686025408348456</v>
      </c>
      <c r="AU3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AW35" s="7" t="s">
        <v>64</v>
      </c>
      <c r="AX35" s="10">
        <v>111864000</v>
      </c>
      <c r="AY35" s="31"/>
      <c r="BA35" s="7" t="s">
        <v>64</v>
      </c>
      <c r="BB35" s="10">
        <v>44157000</v>
      </c>
      <c r="BC35" s="31"/>
      <c r="BE35" s="7" t="s">
        <v>64</v>
      </c>
      <c r="BF35" s="10">
        <v>5425801851.6700001</v>
      </c>
      <c r="BG35" s="34"/>
      <c r="BI35" s="7" t="s">
        <v>64</v>
      </c>
      <c r="BJ35" s="10">
        <v>5269780851.6700001</v>
      </c>
      <c r="BK35" s="34" t="str">
        <f>YEAR(CurrentMtgRatesDataTable871112131417[[#This Row],[asofdate]])&amp;"-"&amp;MONTH(CurrentMtgRatesDataTable871112131417[[#This Row],[asofdate]])</f>
        <v>2005-11</v>
      </c>
      <c r="BL35" s="34">
        <f>CurrentMtgRatesDataTable871112131417[[#This Row],[SeriesNumValue]]</f>
        <v>5269780851.6700001</v>
      </c>
      <c r="BM35" s="34">
        <f>VLOOKUP(CurrentMtgRatesDataTable871112131417[[#This Row],[asofdate]],AW:AX,2,0)</f>
        <v>111864000</v>
      </c>
      <c r="BN35" s="30">
        <f>IF(VLOOKUP(CurrentMtgRatesDataTable871112131417[[#This Row],[asofdate]],BA:BB,2,0)&lt;&gt;0,VLOOKUP(CurrentMtgRatesDataTable871112131417[[#This Row],[asofdate]],BA:BB,2,0),BN34)</f>
        <v>44157000</v>
      </c>
      <c r="BO35" s="30">
        <f>VLOOKUP(CurrentMtgRatesDataTable871112131417[[#This Row],[asofdate]],BE:BF,2,0)</f>
        <v>5425801851.6700001</v>
      </c>
    </row>
    <row r="36" spans="1:67" s="6" customFormat="1">
      <c r="A36" s="7" t="s">
        <v>65</v>
      </c>
      <c r="B36" s="10">
        <v>1.5205150193068E-2</v>
      </c>
      <c r="C36" s="10" t="str">
        <f>YEAR(CurrentMtgRatesDataTable8[[#This Row],[asofdate]])&amp;"-"&amp;MONTH(CurrentMtgRatesDataTable8[[#This Row],[asofdate]])</f>
        <v>2005-12</v>
      </c>
      <c r="D36" s="6">
        <f>((CurrentMtgRatesDataTable8[[#This Row],[SeriesNumValue]]-$D$1)/$D$1+1)*100</f>
        <v>101.36766795378666</v>
      </c>
      <c r="I36" s="7" t="s">
        <v>144</v>
      </c>
      <c r="J36" s="10">
        <v>1.4541719345645E-2</v>
      </c>
      <c r="K36" s="10" t="str">
        <f>YEAR(CurrentMtgRatesDataTable89[[#This Row],[asofdate]])&amp;"-"&amp;MONTH(CurrentMtgRatesDataTable89[[#This Row],[asofdate]])</f>
        <v>2012-12</v>
      </c>
      <c r="L36" s="6">
        <f>((CurrentMtgRatesDataTable89[[#This Row],[SeriesNumValue]]-$D$1)/$D$1+1)*100</f>
        <v>96.944795637633348</v>
      </c>
      <c r="M36" s="6">
        <f>CurrentMtgRatesDataTable89[[#This Row],[Index]]-L37</f>
        <v>-0.78846576044465166</v>
      </c>
      <c r="P36" s="7" t="s">
        <v>65</v>
      </c>
      <c r="Q36" s="10">
        <v>8.2108794617635802E-2</v>
      </c>
      <c r="R36" s="31">
        <f>((CurrentMtgRatesDataTable8711[[#This Row],[SeriesNumValue]]-$D$1)/$D$1+1)*100</f>
        <v>547.391964117572</v>
      </c>
      <c r="S36" s="31"/>
      <c r="U36" s="7" t="s">
        <v>65</v>
      </c>
      <c r="V36" s="10">
        <v>7.8070969779932997E-2</v>
      </c>
      <c r="W36" s="31">
        <f>((CurrentMtgRatesDataTable871112[[#This Row],[SeriesNumValue]]-$D$1)/$D$1+1)*100</f>
        <v>520.47313186622</v>
      </c>
      <c r="X36" s="31"/>
      <c r="Z36" s="7" t="s">
        <v>65</v>
      </c>
      <c r="AA36" s="10">
        <v>1.6562802307108701E-2</v>
      </c>
      <c r="AB36" s="34">
        <f>((CurrentMtgRatesDataTable87111213[[#This Row],[SeriesNumValue]]-$D$1)/$D$1+1)*100</f>
        <v>110.41868204739134</v>
      </c>
      <c r="AC36" s="34"/>
      <c r="AE36" s="7" t="s">
        <v>65</v>
      </c>
      <c r="AF36" s="10">
        <v>1.6050678316362098E-2</v>
      </c>
      <c r="AG36" s="34">
        <f>((CurrentMtgRatesDataTable8711121314[[#This Row],[SeriesNumValue]]-$D$1)/$D$1+1)*100</f>
        <v>107.00452210908067</v>
      </c>
      <c r="AH36" s="34" t="str">
        <f>YEAR(CurrentMtgRatesDataTable8711121314[[#This Row],[asofdate]])&amp;"-"&amp;MONTH(CurrentMtgRatesDataTable8711121314[[#This Row],[asofdate]])</f>
        <v>2005-12</v>
      </c>
      <c r="AI36" s="34">
        <f>CurrentMtgRatesDataTable8711121314[[#This Row],[SeriesNumValue]]</f>
        <v>1.6050678316362098E-2</v>
      </c>
      <c r="AJ36" s="34">
        <f>VLOOKUP(CurrentMtgRatesDataTable8711121314[[#This Row],[asofdate]],P:R,2,0)</f>
        <v>8.2108794617635802E-2</v>
      </c>
      <c r="AK36" s="30">
        <f>IF(VLOOKUP(CurrentMtgRatesDataTable8711121314[[#This Row],[asofdate]],U:W,2,0)&lt;&gt;0,VLOOKUP(CurrentMtgRatesDataTable8711121314[[#This Row],[asofdate]],U:W,2,0),AK35)</f>
        <v>7.8070969779932997E-2</v>
      </c>
      <c r="AL36" s="30">
        <f>VLOOKUP(CurrentMtgRatesDataTable8711121314[[#This Row],[asofdate]],Z:AB,2,0)</f>
        <v>1.6562802307108701E-2</v>
      </c>
      <c r="AM36" s="30">
        <f>CurrentMtgRatesDataTable8711121314[[#This Row],[FHA]]+0.5*CurrentMtgRatesDataTable8711121314[[#This Row],[Conventional]]</f>
        <v>9.0134133775816846E-2</v>
      </c>
      <c r="AN36" s="30">
        <f>2*CurrentMtgRatesDataTable8711121314[[#This Row],[FHA]]</f>
        <v>0.1642175892352716</v>
      </c>
      <c r="AO36" s="11">
        <f>VLOOKUP(YEAR(CurrentMtgRatesDataTable8711121314[[#This Row],[asofdate]]),OriginationVolume!$A:$N,8,FALSE)</f>
        <v>0.39564428312159711</v>
      </c>
      <c r="AP36" s="11">
        <f>VLOOKUP(YEAR(CurrentMtgRatesDataTable8711121314[[#This Row],[asofdate]]),OriginationVolume!$A:$N,9,FALSE)</f>
        <v>8.1669691470054439E-3</v>
      </c>
      <c r="AQ36" s="11">
        <f>VLOOKUP(YEAR(CurrentMtgRatesDataTable8711121314[[#This Row],[asofdate]]),OriginationVolume!$A:$N,10,FALSE)</f>
        <v>2.4500907441016333E-2</v>
      </c>
      <c r="AR36" s="11">
        <f>VLOOKUP(YEAR(CurrentMtgRatesDataTable8711121314[[#This Row],[asofdate]]),OriginationVolume!$A:$N,11,FALSE)</f>
        <v>0.20689655172413793</v>
      </c>
      <c r="AS36" s="11">
        <f>VLOOKUP(YEAR(CurrentMtgRatesDataTable8711121314[[#This Row],[asofdate]]),OriginationVolume!$A:$N,12,FALSE)</f>
        <v>0.13793103448275862</v>
      </c>
      <c r="AT36" s="11">
        <f>VLOOKUP(YEAR(CurrentMtgRatesDataTable8711121314[[#This Row],[asofdate]]),OriginationVolume!$A:$N,13,FALSE)</f>
        <v>0.22686025408348456</v>
      </c>
      <c r="AU3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AW36" s="7" t="s">
        <v>65</v>
      </c>
      <c r="AX36" s="10">
        <v>101994000</v>
      </c>
      <c r="AY36" s="31"/>
      <c r="BA36" s="7" t="s">
        <v>65</v>
      </c>
      <c r="BB36" s="10">
        <v>44252000</v>
      </c>
      <c r="BC36" s="31"/>
      <c r="BE36" s="7" t="s">
        <v>65</v>
      </c>
      <c r="BF36" s="10">
        <v>8789285117.5699997</v>
      </c>
      <c r="BG36" s="34"/>
      <c r="BI36" s="7" t="s">
        <v>65</v>
      </c>
      <c r="BJ36" s="10">
        <v>8643039117.5699997</v>
      </c>
      <c r="BK36" s="34" t="str">
        <f>YEAR(CurrentMtgRatesDataTable871112131417[[#This Row],[asofdate]])&amp;"-"&amp;MONTH(CurrentMtgRatesDataTable871112131417[[#This Row],[asofdate]])</f>
        <v>2005-12</v>
      </c>
      <c r="BL36" s="34">
        <f>CurrentMtgRatesDataTable871112131417[[#This Row],[SeriesNumValue]]</f>
        <v>8643039117.5699997</v>
      </c>
      <c r="BM36" s="34">
        <f>VLOOKUP(CurrentMtgRatesDataTable871112131417[[#This Row],[asofdate]],AW:AX,2,0)</f>
        <v>101994000</v>
      </c>
      <c r="BN36" s="30">
        <f>IF(VLOOKUP(CurrentMtgRatesDataTable871112131417[[#This Row],[asofdate]],BA:BB,2,0)&lt;&gt;0,VLOOKUP(CurrentMtgRatesDataTable871112131417[[#This Row],[asofdate]],BA:BB,2,0),BN35)</f>
        <v>44252000</v>
      </c>
      <c r="BO36" s="30">
        <f>VLOOKUP(CurrentMtgRatesDataTable871112131417[[#This Row],[asofdate]],BE:BF,2,0)</f>
        <v>8789285117.5699997</v>
      </c>
    </row>
    <row r="37" spans="1:67" s="6" customFormat="1">
      <c r="A37" s="7" t="s">
        <v>66</v>
      </c>
      <c r="B37" s="10">
        <v>1.50858754888474E-2</v>
      </c>
      <c r="C37" s="10" t="str">
        <f>YEAR(CurrentMtgRatesDataTable8[[#This Row],[asofdate]])&amp;"-"&amp;MONTH(CurrentMtgRatesDataTable8[[#This Row],[asofdate]])</f>
        <v>2006-1</v>
      </c>
      <c r="D37" s="6">
        <f>((CurrentMtgRatesDataTable8[[#This Row],[SeriesNumValue]]-$D$1)/$D$1+1)*100</f>
        <v>100.57250325898268</v>
      </c>
      <c r="I37" s="7" t="s">
        <v>22</v>
      </c>
      <c r="J37" s="10">
        <v>1.4659989209711699E-2</v>
      </c>
      <c r="K37" s="10" t="str">
        <f>YEAR(CurrentMtgRatesDataTable89[[#This Row],[asofdate]])&amp;"-"&amp;MONTH(CurrentMtgRatesDataTable89[[#This Row],[asofdate]])</f>
        <v>2012-11</v>
      </c>
      <c r="L37" s="6">
        <f>((CurrentMtgRatesDataTable89[[#This Row],[SeriesNumValue]]-$D$1)/$D$1+1)*100</f>
        <v>97.733261398078</v>
      </c>
      <c r="M37" s="6">
        <f>CurrentMtgRatesDataTable89[[#This Row],[Index]]-L38</f>
        <v>4.9399359784059982</v>
      </c>
      <c r="P37" s="7" t="s">
        <v>66</v>
      </c>
      <c r="Q37" s="10">
        <v>8.7028492327789503E-2</v>
      </c>
      <c r="R37" s="31">
        <f>((CurrentMtgRatesDataTable8711[[#This Row],[SeriesNumValue]]-$D$1)/$D$1+1)*100</f>
        <v>580.18994885193001</v>
      </c>
      <c r="S37" s="31"/>
      <c r="U37" s="7" t="s">
        <v>66</v>
      </c>
      <c r="V37" s="10">
        <v>6.7199163700533596E-2</v>
      </c>
      <c r="W37" s="31">
        <f>((CurrentMtgRatesDataTable871112[[#This Row],[SeriesNumValue]]-$D$1)/$D$1+1)*100</f>
        <v>447.99442467022396</v>
      </c>
      <c r="X37" s="31"/>
      <c r="Z37" s="7" t="s">
        <v>66</v>
      </c>
      <c r="AA37" s="10">
        <v>1.51247313995466E-2</v>
      </c>
      <c r="AB37" s="34">
        <f>((CurrentMtgRatesDataTable87111213[[#This Row],[SeriesNumValue]]-$D$1)/$D$1+1)*100</f>
        <v>100.831542663644</v>
      </c>
      <c r="AC37" s="34"/>
      <c r="AE37" s="7" t="s">
        <v>66</v>
      </c>
      <c r="AF37" s="10">
        <v>1.4831934780505301E-2</v>
      </c>
      <c r="AG37" s="34">
        <f>((CurrentMtgRatesDataTable8711121314[[#This Row],[SeriesNumValue]]-$D$1)/$D$1+1)*100</f>
        <v>98.879565203368685</v>
      </c>
      <c r="AH37" s="34" t="str">
        <f>YEAR(CurrentMtgRatesDataTable8711121314[[#This Row],[asofdate]])&amp;"-"&amp;MONTH(CurrentMtgRatesDataTable8711121314[[#This Row],[asofdate]])</f>
        <v>2006-1</v>
      </c>
      <c r="AI37" s="34">
        <f>CurrentMtgRatesDataTable8711121314[[#This Row],[SeriesNumValue]]</f>
        <v>1.4831934780505301E-2</v>
      </c>
      <c r="AJ37" s="34">
        <f>VLOOKUP(CurrentMtgRatesDataTable8711121314[[#This Row],[asofdate]],P:R,2,0)</f>
        <v>8.7028492327789503E-2</v>
      </c>
      <c r="AK37" s="30">
        <f>IF(VLOOKUP(CurrentMtgRatesDataTable8711121314[[#This Row],[asofdate]],U:W,2,0)&lt;&gt;0,VLOOKUP(CurrentMtgRatesDataTable8711121314[[#This Row],[asofdate]],U:W,2,0),AK36)</f>
        <v>6.7199163700533596E-2</v>
      </c>
      <c r="AL37" s="30">
        <f>VLOOKUP(CurrentMtgRatesDataTable8711121314[[#This Row],[asofdate]],Z:AB,2,0)</f>
        <v>1.51247313995466E-2</v>
      </c>
      <c r="AM37" s="30">
        <f>CurrentMtgRatesDataTable8711121314[[#This Row],[FHA]]+0.5*CurrentMtgRatesDataTable8711121314[[#This Row],[Conventional]]</f>
        <v>9.4444459718042148E-2</v>
      </c>
      <c r="AN37" s="30">
        <f>2*CurrentMtgRatesDataTable8711121314[[#This Row],[FHA]]</f>
        <v>0.17405698465557901</v>
      </c>
      <c r="AO37" s="11">
        <f>VLOOKUP(YEAR(CurrentMtgRatesDataTable8711121314[[#This Row],[asofdate]]),OriginationVolume!$A:$N,8,FALSE)</f>
        <v>0.38823529411764707</v>
      </c>
      <c r="AP37" s="11">
        <f>VLOOKUP(YEAR(CurrentMtgRatesDataTable8711121314[[#This Row],[asofdate]]),OriginationVolume!$A:$N,9,FALSE)</f>
        <v>7.8431372549019607E-3</v>
      </c>
      <c r="AQ37" s="11">
        <f>VLOOKUP(YEAR(CurrentMtgRatesDataTable8711121314[[#This Row],[asofdate]]),OriginationVolume!$A:$N,10,FALSE)</f>
        <v>2.3529411764705882E-2</v>
      </c>
      <c r="AR37" s="11">
        <f>VLOOKUP(YEAR(CurrentMtgRatesDataTable8711121314[[#This Row],[asofdate]]),OriginationVolume!$A:$N,11,FALSE)</f>
        <v>0.18823529411764706</v>
      </c>
      <c r="AS37" s="11">
        <f>VLOOKUP(YEAR(CurrentMtgRatesDataTable8711121314[[#This Row],[asofdate]]),OriginationVolume!$A:$N,12,FALSE)</f>
        <v>0.15686274509803921</v>
      </c>
      <c r="AT37" s="11">
        <f>VLOOKUP(YEAR(CurrentMtgRatesDataTable8711121314[[#This Row],[asofdate]]),OriginationVolume!$A:$N,13,FALSE)</f>
        <v>0.23529411764705882</v>
      </c>
      <c r="AU3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AW37" s="7" t="s">
        <v>66</v>
      </c>
      <c r="AX37" s="10">
        <v>85378000</v>
      </c>
      <c r="AY37" s="31"/>
      <c r="BA37" s="7" t="s">
        <v>66</v>
      </c>
      <c r="BB37" s="10">
        <v>33722000</v>
      </c>
      <c r="BC37" s="31"/>
      <c r="BE37" s="7" t="s">
        <v>66</v>
      </c>
      <c r="BF37" s="10">
        <v>12136303772.01</v>
      </c>
      <c r="BG37" s="34"/>
      <c r="BI37" s="7" t="s">
        <v>66</v>
      </c>
      <c r="BJ37" s="10">
        <v>12017203772.01</v>
      </c>
      <c r="BK37" s="34" t="str">
        <f>YEAR(CurrentMtgRatesDataTable871112131417[[#This Row],[asofdate]])&amp;"-"&amp;MONTH(CurrentMtgRatesDataTable871112131417[[#This Row],[asofdate]])</f>
        <v>2006-1</v>
      </c>
      <c r="BL37" s="34">
        <f>CurrentMtgRatesDataTable871112131417[[#This Row],[SeriesNumValue]]</f>
        <v>12017203772.01</v>
      </c>
      <c r="BM37" s="34">
        <f>VLOOKUP(CurrentMtgRatesDataTable871112131417[[#This Row],[asofdate]],AW:AX,2,0)</f>
        <v>85378000</v>
      </c>
      <c r="BN37" s="30">
        <f>IF(VLOOKUP(CurrentMtgRatesDataTable871112131417[[#This Row],[asofdate]],BA:BB,2,0)&lt;&gt;0,VLOOKUP(CurrentMtgRatesDataTable871112131417[[#This Row],[asofdate]],BA:BB,2,0),BN36)</f>
        <v>33722000</v>
      </c>
      <c r="BO37" s="30">
        <f>VLOOKUP(CurrentMtgRatesDataTable871112131417[[#This Row],[asofdate]],BE:BF,2,0)</f>
        <v>12136303772.01</v>
      </c>
    </row>
    <row r="38" spans="1:67" s="6" customFormat="1">
      <c r="A38" s="7" t="s">
        <v>67</v>
      </c>
      <c r="B38" s="10">
        <v>1.6838158907153698E-2</v>
      </c>
      <c r="C38" s="10" t="str">
        <f>YEAR(CurrentMtgRatesDataTable8[[#This Row],[asofdate]])&amp;"-"&amp;MONTH(CurrentMtgRatesDataTable8[[#This Row],[asofdate]])</f>
        <v>2006-2</v>
      </c>
      <c r="D38" s="6">
        <f>((CurrentMtgRatesDataTable8[[#This Row],[SeriesNumValue]]-$D$1)/$D$1+1)*100</f>
        <v>112.254392714358</v>
      </c>
      <c r="I38" s="7" t="s">
        <v>14</v>
      </c>
      <c r="J38" s="10">
        <v>1.3918998812950801E-2</v>
      </c>
      <c r="K38" s="10" t="str">
        <f>YEAR(CurrentMtgRatesDataTable89[[#This Row],[asofdate]])&amp;"-"&amp;MONTH(CurrentMtgRatesDataTable89[[#This Row],[asofdate]])</f>
        <v>2012-10</v>
      </c>
      <c r="L38" s="6">
        <f>((CurrentMtgRatesDataTable89[[#This Row],[SeriesNumValue]]-$D$1)/$D$1+1)*100</f>
        <v>92.793325419672001</v>
      </c>
      <c r="M38" s="6">
        <f>CurrentMtgRatesDataTable89[[#This Row],[Index]]-L39</f>
        <v>-2.7479158179466765</v>
      </c>
      <c r="P38" s="7" t="s">
        <v>67</v>
      </c>
      <c r="Q38" s="10">
        <v>8.9312436018572597E-2</v>
      </c>
      <c r="R38" s="31">
        <f>((CurrentMtgRatesDataTable8711[[#This Row],[SeriesNumValue]]-$D$1)/$D$1+1)*100</f>
        <v>595.41624012381737</v>
      </c>
      <c r="S38" s="31"/>
      <c r="U38" s="7" t="s">
        <v>67</v>
      </c>
      <c r="V38" s="10">
        <v>7.3484219548732604E-2</v>
      </c>
      <c r="W38" s="31">
        <f>((CurrentMtgRatesDataTable871112[[#This Row],[SeriesNumValue]]-$D$1)/$D$1+1)*100</f>
        <v>489.89479699155078</v>
      </c>
      <c r="X38" s="31"/>
      <c r="Z38" s="7" t="s">
        <v>67</v>
      </c>
      <c r="AA38" s="10">
        <v>1.6322187365636801E-2</v>
      </c>
      <c r="AB38" s="34">
        <f>((CurrentMtgRatesDataTable87111213[[#This Row],[SeriesNumValue]]-$D$1)/$D$1+1)*100</f>
        <v>108.81458243757866</v>
      </c>
      <c r="AC38" s="34"/>
      <c r="AE38" s="7" t="s">
        <v>67</v>
      </c>
      <c r="AF38" s="10">
        <v>1.6058691183526201E-2</v>
      </c>
      <c r="AG38" s="34">
        <f>((CurrentMtgRatesDataTable8711121314[[#This Row],[SeriesNumValue]]-$D$1)/$D$1+1)*100</f>
        <v>107.057941223508</v>
      </c>
      <c r="AH38" s="34" t="str">
        <f>YEAR(CurrentMtgRatesDataTable8711121314[[#This Row],[asofdate]])&amp;"-"&amp;MONTH(CurrentMtgRatesDataTable8711121314[[#This Row],[asofdate]])</f>
        <v>2006-2</v>
      </c>
      <c r="AI38" s="34">
        <f>CurrentMtgRatesDataTable8711121314[[#This Row],[SeriesNumValue]]</f>
        <v>1.6058691183526201E-2</v>
      </c>
      <c r="AJ38" s="34">
        <f>VLOOKUP(CurrentMtgRatesDataTable8711121314[[#This Row],[asofdate]],P:R,2,0)</f>
        <v>8.9312436018572597E-2</v>
      </c>
      <c r="AK38" s="30">
        <f>IF(VLOOKUP(CurrentMtgRatesDataTable8711121314[[#This Row],[asofdate]],U:W,2,0)&lt;&gt;0,VLOOKUP(CurrentMtgRatesDataTable8711121314[[#This Row],[asofdate]],U:W,2,0),AK37)</f>
        <v>7.3484219548732604E-2</v>
      </c>
      <c r="AL38" s="30">
        <f>VLOOKUP(CurrentMtgRatesDataTable8711121314[[#This Row],[asofdate]],Z:AB,2,0)</f>
        <v>1.6322187365636801E-2</v>
      </c>
      <c r="AM38" s="30">
        <f>CurrentMtgRatesDataTable8711121314[[#This Row],[FHA]]+0.5*CurrentMtgRatesDataTable8711121314[[#This Row],[Conventional]]</f>
        <v>9.7341781610335701E-2</v>
      </c>
      <c r="AN38" s="30">
        <f>2*CurrentMtgRatesDataTable8711121314[[#This Row],[FHA]]</f>
        <v>0.17862487203714519</v>
      </c>
      <c r="AO38" s="11">
        <f>VLOOKUP(YEAR(CurrentMtgRatesDataTable8711121314[[#This Row],[asofdate]]),OriginationVolume!$A:$N,8,FALSE)</f>
        <v>0.38823529411764707</v>
      </c>
      <c r="AP38" s="11">
        <f>VLOOKUP(YEAR(CurrentMtgRatesDataTable8711121314[[#This Row],[asofdate]]),OriginationVolume!$A:$N,9,FALSE)</f>
        <v>7.8431372549019607E-3</v>
      </c>
      <c r="AQ38" s="11">
        <f>VLOOKUP(YEAR(CurrentMtgRatesDataTable8711121314[[#This Row],[asofdate]]),OriginationVolume!$A:$N,10,FALSE)</f>
        <v>2.3529411764705882E-2</v>
      </c>
      <c r="AR38" s="11">
        <f>VLOOKUP(YEAR(CurrentMtgRatesDataTable8711121314[[#This Row],[asofdate]]),OriginationVolume!$A:$N,11,FALSE)</f>
        <v>0.18823529411764706</v>
      </c>
      <c r="AS38" s="11">
        <f>VLOOKUP(YEAR(CurrentMtgRatesDataTable8711121314[[#This Row],[asofdate]]),OriginationVolume!$A:$N,12,FALSE)</f>
        <v>0.15686274509803921</v>
      </c>
      <c r="AT38" s="11">
        <f>VLOOKUP(YEAR(CurrentMtgRatesDataTable8711121314[[#This Row],[asofdate]]),OriginationVolume!$A:$N,13,FALSE)</f>
        <v>0.23529411764705882</v>
      </c>
      <c r="AU3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AW38" s="7" t="s">
        <v>67</v>
      </c>
      <c r="AX38" s="10">
        <v>71184000</v>
      </c>
      <c r="AY38" s="31"/>
      <c r="BA38" s="7" t="s">
        <v>67</v>
      </c>
      <c r="BB38" s="10">
        <v>28823000</v>
      </c>
      <c r="BC38" s="31"/>
      <c r="BE38" s="7" t="s">
        <v>67</v>
      </c>
      <c r="BF38" s="10">
        <v>11923563518.219999</v>
      </c>
      <c r="BG38" s="34"/>
      <c r="BI38" s="7" t="s">
        <v>67</v>
      </c>
      <c r="BJ38" s="10">
        <v>11823556518.219999</v>
      </c>
      <c r="BK38" s="34" t="str">
        <f>YEAR(CurrentMtgRatesDataTable871112131417[[#This Row],[asofdate]])&amp;"-"&amp;MONTH(CurrentMtgRatesDataTable871112131417[[#This Row],[asofdate]])</f>
        <v>2006-2</v>
      </c>
      <c r="BL38" s="34">
        <f>CurrentMtgRatesDataTable871112131417[[#This Row],[SeriesNumValue]]</f>
        <v>11823556518.219999</v>
      </c>
      <c r="BM38" s="34">
        <f>VLOOKUP(CurrentMtgRatesDataTable871112131417[[#This Row],[asofdate]],AW:AX,2,0)</f>
        <v>71184000</v>
      </c>
      <c r="BN38" s="30">
        <f>IF(VLOOKUP(CurrentMtgRatesDataTable871112131417[[#This Row],[asofdate]],BA:BB,2,0)&lt;&gt;0,VLOOKUP(CurrentMtgRatesDataTable871112131417[[#This Row],[asofdate]],BA:BB,2,0),BN37)</f>
        <v>28823000</v>
      </c>
      <c r="BO38" s="30">
        <f>VLOOKUP(CurrentMtgRatesDataTable871112131417[[#This Row],[asofdate]],BE:BF,2,0)</f>
        <v>11923563518.219999</v>
      </c>
    </row>
    <row r="39" spans="1:67" s="6" customFormat="1">
      <c r="A39" s="7" t="s">
        <v>68</v>
      </c>
      <c r="B39" s="10">
        <v>1.6184968969742301E-2</v>
      </c>
      <c r="C39" s="10" t="str">
        <f>YEAR(CurrentMtgRatesDataTable8[[#This Row],[asofdate]])&amp;"-"&amp;MONTH(CurrentMtgRatesDataTable8[[#This Row],[asofdate]])</f>
        <v>2006-3</v>
      </c>
      <c r="D39" s="6">
        <f>((CurrentMtgRatesDataTable8[[#This Row],[SeriesNumValue]]-$D$1)/$D$1+1)*100</f>
        <v>107.89979313161535</v>
      </c>
      <c r="I39" s="7" t="s">
        <v>143</v>
      </c>
      <c r="J39" s="10">
        <v>1.4331186185642801E-2</v>
      </c>
      <c r="K39" s="10" t="str">
        <f>YEAR(CurrentMtgRatesDataTable89[[#This Row],[asofdate]])&amp;"-"&amp;MONTH(CurrentMtgRatesDataTable89[[#This Row],[asofdate]])</f>
        <v>2012-9</v>
      </c>
      <c r="L39" s="6">
        <f>((CurrentMtgRatesDataTable89[[#This Row],[SeriesNumValue]]-$D$1)/$D$1+1)*100</f>
        <v>95.541241237618678</v>
      </c>
      <c r="M39" s="6">
        <f>CurrentMtgRatesDataTable89[[#This Row],[Index]]-L40</f>
        <v>0.52392453191534116</v>
      </c>
      <c r="P39" s="7" t="s">
        <v>68</v>
      </c>
      <c r="Q39" s="10">
        <v>9.2004736353106201E-2</v>
      </c>
      <c r="R39" s="31">
        <f>((CurrentMtgRatesDataTable8711[[#This Row],[SeriesNumValue]]-$D$1)/$D$1+1)*100</f>
        <v>613.36490902070807</v>
      </c>
      <c r="S39" s="31"/>
      <c r="U39" s="7" t="s">
        <v>68</v>
      </c>
      <c r="V39" s="10">
        <v>7.29966124505744E-2</v>
      </c>
      <c r="W39" s="31">
        <f>((CurrentMtgRatesDataTable871112[[#This Row],[SeriesNumValue]]-$D$1)/$D$1+1)*100</f>
        <v>486.64408300382934</v>
      </c>
      <c r="X39" s="31"/>
      <c r="Z39" s="7" t="s">
        <v>68</v>
      </c>
      <c r="AA39" s="10">
        <v>1.69542353402297E-2</v>
      </c>
      <c r="AB39" s="34">
        <f>((CurrentMtgRatesDataTable87111213[[#This Row],[SeriesNumValue]]-$D$1)/$D$1+1)*100</f>
        <v>113.02823560153135</v>
      </c>
      <c r="AC39" s="34"/>
      <c r="AE39" s="7" t="s">
        <v>68</v>
      </c>
      <c r="AF39" s="10">
        <v>1.6697077694664299E-2</v>
      </c>
      <c r="AG39" s="34">
        <f>((CurrentMtgRatesDataTable8711121314[[#This Row],[SeriesNumValue]]-$D$1)/$D$1+1)*100</f>
        <v>111.31385129776201</v>
      </c>
      <c r="AH39" s="34" t="str">
        <f>YEAR(CurrentMtgRatesDataTable8711121314[[#This Row],[asofdate]])&amp;"-"&amp;MONTH(CurrentMtgRatesDataTable8711121314[[#This Row],[asofdate]])</f>
        <v>2006-3</v>
      </c>
      <c r="AI39" s="34">
        <f>CurrentMtgRatesDataTable8711121314[[#This Row],[SeriesNumValue]]</f>
        <v>1.6697077694664299E-2</v>
      </c>
      <c r="AJ39" s="34">
        <f>VLOOKUP(CurrentMtgRatesDataTable8711121314[[#This Row],[asofdate]],P:R,2,0)</f>
        <v>9.2004736353106201E-2</v>
      </c>
      <c r="AK39" s="30">
        <f>IF(VLOOKUP(CurrentMtgRatesDataTable8711121314[[#This Row],[asofdate]],U:W,2,0)&lt;&gt;0,VLOOKUP(CurrentMtgRatesDataTable8711121314[[#This Row],[asofdate]],U:W,2,0),AK38)</f>
        <v>7.29966124505744E-2</v>
      </c>
      <c r="AL39" s="30">
        <f>VLOOKUP(CurrentMtgRatesDataTable8711121314[[#This Row],[asofdate]],Z:AB,2,0)</f>
        <v>1.69542353402297E-2</v>
      </c>
      <c r="AM39" s="30">
        <f>CurrentMtgRatesDataTable8711121314[[#This Row],[FHA]]+0.5*CurrentMtgRatesDataTable8711121314[[#This Row],[Conventional]]</f>
        <v>0.10035327520043835</v>
      </c>
      <c r="AN39" s="30">
        <f>2*CurrentMtgRatesDataTable8711121314[[#This Row],[FHA]]</f>
        <v>0.1840094727062124</v>
      </c>
      <c r="AO39" s="11">
        <f>VLOOKUP(YEAR(CurrentMtgRatesDataTable8711121314[[#This Row],[asofdate]]),OriginationVolume!$A:$N,8,FALSE)</f>
        <v>0.38823529411764707</v>
      </c>
      <c r="AP39" s="11">
        <f>VLOOKUP(YEAR(CurrentMtgRatesDataTable8711121314[[#This Row],[asofdate]]),OriginationVolume!$A:$N,9,FALSE)</f>
        <v>7.8431372549019607E-3</v>
      </c>
      <c r="AQ39" s="11">
        <f>VLOOKUP(YEAR(CurrentMtgRatesDataTable8711121314[[#This Row],[asofdate]]),OriginationVolume!$A:$N,10,FALSE)</f>
        <v>2.3529411764705882E-2</v>
      </c>
      <c r="AR39" s="11">
        <f>VLOOKUP(YEAR(CurrentMtgRatesDataTable8711121314[[#This Row],[asofdate]]),OriginationVolume!$A:$N,11,FALSE)</f>
        <v>0.18823529411764706</v>
      </c>
      <c r="AS39" s="11">
        <f>VLOOKUP(YEAR(CurrentMtgRatesDataTable8711121314[[#This Row],[asofdate]]),OriginationVolume!$A:$N,12,FALSE)</f>
        <v>0.15686274509803921</v>
      </c>
      <c r="AT39" s="11">
        <f>VLOOKUP(YEAR(CurrentMtgRatesDataTable8711121314[[#This Row],[asofdate]]),OriginationVolume!$A:$N,13,FALSE)</f>
        <v>0.23529411764705882</v>
      </c>
      <c r="AU3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AW39" s="7" t="s">
        <v>68</v>
      </c>
      <c r="AX39" s="10">
        <v>52079000</v>
      </c>
      <c r="AY39" s="31"/>
      <c r="BA39" s="7" t="s">
        <v>68</v>
      </c>
      <c r="BB39" s="10">
        <v>19936000</v>
      </c>
      <c r="BC39" s="31"/>
      <c r="BE39" s="7" t="s">
        <v>68</v>
      </c>
      <c r="BF39" s="10">
        <v>9229412352.2800007</v>
      </c>
      <c r="BG39" s="34"/>
      <c r="BI39" s="7" t="s">
        <v>68</v>
      </c>
      <c r="BJ39" s="10">
        <v>9157397352.2800007</v>
      </c>
      <c r="BK39" s="34" t="str">
        <f>YEAR(CurrentMtgRatesDataTable871112131417[[#This Row],[asofdate]])&amp;"-"&amp;MONTH(CurrentMtgRatesDataTable871112131417[[#This Row],[asofdate]])</f>
        <v>2006-3</v>
      </c>
      <c r="BL39" s="34">
        <f>CurrentMtgRatesDataTable871112131417[[#This Row],[SeriesNumValue]]</f>
        <v>9157397352.2800007</v>
      </c>
      <c r="BM39" s="34">
        <f>VLOOKUP(CurrentMtgRatesDataTable871112131417[[#This Row],[asofdate]],AW:AX,2,0)</f>
        <v>52079000</v>
      </c>
      <c r="BN39" s="30">
        <f>IF(VLOOKUP(CurrentMtgRatesDataTable871112131417[[#This Row],[asofdate]],BA:BB,2,0)&lt;&gt;0,VLOOKUP(CurrentMtgRatesDataTable871112131417[[#This Row],[asofdate]],BA:BB,2,0),BN38)</f>
        <v>19936000</v>
      </c>
      <c r="BO39" s="30">
        <f>VLOOKUP(CurrentMtgRatesDataTable871112131417[[#This Row],[asofdate]],BE:BF,2,0)</f>
        <v>9229412352.2800007</v>
      </c>
    </row>
    <row r="40" spans="1:67" s="6" customFormat="1">
      <c r="A40" s="7" t="s">
        <v>69</v>
      </c>
      <c r="B40" s="10">
        <v>1.5851067913786501E-2</v>
      </c>
      <c r="C40" s="10" t="str">
        <f>YEAR(CurrentMtgRatesDataTable8[[#This Row],[asofdate]])&amp;"-"&amp;MONTH(CurrentMtgRatesDataTable8[[#This Row],[asofdate]])</f>
        <v>2006-4</v>
      </c>
      <c r="D40" s="6">
        <f>((CurrentMtgRatesDataTable8[[#This Row],[SeriesNumValue]]-$D$1)/$D$1+1)*100</f>
        <v>105.67378609191</v>
      </c>
      <c r="I40" s="7" t="s">
        <v>6</v>
      </c>
      <c r="J40" s="10">
        <v>1.42525975058555E-2</v>
      </c>
      <c r="K40" s="10" t="str">
        <f>YEAR(CurrentMtgRatesDataTable89[[#This Row],[asofdate]])&amp;"-"&amp;MONTH(CurrentMtgRatesDataTable89[[#This Row],[asofdate]])</f>
        <v>2012-8</v>
      </c>
      <c r="L40" s="6">
        <f>((CurrentMtgRatesDataTable89[[#This Row],[SeriesNumValue]]-$D$1)/$D$1+1)*100</f>
        <v>95.017316705703337</v>
      </c>
      <c r="M40" s="6">
        <f>CurrentMtgRatesDataTable89[[#This Row],[Index]]-L41</f>
        <v>0.4117940217140017</v>
      </c>
      <c r="P40" s="7" t="s">
        <v>69</v>
      </c>
      <c r="Q40" s="10">
        <v>9.0269691219839895E-2</v>
      </c>
      <c r="R40" s="31">
        <f>((CurrentMtgRatesDataTable8711[[#This Row],[SeriesNumValue]]-$D$1)/$D$1+1)*100</f>
        <v>601.79794146559937</v>
      </c>
      <c r="S40" s="31"/>
      <c r="U40" s="7" t="s">
        <v>69</v>
      </c>
      <c r="V40" s="10">
        <v>7.5604220137534706E-2</v>
      </c>
      <c r="W40" s="31">
        <f>((CurrentMtgRatesDataTable871112[[#This Row],[SeriesNumValue]]-$D$1)/$D$1+1)*100</f>
        <v>504.0281342502314</v>
      </c>
      <c r="X40" s="31"/>
      <c r="Z40" s="7" t="s">
        <v>69</v>
      </c>
      <c r="AA40" s="10">
        <v>1.6492211112520298E-2</v>
      </c>
      <c r="AB40" s="34">
        <f>((CurrentMtgRatesDataTable87111213[[#This Row],[SeriesNumValue]]-$D$1)/$D$1+1)*100</f>
        <v>109.94807408346865</v>
      </c>
      <c r="AC40" s="34"/>
      <c r="AE40" s="7" t="s">
        <v>69</v>
      </c>
      <c r="AF40" s="10">
        <v>1.6176030883114801E-2</v>
      </c>
      <c r="AG40" s="34">
        <f>((CurrentMtgRatesDataTable8711121314[[#This Row],[SeriesNumValue]]-$D$1)/$D$1+1)*100</f>
        <v>107.84020588743202</v>
      </c>
      <c r="AH40" s="34" t="str">
        <f>YEAR(CurrentMtgRatesDataTable8711121314[[#This Row],[asofdate]])&amp;"-"&amp;MONTH(CurrentMtgRatesDataTable8711121314[[#This Row],[asofdate]])</f>
        <v>2006-4</v>
      </c>
      <c r="AI40" s="34">
        <f>CurrentMtgRatesDataTable8711121314[[#This Row],[SeriesNumValue]]</f>
        <v>1.6176030883114801E-2</v>
      </c>
      <c r="AJ40" s="34">
        <f>VLOOKUP(CurrentMtgRatesDataTable8711121314[[#This Row],[asofdate]],P:R,2,0)</f>
        <v>9.0269691219839895E-2</v>
      </c>
      <c r="AK40" s="30">
        <f>IF(VLOOKUP(CurrentMtgRatesDataTable8711121314[[#This Row],[asofdate]],U:W,2,0)&lt;&gt;0,VLOOKUP(CurrentMtgRatesDataTable8711121314[[#This Row],[asofdate]],U:W,2,0),AK39)</f>
        <v>7.5604220137534706E-2</v>
      </c>
      <c r="AL40" s="30">
        <f>VLOOKUP(CurrentMtgRatesDataTable8711121314[[#This Row],[asofdate]],Z:AB,2,0)</f>
        <v>1.6492211112520298E-2</v>
      </c>
      <c r="AM40" s="30">
        <f>CurrentMtgRatesDataTable8711121314[[#This Row],[FHA]]+0.5*CurrentMtgRatesDataTable8711121314[[#This Row],[Conventional]]</f>
        <v>9.8357706661397301E-2</v>
      </c>
      <c r="AN40" s="30">
        <f>2*CurrentMtgRatesDataTable8711121314[[#This Row],[FHA]]</f>
        <v>0.18053938243967979</v>
      </c>
      <c r="AO40" s="11">
        <f>VLOOKUP(YEAR(CurrentMtgRatesDataTable8711121314[[#This Row],[asofdate]]),OriginationVolume!$A:$N,8,FALSE)</f>
        <v>0.38823529411764707</v>
      </c>
      <c r="AP40" s="11">
        <f>VLOOKUP(YEAR(CurrentMtgRatesDataTable8711121314[[#This Row],[asofdate]]),OriginationVolume!$A:$N,9,FALSE)</f>
        <v>7.8431372549019607E-3</v>
      </c>
      <c r="AQ40" s="11">
        <f>VLOOKUP(YEAR(CurrentMtgRatesDataTable8711121314[[#This Row],[asofdate]]),OriginationVolume!$A:$N,10,FALSE)</f>
        <v>2.3529411764705882E-2</v>
      </c>
      <c r="AR40" s="11">
        <f>VLOOKUP(YEAR(CurrentMtgRatesDataTable8711121314[[#This Row],[asofdate]]),OriginationVolume!$A:$N,11,FALSE)</f>
        <v>0.18823529411764706</v>
      </c>
      <c r="AS40" s="11">
        <f>VLOOKUP(YEAR(CurrentMtgRatesDataTable8711121314[[#This Row],[asofdate]]),OriginationVolume!$A:$N,12,FALSE)</f>
        <v>0.15686274509803921</v>
      </c>
      <c r="AT40" s="11">
        <f>VLOOKUP(YEAR(CurrentMtgRatesDataTable8711121314[[#This Row],[asofdate]]),OriginationVolume!$A:$N,13,FALSE)</f>
        <v>0.23529411764705882</v>
      </c>
      <c r="AU4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AW40" s="7" t="s">
        <v>69</v>
      </c>
      <c r="AX40" s="10">
        <v>76009000</v>
      </c>
      <c r="AY40" s="31"/>
      <c r="BA40" s="7" t="s">
        <v>69</v>
      </c>
      <c r="BB40" s="10">
        <v>24968000</v>
      </c>
      <c r="BC40" s="31"/>
      <c r="BE40" s="7" t="s">
        <v>69</v>
      </c>
      <c r="BF40" s="10">
        <v>10533508526.41</v>
      </c>
      <c r="BG40" s="34"/>
      <c r="BI40" s="7" t="s">
        <v>69</v>
      </c>
      <c r="BJ40" s="10">
        <v>10432531526.41</v>
      </c>
      <c r="BK40" s="34" t="str">
        <f>YEAR(CurrentMtgRatesDataTable871112131417[[#This Row],[asofdate]])&amp;"-"&amp;MONTH(CurrentMtgRatesDataTable871112131417[[#This Row],[asofdate]])</f>
        <v>2006-4</v>
      </c>
      <c r="BL40" s="34">
        <f>CurrentMtgRatesDataTable871112131417[[#This Row],[SeriesNumValue]]</f>
        <v>10432531526.41</v>
      </c>
      <c r="BM40" s="34">
        <f>VLOOKUP(CurrentMtgRatesDataTable871112131417[[#This Row],[asofdate]],AW:AX,2,0)</f>
        <v>76009000</v>
      </c>
      <c r="BN40" s="30">
        <f>IF(VLOOKUP(CurrentMtgRatesDataTable871112131417[[#This Row],[asofdate]],BA:BB,2,0)&lt;&gt;0,VLOOKUP(CurrentMtgRatesDataTable871112131417[[#This Row],[asofdate]],BA:BB,2,0),BN39)</f>
        <v>24968000</v>
      </c>
      <c r="BO40" s="30">
        <f>VLOOKUP(CurrentMtgRatesDataTable871112131417[[#This Row],[asofdate]],BE:BF,2,0)</f>
        <v>10533508526.41</v>
      </c>
    </row>
    <row r="41" spans="1:67" s="6" customFormat="1">
      <c r="A41" s="7" t="s">
        <v>70</v>
      </c>
      <c r="B41" s="10">
        <v>1.51225454848288E-2</v>
      </c>
      <c r="C41" s="10" t="str">
        <f>YEAR(CurrentMtgRatesDataTable8[[#This Row],[asofdate]])&amp;"-"&amp;MONTH(CurrentMtgRatesDataTable8[[#This Row],[asofdate]])</f>
        <v>2006-5</v>
      </c>
      <c r="D41" s="6">
        <f>((CurrentMtgRatesDataTable8[[#This Row],[SeriesNumValue]]-$D$1)/$D$1+1)*100</f>
        <v>100.81696989885867</v>
      </c>
      <c r="I41" s="7" t="s">
        <v>142</v>
      </c>
      <c r="J41" s="10">
        <v>1.41908284025984E-2</v>
      </c>
      <c r="K41" s="10" t="str">
        <f>YEAR(CurrentMtgRatesDataTable89[[#This Row],[asofdate]])&amp;"-"&amp;MONTH(CurrentMtgRatesDataTable89[[#This Row],[asofdate]])</f>
        <v>2012-7</v>
      </c>
      <c r="L41" s="6">
        <f>((CurrentMtgRatesDataTable89[[#This Row],[SeriesNumValue]]-$D$1)/$D$1+1)*100</f>
        <v>94.605522683989335</v>
      </c>
      <c r="M41" s="6">
        <f>CurrentMtgRatesDataTable89[[#This Row],[Index]]-L42</f>
        <v>3.3909754297826709</v>
      </c>
      <c r="P41" s="7" t="s">
        <v>70</v>
      </c>
      <c r="Q41" s="10">
        <v>9.0992959299858497E-2</v>
      </c>
      <c r="R41" s="31">
        <f>((CurrentMtgRatesDataTable8711[[#This Row],[SeriesNumValue]]-$D$1)/$D$1+1)*100</f>
        <v>606.61972866572341</v>
      </c>
      <c r="S41" s="31"/>
      <c r="U41" s="7" t="s">
        <v>70</v>
      </c>
      <c r="V41" s="10">
        <v>8.5117661602461606E-2</v>
      </c>
      <c r="W41" s="31">
        <f>((CurrentMtgRatesDataTable871112[[#This Row],[SeriesNumValue]]-$D$1)/$D$1+1)*100</f>
        <v>567.45107734974408</v>
      </c>
      <c r="X41" s="31"/>
      <c r="Z41" s="7" t="s">
        <v>70</v>
      </c>
      <c r="AA41" s="10">
        <v>1.61936419467263E-2</v>
      </c>
      <c r="AB41" s="34">
        <f>((CurrentMtgRatesDataTable87111213[[#This Row],[SeriesNumValue]]-$D$1)/$D$1+1)*100</f>
        <v>107.95761297817535</v>
      </c>
      <c r="AC41" s="34"/>
      <c r="AE41" s="7" t="s">
        <v>70</v>
      </c>
      <c r="AF41" s="10">
        <v>1.5849977078417201E-2</v>
      </c>
      <c r="AG41" s="34">
        <f>((CurrentMtgRatesDataTable8711121314[[#This Row],[SeriesNumValue]]-$D$1)/$D$1+1)*100</f>
        <v>105.66651385611468</v>
      </c>
      <c r="AH41" s="34" t="str">
        <f>YEAR(CurrentMtgRatesDataTable8711121314[[#This Row],[asofdate]])&amp;"-"&amp;MONTH(CurrentMtgRatesDataTable8711121314[[#This Row],[asofdate]])</f>
        <v>2006-5</v>
      </c>
      <c r="AI41" s="34">
        <f>CurrentMtgRatesDataTable8711121314[[#This Row],[SeriesNumValue]]</f>
        <v>1.5849977078417201E-2</v>
      </c>
      <c r="AJ41" s="34">
        <f>VLOOKUP(CurrentMtgRatesDataTable8711121314[[#This Row],[asofdate]],P:R,2,0)</f>
        <v>9.0992959299858497E-2</v>
      </c>
      <c r="AK41" s="30">
        <f>IF(VLOOKUP(CurrentMtgRatesDataTable8711121314[[#This Row],[asofdate]],U:W,2,0)&lt;&gt;0,VLOOKUP(CurrentMtgRatesDataTable8711121314[[#This Row],[asofdate]],U:W,2,0),AK40)</f>
        <v>8.5117661602461606E-2</v>
      </c>
      <c r="AL41" s="30">
        <f>VLOOKUP(CurrentMtgRatesDataTable8711121314[[#This Row],[asofdate]],Z:AB,2,0)</f>
        <v>1.61936419467263E-2</v>
      </c>
      <c r="AM41" s="30">
        <f>CurrentMtgRatesDataTable8711121314[[#This Row],[FHA]]+0.5*CurrentMtgRatesDataTable8711121314[[#This Row],[Conventional]]</f>
        <v>9.89179478390671E-2</v>
      </c>
      <c r="AN41" s="30">
        <f>2*CurrentMtgRatesDataTable8711121314[[#This Row],[FHA]]</f>
        <v>0.18198591859971699</v>
      </c>
      <c r="AO41" s="11">
        <f>VLOOKUP(YEAR(CurrentMtgRatesDataTable8711121314[[#This Row],[asofdate]]),OriginationVolume!$A:$N,8,FALSE)</f>
        <v>0.38823529411764707</v>
      </c>
      <c r="AP41" s="11">
        <f>VLOOKUP(YEAR(CurrentMtgRatesDataTable8711121314[[#This Row],[asofdate]]),OriginationVolume!$A:$N,9,FALSE)</f>
        <v>7.8431372549019607E-3</v>
      </c>
      <c r="AQ41" s="11">
        <f>VLOOKUP(YEAR(CurrentMtgRatesDataTable8711121314[[#This Row],[asofdate]]),OriginationVolume!$A:$N,10,FALSE)</f>
        <v>2.3529411764705882E-2</v>
      </c>
      <c r="AR41" s="11">
        <f>VLOOKUP(YEAR(CurrentMtgRatesDataTable8711121314[[#This Row],[asofdate]]),OriginationVolume!$A:$N,11,FALSE)</f>
        <v>0.18823529411764706</v>
      </c>
      <c r="AS41" s="11">
        <f>VLOOKUP(YEAR(CurrentMtgRatesDataTable8711121314[[#This Row],[asofdate]]),OriginationVolume!$A:$N,12,FALSE)</f>
        <v>0.15686274509803921</v>
      </c>
      <c r="AT41" s="11">
        <f>VLOOKUP(YEAR(CurrentMtgRatesDataTable8711121314[[#This Row],[asofdate]]),OriginationVolume!$A:$N,13,FALSE)</f>
        <v>0.23529411764705882</v>
      </c>
      <c r="AU4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AW41" s="7" t="s">
        <v>70</v>
      </c>
      <c r="AX41" s="10">
        <v>102061000</v>
      </c>
      <c r="AY41" s="31"/>
      <c r="BA41" s="7" t="s">
        <v>70</v>
      </c>
      <c r="BB41" s="10">
        <v>33982000</v>
      </c>
      <c r="BC41" s="31"/>
      <c r="BE41" s="7" t="s">
        <v>70</v>
      </c>
      <c r="BF41" s="10">
        <v>13232342261.450001</v>
      </c>
      <c r="BG41" s="34"/>
      <c r="BI41" s="7" t="s">
        <v>70</v>
      </c>
      <c r="BJ41" s="10">
        <v>13096299261.450001</v>
      </c>
      <c r="BK41" s="34" t="str">
        <f>YEAR(CurrentMtgRatesDataTable871112131417[[#This Row],[asofdate]])&amp;"-"&amp;MONTH(CurrentMtgRatesDataTable871112131417[[#This Row],[asofdate]])</f>
        <v>2006-5</v>
      </c>
      <c r="BL41" s="34">
        <f>CurrentMtgRatesDataTable871112131417[[#This Row],[SeriesNumValue]]</f>
        <v>13096299261.450001</v>
      </c>
      <c r="BM41" s="34">
        <f>VLOOKUP(CurrentMtgRatesDataTable871112131417[[#This Row],[asofdate]],AW:AX,2,0)</f>
        <v>102061000</v>
      </c>
      <c r="BN41" s="30">
        <f>IF(VLOOKUP(CurrentMtgRatesDataTable871112131417[[#This Row],[asofdate]],BA:BB,2,0)&lt;&gt;0,VLOOKUP(CurrentMtgRatesDataTable871112131417[[#This Row],[asofdate]],BA:BB,2,0),BN40)</f>
        <v>33982000</v>
      </c>
      <c r="BO41" s="30">
        <f>VLOOKUP(CurrentMtgRatesDataTable871112131417[[#This Row],[asofdate]],BE:BF,2,0)</f>
        <v>13232342261.450001</v>
      </c>
    </row>
    <row r="42" spans="1:67" s="6" customFormat="1">
      <c r="A42" s="7" t="s">
        <v>71</v>
      </c>
      <c r="B42" s="10">
        <v>1.52571454190662E-2</v>
      </c>
      <c r="C42" s="10" t="str">
        <f>YEAR(CurrentMtgRatesDataTable8[[#This Row],[asofdate]])&amp;"-"&amp;MONTH(CurrentMtgRatesDataTable8[[#This Row],[asofdate]])</f>
        <v>2006-6</v>
      </c>
      <c r="D42" s="6">
        <f>((CurrentMtgRatesDataTable8[[#This Row],[SeriesNumValue]]-$D$1)/$D$1+1)*100</f>
        <v>101.71430279377466</v>
      </c>
      <c r="I42" s="7" t="s">
        <v>17</v>
      </c>
      <c r="J42" s="10">
        <v>1.3682182088131E-2</v>
      </c>
      <c r="K42" s="10" t="str">
        <f>YEAR(CurrentMtgRatesDataTable89[[#This Row],[asofdate]])&amp;"-"&amp;MONTH(CurrentMtgRatesDataTable89[[#This Row],[asofdate]])</f>
        <v>2012-6</v>
      </c>
      <c r="L42" s="6">
        <f>((CurrentMtgRatesDataTable89[[#This Row],[SeriesNumValue]]-$D$1)/$D$1+1)*100</f>
        <v>91.214547254206664</v>
      </c>
      <c r="M42" s="6">
        <f>CurrentMtgRatesDataTable89[[#This Row],[Index]]-L43</f>
        <v>4.8190208846539804</v>
      </c>
      <c r="P42" s="7" t="s">
        <v>71</v>
      </c>
      <c r="Q42" s="10">
        <v>8.7665901172641697E-2</v>
      </c>
      <c r="R42" s="31">
        <f>((CurrentMtgRatesDataTable8711[[#This Row],[SeriesNumValue]]-$D$1)/$D$1+1)*100</f>
        <v>584.43934115094464</v>
      </c>
      <c r="S42" s="31"/>
      <c r="U42" s="7" t="s">
        <v>71</v>
      </c>
      <c r="V42" s="10">
        <v>7.3721687246315296E-2</v>
      </c>
      <c r="W42" s="31">
        <f>((CurrentMtgRatesDataTable871112[[#This Row],[SeriesNumValue]]-$D$1)/$D$1+1)*100</f>
        <v>491.47791497543534</v>
      </c>
      <c r="X42" s="31"/>
      <c r="Z42" s="7" t="s">
        <v>71</v>
      </c>
      <c r="AA42" s="10">
        <v>1.5817086974787599E-2</v>
      </c>
      <c r="AB42" s="34">
        <f>((CurrentMtgRatesDataTable87111213[[#This Row],[SeriesNumValue]]-$D$1)/$D$1+1)*100</f>
        <v>105.44724649858399</v>
      </c>
      <c r="AC42" s="34"/>
      <c r="AE42" s="7" t="s">
        <v>71</v>
      </c>
      <c r="AF42" s="10">
        <v>1.55432241290006E-2</v>
      </c>
      <c r="AG42" s="34">
        <f>((CurrentMtgRatesDataTable8711121314[[#This Row],[SeriesNumValue]]-$D$1)/$D$1+1)*100</f>
        <v>103.62149419333733</v>
      </c>
      <c r="AH42" s="34" t="str">
        <f>YEAR(CurrentMtgRatesDataTable8711121314[[#This Row],[asofdate]])&amp;"-"&amp;MONTH(CurrentMtgRatesDataTable8711121314[[#This Row],[asofdate]])</f>
        <v>2006-6</v>
      </c>
      <c r="AI42" s="34">
        <f>CurrentMtgRatesDataTable8711121314[[#This Row],[SeriesNumValue]]</f>
        <v>1.55432241290006E-2</v>
      </c>
      <c r="AJ42" s="34">
        <f>VLOOKUP(CurrentMtgRatesDataTable8711121314[[#This Row],[asofdate]],P:R,2,0)</f>
        <v>8.7665901172641697E-2</v>
      </c>
      <c r="AK42" s="30">
        <f>IF(VLOOKUP(CurrentMtgRatesDataTable8711121314[[#This Row],[asofdate]],U:W,2,0)&lt;&gt;0,VLOOKUP(CurrentMtgRatesDataTable8711121314[[#This Row],[asofdate]],U:W,2,0),AK41)</f>
        <v>7.3721687246315296E-2</v>
      </c>
      <c r="AL42" s="30">
        <f>VLOOKUP(CurrentMtgRatesDataTable8711121314[[#This Row],[asofdate]],Z:AB,2,0)</f>
        <v>1.5817086974787599E-2</v>
      </c>
      <c r="AM42" s="30">
        <f>CurrentMtgRatesDataTable8711121314[[#This Row],[FHA]]+0.5*CurrentMtgRatesDataTable8711121314[[#This Row],[Conventional]]</f>
        <v>9.5437513237142002E-2</v>
      </c>
      <c r="AN42" s="30">
        <f>2*CurrentMtgRatesDataTable8711121314[[#This Row],[FHA]]</f>
        <v>0.17533180234528339</v>
      </c>
      <c r="AO42" s="11">
        <f>VLOOKUP(YEAR(CurrentMtgRatesDataTable8711121314[[#This Row],[asofdate]]),OriginationVolume!$A:$N,8,FALSE)</f>
        <v>0.38823529411764707</v>
      </c>
      <c r="AP42" s="11">
        <f>VLOOKUP(YEAR(CurrentMtgRatesDataTable8711121314[[#This Row],[asofdate]]),OriginationVolume!$A:$N,9,FALSE)</f>
        <v>7.8431372549019607E-3</v>
      </c>
      <c r="AQ42" s="11">
        <f>VLOOKUP(YEAR(CurrentMtgRatesDataTable8711121314[[#This Row],[asofdate]]),OriginationVolume!$A:$N,10,FALSE)</f>
        <v>2.3529411764705882E-2</v>
      </c>
      <c r="AR42" s="11">
        <f>VLOOKUP(YEAR(CurrentMtgRatesDataTable8711121314[[#This Row],[asofdate]]),OriginationVolume!$A:$N,11,FALSE)</f>
        <v>0.18823529411764706</v>
      </c>
      <c r="AS42" s="11">
        <f>VLOOKUP(YEAR(CurrentMtgRatesDataTable8711121314[[#This Row],[asofdate]]),OriginationVolume!$A:$N,12,FALSE)</f>
        <v>0.15686274509803921</v>
      </c>
      <c r="AT42" s="11">
        <f>VLOOKUP(YEAR(CurrentMtgRatesDataTable8711121314[[#This Row],[asofdate]]),OriginationVolume!$A:$N,13,FALSE)</f>
        <v>0.23529411764705882</v>
      </c>
      <c r="AU4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AW42" s="7" t="s">
        <v>71</v>
      </c>
      <c r="AX42" s="10">
        <v>92927000</v>
      </c>
      <c r="AY42" s="31"/>
      <c r="BA42" s="7" t="s">
        <v>71</v>
      </c>
      <c r="BB42" s="10">
        <v>23430000</v>
      </c>
      <c r="BC42" s="31"/>
      <c r="BE42" s="7" t="s">
        <v>71</v>
      </c>
      <c r="BF42" s="10">
        <v>13208560782.91</v>
      </c>
      <c r="BG42" s="34"/>
      <c r="BI42" s="7" t="s">
        <v>71</v>
      </c>
      <c r="BJ42" s="10">
        <v>13092203782.91</v>
      </c>
      <c r="BK42" s="34" t="str">
        <f>YEAR(CurrentMtgRatesDataTable871112131417[[#This Row],[asofdate]])&amp;"-"&amp;MONTH(CurrentMtgRatesDataTable871112131417[[#This Row],[asofdate]])</f>
        <v>2006-6</v>
      </c>
      <c r="BL42" s="34">
        <f>CurrentMtgRatesDataTable871112131417[[#This Row],[SeriesNumValue]]</f>
        <v>13092203782.91</v>
      </c>
      <c r="BM42" s="34">
        <f>VLOOKUP(CurrentMtgRatesDataTable871112131417[[#This Row],[asofdate]],AW:AX,2,0)</f>
        <v>92927000</v>
      </c>
      <c r="BN42" s="30">
        <f>IF(VLOOKUP(CurrentMtgRatesDataTable871112131417[[#This Row],[asofdate]],BA:BB,2,0)&lt;&gt;0,VLOOKUP(CurrentMtgRatesDataTable871112131417[[#This Row],[asofdate]],BA:BB,2,0),BN41)</f>
        <v>23430000</v>
      </c>
      <c r="BO42" s="30">
        <f>VLOOKUP(CurrentMtgRatesDataTable871112131417[[#This Row],[asofdate]],BE:BF,2,0)</f>
        <v>13208560782.91</v>
      </c>
    </row>
    <row r="43" spans="1:67" s="6" customFormat="1">
      <c r="A43" s="7" t="s">
        <v>72</v>
      </c>
      <c r="B43" s="10">
        <v>1.54852405714671E-2</v>
      </c>
      <c r="C43" s="10" t="str">
        <f>YEAR(CurrentMtgRatesDataTable8[[#This Row],[asofdate]])&amp;"-"&amp;MONTH(CurrentMtgRatesDataTable8[[#This Row],[asofdate]])</f>
        <v>2006-7</v>
      </c>
      <c r="D43" s="6">
        <f>((CurrentMtgRatesDataTable8[[#This Row],[SeriesNumValue]]-$D$1)/$D$1+1)*100</f>
        <v>103.234937143114</v>
      </c>
      <c r="I43" s="7" t="s">
        <v>9</v>
      </c>
      <c r="J43" s="10">
        <v>1.29593289554329E-2</v>
      </c>
      <c r="K43" s="10" t="str">
        <f>YEAR(CurrentMtgRatesDataTable89[[#This Row],[asofdate]])&amp;"-"&amp;MONTH(CurrentMtgRatesDataTable89[[#This Row],[asofdate]])</f>
        <v>2012-5</v>
      </c>
      <c r="L43" s="6">
        <f>((CurrentMtgRatesDataTable89[[#This Row],[SeriesNumValue]]-$D$1)/$D$1+1)*100</f>
        <v>86.395526369552684</v>
      </c>
      <c r="M43" s="6">
        <f>CurrentMtgRatesDataTable89[[#This Row],[Index]]-L44</f>
        <v>-1.8121862433133202</v>
      </c>
      <c r="P43" s="7" t="s">
        <v>72</v>
      </c>
      <c r="Q43" s="10">
        <v>9.4627360659875495E-2</v>
      </c>
      <c r="R43" s="31">
        <f>((CurrentMtgRatesDataTable8711[[#This Row],[SeriesNumValue]]-$D$1)/$D$1+1)*100</f>
        <v>630.84907106583671</v>
      </c>
      <c r="S43" s="31"/>
      <c r="U43" s="7" t="s">
        <v>72</v>
      </c>
      <c r="V43" s="10">
        <v>7.1097707040510896E-2</v>
      </c>
      <c r="W43" s="31">
        <f>((CurrentMtgRatesDataTable871112[[#This Row],[SeriesNumValue]]-$D$1)/$D$1+1)*100</f>
        <v>473.98471360340596</v>
      </c>
      <c r="X43" s="31"/>
      <c r="Z43" s="7" t="s">
        <v>72</v>
      </c>
      <c r="AA43" s="10">
        <v>1.6005456144046401E-2</v>
      </c>
      <c r="AB43" s="34">
        <f>((CurrentMtgRatesDataTable87111213[[#This Row],[SeriesNumValue]]-$D$1)/$D$1+1)*100</f>
        <v>106.70304096030934</v>
      </c>
      <c r="AC43" s="34"/>
      <c r="AE43" s="7" t="s">
        <v>72</v>
      </c>
      <c r="AF43" s="10">
        <v>1.5780549034031699E-2</v>
      </c>
      <c r="AG43" s="34">
        <f>((CurrentMtgRatesDataTable8711121314[[#This Row],[SeriesNumValue]]-$D$1)/$D$1+1)*100</f>
        <v>105.20366022687799</v>
      </c>
      <c r="AH43" s="34" t="str">
        <f>YEAR(CurrentMtgRatesDataTable8711121314[[#This Row],[asofdate]])&amp;"-"&amp;MONTH(CurrentMtgRatesDataTable8711121314[[#This Row],[asofdate]])</f>
        <v>2006-7</v>
      </c>
      <c r="AI43" s="34">
        <f>CurrentMtgRatesDataTable8711121314[[#This Row],[SeriesNumValue]]</f>
        <v>1.5780549034031699E-2</v>
      </c>
      <c r="AJ43" s="34">
        <f>VLOOKUP(CurrentMtgRatesDataTable8711121314[[#This Row],[asofdate]],P:R,2,0)</f>
        <v>9.4627360659875495E-2</v>
      </c>
      <c r="AK43" s="30">
        <f>IF(VLOOKUP(CurrentMtgRatesDataTable8711121314[[#This Row],[asofdate]],U:W,2,0)&lt;&gt;0,VLOOKUP(CurrentMtgRatesDataTable8711121314[[#This Row],[asofdate]],U:W,2,0),AK42)</f>
        <v>7.1097707040510896E-2</v>
      </c>
      <c r="AL43" s="30">
        <f>VLOOKUP(CurrentMtgRatesDataTable8711121314[[#This Row],[asofdate]],Z:AB,2,0)</f>
        <v>1.6005456144046401E-2</v>
      </c>
      <c r="AM43" s="30">
        <f>CurrentMtgRatesDataTable8711121314[[#This Row],[FHA]]+0.5*CurrentMtgRatesDataTable8711121314[[#This Row],[Conventional]]</f>
        <v>0.10251763517689134</v>
      </c>
      <c r="AN43" s="30">
        <f>2*CurrentMtgRatesDataTable8711121314[[#This Row],[FHA]]</f>
        <v>0.18925472131975099</v>
      </c>
      <c r="AO43" s="11">
        <f>VLOOKUP(YEAR(CurrentMtgRatesDataTable8711121314[[#This Row],[asofdate]]),OriginationVolume!$A:$N,8,FALSE)</f>
        <v>0.38823529411764707</v>
      </c>
      <c r="AP43" s="11">
        <f>VLOOKUP(YEAR(CurrentMtgRatesDataTable8711121314[[#This Row],[asofdate]]),OriginationVolume!$A:$N,9,FALSE)</f>
        <v>7.8431372549019607E-3</v>
      </c>
      <c r="AQ43" s="11">
        <f>VLOOKUP(YEAR(CurrentMtgRatesDataTable8711121314[[#This Row],[asofdate]]),OriginationVolume!$A:$N,10,FALSE)</f>
        <v>2.3529411764705882E-2</v>
      </c>
      <c r="AR43" s="11">
        <f>VLOOKUP(YEAR(CurrentMtgRatesDataTable8711121314[[#This Row],[asofdate]]),OriginationVolume!$A:$N,11,FALSE)</f>
        <v>0.18823529411764706</v>
      </c>
      <c r="AS43" s="11">
        <f>VLOOKUP(YEAR(CurrentMtgRatesDataTable8711121314[[#This Row],[asofdate]]),OriginationVolume!$A:$N,12,FALSE)</f>
        <v>0.15686274509803921</v>
      </c>
      <c r="AT43" s="11">
        <f>VLOOKUP(YEAR(CurrentMtgRatesDataTable8711121314[[#This Row],[asofdate]]),OriginationVolume!$A:$N,13,FALSE)</f>
        <v>0.23529411764705882</v>
      </c>
      <c r="AU4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AW43" s="7" t="s">
        <v>72</v>
      </c>
      <c r="AX43" s="10">
        <v>87646000</v>
      </c>
      <c r="AY43" s="31"/>
      <c r="BA43" s="7" t="s">
        <v>72</v>
      </c>
      <c r="BB43" s="10">
        <v>22194000</v>
      </c>
      <c r="BC43" s="31"/>
      <c r="BE43" s="7" t="s">
        <v>72</v>
      </c>
      <c r="BF43" s="10">
        <v>15345415496.129999</v>
      </c>
      <c r="BG43" s="34"/>
      <c r="BI43" s="7" t="s">
        <v>72</v>
      </c>
      <c r="BJ43" s="10">
        <v>15235575496.129999</v>
      </c>
      <c r="BK43" s="34" t="str">
        <f>YEAR(CurrentMtgRatesDataTable871112131417[[#This Row],[asofdate]])&amp;"-"&amp;MONTH(CurrentMtgRatesDataTable871112131417[[#This Row],[asofdate]])</f>
        <v>2006-7</v>
      </c>
      <c r="BL43" s="34">
        <f>CurrentMtgRatesDataTable871112131417[[#This Row],[SeriesNumValue]]</f>
        <v>15235575496.129999</v>
      </c>
      <c r="BM43" s="34">
        <f>VLOOKUP(CurrentMtgRatesDataTable871112131417[[#This Row],[asofdate]],AW:AX,2,0)</f>
        <v>87646000</v>
      </c>
      <c r="BN43" s="30">
        <f>IF(VLOOKUP(CurrentMtgRatesDataTable871112131417[[#This Row],[asofdate]],BA:BB,2,0)&lt;&gt;0,VLOOKUP(CurrentMtgRatesDataTable871112131417[[#This Row],[asofdate]],BA:BB,2,0),BN42)</f>
        <v>22194000</v>
      </c>
      <c r="BO43" s="30">
        <f>VLOOKUP(CurrentMtgRatesDataTable871112131417[[#This Row],[asofdate]],BE:BF,2,0)</f>
        <v>15345415496.129999</v>
      </c>
    </row>
    <row r="44" spans="1:67" s="6" customFormat="1">
      <c r="A44" s="7" t="s">
        <v>73</v>
      </c>
      <c r="B44" s="10">
        <v>1.5333914991090301E-2</v>
      </c>
      <c r="C44" s="10" t="str">
        <f>YEAR(CurrentMtgRatesDataTable8[[#This Row],[asofdate]])&amp;"-"&amp;MONTH(CurrentMtgRatesDataTable8[[#This Row],[asofdate]])</f>
        <v>2006-8</v>
      </c>
      <c r="D44" s="6">
        <f>((CurrentMtgRatesDataTable8[[#This Row],[SeriesNumValue]]-$D$1)/$D$1+1)*100</f>
        <v>102.22609994060201</v>
      </c>
      <c r="I44" s="7" t="s">
        <v>141</v>
      </c>
      <c r="J44" s="10">
        <v>1.3231156891929901E-2</v>
      </c>
      <c r="K44" s="10" t="str">
        <f>YEAR(CurrentMtgRatesDataTable89[[#This Row],[asofdate]])&amp;"-"&amp;MONTH(CurrentMtgRatesDataTable89[[#This Row],[asofdate]])</f>
        <v>2012-4</v>
      </c>
      <c r="L44" s="6">
        <f>((CurrentMtgRatesDataTable89[[#This Row],[SeriesNumValue]]-$D$1)/$D$1+1)*100</f>
        <v>88.207712612866004</v>
      </c>
      <c r="M44" s="6">
        <f>CurrentMtgRatesDataTable89[[#This Row],[Index]]-L45</f>
        <v>-1.3803429927306752</v>
      </c>
      <c r="P44" s="7" t="s">
        <v>73</v>
      </c>
      <c r="Q44" s="10">
        <v>9.7328657053947207E-2</v>
      </c>
      <c r="R44" s="31">
        <f>((CurrentMtgRatesDataTable8711[[#This Row],[SeriesNumValue]]-$D$1)/$D$1+1)*100</f>
        <v>648.85771369298141</v>
      </c>
      <c r="S44" s="31"/>
      <c r="U44" s="7" t="s">
        <v>73</v>
      </c>
      <c r="V44" s="10">
        <v>8.2438738787264404E-2</v>
      </c>
      <c r="W44" s="31">
        <f>((CurrentMtgRatesDataTable871112[[#This Row],[SeriesNumValue]]-$D$1)/$D$1+1)*100</f>
        <v>549.59159191509605</v>
      </c>
      <c r="X44" s="31"/>
      <c r="Z44" s="7" t="s">
        <v>73</v>
      </c>
      <c r="AA44" s="10">
        <v>1.57773085854476E-2</v>
      </c>
      <c r="AB44" s="34">
        <f>((CurrentMtgRatesDataTable87111213[[#This Row],[SeriesNumValue]]-$D$1)/$D$1+1)*100</f>
        <v>105.18205723631735</v>
      </c>
      <c r="AC44" s="34"/>
      <c r="AE44" s="7" t="s">
        <v>73</v>
      </c>
      <c r="AF44" s="10">
        <v>1.5606632079750099E-2</v>
      </c>
      <c r="AG44" s="34">
        <f>((CurrentMtgRatesDataTable8711121314[[#This Row],[SeriesNumValue]]-$D$1)/$D$1+1)*100</f>
        <v>104.04421386500067</v>
      </c>
      <c r="AH44" s="34" t="str">
        <f>YEAR(CurrentMtgRatesDataTable8711121314[[#This Row],[asofdate]])&amp;"-"&amp;MONTH(CurrentMtgRatesDataTable8711121314[[#This Row],[asofdate]])</f>
        <v>2006-8</v>
      </c>
      <c r="AI44" s="34">
        <f>CurrentMtgRatesDataTable8711121314[[#This Row],[SeriesNumValue]]</f>
        <v>1.5606632079750099E-2</v>
      </c>
      <c r="AJ44" s="34">
        <f>VLOOKUP(CurrentMtgRatesDataTable8711121314[[#This Row],[asofdate]],P:R,2,0)</f>
        <v>9.7328657053947207E-2</v>
      </c>
      <c r="AK44" s="30">
        <f>IF(VLOOKUP(CurrentMtgRatesDataTable8711121314[[#This Row],[asofdate]],U:W,2,0)&lt;&gt;0,VLOOKUP(CurrentMtgRatesDataTable8711121314[[#This Row],[asofdate]],U:W,2,0),AK43)</f>
        <v>8.2438738787264404E-2</v>
      </c>
      <c r="AL44" s="30">
        <f>VLOOKUP(CurrentMtgRatesDataTable8711121314[[#This Row],[asofdate]],Z:AB,2,0)</f>
        <v>1.57773085854476E-2</v>
      </c>
      <c r="AM44" s="30">
        <f>CurrentMtgRatesDataTable8711121314[[#This Row],[FHA]]+0.5*CurrentMtgRatesDataTable8711121314[[#This Row],[Conventional]]</f>
        <v>0.10513197309382226</v>
      </c>
      <c r="AN44" s="30">
        <f>2*CurrentMtgRatesDataTable8711121314[[#This Row],[FHA]]</f>
        <v>0.19465731410789441</v>
      </c>
      <c r="AO44" s="11">
        <f>VLOOKUP(YEAR(CurrentMtgRatesDataTable8711121314[[#This Row],[asofdate]]),OriginationVolume!$A:$N,8,FALSE)</f>
        <v>0.38823529411764707</v>
      </c>
      <c r="AP44" s="11">
        <f>VLOOKUP(YEAR(CurrentMtgRatesDataTable8711121314[[#This Row],[asofdate]]),OriginationVolume!$A:$N,9,FALSE)</f>
        <v>7.8431372549019607E-3</v>
      </c>
      <c r="AQ44" s="11">
        <f>VLOOKUP(YEAR(CurrentMtgRatesDataTable8711121314[[#This Row],[asofdate]]),OriginationVolume!$A:$N,10,FALSE)</f>
        <v>2.3529411764705882E-2</v>
      </c>
      <c r="AR44" s="11">
        <f>VLOOKUP(YEAR(CurrentMtgRatesDataTable8711121314[[#This Row],[asofdate]]),OriginationVolume!$A:$N,11,FALSE)</f>
        <v>0.18823529411764706</v>
      </c>
      <c r="AS44" s="11">
        <f>VLOOKUP(YEAR(CurrentMtgRatesDataTable8711121314[[#This Row],[asofdate]]),OriginationVolume!$A:$N,12,FALSE)</f>
        <v>0.15686274509803921</v>
      </c>
      <c r="AT44" s="11">
        <f>VLOOKUP(YEAR(CurrentMtgRatesDataTable8711121314[[#This Row],[asofdate]]),OriginationVolume!$A:$N,13,FALSE)</f>
        <v>0.23529411764705882</v>
      </c>
      <c r="AU4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AW44" s="7" t="s">
        <v>73</v>
      </c>
      <c r="AX44" s="10">
        <v>75547000</v>
      </c>
      <c r="AY44" s="31"/>
      <c r="BA44" s="7" t="s">
        <v>73</v>
      </c>
      <c r="BB44" s="10">
        <v>19556000</v>
      </c>
      <c r="BC44" s="31"/>
      <c r="BE44" s="7" t="s">
        <v>73</v>
      </c>
      <c r="BF44" s="10">
        <v>17321146878.52</v>
      </c>
      <c r="BG44" s="34"/>
      <c r="BI44" s="7" t="s">
        <v>73</v>
      </c>
      <c r="BJ44" s="10">
        <v>17226043878.52</v>
      </c>
      <c r="BK44" s="34" t="str">
        <f>YEAR(CurrentMtgRatesDataTable871112131417[[#This Row],[asofdate]])&amp;"-"&amp;MONTH(CurrentMtgRatesDataTable871112131417[[#This Row],[asofdate]])</f>
        <v>2006-8</v>
      </c>
      <c r="BL44" s="34">
        <f>CurrentMtgRatesDataTable871112131417[[#This Row],[SeriesNumValue]]</f>
        <v>17226043878.52</v>
      </c>
      <c r="BM44" s="34">
        <f>VLOOKUP(CurrentMtgRatesDataTable871112131417[[#This Row],[asofdate]],AW:AX,2,0)</f>
        <v>75547000</v>
      </c>
      <c r="BN44" s="30">
        <f>IF(VLOOKUP(CurrentMtgRatesDataTable871112131417[[#This Row],[asofdate]],BA:BB,2,0)&lt;&gt;0,VLOOKUP(CurrentMtgRatesDataTable871112131417[[#This Row],[asofdate]],BA:BB,2,0),BN43)</f>
        <v>19556000</v>
      </c>
      <c r="BO44" s="30">
        <f>VLOOKUP(CurrentMtgRatesDataTable871112131417[[#This Row],[asofdate]],BE:BF,2,0)</f>
        <v>17321146878.52</v>
      </c>
    </row>
    <row r="45" spans="1:67" s="6" customFormat="1">
      <c r="A45" s="7" t="s">
        <v>74</v>
      </c>
      <c r="B45" s="10">
        <v>1.78805075862025E-2</v>
      </c>
      <c r="C45" s="10" t="str">
        <f>YEAR(CurrentMtgRatesDataTable8[[#This Row],[asofdate]])&amp;"-"&amp;MONTH(CurrentMtgRatesDataTable8[[#This Row],[asofdate]])</f>
        <v>2006-9</v>
      </c>
      <c r="D45" s="6">
        <f>((CurrentMtgRatesDataTable8[[#This Row],[SeriesNumValue]]-$D$1)/$D$1+1)*100</f>
        <v>119.20338390801668</v>
      </c>
      <c r="I45" s="7" t="s">
        <v>140</v>
      </c>
      <c r="J45" s="10">
        <v>1.3438208340839501E-2</v>
      </c>
      <c r="K45" s="10" t="str">
        <f>YEAR(CurrentMtgRatesDataTable89[[#This Row],[asofdate]])&amp;"-"&amp;MONTH(CurrentMtgRatesDataTable89[[#This Row],[asofdate]])</f>
        <v>2012-3</v>
      </c>
      <c r="L45" s="6">
        <f>((CurrentMtgRatesDataTable89[[#This Row],[SeriesNumValue]]-$D$1)/$D$1+1)*100</f>
        <v>89.588055605596679</v>
      </c>
      <c r="M45" s="6">
        <f>CurrentMtgRatesDataTable89[[#This Row],[Index]]-L46</f>
        <v>-0.23320642664664604</v>
      </c>
      <c r="P45" s="7" t="s">
        <v>74</v>
      </c>
      <c r="Q45" s="10">
        <v>0.106959828331922</v>
      </c>
      <c r="R45" s="31">
        <f>((CurrentMtgRatesDataTable8711[[#This Row],[SeriesNumValue]]-$D$1)/$D$1+1)*100</f>
        <v>713.06552221281333</v>
      </c>
      <c r="S45" s="31"/>
      <c r="U45" s="7" t="s">
        <v>74</v>
      </c>
      <c r="V45" s="10">
        <v>0</v>
      </c>
      <c r="W45" s="31">
        <f>((CurrentMtgRatesDataTable871112[[#This Row],[SeriesNumValue]]-$D$1)/$D$1+1)*100</f>
        <v>0</v>
      </c>
      <c r="X45" s="31"/>
      <c r="Z45" s="7" t="s">
        <v>74</v>
      </c>
      <c r="AA45" s="10">
        <v>1.6427780418882602E-2</v>
      </c>
      <c r="AB45" s="34">
        <f>((CurrentMtgRatesDataTable87111213[[#This Row],[SeriesNumValue]]-$D$1)/$D$1+1)*100</f>
        <v>109.51853612588403</v>
      </c>
      <c r="AC45" s="34"/>
      <c r="AE45" s="7" t="s">
        <v>74</v>
      </c>
      <c r="AF45" s="10">
        <v>1.6294352826003E-2</v>
      </c>
      <c r="AG45" s="34">
        <f>((CurrentMtgRatesDataTable8711121314[[#This Row],[SeriesNumValue]]-$D$1)/$D$1+1)*100</f>
        <v>108.62901884002001</v>
      </c>
      <c r="AH45" s="34" t="str">
        <f>YEAR(CurrentMtgRatesDataTable8711121314[[#This Row],[asofdate]])&amp;"-"&amp;MONTH(CurrentMtgRatesDataTable8711121314[[#This Row],[asofdate]])</f>
        <v>2006-9</v>
      </c>
      <c r="AI45" s="34">
        <f>CurrentMtgRatesDataTable8711121314[[#This Row],[SeriesNumValue]]</f>
        <v>1.6294352826003E-2</v>
      </c>
      <c r="AJ45" s="34">
        <f>VLOOKUP(CurrentMtgRatesDataTable8711121314[[#This Row],[asofdate]],P:R,2,0)</f>
        <v>0.106959828331922</v>
      </c>
      <c r="AK45" s="30">
        <f>IF(VLOOKUP(CurrentMtgRatesDataTable8711121314[[#This Row],[asofdate]],U:W,2,0)&lt;&gt;0,VLOOKUP(CurrentMtgRatesDataTable8711121314[[#This Row],[asofdate]],U:W,2,0),AK44)</f>
        <v>8.2438738787264404E-2</v>
      </c>
      <c r="AL45" s="30">
        <f>VLOOKUP(CurrentMtgRatesDataTable8711121314[[#This Row],[asofdate]],Z:AB,2,0)</f>
        <v>1.6427780418882602E-2</v>
      </c>
      <c r="AM45" s="30">
        <f>CurrentMtgRatesDataTable8711121314[[#This Row],[FHA]]+0.5*CurrentMtgRatesDataTable8711121314[[#This Row],[Conventional]]</f>
        <v>0.1151070047449235</v>
      </c>
      <c r="AN45" s="30">
        <f>2*CurrentMtgRatesDataTable8711121314[[#This Row],[FHA]]</f>
        <v>0.21391965666384399</v>
      </c>
      <c r="AO45" s="11">
        <f>VLOOKUP(YEAR(CurrentMtgRatesDataTable8711121314[[#This Row],[asofdate]]),OriginationVolume!$A:$N,8,FALSE)</f>
        <v>0.38823529411764707</v>
      </c>
      <c r="AP45" s="11">
        <f>VLOOKUP(YEAR(CurrentMtgRatesDataTable8711121314[[#This Row],[asofdate]]),OriginationVolume!$A:$N,9,FALSE)</f>
        <v>7.8431372549019607E-3</v>
      </c>
      <c r="AQ45" s="11">
        <f>VLOOKUP(YEAR(CurrentMtgRatesDataTable8711121314[[#This Row],[asofdate]]),OriginationVolume!$A:$N,10,FALSE)</f>
        <v>2.3529411764705882E-2</v>
      </c>
      <c r="AR45" s="11">
        <f>VLOOKUP(YEAR(CurrentMtgRatesDataTable8711121314[[#This Row],[asofdate]]),OriginationVolume!$A:$N,11,FALSE)</f>
        <v>0.18823529411764706</v>
      </c>
      <c r="AS45" s="11">
        <f>VLOOKUP(YEAR(CurrentMtgRatesDataTable8711121314[[#This Row],[asofdate]]),OriginationVolume!$A:$N,12,FALSE)</f>
        <v>0.15686274509803921</v>
      </c>
      <c r="AT45" s="11">
        <f>VLOOKUP(YEAR(CurrentMtgRatesDataTable8711121314[[#This Row],[asofdate]]),OriginationVolume!$A:$N,13,FALSE)</f>
        <v>0.23529411764705882</v>
      </c>
      <c r="AU4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AW45" s="7" t="s">
        <v>74</v>
      </c>
      <c r="AX45" s="10">
        <v>49542000</v>
      </c>
      <c r="AY45" s="31"/>
      <c r="BA45" s="7" t="s">
        <v>74</v>
      </c>
      <c r="BB45" s="10">
        <v>14696000</v>
      </c>
      <c r="BC45" s="31"/>
      <c r="BE45" s="7" t="s">
        <v>74</v>
      </c>
      <c r="BF45" s="10">
        <v>15093745589.51</v>
      </c>
      <c r="BG45" s="34"/>
      <c r="BI45" s="7" t="s">
        <v>74</v>
      </c>
      <c r="BJ45" s="10">
        <v>15029507589.51</v>
      </c>
      <c r="BK45" s="34" t="str">
        <f>YEAR(CurrentMtgRatesDataTable871112131417[[#This Row],[asofdate]])&amp;"-"&amp;MONTH(CurrentMtgRatesDataTable871112131417[[#This Row],[asofdate]])</f>
        <v>2006-9</v>
      </c>
      <c r="BL45" s="34">
        <f>CurrentMtgRatesDataTable871112131417[[#This Row],[SeriesNumValue]]</f>
        <v>15029507589.51</v>
      </c>
      <c r="BM45" s="34">
        <f>VLOOKUP(CurrentMtgRatesDataTable871112131417[[#This Row],[asofdate]],AW:AX,2,0)</f>
        <v>49542000</v>
      </c>
      <c r="BN45" s="30">
        <f>IF(VLOOKUP(CurrentMtgRatesDataTable871112131417[[#This Row],[asofdate]],BA:BB,2,0)&lt;&gt;0,VLOOKUP(CurrentMtgRatesDataTable871112131417[[#This Row],[asofdate]],BA:BB,2,0),BN44)</f>
        <v>14696000</v>
      </c>
      <c r="BO45" s="30">
        <f>VLOOKUP(CurrentMtgRatesDataTable871112131417[[#This Row],[asofdate]],BE:BF,2,0)</f>
        <v>15093745589.51</v>
      </c>
    </row>
    <row r="46" spans="1:67" s="6" customFormat="1">
      <c r="A46" s="7" t="s">
        <v>75</v>
      </c>
      <c r="B46" s="10">
        <v>1.8832789330188299E-2</v>
      </c>
      <c r="C46" s="10" t="str">
        <f>YEAR(CurrentMtgRatesDataTable8[[#This Row],[asofdate]])&amp;"-"&amp;MONTH(CurrentMtgRatesDataTable8[[#This Row],[asofdate]])</f>
        <v>2006-10</v>
      </c>
      <c r="D46" s="6">
        <f>((CurrentMtgRatesDataTable8[[#This Row],[SeriesNumValue]]-$D$1)/$D$1+1)*100</f>
        <v>125.55192886792202</v>
      </c>
      <c r="I46" s="7" t="s">
        <v>139</v>
      </c>
      <c r="J46" s="10">
        <v>1.34731893048365E-2</v>
      </c>
      <c r="K46" s="10" t="str">
        <f>YEAR(CurrentMtgRatesDataTable89[[#This Row],[asofdate]])&amp;"-"&amp;MONTH(CurrentMtgRatesDataTable89[[#This Row],[asofdate]])</f>
        <v>2012-2</v>
      </c>
      <c r="L46" s="6">
        <f>((CurrentMtgRatesDataTable89[[#This Row],[SeriesNumValue]]-$D$1)/$D$1+1)*100</f>
        <v>89.821262032243325</v>
      </c>
      <c r="M46" s="6">
        <f>CurrentMtgRatesDataTable89[[#This Row],[Index]]-L47</f>
        <v>-1.1855530982879969</v>
      </c>
      <c r="P46" s="7" t="s">
        <v>75</v>
      </c>
      <c r="Q46" s="10">
        <v>0.111287570299785</v>
      </c>
      <c r="R46" s="31">
        <f>((CurrentMtgRatesDataTable8711[[#This Row],[SeriesNumValue]]-$D$1)/$D$1+1)*100</f>
        <v>741.9171353319</v>
      </c>
      <c r="S46" s="31"/>
      <c r="U46" s="7" t="s">
        <v>75</v>
      </c>
      <c r="V46" s="10">
        <v>9.04030528968605E-2</v>
      </c>
      <c r="W46" s="31">
        <f>((CurrentMtgRatesDataTable871112[[#This Row],[SeriesNumValue]]-$D$1)/$D$1+1)*100</f>
        <v>602.68701931240344</v>
      </c>
      <c r="X46" s="31"/>
      <c r="Z46" s="7" t="s">
        <v>75</v>
      </c>
      <c r="AA46" s="10">
        <v>1.83452717696049E-2</v>
      </c>
      <c r="AB46" s="34">
        <f>((CurrentMtgRatesDataTable87111213[[#This Row],[SeriesNumValue]]-$D$1)/$D$1+1)*100</f>
        <v>122.30181179736601</v>
      </c>
      <c r="AC46" s="34"/>
      <c r="AE46" s="7" t="s">
        <v>75</v>
      </c>
      <c r="AF46" s="10">
        <v>1.8174335500528001E-2</v>
      </c>
      <c r="AG46" s="34">
        <f>((CurrentMtgRatesDataTable8711121314[[#This Row],[SeriesNumValue]]-$D$1)/$D$1+1)*100</f>
        <v>121.16223667018669</v>
      </c>
      <c r="AH46" s="34" t="str">
        <f>YEAR(CurrentMtgRatesDataTable8711121314[[#This Row],[asofdate]])&amp;"-"&amp;MONTH(CurrentMtgRatesDataTable8711121314[[#This Row],[asofdate]])</f>
        <v>2006-10</v>
      </c>
      <c r="AI46" s="34">
        <f>CurrentMtgRatesDataTable8711121314[[#This Row],[SeriesNumValue]]</f>
        <v>1.8174335500528001E-2</v>
      </c>
      <c r="AJ46" s="34">
        <f>VLOOKUP(CurrentMtgRatesDataTable8711121314[[#This Row],[asofdate]],P:R,2,0)</f>
        <v>0.111287570299785</v>
      </c>
      <c r="AK46" s="30">
        <f>IF(VLOOKUP(CurrentMtgRatesDataTable8711121314[[#This Row],[asofdate]],U:W,2,0)&lt;&gt;0,VLOOKUP(CurrentMtgRatesDataTable8711121314[[#This Row],[asofdate]],U:W,2,0),AK45)</f>
        <v>9.04030528968605E-2</v>
      </c>
      <c r="AL46" s="30">
        <f>VLOOKUP(CurrentMtgRatesDataTable8711121314[[#This Row],[asofdate]],Z:AB,2,0)</f>
        <v>1.83452717696049E-2</v>
      </c>
      <c r="AM46" s="30">
        <f>CurrentMtgRatesDataTable8711121314[[#This Row],[FHA]]+0.5*CurrentMtgRatesDataTable8711121314[[#This Row],[Conventional]]</f>
        <v>0.120374738050049</v>
      </c>
      <c r="AN46" s="30">
        <f>2*CurrentMtgRatesDataTable8711121314[[#This Row],[FHA]]</f>
        <v>0.22257514059957001</v>
      </c>
      <c r="AO46" s="11">
        <f>VLOOKUP(YEAR(CurrentMtgRatesDataTable8711121314[[#This Row],[asofdate]]),OriginationVolume!$A:$N,8,FALSE)</f>
        <v>0.38823529411764707</v>
      </c>
      <c r="AP46" s="11">
        <f>VLOOKUP(YEAR(CurrentMtgRatesDataTable8711121314[[#This Row],[asofdate]]),OriginationVolume!$A:$N,9,FALSE)</f>
        <v>7.8431372549019607E-3</v>
      </c>
      <c r="AQ46" s="11">
        <f>VLOOKUP(YEAR(CurrentMtgRatesDataTable8711121314[[#This Row],[asofdate]]),OriginationVolume!$A:$N,10,FALSE)</f>
        <v>2.3529411764705882E-2</v>
      </c>
      <c r="AR46" s="11">
        <f>VLOOKUP(YEAR(CurrentMtgRatesDataTable8711121314[[#This Row],[asofdate]]),OriginationVolume!$A:$N,11,FALSE)</f>
        <v>0.18823529411764706</v>
      </c>
      <c r="AS46" s="11">
        <f>VLOOKUP(YEAR(CurrentMtgRatesDataTable8711121314[[#This Row],[asofdate]]),OriginationVolume!$A:$N,12,FALSE)</f>
        <v>0.15686274509803921</v>
      </c>
      <c r="AT46" s="11">
        <f>VLOOKUP(YEAR(CurrentMtgRatesDataTable8711121314[[#This Row],[asofdate]]),OriginationVolume!$A:$N,13,FALSE)</f>
        <v>0.23529411764705882</v>
      </c>
      <c r="AU4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AW46" s="7" t="s">
        <v>75</v>
      </c>
      <c r="AX46" s="10">
        <v>56379000</v>
      </c>
      <c r="AY46" s="31"/>
      <c r="BA46" s="7" t="s">
        <v>75</v>
      </c>
      <c r="BB46" s="10">
        <v>17352000</v>
      </c>
      <c r="BC46" s="31"/>
      <c r="BE46" s="7" t="s">
        <v>75</v>
      </c>
      <c r="BF46" s="10">
        <v>15254610832.889999</v>
      </c>
      <c r="BG46" s="34"/>
      <c r="BI46" s="7" t="s">
        <v>75</v>
      </c>
      <c r="BJ46" s="10">
        <v>15180879832.889999</v>
      </c>
      <c r="BK46" s="34" t="str">
        <f>YEAR(CurrentMtgRatesDataTable871112131417[[#This Row],[asofdate]])&amp;"-"&amp;MONTH(CurrentMtgRatesDataTable871112131417[[#This Row],[asofdate]])</f>
        <v>2006-10</v>
      </c>
      <c r="BL46" s="34">
        <f>CurrentMtgRatesDataTable871112131417[[#This Row],[SeriesNumValue]]</f>
        <v>15180879832.889999</v>
      </c>
      <c r="BM46" s="34">
        <f>VLOOKUP(CurrentMtgRatesDataTable871112131417[[#This Row],[asofdate]],AW:AX,2,0)</f>
        <v>56379000</v>
      </c>
      <c r="BN46" s="30">
        <f>IF(VLOOKUP(CurrentMtgRatesDataTable871112131417[[#This Row],[asofdate]],BA:BB,2,0)&lt;&gt;0,VLOOKUP(CurrentMtgRatesDataTable871112131417[[#This Row],[asofdate]],BA:BB,2,0),BN45)</f>
        <v>17352000</v>
      </c>
      <c r="BO46" s="30">
        <f>VLOOKUP(CurrentMtgRatesDataTable871112131417[[#This Row],[asofdate]],BE:BF,2,0)</f>
        <v>15254610832.889999</v>
      </c>
    </row>
    <row r="47" spans="1:67" s="6" customFormat="1">
      <c r="A47" s="7" t="s">
        <v>76</v>
      </c>
      <c r="B47" s="10">
        <v>1.8339172348393301E-2</v>
      </c>
      <c r="C47" s="10" t="str">
        <f>YEAR(CurrentMtgRatesDataTable8[[#This Row],[asofdate]])&amp;"-"&amp;MONTH(CurrentMtgRatesDataTable8[[#This Row],[asofdate]])</f>
        <v>2006-11</v>
      </c>
      <c r="D47" s="6">
        <f>((CurrentMtgRatesDataTable8[[#This Row],[SeriesNumValue]]-$D$1)/$D$1+1)*100</f>
        <v>122.26114898928869</v>
      </c>
      <c r="I47" s="7" t="s">
        <v>138</v>
      </c>
      <c r="J47" s="10">
        <v>1.3651022269579699E-2</v>
      </c>
      <c r="K47" s="10" t="str">
        <f>YEAR(CurrentMtgRatesDataTable89[[#This Row],[asofdate]])&amp;"-"&amp;MONTH(CurrentMtgRatesDataTable89[[#This Row],[asofdate]])</f>
        <v>2012-1</v>
      </c>
      <c r="L47" s="6">
        <f>((CurrentMtgRatesDataTable89[[#This Row],[SeriesNumValue]]-$D$1)/$D$1+1)*100</f>
        <v>91.006815130531322</v>
      </c>
      <c r="M47" s="6">
        <f>CurrentMtgRatesDataTable89[[#This Row],[Index]]-L48</f>
        <v>0.82217652209997993</v>
      </c>
      <c r="P47" s="7" t="s">
        <v>76</v>
      </c>
      <c r="Q47" s="10">
        <v>0.10281303848291801</v>
      </c>
      <c r="R47" s="31">
        <f>((CurrentMtgRatesDataTable8711[[#This Row],[SeriesNumValue]]-$D$1)/$D$1+1)*100</f>
        <v>685.42025655278667</v>
      </c>
      <c r="S47" s="31"/>
      <c r="U47" s="7" t="s">
        <v>76</v>
      </c>
      <c r="V47" s="10">
        <v>0.101077691508849</v>
      </c>
      <c r="W47" s="31">
        <f>((CurrentMtgRatesDataTable871112[[#This Row],[SeriesNumValue]]-$D$1)/$D$1+1)*100</f>
        <v>673.85127672566</v>
      </c>
      <c r="X47" s="31"/>
      <c r="Z47" s="7" t="s">
        <v>76</v>
      </c>
      <c r="AA47" s="10">
        <v>1.8162651720735098E-2</v>
      </c>
      <c r="AB47" s="34">
        <f>((CurrentMtgRatesDataTable87111213[[#This Row],[SeriesNumValue]]-$D$1)/$D$1+1)*100</f>
        <v>121.08434480490067</v>
      </c>
      <c r="AC47" s="34"/>
      <c r="AE47" s="7" t="s">
        <v>76</v>
      </c>
      <c r="AF47" s="10">
        <v>1.7975522842157501E-2</v>
      </c>
      <c r="AG47" s="34">
        <f>((CurrentMtgRatesDataTable8711121314[[#This Row],[SeriesNumValue]]-$D$1)/$D$1+1)*100</f>
        <v>119.83681894771667</v>
      </c>
      <c r="AH47" s="34" t="str">
        <f>YEAR(CurrentMtgRatesDataTable8711121314[[#This Row],[asofdate]])&amp;"-"&amp;MONTH(CurrentMtgRatesDataTable8711121314[[#This Row],[asofdate]])</f>
        <v>2006-11</v>
      </c>
      <c r="AI47" s="34">
        <f>CurrentMtgRatesDataTable8711121314[[#This Row],[SeriesNumValue]]</f>
        <v>1.7975522842157501E-2</v>
      </c>
      <c r="AJ47" s="34">
        <f>VLOOKUP(CurrentMtgRatesDataTable8711121314[[#This Row],[asofdate]],P:R,2,0)</f>
        <v>0.10281303848291801</v>
      </c>
      <c r="AK47" s="30">
        <f>IF(VLOOKUP(CurrentMtgRatesDataTable8711121314[[#This Row],[asofdate]],U:W,2,0)&lt;&gt;0,VLOOKUP(CurrentMtgRatesDataTable8711121314[[#This Row],[asofdate]],U:W,2,0),AK46)</f>
        <v>0.101077691508849</v>
      </c>
      <c r="AL47" s="30">
        <f>VLOOKUP(CurrentMtgRatesDataTable8711121314[[#This Row],[asofdate]],Z:AB,2,0)</f>
        <v>1.8162651720735098E-2</v>
      </c>
      <c r="AM47" s="30">
        <f>CurrentMtgRatesDataTable8711121314[[#This Row],[FHA]]+0.5*CurrentMtgRatesDataTable8711121314[[#This Row],[Conventional]]</f>
        <v>0.11180079990399676</v>
      </c>
      <c r="AN47" s="30">
        <f>2*CurrentMtgRatesDataTable8711121314[[#This Row],[FHA]]</f>
        <v>0.20562607696583601</v>
      </c>
      <c r="AO47" s="11">
        <f>VLOOKUP(YEAR(CurrentMtgRatesDataTable8711121314[[#This Row],[asofdate]]),OriginationVolume!$A:$N,8,FALSE)</f>
        <v>0.38823529411764707</v>
      </c>
      <c r="AP47" s="11">
        <f>VLOOKUP(YEAR(CurrentMtgRatesDataTable8711121314[[#This Row],[asofdate]]),OriginationVolume!$A:$N,9,FALSE)</f>
        <v>7.8431372549019607E-3</v>
      </c>
      <c r="AQ47" s="11">
        <f>VLOOKUP(YEAR(CurrentMtgRatesDataTable8711121314[[#This Row],[asofdate]]),OriginationVolume!$A:$N,10,FALSE)</f>
        <v>2.3529411764705882E-2</v>
      </c>
      <c r="AR47" s="11">
        <f>VLOOKUP(YEAR(CurrentMtgRatesDataTable8711121314[[#This Row],[asofdate]]),OriginationVolume!$A:$N,11,FALSE)</f>
        <v>0.18823529411764706</v>
      </c>
      <c r="AS47" s="11">
        <f>VLOOKUP(YEAR(CurrentMtgRatesDataTable8711121314[[#This Row],[asofdate]]),OriginationVolume!$A:$N,12,FALSE)</f>
        <v>0.15686274509803921</v>
      </c>
      <c r="AT47" s="11">
        <f>VLOOKUP(YEAR(CurrentMtgRatesDataTable8711121314[[#This Row],[asofdate]]),OriginationVolume!$A:$N,13,FALSE)</f>
        <v>0.23529411764705882</v>
      </c>
      <c r="AU4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AW47" s="7" t="s">
        <v>76</v>
      </c>
      <c r="AX47" s="10">
        <v>54380000</v>
      </c>
      <c r="AY47" s="31"/>
      <c r="BA47" s="7" t="s">
        <v>76</v>
      </c>
      <c r="BB47" s="10">
        <v>16417000</v>
      </c>
      <c r="BC47" s="31"/>
      <c r="BE47" s="7" t="s">
        <v>76</v>
      </c>
      <c r="BF47" s="10">
        <v>13752962281.889999</v>
      </c>
      <c r="BG47" s="34"/>
      <c r="BI47" s="7" t="s">
        <v>76</v>
      </c>
      <c r="BJ47" s="10">
        <v>13682165281.889999</v>
      </c>
      <c r="BK47" s="34" t="str">
        <f>YEAR(CurrentMtgRatesDataTable871112131417[[#This Row],[asofdate]])&amp;"-"&amp;MONTH(CurrentMtgRatesDataTable871112131417[[#This Row],[asofdate]])</f>
        <v>2006-11</v>
      </c>
      <c r="BL47" s="34">
        <f>CurrentMtgRatesDataTable871112131417[[#This Row],[SeriesNumValue]]</f>
        <v>13682165281.889999</v>
      </c>
      <c r="BM47" s="34">
        <f>VLOOKUP(CurrentMtgRatesDataTable871112131417[[#This Row],[asofdate]],AW:AX,2,0)</f>
        <v>54380000</v>
      </c>
      <c r="BN47" s="30">
        <f>IF(VLOOKUP(CurrentMtgRatesDataTable871112131417[[#This Row],[asofdate]],BA:BB,2,0)&lt;&gt;0,VLOOKUP(CurrentMtgRatesDataTable871112131417[[#This Row],[asofdate]],BA:BB,2,0),BN46)</f>
        <v>16417000</v>
      </c>
      <c r="BO47" s="30">
        <f>VLOOKUP(CurrentMtgRatesDataTable871112131417[[#This Row],[asofdate]],BE:BF,2,0)</f>
        <v>13752962281.889999</v>
      </c>
    </row>
    <row r="48" spans="1:67" s="6" customFormat="1">
      <c r="A48" s="7" t="s">
        <v>77</v>
      </c>
      <c r="B48" s="10">
        <v>1.81792707234236E-2</v>
      </c>
      <c r="C48" s="10" t="str">
        <f>YEAR(CurrentMtgRatesDataTable8[[#This Row],[asofdate]])&amp;"-"&amp;MONTH(CurrentMtgRatesDataTable8[[#This Row],[asofdate]])</f>
        <v>2006-12</v>
      </c>
      <c r="D48" s="6">
        <f>((CurrentMtgRatesDataTable8[[#This Row],[SeriesNumValue]]-$D$1)/$D$1+1)*100</f>
        <v>121.19513815615734</v>
      </c>
      <c r="I48" s="7" t="s">
        <v>137</v>
      </c>
      <c r="J48" s="10">
        <v>1.3527695791264701E-2</v>
      </c>
      <c r="K48" s="10" t="str">
        <f>YEAR(CurrentMtgRatesDataTable89[[#This Row],[asofdate]])&amp;"-"&amp;MONTH(CurrentMtgRatesDataTable89[[#This Row],[asofdate]])</f>
        <v>2011-12</v>
      </c>
      <c r="L48" s="6">
        <f>((CurrentMtgRatesDataTable89[[#This Row],[SeriesNumValue]]-$D$1)/$D$1+1)*100</f>
        <v>90.184638608431342</v>
      </c>
      <c r="M48" s="6">
        <f>CurrentMtgRatesDataTable89[[#This Row],[Index]]-L49</f>
        <v>-4.2804886361613228</v>
      </c>
      <c r="P48" s="7" t="s">
        <v>77</v>
      </c>
      <c r="Q48" s="10">
        <v>0.109423829061224</v>
      </c>
      <c r="R48" s="31">
        <f>((CurrentMtgRatesDataTable8711[[#This Row],[SeriesNumValue]]-$D$1)/$D$1+1)*100</f>
        <v>729.49219374149334</v>
      </c>
      <c r="S48" s="31"/>
      <c r="U48" s="7" t="s">
        <v>77</v>
      </c>
      <c r="V48" s="10">
        <v>8.2485989149712502E-2</v>
      </c>
      <c r="W48" s="31">
        <f>((CurrentMtgRatesDataTable871112[[#This Row],[SeriesNumValue]]-$D$1)/$D$1+1)*100</f>
        <v>549.90659433141673</v>
      </c>
      <c r="X48" s="31"/>
      <c r="Z48" s="7" t="s">
        <v>77</v>
      </c>
      <c r="AA48" s="10">
        <v>1.77260077350723E-2</v>
      </c>
      <c r="AB48" s="34">
        <f>((CurrentMtgRatesDataTable87111213[[#This Row],[SeriesNumValue]]-$D$1)/$D$1+1)*100</f>
        <v>118.17338490048202</v>
      </c>
      <c r="AC48" s="34"/>
      <c r="AE48" s="7" t="s">
        <v>77</v>
      </c>
      <c r="AF48" s="10">
        <v>1.75274733531138E-2</v>
      </c>
      <c r="AG48" s="34">
        <f>((CurrentMtgRatesDataTable8711121314[[#This Row],[SeriesNumValue]]-$D$1)/$D$1+1)*100</f>
        <v>116.849822354092</v>
      </c>
      <c r="AH48" s="34" t="str">
        <f>YEAR(CurrentMtgRatesDataTable8711121314[[#This Row],[asofdate]])&amp;"-"&amp;MONTH(CurrentMtgRatesDataTable8711121314[[#This Row],[asofdate]])</f>
        <v>2006-12</v>
      </c>
      <c r="AI48" s="34">
        <f>CurrentMtgRatesDataTable8711121314[[#This Row],[SeriesNumValue]]</f>
        <v>1.75274733531138E-2</v>
      </c>
      <c r="AJ48" s="34">
        <f>VLOOKUP(CurrentMtgRatesDataTable8711121314[[#This Row],[asofdate]],P:R,2,0)</f>
        <v>0.109423829061224</v>
      </c>
      <c r="AK48" s="30">
        <f>IF(VLOOKUP(CurrentMtgRatesDataTable8711121314[[#This Row],[asofdate]],U:W,2,0)&lt;&gt;0,VLOOKUP(CurrentMtgRatesDataTable8711121314[[#This Row],[asofdate]],U:W,2,0),AK47)</f>
        <v>8.2485989149712502E-2</v>
      </c>
      <c r="AL48" s="30">
        <f>VLOOKUP(CurrentMtgRatesDataTable8711121314[[#This Row],[asofdate]],Z:AB,2,0)</f>
        <v>1.77260077350723E-2</v>
      </c>
      <c r="AM48" s="30">
        <f>CurrentMtgRatesDataTable8711121314[[#This Row],[FHA]]+0.5*CurrentMtgRatesDataTable8711121314[[#This Row],[Conventional]]</f>
        <v>0.1181875657377809</v>
      </c>
      <c r="AN48" s="30">
        <f>2*CurrentMtgRatesDataTable8711121314[[#This Row],[FHA]]</f>
        <v>0.218847658122448</v>
      </c>
      <c r="AO48" s="11">
        <f>VLOOKUP(YEAR(CurrentMtgRatesDataTable8711121314[[#This Row],[asofdate]]),OriginationVolume!$A:$N,8,FALSE)</f>
        <v>0.38823529411764707</v>
      </c>
      <c r="AP48" s="11">
        <f>VLOOKUP(YEAR(CurrentMtgRatesDataTable8711121314[[#This Row],[asofdate]]),OriginationVolume!$A:$N,9,FALSE)</f>
        <v>7.8431372549019607E-3</v>
      </c>
      <c r="AQ48" s="11">
        <f>VLOOKUP(YEAR(CurrentMtgRatesDataTable8711121314[[#This Row],[asofdate]]),OriginationVolume!$A:$N,10,FALSE)</f>
        <v>2.3529411764705882E-2</v>
      </c>
      <c r="AR48" s="11">
        <f>VLOOKUP(YEAR(CurrentMtgRatesDataTable8711121314[[#This Row],[asofdate]]),OriginationVolume!$A:$N,11,FALSE)</f>
        <v>0.18823529411764706</v>
      </c>
      <c r="AS48" s="11">
        <f>VLOOKUP(YEAR(CurrentMtgRatesDataTable8711121314[[#This Row],[asofdate]]),OriginationVolume!$A:$N,12,FALSE)</f>
        <v>0.15686274509803921</v>
      </c>
      <c r="AT48" s="11">
        <f>VLOOKUP(YEAR(CurrentMtgRatesDataTable8711121314[[#This Row],[asofdate]]),OriginationVolume!$A:$N,13,FALSE)</f>
        <v>0.23529411764705882</v>
      </c>
      <c r="AU4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AW48" s="7" t="s">
        <v>77</v>
      </c>
      <c r="AX48" s="10">
        <v>54234000</v>
      </c>
      <c r="AY48" s="31"/>
      <c r="BA48" s="7" t="s">
        <v>77</v>
      </c>
      <c r="BB48" s="10">
        <v>21699000</v>
      </c>
      <c r="BC48" s="31"/>
      <c r="BE48" s="7" t="s">
        <v>77</v>
      </c>
      <c r="BF48" s="10">
        <v>14217507735.809999</v>
      </c>
      <c r="BG48" s="34"/>
      <c r="BI48" s="7" t="s">
        <v>77</v>
      </c>
      <c r="BJ48" s="10">
        <v>14141574735.809999</v>
      </c>
      <c r="BK48" s="34" t="str">
        <f>YEAR(CurrentMtgRatesDataTable871112131417[[#This Row],[asofdate]])&amp;"-"&amp;MONTH(CurrentMtgRatesDataTable871112131417[[#This Row],[asofdate]])</f>
        <v>2006-12</v>
      </c>
      <c r="BL48" s="34">
        <f>CurrentMtgRatesDataTable871112131417[[#This Row],[SeriesNumValue]]</f>
        <v>14141574735.809999</v>
      </c>
      <c r="BM48" s="34">
        <f>VLOOKUP(CurrentMtgRatesDataTable871112131417[[#This Row],[asofdate]],AW:AX,2,0)</f>
        <v>54234000</v>
      </c>
      <c r="BN48" s="30">
        <f>IF(VLOOKUP(CurrentMtgRatesDataTable871112131417[[#This Row],[asofdate]],BA:BB,2,0)&lt;&gt;0,VLOOKUP(CurrentMtgRatesDataTable871112131417[[#This Row],[asofdate]],BA:BB,2,0),BN47)</f>
        <v>21699000</v>
      </c>
      <c r="BO48" s="30">
        <f>VLOOKUP(CurrentMtgRatesDataTable871112131417[[#This Row],[asofdate]],BE:BF,2,0)</f>
        <v>14217507735.809999</v>
      </c>
    </row>
    <row r="49" spans="1:67" s="6" customFormat="1">
      <c r="A49" s="7" t="s">
        <v>78</v>
      </c>
      <c r="B49" s="10">
        <v>1.88046316796401E-2</v>
      </c>
      <c r="C49" s="10" t="str">
        <f>YEAR(CurrentMtgRatesDataTable8[[#This Row],[asofdate]])&amp;"-"&amp;MONTH(CurrentMtgRatesDataTable8[[#This Row],[asofdate]])</f>
        <v>2007-1</v>
      </c>
      <c r="D49" s="6">
        <f>((CurrentMtgRatesDataTable8[[#This Row],[SeriesNumValue]]-$D$1)/$D$1+1)*100</f>
        <v>125.36421119760068</v>
      </c>
      <c r="I49" s="7" t="s">
        <v>136</v>
      </c>
      <c r="J49" s="10">
        <v>1.41697690866889E-2</v>
      </c>
      <c r="K49" s="10" t="str">
        <f>YEAR(CurrentMtgRatesDataTable89[[#This Row],[asofdate]])&amp;"-"&amp;MONTH(CurrentMtgRatesDataTable89[[#This Row],[asofdate]])</f>
        <v>2011-11</v>
      </c>
      <c r="L49" s="6">
        <f>((CurrentMtgRatesDataTable89[[#This Row],[SeriesNumValue]]-$D$1)/$D$1+1)*100</f>
        <v>94.465127244592665</v>
      </c>
      <c r="M49" s="6">
        <f>CurrentMtgRatesDataTable89[[#This Row],[Index]]-L50</f>
        <v>-5.9580853582600071</v>
      </c>
      <c r="P49" s="7" t="s">
        <v>78</v>
      </c>
      <c r="Q49" s="10">
        <v>0.1093242256585</v>
      </c>
      <c r="R49" s="31">
        <f>((CurrentMtgRatesDataTable8711[[#This Row],[SeriesNumValue]]-$D$1)/$D$1+1)*100</f>
        <v>728.82817105666675</v>
      </c>
      <c r="S49" s="31"/>
      <c r="U49" s="7" t="s">
        <v>78</v>
      </c>
      <c r="V49" s="10">
        <v>8.7345811231672704E-2</v>
      </c>
      <c r="W49" s="31">
        <f>((CurrentMtgRatesDataTable871112[[#This Row],[SeriesNumValue]]-$D$1)/$D$1+1)*100</f>
        <v>582.30540821115142</v>
      </c>
      <c r="X49" s="31"/>
      <c r="Z49" s="7" t="s">
        <v>78</v>
      </c>
      <c r="AA49" s="10">
        <v>1.8245462765295501E-2</v>
      </c>
      <c r="AB49" s="34">
        <f>((CurrentMtgRatesDataTable87111213[[#This Row],[SeriesNumValue]]-$D$1)/$D$1+1)*100</f>
        <v>121.63641843530336</v>
      </c>
      <c r="AC49" s="34"/>
      <c r="AE49" s="7" t="s">
        <v>78</v>
      </c>
      <c r="AF49" s="10">
        <v>1.8049062577908701E-2</v>
      </c>
      <c r="AG49" s="34">
        <f>((CurrentMtgRatesDataTable8711121314[[#This Row],[SeriesNumValue]]-$D$1)/$D$1+1)*100</f>
        <v>120.32708385272468</v>
      </c>
      <c r="AH49" s="34" t="str">
        <f>YEAR(CurrentMtgRatesDataTable8711121314[[#This Row],[asofdate]])&amp;"-"&amp;MONTH(CurrentMtgRatesDataTable8711121314[[#This Row],[asofdate]])</f>
        <v>2007-1</v>
      </c>
      <c r="AI49" s="34">
        <f>CurrentMtgRatesDataTable8711121314[[#This Row],[SeriesNumValue]]</f>
        <v>1.8049062577908701E-2</v>
      </c>
      <c r="AJ49" s="34">
        <f>VLOOKUP(CurrentMtgRatesDataTable8711121314[[#This Row],[asofdate]],P:R,2,0)</f>
        <v>0.1093242256585</v>
      </c>
      <c r="AK49" s="30">
        <f>IF(VLOOKUP(CurrentMtgRatesDataTable8711121314[[#This Row],[asofdate]],U:W,2,0)&lt;&gt;0,VLOOKUP(CurrentMtgRatesDataTable8711121314[[#This Row],[asofdate]],U:W,2,0),AK48)</f>
        <v>8.7345811231672704E-2</v>
      </c>
      <c r="AL49" s="30">
        <f>VLOOKUP(CurrentMtgRatesDataTable8711121314[[#This Row],[asofdate]],Z:AB,2,0)</f>
        <v>1.8245462765295501E-2</v>
      </c>
      <c r="AM49" s="30">
        <f>CurrentMtgRatesDataTable8711121314[[#This Row],[FHA]]+0.5*CurrentMtgRatesDataTable8711121314[[#This Row],[Conventional]]</f>
        <v>0.11834875694745435</v>
      </c>
      <c r="AN49" s="30">
        <f>2*CurrentMtgRatesDataTable8711121314[[#This Row],[FHA]]</f>
        <v>0.218648451317</v>
      </c>
      <c r="AO49" s="11">
        <f>VLOOKUP(YEAR(CurrentMtgRatesDataTable8711121314[[#This Row],[asofdate]]),OriginationVolume!$A:$N,8,FALSE)</f>
        <v>0.55309947140797688</v>
      </c>
      <c r="AP49" s="11">
        <f>VLOOKUP(YEAR(CurrentMtgRatesDataTable8711121314[[#This Row],[asofdate]]),OriginationVolume!$A:$N,9,FALSE)</f>
        <v>1.3935607880826525E-2</v>
      </c>
      <c r="AQ49" s="11">
        <f>VLOOKUP(YEAR(CurrentMtgRatesDataTable8711121314[[#This Row],[asofdate]]),OriginationVolume!$A:$N,10,FALSE)</f>
        <v>4.1806823642479576E-2</v>
      </c>
      <c r="AR49" s="11">
        <f>VLOOKUP(YEAR(CurrentMtgRatesDataTable8711121314[[#This Row],[asofdate]]),OriginationVolume!$A:$N,11,FALSE)</f>
        <v>0.16722729456991831</v>
      </c>
      <c r="AS49" s="11">
        <f>VLOOKUP(YEAR(CurrentMtgRatesDataTable8711121314[[#This Row],[asofdate]]),OriginationVolume!$A:$N,12,FALSE)</f>
        <v>0.13214800576645844</v>
      </c>
      <c r="AT49" s="11">
        <f>VLOOKUP(YEAR(CurrentMtgRatesDataTable8711121314[[#This Row],[asofdate]]),OriginationVolume!$A:$N,13,FALSE)</f>
        <v>9.1782796732340216E-2</v>
      </c>
      <c r="AU4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AW49" s="7" t="s">
        <v>78</v>
      </c>
      <c r="AX49" s="10">
        <v>51795000</v>
      </c>
      <c r="AY49" s="31"/>
      <c r="BA49" s="7" t="s">
        <v>78</v>
      </c>
      <c r="BB49" s="10">
        <v>17786000</v>
      </c>
      <c r="BC49" s="31"/>
      <c r="BE49" s="7" t="s">
        <v>78</v>
      </c>
      <c r="BF49" s="10">
        <v>13498222133.4</v>
      </c>
      <c r="BG49" s="34"/>
      <c r="BI49" s="7" t="s">
        <v>78</v>
      </c>
      <c r="BJ49" s="10">
        <v>13428641133.4</v>
      </c>
      <c r="BK49" s="34" t="str">
        <f>YEAR(CurrentMtgRatesDataTable871112131417[[#This Row],[asofdate]])&amp;"-"&amp;MONTH(CurrentMtgRatesDataTable871112131417[[#This Row],[asofdate]])</f>
        <v>2007-1</v>
      </c>
      <c r="BL49" s="34">
        <f>CurrentMtgRatesDataTable871112131417[[#This Row],[SeriesNumValue]]</f>
        <v>13428641133.4</v>
      </c>
      <c r="BM49" s="34">
        <f>VLOOKUP(CurrentMtgRatesDataTable871112131417[[#This Row],[asofdate]],AW:AX,2,0)</f>
        <v>51795000</v>
      </c>
      <c r="BN49" s="30">
        <f>IF(VLOOKUP(CurrentMtgRatesDataTable871112131417[[#This Row],[asofdate]],BA:BB,2,0)&lt;&gt;0,VLOOKUP(CurrentMtgRatesDataTable871112131417[[#This Row],[asofdate]],BA:BB,2,0),BN48)</f>
        <v>17786000</v>
      </c>
      <c r="BO49" s="30">
        <f>VLOOKUP(CurrentMtgRatesDataTable871112131417[[#This Row],[asofdate]],BE:BF,2,0)</f>
        <v>13498222133.4</v>
      </c>
    </row>
    <row r="50" spans="1:67" s="6" customFormat="1">
      <c r="A50" s="7" t="s">
        <v>79</v>
      </c>
      <c r="B50" s="10">
        <v>1.77664096642705E-2</v>
      </c>
      <c r="C50" s="10" t="str">
        <f>YEAR(CurrentMtgRatesDataTable8[[#This Row],[asofdate]])&amp;"-"&amp;MONTH(CurrentMtgRatesDataTable8[[#This Row],[asofdate]])</f>
        <v>2007-2</v>
      </c>
      <c r="D50" s="6">
        <f>((CurrentMtgRatesDataTable8[[#This Row],[SeriesNumValue]]-$D$1)/$D$1+1)*100</f>
        <v>118.44273109513668</v>
      </c>
      <c r="I50" s="7" t="s">
        <v>135</v>
      </c>
      <c r="J50" s="10">
        <v>1.50634818904279E-2</v>
      </c>
      <c r="K50" s="10" t="str">
        <f>YEAR(CurrentMtgRatesDataTable89[[#This Row],[asofdate]])&amp;"-"&amp;MONTH(CurrentMtgRatesDataTable89[[#This Row],[asofdate]])</f>
        <v>2011-10</v>
      </c>
      <c r="L50" s="6">
        <f>((CurrentMtgRatesDataTable89[[#This Row],[SeriesNumValue]]-$D$1)/$D$1+1)*100</f>
        <v>100.42321260285267</v>
      </c>
      <c r="M50" s="6">
        <f>CurrentMtgRatesDataTable89[[#This Row],[Index]]-L51</f>
        <v>6.3753164349253382</v>
      </c>
      <c r="P50" s="7" t="s">
        <v>79</v>
      </c>
      <c r="Q50" s="10">
        <v>0.106621948942194</v>
      </c>
      <c r="R50" s="31">
        <f>((CurrentMtgRatesDataTable8711[[#This Row],[SeriesNumValue]]-$D$1)/$D$1+1)*100</f>
        <v>710.81299294795997</v>
      </c>
      <c r="S50" s="31"/>
      <c r="U50" s="7" t="s">
        <v>79</v>
      </c>
      <c r="V50" s="10">
        <v>8.8833892051242799E-2</v>
      </c>
      <c r="W50" s="31">
        <f>((CurrentMtgRatesDataTable871112[[#This Row],[SeriesNumValue]]-$D$1)/$D$1+1)*100</f>
        <v>592.2259470082854</v>
      </c>
      <c r="X50" s="31"/>
      <c r="Z50" s="7" t="s">
        <v>79</v>
      </c>
      <c r="AA50" s="10">
        <v>1.8401986732378101E-2</v>
      </c>
      <c r="AB50" s="34">
        <f>((CurrentMtgRatesDataTable87111213[[#This Row],[SeriesNumValue]]-$D$1)/$D$1+1)*100</f>
        <v>122.67991154918734</v>
      </c>
      <c r="AC50" s="34"/>
      <c r="AE50" s="7" t="s">
        <v>79</v>
      </c>
      <c r="AF50" s="10">
        <v>1.8218072306683201E-2</v>
      </c>
      <c r="AG50" s="34">
        <f>((CurrentMtgRatesDataTable8711121314[[#This Row],[SeriesNumValue]]-$D$1)/$D$1+1)*100</f>
        <v>121.45381537788802</v>
      </c>
      <c r="AH50" s="34" t="str">
        <f>YEAR(CurrentMtgRatesDataTable8711121314[[#This Row],[asofdate]])&amp;"-"&amp;MONTH(CurrentMtgRatesDataTable8711121314[[#This Row],[asofdate]])</f>
        <v>2007-2</v>
      </c>
      <c r="AI50" s="34">
        <f>CurrentMtgRatesDataTable8711121314[[#This Row],[SeriesNumValue]]</f>
        <v>1.8218072306683201E-2</v>
      </c>
      <c r="AJ50" s="34">
        <f>VLOOKUP(CurrentMtgRatesDataTable8711121314[[#This Row],[asofdate]],P:R,2,0)</f>
        <v>0.106621948942194</v>
      </c>
      <c r="AK50" s="30">
        <f>IF(VLOOKUP(CurrentMtgRatesDataTable8711121314[[#This Row],[asofdate]],U:W,2,0)&lt;&gt;0,VLOOKUP(CurrentMtgRatesDataTable8711121314[[#This Row],[asofdate]],U:W,2,0),AK49)</f>
        <v>8.8833892051242799E-2</v>
      </c>
      <c r="AL50" s="30">
        <f>VLOOKUP(CurrentMtgRatesDataTable8711121314[[#This Row],[asofdate]],Z:AB,2,0)</f>
        <v>1.8401986732378101E-2</v>
      </c>
      <c r="AM50" s="30">
        <f>CurrentMtgRatesDataTable8711121314[[#This Row],[FHA]]+0.5*CurrentMtgRatesDataTable8711121314[[#This Row],[Conventional]]</f>
        <v>0.1157309850955356</v>
      </c>
      <c r="AN50" s="30">
        <f>2*CurrentMtgRatesDataTable8711121314[[#This Row],[FHA]]</f>
        <v>0.213243897884388</v>
      </c>
      <c r="AO50" s="11">
        <f>VLOOKUP(YEAR(CurrentMtgRatesDataTable8711121314[[#This Row],[asofdate]]),OriginationVolume!$A:$N,8,FALSE)</f>
        <v>0.55309947140797688</v>
      </c>
      <c r="AP50" s="11">
        <f>VLOOKUP(YEAR(CurrentMtgRatesDataTable8711121314[[#This Row],[asofdate]]),OriginationVolume!$A:$N,9,FALSE)</f>
        <v>1.3935607880826525E-2</v>
      </c>
      <c r="AQ50" s="11">
        <f>VLOOKUP(YEAR(CurrentMtgRatesDataTable8711121314[[#This Row],[asofdate]]),OriginationVolume!$A:$N,10,FALSE)</f>
        <v>4.1806823642479576E-2</v>
      </c>
      <c r="AR50" s="11">
        <f>VLOOKUP(YEAR(CurrentMtgRatesDataTable8711121314[[#This Row],[asofdate]]),OriginationVolume!$A:$N,11,FALSE)</f>
        <v>0.16722729456991831</v>
      </c>
      <c r="AS50" s="11">
        <f>VLOOKUP(YEAR(CurrentMtgRatesDataTable8711121314[[#This Row],[asofdate]]),OriginationVolume!$A:$N,12,FALSE)</f>
        <v>0.13214800576645844</v>
      </c>
      <c r="AT50" s="11">
        <f>VLOOKUP(YEAR(CurrentMtgRatesDataTable8711121314[[#This Row],[asofdate]]),OriginationVolume!$A:$N,13,FALSE)</f>
        <v>9.1782796732340216E-2</v>
      </c>
      <c r="AU5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AW50" s="7" t="s">
        <v>79</v>
      </c>
      <c r="AX50" s="10">
        <v>48199000</v>
      </c>
      <c r="AY50" s="31"/>
      <c r="BA50" s="7" t="s">
        <v>79</v>
      </c>
      <c r="BB50" s="10">
        <v>15848000</v>
      </c>
      <c r="BC50" s="31"/>
      <c r="BE50" s="7" t="s">
        <v>79</v>
      </c>
      <c r="BF50" s="10">
        <v>13124578315.92</v>
      </c>
      <c r="BG50" s="34"/>
      <c r="BI50" s="7" t="s">
        <v>79</v>
      </c>
      <c r="BJ50" s="10">
        <v>13060531315.92</v>
      </c>
      <c r="BK50" s="34" t="str">
        <f>YEAR(CurrentMtgRatesDataTable871112131417[[#This Row],[asofdate]])&amp;"-"&amp;MONTH(CurrentMtgRatesDataTable871112131417[[#This Row],[asofdate]])</f>
        <v>2007-2</v>
      </c>
      <c r="BL50" s="34">
        <f>CurrentMtgRatesDataTable871112131417[[#This Row],[SeriesNumValue]]</f>
        <v>13060531315.92</v>
      </c>
      <c r="BM50" s="34">
        <f>VLOOKUP(CurrentMtgRatesDataTable871112131417[[#This Row],[asofdate]],AW:AX,2,0)</f>
        <v>48199000</v>
      </c>
      <c r="BN50" s="30">
        <f>IF(VLOOKUP(CurrentMtgRatesDataTable871112131417[[#This Row],[asofdate]],BA:BB,2,0)&lt;&gt;0,VLOOKUP(CurrentMtgRatesDataTable871112131417[[#This Row],[asofdate]],BA:BB,2,0),BN49)</f>
        <v>15848000</v>
      </c>
      <c r="BO50" s="30">
        <f>VLOOKUP(CurrentMtgRatesDataTable871112131417[[#This Row],[asofdate]],BE:BF,2,0)</f>
        <v>13124578315.92</v>
      </c>
    </row>
    <row r="51" spans="1:67" s="6" customFormat="1">
      <c r="A51" s="7" t="s">
        <v>80</v>
      </c>
      <c r="B51" s="10">
        <v>1.81768016527653E-2</v>
      </c>
      <c r="C51" s="10" t="str">
        <f>YEAR(CurrentMtgRatesDataTable8[[#This Row],[asofdate]])&amp;"-"&amp;MONTH(CurrentMtgRatesDataTable8[[#This Row],[asofdate]])</f>
        <v>2007-3</v>
      </c>
      <c r="D51" s="6">
        <f>((CurrentMtgRatesDataTable8[[#This Row],[SeriesNumValue]]-$D$1)/$D$1+1)*100</f>
        <v>121.178677685102</v>
      </c>
      <c r="I51" s="7" t="s">
        <v>134</v>
      </c>
      <c r="J51" s="10">
        <v>1.4107184425189099E-2</v>
      </c>
      <c r="K51" s="10" t="str">
        <f>YEAR(CurrentMtgRatesDataTable89[[#This Row],[asofdate]])&amp;"-"&amp;MONTH(CurrentMtgRatesDataTable89[[#This Row],[asofdate]])</f>
        <v>2011-9</v>
      </c>
      <c r="L51" s="6">
        <f>((CurrentMtgRatesDataTable89[[#This Row],[SeriesNumValue]]-$D$1)/$D$1+1)*100</f>
        <v>94.047896167927334</v>
      </c>
      <c r="M51" s="6">
        <f>CurrentMtgRatesDataTable89[[#This Row],[Index]]-L52</f>
        <v>4.4402054638233324</v>
      </c>
      <c r="P51" s="7" t="s">
        <v>80</v>
      </c>
      <c r="Q51" s="10">
        <v>0.101950777887985</v>
      </c>
      <c r="R51" s="31">
        <f>((CurrentMtgRatesDataTable8711[[#This Row],[SeriesNumValue]]-$D$1)/$D$1+1)*100</f>
        <v>679.67185258656673</v>
      </c>
      <c r="S51" s="31"/>
      <c r="U51" s="7" t="s">
        <v>80</v>
      </c>
      <c r="V51" s="10">
        <v>0</v>
      </c>
      <c r="W51" s="31">
        <f>((CurrentMtgRatesDataTable871112[[#This Row],[SeriesNumValue]]-$D$1)/$D$1+1)*100</f>
        <v>0</v>
      </c>
      <c r="X51" s="31"/>
      <c r="Z51" s="7" t="s">
        <v>80</v>
      </c>
      <c r="AA51" s="10">
        <v>1.8280911241115701E-2</v>
      </c>
      <c r="AB51" s="34">
        <f>((CurrentMtgRatesDataTable87111213[[#This Row],[SeriesNumValue]]-$D$1)/$D$1+1)*100</f>
        <v>121.87274160743802</v>
      </c>
      <c r="AC51" s="34"/>
      <c r="AE51" s="7" t="s">
        <v>80</v>
      </c>
      <c r="AF51" s="10">
        <v>1.8106452720528399E-2</v>
      </c>
      <c r="AG51" s="34">
        <f>((CurrentMtgRatesDataTable8711121314[[#This Row],[SeriesNumValue]]-$D$1)/$D$1+1)*100</f>
        <v>120.70968480352266</v>
      </c>
      <c r="AH51" s="34" t="str">
        <f>YEAR(CurrentMtgRatesDataTable8711121314[[#This Row],[asofdate]])&amp;"-"&amp;MONTH(CurrentMtgRatesDataTable8711121314[[#This Row],[asofdate]])</f>
        <v>2007-3</v>
      </c>
      <c r="AI51" s="34">
        <f>CurrentMtgRatesDataTable8711121314[[#This Row],[SeriesNumValue]]</f>
        <v>1.8106452720528399E-2</v>
      </c>
      <c r="AJ51" s="34">
        <f>VLOOKUP(CurrentMtgRatesDataTable8711121314[[#This Row],[asofdate]],P:R,2,0)</f>
        <v>0.101950777887985</v>
      </c>
      <c r="AK51" s="30">
        <f>IF(VLOOKUP(CurrentMtgRatesDataTable8711121314[[#This Row],[asofdate]],U:W,2,0)&lt;&gt;0,VLOOKUP(CurrentMtgRatesDataTable8711121314[[#This Row],[asofdate]],U:W,2,0),AK50)</f>
        <v>8.8833892051242799E-2</v>
      </c>
      <c r="AL51" s="30">
        <f>VLOOKUP(CurrentMtgRatesDataTable8711121314[[#This Row],[asofdate]],Z:AB,2,0)</f>
        <v>1.8280911241115701E-2</v>
      </c>
      <c r="AM51" s="30">
        <f>CurrentMtgRatesDataTable8711121314[[#This Row],[FHA]]+0.5*CurrentMtgRatesDataTable8711121314[[#This Row],[Conventional]]</f>
        <v>0.1110040042482492</v>
      </c>
      <c r="AN51" s="30">
        <f>2*CurrentMtgRatesDataTable8711121314[[#This Row],[FHA]]</f>
        <v>0.20390155577596999</v>
      </c>
      <c r="AO51" s="11">
        <f>VLOOKUP(YEAR(CurrentMtgRatesDataTable8711121314[[#This Row],[asofdate]]),OriginationVolume!$A:$N,8,FALSE)</f>
        <v>0.55309947140797688</v>
      </c>
      <c r="AP51" s="11">
        <f>VLOOKUP(YEAR(CurrentMtgRatesDataTable8711121314[[#This Row],[asofdate]]),OriginationVolume!$A:$N,9,FALSE)</f>
        <v>1.3935607880826525E-2</v>
      </c>
      <c r="AQ51" s="11">
        <f>VLOOKUP(YEAR(CurrentMtgRatesDataTable8711121314[[#This Row],[asofdate]]),OriginationVolume!$A:$N,10,FALSE)</f>
        <v>4.1806823642479576E-2</v>
      </c>
      <c r="AR51" s="11">
        <f>VLOOKUP(YEAR(CurrentMtgRatesDataTable8711121314[[#This Row],[asofdate]]),OriginationVolume!$A:$N,11,FALSE)</f>
        <v>0.16722729456991831</v>
      </c>
      <c r="AS51" s="11">
        <f>VLOOKUP(YEAR(CurrentMtgRatesDataTable8711121314[[#This Row],[asofdate]]),OriginationVolume!$A:$N,12,FALSE)</f>
        <v>0.13214800576645844</v>
      </c>
      <c r="AT51" s="11">
        <f>VLOOKUP(YEAR(CurrentMtgRatesDataTable8711121314[[#This Row],[asofdate]]),OriginationVolume!$A:$N,13,FALSE)</f>
        <v>9.1782796732340216E-2</v>
      </c>
      <c r="AU5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AW51" s="7" t="s">
        <v>80</v>
      </c>
      <c r="AX51" s="10">
        <v>38261000</v>
      </c>
      <c r="AY51" s="31"/>
      <c r="BA51" s="7" t="s">
        <v>80</v>
      </c>
      <c r="BB51" s="10">
        <v>13950000</v>
      </c>
      <c r="BC51" s="31"/>
      <c r="BE51" s="7" t="s">
        <v>80</v>
      </c>
      <c r="BF51" s="10">
        <v>10625968730.68</v>
      </c>
      <c r="BG51" s="34"/>
      <c r="BI51" s="7" t="s">
        <v>80</v>
      </c>
      <c r="BJ51" s="10">
        <v>10573757730.68</v>
      </c>
      <c r="BK51" s="34" t="str">
        <f>YEAR(CurrentMtgRatesDataTable871112131417[[#This Row],[asofdate]])&amp;"-"&amp;MONTH(CurrentMtgRatesDataTable871112131417[[#This Row],[asofdate]])</f>
        <v>2007-3</v>
      </c>
      <c r="BL51" s="34">
        <f>CurrentMtgRatesDataTable871112131417[[#This Row],[SeriesNumValue]]</f>
        <v>10573757730.68</v>
      </c>
      <c r="BM51" s="34">
        <f>VLOOKUP(CurrentMtgRatesDataTable871112131417[[#This Row],[asofdate]],AW:AX,2,0)</f>
        <v>38261000</v>
      </c>
      <c r="BN51" s="30">
        <f>IF(VLOOKUP(CurrentMtgRatesDataTable871112131417[[#This Row],[asofdate]],BA:BB,2,0)&lt;&gt;0,VLOOKUP(CurrentMtgRatesDataTable871112131417[[#This Row],[asofdate]],BA:BB,2,0),BN50)</f>
        <v>13950000</v>
      </c>
      <c r="BO51" s="30">
        <f>VLOOKUP(CurrentMtgRatesDataTable871112131417[[#This Row],[asofdate]],BE:BF,2,0)</f>
        <v>10625968730.68</v>
      </c>
    </row>
    <row r="52" spans="1:67" s="6" customFormat="1">
      <c r="A52" s="7" t="s">
        <v>81</v>
      </c>
      <c r="B52" s="10">
        <v>1.9825237948473601E-2</v>
      </c>
      <c r="C52" s="10" t="str">
        <f>YEAR(CurrentMtgRatesDataTable8[[#This Row],[asofdate]])&amp;"-"&amp;MONTH(CurrentMtgRatesDataTable8[[#This Row],[asofdate]])</f>
        <v>2007-4</v>
      </c>
      <c r="D52" s="6">
        <f>((CurrentMtgRatesDataTable8[[#This Row],[SeriesNumValue]]-$D$1)/$D$1+1)*100</f>
        <v>132.168252989824</v>
      </c>
      <c r="I52" s="7" t="s">
        <v>133</v>
      </c>
      <c r="J52" s="10">
        <v>1.34411536056156E-2</v>
      </c>
      <c r="K52" s="10" t="str">
        <f>YEAR(CurrentMtgRatesDataTable89[[#This Row],[asofdate]])&amp;"-"&amp;MONTH(CurrentMtgRatesDataTable89[[#This Row],[asofdate]])</f>
        <v>2011-8</v>
      </c>
      <c r="L52" s="6">
        <f>((CurrentMtgRatesDataTable89[[#This Row],[SeriesNumValue]]-$D$1)/$D$1+1)*100</f>
        <v>89.607690704104002</v>
      </c>
      <c r="M52" s="6">
        <f>CurrentMtgRatesDataTable89[[#This Row],[Index]]-L53</f>
        <v>-3.3278156171833473</v>
      </c>
      <c r="P52" s="7" t="s">
        <v>81</v>
      </c>
      <c r="Q52" s="10">
        <v>0.11322743894513</v>
      </c>
      <c r="R52" s="31">
        <f>((CurrentMtgRatesDataTable8711[[#This Row],[SeriesNumValue]]-$D$1)/$D$1+1)*100</f>
        <v>754.84959296753345</v>
      </c>
      <c r="S52" s="31"/>
      <c r="U52" s="7" t="s">
        <v>81</v>
      </c>
      <c r="V52" s="10">
        <v>8.5720663516440795E-2</v>
      </c>
      <c r="W52" s="31">
        <f>((CurrentMtgRatesDataTable871112[[#This Row],[SeriesNumValue]]-$D$1)/$D$1+1)*100</f>
        <v>571.47109010960526</v>
      </c>
      <c r="X52" s="31"/>
      <c r="Z52" s="7" t="s">
        <v>81</v>
      </c>
      <c r="AA52" s="10">
        <v>1.9416365346460001E-2</v>
      </c>
      <c r="AB52" s="34">
        <f>((CurrentMtgRatesDataTable87111213[[#This Row],[SeriesNumValue]]-$D$1)/$D$1+1)*100</f>
        <v>129.44243564306669</v>
      </c>
      <c r="AC52" s="34"/>
      <c r="AE52" s="7" t="s">
        <v>81</v>
      </c>
      <c r="AF52" s="10">
        <v>1.9218681550226799E-2</v>
      </c>
      <c r="AG52" s="34">
        <f>((CurrentMtgRatesDataTable8711121314[[#This Row],[SeriesNumValue]]-$D$1)/$D$1+1)*100</f>
        <v>128.12454366817866</v>
      </c>
      <c r="AH52" s="34" t="str">
        <f>YEAR(CurrentMtgRatesDataTable8711121314[[#This Row],[asofdate]])&amp;"-"&amp;MONTH(CurrentMtgRatesDataTable8711121314[[#This Row],[asofdate]])</f>
        <v>2007-4</v>
      </c>
      <c r="AI52" s="34">
        <f>CurrentMtgRatesDataTable8711121314[[#This Row],[SeriesNumValue]]</f>
        <v>1.9218681550226799E-2</v>
      </c>
      <c r="AJ52" s="34">
        <f>VLOOKUP(CurrentMtgRatesDataTable8711121314[[#This Row],[asofdate]],P:R,2,0)</f>
        <v>0.11322743894513</v>
      </c>
      <c r="AK52" s="30">
        <f>IF(VLOOKUP(CurrentMtgRatesDataTable8711121314[[#This Row],[asofdate]],U:W,2,0)&lt;&gt;0,VLOOKUP(CurrentMtgRatesDataTable8711121314[[#This Row],[asofdate]],U:W,2,0),AK51)</f>
        <v>8.5720663516440795E-2</v>
      </c>
      <c r="AL52" s="30">
        <f>VLOOKUP(CurrentMtgRatesDataTable8711121314[[#This Row],[asofdate]],Z:AB,2,0)</f>
        <v>1.9416365346460001E-2</v>
      </c>
      <c r="AM52" s="30">
        <f>CurrentMtgRatesDataTable8711121314[[#This Row],[FHA]]+0.5*CurrentMtgRatesDataTable8711121314[[#This Row],[Conventional]]</f>
        <v>0.1228367797202434</v>
      </c>
      <c r="AN52" s="30">
        <f>2*CurrentMtgRatesDataTable8711121314[[#This Row],[FHA]]</f>
        <v>0.22645487789026</v>
      </c>
      <c r="AO52" s="11">
        <f>VLOOKUP(YEAR(CurrentMtgRatesDataTable8711121314[[#This Row],[asofdate]]),OriginationVolume!$A:$N,8,FALSE)</f>
        <v>0.55309947140797688</v>
      </c>
      <c r="AP52" s="11">
        <f>VLOOKUP(YEAR(CurrentMtgRatesDataTable8711121314[[#This Row],[asofdate]]),OriginationVolume!$A:$N,9,FALSE)</f>
        <v>1.3935607880826525E-2</v>
      </c>
      <c r="AQ52" s="11">
        <f>VLOOKUP(YEAR(CurrentMtgRatesDataTable8711121314[[#This Row],[asofdate]]),OriginationVolume!$A:$N,10,FALSE)</f>
        <v>4.1806823642479576E-2</v>
      </c>
      <c r="AR52" s="11">
        <f>VLOOKUP(YEAR(CurrentMtgRatesDataTable8711121314[[#This Row],[asofdate]]),OriginationVolume!$A:$N,11,FALSE)</f>
        <v>0.16722729456991831</v>
      </c>
      <c r="AS52" s="11">
        <f>VLOOKUP(YEAR(CurrentMtgRatesDataTable8711121314[[#This Row],[asofdate]]),OriginationVolume!$A:$N,12,FALSE)</f>
        <v>0.13214800576645844</v>
      </c>
      <c r="AT52" s="11">
        <f>VLOOKUP(YEAR(CurrentMtgRatesDataTable8711121314[[#This Row],[asofdate]]),OriginationVolume!$A:$N,13,FALSE)</f>
        <v>9.1782796732340216E-2</v>
      </c>
      <c r="AU5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AW52" s="7" t="s">
        <v>81</v>
      </c>
      <c r="AX52" s="10">
        <v>47432000</v>
      </c>
      <c r="AY52" s="31"/>
      <c r="BA52" s="7" t="s">
        <v>81</v>
      </c>
      <c r="BB52" s="10">
        <v>18663000</v>
      </c>
      <c r="BC52" s="31"/>
      <c r="BE52" s="7" t="s">
        <v>81</v>
      </c>
      <c r="BF52" s="10">
        <v>12274867240.42</v>
      </c>
      <c r="BG52" s="34"/>
      <c r="BI52" s="7" t="s">
        <v>81</v>
      </c>
      <c r="BJ52" s="10">
        <v>12208772240.42</v>
      </c>
      <c r="BK52" s="34" t="str">
        <f>YEAR(CurrentMtgRatesDataTable871112131417[[#This Row],[asofdate]])&amp;"-"&amp;MONTH(CurrentMtgRatesDataTable871112131417[[#This Row],[asofdate]])</f>
        <v>2007-4</v>
      </c>
      <c r="BL52" s="34">
        <f>CurrentMtgRatesDataTable871112131417[[#This Row],[SeriesNumValue]]</f>
        <v>12208772240.42</v>
      </c>
      <c r="BM52" s="34">
        <f>VLOOKUP(CurrentMtgRatesDataTable871112131417[[#This Row],[asofdate]],AW:AX,2,0)</f>
        <v>47432000</v>
      </c>
      <c r="BN52" s="30">
        <f>IF(VLOOKUP(CurrentMtgRatesDataTable871112131417[[#This Row],[asofdate]],BA:BB,2,0)&lt;&gt;0,VLOOKUP(CurrentMtgRatesDataTable871112131417[[#This Row],[asofdate]],BA:BB,2,0),BN51)</f>
        <v>18663000</v>
      </c>
      <c r="BO52" s="30">
        <f>VLOOKUP(CurrentMtgRatesDataTable871112131417[[#This Row],[asofdate]],BE:BF,2,0)</f>
        <v>12274867240.42</v>
      </c>
    </row>
    <row r="53" spans="1:67" s="6" customFormat="1">
      <c r="A53" s="7" t="s">
        <v>82</v>
      </c>
      <c r="B53" s="10">
        <v>2.0284946231693701E-2</v>
      </c>
      <c r="C53" s="10" t="str">
        <f>YEAR(CurrentMtgRatesDataTable8[[#This Row],[asofdate]])&amp;"-"&amp;MONTH(CurrentMtgRatesDataTable8[[#This Row],[asofdate]])</f>
        <v>2007-5</v>
      </c>
      <c r="D53" s="6">
        <f>((CurrentMtgRatesDataTable8[[#This Row],[SeriesNumValue]]-$D$1)/$D$1+1)*100</f>
        <v>135.23297487795801</v>
      </c>
      <c r="I53" s="7" t="s">
        <v>132</v>
      </c>
      <c r="J53" s="10">
        <v>1.39403259481931E-2</v>
      </c>
      <c r="K53" s="10" t="str">
        <f>YEAR(CurrentMtgRatesDataTable89[[#This Row],[asofdate]])&amp;"-"&amp;MONTH(CurrentMtgRatesDataTable89[[#This Row],[asofdate]])</f>
        <v>2011-7</v>
      </c>
      <c r="L53" s="6">
        <f>((CurrentMtgRatesDataTable89[[#This Row],[SeriesNumValue]]-$D$1)/$D$1+1)*100</f>
        <v>92.935506321287349</v>
      </c>
      <c r="M53" s="6">
        <f>CurrentMtgRatesDataTable89[[#This Row],[Index]]-L54</f>
        <v>7.4302713271500096</v>
      </c>
      <c r="P53" s="7" t="s">
        <v>82</v>
      </c>
      <c r="Q53" s="10">
        <v>0.109331088924152</v>
      </c>
      <c r="R53" s="31">
        <f>((CurrentMtgRatesDataTable8711[[#This Row],[SeriesNumValue]]-$D$1)/$D$1+1)*100</f>
        <v>728.87392616101329</v>
      </c>
      <c r="S53" s="31"/>
      <c r="U53" s="7" t="s">
        <v>82</v>
      </c>
      <c r="V53" s="10">
        <v>9.4059593281205903E-2</v>
      </c>
      <c r="W53" s="31">
        <f>((CurrentMtgRatesDataTable871112[[#This Row],[SeriesNumValue]]-$D$1)/$D$1+1)*100</f>
        <v>627.06395520803937</v>
      </c>
      <c r="X53" s="31"/>
      <c r="Z53" s="7" t="s">
        <v>82</v>
      </c>
      <c r="AA53" s="10">
        <v>2.06369195060341E-2</v>
      </c>
      <c r="AB53" s="34">
        <f>((CurrentMtgRatesDataTable87111213[[#This Row],[SeriesNumValue]]-$D$1)/$D$1+1)*100</f>
        <v>137.57946337356066</v>
      </c>
      <c r="AC53" s="34"/>
      <c r="AE53" s="7" t="s">
        <v>82</v>
      </c>
      <c r="AF53" s="10">
        <v>2.0422342200062199E-2</v>
      </c>
      <c r="AG53" s="34">
        <f>((CurrentMtgRatesDataTable8711121314[[#This Row],[SeriesNumValue]]-$D$1)/$D$1+1)*100</f>
        <v>136.14894800041466</v>
      </c>
      <c r="AH53" s="34" t="str">
        <f>YEAR(CurrentMtgRatesDataTable8711121314[[#This Row],[asofdate]])&amp;"-"&amp;MONTH(CurrentMtgRatesDataTable8711121314[[#This Row],[asofdate]])</f>
        <v>2007-5</v>
      </c>
      <c r="AI53" s="34">
        <f>CurrentMtgRatesDataTable8711121314[[#This Row],[SeriesNumValue]]</f>
        <v>2.0422342200062199E-2</v>
      </c>
      <c r="AJ53" s="34">
        <f>VLOOKUP(CurrentMtgRatesDataTable8711121314[[#This Row],[asofdate]],P:R,2,0)</f>
        <v>0.109331088924152</v>
      </c>
      <c r="AK53" s="30">
        <f>IF(VLOOKUP(CurrentMtgRatesDataTable8711121314[[#This Row],[asofdate]],U:W,2,0)&lt;&gt;0,VLOOKUP(CurrentMtgRatesDataTable8711121314[[#This Row],[asofdate]],U:W,2,0),AK52)</f>
        <v>9.4059593281205903E-2</v>
      </c>
      <c r="AL53" s="30">
        <f>VLOOKUP(CurrentMtgRatesDataTable8711121314[[#This Row],[asofdate]],Z:AB,2,0)</f>
        <v>2.06369195060341E-2</v>
      </c>
      <c r="AM53" s="30">
        <f>CurrentMtgRatesDataTable8711121314[[#This Row],[FHA]]+0.5*CurrentMtgRatesDataTable8711121314[[#This Row],[Conventional]]</f>
        <v>0.1195422600241831</v>
      </c>
      <c r="AN53" s="30">
        <f>2*CurrentMtgRatesDataTable8711121314[[#This Row],[FHA]]</f>
        <v>0.218662177848304</v>
      </c>
      <c r="AO53" s="11">
        <f>VLOOKUP(YEAR(CurrentMtgRatesDataTable8711121314[[#This Row],[asofdate]]),OriginationVolume!$A:$N,8,FALSE)</f>
        <v>0.55309947140797688</v>
      </c>
      <c r="AP53" s="11">
        <f>VLOOKUP(YEAR(CurrentMtgRatesDataTable8711121314[[#This Row],[asofdate]]),OriginationVolume!$A:$N,9,FALSE)</f>
        <v>1.3935607880826525E-2</v>
      </c>
      <c r="AQ53" s="11">
        <f>VLOOKUP(YEAR(CurrentMtgRatesDataTable8711121314[[#This Row],[asofdate]]),OriginationVolume!$A:$N,10,FALSE)</f>
        <v>4.1806823642479576E-2</v>
      </c>
      <c r="AR53" s="11">
        <f>VLOOKUP(YEAR(CurrentMtgRatesDataTable8711121314[[#This Row],[asofdate]]),OriginationVolume!$A:$N,11,FALSE)</f>
        <v>0.16722729456991831</v>
      </c>
      <c r="AS53" s="11">
        <f>VLOOKUP(YEAR(CurrentMtgRatesDataTable8711121314[[#This Row],[asofdate]]),OriginationVolume!$A:$N,12,FALSE)</f>
        <v>0.13214800576645844</v>
      </c>
      <c r="AT53" s="11">
        <f>VLOOKUP(YEAR(CurrentMtgRatesDataTable8711121314[[#This Row],[asofdate]]),OriginationVolume!$A:$N,13,FALSE)</f>
        <v>9.1782796732340216E-2</v>
      </c>
      <c r="AU5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AW53" s="7" t="s">
        <v>82</v>
      </c>
      <c r="AX53" s="10">
        <v>66177000</v>
      </c>
      <c r="AY53" s="31"/>
      <c r="BA53" s="7" t="s">
        <v>82</v>
      </c>
      <c r="BB53" s="10">
        <v>19376000</v>
      </c>
      <c r="BC53" s="31"/>
      <c r="BE53" s="7" t="s">
        <v>82</v>
      </c>
      <c r="BF53" s="10">
        <v>16261292046.35</v>
      </c>
      <c r="BG53" s="34"/>
      <c r="BI53" s="7" t="s">
        <v>82</v>
      </c>
      <c r="BJ53" s="10">
        <v>16175739046.35</v>
      </c>
      <c r="BK53" s="34" t="str">
        <f>YEAR(CurrentMtgRatesDataTable871112131417[[#This Row],[asofdate]])&amp;"-"&amp;MONTH(CurrentMtgRatesDataTable871112131417[[#This Row],[asofdate]])</f>
        <v>2007-5</v>
      </c>
      <c r="BL53" s="34">
        <f>CurrentMtgRatesDataTable871112131417[[#This Row],[SeriesNumValue]]</f>
        <v>16175739046.35</v>
      </c>
      <c r="BM53" s="34">
        <f>VLOOKUP(CurrentMtgRatesDataTable871112131417[[#This Row],[asofdate]],AW:AX,2,0)</f>
        <v>66177000</v>
      </c>
      <c r="BN53" s="30">
        <f>IF(VLOOKUP(CurrentMtgRatesDataTable871112131417[[#This Row],[asofdate]],BA:BB,2,0)&lt;&gt;0,VLOOKUP(CurrentMtgRatesDataTable871112131417[[#This Row],[asofdate]],BA:BB,2,0),BN52)</f>
        <v>19376000</v>
      </c>
      <c r="BO53" s="30">
        <f>VLOOKUP(CurrentMtgRatesDataTable871112131417[[#This Row],[asofdate]],BE:BF,2,0)</f>
        <v>16261292046.35</v>
      </c>
    </row>
    <row r="54" spans="1:67" s="6" customFormat="1">
      <c r="A54" s="7" t="s">
        <v>83</v>
      </c>
      <c r="B54" s="10">
        <v>2.06722782999215E-2</v>
      </c>
      <c r="C54" s="10" t="str">
        <f>YEAR(CurrentMtgRatesDataTable8[[#This Row],[asofdate]])&amp;"-"&amp;MONTH(CurrentMtgRatesDataTable8[[#This Row],[asofdate]])</f>
        <v>2007-6</v>
      </c>
      <c r="D54" s="6">
        <f>((CurrentMtgRatesDataTable8[[#This Row],[SeriesNumValue]]-$D$1)/$D$1+1)*100</f>
        <v>137.81518866614334</v>
      </c>
      <c r="I54" s="7" t="s">
        <v>131</v>
      </c>
      <c r="J54" s="10">
        <v>1.28257852491206E-2</v>
      </c>
      <c r="K54" s="10" t="str">
        <f>YEAR(CurrentMtgRatesDataTable89[[#This Row],[asofdate]])&amp;"-"&amp;MONTH(CurrentMtgRatesDataTable89[[#This Row],[asofdate]])</f>
        <v>2011-6</v>
      </c>
      <c r="L54" s="6">
        <f>((CurrentMtgRatesDataTable89[[#This Row],[SeriesNumValue]]-$D$1)/$D$1+1)*100</f>
        <v>85.505234994137339</v>
      </c>
      <c r="M54" s="6">
        <f>CurrentMtgRatesDataTable89[[#This Row],[Index]]-L55</f>
        <v>2.6898246474626717</v>
      </c>
      <c r="P54" s="7" t="s">
        <v>83</v>
      </c>
      <c r="Q54" s="10">
        <v>0.113390111014102</v>
      </c>
      <c r="R54" s="31">
        <f>((CurrentMtgRatesDataTable8711[[#This Row],[SeriesNumValue]]-$D$1)/$D$1+1)*100</f>
        <v>755.93407342734668</v>
      </c>
      <c r="S54" s="31"/>
      <c r="U54" s="7" t="s">
        <v>83</v>
      </c>
      <c r="V54" s="10">
        <v>7.6040970936058994E-2</v>
      </c>
      <c r="W54" s="31">
        <f>((CurrentMtgRatesDataTable871112[[#This Row],[SeriesNumValue]]-$D$1)/$D$1+1)*100</f>
        <v>506.9398062403933</v>
      </c>
      <c r="X54" s="31"/>
      <c r="Z54" s="7" t="s">
        <v>83</v>
      </c>
      <c r="AA54" s="10">
        <v>2.13189826696174E-2</v>
      </c>
      <c r="AB54" s="34">
        <f>((CurrentMtgRatesDataTable87111213[[#This Row],[SeriesNumValue]]-$D$1)/$D$1+1)*100</f>
        <v>142.12655113078267</v>
      </c>
      <c r="AC54" s="34"/>
      <c r="AE54" s="7" t="s">
        <v>83</v>
      </c>
      <c r="AF54" s="10">
        <v>2.1071832143085101E-2</v>
      </c>
      <c r="AG54" s="34">
        <f>((CurrentMtgRatesDataTable8711121314[[#This Row],[SeriesNumValue]]-$D$1)/$D$1+1)*100</f>
        <v>140.4788809539007</v>
      </c>
      <c r="AH54" s="34" t="str">
        <f>YEAR(CurrentMtgRatesDataTable8711121314[[#This Row],[asofdate]])&amp;"-"&amp;MONTH(CurrentMtgRatesDataTable8711121314[[#This Row],[asofdate]])</f>
        <v>2007-6</v>
      </c>
      <c r="AI54" s="34">
        <f>CurrentMtgRatesDataTable8711121314[[#This Row],[SeriesNumValue]]</f>
        <v>2.1071832143085101E-2</v>
      </c>
      <c r="AJ54" s="34">
        <f>VLOOKUP(CurrentMtgRatesDataTable8711121314[[#This Row],[asofdate]],P:R,2,0)</f>
        <v>0.113390111014102</v>
      </c>
      <c r="AK54" s="30">
        <f>IF(VLOOKUP(CurrentMtgRatesDataTable8711121314[[#This Row],[asofdate]],U:W,2,0)&lt;&gt;0,VLOOKUP(CurrentMtgRatesDataTable8711121314[[#This Row],[asofdate]],U:W,2,0),AK53)</f>
        <v>7.6040970936058994E-2</v>
      </c>
      <c r="AL54" s="30">
        <f>VLOOKUP(CurrentMtgRatesDataTable8711121314[[#This Row],[asofdate]],Z:AB,2,0)</f>
        <v>2.13189826696174E-2</v>
      </c>
      <c r="AM54" s="30">
        <f>CurrentMtgRatesDataTable8711121314[[#This Row],[FHA]]+0.5*CurrentMtgRatesDataTable8711121314[[#This Row],[Conventional]]</f>
        <v>0.12392602708564456</v>
      </c>
      <c r="AN54" s="30">
        <f>2*CurrentMtgRatesDataTable8711121314[[#This Row],[FHA]]</f>
        <v>0.226780222028204</v>
      </c>
      <c r="AO54" s="11">
        <f>VLOOKUP(YEAR(CurrentMtgRatesDataTable8711121314[[#This Row],[asofdate]]),OriginationVolume!$A:$N,8,FALSE)</f>
        <v>0.55309947140797688</v>
      </c>
      <c r="AP54" s="11">
        <f>VLOOKUP(YEAR(CurrentMtgRatesDataTable8711121314[[#This Row],[asofdate]]),OriginationVolume!$A:$N,9,FALSE)</f>
        <v>1.3935607880826525E-2</v>
      </c>
      <c r="AQ54" s="11">
        <f>VLOOKUP(YEAR(CurrentMtgRatesDataTable8711121314[[#This Row],[asofdate]]),OriginationVolume!$A:$N,10,FALSE)</f>
        <v>4.1806823642479576E-2</v>
      </c>
      <c r="AR54" s="11">
        <f>VLOOKUP(YEAR(CurrentMtgRatesDataTable8711121314[[#This Row],[asofdate]]),OriginationVolume!$A:$N,11,FALSE)</f>
        <v>0.16722729456991831</v>
      </c>
      <c r="AS54" s="11">
        <f>VLOOKUP(YEAR(CurrentMtgRatesDataTable8711121314[[#This Row],[asofdate]]),OriginationVolume!$A:$N,12,FALSE)</f>
        <v>0.13214800576645844</v>
      </c>
      <c r="AT54" s="11">
        <f>VLOOKUP(YEAR(CurrentMtgRatesDataTable8711121314[[#This Row],[asofdate]]),OriginationVolume!$A:$N,13,FALSE)</f>
        <v>9.1782796732340216E-2</v>
      </c>
      <c r="AU5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AW54" s="7" t="s">
        <v>83</v>
      </c>
      <c r="AX54" s="10">
        <v>82424000</v>
      </c>
      <c r="AY54" s="31"/>
      <c r="BA54" s="7" t="s">
        <v>83</v>
      </c>
      <c r="BB54" s="10">
        <v>19400000</v>
      </c>
      <c r="BC54" s="31"/>
      <c r="BE54" s="7" t="s">
        <v>83</v>
      </c>
      <c r="BF54" s="10">
        <v>17193197055.080002</v>
      </c>
      <c r="BG54" s="34"/>
      <c r="BI54" s="7" t="s">
        <v>83</v>
      </c>
      <c r="BJ54" s="10">
        <v>17091373055.08</v>
      </c>
      <c r="BK54" s="34" t="str">
        <f>YEAR(CurrentMtgRatesDataTable871112131417[[#This Row],[asofdate]])&amp;"-"&amp;MONTH(CurrentMtgRatesDataTable871112131417[[#This Row],[asofdate]])</f>
        <v>2007-6</v>
      </c>
      <c r="BL54" s="34">
        <f>CurrentMtgRatesDataTable871112131417[[#This Row],[SeriesNumValue]]</f>
        <v>17091373055.08</v>
      </c>
      <c r="BM54" s="34">
        <f>VLOOKUP(CurrentMtgRatesDataTable871112131417[[#This Row],[asofdate]],AW:AX,2,0)</f>
        <v>82424000</v>
      </c>
      <c r="BN54" s="30">
        <f>IF(VLOOKUP(CurrentMtgRatesDataTable871112131417[[#This Row],[asofdate]],BA:BB,2,0)&lt;&gt;0,VLOOKUP(CurrentMtgRatesDataTable871112131417[[#This Row],[asofdate]],BA:BB,2,0),BN53)</f>
        <v>19400000</v>
      </c>
      <c r="BO54" s="30">
        <f>VLOOKUP(CurrentMtgRatesDataTable871112131417[[#This Row],[asofdate]],BE:BF,2,0)</f>
        <v>17193197055.080002</v>
      </c>
    </row>
    <row r="55" spans="1:67" s="6" customFormat="1">
      <c r="A55" s="7" t="s">
        <v>84</v>
      </c>
      <c r="B55" s="10">
        <v>1.9929199041702501E-2</v>
      </c>
      <c r="C55" s="10" t="str">
        <f>YEAR(CurrentMtgRatesDataTable8[[#This Row],[asofdate]])&amp;"-"&amp;MONTH(CurrentMtgRatesDataTable8[[#This Row],[asofdate]])</f>
        <v>2007-7</v>
      </c>
      <c r="D55" s="6">
        <f>((CurrentMtgRatesDataTable8[[#This Row],[SeriesNumValue]]-$D$1)/$D$1+1)*100</f>
        <v>132.86132694468336</v>
      </c>
      <c r="I55" s="7" t="s">
        <v>130</v>
      </c>
      <c r="J55" s="10">
        <v>1.24223115520012E-2</v>
      </c>
      <c r="K55" s="10" t="str">
        <f>YEAR(CurrentMtgRatesDataTable89[[#This Row],[asofdate]])&amp;"-"&amp;MONTH(CurrentMtgRatesDataTable89[[#This Row],[asofdate]])</f>
        <v>2011-5</v>
      </c>
      <c r="L55" s="6">
        <f>((CurrentMtgRatesDataTable89[[#This Row],[SeriesNumValue]]-$D$1)/$D$1+1)*100</f>
        <v>82.815410346674668</v>
      </c>
      <c r="M55" s="6">
        <f>CurrentMtgRatesDataTable89[[#This Row],[Index]]-L56</f>
        <v>5.9844297413033161</v>
      </c>
      <c r="P55" s="7" t="s">
        <v>84</v>
      </c>
      <c r="Q55" s="10">
        <v>0.11526275108716</v>
      </c>
      <c r="R55" s="31">
        <f>((CurrentMtgRatesDataTable8711[[#This Row],[SeriesNumValue]]-$D$1)/$D$1+1)*100</f>
        <v>768.41834058106667</v>
      </c>
      <c r="S55" s="31"/>
      <c r="U55" s="7" t="s">
        <v>84</v>
      </c>
      <c r="V55" s="10">
        <v>9.0262087142296804E-2</v>
      </c>
      <c r="W55" s="31">
        <f>((CurrentMtgRatesDataTable871112[[#This Row],[SeriesNumValue]]-$D$1)/$D$1+1)*100</f>
        <v>601.74724761531206</v>
      </c>
      <c r="X55" s="31"/>
      <c r="Z55" s="7" t="s">
        <v>84</v>
      </c>
      <c r="AA55" s="10">
        <v>2.2393135949143501E-2</v>
      </c>
      <c r="AB55" s="34">
        <f>((CurrentMtgRatesDataTable87111213[[#This Row],[SeriesNumValue]]-$D$1)/$D$1+1)*100</f>
        <v>149.28757299429</v>
      </c>
      <c r="AC55" s="34"/>
      <c r="AE55" s="7" t="s">
        <v>84</v>
      </c>
      <c r="AF55" s="10">
        <v>2.2137845183631499E-2</v>
      </c>
      <c r="AG55" s="34">
        <f>((CurrentMtgRatesDataTable8711121314[[#This Row],[SeriesNumValue]]-$D$1)/$D$1+1)*100</f>
        <v>147.58563455754333</v>
      </c>
      <c r="AH55" s="34" t="str">
        <f>YEAR(CurrentMtgRatesDataTable8711121314[[#This Row],[asofdate]])&amp;"-"&amp;MONTH(CurrentMtgRatesDataTable8711121314[[#This Row],[asofdate]])</f>
        <v>2007-7</v>
      </c>
      <c r="AI55" s="34">
        <f>CurrentMtgRatesDataTable8711121314[[#This Row],[SeriesNumValue]]</f>
        <v>2.2137845183631499E-2</v>
      </c>
      <c r="AJ55" s="34">
        <f>VLOOKUP(CurrentMtgRatesDataTable8711121314[[#This Row],[asofdate]],P:R,2,0)</f>
        <v>0.11526275108716</v>
      </c>
      <c r="AK55" s="30">
        <f>IF(VLOOKUP(CurrentMtgRatesDataTable8711121314[[#This Row],[asofdate]],U:W,2,0)&lt;&gt;0,VLOOKUP(CurrentMtgRatesDataTable8711121314[[#This Row],[asofdate]],U:W,2,0),AK54)</f>
        <v>9.0262087142296804E-2</v>
      </c>
      <c r="AL55" s="30">
        <f>VLOOKUP(CurrentMtgRatesDataTable8711121314[[#This Row],[asofdate]],Z:AB,2,0)</f>
        <v>2.2393135949143501E-2</v>
      </c>
      <c r="AM55" s="30">
        <f>CurrentMtgRatesDataTable8711121314[[#This Row],[FHA]]+0.5*CurrentMtgRatesDataTable8711121314[[#This Row],[Conventional]]</f>
        <v>0.12633167367897574</v>
      </c>
      <c r="AN55" s="30">
        <f>2*CurrentMtgRatesDataTable8711121314[[#This Row],[FHA]]</f>
        <v>0.23052550217432</v>
      </c>
      <c r="AO55" s="11">
        <f>VLOOKUP(YEAR(CurrentMtgRatesDataTable8711121314[[#This Row],[asofdate]]),OriginationVolume!$A:$N,8,FALSE)</f>
        <v>0.55309947140797688</v>
      </c>
      <c r="AP55" s="11">
        <f>VLOOKUP(YEAR(CurrentMtgRatesDataTable8711121314[[#This Row],[asofdate]]),OriginationVolume!$A:$N,9,FALSE)</f>
        <v>1.3935607880826525E-2</v>
      </c>
      <c r="AQ55" s="11">
        <f>VLOOKUP(YEAR(CurrentMtgRatesDataTable8711121314[[#This Row],[asofdate]]),OriginationVolume!$A:$N,10,FALSE)</f>
        <v>4.1806823642479576E-2</v>
      </c>
      <c r="AR55" s="11">
        <f>VLOOKUP(YEAR(CurrentMtgRatesDataTable8711121314[[#This Row],[asofdate]]),OriginationVolume!$A:$N,11,FALSE)</f>
        <v>0.16722729456991831</v>
      </c>
      <c r="AS55" s="11">
        <f>VLOOKUP(YEAR(CurrentMtgRatesDataTable8711121314[[#This Row],[asofdate]]),OriginationVolume!$A:$N,12,FALSE)</f>
        <v>0.13214800576645844</v>
      </c>
      <c r="AT55" s="11">
        <f>VLOOKUP(YEAR(CurrentMtgRatesDataTable8711121314[[#This Row],[asofdate]]),OriginationVolume!$A:$N,13,FALSE)</f>
        <v>9.1782796732340216E-2</v>
      </c>
      <c r="AU5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AW55" s="7" t="s">
        <v>84</v>
      </c>
      <c r="AX55" s="10">
        <v>88427000</v>
      </c>
      <c r="AY55" s="31"/>
      <c r="BA55" s="7" t="s">
        <v>84</v>
      </c>
      <c r="BB55" s="10">
        <v>25947000</v>
      </c>
      <c r="BC55" s="31"/>
      <c r="BE55" s="7" t="s">
        <v>84</v>
      </c>
      <c r="BF55" s="10">
        <v>18742639435.759998</v>
      </c>
      <c r="BG55" s="34"/>
      <c r="BI55" s="7" t="s">
        <v>84</v>
      </c>
      <c r="BJ55" s="10">
        <v>18628265435.759998</v>
      </c>
      <c r="BK55" s="34" t="str">
        <f>YEAR(CurrentMtgRatesDataTable871112131417[[#This Row],[asofdate]])&amp;"-"&amp;MONTH(CurrentMtgRatesDataTable871112131417[[#This Row],[asofdate]])</f>
        <v>2007-7</v>
      </c>
      <c r="BL55" s="34">
        <f>CurrentMtgRatesDataTable871112131417[[#This Row],[SeriesNumValue]]</f>
        <v>18628265435.759998</v>
      </c>
      <c r="BM55" s="34">
        <f>VLOOKUP(CurrentMtgRatesDataTable871112131417[[#This Row],[asofdate]],AW:AX,2,0)</f>
        <v>88427000</v>
      </c>
      <c r="BN55" s="30">
        <f>IF(VLOOKUP(CurrentMtgRatesDataTable871112131417[[#This Row],[asofdate]],BA:BB,2,0)&lt;&gt;0,VLOOKUP(CurrentMtgRatesDataTable871112131417[[#This Row],[asofdate]],BA:BB,2,0),BN54)</f>
        <v>25947000</v>
      </c>
      <c r="BO55" s="30">
        <f>VLOOKUP(CurrentMtgRatesDataTable871112131417[[#This Row],[asofdate]],BE:BF,2,0)</f>
        <v>18742639435.759998</v>
      </c>
    </row>
    <row r="56" spans="1:67" s="6" customFormat="1">
      <c r="A56" s="7" t="s">
        <v>85</v>
      </c>
      <c r="B56" s="10">
        <v>2.0714157318705E-2</v>
      </c>
      <c r="C56" s="10" t="str">
        <f>YEAR(CurrentMtgRatesDataTable8[[#This Row],[asofdate]])&amp;"-"&amp;MONTH(CurrentMtgRatesDataTable8[[#This Row],[asofdate]])</f>
        <v>2007-8</v>
      </c>
      <c r="D56" s="6">
        <f>((CurrentMtgRatesDataTable8[[#This Row],[SeriesNumValue]]-$D$1)/$D$1+1)*100</f>
        <v>138.09438212469999</v>
      </c>
      <c r="I56" s="7" t="s">
        <v>129</v>
      </c>
      <c r="J56" s="10">
        <v>1.15246470908057E-2</v>
      </c>
      <c r="K56" s="10" t="str">
        <f>YEAR(CurrentMtgRatesDataTable89[[#This Row],[asofdate]])&amp;"-"&amp;MONTH(CurrentMtgRatesDataTable89[[#This Row],[asofdate]])</f>
        <v>2011-4</v>
      </c>
      <c r="L56" s="6">
        <f>((CurrentMtgRatesDataTable89[[#This Row],[SeriesNumValue]]-$D$1)/$D$1+1)*100</f>
        <v>76.830980605371352</v>
      </c>
      <c r="M56" s="6">
        <f>CurrentMtgRatesDataTable89[[#This Row],[Index]]-L57</f>
        <v>3.1540497285566857</v>
      </c>
      <c r="P56" s="7" t="s">
        <v>85</v>
      </c>
      <c r="Q56" s="10">
        <v>9.5228743774607896E-2</v>
      </c>
      <c r="R56" s="31">
        <f>((CurrentMtgRatesDataTable8711[[#This Row],[SeriesNumValue]]-$D$1)/$D$1+1)*100</f>
        <v>634.85829183071928</v>
      </c>
      <c r="S56" s="31"/>
      <c r="U56" s="7" t="s">
        <v>85</v>
      </c>
      <c r="V56" s="10">
        <v>7.3171463970122794E-2</v>
      </c>
      <c r="W56" s="31">
        <f>((CurrentMtgRatesDataTable871112[[#This Row],[SeriesNumValue]]-$D$1)/$D$1+1)*100</f>
        <v>487.80975980081865</v>
      </c>
      <c r="X56" s="31"/>
      <c r="Z56" s="7" t="s">
        <v>85</v>
      </c>
      <c r="AA56" s="10">
        <v>2.1001237585848299E-2</v>
      </c>
      <c r="AB56" s="34">
        <f>((CurrentMtgRatesDataTable87111213[[#This Row],[SeriesNumValue]]-$D$1)/$D$1+1)*100</f>
        <v>140.008250572322</v>
      </c>
      <c r="AC56" s="34"/>
      <c r="AE56" s="7" t="s">
        <v>85</v>
      </c>
      <c r="AF56" s="10">
        <v>2.07952481029351E-2</v>
      </c>
      <c r="AG56" s="34">
        <f>((CurrentMtgRatesDataTable8711121314[[#This Row],[SeriesNumValue]]-$D$1)/$D$1+1)*100</f>
        <v>138.63498735290068</v>
      </c>
      <c r="AH56" s="34" t="str">
        <f>YEAR(CurrentMtgRatesDataTable8711121314[[#This Row],[asofdate]])&amp;"-"&amp;MONTH(CurrentMtgRatesDataTable8711121314[[#This Row],[asofdate]])</f>
        <v>2007-8</v>
      </c>
      <c r="AI56" s="34">
        <f>CurrentMtgRatesDataTable8711121314[[#This Row],[SeriesNumValue]]</f>
        <v>2.07952481029351E-2</v>
      </c>
      <c r="AJ56" s="34">
        <f>VLOOKUP(CurrentMtgRatesDataTable8711121314[[#This Row],[asofdate]],P:R,2,0)</f>
        <v>9.5228743774607896E-2</v>
      </c>
      <c r="AK56" s="30">
        <f>IF(VLOOKUP(CurrentMtgRatesDataTable8711121314[[#This Row],[asofdate]],U:W,2,0)&lt;&gt;0,VLOOKUP(CurrentMtgRatesDataTable8711121314[[#This Row],[asofdate]],U:W,2,0),AK55)</f>
        <v>7.3171463970122794E-2</v>
      </c>
      <c r="AL56" s="30">
        <f>VLOOKUP(CurrentMtgRatesDataTable8711121314[[#This Row],[asofdate]],Z:AB,2,0)</f>
        <v>2.1001237585848299E-2</v>
      </c>
      <c r="AM56" s="30">
        <f>CurrentMtgRatesDataTable8711121314[[#This Row],[FHA]]+0.5*CurrentMtgRatesDataTable8711121314[[#This Row],[Conventional]]</f>
        <v>0.10562636782607544</v>
      </c>
      <c r="AN56" s="30">
        <f>2*CurrentMtgRatesDataTable8711121314[[#This Row],[FHA]]</f>
        <v>0.19045748754921579</v>
      </c>
      <c r="AO56" s="11">
        <f>VLOOKUP(YEAR(CurrentMtgRatesDataTable8711121314[[#This Row],[asofdate]]),OriginationVolume!$A:$N,8,FALSE)</f>
        <v>0.55309947140797688</v>
      </c>
      <c r="AP56" s="11">
        <f>VLOOKUP(YEAR(CurrentMtgRatesDataTable8711121314[[#This Row],[asofdate]]),OriginationVolume!$A:$N,9,FALSE)</f>
        <v>1.3935607880826525E-2</v>
      </c>
      <c r="AQ56" s="11">
        <f>VLOOKUP(YEAR(CurrentMtgRatesDataTable8711121314[[#This Row],[asofdate]]),OriginationVolume!$A:$N,10,FALSE)</f>
        <v>4.1806823642479576E-2</v>
      </c>
      <c r="AR56" s="11">
        <f>VLOOKUP(YEAR(CurrentMtgRatesDataTable8711121314[[#This Row],[asofdate]]),OriginationVolume!$A:$N,11,FALSE)</f>
        <v>0.16722729456991831</v>
      </c>
      <c r="AS56" s="11">
        <f>VLOOKUP(YEAR(CurrentMtgRatesDataTable8711121314[[#This Row],[asofdate]]),OriginationVolume!$A:$N,12,FALSE)</f>
        <v>0.13214800576645844</v>
      </c>
      <c r="AT56" s="11">
        <f>VLOOKUP(YEAR(CurrentMtgRatesDataTable8711121314[[#This Row],[asofdate]]),OriginationVolume!$A:$N,13,FALSE)</f>
        <v>9.1782796732340216E-2</v>
      </c>
      <c r="AU5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AW56" s="7" t="s">
        <v>85</v>
      </c>
      <c r="AX56" s="10">
        <v>90161000</v>
      </c>
      <c r="AY56" s="31"/>
      <c r="BA56" s="7" t="s">
        <v>85</v>
      </c>
      <c r="BB56" s="10">
        <v>25000000</v>
      </c>
      <c r="BC56" s="31"/>
      <c r="BE56" s="7" t="s">
        <v>85</v>
      </c>
      <c r="BF56" s="10">
        <v>18782818648.16</v>
      </c>
      <c r="BG56" s="34"/>
      <c r="BI56" s="7" t="s">
        <v>85</v>
      </c>
      <c r="BJ56" s="10">
        <v>18667657648.16</v>
      </c>
      <c r="BK56" s="34" t="str">
        <f>YEAR(CurrentMtgRatesDataTable871112131417[[#This Row],[asofdate]])&amp;"-"&amp;MONTH(CurrentMtgRatesDataTable871112131417[[#This Row],[asofdate]])</f>
        <v>2007-8</v>
      </c>
      <c r="BL56" s="34">
        <f>CurrentMtgRatesDataTable871112131417[[#This Row],[SeriesNumValue]]</f>
        <v>18667657648.16</v>
      </c>
      <c r="BM56" s="34">
        <f>VLOOKUP(CurrentMtgRatesDataTable871112131417[[#This Row],[asofdate]],AW:AX,2,0)</f>
        <v>90161000</v>
      </c>
      <c r="BN56" s="30">
        <f>IF(VLOOKUP(CurrentMtgRatesDataTable871112131417[[#This Row],[asofdate]],BA:BB,2,0)&lt;&gt;0,VLOOKUP(CurrentMtgRatesDataTable871112131417[[#This Row],[asofdate]],BA:BB,2,0),BN55)</f>
        <v>25000000</v>
      </c>
      <c r="BO56" s="30">
        <f>VLOOKUP(CurrentMtgRatesDataTable871112131417[[#This Row],[asofdate]],BE:BF,2,0)</f>
        <v>18782818648.16</v>
      </c>
    </row>
    <row r="57" spans="1:67" s="6" customFormat="1">
      <c r="A57" s="7" t="s">
        <v>86</v>
      </c>
      <c r="B57" s="10">
        <v>2.3298547724423701E-2</v>
      </c>
      <c r="C57" s="10" t="str">
        <f>YEAR(CurrentMtgRatesDataTable8[[#This Row],[asofdate]])&amp;"-"&amp;MONTH(CurrentMtgRatesDataTable8[[#This Row],[asofdate]])</f>
        <v>2007-9</v>
      </c>
      <c r="D57" s="6">
        <f>((CurrentMtgRatesDataTable8[[#This Row],[SeriesNumValue]]-$D$1)/$D$1+1)*100</f>
        <v>155.32365149615802</v>
      </c>
      <c r="I57" s="7" t="s">
        <v>128</v>
      </c>
      <c r="J57" s="10">
        <v>1.10515396315222E-2</v>
      </c>
      <c r="K57" s="10" t="str">
        <f>YEAR(CurrentMtgRatesDataTable89[[#This Row],[asofdate]])&amp;"-"&amp;MONTH(CurrentMtgRatesDataTable89[[#This Row],[asofdate]])</f>
        <v>2011-3</v>
      </c>
      <c r="L57" s="6">
        <f>((CurrentMtgRatesDataTable89[[#This Row],[SeriesNumValue]]-$D$1)/$D$1+1)*100</f>
        <v>73.676930876814666</v>
      </c>
      <c r="M57" s="6">
        <f>CurrentMtgRatesDataTable89[[#This Row],[Index]]-L58</f>
        <v>6.2316214749933323</v>
      </c>
      <c r="P57" s="7" t="s">
        <v>86</v>
      </c>
      <c r="Q57" s="10">
        <v>0.109100905383647</v>
      </c>
      <c r="R57" s="31">
        <f>((CurrentMtgRatesDataTable8711[[#This Row],[SeriesNumValue]]-$D$1)/$D$1+1)*100</f>
        <v>727.33936922431337</v>
      </c>
      <c r="S57" s="31"/>
      <c r="U57" s="7" t="s">
        <v>86</v>
      </c>
      <c r="V57" s="10">
        <v>0</v>
      </c>
      <c r="W57" s="31">
        <f>((CurrentMtgRatesDataTable871112[[#This Row],[SeriesNumValue]]-$D$1)/$D$1+1)*100</f>
        <v>0</v>
      </c>
      <c r="X57" s="31"/>
      <c r="Z57" s="7" t="s">
        <v>86</v>
      </c>
      <c r="AA57" s="10">
        <v>2.25228079826604E-2</v>
      </c>
      <c r="AB57" s="34">
        <f>((CurrentMtgRatesDataTable87111213[[#This Row],[SeriesNumValue]]-$D$1)/$D$1+1)*100</f>
        <v>150.15205321773601</v>
      </c>
      <c r="AC57" s="34"/>
      <c r="AE57" s="7" t="s">
        <v>86</v>
      </c>
      <c r="AF57" s="10">
        <v>2.23409674352518E-2</v>
      </c>
      <c r="AG57" s="34">
        <f>((CurrentMtgRatesDataTable8711121314[[#This Row],[SeriesNumValue]]-$D$1)/$D$1+1)*100</f>
        <v>148.93978290167865</v>
      </c>
      <c r="AH57" s="34" t="str">
        <f>YEAR(CurrentMtgRatesDataTable8711121314[[#This Row],[asofdate]])&amp;"-"&amp;MONTH(CurrentMtgRatesDataTable8711121314[[#This Row],[asofdate]])</f>
        <v>2007-9</v>
      </c>
      <c r="AI57" s="34">
        <f>CurrentMtgRatesDataTable8711121314[[#This Row],[SeriesNumValue]]</f>
        <v>2.23409674352518E-2</v>
      </c>
      <c r="AJ57" s="34">
        <f>VLOOKUP(CurrentMtgRatesDataTable8711121314[[#This Row],[asofdate]],P:R,2,0)</f>
        <v>0.109100905383647</v>
      </c>
      <c r="AK57" s="30">
        <f>IF(VLOOKUP(CurrentMtgRatesDataTable8711121314[[#This Row],[asofdate]],U:W,2,0)&lt;&gt;0,VLOOKUP(CurrentMtgRatesDataTable8711121314[[#This Row],[asofdate]],U:W,2,0),AK56)</f>
        <v>7.3171463970122794E-2</v>
      </c>
      <c r="AL57" s="30">
        <f>VLOOKUP(CurrentMtgRatesDataTable8711121314[[#This Row],[asofdate]],Z:AB,2,0)</f>
        <v>2.25228079826604E-2</v>
      </c>
      <c r="AM57" s="30">
        <f>CurrentMtgRatesDataTable8711121314[[#This Row],[FHA]]+0.5*CurrentMtgRatesDataTable8711121314[[#This Row],[Conventional]]</f>
        <v>0.1202713891012729</v>
      </c>
      <c r="AN57" s="30">
        <f>2*CurrentMtgRatesDataTable8711121314[[#This Row],[FHA]]</f>
        <v>0.218201810767294</v>
      </c>
      <c r="AO57" s="11">
        <f>VLOOKUP(YEAR(CurrentMtgRatesDataTable8711121314[[#This Row],[asofdate]]),OriginationVolume!$A:$N,8,FALSE)</f>
        <v>0.55309947140797688</v>
      </c>
      <c r="AP57" s="11">
        <f>VLOOKUP(YEAR(CurrentMtgRatesDataTable8711121314[[#This Row],[asofdate]]),OriginationVolume!$A:$N,9,FALSE)</f>
        <v>1.3935607880826525E-2</v>
      </c>
      <c r="AQ57" s="11">
        <f>VLOOKUP(YEAR(CurrentMtgRatesDataTable8711121314[[#This Row],[asofdate]]),OriginationVolume!$A:$N,10,FALSE)</f>
        <v>4.1806823642479576E-2</v>
      </c>
      <c r="AR57" s="11">
        <f>VLOOKUP(YEAR(CurrentMtgRatesDataTable8711121314[[#This Row],[asofdate]]),OriginationVolume!$A:$N,11,FALSE)</f>
        <v>0.16722729456991831</v>
      </c>
      <c r="AS57" s="11">
        <f>VLOOKUP(YEAR(CurrentMtgRatesDataTable8711121314[[#This Row],[asofdate]]),OriginationVolume!$A:$N,12,FALSE)</f>
        <v>0.13214800576645844</v>
      </c>
      <c r="AT57" s="11">
        <f>VLOOKUP(YEAR(CurrentMtgRatesDataTable8711121314[[#This Row],[asofdate]]),OriginationVolume!$A:$N,13,FALSE)</f>
        <v>9.1782796732340216E-2</v>
      </c>
      <c r="AU5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AW57" s="7" t="s">
        <v>86</v>
      </c>
      <c r="AX57" s="10">
        <v>76387000</v>
      </c>
      <c r="AY57" s="31"/>
      <c r="BA57" s="7" t="s">
        <v>86</v>
      </c>
      <c r="BB57" s="10">
        <v>13152000</v>
      </c>
      <c r="BC57" s="31"/>
      <c r="BE57" s="7" t="s">
        <v>86</v>
      </c>
      <c r="BF57" s="10">
        <v>17687708238.220001</v>
      </c>
      <c r="BG57" s="34"/>
      <c r="BI57" s="7" t="s">
        <v>86</v>
      </c>
      <c r="BJ57" s="10">
        <v>17598169238.220001</v>
      </c>
      <c r="BK57" s="34" t="str">
        <f>YEAR(CurrentMtgRatesDataTable871112131417[[#This Row],[asofdate]])&amp;"-"&amp;MONTH(CurrentMtgRatesDataTable871112131417[[#This Row],[asofdate]])</f>
        <v>2007-9</v>
      </c>
      <c r="BL57" s="34">
        <f>CurrentMtgRatesDataTable871112131417[[#This Row],[SeriesNumValue]]</f>
        <v>17598169238.220001</v>
      </c>
      <c r="BM57" s="34">
        <f>VLOOKUP(CurrentMtgRatesDataTable871112131417[[#This Row],[asofdate]],AW:AX,2,0)</f>
        <v>76387000</v>
      </c>
      <c r="BN57" s="30">
        <f>IF(VLOOKUP(CurrentMtgRatesDataTable871112131417[[#This Row],[asofdate]],BA:BB,2,0)&lt;&gt;0,VLOOKUP(CurrentMtgRatesDataTable871112131417[[#This Row],[asofdate]],BA:BB,2,0),BN56)</f>
        <v>13152000</v>
      </c>
      <c r="BO57" s="30">
        <f>VLOOKUP(CurrentMtgRatesDataTable871112131417[[#This Row],[asofdate]],BE:BF,2,0)</f>
        <v>17687708238.220001</v>
      </c>
    </row>
    <row r="58" spans="1:67" s="6" customFormat="1">
      <c r="A58" s="7" t="s">
        <v>87</v>
      </c>
      <c r="B58" s="10">
        <v>2.5399710679563901E-2</v>
      </c>
      <c r="C58" s="10" t="str">
        <f>YEAR(CurrentMtgRatesDataTable8[[#This Row],[asofdate]])&amp;"-"&amp;MONTH(CurrentMtgRatesDataTable8[[#This Row],[asofdate]])</f>
        <v>2007-10</v>
      </c>
      <c r="D58" s="6">
        <f>((CurrentMtgRatesDataTable8[[#This Row],[SeriesNumValue]]-$D$1)/$D$1+1)*100</f>
        <v>169.331404530426</v>
      </c>
      <c r="I58" s="7" t="s">
        <v>127</v>
      </c>
      <c r="J58" s="10">
        <v>1.01167964102732E-2</v>
      </c>
      <c r="K58" s="10" t="str">
        <f>YEAR(CurrentMtgRatesDataTable89[[#This Row],[asofdate]])&amp;"-"&amp;MONTH(CurrentMtgRatesDataTable89[[#This Row],[asofdate]])</f>
        <v>2011-2</v>
      </c>
      <c r="L58" s="6">
        <f>((CurrentMtgRatesDataTable89[[#This Row],[SeriesNumValue]]-$D$1)/$D$1+1)*100</f>
        <v>67.445309401821333</v>
      </c>
      <c r="M58" s="6">
        <f>CurrentMtgRatesDataTable89[[#This Row],[Index]]-L59</f>
        <v>-2.0101091766026684</v>
      </c>
      <c r="P58" s="7" t="s">
        <v>87</v>
      </c>
      <c r="Q58" s="10">
        <v>0.124191721531846</v>
      </c>
      <c r="R58" s="31">
        <f>((CurrentMtgRatesDataTable8711[[#This Row],[SeriesNumValue]]-$D$1)/$D$1+1)*100</f>
        <v>827.94481021230661</v>
      </c>
      <c r="S58" s="31"/>
      <c r="U58" s="7" t="s">
        <v>87</v>
      </c>
      <c r="V58" s="10">
        <v>9.9820189534489706E-2</v>
      </c>
      <c r="W58" s="31">
        <f>((CurrentMtgRatesDataTable871112[[#This Row],[SeriesNumValue]]-$D$1)/$D$1+1)*100</f>
        <v>665.46793022993143</v>
      </c>
      <c r="X58" s="31"/>
      <c r="Z58" s="7" t="s">
        <v>87</v>
      </c>
      <c r="AA58" s="10">
        <v>2.42728974237842E-2</v>
      </c>
      <c r="AB58" s="34">
        <f>((CurrentMtgRatesDataTable87111213[[#This Row],[SeriesNumValue]]-$D$1)/$D$1+1)*100</f>
        <v>161.81931615856135</v>
      </c>
      <c r="AC58" s="34"/>
      <c r="AE58" s="7" t="s">
        <v>87</v>
      </c>
      <c r="AF58" s="10">
        <v>2.4060060280724001E-2</v>
      </c>
      <c r="AG58" s="34">
        <f>((CurrentMtgRatesDataTable8711121314[[#This Row],[SeriesNumValue]]-$D$1)/$D$1+1)*100</f>
        <v>160.40040187149333</v>
      </c>
      <c r="AH58" s="34" t="str">
        <f>YEAR(CurrentMtgRatesDataTable8711121314[[#This Row],[asofdate]])&amp;"-"&amp;MONTH(CurrentMtgRatesDataTable8711121314[[#This Row],[asofdate]])</f>
        <v>2007-10</v>
      </c>
      <c r="AI58" s="34">
        <f>CurrentMtgRatesDataTable8711121314[[#This Row],[SeriesNumValue]]</f>
        <v>2.4060060280724001E-2</v>
      </c>
      <c r="AJ58" s="34">
        <f>VLOOKUP(CurrentMtgRatesDataTable8711121314[[#This Row],[asofdate]],P:R,2,0)</f>
        <v>0.124191721531846</v>
      </c>
      <c r="AK58" s="30">
        <f>IF(VLOOKUP(CurrentMtgRatesDataTable8711121314[[#This Row],[asofdate]],U:W,2,0)&lt;&gt;0,VLOOKUP(CurrentMtgRatesDataTable8711121314[[#This Row],[asofdate]],U:W,2,0),AK57)</f>
        <v>9.9820189534489706E-2</v>
      </c>
      <c r="AL58" s="30">
        <f>VLOOKUP(CurrentMtgRatesDataTable8711121314[[#This Row],[asofdate]],Z:AB,2,0)</f>
        <v>2.42728974237842E-2</v>
      </c>
      <c r="AM58" s="30">
        <f>CurrentMtgRatesDataTable8711121314[[#This Row],[FHA]]+0.5*CurrentMtgRatesDataTable8711121314[[#This Row],[Conventional]]</f>
        <v>0.13622175167220801</v>
      </c>
      <c r="AN58" s="30">
        <f>2*CurrentMtgRatesDataTable8711121314[[#This Row],[FHA]]</f>
        <v>0.24838344306369201</v>
      </c>
      <c r="AO58" s="11">
        <f>VLOOKUP(YEAR(CurrentMtgRatesDataTable8711121314[[#This Row],[asofdate]]),OriginationVolume!$A:$N,8,FALSE)</f>
        <v>0.55309947140797688</v>
      </c>
      <c r="AP58" s="11">
        <f>VLOOKUP(YEAR(CurrentMtgRatesDataTable8711121314[[#This Row],[asofdate]]),OriginationVolume!$A:$N,9,FALSE)</f>
        <v>1.3935607880826525E-2</v>
      </c>
      <c r="AQ58" s="11">
        <f>VLOOKUP(YEAR(CurrentMtgRatesDataTable8711121314[[#This Row],[asofdate]]),OriginationVolume!$A:$N,10,FALSE)</f>
        <v>4.1806823642479576E-2</v>
      </c>
      <c r="AR58" s="11">
        <f>VLOOKUP(YEAR(CurrentMtgRatesDataTable8711121314[[#This Row],[asofdate]]),OriginationVolume!$A:$N,11,FALSE)</f>
        <v>0.16722729456991831</v>
      </c>
      <c r="AS58" s="11">
        <f>VLOOKUP(YEAR(CurrentMtgRatesDataTable8711121314[[#This Row],[asofdate]]),OriginationVolume!$A:$N,12,FALSE)</f>
        <v>0.13214800576645844</v>
      </c>
      <c r="AT58" s="11">
        <f>VLOOKUP(YEAR(CurrentMtgRatesDataTable8711121314[[#This Row],[asofdate]]),OriginationVolume!$A:$N,13,FALSE)</f>
        <v>9.1782796732340216E-2</v>
      </c>
      <c r="AU5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AW58" s="7" t="s">
        <v>87</v>
      </c>
      <c r="AX58" s="10">
        <v>75397000</v>
      </c>
      <c r="AY58" s="31"/>
      <c r="BA58" s="7" t="s">
        <v>87</v>
      </c>
      <c r="BB58" s="10">
        <v>17104000</v>
      </c>
      <c r="BC58" s="31"/>
      <c r="BE58" s="7" t="s">
        <v>87</v>
      </c>
      <c r="BF58" s="10">
        <v>17392305752.5</v>
      </c>
      <c r="BG58" s="34"/>
      <c r="BI58" s="7" t="s">
        <v>87</v>
      </c>
      <c r="BJ58" s="10">
        <v>17299804752.5</v>
      </c>
      <c r="BK58" s="34" t="str">
        <f>YEAR(CurrentMtgRatesDataTable871112131417[[#This Row],[asofdate]])&amp;"-"&amp;MONTH(CurrentMtgRatesDataTable871112131417[[#This Row],[asofdate]])</f>
        <v>2007-10</v>
      </c>
      <c r="BL58" s="34">
        <f>CurrentMtgRatesDataTable871112131417[[#This Row],[SeriesNumValue]]</f>
        <v>17299804752.5</v>
      </c>
      <c r="BM58" s="34">
        <f>VLOOKUP(CurrentMtgRatesDataTable871112131417[[#This Row],[asofdate]],AW:AX,2,0)</f>
        <v>75397000</v>
      </c>
      <c r="BN58" s="30">
        <f>IF(VLOOKUP(CurrentMtgRatesDataTable871112131417[[#This Row],[asofdate]],BA:BB,2,0)&lt;&gt;0,VLOOKUP(CurrentMtgRatesDataTable871112131417[[#This Row],[asofdate]],BA:BB,2,0),BN57)</f>
        <v>17104000</v>
      </c>
      <c r="BO58" s="30">
        <f>VLOOKUP(CurrentMtgRatesDataTable871112131417[[#This Row],[asofdate]],BE:BF,2,0)</f>
        <v>17392305752.5</v>
      </c>
    </row>
    <row r="59" spans="1:67" s="6" customFormat="1">
      <c r="A59" s="7" t="s">
        <v>88</v>
      </c>
      <c r="B59" s="10">
        <v>2.5848285008300598E-2</v>
      </c>
      <c r="C59" s="10" t="str">
        <f>YEAR(CurrentMtgRatesDataTable8[[#This Row],[asofdate]])&amp;"-"&amp;MONTH(CurrentMtgRatesDataTable8[[#This Row],[asofdate]])</f>
        <v>2007-11</v>
      </c>
      <c r="D59" s="6">
        <f>((CurrentMtgRatesDataTable8[[#This Row],[SeriesNumValue]]-$D$1)/$D$1+1)*100</f>
        <v>172.32190005533732</v>
      </c>
      <c r="I59" s="7" t="s">
        <v>126</v>
      </c>
      <c r="J59" s="10">
        <v>1.0418312786763599E-2</v>
      </c>
      <c r="K59" s="10" t="str">
        <f>YEAR(CurrentMtgRatesDataTable89[[#This Row],[asofdate]])&amp;"-"&amp;MONTH(CurrentMtgRatesDataTable89[[#This Row],[asofdate]])</f>
        <v>2011-1</v>
      </c>
      <c r="L59" s="6">
        <f>((CurrentMtgRatesDataTable89[[#This Row],[SeriesNumValue]]-$D$1)/$D$1+1)*100</f>
        <v>69.455418578424002</v>
      </c>
      <c r="M59" s="6">
        <f>CurrentMtgRatesDataTable89[[#This Row],[Index]]-L60</f>
        <v>-7.7585869574313335</v>
      </c>
      <c r="P59" s="7" t="s">
        <v>88</v>
      </c>
      <c r="Q59" s="10">
        <v>0.118620974906118</v>
      </c>
      <c r="R59" s="31">
        <f>((CurrentMtgRatesDataTable8711[[#This Row],[SeriesNumValue]]-$D$1)/$D$1+1)*100</f>
        <v>790.80649937412011</v>
      </c>
      <c r="S59" s="31"/>
      <c r="U59" s="7" t="s">
        <v>88</v>
      </c>
      <c r="V59" s="10">
        <v>0</v>
      </c>
      <c r="W59" s="31">
        <f>((CurrentMtgRatesDataTable871112[[#This Row],[SeriesNumValue]]-$D$1)/$D$1+1)*100</f>
        <v>0</v>
      </c>
      <c r="X59" s="31"/>
      <c r="Z59" s="7" t="s">
        <v>88</v>
      </c>
      <c r="AA59" s="10">
        <v>2.5698206443094999E-2</v>
      </c>
      <c r="AB59" s="34">
        <f>((CurrentMtgRatesDataTable87111213[[#This Row],[SeriesNumValue]]-$D$1)/$D$1+1)*100</f>
        <v>171.32137628729998</v>
      </c>
      <c r="AC59" s="34"/>
      <c r="AE59" s="7" t="s">
        <v>88</v>
      </c>
      <c r="AF59" s="10">
        <v>2.5456936115817001E-2</v>
      </c>
      <c r="AG59" s="34">
        <f>((CurrentMtgRatesDataTable8711121314[[#This Row],[SeriesNumValue]]-$D$1)/$D$1+1)*100</f>
        <v>169.71290743878004</v>
      </c>
      <c r="AH59" s="34" t="str">
        <f>YEAR(CurrentMtgRatesDataTable8711121314[[#This Row],[asofdate]])&amp;"-"&amp;MONTH(CurrentMtgRatesDataTable8711121314[[#This Row],[asofdate]])</f>
        <v>2007-11</v>
      </c>
      <c r="AI59" s="34">
        <f>CurrentMtgRatesDataTable8711121314[[#This Row],[SeriesNumValue]]</f>
        <v>2.5456936115817001E-2</v>
      </c>
      <c r="AJ59" s="34">
        <f>VLOOKUP(CurrentMtgRatesDataTable8711121314[[#This Row],[asofdate]],P:R,2,0)</f>
        <v>0.118620974906118</v>
      </c>
      <c r="AK59" s="30">
        <f>IF(VLOOKUP(CurrentMtgRatesDataTable8711121314[[#This Row],[asofdate]],U:W,2,0)&lt;&gt;0,VLOOKUP(CurrentMtgRatesDataTable8711121314[[#This Row],[asofdate]],U:W,2,0),AK58)</f>
        <v>9.9820189534489706E-2</v>
      </c>
      <c r="AL59" s="30">
        <f>VLOOKUP(CurrentMtgRatesDataTable8711121314[[#This Row],[asofdate]],Z:AB,2,0)</f>
        <v>2.5698206443094999E-2</v>
      </c>
      <c r="AM59" s="30">
        <f>CurrentMtgRatesDataTable8711121314[[#This Row],[FHA]]+0.5*CurrentMtgRatesDataTable8711121314[[#This Row],[Conventional]]</f>
        <v>0.13134944296402651</v>
      </c>
      <c r="AN59" s="30">
        <f>2*CurrentMtgRatesDataTable8711121314[[#This Row],[FHA]]</f>
        <v>0.23724194981223601</v>
      </c>
      <c r="AO59" s="11">
        <f>VLOOKUP(YEAR(CurrentMtgRatesDataTable8711121314[[#This Row],[asofdate]]),OriginationVolume!$A:$N,8,FALSE)</f>
        <v>0.55309947140797688</v>
      </c>
      <c r="AP59" s="11">
        <f>VLOOKUP(YEAR(CurrentMtgRatesDataTable8711121314[[#This Row],[asofdate]]),OriginationVolume!$A:$N,9,FALSE)</f>
        <v>1.3935607880826525E-2</v>
      </c>
      <c r="AQ59" s="11">
        <f>VLOOKUP(YEAR(CurrentMtgRatesDataTable8711121314[[#This Row],[asofdate]]),OriginationVolume!$A:$N,10,FALSE)</f>
        <v>4.1806823642479576E-2</v>
      </c>
      <c r="AR59" s="11">
        <f>VLOOKUP(YEAR(CurrentMtgRatesDataTable8711121314[[#This Row],[asofdate]]),OriginationVolume!$A:$N,11,FALSE)</f>
        <v>0.16722729456991831</v>
      </c>
      <c r="AS59" s="11">
        <f>VLOOKUP(YEAR(CurrentMtgRatesDataTable8711121314[[#This Row],[asofdate]]),OriginationVolume!$A:$N,12,FALSE)</f>
        <v>0.13214800576645844</v>
      </c>
      <c r="AT59" s="11">
        <f>VLOOKUP(YEAR(CurrentMtgRatesDataTable8711121314[[#This Row],[asofdate]]),OriginationVolume!$A:$N,13,FALSE)</f>
        <v>9.1782796732340216E-2</v>
      </c>
      <c r="AU5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AW59" s="7" t="s">
        <v>88</v>
      </c>
      <c r="AX59" s="10">
        <v>75374000</v>
      </c>
      <c r="AY59" s="31"/>
      <c r="BA59" s="7" t="s">
        <v>88</v>
      </c>
      <c r="BB59" s="10">
        <v>14015000</v>
      </c>
      <c r="BC59" s="31"/>
      <c r="BE59" s="7" t="s">
        <v>88</v>
      </c>
      <c r="BF59" s="10">
        <v>15581397562.370001</v>
      </c>
      <c r="BG59" s="34"/>
      <c r="BI59" s="7" t="s">
        <v>88</v>
      </c>
      <c r="BJ59" s="10">
        <v>15492008562.370001</v>
      </c>
      <c r="BK59" s="34" t="str">
        <f>YEAR(CurrentMtgRatesDataTable871112131417[[#This Row],[asofdate]])&amp;"-"&amp;MONTH(CurrentMtgRatesDataTable871112131417[[#This Row],[asofdate]])</f>
        <v>2007-11</v>
      </c>
      <c r="BL59" s="34">
        <f>CurrentMtgRatesDataTable871112131417[[#This Row],[SeriesNumValue]]</f>
        <v>15492008562.370001</v>
      </c>
      <c r="BM59" s="34">
        <f>VLOOKUP(CurrentMtgRatesDataTable871112131417[[#This Row],[asofdate]],AW:AX,2,0)</f>
        <v>75374000</v>
      </c>
      <c r="BN59" s="30">
        <f>IF(VLOOKUP(CurrentMtgRatesDataTable871112131417[[#This Row],[asofdate]],BA:BB,2,0)&lt;&gt;0,VLOOKUP(CurrentMtgRatesDataTable871112131417[[#This Row],[asofdate]],BA:BB,2,0),BN58)</f>
        <v>14015000</v>
      </c>
      <c r="BO59" s="30">
        <f>VLOOKUP(CurrentMtgRatesDataTable871112131417[[#This Row],[asofdate]],BE:BF,2,0)</f>
        <v>15581397562.370001</v>
      </c>
    </row>
    <row r="60" spans="1:67" s="6" customFormat="1">
      <c r="A60" s="7" t="s">
        <v>89</v>
      </c>
      <c r="B60" s="10">
        <v>2.6072154647327001E-2</v>
      </c>
      <c r="C60" s="10" t="str">
        <f>YEAR(CurrentMtgRatesDataTable8[[#This Row],[asofdate]])&amp;"-"&amp;MONTH(CurrentMtgRatesDataTable8[[#This Row],[asofdate]])</f>
        <v>2007-12</v>
      </c>
      <c r="D60" s="6">
        <f>((CurrentMtgRatesDataTable8[[#This Row],[SeriesNumValue]]-$D$1)/$D$1+1)*100</f>
        <v>173.81436431551336</v>
      </c>
      <c r="I60" s="7" t="s">
        <v>125</v>
      </c>
      <c r="J60" s="10">
        <v>1.1582100830378301E-2</v>
      </c>
      <c r="K60" s="10" t="str">
        <f>YEAR(CurrentMtgRatesDataTable89[[#This Row],[asofdate]])&amp;"-"&amp;MONTH(CurrentMtgRatesDataTable89[[#This Row],[asofdate]])</f>
        <v>2010-12</v>
      </c>
      <c r="L60" s="6">
        <f>((CurrentMtgRatesDataTable89[[#This Row],[SeriesNumValue]]-$D$1)/$D$1+1)*100</f>
        <v>77.214005535855335</v>
      </c>
      <c r="M60" s="6">
        <f>CurrentMtgRatesDataTable89[[#This Row],[Index]]-L61</f>
        <v>-0.38854778496133235</v>
      </c>
      <c r="P60" s="7" t="s">
        <v>89</v>
      </c>
      <c r="Q60" s="10">
        <v>0.11454124774918099</v>
      </c>
      <c r="R60" s="31">
        <f>((CurrentMtgRatesDataTable8711[[#This Row],[SeriesNumValue]]-$D$1)/$D$1+1)*100</f>
        <v>763.60831832787323</v>
      </c>
      <c r="S60" s="31"/>
      <c r="U60" s="7" t="s">
        <v>89</v>
      </c>
      <c r="V60" s="10">
        <v>0.103616622616662</v>
      </c>
      <c r="W60" s="31">
        <f>((CurrentMtgRatesDataTable871112[[#This Row],[SeriesNumValue]]-$D$1)/$D$1+1)*100</f>
        <v>690.77748411108007</v>
      </c>
      <c r="X60" s="31"/>
      <c r="Z60" s="7" t="s">
        <v>89</v>
      </c>
      <c r="AA60" s="10">
        <v>2.5090031823940501E-2</v>
      </c>
      <c r="AB60" s="34">
        <f>((CurrentMtgRatesDataTable87111213[[#This Row],[SeriesNumValue]]-$D$1)/$D$1+1)*100</f>
        <v>167.26687882627002</v>
      </c>
      <c r="AC60" s="34"/>
      <c r="AE60" s="7" t="s">
        <v>89</v>
      </c>
      <c r="AF60" s="10">
        <v>2.48059395679785E-2</v>
      </c>
      <c r="AG60" s="34">
        <f>((CurrentMtgRatesDataTable8711121314[[#This Row],[SeriesNumValue]]-$D$1)/$D$1+1)*100</f>
        <v>165.37293045318998</v>
      </c>
      <c r="AH60" s="34" t="str">
        <f>YEAR(CurrentMtgRatesDataTable8711121314[[#This Row],[asofdate]])&amp;"-"&amp;MONTH(CurrentMtgRatesDataTable8711121314[[#This Row],[asofdate]])</f>
        <v>2007-12</v>
      </c>
      <c r="AI60" s="34">
        <f>CurrentMtgRatesDataTable8711121314[[#This Row],[SeriesNumValue]]</f>
        <v>2.48059395679785E-2</v>
      </c>
      <c r="AJ60" s="34">
        <f>VLOOKUP(CurrentMtgRatesDataTable8711121314[[#This Row],[asofdate]],P:R,2,0)</f>
        <v>0.11454124774918099</v>
      </c>
      <c r="AK60" s="30">
        <f>IF(VLOOKUP(CurrentMtgRatesDataTable8711121314[[#This Row],[asofdate]],U:W,2,0)&lt;&gt;0,VLOOKUP(CurrentMtgRatesDataTable8711121314[[#This Row],[asofdate]],U:W,2,0),AK59)</f>
        <v>0.103616622616662</v>
      </c>
      <c r="AL60" s="30">
        <f>VLOOKUP(CurrentMtgRatesDataTable8711121314[[#This Row],[asofdate]],Z:AB,2,0)</f>
        <v>2.5090031823940501E-2</v>
      </c>
      <c r="AM60" s="30">
        <f>CurrentMtgRatesDataTable8711121314[[#This Row],[FHA]]+0.5*CurrentMtgRatesDataTable8711121314[[#This Row],[Conventional]]</f>
        <v>0.12694421753317026</v>
      </c>
      <c r="AN60" s="30">
        <f>2*CurrentMtgRatesDataTable8711121314[[#This Row],[FHA]]</f>
        <v>0.22908249549836199</v>
      </c>
      <c r="AO60" s="11">
        <f>VLOOKUP(YEAR(CurrentMtgRatesDataTable8711121314[[#This Row],[asofdate]]),OriginationVolume!$A:$N,8,FALSE)</f>
        <v>0.55309947140797688</v>
      </c>
      <c r="AP60" s="11">
        <f>VLOOKUP(YEAR(CurrentMtgRatesDataTable8711121314[[#This Row],[asofdate]]),OriginationVolume!$A:$N,9,FALSE)</f>
        <v>1.3935607880826525E-2</v>
      </c>
      <c r="AQ60" s="11">
        <f>VLOOKUP(YEAR(CurrentMtgRatesDataTable8711121314[[#This Row],[asofdate]]),OriginationVolume!$A:$N,10,FALSE)</f>
        <v>4.1806823642479576E-2</v>
      </c>
      <c r="AR60" s="11">
        <f>VLOOKUP(YEAR(CurrentMtgRatesDataTable8711121314[[#This Row],[asofdate]]),OriginationVolume!$A:$N,11,FALSE)</f>
        <v>0.16722729456991831</v>
      </c>
      <c r="AS60" s="11">
        <f>VLOOKUP(YEAR(CurrentMtgRatesDataTable8711121314[[#This Row],[asofdate]]),OriginationVolume!$A:$N,12,FALSE)</f>
        <v>0.13214800576645844</v>
      </c>
      <c r="AT60" s="11">
        <f>VLOOKUP(YEAR(CurrentMtgRatesDataTable8711121314[[#This Row],[asofdate]]),OriginationVolume!$A:$N,13,FALSE)</f>
        <v>9.1782796732340216E-2</v>
      </c>
      <c r="AU6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AW60" s="7" t="s">
        <v>89</v>
      </c>
      <c r="AX60" s="10">
        <v>87115000</v>
      </c>
      <c r="AY60" s="31"/>
      <c r="BA60" s="7" t="s">
        <v>89</v>
      </c>
      <c r="BB60" s="10">
        <v>16424000</v>
      </c>
      <c r="BC60" s="31"/>
      <c r="BE60" s="7" t="s">
        <v>89</v>
      </c>
      <c r="BF60" s="10">
        <v>15447076849.469999</v>
      </c>
      <c r="BG60" s="34"/>
      <c r="BI60" s="7" t="s">
        <v>89</v>
      </c>
      <c r="BJ60" s="10">
        <v>15343537849.469999</v>
      </c>
      <c r="BK60" s="34" t="str">
        <f>YEAR(CurrentMtgRatesDataTable871112131417[[#This Row],[asofdate]])&amp;"-"&amp;MONTH(CurrentMtgRatesDataTable871112131417[[#This Row],[asofdate]])</f>
        <v>2007-12</v>
      </c>
      <c r="BL60" s="34">
        <f>CurrentMtgRatesDataTable871112131417[[#This Row],[SeriesNumValue]]</f>
        <v>15343537849.469999</v>
      </c>
      <c r="BM60" s="34">
        <f>VLOOKUP(CurrentMtgRatesDataTable871112131417[[#This Row],[asofdate]],AW:AX,2,0)</f>
        <v>87115000</v>
      </c>
      <c r="BN60" s="30">
        <f>IF(VLOOKUP(CurrentMtgRatesDataTable871112131417[[#This Row],[asofdate]],BA:BB,2,0)&lt;&gt;0,VLOOKUP(CurrentMtgRatesDataTable871112131417[[#This Row],[asofdate]],BA:BB,2,0),BN59)</f>
        <v>16424000</v>
      </c>
      <c r="BO60" s="30">
        <f>VLOOKUP(CurrentMtgRatesDataTable871112131417[[#This Row],[asofdate]],BE:BF,2,0)</f>
        <v>15447076849.469999</v>
      </c>
    </row>
    <row r="61" spans="1:67" s="6" customFormat="1">
      <c r="A61" s="7" t="s">
        <v>90</v>
      </c>
      <c r="B61" s="10">
        <v>2.6224449281782702E-2</v>
      </c>
      <c r="C61" s="10" t="str">
        <f>YEAR(CurrentMtgRatesDataTable8[[#This Row],[asofdate]])&amp;"-"&amp;MONTH(CurrentMtgRatesDataTable8[[#This Row],[asofdate]])</f>
        <v>2008-1</v>
      </c>
      <c r="D61" s="6">
        <f>((CurrentMtgRatesDataTable8[[#This Row],[SeriesNumValue]]-$D$1)/$D$1+1)*100</f>
        <v>174.82966187855135</v>
      </c>
      <c r="I61" s="7" t="s">
        <v>124</v>
      </c>
      <c r="J61" s="10">
        <v>1.1640382998122501E-2</v>
      </c>
      <c r="K61" s="10" t="str">
        <f>YEAR(CurrentMtgRatesDataTable89[[#This Row],[asofdate]])&amp;"-"&amp;MONTH(CurrentMtgRatesDataTable89[[#This Row],[asofdate]])</f>
        <v>2010-11</v>
      </c>
      <c r="L61" s="6">
        <f>((CurrentMtgRatesDataTable89[[#This Row],[SeriesNumValue]]-$D$1)/$D$1+1)*100</f>
        <v>77.602553320816668</v>
      </c>
      <c r="M61" s="6">
        <f>CurrentMtgRatesDataTable89[[#This Row],[Index]]-L62</f>
        <v>-0.37716371463334042</v>
      </c>
      <c r="P61" s="7" t="s">
        <v>90</v>
      </c>
      <c r="Q61" s="10">
        <v>0.118200880367063</v>
      </c>
      <c r="R61" s="31">
        <f>((CurrentMtgRatesDataTable8711[[#This Row],[SeriesNumValue]]-$D$1)/$D$1+1)*100</f>
        <v>788.00586911375342</v>
      </c>
      <c r="S61" s="31"/>
      <c r="U61" s="7" t="s">
        <v>90</v>
      </c>
      <c r="V61" s="10">
        <v>8.5858970649299801E-2</v>
      </c>
      <c r="W61" s="31">
        <f>((CurrentMtgRatesDataTable871112[[#This Row],[SeriesNumValue]]-$D$1)/$D$1+1)*100</f>
        <v>572.39313766199871</v>
      </c>
      <c r="X61" s="31"/>
      <c r="Z61" s="7" t="s">
        <v>90</v>
      </c>
      <c r="AA61" s="10">
        <v>2.5711042105749E-2</v>
      </c>
      <c r="AB61" s="34">
        <f>((CurrentMtgRatesDataTable87111213[[#This Row],[SeriesNumValue]]-$D$1)/$D$1+1)*100</f>
        <v>171.40694737166001</v>
      </c>
      <c r="AC61" s="34"/>
      <c r="AE61" s="7" t="s">
        <v>90</v>
      </c>
      <c r="AF61" s="10">
        <v>2.5406454290126099E-2</v>
      </c>
      <c r="AG61" s="34">
        <f>((CurrentMtgRatesDataTable8711121314[[#This Row],[SeriesNumValue]]-$D$1)/$D$1+1)*100</f>
        <v>169.37636193417401</v>
      </c>
      <c r="AH61" s="34" t="str">
        <f>YEAR(CurrentMtgRatesDataTable8711121314[[#This Row],[asofdate]])&amp;"-"&amp;MONTH(CurrentMtgRatesDataTable8711121314[[#This Row],[asofdate]])</f>
        <v>2008-1</v>
      </c>
      <c r="AI61" s="34">
        <f>CurrentMtgRatesDataTable8711121314[[#This Row],[SeriesNumValue]]</f>
        <v>2.5406454290126099E-2</v>
      </c>
      <c r="AJ61" s="34">
        <f>VLOOKUP(CurrentMtgRatesDataTable8711121314[[#This Row],[asofdate]],P:R,2,0)</f>
        <v>0.118200880367063</v>
      </c>
      <c r="AK61" s="30">
        <f>IF(VLOOKUP(CurrentMtgRatesDataTable8711121314[[#This Row],[asofdate]],U:W,2,0)&lt;&gt;0,VLOOKUP(CurrentMtgRatesDataTable8711121314[[#This Row],[asofdate]],U:W,2,0),AK60)</f>
        <v>8.5858970649299801E-2</v>
      </c>
      <c r="AL61" s="30">
        <f>VLOOKUP(CurrentMtgRatesDataTable8711121314[[#This Row],[asofdate]],Z:AB,2,0)</f>
        <v>2.5711042105749E-2</v>
      </c>
      <c r="AM61" s="30">
        <f>CurrentMtgRatesDataTable8711121314[[#This Row],[FHA]]+0.5*CurrentMtgRatesDataTable8711121314[[#This Row],[Conventional]]</f>
        <v>0.13090410751212606</v>
      </c>
      <c r="AN61" s="30">
        <f>2*CurrentMtgRatesDataTable8711121314[[#This Row],[FHA]]</f>
        <v>0.236401760734126</v>
      </c>
      <c r="AO61" s="11">
        <f>VLOOKUP(YEAR(CurrentMtgRatesDataTable8711121314[[#This Row],[asofdate]]),OriginationVolume!$A:$N,8,FALSE)</f>
        <v>0.67052023121387283</v>
      </c>
      <c r="AP61" s="11">
        <f>VLOOKUP(YEAR(CurrentMtgRatesDataTable8711121314[[#This Row],[asofdate]]),OriginationVolume!$A:$N,9,FALSE)</f>
        <v>5.2926300578034685E-2</v>
      </c>
      <c r="AQ61" s="11">
        <f>VLOOKUP(YEAR(CurrentMtgRatesDataTable8711121314[[#This Row],[asofdate]]),OriginationVolume!$A:$N,10,FALSE)</f>
        <v>0.15877890173410406</v>
      </c>
      <c r="AR61" s="11">
        <f>VLOOKUP(YEAR(CurrentMtgRatesDataTable8711121314[[#This Row],[asofdate]]),OriginationVolume!$A:$N,11,FALSE)</f>
        <v>7.0809248554913301E-2</v>
      </c>
      <c r="AS61" s="11">
        <f>VLOOKUP(YEAR(CurrentMtgRatesDataTable8711121314[[#This Row],[asofdate]]),OriginationVolume!$A:$N,12,FALSE)</f>
        <v>3.0346820809248554E-2</v>
      </c>
      <c r="AT61" s="11">
        <f>VLOOKUP(YEAR(CurrentMtgRatesDataTable8711121314[[#This Row],[asofdate]]),OriginationVolume!$A:$N,13,FALSE)</f>
        <v>1.6618497109826588E-2</v>
      </c>
      <c r="AU6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AW61" s="7" t="s">
        <v>90</v>
      </c>
      <c r="AX61" s="10">
        <v>84080000</v>
      </c>
      <c r="AY61" s="31"/>
      <c r="BA61" s="7" t="s">
        <v>90</v>
      </c>
      <c r="BB61" s="10">
        <v>17544000</v>
      </c>
      <c r="BC61" s="31"/>
      <c r="BE61" s="7" t="s">
        <v>90</v>
      </c>
      <c r="BF61" s="10">
        <v>14305152731.549999</v>
      </c>
      <c r="BG61" s="34"/>
      <c r="BI61" s="7" t="s">
        <v>90</v>
      </c>
      <c r="BJ61" s="10">
        <v>14203528731.549999</v>
      </c>
      <c r="BK61" s="34" t="str">
        <f>YEAR(CurrentMtgRatesDataTable871112131417[[#This Row],[asofdate]])&amp;"-"&amp;MONTH(CurrentMtgRatesDataTable871112131417[[#This Row],[asofdate]])</f>
        <v>2008-1</v>
      </c>
      <c r="BL61" s="34">
        <f>CurrentMtgRatesDataTable871112131417[[#This Row],[SeriesNumValue]]</f>
        <v>14203528731.549999</v>
      </c>
      <c r="BM61" s="34">
        <f>VLOOKUP(CurrentMtgRatesDataTable871112131417[[#This Row],[asofdate]],AW:AX,2,0)</f>
        <v>84080000</v>
      </c>
      <c r="BN61" s="30">
        <f>IF(VLOOKUP(CurrentMtgRatesDataTable871112131417[[#This Row],[asofdate]],BA:BB,2,0)&lt;&gt;0,VLOOKUP(CurrentMtgRatesDataTable871112131417[[#This Row],[asofdate]],BA:BB,2,0),BN60)</f>
        <v>17544000</v>
      </c>
      <c r="BO61" s="30">
        <f>VLOOKUP(CurrentMtgRatesDataTable871112131417[[#This Row],[asofdate]],BE:BF,2,0)</f>
        <v>14305152731.549999</v>
      </c>
    </row>
    <row r="62" spans="1:67" s="6" customFormat="1">
      <c r="A62" s="7" t="s">
        <v>91</v>
      </c>
      <c r="B62" s="10">
        <v>2.6001369258052399E-2</v>
      </c>
      <c r="C62" s="10" t="str">
        <f>YEAR(CurrentMtgRatesDataTable8[[#This Row],[asofdate]])&amp;"-"&amp;MONTH(CurrentMtgRatesDataTable8[[#This Row],[asofdate]])</f>
        <v>2008-2</v>
      </c>
      <c r="D62" s="6">
        <f>((CurrentMtgRatesDataTable8[[#This Row],[SeriesNumValue]]-$D$1)/$D$1+1)*100</f>
        <v>173.34246172034932</v>
      </c>
      <c r="I62" s="7" t="s">
        <v>123</v>
      </c>
      <c r="J62" s="10">
        <v>1.1696957555317499E-2</v>
      </c>
      <c r="K62" s="10" t="str">
        <f>YEAR(CurrentMtgRatesDataTable89[[#This Row],[asofdate]])&amp;"-"&amp;MONTH(CurrentMtgRatesDataTable89[[#This Row],[asofdate]])</f>
        <v>2010-10</v>
      </c>
      <c r="L62" s="6">
        <f>((CurrentMtgRatesDataTable89[[#This Row],[SeriesNumValue]]-$D$1)/$D$1+1)*100</f>
        <v>77.979717035450008</v>
      </c>
      <c r="M62" s="6">
        <f>CurrentMtgRatesDataTable89[[#This Row],[Index]]-L63</f>
        <v>-1.8987030176279944</v>
      </c>
      <c r="P62" s="7" t="s">
        <v>91</v>
      </c>
      <c r="Q62" s="10">
        <v>0.116786543209285</v>
      </c>
      <c r="R62" s="31">
        <f>((CurrentMtgRatesDataTable8711[[#This Row],[SeriesNumValue]]-$D$1)/$D$1+1)*100</f>
        <v>778.57695472856665</v>
      </c>
      <c r="S62" s="31"/>
      <c r="U62" s="7" t="s">
        <v>91</v>
      </c>
      <c r="V62" s="10">
        <v>9.1688117328369095E-2</v>
      </c>
      <c r="W62" s="31">
        <f>((CurrentMtgRatesDataTable871112[[#This Row],[SeriesNumValue]]-$D$1)/$D$1+1)*100</f>
        <v>611.25411552246067</v>
      </c>
      <c r="X62" s="31"/>
      <c r="Z62" s="7" t="s">
        <v>91</v>
      </c>
      <c r="AA62" s="10">
        <v>2.3843646585242399E-2</v>
      </c>
      <c r="AB62" s="34">
        <f>((CurrentMtgRatesDataTable87111213[[#This Row],[SeriesNumValue]]-$D$1)/$D$1+1)*100</f>
        <v>158.957643901616</v>
      </c>
      <c r="AC62" s="34"/>
      <c r="AE62" s="7" t="s">
        <v>91</v>
      </c>
      <c r="AF62" s="10">
        <v>2.3507893875337998E-2</v>
      </c>
      <c r="AG62" s="34">
        <f>((CurrentMtgRatesDataTable8711121314[[#This Row],[SeriesNumValue]]-$D$1)/$D$1+1)*100</f>
        <v>156.71929250225332</v>
      </c>
      <c r="AH62" s="34" t="str">
        <f>YEAR(CurrentMtgRatesDataTable8711121314[[#This Row],[asofdate]])&amp;"-"&amp;MONTH(CurrentMtgRatesDataTable8711121314[[#This Row],[asofdate]])</f>
        <v>2008-2</v>
      </c>
      <c r="AI62" s="34">
        <f>CurrentMtgRatesDataTable8711121314[[#This Row],[SeriesNumValue]]</f>
        <v>2.3507893875337998E-2</v>
      </c>
      <c r="AJ62" s="34">
        <f>VLOOKUP(CurrentMtgRatesDataTable8711121314[[#This Row],[asofdate]],P:R,2,0)</f>
        <v>0.116786543209285</v>
      </c>
      <c r="AK62" s="30">
        <f>IF(VLOOKUP(CurrentMtgRatesDataTable8711121314[[#This Row],[asofdate]],U:W,2,0)&lt;&gt;0,VLOOKUP(CurrentMtgRatesDataTable8711121314[[#This Row],[asofdate]],U:W,2,0),AK61)</f>
        <v>9.1688117328369095E-2</v>
      </c>
      <c r="AL62" s="30">
        <f>VLOOKUP(CurrentMtgRatesDataTable8711121314[[#This Row],[asofdate]],Z:AB,2,0)</f>
        <v>2.3843646585242399E-2</v>
      </c>
      <c r="AM62" s="30">
        <f>CurrentMtgRatesDataTable8711121314[[#This Row],[FHA]]+0.5*CurrentMtgRatesDataTable8711121314[[#This Row],[Conventional]]</f>
        <v>0.12854049014695401</v>
      </c>
      <c r="AN62" s="30">
        <f>2*CurrentMtgRatesDataTable8711121314[[#This Row],[FHA]]</f>
        <v>0.23357308641857</v>
      </c>
      <c r="AO62" s="11">
        <f>VLOOKUP(YEAR(CurrentMtgRatesDataTable8711121314[[#This Row],[asofdate]]),OriginationVolume!$A:$N,8,FALSE)</f>
        <v>0.67052023121387283</v>
      </c>
      <c r="AP62" s="11">
        <f>VLOOKUP(YEAR(CurrentMtgRatesDataTable8711121314[[#This Row],[asofdate]]),OriginationVolume!$A:$N,9,FALSE)</f>
        <v>5.2926300578034685E-2</v>
      </c>
      <c r="AQ62" s="11">
        <f>VLOOKUP(YEAR(CurrentMtgRatesDataTable8711121314[[#This Row],[asofdate]]),OriginationVolume!$A:$N,10,FALSE)</f>
        <v>0.15877890173410406</v>
      </c>
      <c r="AR62" s="11">
        <f>VLOOKUP(YEAR(CurrentMtgRatesDataTable8711121314[[#This Row],[asofdate]]),OriginationVolume!$A:$N,11,FALSE)</f>
        <v>7.0809248554913301E-2</v>
      </c>
      <c r="AS62" s="11">
        <f>VLOOKUP(YEAR(CurrentMtgRatesDataTable8711121314[[#This Row],[asofdate]]),OriginationVolume!$A:$N,12,FALSE)</f>
        <v>3.0346820809248554E-2</v>
      </c>
      <c r="AT62" s="11">
        <f>VLOOKUP(YEAR(CurrentMtgRatesDataTable8711121314[[#This Row],[asofdate]]),OriginationVolume!$A:$N,13,FALSE)</f>
        <v>1.6618497109826588E-2</v>
      </c>
      <c r="AU6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AW62" s="7" t="s">
        <v>91</v>
      </c>
      <c r="AX62" s="10">
        <v>89489000</v>
      </c>
      <c r="AY62" s="31"/>
      <c r="BA62" s="7" t="s">
        <v>91</v>
      </c>
      <c r="BB62" s="10">
        <v>19242000</v>
      </c>
      <c r="BC62" s="31"/>
      <c r="BE62" s="7" t="s">
        <v>91</v>
      </c>
      <c r="BF62" s="10">
        <v>14543110815.07</v>
      </c>
      <c r="BG62" s="34"/>
      <c r="BI62" s="7" t="s">
        <v>91</v>
      </c>
      <c r="BJ62" s="10">
        <v>14434379815.07</v>
      </c>
      <c r="BK62" s="34" t="str">
        <f>YEAR(CurrentMtgRatesDataTable871112131417[[#This Row],[asofdate]])&amp;"-"&amp;MONTH(CurrentMtgRatesDataTable871112131417[[#This Row],[asofdate]])</f>
        <v>2008-2</v>
      </c>
      <c r="BL62" s="34">
        <f>CurrentMtgRatesDataTable871112131417[[#This Row],[SeriesNumValue]]</f>
        <v>14434379815.07</v>
      </c>
      <c r="BM62" s="34">
        <f>VLOOKUP(CurrentMtgRatesDataTable871112131417[[#This Row],[asofdate]],AW:AX,2,0)</f>
        <v>89489000</v>
      </c>
      <c r="BN62" s="30">
        <f>IF(VLOOKUP(CurrentMtgRatesDataTable871112131417[[#This Row],[asofdate]],BA:BB,2,0)&lt;&gt;0,VLOOKUP(CurrentMtgRatesDataTable871112131417[[#This Row],[asofdate]],BA:BB,2,0),BN61)</f>
        <v>19242000</v>
      </c>
      <c r="BO62" s="30">
        <f>VLOOKUP(CurrentMtgRatesDataTable871112131417[[#This Row],[asofdate]],BE:BF,2,0)</f>
        <v>14543110815.07</v>
      </c>
    </row>
    <row r="63" spans="1:67" s="6" customFormat="1">
      <c r="A63" s="7" t="s">
        <v>92</v>
      </c>
      <c r="B63" s="10">
        <v>2.30995938317353E-2</v>
      </c>
      <c r="C63" s="10" t="str">
        <f>YEAR(CurrentMtgRatesDataTable8[[#This Row],[asofdate]])&amp;"-"&amp;MONTH(CurrentMtgRatesDataTable8[[#This Row],[asofdate]])</f>
        <v>2008-3</v>
      </c>
      <c r="D63" s="6">
        <f>((CurrentMtgRatesDataTable8[[#This Row],[SeriesNumValue]]-$D$1)/$D$1+1)*100</f>
        <v>153.99729221156866</v>
      </c>
      <c r="I63" s="7" t="s">
        <v>122</v>
      </c>
      <c r="J63" s="10">
        <v>1.19817630079617E-2</v>
      </c>
      <c r="K63" s="10" t="str">
        <f>YEAR(CurrentMtgRatesDataTable89[[#This Row],[asofdate]])&amp;"-"&amp;MONTH(CurrentMtgRatesDataTable89[[#This Row],[asofdate]])</f>
        <v>2010-9</v>
      </c>
      <c r="L63" s="6">
        <f>((CurrentMtgRatesDataTable89[[#This Row],[SeriesNumValue]]-$D$1)/$D$1+1)*100</f>
        <v>79.878420053078003</v>
      </c>
      <c r="M63" s="6">
        <f>CurrentMtgRatesDataTable89[[#This Row],[Index]]-L64</f>
        <v>-3.1022324569946562</v>
      </c>
      <c r="P63" s="7" t="s">
        <v>92</v>
      </c>
      <c r="Q63" s="10">
        <v>0.128134201111163</v>
      </c>
      <c r="R63" s="31">
        <f>((CurrentMtgRatesDataTable8711[[#This Row],[SeriesNumValue]]-$D$1)/$D$1+1)*100</f>
        <v>854.22800740775335</v>
      </c>
      <c r="S63" s="31"/>
      <c r="U63" s="7" t="s">
        <v>92</v>
      </c>
      <c r="V63" s="10">
        <v>0.11098315619719901</v>
      </c>
      <c r="W63" s="31">
        <f>((CurrentMtgRatesDataTable871112[[#This Row],[SeriesNumValue]]-$D$1)/$D$1+1)*100</f>
        <v>739.8877079813268</v>
      </c>
      <c r="X63" s="31"/>
      <c r="Z63" s="7" t="s">
        <v>92</v>
      </c>
      <c r="AA63" s="10">
        <v>2.4612648931101499E-2</v>
      </c>
      <c r="AB63" s="34">
        <f>((CurrentMtgRatesDataTable87111213[[#This Row],[SeriesNumValue]]-$D$1)/$D$1+1)*100</f>
        <v>164.08432620734334</v>
      </c>
      <c r="AC63" s="34"/>
      <c r="AE63" s="7" t="s">
        <v>92</v>
      </c>
      <c r="AF63" s="10">
        <v>2.41539416329958E-2</v>
      </c>
      <c r="AG63" s="34">
        <f>((CurrentMtgRatesDataTable8711121314[[#This Row],[SeriesNumValue]]-$D$1)/$D$1+1)*100</f>
        <v>161.02627755330533</v>
      </c>
      <c r="AH63" s="34" t="str">
        <f>YEAR(CurrentMtgRatesDataTable8711121314[[#This Row],[asofdate]])&amp;"-"&amp;MONTH(CurrentMtgRatesDataTable8711121314[[#This Row],[asofdate]])</f>
        <v>2008-3</v>
      </c>
      <c r="AI63" s="34">
        <f>CurrentMtgRatesDataTable8711121314[[#This Row],[SeriesNumValue]]</f>
        <v>2.41539416329958E-2</v>
      </c>
      <c r="AJ63" s="34">
        <f>VLOOKUP(CurrentMtgRatesDataTable8711121314[[#This Row],[asofdate]],P:R,2,0)</f>
        <v>0.128134201111163</v>
      </c>
      <c r="AK63" s="30">
        <f>IF(VLOOKUP(CurrentMtgRatesDataTable8711121314[[#This Row],[asofdate]],U:W,2,0)&lt;&gt;0,VLOOKUP(CurrentMtgRatesDataTable8711121314[[#This Row],[asofdate]],U:W,2,0),AK62)</f>
        <v>0.11098315619719901</v>
      </c>
      <c r="AL63" s="30">
        <f>VLOOKUP(CurrentMtgRatesDataTable8711121314[[#This Row],[asofdate]],Z:AB,2,0)</f>
        <v>2.4612648931101499E-2</v>
      </c>
      <c r="AM63" s="30">
        <f>CurrentMtgRatesDataTable8711121314[[#This Row],[FHA]]+0.5*CurrentMtgRatesDataTable8711121314[[#This Row],[Conventional]]</f>
        <v>0.14021117192766089</v>
      </c>
      <c r="AN63" s="30">
        <f>2*CurrentMtgRatesDataTable8711121314[[#This Row],[FHA]]</f>
        <v>0.256268402222326</v>
      </c>
      <c r="AO63" s="11">
        <f>VLOOKUP(YEAR(CurrentMtgRatesDataTable8711121314[[#This Row],[asofdate]]),OriginationVolume!$A:$N,8,FALSE)</f>
        <v>0.67052023121387283</v>
      </c>
      <c r="AP63" s="11">
        <f>VLOOKUP(YEAR(CurrentMtgRatesDataTable8711121314[[#This Row],[asofdate]]),OriginationVolume!$A:$N,9,FALSE)</f>
        <v>5.2926300578034685E-2</v>
      </c>
      <c r="AQ63" s="11">
        <f>VLOOKUP(YEAR(CurrentMtgRatesDataTable8711121314[[#This Row],[asofdate]]),OriginationVolume!$A:$N,10,FALSE)</f>
        <v>0.15877890173410406</v>
      </c>
      <c r="AR63" s="11">
        <f>VLOOKUP(YEAR(CurrentMtgRatesDataTable8711121314[[#This Row],[asofdate]]),OriginationVolume!$A:$N,11,FALSE)</f>
        <v>7.0809248554913301E-2</v>
      </c>
      <c r="AS63" s="11">
        <f>VLOOKUP(YEAR(CurrentMtgRatesDataTable8711121314[[#This Row],[asofdate]]),OriginationVolume!$A:$N,12,FALSE)</f>
        <v>3.0346820809248554E-2</v>
      </c>
      <c r="AT63" s="11">
        <f>VLOOKUP(YEAR(CurrentMtgRatesDataTable8711121314[[#This Row],[asofdate]]),OriginationVolume!$A:$N,13,FALSE)</f>
        <v>1.6618497109826588E-2</v>
      </c>
      <c r="AU6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AW63" s="7" t="s">
        <v>92</v>
      </c>
      <c r="AX63" s="10">
        <v>94167000</v>
      </c>
      <c r="AY63" s="31"/>
      <c r="BA63" s="7" t="s">
        <v>92</v>
      </c>
      <c r="BB63" s="10">
        <v>16496000</v>
      </c>
      <c r="BC63" s="31"/>
      <c r="BE63" s="7" t="s">
        <v>92</v>
      </c>
      <c r="BF63" s="10">
        <v>11775489098.950001</v>
      </c>
      <c r="BG63" s="34"/>
      <c r="BI63" s="7" t="s">
        <v>92</v>
      </c>
      <c r="BJ63" s="10">
        <v>11664826098.950001</v>
      </c>
      <c r="BK63" s="34" t="str">
        <f>YEAR(CurrentMtgRatesDataTable871112131417[[#This Row],[asofdate]])&amp;"-"&amp;MONTH(CurrentMtgRatesDataTable871112131417[[#This Row],[asofdate]])</f>
        <v>2008-3</v>
      </c>
      <c r="BL63" s="34">
        <f>CurrentMtgRatesDataTable871112131417[[#This Row],[SeriesNumValue]]</f>
        <v>11664826098.950001</v>
      </c>
      <c r="BM63" s="34">
        <f>VLOOKUP(CurrentMtgRatesDataTable871112131417[[#This Row],[asofdate]],AW:AX,2,0)</f>
        <v>94167000</v>
      </c>
      <c r="BN63" s="30">
        <f>IF(VLOOKUP(CurrentMtgRatesDataTable871112131417[[#This Row],[asofdate]],BA:BB,2,0)&lt;&gt;0,VLOOKUP(CurrentMtgRatesDataTable871112131417[[#This Row],[asofdate]],BA:BB,2,0),BN62)</f>
        <v>16496000</v>
      </c>
      <c r="BO63" s="30">
        <f>VLOOKUP(CurrentMtgRatesDataTable871112131417[[#This Row],[asofdate]],BE:BF,2,0)</f>
        <v>11775489098.950001</v>
      </c>
    </row>
    <row r="64" spans="1:67" s="6" customFormat="1">
      <c r="A64" s="7" t="s">
        <v>93</v>
      </c>
      <c r="B64" s="10">
        <v>1.9530240031292102E-2</v>
      </c>
      <c r="C64" s="10" t="str">
        <f>YEAR(CurrentMtgRatesDataTable8[[#This Row],[asofdate]])&amp;"-"&amp;MONTH(CurrentMtgRatesDataTable8[[#This Row],[asofdate]])</f>
        <v>2008-4</v>
      </c>
      <c r="D64" s="6">
        <f>((CurrentMtgRatesDataTable8[[#This Row],[SeriesNumValue]]-$D$1)/$D$1+1)*100</f>
        <v>130.20160020861402</v>
      </c>
      <c r="I64" s="7" t="s">
        <v>121</v>
      </c>
      <c r="J64" s="10">
        <v>1.2447097876510899E-2</v>
      </c>
      <c r="K64" s="10" t="str">
        <f>YEAR(CurrentMtgRatesDataTable89[[#This Row],[asofdate]])&amp;"-"&amp;MONTH(CurrentMtgRatesDataTable89[[#This Row],[asofdate]])</f>
        <v>2010-8</v>
      </c>
      <c r="L64" s="6">
        <f>((CurrentMtgRatesDataTable89[[#This Row],[SeriesNumValue]]-$D$1)/$D$1+1)*100</f>
        <v>82.980652510072659</v>
      </c>
      <c r="M64" s="6">
        <f>CurrentMtgRatesDataTable89[[#This Row],[Index]]-L65</f>
        <v>-0.35803871318734082</v>
      </c>
      <c r="P64" s="7" t="s">
        <v>93</v>
      </c>
      <c r="Q64" s="10">
        <v>0.112280776236066</v>
      </c>
      <c r="R64" s="31">
        <f>((CurrentMtgRatesDataTable8711[[#This Row],[SeriesNumValue]]-$D$1)/$D$1+1)*100</f>
        <v>748.53850824044002</v>
      </c>
      <c r="S64" s="31"/>
      <c r="U64" s="7" t="s">
        <v>93</v>
      </c>
      <c r="V64" s="10">
        <v>9.3530245327451605E-2</v>
      </c>
      <c r="W64" s="31">
        <f>((CurrentMtgRatesDataTable871112[[#This Row],[SeriesNumValue]]-$D$1)/$D$1+1)*100</f>
        <v>623.5349688496774</v>
      </c>
      <c r="X64" s="31"/>
      <c r="Z64" s="7" t="s">
        <v>93</v>
      </c>
      <c r="AA64" s="10">
        <v>2.0244664546833199E-2</v>
      </c>
      <c r="AB64" s="34">
        <f>((CurrentMtgRatesDataTable87111213[[#This Row],[SeriesNumValue]]-$D$1)/$D$1+1)*100</f>
        <v>134.96443031222134</v>
      </c>
      <c r="AC64" s="34"/>
      <c r="AE64" s="7" t="s">
        <v>93</v>
      </c>
      <c r="AF64" s="10">
        <v>1.9719070890697001E-2</v>
      </c>
      <c r="AG64" s="34">
        <f>((CurrentMtgRatesDataTable8711121314[[#This Row],[SeriesNumValue]]-$D$1)/$D$1+1)*100</f>
        <v>131.4604726046467</v>
      </c>
      <c r="AH64" s="34" t="str">
        <f>YEAR(CurrentMtgRatesDataTable8711121314[[#This Row],[asofdate]])&amp;"-"&amp;MONTH(CurrentMtgRatesDataTable8711121314[[#This Row],[asofdate]])</f>
        <v>2008-4</v>
      </c>
      <c r="AI64" s="34">
        <f>CurrentMtgRatesDataTable8711121314[[#This Row],[SeriesNumValue]]</f>
        <v>1.9719070890697001E-2</v>
      </c>
      <c r="AJ64" s="34">
        <f>VLOOKUP(CurrentMtgRatesDataTable8711121314[[#This Row],[asofdate]],P:R,2,0)</f>
        <v>0.112280776236066</v>
      </c>
      <c r="AK64" s="30">
        <f>IF(VLOOKUP(CurrentMtgRatesDataTable8711121314[[#This Row],[asofdate]],U:W,2,0)&lt;&gt;0,VLOOKUP(CurrentMtgRatesDataTable8711121314[[#This Row],[asofdate]],U:W,2,0),AK63)</f>
        <v>9.3530245327451605E-2</v>
      </c>
      <c r="AL64" s="30">
        <f>VLOOKUP(CurrentMtgRatesDataTable8711121314[[#This Row],[asofdate]],Z:AB,2,0)</f>
        <v>2.0244664546833199E-2</v>
      </c>
      <c r="AM64" s="30">
        <f>CurrentMtgRatesDataTable8711121314[[#This Row],[FHA]]+0.5*CurrentMtgRatesDataTable8711121314[[#This Row],[Conventional]]</f>
        <v>0.1221403116814145</v>
      </c>
      <c r="AN64" s="30">
        <f>2*CurrentMtgRatesDataTable8711121314[[#This Row],[FHA]]</f>
        <v>0.224561552472132</v>
      </c>
      <c r="AO64" s="11">
        <f>VLOOKUP(YEAR(CurrentMtgRatesDataTable8711121314[[#This Row],[asofdate]]),OriginationVolume!$A:$N,8,FALSE)</f>
        <v>0.67052023121387283</v>
      </c>
      <c r="AP64" s="11">
        <f>VLOOKUP(YEAR(CurrentMtgRatesDataTable8711121314[[#This Row],[asofdate]]),OriginationVolume!$A:$N,9,FALSE)</f>
        <v>5.2926300578034685E-2</v>
      </c>
      <c r="AQ64" s="11">
        <f>VLOOKUP(YEAR(CurrentMtgRatesDataTable8711121314[[#This Row],[asofdate]]),OriginationVolume!$A:$N,10,FALSE)</f>
        <v>0.15877890173410406</v>
      </c>
      <c r="AR64" s="11">
        <f>VLOOKUP(YEAR(CurrentMtgRatesDataTable8711121314[[#This Row],[asofdate]]),OriginationVolume!$A:$N,11,FALSE)</f>
        <v>7.0809248554913301E-2</v>
      </c>
      <c r="AS64" s="11">
        <f>VLOOKUP(YEAR(CurrentMtgRatesDataTable8711121314[[#This Row],[asofdate]]),OriginationVolume!$A:$N,12,FALSE)</f>
        <v>3.0346820809248554E-2</v>
      </c>
      <c r="AT64" s="11">
        <f>VLOOKUP(YEAR(CurrentMtgRatesDataTable8711121314[[#This Row],[asofdate]]),OriginationVolume!$A:$N,13,FALSE)</f>
        <v>1.6618497109826588E-2</v>
      </c>
      <c r="AU6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AW64" s="7" t="s">
        <v>93</v>
      </c>
      <c r="AX64" s="10">
        <v>133612000</v>
      </c>
      <c r="AY64" s="31"/>
      <c r="BA64" s="7" t="s">
        <v>93</v>
      </c>
      <c r="BB64" s="10">
        <v>27023000</v>
      </c>
      <c r="BC64" s="31"/>
      <c r="BE64" s="7" t="s">
        <v>93</v>
      </c>
      <c r="BF64" s="10">
        <v>13130616566.99</v>
      </c>
      <c r="BG64" s="34"/>
      <c r="BI64" s="7" t="s">
        <v>93</v>
      </c>
      <c r="BJ64" s="10">
        <v>12969981566.99</v>
      </c>
      <c r="BK64" s="34" t="str">
        <f>YEAR(CurrentMtgRatesDataTable871112131417[[#This Row],[asofdate]])&amp;"-"&amp;MONTH(CurrentMtgRatesDataTable871112131417[[#This Row],[asofdate]])</f>
        <v>2008-4</v>
      </c>
      <c r="BL64" s="34">
        <f>CurrentMtgRatesDataTable871112131417[[#This Row],[SeriesNumValue]]</f>
        <v>12969981566.99</v>
      </c>
      <c r="BM64" s="34">
        <f>VLOOKUP(CurrentMtgRatesDataTable871112131417[[#This Row],[asofdate]],AW:AX,2,0)</f>
        <v>133612000</v>
      </c>
      <c r="BN64" s="30">
        <f>IF(VLOOKUP(CurrentMtgRatesDataTable871112131417[[#This Row],[asofdate]],BA:BB,2,0)&lt;&gt;0,VLOOKUP(CurrentMtgRatesDataTable871112131417[[#This Row],[asofdate]],BA:BB,2,0),BN63)</f>
        <v>27023000</v>
      </c>
      <c r="BO64" s="30">
        <f>VLOOKUP(CurrentMtgRatesDataTable871112131417[[#This Row],[asofdate]],BE:BF,2,0)</f>
        <v>13130616566.99</v>
      </c>
    </row>
    <row r="65" spans="1:67" s="6" customFormat="1">
      <c r="A65" s="7" t="s">
        <v>94</v>
      </c>
      <c r="B65" s="10">
        <v>1.97249159652578E-2</v>
      </c>
      <c r="C65" s="10" t="str">
        <f>YEAR(CurrentMtgRatesDataTable8[[#This Row],[asofdate]])&amp;"-"&amp;MONTH(CurrentMtgRatesDataTable8[[#This Row],[asofdate]])</f>
        <v>2008-5</v>
      </c>
      <c r="D65" s="6">
        <f>((CurrentMtgRatesDataTable8[[#This Row],[SeriesNumValue]]-$D$1)/$D$1+1)*100</f>
        <v>131.49943976838534</v>
      </c>
      <c r="I65" s="7" t="s">
        <v>120</v>
      </c>
      <c r="J65" s="10">
        <v>1.2500803683488999E-2</v>
      </c>
      <c r="K65" s="10" t="str">
        <f>YEAR(CurrentMtgRatesDataTable89[[#This Row],[asofdate]])&amp;"-"&amp;MONTH(CurrentMtgRatesDataTable89[[#This Row],[asofdate]])</f>
        <v>2010-7</v>
      </c>
      <c r="L65" s="6">
        <f>((CurrentMtgRatesDataTable89[[#This Row],[SeriesNumValue]]-$D$1)/$D$1+1)*100</f>
        <v>83.33869122326</v>
      </c>
      <c r="M65" s="6">
        <f>CurrentMtgRatesDataTable89[[#This Row],[Index]]-L66</f>
        <v>7.4489522057166653</v>
      </c>
      <c r="P65" s="7" t="s">
        <v>94</v>
      </c>
      <c r="Q65" s="10">
        <v>0.10862820934442299</v>
      </c>
      <c r="R65" s="31">
        <f>((CurrentMtgRatesDataTable8711[[#This Row],[SeriesNumValue]]-$D$1)/$D$1+1)*100</f>
        <v>724.18806229615336</v>
      </c>
      <c r="S65" s="31"/>
      <c r="U65" s="7" t="s">
        <v>94</v>
      </c>
      <c r="V65" s="10">
        <v>9.4390282645507598E-2</v>
      </c>
      <c r="W65" s="31">
        <f>((CurrentMtgRatesDataTable871112[[#This Row],[SeriesNumValue]]-$D$1)/$D$1+1)*100</f>
        <v>629.26855097005068</v>
      </c>
      <c r="X65" s="31"/>
      <c r="Z65" s="7" t="s">
        <v>94</v>
      </c>
      <c r="AA65" s="10">
        <v>2.0071270678224201E-2</v>
      </c>
      <c r="AB65" s="34">
        <f>((CurrentMtgRatesDataTable87111213[[#This Row],[SeriesNumValue]]-$D$1)/$D$1+1)*100</f>
        <v>133.80847118816135</v>
      </c>
      <c r="AC65" s="34"/>
      <c r="AE65" s="7" t="s">
        <v>94</v>
      </c>
      <c r="AF65" s="10">
        <v>1.9430117842498599E-2</v>
      </c>
      <c r="AG65" s="34">
        <f>((CurrentMtgRatesDataTable8711121314[[#This Row],[SeriesNumValue]]-$D$1)/$D$1+1)*100</f>
        <v>129.53411894999064</v>
      </c>
      <c r="AH65" s="34" t="str">
        <f>YEAR(CurrentMtgRatesDataTable8711121314[[#This Row],[asofdate]])&amp;"-"&amp;MONTH(CurrentMtgRatesDataTable8711121314[[#This Row],[asofdate]])</f>
        <v>2008-5</v>
      </c>
      <c r="AI65" s="34">
        <f>CurrentMtgRatesDataTable8711121314[[#This Row],[SeriesNumValue]]</f>
        <v>1.9430117842498599E-2</v>
      </c>
      <c r="AJ65" s="34">
        <f>VLOOKUP(CurrentMtgRatesDataTable8711121314[[#This Row],[asofdate]],P:R,2,0)</f>
        <v>0.10862820934442299</v>
      </c>
      <c r="AK65" s="30">
        <f>IF(VLOOKUP(CurrentMtgRatesDataTable8711121314[[#This Row],[asofdate]],U:W,2,0)&lt;&gt;0,VLOOKUP(CurrentMtgRatesDataTable8711121314[[#This Row],[asofdate]],U:W,2,0),AK64)</f>
        <v>9.4390282645507598E-2</v>
      </c>
      <c r="AL65" s="30">
        <f>VLOOKUP(CurrentMtgRatesDataTable8711121314[[#This Row],[asofdate]],Z:AB,2,0)</f>
        <v>2.0071270678224201E-2</v>
      </c>
      <c r="AM65" s="30">
        <f>CurrentMtgRatesDataTable8711121314[[#This Row],[FHA]]+0.5*CurrentMtgRatesDataTable8711121314[[#This Row],[Conventional]]</f>
        <v>0.11834326826567229</v>
      </c>
      <c r="AN65" s="30">
        <f>2*CurrentMtgRatesDataTable8711121314[[#This Row],[FHA]]</f>
        <v>0.21725641868884599</v>
      </c>
      <c r="AO65" s="11">
        <f>VLOOKUP(YEAR(CurrentMtgRatesDataTable8711121314[[#This Row],[asofdate]]),OriginationVolume!$A:$N,8,FALSE)</f>
        <v>0.67052023121387283</v>
      </c>
      <c r="AP65" s="11">
        <f>VLOOKUP(YEAR(CurrentMtgRatesDataTable8711121314[[#This Row],[asofdate]]),OriginationVolume!$A:$N,9,FALSE)</f>
        <v>5.2926300578034685E-2</v>
      </c>
      <c r="AQ65" s="11">
        <f>VLOOKUP(YEAR(CurrentMtgRatesDataTable8711121314[[#This Row],[asofdate]]),OriginationVolume!$A:$N,10,FALSE)</f>
        <v>0.15877890173410406</v>
      </c>
      <c r="AR65" s="11">
        <f>VLOOKUP(YEAR(CurrentMtgRatesDataTable8711121314[[#This Row],[asofdate]]),OriginationVolume!$A:$N,11,FALSE)</f>
        <v>7.0809248554913301E-2</v>
      </c>
      <c r="AS65" s="11">
        <f>VLOOKUP(YEAR(CurrentMtgRatesDataTable8711121314[[#This Row],[asofdate]]),OriginationVolume!$A:$N,12,FALSE)</f>
        <v>3.0346820809248554E-2</v>
      </c>
      <c r="AT65" s="11">
        <f>VLOOKUP(YEAR(CurrentMtgRatesDataTable8711121314[[#This Row],[asofdate]]),OriginationVolume!$A:$N,13,FALSE)</f>
        <v>1.6618497109826588E-2</v>
      </c>
      <c r="AU6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AW65" s="7" t="s">
        <v>94</v>
      </c>
      <c r="AX65" s="10">
        <v>182947000</v>
      </c>
      <c r="AY65" s="31"/>
      <c r="BA65" s="7" t="s">
        <v>94</v>
      </c>
      <c r="BB65" s="10">
        <v>25233000</v>
      </c>
      <c r="BC65" s="31"/>
      <c r="BE65" s="7" t="s">
        <v>94</v>
      </c>
      <c r="BF65" s="10">
        <v>14529429316.049999</v>
      </c>
      <c r="BG65" s="34"/>
      <c r="BI65" s="7" t="s">
        <v>94</v>
      </c>
      <c r="BJ65" s="10">
        <v>14321249316.049999</v>
      </c>
      <c r="BK65" s="34" t="str">
        <f>YEAR(CurrentMtgRatesDataTable871112131417[[#This Row],[asofdate]])&amp;"-"&amp;MONTH(CurrentMtgRatesDataTable871112131417[[#This Row],[asofdate]])</f>
        <v>2008-5</v>
      </c>
      <c r="BL65" s="34">
        <f>CurrentMtgRatesDataTable871112131417[[#This Row],[SeriesNumValue]]</f>
        <v>14321249316.049999</v>
      </c>
      <c r="BM65" s="34">
        <f>VLOOKUP(CurrentMtgRatesDataTable871112131417[[#This Row],[asofdate]],AW:AX,2,0)</f>
        <v>182947000</v>
      </c>
      <c r="BN65" s="30">
        <f>IF(VLOOKUP(CurrentMtgRatesDataTable871112131417[[#This Row],[asofdate]],BA:BB,2,0)&lt;&gt;0,VLOOKUP(CurrentMtgRatesDataTable871112131417[[#This Row],[asofdate]],BA:BB,2,0),BN64)</f>
        <v>25233000</v>
      </c>
      <c r="BO65" s="30">
        <f>VLOOKUP(CurrentMtgRatesDataTable871112131417[[#This Row],[asofdate]],BE:BF,2,0)</f>
        <v>14529429316.049999</v>
      </c>
    </row>
    <row r="66" spans="1:67" s="6" customFormat="1">
      <c r="A66" s="7" t="s">
        <v>95</v>
      </c>
      <c r="B66" s="10">
        <v>1.6110623672973001E-2</v>
      </c>
      <c r="C66" s="10" t="str">
        <f>YEAR(CurrentMtgRatesDataTable8[[#This Row],[asofdate]])&amp;"-"&amp;MONTH(CurrentMtgRatesDataTable8[[#This Row],[asofdate]])</f>
        <v>2008-6</v>
      </c>
      <c r="D66" s="6">
        <f>((CurrentMtgRatesDataTable8[[#This Row],[SeriesNumValue]]-$D$1)/$D$1+1)*100</f>
        <v>107.40415781982003</v>
      </c>
      <c r="I66" s="7" t="s">
        <v>119</v>
      </c>
      <c r="J66" s="10">
        <v>1.13834608526315E-2</v>
      </c>
      <c r="K66" s="10" t="str">
        <f>YEAR(CurrentMtgRatesDataTable89[[#This Row],[asofdate]])&amp;"-"&amp;MONTH(CurrentMtgRatesDataTable89[[#This Row],[asofdate]])</f>
        <v>2010-6</v>
      </c>
      <c r="L66" s="6">
        <f>((CurrentMtgRatesDataTable89[[#This Row],[SeriesNumValue]]-$D$1)/$D$1+1)*100</f>
        <v>75.889739017543334</v>
      </c>
      <c r="M66" s="6">
        <f>CurrentMtgRatesDataTable89[[#This Row],[Index]]-L67</f>
        <v>2.5745659856226553</v>
      </c>
      <c r="P66" s="7" t="s">
        <v>95</v>
      </c>
      <c r="Q66" s="10">
        <v>0.101027125337702</v>
      </c>
      <c r="R66" s="31">
        <f>((CurrentMtgRatesDataTable8711[[#This Row],[SeriesNumValue]]-$D$1)/$D$1+1)*100</f>
        <v>673.51416891801341</v>
      </c>
      <c r="S66" s="31"/>
      <c r="U66" s="7" t="s">
        <v>95</v>
      </c>
      <c r="V66" s="10">
        <v>7.7078342061616595E-2</v>
      </c>
      <c r="W66" s="31">
        <f>((CurrentMtgRatesDataTable871112[[#This Row],[SeriesNumValue]]-$D$1)/$D$1+1)*100</f>
        <v>513.85561374411066</v>
      </c>
      <c r="X66" s="31"/>
      <c r="Z66" s="7" t="s">
        <v>95</v>
      </c>
      <c r="AA66" s="10">
        <v>1.73104097748671E-2</v>
      </c>
      <c r="AB66" s="34">
        <f>((CurrentMtgRatesDataTable87111213[[#This Row],[SeriesNumValue]]-$D$1)/$D$1+1)*100</f>
        <v>115.40273183244733</v>
      </c>
      <c r="AC66" s="34"/>
      <c r="AE66" s="7" t="s">
        <v>95</v>
      </c>
      <c r="AF66" s="10">
        <v>1.65254347118865E-2</v>
      </c>
      <c r="AG66" s="34">
        <f>((CurrentMtgRatesDataTable8711121314[[#This Row],[SeriesNumValue]]-$D$1)/$D$1+1)*100</f>
        <v>110.16956474590999</v>
      </c>
      <c r="AH66" s="34" t="str">
        <f>YEAR(CurrentMtgRatesDataTable8711121314[[#This Row],[asofdate]])&amp;"-"&amp;MONTH(CurrentMtgRatesDataTable8711121314[[#This Row],[asofdate]])</f>
        <v>2008-6</v>
      </c>
      <c r="AI66" s="34">
        <f>CurrentMtgRatesDataTable8711121314[[#This Row],[SeriesNumValue]]</f>
        <v>1.65254347118865E-2</v>
      </c>
      <c r="AJ66" s="34">
        <f>VLOOKUP(CurrentMtgRatesDataTable8711121314[[#This Row],[asofdate]],P:R,2,0)</f>
        <v>0.101027125337702</v>
      </c>
      <c r="AK66" s="30">
        <f>IF(VLOOKUP(CurrentMtgRatesDataTable8711121314[[#This Row],[asofdate]],U:W,2,0)&lt;&gt;0,VLOOKUP(CurrentMtgRatesDataTable8711121314[[#This Row],[asofdate]],U:W,2,0),AK65)</f>
        <v>7.7078342061616595E-2</v>
      </c>
      <c r="AL66" s="30">
        <f>VLOOKUP(CurrentMtgRatesDataTable8711121314[[#This Row],[asofdate]],Z:AB,2,0)</f>
        <v>1.73104097748671E-2</v>
      </c>
      <c r="AM66" s="30">
        <f>CurrentMtgRatesDataTable8711121314[[#This Row],[FHA]]+0.5*CurrentMtgRatesDataTable8711121314[[#This Row],[Conventional]]</f>
        <v>0.10928984269364525</v>
      </c>
      <c r="AN66" s="30">
        <f>2*CurrentMtgRatesDataTable8711121314[[#This Row],[FHA]]</f>
        <v>0.202054250675404</v>
      </c>
      <c r="AO66" s="11">
        <f>VLOOKUP(YEAR(CurrentMtgRatesDataTable8711121314[[#This Row],[asofdate]]),OriginationVolume!$A:$N,8,FALSE)</f>
        <v>0.67052023121387283</v>
      </c>
      <c r="AP66" s="11">
        <f>VLOOKUP(YEAR(CurrentMtgRatesDataTable8711121314[[#This Row],[asofdate]]),OriginationVolume!$A:$N,9,FALSE)</f>
        <v>5.2926300578034685E-2</v>
      </c>
      <c r="AQ66" s="11">
        <f>VLOOKUP(YEAR(CurrentMtgRatesDataTable8711121314[[#This Row],[asofdate]]),OriginationVolume!$A:$N,10,FALSE)</f>
        <v>0.15877890173410406</v>
      </c>
      <c r="AR66" s="11">
        <f>VLOOKUP(YEAR(CurrentMtgRatesDataTable8711121314[[#This Row],[asofdate]]),OriginationVolume!$A:$N,11,FALSE)</f>
        <v>7.0809248554913301E-2</v>
      </c>
      <c r="AS66" s="11">
        <f>VLOOKUP(YEAR(CurrentMtgRatesDataTable8711121314[[#This Row],[asofdate]]),OriginationVolume!$A:$N,12,FALSE)</f>
        <v>3.0346820809248554E-2</v>
      </c>
      <c r="AT66" s="11">
        <f>VLOOKUP(YEAR(CurrentMtgRatesDataTable8711121314[[#This Row],[asofdate]]),OriginationVolume!$A:$N,13,FALSE)</f>
        <v>1.6618497109826588E-2</v>
      </c>
      <c r="AU6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AW66" s="7" t="s">
        <v>95</v>
      </c>
      <c r="AX66" s="10">
        <v>257908000</v>
      </c>
      <c r="AY66" s="31"/>
      <c r="BA66" s="7" t="s">
        <v>95</v>
      </c>
      <c r="BB66" s="10">
        <v>35354000</v>
      </c>
      <c r="BC66" s="31"/>
      <c r="BE66" s="7" t="s">
        <v>95</v>
      </c>
      <c r="BF66" s="10">
        <v>14563854951.780001</v>
      </c>
      <c r="BG66" s="34"/>
      <c r="BI66" s="7" t="s">
        <v>95</v>
      </c>
      <c r="BJ66" s="10">
        <v>14270592951.780001</v>
      </c>
      <c r="BK66" s="34" t="str">
        <f>YEAR(CurrentMtgRatesDataTable871112131417[[#This Row],[asofdate]])&amp;"-"&amp;MONTH(CurrentMtgRatesDataTable871112131417[[#This Row],[asofdate]])</f>
        <v>2008-6</v>
      </c>
      <c r="BL66" s="34">
        <f>CurrentMtgRatesDataTable871112131417[[#This Row],[SeriesNumValue]]</f>
        <v>14270592951.780001</v>
      </c>
      <c r="BM66" s="34">
        <f>VLOOKUP(CurrentMtgRatesDataTable871112131417[[#This Row],[asofdate]],AW:AX,2,0)</f>
        <v>257908000</v>
      </c>
      <c r="BN66" s="30">
        <f>IF(VLOOKUP(CurrentMtgRatesDataTable871112131417[[#This Row],[asofdate]],BA:BB,2,0)&lt;&gt;0,VLOOKUP(CurrentMtgRatesDataTable871112131417[[#This Row],[asofdate]],BA:BB,2,0),BN65)</f>
        <v>35354000</v>
      </c>
      <c r="BO66" s="30">
        <f>VLOOKUP(CurrentMtgRatesDataTable871112131417[[#This Row],[asofdate]],BE:BF,2,0)</f>
        <v>14563854951.780001</v>
      </c>
    </row>
    <row r="67" spans="1:67" s="6" customFormat="1">
      <c r="A67" s="7" t="s">
        <v>96</v>
      </c>
      <c r="B67" s="10">
        <v>1.37880127783178E-2</v>
      </c>
      <c r="C67" s="10" t="str">
        <f>YEAR(CurrentMtgRatesDataTable8[[#This Row],[asofdate]])&amp;"-"&amp;MONTH(CurrentMtgRatesDataTable8[[#This Row],[asofdate]])</f>
        <v>2008-7</v>
      </c>
      <c r="D67" s="6">
        <f>((CurrentMtgRatesDataTable8[[#This Row],[SeriesNumValue]]-$D$1)/$D$1+1)*100</f>
        <v>91.920085188785336</v>
      </c>
      <c r="I67" s="7" t="s">
        <v>118</v>
      </c>
      <c r="J67" s="10">
        <v>1.09972759547881E-2</v>
      </c>
      <c r="K67" s="10" t="str">
        <f>YEAR(CurrentMtgRatesDataTable89[[#This Row],[asofdate]])&amp;"-"&amp;MONTH(CurrentMtgRatesDataTable89[[#This Row],[asofdate]])</f>
        <v>2010-5</v>
      </c>
      <c r="L67" s="6">
        <f>((CurrentMtgRatesDataTable89[[#This Row],[SeriesNumValue]]-$D$1)/$D$1+1)*100</f>
        <v>73.315173031920679</v>
      </c>
      <c r="M67" s="6">
        <f>CurrentMtgRatesDataTable89[[#This Row],[Index]]-L68</f>
        <v>-9.4307829786657749E-2</v>
      </c>
      <c r="P67" s="7" t="s">
        <v>96</v>
      </c>
      <c r="Q67" s="10">
        <v>9.3804213372806602E-2</v>
      </c>
      <c r="R67" s="31">
        <f>((CurrentMtgRatesDataTable8711[[#This Row],[SeriesNumValue]]-$D$1)/$D$1+1)*100</f>
        <v>625.36142248537737</v>
      </c>
      <c r="S67" s="31"/>
      <c r="U67" s="7" t="s">
        <v>96</v>
      </c>
      <c r="V67" s="10">
        <v>7.5508534809422503E-2</v>
      </c>
      <c r="W67" s="31">
        <f>((CurrentMtgRatesDataTable871112[[#This Row],[SeriesNumValue]]-$D$1)/$D$1+1)*100</f>
        <v>503.39023206281672</v>
      </c>
      <c r="X67" s="31"/>
      <c r="Z67" s="7" t="s">
        <v>96</v>
      </c>
      <c r="AA67" s="10">
        <v>1.5853779208908798E-2</v>
      </c>
      <c r="AB67" s="34">
        <f>((CurrentMtgRatesDataTable87111213[[#This Row],[SeriesNumValue]]-$D$1)/$D$1+1)*100</f>
        <v>105.69186139272533</v>
      </c>
      <c r="AC67" s="34"/>
      <c r="AE67" s="7" t="s">
        <v>96</v>
      </c>
      <c r="AF67" s="10">
        <v>1.50068827988702E-2</v>
      </c>
      <c r="AG67" s="34">
        <f>((CurrentMtgRatesDataTable8711121314[[#This Row],[SeriesNumValue]]-$D$1)/$D$1+1)*100</f>
        <v>100.04588532580134</v>
      </c>
      <c r="AH67" s="34" t="str">
        <f>YEAR(CurrentMtgRatesDataTable8711121314[[#This Row],[asofdate]])&amp;"-"&amp;MONTH(CurrentMtgRatesDataTable8711121314[[#This Row],[asofdate]])</f>
        <v>2008-7</v>
      </c>
      <c r="AI67" s="34">
        <f>CurrentMtgRatesDataTable8711121314[[#This Row],[SeriesNumValue]]</f>
        <v>1.50068827988702E-2</v>
      </c>
      <c r="AJ67" s="34">
        <f>VLOOKUP(CurrentMtgRatesDataTable8711121314[[#This Row],[asofdate]],P:R,2,0)</f>
        <v>9.3804213372806602E-2</v>
      </c>
      <c r="AK67" s="30">
        <f>IF(VLOOKUP(CurrentMtgRatesDataTable8711121314[[#This Row],[asofdate]],U:W,2,0)&lt;&gt;0,VLOOKUP(CurrentMtgRatesDataTable8711121314[[#This Row],[asofdate]],U:W,2,0),AK66)</f>
        <v>7.5508534809422503E-2</v>
      </c>
      <c r="AL67" s="30">
        <f>VLOOKUP(CurrentMtgRatesDataTable8711121314[[#This Row],[asofdate]],Z:AB,2,0)</f>
        <v>1.5853779208908798E-2</v>
      </c>
      <c r="AM67" s="30">
        <f>CurrentMtgRatesDataTable8711121314[[#This Row],[FHA]]+0.5*CurrentMtgRatesDataTable8711121314[[#This Row],[Conventional]]</f>
        <v>0.1013076547722417</v>
      </c>
      <c r="AN67" s="30">
        <f>2*CurrentMtgRatesDataTable8711121314[[#This Row],[FHA]]</f>
        <v>0.1876084267456132</v>
      </c>
      <c r="AO67" s="11">
        <f>VLOOKUP(YEAR(CurrentMtgRatesDataTable8711121314[[#This Row],[asofdate]]),OriginationVolume!$A:$N,8,FALSE)</f>
        <v>0.67052023121387283</v>
      </c>
      <c r="AP67" s="11">
        <f>VLOOKUP(YEAR(CurrentMtgRatesDataTable8711121314[[#This Row],[asofdate]]),OriginationVolume!$A:$N,9,FALSE)</f>
        <v>5.2926300578034685E-2</v>
      </c>
      <c r="AQ67" s="11">
        <f>VLOOKUP(YEAR(CurrentMtgRatesDataTable8711121314[[#This Row],[asofdate]]),OriginationVolume!$A:$N,10,FALSE)</f>
        <v>0.15877890173410406</v>
      </c>
      <c r="AR67" s="11">
        <f>VLOOKUP(YEAR(CurrentMtgRatesDataTable8711121314[[#This Row],[asofdate]]),OriginationVolume!$A:$N,11,FALSE)</f>
        <v>7.0809248554913301E-2</v>
      </c>
      <c r="AS67" s="11">
        <f>VLOOKUP(YEAR(CurrentMtgRatesDataTable8711121314[[#This Row],[asofdate]]),OriginationVolume!$A:$N,12,FALSE)</f>
        <v>3.0346820809248554E-2</v>
      </c>
      <c r="AT67" s="11">
        <f>VLOOKUP(YEAR(CurrentMtgRatesDataTable8711121314[[#This Row],[asofdate]]),OriginationVolume!$A:$N,13,FALSE)</f>
        <v>1.6618497109826588E-2</v>
      </c>
      <c r="AU6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AW67" s="7" t="s">
        <v>96</v>
      </c>
      <c r="AX67" s="10">
        <v>300657000</v>
      </c>
      <c r="AY67" s="31"/>
      <c r="BA67" s="7" t="s">
        <v>96</v>
      </c>
      <c r="BB67" s="10">
        <v>43486000</v>
      </c>
      <c r="BC67" s="31"/>
      <c r="BE67" s="7" t="s">
        <v>96</v>
      </c>
      <c r="BF67" s="10">
        <v>14197334880.99</v>
      </c>
      <c r="BG67" s="34"/>
      <c r="BI67" s="7" t="s">
        <v>96</v>
      </c>
      <c r="BJ67" s="10">
        <v>13853191880.99</v>
      </c>
      <c r="BK67" s="34" t="str">
        <f>YEAR(CurrentMtgRatesDataTable871112131417[[#This Row],[asofdate]])&amp;"-"&amp;MONTH(CurrentMtgRatesDataTable871112131417[[#This Row],[asofdate]])</f>
        <v>2008-7</v>
      </c>
      <c r="BL67" s="34">
        <f>CurrentMtgRatesDataTable871112131417[[#This Row],[SeriesNumValue]]</f>
        <v>13853191880.99</v>
      </c>
      <c r="BM67" s="34">
        <f>VLOOKUP(CurrentMtgRatesDataTable871112131417[[#This Row],[asofdate]],AW:AX,2,0)</f>
        <v>300657000</v>
      </c>
      <c r="BN67" s="30">
        <f>IF(VLOOKUP(CurrentMtgRatesDataTable871112131417[[#This Row],[asofdate]],BA:BB,2,0)&lt;&gt;0,VLOOKUP(CurrentMtgRatesDataTable871112131417[[#This Row],[asofdate]],BA:BB,2,0),BN66)</f>
        <v>43486000</v>
      </c>
      <c r="BO67" s="30">
        <f>VLOOKUP(CurrentMtgRatesDataTable871112131417[[#This Row],[asofdate]],BE:BF,2,0)</f>
        <v>14197334880.99</v>
      </c>
    </row>
    <row r="68" spans="1:67" s="6" customFormat="1">
      <c r="A68" s="7" t="s">
        <v>97</v>
      </c>
      <c r="B68" s="10">
        <v>1.33211437358192E-2</v>
      </c>
      <c r="C68" s="10" t="str">
        <f>YEAR(CurrentMtgRatesDataTable8[[#This Row],[asofdate]])&amp;"-"&amp;MONTH(CurrentMtgRatesDataTable8[[#This Row],[asofdate]])</f>
        <v>2008-8</v>
      </c>
      <c r="D68" s="6">
        <f>((CurrentMtgRatesDataTable8[[#This Row],[SeriesNumValue]]-$D$1)/$D$1+1)*100</f>
        <v>88.807624905461338</v>
      </c>
      <c r="I68" s="7" t="s">
        <v>117</v>
      </c>
      <c r="J68" s="10">
        <v>1.10114221292561E-2</v>
      </c>
      <c r="K68" s="10" t="str">
        <f>YEAR(CurrentMtgRatesDataTable89[[#This Row],[asofdate]])&amp;"-"&amp;MONTH(CurrentMtgRatesDataTable89[[#This Row],[asofdate]])</f>
        <v>2010-4</v>
      </c>
      <c r="L68" s="6">
        <f>((CurrentMtgRatesDataTable89[[#This Row],[SeriesNumValue]]-$D$1)/$D$1+1)*100</f>
        <v>73.409480861707337</v>
      </c>
      <c r="M68" s="6">
        <f>CurrentMtgRatesDataTable89[[#This Row],[Index]]-L69</f>
        <v>2.0852306773260096</v>
      </c>
      <c r="P68" s="7" t="s">
        <v>97</v>
      </c>
      <c r="Q68" s="10">
        <v>8.7395122950958998E-2</v>
      </c>
      <c r="R68" s="31">
        <f>((CurrentMtgRatesDataTable8711[[#This Row],[SeriesNumValue]]-$D$1)/$D$1+1)*100</f>
        <v>582.63415300639338</v>
      </c>
      <c r="S68" s="31"/>
      <c r="U68" s="7" t="s">
        <v>97</v>
      </c>
      <c r="V68" s="10">
        <v>7.3574608785366299E-2</v>
      </c>
      <c r="W68" s="31">
        <f>((CurrentMtgRatesDataTable871112[[#This Row],[SeriesNumValue]]-$D$1)/$D$1+1)*100</f>
        <v>490.49739190244202</v>
      </c>
      <c r="X68" s="31"/>
      <c r="Z68" s="7" t="s">
        <v>97</v>
      </c>
      <c r="AA68" s="10">
        <v>1.43708935233687E-2</v>
      </c>
      <c r="AB68" s="34">
        <f>((CurrentMtgRatesDataTable87111213[[#This Row],[SeriesNumValue]]-$D$1)/$D$1+1)*100</f>
        <v>95.805956822458</v>
      </c>
      <c r="AC68" s="34"/>
      <c r="AE68" s="7" t="s">
        <v>97</v>
      </c>
      <c r="AF68" s="10">
        <v>1.3633996571414401E-2</v>
      </c>
      <c r="AG68" s="34">
        <f>((CurrentMtgRatesDataTable8711121314[[#This Row],[SeriesNumValue]]-$D$1)/$D$1+1)*100</f>
        <v>90.893310476096019</v>
      </c>
      <c r="AH68" s="34" t="str">
        <f>YEAR(CurrentMtgRatesDataTable8711121314[[#This Row],[asofdate]])&amp;"-"&amp;MONTH(CurrentMtgRatesDataTable8711121314[[#This Row],[asofdate]])</f>
        <v>2008-8</v>
      </c>
      <c r="AI68" s="34">
        <f>CurrentMtgRatesDataTable8711121314[[#This Row],[SeriesNumValue]]</f>
        <v>1.3633996571414401E-2</v>
      </c>
      <c r="AJ68" s="34">
        <f>VLOOKUP(CurrentMtgRatesDataTable8711121314[[#This Row],[asofdate]],P:R,2,0)</f>
        <v>8.7395122950958998E-2</v>
      </c>
      <c r="AK68" s="30">
        <f>IF(VLOOKUP(CurrentMtgRatesDataTable8711121314[[#This Row],[asofdate]],U:W,2,0)&lt;&gt;0,VLOOKUP(CurrentMtgRatesDataTable8711121314[[#This Row],[asofdate]],U:W,2,0),AK67)</f>
        <v>7.3574608785366299E-2</v>
      </c>
      <c r="AL68" s="30">
        <f>VLOOKUP(CurrentMtgRatesDataTable8711121314[[#This Row],[asofdate]],Z:AB,2,0)</f>
        <v>1.43708935233687E-2</v>
      </c>
      <c r="AM68" s="30">
        <f>CurrentMtgRatesDataTable8711121314[[#This Row],[FHA]]+0.5*CurrentMtgRatesDataTable8711121314[[#This Row],[Conventional]]</f>
        <v>9.4212121236666196E-2</v>
      </c>
      <c r="AN68" s="30">
        <f>2*CurrentMtgRatesDataTable8711121314[[#This Row],[FHA]]</f>
        <v>0.174790245901918</v>
      </c>
      <c r="AO68" s="11">
        <f>VLOOKUP(YEAR(CurrentMtgRatesDataTable8711121314[[#This Row],[asofdate]]),OriginationVolume!$A:$N,8,FALSE)</f>
        <v>0.67052023121387283</v>
      </c>
      <c r="AP68" s="11">
        <f>VLOOKUP(YEAR(CurrentMtgRatesDataTable8711121314[[#This Row],[asofdate]]),OriginationVolume!$A:$N,9,FALSE)</f>
        <v>5.2926300578034685E-2</v>
      </c>
      <c r="AQ68" s="11">
        <f>VLOOKUP(YEAR(CurrentMtgRatesDataTable8711121314[[#This Row],[asofdate]]),OriginationVolume!$A:$N,10,FALSE)</f>
        <v>0.15877890173410406</v>
      </c>
      <c r="AR68" s="11">
        <f>VLOOKUP(YEAR(CurrentMtgRatesDataTable8711121314[[#This Row],[asofdate]]),OriginationVolume!$A:$N,11,FALSE)</f>
        <v>7.0809248554913301E-2</v>
      </c>
      <c r="AS68" s="11">
        <f>VLOOKUP(YEAR(CurrentMtgRatesDataTable8711121314[[#This Row],[asofdate]]),OriginationVolume!$A:$N,12,FALSE)</f>
        <v>3.0346820809248554E-2</v>
      </c>
      <c r="AT68" s="11">
        <f>VLOOKUP(YEAR(CurrentMtgRatesDataTable8711121314[[#This Row],[asofdate]]),OriginationVolume!$A:$N,13,FALSE)</f>
        <v>1.6618497109826588E-2</v>
      </c>
      <c r="AU6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AW68" s="7" t="s">
        <v>97</v>
      </c>
      <c r="AX68" s="10">
        <v>288286000</v>
      </c>
      <c r="AY68" s="31"/>
      <c r="BA68" s="7" t="s">
        <v>97</v>
      </c>
      <c r="BB68" s="10">
        <v>42329000</v>
      </c>
      <c r="BC68" s="31"/>
      <c r="BE68" s="7" t="s">
        <v>97</v>
      </c>
      <c r="BF68" s="10">
        <v>14884989554.790001</v>
      </c>
      <c r="BG68" s="34"/>
      <c r="BI68" s="7" t="s">
        <v>97</v>
      </c>
      <c r="BJ68" s="10">
        <v>14554374554.790001</v>
      </c>
      <c r="BK68" s="34" t="str">
        <f>YEAR(CurrentMtgRatesDataTable871112131417[[#This Row],[asofdate]])&amp;"-"&amp;MONTH(CurrentMtgRatesDataTable871112131417[[#This Row],[asofdate]])</f>
        <v>2008-8</v>
      </c>
      <c r="BL68" s="34">
        <f>CurrentMtgRatesDataTable871112131417[[#This Row],[SeriesNumValue]]</f>
        <v>14554374554.790001</v>
      </c>
      <c r="BM68" s="34">
        <f>VLOOKUP(CurrentMtgRatesDataTable871112131417[[#This Row],[asofdate]],AW:AX,2,0)</f>
        <v>288286000</v>
      </c>
      <c r="BN68" s="30">
        <f>IF(VLOOKUP(CurrentMtgRatesDataTable871112131417[[#This Row],[asofdate]],BA:BB,2,0)&lt;&gt;0,VLOOKUP(CurrentMtgRatesDataTable871112131417[[#This Row],[asofdate]],BA:BB,2,0),BN67)</f>
        <v>42329000</v>
      </c>
      <c r="BO68" s="30">
        <f>VLOOKUP(CurrentMtgRatesDataTable871112131417[[#This Row],[asofdate]],BE:BF,2,0)</f>
        <v>14884989554.790001</v>
      </c>
    </row>
    <row r="69" spans="1:67" s="6" customFormat="1">
      <c r="A69" s="7" t="s">
        <v>98</v>
      </c>
      <c r="B69" s="10">
        <v>1.33914715739996E-2</v>
      </c>
      <c r="C69" s="10" t="str">
        <f>YEAR(CurrentMtgRatesDataTable8[[#This Row],[asofdate]])&amp;"-"&amp;MONTH(CurrentMtgRatesDataTable8[[#This Row],[asofdate]])</f>
        <v>2008-9</v>
      </c>
      <c r="D69" s="6">
        <f>((CurrentMtgRatesDataTable8[[#This Row],[SeriesNumValue]]-$D$1)/$D$1+1)*100</f>
        <v>89.276477159997341</v>
      </c>
      <c r="I69" s="7" t="s">
        <v>116</v>
      </c>
      <c r="J69" s="10">
        <v>1.06986375276572E-2</v>
      </c>
      <c r="K69" s="10" t="str">
        <f>YEAR(CurrentMtgRatesDataTable89[[#This Row],[asofdate]])&amp;"-"&amp;MONTH(CurrentMtgRatesDataTable89[[#This Row],[asofdate]])</f>
        <v>2010-3</v>
      </c>
      <c r="L69" s="6">
        <f>((CurrentMtgRatesDataTable89[[#This Row],[SeriesNumValue]]-$D$1)/$D$1+1)*100</f>
        <v>71.324250184381327</v>
      </c>
      <c r="M69" s="6">
        <f>CurrentMtgRatesDataTable89[[#This Row],[Index]]-L70</f>
        <v>1.4605171767433376</v>
      </c>
      <c r="P69" s="7" t="s">
        <v>98</v>
      </c>
      <c r="Q69" s="10">
        <v>8.9057747301929793E-2</v>
      </c>
      <c r="R69" s="31">
        <f>((CurrentMtgRatesDataTable8711[[#This Row],[SeriesNumValue]]-$D$1)/$D$1+1)*100</f>
        <v>593.71831534619866</v>
      </c>
      <c r="S69" s="31"/>
      <c r="U69" s="7" t="s">
        <v>98</v>
      </c>
      <c r="V69" s="10">
        <v>7.8305822025021996E-2</v>
      </c>
      <c r="W69" s="31">
        <f>((CurrentMtgRatesDataTable871112[[#This Row],[SeriesNumValue]]-$D$1)/$D$1+1)*100</f>
        <v>522.03881350014672</v>
      </c>
      <c r="X69" s="31"/>
      <c r="Z69" s="7" t="s">
        <v>98</v>
      </c>
      <c r="AA69" s="10">
        <v>1.45283586044491E-2</v>
      </c>
      <c r="AB69" s="34">
        <f>((CurrentMtgRatesDataTable87111213[[#This Row],[SeriesNumValue]]-$D$1)/$D$1+1)*100</f>
        <v>96.855724029660678</v>
      </c>
      <c r="AC69" s="34"/>
      <c r="AE69" s="7" t="s">
        <v>98</v>
      </c>
      <c r="AF69" s="10">
        <v>1.35929357011554E-2</v>
      </c>
      <c r="AG69" s="34">
        <f>((CurrentMtgRatesDataTable8711121314[[#This Row],[SeriesNumValue]]-$D$1)/$D$1+1)*100</f>
        <v>90.619571341035993</v>
      </c>
      <c r="AH69" s="34" t="str">
        <f>YEAR(CurrentMtgRatesDataTable8711121314[[#This Row],[asofdate]])&amp;"-"&amp;MONTH(CurrentMtgRatesDataTable8711121314[[#This Row],[asofdate]])</f>
        <v>2008-9</v>
      </c>
      <c r="AI69" s="34">
        <f>CurrentMtgRatesDataTable8711121314[[#This Row],[SeriesNumValue]]</f>
        <v>1.35929357011554E-2</v>
      </c>
      <c r="AJ69" s="34">
        <f>VLOOKUP(CurrentMtgRatesDataTable8711121314[[#This Row],[asofdate]],P:R,2,0)</f>
        <v>8.9057747301929793E-2</v>
      </c>
      <c r="AK69" s="30">
        <f>IF(VLOOKUP(CurrentMtgRatesDataTable8711121314[[#This Row],[asofdate]],U:W,2,0)&lt;&gt;0,VLOOKUP(CurrentMtgRatesDataTable8711121314[[#This Row],[asofdate]],U:W,2,0),AK68)</f>
        <v>7.8305822025021996E-2</v>
      </c>
      <c r="AL69" s="30">
        <f>VLOOKUP(CurrentMtgRatesDataTable8711121314[[#This Row],[asofdate]],Z:AB,2,0)</f>
        <v>1.45283586044491E-2</v>
      </c>
      <c r="AM69" s="30">
        <f>CurrentMtgRatesDataTable8711121314[[#This Row],[FHA]]+0.5*CurrentMtgRatesDataTable8711121314[[#This Row],[Conventional]]</f>
        <v>9.5854215152507499E-2</v>
      </c>
      <c r="AN69" s="30">
        <f>2*CurrentMtgRatesDataTable8711121314[[#This Row],[FHA]]</f>
        <v>0.17811549460385959</v>
      </c>
      <c r="AO69" s="11">
        <f>VLOOKUP(YEAR(CurrentMtgRatesDataTable8711121314[[#This Row],[asofdate]]),OriginationVolume!$A:$N,8,FALSE)</f>
        <v>0.67052023121387283</v>
      </c>
      <c r="AP69" s="11">
        <f>VLOOKUP(YEAR(CurrentMtgRatesDataTable8711121314[[#This Row],[asofdate]]),OriginationVolume!$A:$N,9,FALSE)</f>
        <v>5.2926300578034685E-2</v>
      </c>
      <c r="AQ69" s="11">
        <f>VLOOKUP(YEAR(CurrentMtgRatesDataTable8711121314[[#This Row],[asofdate]]),OriginationVolume!$A:$N,10,FALSE)</f>
        <v>0.15877890173410406</v>
      </c>
      <c r="AR69" s="11">
        <f>VLOOKUP(YEAR(CurrentMtgRatesDataTable8711121314[[#This Row],[asofdate]]),OriginationVolume!$A:$N,11,FALSE)</f>
        <v>7.0809248554913301E-2</v>
      </c>
      <c r="AS69" s="11">
        <f>VLOOKUP(YEAR(CurrentMtgRatesDataTable8711121314[[#This Row],[asofdate]]),OriginationVolume!$A:$N,12,FALSE)</f>
        <v>3.0346820809248554E-2</v>
      </c>
      <c r="AT69" s="11">
        <f>VLOOKUP(YEAR(CurrentMtgRatesDataTable8711121314[[#This Row],[asofdate]]),OriginationVolume!$A:$N,13,FALSE)</f>
        <v>1.6618497109826588E-2</v>
      </c>
      <c r="AU6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AW69" s="7" t="s">
        <v>98</v>
      </c>
      <c r="AX69" s="10">
        <v>303910000</v>
      </c>
      <c r="AY69" s="31"/>
      <c r="BA69" s="7" t="s">
        <v>98</v>
      </c>
      <c r="BB69" s="10">
        <v>31451000</v>
      </c>
      <c r="BC69" s="31"/>
      <c r="BE69" s="7" t="s">
        <v>98</v>
      </c>
      <c r="BF69" s="10">
        <v>12653045190.209999</v>
      </c>
      <c r="BG69" s="34"/>
      <c r="BI69" s="7" t="s">
        <v>98</v>
      </c>
      <c r="BJ69" s="10">
        <v>12317684190.209999</v>
      </c>
      <c r="BK69" s="34" t="str">
        <f>YEAR(CurrentMtgRatesDataTable871112131417[[#This Row],[asofdate]])&amp;"-"&amp;MONTH(CurrentMtgRatesDataTable871112131417[[#This Row],[asofdate]])</f>
        <v>2008-9</v>
      </c>
      <c r="BL69" s="34">
        <f>CurrentMtgRatesDataTable871112131417[[#This Row],[SeriesNumValue]]</f>
        <v>12317684190.209999</v>
      </c>
      <c r="BM69" s="34">
        <f>VLOOKUP(CurrentMtgRatesDataTable871112131417[[#This Row],[asofdate]],AW:AX,2,0)</f>
        <v>303910000</v>
      </c>
      <c r="BN69" s="30">
        <f>IF(VLOOKUP(CurrentMtgRatesDataTable871112131417[[#This Row],[asofdate]],BA:BB,2,0)&lt;&gt;0,VLOOKUP(CurrentMtgRatesDataTable871112131417[[#This Row],[asofdate]],BA:BB,2,0),BN68)</f>
        <v>31451000</v>
      </c>
      <c r="BO69" s="30">
        <f>VLOOKUP(CurrentMtgRatesDataTable871112131417[[#This Row],[asofdate]],BE:BF,2,0)</f>
        <v>12653045190.209999</v>
      </c>
    </row>
    <row r="70" spans="1:67" s="6" customFormat="1">
      <c r="A70" s="7" t="s">
        <v>99</v>
      </c>
      <c r="B70" s="10">
        <v>1.61402658354628E-2</v>
      </c>
      <c r="C70" s="10" t="str">
        <f>YEAR(CurrentMtgRatesDataTable8[[#This Row],[asofdate]])&amp;"-"&amp;MONTH(CurrentMtgRatesDataTable8[[#This Row],[asofdate]])</f>
        <v>2008-10</v>
      </c>
      <c r="D70" s="6">
        <f>((CurrentMtgRatesDataTable8[[#This Row],[SeriesNumValue]]-$D$1)/$D$1+1)*100</f>
        <v>107.60177223641867</v>
      </c>
      <c r="I70" s="7" t="s">
        <v>115</v>
      </c>
      <c r="J70" s="10">
        <v>1.04795599511457E-2</v>
      </c>
      <c r="K70" s="10" t="str">
        <f>YEAR(CurrentMtgRatesDataTable89[[#This Row],[asofdate]])&amp;"-"&amp;MONTH(CurrentMtgRatesDataTable89[[#This Row],[asofdate]])</f>
        <v>2010-2</v>
      </c>
      <c r="L70" s="6">
        <f>((CurrentMtgRatesDataTable89[[#This Row],[SeriesNumValue]]-$D$1)/$D$1+1)*100</f>
        <v>69.86373300763799</v>
      </c>
      <c r="M70" s="6">
        <f>CurrentMtgRatesDataTable89[[#This Row],[Index]]-L71</f>
        <v>-6.9153381097853526</v>
      </c>
      <c r="P70" s="7" t="s">
        <v>99</v>
      </c>
      <c r="Q70" s="10">
        <v>8.9562512546187495E-2</v>
      </c>
      <c r="R70" s="31">
        <f>((CurrentMtgRatesDataTable8711[[#This Row],[SeriesNumValue]]-$D$1)/$D$1+1)*100</f>
        <v>597.08341697458332</v>
      </c>
      <c r="S70" s="31"/>
      <c r="U70" s="7" t="s">
        <v>99</v>
      </c>
      <c r="V70" s="10">
        <v>7.4692912532645095E-2</v>
      </c>
      <c r="W70" s="31">
        <f>((CurrentMtgRatesDataTable871112[[#This Row],[SeriesNumValue]]-$D$1)/$D$1+1)*100</f>
        <v>497.95275021763399</v>
      </c>
      <c r="X70" s="31"/>
      <c r="Z70" s="7" t="s">
        <v>99</v>
      </c>
      <c r="AA70" s="10">
        <v>1.52144458053101E-2</v>
      </c>
      <c r="AB70" s="34">
        <f>((CurrentMtgRatesDataTable87111213[[#This Row],[SeriesNumValue]]-$D$1)/$D$1+1)*100</f>
        <v>101.42963870206734</v>
      </c>
      <c r="AC70" s="34"/>
      <c r="AE70" s="7" t="s">
        <v>99</v>
      </c>
      <c r="AF70" s="10">
        <v>1.4091668990269699E-2</v>
      </c>
      <c r="AG70" s="34">
        <f>((CurrentMtgRatesDataTable8711121314[[#This Row],[SeriesNumValue]]-$D$1)/$D$1+1)*100</f>
        <v>93.944459935131334</v>
      </c>
      <c r="AH70" s="34" t="str">
        <f>YEAR(CurrentMtgRatesDataTable8711121314[[#This Row],[asofdate]])&amp;"-"&amp;MONTH(CurrentMtgRatesDataTable8711121314[[#This Row],[asofdate]])</f>
        <v>2008-10</v>
      </c>
      <c r="AI70" s="34">
        <f>CurrentMtgRatesDataTable8711121314[[#This Row],[SeriesNumValue]]</f>
        <v>1.4091668990269699E-2</v>
      </c>
      <c r="AJ70" s="34">
        <f>VLOOKUP(CurrentMtgRatesDataTable8711121314[[#This Row],[asofdate]],P:R,2,0)</f>
        <v>8.9562512546187495E-2</v>
      </c>
      <c r="AK70" s="30">
        <f>IF(VLOOKUP(CurrentMtgRatesDataTable8711121314[[#This Row],[asofdate]],U:W,2,0)&lt;&gt;0,VLOOKUP(CurrentMtgRatesDataTable8711121314[[#This Row],[asofdate]],U:W,2,0),AK69)</f>
        <v>7.4692912532645095E-2</v>
      </c>
      <c r="AL70" s="30">
        <f>VLOOKUP(CurrentMtgRatesDataTable8711121314[[#This Row],[asofdate]],Z:AB,2,0)</f>
        <v>1.52144458053101E-2</v>
      </c>
      <c r="AM70" s="30">
        <f>CurrentMtgRatesDataTable8711121314[[#This Row],[FHA]]+0.5*CurrentMtgRatesDataTable8711121314[[#This Row],[Conventional]]</f>
        <v>9.6608347041322346E-2</v>
      </c>
      <c r="AN70" s="30">
        <f>2*CurrentMtgRatesDataTable8711121314[[#This Row],[FHA]]</f>
        <v>0.17912502509237499</v>
      </c>
      <c r="AO70" s="11">
        <f>VLOOKUP(YEAR(CurrentMtgRatesDataTable8711121314[[#This Row],[asofdate]]),OriginationVolume!$A:$N,8,FALSE)</f>
        <v>0.67052023121387283</v>
      </c>
      <c r="AP70" s="11">
        <f>VLOOKUP(YEAR(CurrentMtgRatesDataTable8711121314[[#This Row],[asofdate]]),OriginationVolume!$A:$N,9,FALSE)</f>
        <v>5.2926300578034685E-2</v>
      </c>
      <c r="AQ70" s="11">
        <f>VLOOKUP(YEAR(CurrentMtgRatesDataTable8711121314[[#This Row],[asofdate]]),OriginationVolume!$A:$N,10,FALSE)</f>
        <v>0.15877890173410406</v>
      </c>
      <c r="AR70" s="11">
        <f>VLOOKUP(YEAR(CurrentMtgRatesDataTable8711121314[[#This Row],[asofdate]]),OriginationVolume!$A:$N,11,FALSE)</f>
        <v>7.0809248554913301E-2</v>
      </c>
      <c r="AS70" s="11">
        <f>VLOOKUP(YEAR(CurrentMtgRatesDataTable8711121314[[#This Row],[asofdate]]),OriginationVolume!$A:$N,12,FALSE)</f>
        <v>3.0346820809248554E-2</v>
      </c>
      <c r="AT70" s="11">
        <f>VLOOKUP(YEAR(CurrentMtgRatesDataTable8711121314[[#This Row],[asofdate]]),OriginationVolume!$A:$N,13,FALSE)</f>
        <v>1.6618497109826588E-2</v>
      </c>
      <c r="AU7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AW70" s="7" t="s">
        <v>99</v>
      </c>
      <c r="AX70" s="10">
        <v>271159000</v>
      </c>
      <c r="AY70" s="31"/>
      <c r="BA70" s="7" t="s">
        <v>99</v>
      </c>
      <c r="BB70" s="10">
        <v>27244000</v>
      </c>
      <c r="BC70" s="31"/>
      <c r="BE70" s="7" t="s">
        <v>99</v>
      </c>
      <c r="BF70" s="10">
        <v>9130461207.7099991</v>
      </c>
      <c r="BG70" s="34"/>
      <c r="BI70" s="7" t="s">
        <v>99</v>
      </c>
      <c r="BJ70" s="10">
        <v>8832058207.7099991</v>
      </c>
      <c r="BK70" s="34" t="str">
        <f>YEAR(CurrentMtgRatesDataTable871112131417[[#This Row],[asofdate]])&amp;"-"&amp;MONTH(CurrentMtgRatesDataTable871112131417[[#This Row],[asofdate]])</f>
        <v>2008-10</v>
      </c>
      <c r="BL70" s="34">
        <f>CurrentMtgRatesDataTable871112131417[[#This Row],[SeriesNumValue]]</f>
        <v>8832058207.7099991</v>
      </c>
      <c r="BM70" s="34">
        <f>VLOOKUP(CurrentMtgRatesDataTable871112131417[[#This Row],[asofdate]],AW:AX,2,0)</f>
        <v>271159000</v>
      </c>
      <c r="BN70" s="30">
        <f>IF(VLOOKUP(CurrentMtgRatesDataTable871112131417[[#This Row],[asofdate]],BA:BB,2,0)&lt;&gt;0,VLOOKUP(CurrentMtgRatesDataTable871112131417[[#This Row],[asofdate]],BA:BB,2,0),BN69)</f>
        <v>27244000</v>
      </c>
      <c r="BO70" s="30">
        <f>VLOOKUP(CurrentMtgRatesDataTable871112131417[[#This Row],[asofdate]],BE:BF,2,0)</f>
        <v>9130461207.7099991</v>
      </c>
    </row>
    <row r="71" spans="1:67" s="6" customFormat="1">
      <c r="A71" s="7" t="s">
        <v>100</v>
      </c>
      <c r="B71" s="10">
        <v>1.4069144322326799E-2</v>
      </c>
      <c r="C71" s="10" t="str">
        <f>YEAR(CurrentMtgRatesDataTable8[[#This Row],[asofdate]])&amp;"-"&amp;MONTH(CurrentMtgRatesDataTable8[[#This Row],[asofdate]])</f>
        <v>2008-11</v>
      </c>
      <c r="D71" s="6">
        <f>((CurrentMtgRatesDataTable8[[#This Row],[SeriesNumValue]]-$D$1)/$D$1+1)*100</f>
        <v>93.794295482178669</v>
      </c>
      <c r="I71" s="7" t="s">
        <v>114</v>
      </c>
      <c r="J71" s="10">
        <v>1.1516860667613499E-2</v>
      </c>
      <c r="K71" s="10" t="str">
        <f>YEAR(CurrentMtgRatesDataTable89[[#This Row],[asofdate]])&amp;"-"&amp;MONTH(CurrentMtgRatesDataTable89[[#This Row],[asofdate]])</f>
        <v>2010-1</v>
      </c>
      <c r="L71" s="6">
        <f>((CurrentMtgRatesDataTable89[[#This Row],[SeriesNumValue]]-$D$1)/$D$1+1)*100</f>
        <v>76.779071117423342</v>
      </c>
      <c r="M71" s="6">
        <f>CurrentMtgRatesDataTable89[[#This Row],[Index]]-L72</f>
        <v>-0.11923724619131804</v>
      </c>
      <c r="P71" s="7" t="s">
        <v>100</v>
      </c>
      <c r="Q71" s="10">
        <v>0.103351642697491</v>
      </c>
      <c r="R71" s="31">
        <f>((CurrentMtgRatesDataTable8711[[#This Row],[SeriesNumValue]]-$D$1)/$D$1+1)*100</f>
        <v>689.01095131660668</v>
      </c>
      <c r="S71" s="31"/>
      <c r="U71" s="7" t="s">
        <v>100</v>
      </c>
      <c r="V71" s="10">
        <v>0.103441437654216</v>
      </c>
      <c r="W71" s="31">
        <f>((CurrentMtgRatesDataTable871112[[#This Row],[SeriesNumValue]]-$D$1)/$D$1+1)*100</f>
        <v>689.60958436144006</v>
      </c>
      <c r="X71" s="31"/>
      <c r="Z71" s="7" t="s">
        <v>100</v>
      </c>
      <c r="AA71" s="10">
        <v>1.59643648094842E-2</v>
      </c>
      <c r="AB71" s="34">
        <f>((CurrentMtgRatesDataTable87111213[[#This Row],[SeriesNumValue]]-$D$1)/$D$1+1)*100</f>
        <v>106.42909872989468</v>
      </c>
      <c r="AC71" s="34"/>
      <c r="AE71" s="7" t="s">
        <v>100</v>
      </c>
      <c r="AF71" s="10">
        <v>1.4663344961973499E-2</v>
      </c>
      <c r="AG71" s="34">
        <f>((CurrentMtgRatesDataTable8711121314[[#This Row],[SeriesNumValue]]-$D$1)/$D$1+1)*100</f>
        <v>97.75563307982334</v>
      </c>
      <c r="AH71" s="34" t="str">
        <f>YEAR(CurrentMtgRatesDataTable8711121314[[#This Row],[asofdate]])&amp;"-"&amp;MONTH(CurrentMtgRatesDataTable8711121314[[#This Row],[asofdate]])</f>
        <v>2008-11</v>
      </c>
      <c r="AI71" s="34">
        <f>CurrentMtgRatesDataTable8711121314[[#This Row],[SeriesNumValue]]</f>
        <v>1.4663344961973499E-2</v>
      </c>
      <c r="AJ71" s="34">
        <f>VLOOKUP(CurrentMtgRatesDataTable8711121314[[#This Row],[asofdate]],P:R,2,0)</f>
        <v>0.103351642697491</v>
      </c>
      <c r="AK71" s="30">
        <f>IF(VLOOKUP(CurrentMtgRatesDataTable8711121314[[#This Row],[asofdate]],U:W,2,0)&lt;&gt;0,VLOOKUP(CurrentMtgRatesDataTable8711121314[[#This Row],[asofdate]],U:W,2,0),AK70)</f>
        <v>0.103441437654216</v>
      </c>
      <c r="AL71" s="30">
        <f>VLOOKUP(CurrentMtgRatesDataTable8711121314[[#This Row],[asofdate]],Z:AB,2,0)</f>
        <v>1.59643648094842E-2</v>
      </c>
      <c r="AM71" s="30">
        <f>CurrentMtgRatesDataTable8711121314[[#This Row],[FHA]]+0.5*CurrentMtgRatesDataTable8711121314[[#This Row],[Conventional]]</f>
        <v>0.11068331517847775</v>
      </c>
      <c r="AN71" s="30">
        <f>2*CurrentMtgRatesDataTable8711121314[[#This Row],[FHA]]</f>
        <v>0.20670328539498201</v>
      </c>
      <c r="AO71" s="11">
        <f>VLOOKUP(YEAR(CurrentMtgRatesDataTable8711121314[[#This Row],[asofdate]]),OriginationVolume!$A:$N,8,FALSE)</f>
        <v>0.67052023121387283</v>
      </c>
      <c r="AP71" s="11">
        <f>VLOOKUP(YEAR(CurrentMtgRatesDataTable8711121314[[#This Row],[asofdate]]),OriginationVolume!$A:$N,9,FALSE)</f>
        <v>5.2926300578034685E-2</v>
      </c>
      <c r="AQ71" s="11">
        <f>VLOOKUP(YEAR(CurrentMtgRatesDataTable8711121314[[#This Row],[asofdate]]),OriginationVolume!$A:$N,10,FALSE)</f>
        <v>0.15877890173410406</v>
      </c>
      <c r="AR71" s="11">
        <f>VLOOKUP(YEAR(CurrentMtgRatesDataTable8711121314[[#This Row],[asofdate]]),OriginationVolume!$A:$N,11,FALSE)</f>
        <v>7.0809248554913301E-2</v>
      </c>
      <c r="AS71" s="11">
        <f>VLOOKUP(YEAR(CurrentMtgRatesDataTable8711121314[[#This Row],[asofdate]]),OriginationVolume!$A:$N,12,FALSE)</f>
        <v>3.0346820809248554E-2</v>
      </c>
      <c r="AT71" s="11">
        <f>VLOOKUP(YEAR(CurrentMtgRatesDataTable8711121314[[#This Row],[asofdate]]),OriginationVolume!$A:$N,13,FALSE)</f>
        <v>1.6618497109826588E-2</v>
      </c>
      <c r="AU7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AW71" s="7" t="s">
        <v>100</v>
      </c>
      <c r="AX71" s="10">
        <v>314563000</v>
      </c>
      <c r="AY71" s="31"/>
      <c r="BA71" s="7" t="s">
        <v>100</v>
      </c>
      <c r="BB71" s="10">
        <v>18615000</v>
      </c>
      <c r="BC71" s="31"/>
      <c r="BE71" s="7" t="s">
        <v>100</v>
      </c>
      <c r="BF71" s="10">
        <v>9734828322.3099995</v>
      </c>
      <c r="BG71" s="34"/>
      <c r="BI71" s="7" t="s">
        <v>100</v>
      </c>
      <c r="BJ71" s="10">
        <v>9401650322.3099995</v>
      </c>
      <c r="BK71" s="34" t="str">
        <f>YEAR(CurrentMtgRatesDataTable871112131417[[#This Row],[asofdate]])&amp;"-"&amp;MONTH(CurrentMtgRatesDataTable871112131417[[#This Row],[asofdate]])</f>
        <v>2008-11</v>
      </c>
      <c r="BL71" s="34">
        <f>CurrentMtgRatesDataTable871112131417[[#This Row],[SeriesNumValue]]</f>
        <v>9401650322.3099995</v>
      </c>
      <c r="BM71" s="34">
        <f>VLOOKUP(CurrentMtgRatesDataTable871112131417[[#This Row],[asofdate]],AW:AX,2,0)</f>
        <v>314563000</v>
      </c>
      <c r="BN71" s="30">
        <f>IF(VLOOKUP(CurrentMtgRatesDataTable871112131417[[#This Row],[asofdate]],BA:BB,2,0)&lt;&gt;0,VLOOKUP(CurrentMtgRatesDataTable871112131417[[#This Row],[asofdate]],BA:BB,2,0),BN70)</f>
        <v>18615000</v>
      </c>
      <c r="BO71" s="30">
        <f>VLOOKUP(CurrentMtgRatesDataTable871112131417[[#This Row],[asofdate]],BE:BF,2,0)</f>
        <v>9734828322.3099995</v>
      </c>
    </row>
    <row r="72" spans="1:67" s="6" customFormat="1">
      <c r="A72" s="7" t="s">
        <v>101</v>
      </c>
      <c r="B72" s="10">
        <v>1.3200948223923099E-2</v>
      </c>
      <c r="C72" s="10" t="str">
        <f>YEAR(CurrentMtgRatesDataTable8[[#This Row],[asofdate]])&amp;"-"&amp;MONTH(CurrentMtgRatesDataTable8[[#This Row],[asofdate]])</f>
        <v>2008-12</v>
      </c>
      <c r="D72" s="6">
        <f>((CurrentMtgRatesDataTable8[[#This Row],[SeriesNumValue]]-$D$1)/$D$1+1)*100</f>
        <v>88.006321492820661</v>
      </c>
      <c r="I72" s="7" t="s">
        <v>113</v>
      </c>
      <c r="J72" s="10">
        <v>1.15347462545422E-2</v>
      </c>
      <c r="K72" s="10" t="str">
        <f>YEAR(CurrentMtgRatesDataTable89[[#This Row],[asofdate]])&amp;"-"&amp;MONTH(CurrentMtgRatesDataTable89[[#This Row],[asofdate]])</f>
        <v>2009-12</v>
      </c>
      <c r="L72" s="6">
        <f>((CurrentMtgRatesDataTable89[[#This Row],[SeriesNumValue]]-$D$1)/$D$1+1)*100</f>
        <v>76.89830836361466</v>
      </c>
      <c r="M72" s="6">
        <f>CurrentMtgRatesDataTable89[[#This Row],[Index]]-L73</f>
        <v>-3.2726461467873378</v>
      </c>
      <c r="P72" s="7" t="s">
        <v>101</v>
      </c>
      <c r="Q72" s="10">
        <v>8.3829992538756004E-2</v>
      </c>
      <c r="R72" s="31">
        <f>((CurrentMtgRatesDataTable8711[[#This Row],[SeriesNumValue]]-$D$1)/$D$1+1)*100</f>
        <v>558.86661692504003</v>
      </c>
      <c r="S72" s="31"/>
      <c r="U72" s="7" t="s">
        <v>101</v>
      </c>
      <c r="V72" s="10">
        <v>7.9089503798013702E-2</v>
      </c>
      <c r="W72" s="31">
        <f>((CurrentMtgRatesDataTable871112[[#This Row],[SeriesNumValue]]-$D$1)/$D$1+1)*100</f>
        <v>527.26335865342469</v>
      </c>
      <c r="X72" s="31"/>
      <c r="Z72" s="7" t="s">
        <v>101</v>
      </c>
      <c r="AA72" s="10">
        <v>1.37691676331966E-2</v>
      </c>
      <c r="AB72" s="34">
        <f>((CurrentMtgRatesDataTable87111213[[#This Row],[SeriesNumValue]]-$D$1)/$D$1+1)*100</f>
        <v>91.794450887977334</v>
      </c>
      <c r="AC72" s="34"/>
      <c r="AE72" s="7" t="s">
        <v>101</v>
      </c>
      <c r="AF72" s="10">
        <v>1.2793965938819299E-2</v>
      </c>
      <c r="AG72" s="34">
        <f>((CurrentMtgRatesDataTable8711121314[[#This Row],[SeriesNumValue]]-$D$1)/$D$1+1)*100</f>
        <v>85.293106258795333</v>
      </c>
      <c r="AH72" s="34" t="str">
        <f>YEAR(CurrentMtgRatesDataTable8711121314[[#This Row],[asofdate]])&amp;"-"&amp;MONTH(CurrentMtgRatesDataTable8711121314[[#This Row],[asofdate]])</f>
        <v>2008-12</v>
      </c>
      <c r="AI72" s="34">
        <f>CurrentMtgRatesDataTable8711121314[[#This Row],[SeriesNumValue]]</f>
        <v>1.2793965938819299E-2</v>
      </c>
      <c r="AJ72" s="34">
        <f>VLOOKUP(CurrentMtgRatesDataTable8711121314[[#This Row],[asofdate]],P:R,2,0)</f>
        <v>8.3829992538756004E-2</v>
      </c>
      <c r="AK72" s="30">
        <f>IF(VLOOKUP(CurrentMtgRatesDataTable8711121314[[#This Row],[asofdate]],U:W,2,0)&lt;&gt;0,VLOOKUP(CurrentMtgRatesDataTable8711121314[[#This Row],[asofdate]],U:W,2,0),AK71)</f>
        <v>7.9089503798013702E-2</v>
      </c>
      <c r="AL72" s="30">
        <f>VLOOKUP(CurrentMtgRatesDataTable8711121314[[#This Row],[asofdate]],Z:AB,2,0)</f>
        <v>1.37691676331966E-2</v>
      </c>
      <c r="AM72" s="30">
        <f>CurrentMtgRatesDataTable8711121314[[#This Row],[FHA]]+0.5*CurrentMtgRatesDataTable8711121314[[#This Row],[Conventional]]</f>
        <v>9.0226975508165649E-2</v>
      </c>
      <c r="AN72" s="30">
        <f>2*CurrentMtgRatesDataTable8711121314[[#This Row],[FHA]]</f>
        <v>0.16765998507751201</v>
      </c>
      <c r="AO72" s="11">
        <f>VLOOKUP(YEAR(CurrentMtgRatesDataTable8711121314[[#This Row],[asofdate]]),OriginationVolume!$A:$N,8,FALSE)</f>
        <v>0.67052023121387283</v>
      </c>
      <c r="AP72" s="11">
        <f>VLOOKUP(YEAR(CurrentMtgRatesDataTable8711121314[[#This Row],[asofdate]]),OriginationVolume!$A:$N,9,FALSE)</f>
        <v>5.2926300578034685E-2</v>
      </c>
      <c r="AQ72" s="11">
        <f>VLOOKUP(YEAR(CurrentMtgRatesDataTable8711121314[[#This Row],[asofdate]]),OriginationVolume!$A:$N,10,FALSE)</f>
        <v>0.15877890173410406</v>
      </c>
      <c r="AR72" s="11">
        <f>VLOOKUP(YEAR(CurrentMtgRatesDataTable8711121314[[#This Row],[asofdate]]),OriginationVolume!$A:$N,11,FALSE)</f>
        <v>7.0809248554913301E-2</v>
      </c>
      <c r="AS72" s="11">
        <f>VLOOKUP(YEAR(CurrentMtgRatesDataTable8711121314[[#This Row],[asofdate]]),OriginationVolume!$A:$N,12,FALSE)</f>
        <v>3.0346820809248554E-2</v>
      </c>
      <c r="AT72" s="11">
        <f>VLOOKUP(YEAR(CurrentMtgRatesDataTable8711121314[[#This Row],[asofdate]]),OriginationVolume!$A:$N,13,FALSE)</f>
        <v>1.6618497109826588E-2</v>
      </c>
      <c r="AU7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AW72" s="7" t="s">
        <v>101</v>
      </c>
      <c r="AX72" s="10">
        <v>275184000</v>
      </c>
      <c r="AY72" s="31"/>
      <c r="BA72" s="7" t="s">
        <v>101</v>
      </c>
      <c r="BB72" s="10">
        <v>32780000</v>
      </c>
      <c r="BC72" s="31"/>
      <c r="BE72" s="7" t="s">
        <v>101</v>
      </c>
      <c r="BF72" s="10">
        <v>9613885455.2399998</v>
      </c>
      <c r="BG72" s="34"/>
      <c r="BI72" s="7" t="s">
        <v>101</v>
      </c>
      <c r="BJ72" s="10">
        <v>9305921455.2399998</v>
      </c>
      <c r="BK72" s="34" t="str">
        <f>YEAR(CurrentMtgRatesDataTable871112131417[[#This Row],[asofdate]])&amp;"-"&amp;MONTH(CurrentMtgRatesDataTable871112131417[[#This Row],[asofdate]])</f>
        <v>2008-12</v>
      </c>
      <c r="BL72" s="34">
        <f>CurrentMtgRatesDataTable871112131417[[#This Row],[SeriesNumValue]]</f>
        <v>9305921455.2399998</v>
      </c>
      <c r="BM72" s="34">
        <f>VLOOKUP(CurrentMtgRatesDataTable871112131417[[#This Row],[asofdate]],AW:AX,2,0)</f>
        <v>275184000</v>
      </c>
      <c r="BN72" s="30">
        <f>IF(VLOOKUP(CurrentMtgRatesDataTable871112131417[[#This Row],[asofdate]],BA:BB,2,0)&lt;&gt;0,VLOOKUP(CurrentMtgRatesDataTable871112131417[[#This Row],[asofdate]],BA:BB,2,0),BN71)</f>
        <v>32780000</v>
      </c>
      <c r="BO72" s="30">
        <f>VLOOKUP(CurrentMtgRatesDataTable871112131417[[#This Row],[asofdate]],BE:BF,2,0)</f>
        <v>9613885455.2399998</v>
      </c>
    </row>
    <row r="73" spans="1:67" s="6" customFormat="1">
      <c r="A73" s="7" t="s">
        <v>102</v>
      </c>
      <c r="B73" s="10">
        <v>1.74388248592952E-2</v>
      </c>
      <c r="C73" s="10" t="str">
        <f>YEAR(CurrentMtgRatesDataTable8[[#This Row],[asofdate]])&amp;"-"&amp;MONTH(CurrentMtgRatesDataTable8[[#This Row],[asofdate]])</f>
        <v>2009-1</v>
      </c>
      <c r="D73" s="6">
        <f>((CurrentMtgRatesDataTable8[[#This Row],[SeriesNumValue]]-$D$1)/$D$1+1)*100</f>
        <v>116.25883239530133</v>
      </c>
      <c r="I73" s="7" t="s">
        <v>112</v>
      </c>
      <c r="J73" s="10">
        <v>1.20256431765603E-2</v>
      </c>
      <c r="K73" s="10" t="str">
        <f>YEAR(CurrentMtgRatesDataTable89[[#This Row],[asofdate]])&amp;"-"&amp;MONTH(CurrentMtgRatesDataTable89[[#This Row],[asofdate]])</f>
        <v>2009-11</v>
      </c>
      <c r="L73" s="6">
        <f>((CurrentMtgRatesDataTable89[[#This Row],[SeriesNumValue]]-$D$1)/$D$1+1)*100</f>
        <v>80.170954510401998</v>
      </c>
      <c r="M73" s="6">
        <f>CurrentMtgRatesDataTable89[[#This Row],[Index]]-L74</f>
        <v>1.2282682165559891</v>
      </c>
      <c r="P73" s="7" t="s">
        <v>102</v>
      </c>
      <c r="Q73" s="10">
        <v>9.3076853520146705E-2</v>
      </c>
      <c r="R73" s="31">
        <f>((CurrentMtgRatesDataTable8711[[#This Row],[SeriesNumValue]]-$D$1)/$D$1+1)*100</f>
        <v>620.51235680097807</v>
      </c>
      <c r="S73" s="31"/>
      <c r="U73" s="7" t="s">
        <v>102</v>
      </c>
      <c r="V73" s="10">
        <v>8.5495306297522E-2</v>
      </c>
      <c r="W73" s="31">
        <f>((CurrentMtgRatesDataTable871112[[#This Row],[SeriesNumValue]]-$D$1)/$D$1+1)*100</f>
        <v>569.96870865014671</v>
      </c>
      <c r="X73" s="31"/>
      <c r="Z73" s="7" t="s">
        <v>102</v>
      </c>
      <c r="AA73" s="10">
        <v>1.49451295680741E-2</v>
      </c>
      <c r="AB73" s="34">
        <f>((CurrentMtgRatesDataTable87111213[[#This Row],[SeriesNumValue]]-$D$1)/$D$1+1)*100</f>
        <v>99.634197120494008</v>
      </c>
      <c r="AC73" s="34"/>
      <c r="AE73" s="7" t="s">
        <v>102</v>
      </c>
      <c r="AF73" s="10">
        <v>1.38638196736778E-2</v>
      </c>
      <c r="AG73" s="34">
        <f>((CurrentMtgRatesDataTable8711121314[[#This Row],[SeriesNumValue]]-$D$1)/$D$1+1)*100</f>
        <v>92.425464491185338</v>
      </c>
      <c r="AH73" s="34" t="str">
        <f>YEAR(CurrentMtgRatesDataTable8711121314[[#This Row],[asofdate]])&amp;"-"&amp;MONTH(CurrentMtgRatesDataTable8711121314[[#This Row],[asofdate]])</f>
        <v>2009-1</v>
      </c>
      <c r="AI73" s="34">
        <f>CurrentMtgRatesDataTable8711121314[[#This Row],[SeriesNumValue]]</f>
        <v>1.38638196736778E-2</v>
      </c>
      <c r="AJ73" s="34">
        <f>VLOOKUP(CurrentMtgRatesDataTable8711121314[[#This Row],[asofdate]],P:R,2,0)</f>
        <v>9.3076853520146705E-2</v>
      </c>
      <c r="AK73" s="30">
        <f>IF(VLOOKUP(CurrentMtgRatesDataTable8711121314[[#This Row],[asofdate]],U:W,2,0)&lt;&gt;0,VLOOKUP(CurrentMtgRatesDataTable8711121314[[#This Row],[asofdate]],U:W,2,0),AK72)</f>
        <v>8.5495306297522E-2</v>
      </c>
      <c r="AL73" s="30">
        <f>VLOOKUP(CurrentMtgRatesDataTable8711121314[[#This Row],[asofdate]],Z:AB,2,0)</f>
        <v>1.49451295680741E-2</v>
      </c>
      <c r="AM73" s="30">
        <f>CurrentMtgRatesDataTable8711121314[[#This Row],[FHA]]+0.5*CurrentMtgRatesDataTable8711121314[[#This Row],[Conventional]]</f>
        <v>0.10000876335698561</v>
      </c>
      <c r="AN73" s="30">
        <f>2*CurrentMtgRatesDataTable8711121314[[#This Row],[FHA]]</f>
        <v>0.18615370704029341</v>
      </c>
      <c r="AO73" s="11">
        <f>VLOOKUP(YEAR(CurrentMtgRatesDataTable8711121314[[#This Row],[asofdate]]),OriginationVolume!$A:$N,8,FALSE)</f>
        <v>0.68277430358158042</v>
      </c>
      <c r="AP73" s="11">
        <f>VLOOKUP(YEAR(CurrentMtgRatesDataTable8711121314[[#This Row],[asofdate]]),OriginationVolume!$A:$N,9,FALSE)</f>
        <v>6.4098919840818641E-2</v>
      </c>
      <c r="AQ73" s="11">
        <f>VLOOKUP(YEAR(CurrentMtgRatesDataTable8711121314[[#This Row],[asofdate]]),OriginationVolume!$A:$N,10,FALSE)</f>
        <v>0.19229675952245595</v>
      </c>
      <c r="AR73" s="11">
        <f>VLOOKUP(YEAR(CurrentMtgRatesDataTable8711121314[[#This Row],[asofdate]]),OriginationVolume!$A:$N,11,FALSE)</f>
        <v>5.5144968732234227E-2</v>
      </c>
      <c r="AS73" s="11">
        <f>VLOOKUP(YEAR(CurrentMtgRatesDataTable8711121314[[#This Row],[asofdate]]),OriginationVolume!$A:$N,12,FALSE)</f>
        <v>3.4110289937464467E-3</v>
      </c>
      <c r="AT73" s="11">
        <f>VLOOKUP(YEAR(CurrentMtgRatesDataTable8711121314[[#This Row],[asofdate]]),OriginationVolume!$A:$N,13,FALSE)</f>
        <v>2.2740193291642978E-3</v>
      </c>
      <c r="AU7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AW73" s="7" t="s">
        <v>102</v>
      </c>
      <c r="AX73" s="10">
        <v>206822000</v>
      </c>
      <c r="AY73" s="31"/>
      <c r="BA73" s="7" t="s">
        <v>102</v>
      </c>
      <c r="BB73" s="10">
        <v>22337000</v>
      </c>
      <c r="BC73" s="31"/>
      <c r="BE73" s="7" t="s">
        <v>102</v>
      </c>
      <c r="BF73" s="10">
        <v>6760565628.5100002</v>
      </c>
      <c r="BG73" s="34"/>
      <c r="BI73" s="7" t="s">
        <v>102</v>
      </c>
      <c r="BJ73" s="10">
        <v>6531406628.5100002</v>
      </c>
      <c r="BK73" s="34" t="str">
        <f>YEAR(CurrentMtgRatesDataTable871112131417[[#This Row],[asofdate]])&amp;"-"&amp;MONTH(CurrentMtgRatesDataTable871112131417[[#This Row],[asofdate]])</f>
        <v>2009-1</v>
      </c>
      <c r="BL73" s="34">
        <f>CurrentMtgRatesDataTable871112131417[[#This Row],[SeriesNumValue]]</f>
        <v>6531406628.5100002</v>
      </c>
      <c r="BM73" s="34">
        <f>VLOOKUP(CurrentMtgRatesDataTable871112131417[[#This Row],[asofdate]],AW:AX,2,0)</f>
        <v>206822000</v>
      </c>
      <c r="BN73" s="30">
        <f>IF(VLOOKUP(CurrentMtgRatesDataTable871112131417[[#This Row],[asofdate]],BA:BB,2,0)&lt;&gt;0,VLOOKUP(CurrentMtgRatesDataTable871112131417[[#This Row],[asofdate]],BA:BB,2,0),BN72)</f>
        <v>22337000</v>
      </c>
      <c r="BO73" s="30">
        <f>VLOOKUP(CurrentMtgRatesDataTable871112131417[[#This Row],[asofdate]],BE:BF,2,0)</f>
        <v>6760565628.5100002</v>
      </c>
    </row>
    <row r="74" spans="1:67" s="6" customFormat="1">
      <c r="A74" s="7" t="s">
        <v>103</v>
      </c>
      <c r="B74" s="10">
        <v>1.50923931423892E-2</v>
      </c>
      <c r="C74" s="10" t="str">
        <f>YEAR(CurrentMtgRatesDataTable8[[#This Row],[asofdate]])&amp;"-"&amp;MONTH(CurrentMtgRatesDataTable8[[#This Row],[asofdate]])</f>
        <v>2009-2</v>
      </c>
      <c r="D74" s="6">
        <f>((CurrentMtgRatesDataTable8[[#This Row],[SeriesNumValue]]-$D$1)/$D$1+1)*100</f>
        <v>100.61595428259467</v>
      </c>
      <c r="I74" s="7" t="s">
        <v>111</v>
      </c>
      <c r="J74" s="10">
        <v>1.1841402944076901E-2</v>
      </c>
      <c r="K74" s="10" t="str">
        <f>YEAR(CurrentMtgRatesDataTable89[[#This Row],[asofdate]])&amp;"-"&amp;MONTH(CurrentMtgRatesDataTable89[[#This Row],[asofdate]])</f>
        <v>2009-10</v>
      </c>
      <c r="L74" s="6">
        <f>((CurrentMtgRatesDataTable89[[#This Row],[SeriesNumValue]]-$D$1)/$D$1+1)*100</f>
        <v>78.942686293846009</v>
      </c>
      <c r="M74" s="6">
        <f>CurrentMtgRatesDataTable89[[#This Row],[Index]]-L75</f>
        <v>5.211608034234672</v>
      </c>
      <c r="P74" s="7" t="s">
        <v>103</v>
      </c>
      <c r="Q74" s="10">
        <v>0.100196056372731</v>
      </c>
      <c r="R74" s="31">
        <f>((CurrentMtgRatesDataTable8711[[#This Row],[SeriesNumValue]]-$D$1)/$D$1+1)*100</f>
        <v>667.97370915154011</v>
      </c>
      <c r="S74" s="31"/>
      <c r="U74" s="7" t="s">
        <v>103</v>
      </c>
      <c r="V74" s="10">
        <v>8.9137877795202894E-2</v>
      </c>
      <c r="W74" s="31">
        <f>((CurrentMtgRatesDataTable871112[[#This Row],[SeriesNumValue]]-$D$1)/$D$1+1)*100</f>
        <v>594.252518634686</v>
      </c>
      <c r="X74" s="31"/>
      <c r="Z74" s="7" t="s">
        <v>103</v>
      </c>
      <c r="AA74" s="10">
        <v>1.5468274430100499E-2</v>
      </c>
      <c r="AB74" s="34">
        <f>((CurrentMtgRatesDataTable87111213[[#This Row],[SeriesNumValue]]-$D$1)/$D$1+1)*100</f>
        <v>103.12182953400333</v>
      </c>
      <c r="AC74" s="34"/>
      <c r="AE74" s="7" t="s">
        <v>103</v>
      </c>
      <c r="AF74" s="10">
        <v>1.39907857369967E-2</v>
      </c>
      <c r="AG74" s="34">
        <f>((CurrentMtgRatesDataTable8711121314[[#This Row],[SeriesNumValue]]-$D$1)/$D$1+1)*100</f>
        <v>93.271904913311346</v>
      </c>
      <c r="AH74" s="34" t="str">
        <f>YEAR(CurrentMtgRatesDataTable8711121314[[#This Row],[asofdate]])&amp;"-"&amp;MONTH(CurrentMtgRatesDataTable8711121314[[#This Row],[asofdate]])</f>
        <v>2009-2</v>
      </c>
      <c r="AI74" s="34">
        <f>CurrentMtgRatesDataTable8711121314[[#This Row],[SeriesNumValue]]</f>
        <v>1.39907857369967E-2</v>
      </c>
      <c r="AJ74" s="34">
        <f>VLOOKUP(CurrentMtgRatesDataTable8711121314[[#This Row],[asofdate]],P:R,2,0)</f>
        <v>0.100196056372731</v>
      </c>
      <c r="AK74" s="30">
        <f>IF(VLOOKUP(CurrentMtgRatesDataTable8711121314[[#This Row],[asofdate]],U:W,2,0)&lt;&gt;0,VLOOKUP(CurrentMtgRatesDataTable8711121314[[#This Row],[asofdate]],U:W,2,0),AK73)</f>
        <v>8.9137877795202894E-2</v>
      </c>
      <c r="AL74" s="30">
        <f>VLOOKUP(CurrentMtgRatesDataTable8711121314[[#This Row],[asofdate]],Z:AB,2,0)</f>
        <v>1.5468274430100499E-2</v>
      </c>
      <c r="AM74" s="30">
        <f>CurrentMtgRatesDataTable8711121314[[#This Row],[FHA]]+0.5*CurrentMtgRatesDataTable8711121314[[#This Row],[Conventional]]</f>
        <v>0.10719144924122935</v>
      </c>
      <c r="AN74" s="30">
        <f>2*CurrentMtgRatesDataTable8711121314[[#This Row],[FHA]]</f>
        <v>0.20039211274546201</v>
      </c>
      <c r="AO74" s="11">
        <f>VLOOKUP(YEAR(CurrentMtgRatesDataTable8711121314[[#This Row],[asofdate]]),OriginationVolume!$A:$N,8,FALSE)</f>
        <v>0.68277430358158042</v>
      </c>
      <c r="AP74" s="11">
        <f>VLOOKUP(YEAR(CurrentMtgRatesDataTable8711121314[[#This Row],[asofdate]]),OriginationVolume!$A:$N,9,FALSE)</f>
        <v>6.4098919840818641E-2</v>
      </c>
      <c r="AQ74" s="11">
        <f>VLOOKUP(YEAR(CurrentMtgRatesDataTable8711121314[[#This Row],[asofdate]]),OriginationVolume!$A:$N,10,FALSE)</f>
        <v>0.19229675952245595</v>
      </c>
      <c r="AR74" s="11">
        <f>VLOOKUP(YEAR(CurrentMtgRatesDataTable8711121314[[#This Row],[asofdate]]),OriginationVolume!$A:$N,11,FALSE)</f>
        <v>5.5144968732234227E-2</v>
      </c>
      <c r="AS74" s="11">
        <f>VLOOKUP(YEAR(CurrentMtgRatesDataTable8711121314[[#This Row],[asofdate]]),OriginationVolume!$A:$N,12,FALSE)</f>
        <v>3.4110289937464467E-3</v>
      </c>
      <c r="AT74" s="11">
        <f>VLOOKUP(YEAR(CurrentMtgRatesDataTable8711121314[[#This Row],[asofdate]]),OriginationVolume!$A:$N,13,FALSE)</f>
        <v>2.2740193291642978E-3</v>
      </c>
      <c r="AU7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AW74" s="7" t="s">
        <v>103</v>
      </c>
      <c r="AX74" s="10">
        <v>297508000</v>
      </c>
      <c r="AY74" s="31"/>
      <c r="BA74" s="7" t="s">
        <v>103</v>
      </c>
      <c r="BB74" s="10">
        <v>40030000</v>
      </c>
      <c r="BC74" s="31"/>
      <c r="BE74" s="7" t="s">
        <v>103</v>
      </c>
      <c r="BF74" s="10">
        <v>9577071168.3700008</v>
      </c>
      <c r="BG74" s="34"/>
      <c r="BI74" s="7" t="s">
        <v>103</v>
      </c>
      <c r="BJ74" s="10">
        <v>9239533168.3700008</v>
      </c>
      <c r="BK74" s="34" t="str">
        <f>YEAR(CurrentMtgRatesDataTable871112131417[[#This Row],[asofdate]])&amp;"-"&amp;MONTH(CurrentMtgRatesDataTable871112131417[[#This Row],[asofdate]])</f>
        <v>2009-2</v>
      </c>
      <c r="BL74" s="34">
        <f>CurrentMtgRatesDataTable871112131417[[#This Row],[SeriesNumValue]]</f>
        <v>9239533168.3700008</v>
      </c>
      <c r="BM74" s="34">
        <f>VLOOKUP(CurrentMtgRatesDataTable871112131417[[#This Row],[asofdate]],AW:AX,2,0)</f>
        <v>297508000</v>
      </c>
      <c r="BN74" s="30">
        <f>IF(VLOOKUP(CurrentMtgRatesDataTable871112131417[[#This Row],[asofdate]],BA:BB,2,0)&lt;&gt;0,VLOOKUP(CurrentMtgRatesDataTable871112131417[[#This Row],[asofdate]],BA:BB,2,0),BN73)</f>
        <v>40030000</v>
      </c>
      <c r="BO74" s="30">
        <f>VLOOKUP(CurrentMtgRatesDataTable871112131417[[#This Row],[asofdate]],BE:BF,2,0)</f>
        <v>9577071168.3700008</v>
      </c>
    </row>
    <row r="75" spans="1:67" s="6" customFormat="1">
      <c r="A75" s="7" t="s">
        <v>104</v>
      </c>
      <c r="B75" s="10">
        <v>1.19608237456295E-2</v>
      </c>
      <c r="C75" s="10" t="str">
        <f>YEAR(CurrentMtgRatesDataTable8[[#This Row],[asofdate]])&amp;"-"&amp;MONTH(CurrentMtgRatesDataTable8[[#This Row],[asofdate]])</f>
        <v>2009-3</v>
      </c>
      <c r="D75" s="6">
        <f>((CurrentMtgRatesDataTable8[[#This Row],[SeriesNumValue]]-$D$1)/$D$1+1)*100</f>
        <v>79.738824970863334</v>
      </c>
      <c r="I75" s="7" t="s">
        <v>110</v>
      </c>
      <c r="J75" s="10">
        <v>1.10596617389417E-2</v>
      </c>
      <c r="K75" s="10" t="str">
        <f>YEAR(CurrentMtgRatesDataTable89[[#This Row],[asofdate]])&amp;"-"&amp;MONTH(CurrentMtgRatesDataTable89[[#This Row],[asofdate]])</f>
        <v>2009-9</v>
      </c>
      <c r="L75" s="6">
        <f>((CurrentMtgRatesDataTable89[[#This Row],[SeriesNumValue]]-$D$1)/$D$1+1)*100</f>
        <v>73.731078259611337</v>
      </c>
      <c r="M75" s="6">
        <f>CurrentMtgRatesDataTable89[[#This Row],[Index]]-L76</f>
        <v>9.6538837069608689</v>
      </c>
      <c r="P75" s="7" t="s">
        <v>104</v>
      </c>
      <c r="Q75" s="10">
        <v>8.3237162808257104E-2</v>
      </c>
      <c r="R75" s="31">
        <f>((CurrentMtgRatesDataTable8711[[#This Row],[SeriesNumValue]]-$D$1)/$D$1+1)*100</f>
        <v>554.91441872171401</v>
      </c>
      <c r="S75" s="31"/>
      <c r="U75" s="7" t="s">
        <v>104</v>
      </c>
      <c r="V75" s="10">
        <v>6.4262861829081905E-2</v>
      </c>
      <c r="W75" s="31">
        <f>((CurrentMtgRatesDataTable871112[[#This Row],[SeriesNumValue]]-$D$1)/$D$1+1)*100</f>
        <v>428.41907886054605</v>
      </c>
      <c r="X75" s="31"/>
      <c r="Z75" s="7" t="s">
        <v>104</v>
      </c>
      <c r="AA75" s="10">
        <v>1.53801119456727E-2</v>
      </c>
      <c r="AB75" s="34">
        <f>((CurrentMtgRatesDataTable87111213[[#This Row],[SeriesNumValue]]-$D$1)/$D$1+1)*100</f>
        <v>102.534079637818</v>
      </c>
      <c r="AC75" s="34"/>
      <c r="AE75" s="7" t="s">
        <v>104</v>
      </c>
      <c r="AF75" s="10">
        <v>1.2143485589171599E-2</v>
      </c>
      <c r="AG75" s="34">
        <f>((CurrentMtgRatesDataTable8711121314[[#This Row],[SeriesNumValue]]-$D$1)/$D$1+1)*100</f>
        <v>80.956570594477327</v>
      </c>
      <c r="AH75" s="34" t="str">
        <f>YEAR(CurrentMtgRatesDataTable8711121314[[#This Row],[asofdate]])&amp;"-"&amp;MONTH(CurrentMtgRatesDataTable8711121314[[#This Row],[asofdate]])</f>
        <v>2009-3</v>
      </c>
      <c r="AI75" s="34">
        <f>CurrentMtgRatesDataTable8711121314[[#This Row],[SeriesNumValue]]</f>
        <v>1.2143485589171599E-2</v>
      </c>
      <c r="AJ75" s="34">
        <f>VLOOKUP(CurrentMtgRatesDataTable8711121314[[#This Row],[asofdate]],P:R,2,0)</f>
        <v>8.3237162808257104E-2</v>
      </c>
      <c r="AK75" s="30">
        <f>IF(VLOOKUP(CurrentMtgRatesDataTable8711121314[[#This Row],[asofdate]],U:W,2,0)&lt;&gt;0,VLOOKUP(CurrentMtgRatesDataTable8711121314[[#This Row],[asofdate]],U:W,2,0),AK74)</f>
        <v>6.4262861829081905E-2</v>
      </c>
      <c r="AL75" s="30">
        <f>VLOOKUP(CurrentMtgRatesDataTable8711121314[[#This Row],[asofdate]],Z:AB,2,0)</f>
        <v>1.53801119456727E-2</v>
      </c>
      <c r="AM75" s="30">
        <f>CurrentMtgRatesDataTable8711121314[[#This Row],[FHA]]+0.5*CurrentMtgRatesDataTable8711121314[[#This Row],[Conventional]]</f>
        <v>8.9308905602842908E-2</v>
      </c>
      <c r="AN75" s="30">
        <f>2*CurrentMtgRatesDataTable8711121314[[#This Row],[FHA]]</f>
        <v>0.16647432561651421</v>
      </c>
      <c r="AO75" s="11">
        <f>VLOOKUP(YEAR(CurrentMtgRatesDataTable8711121314[[#This Row],[asofdate]]),OriginationVolume!$A:$N,8,FALSE)</f>
        <v>0.68277430358158042</v>
      </c>
      <c r="AP75" s="11">
        <f>VLOOKUP(YEAR(CurrentMtgRatesDataTable8711121314[[#This Row],[asofdate]]),OriginationVolume!$A:$N,9,FALSE)</f>
        <v>6.4098919840818641E-2</v>
      </c>
      <c r="AQ75" s="11">
        <f>VLOOKUP(YEAR(CurrentMtgRatesDataTable8711121314[[#This Row],[asofdate]]),OriginationVolume!$A:$N,10,FALSE)</f>
        <v>0.19229675952245595</v>
      </c>
      <c r="AR75" s="11">
        <f>VLOOKUP(YEAR(CurrentMtgRatesDataTable8711121314[[#This Row],[asofdate]]),OriginationVolume!$A:$N,11,FALSE)</f>
        <v>5.5144968732234227E-2</v>
      </c>
      <c r="AS75" s="11">
        <f>VLOOKUP(YEAR(CurrentMtgRatesDataTable8711121314[[#This Row],[asofdate]]),OriginationVolume!$A:$N,12,FALSE)</f>
        <v>3.4110289937464467E-3</v>
      </c>
      <c r="AT75" s="11">
        <f>VLOOKUP(YEAR(CurrentMtgRatesDataTable8711121314[[#This Row],[asofdate]]),OriginationVolume!$A:$N,13,FALSE)</f>
        <v>2.2740193291642978E-3</v>
      </c>
      <c r="AU7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AW75" s="7" t="s">
        <v>104</v>
      </c>
      <c r="AX75" s="10">
        <v>403351000</v>
      </c>
      <c r="AY75" s="31"/>
      <c r="BA75" s="7" t="s">
        <v>104</v>
      </c>
      <c r="BB75" s="10">
        <v>74556000</v>
      </c>
      <c r="BC75" s="31"/>
      <c r="BE75" s="7" t="s">
        <v>104</v>
      </c>
      <c r="BF75" s="10">
        <v>7649530609.0799999</v>
      </c>
      <c r="BG75" s="34"/>
      <c r="BI75" s="7" t="s">
        <v>104</v>
      </c>
      <c r="BJ75" s="10">
        <v>7171623609.0799999</v>
      </c>
      <c r="BK75" s="34" t="str">
        <f>YEAR(CurrentMtgRatesDataTable871112131417[[#This Row],[asofdate]])&amp;"-"&amp;MONTH(CurrentMtgRatesDataTable871112131417[[#This Row],[asofdate]])</f>
        <v>2009-3</v>
      </c>
      <c r="BL75" s="34">
        <f>CurrentMtgRatesDataTable871112131417[[#This Row],[SeriesNumValue]]</f>
        <v>7171623609.0799999</v>
      </c>
      <c r="BM75" s="34">
        <f>VLOOKUP(CurrentMtgRatesDataTable871112131417[[#This Row],[asofdate]],AW:AX,2,0)</f>
        <v>403351000</v>
      </c>
      <c r="BN75" s="30">
        <f>IF(VLOOKUP(CurrentMtgRatesDataTable871112131417[[#This Row],[asofdate]],BA:BB,2,0)&lt;&gt;0,VLOOKUP(CurrentMtgRatesDataTable871112131417[[#This Row],[asofdate]],BA:BB,2,0),BN74)</f>
        <v>74556000</v>
      </c>
      <c r="BO75" s="30">
        <f>VLOOKUP(CurrentMtgRatesDataTable871112131417[[#This Row],[asofdate]],BE:BF,2,0)</f>
        <v>7649530609.0799999</v>
      </c>
    </row>
    <row r="76" spans="1:67" s="6" customFormat="1">
      <c r="A76" s="7" t="s">
        <v>105</v>
      </c>
      <c r="B76" s="10">
        <v>1.1500605941033E-2</v>
      </c>
      <c r="C76" s="10" t="str">
        <f>YEAR(CurrentMtgRatesDataTable8[[#This Row],[asofdate]])&amp;"-"&amp;MONTH(CurrentMtgRatesDataTable8[[#This Row],[asofdate]])</f>
        <v>2009-4</v>
      </c>
      <c r="D76" s="6">
        <f>((CurrentMtgRatesDataTable8[[#This Row],[SeriesNumValue]]-$D$1)/$D$1+1)*100</f>
        <v>76.670706273553336</v>
      </c>
      <c r="I76" s="7" t="s">
        <v>109</v>
      </c>
      <c r="J76" s="10">
        <v>9.6115791828975707E-3</v>
      </c>
      <c r="K76" s="10" t="str">
        <f>YEAR(CurrentMtgRatesDataTable89[[#This Row],[asofdate]])&amp;"-"&amp;MONTH(CurrentMtgRatesDataTable89[[#This Row],[asofdate]])</f>
        <v>2009-8</v>
      </c>
      <c r="L76" s="6">
        <f>((CurrentMtgRatesDataTable89[[#This Row],[SeriesNumValue]]-$D$1)/$D$1+1)*100</f>
        <v>64.077194552650468</v>
      </c>
      <c r="M76" s="6">
        <f>CurrentMtgRatesDataTable89[[#This Row],[Index]]-L77</f>
        <v>-0.5558075932003419</v>
      </c>
      <c r="P76" s="7" t="s">
        <v>105</v>
      </c>
      <c r="Q76" s="10">
        <v>7.7152354316607705E-2</v>
      </c>
      <c r="R76" s="31">
        <f>((CurrentMtgRatesDataTable8711[[#This Row],[SeriesNumValue]]-$D$1)/$D$1+1)*100</f>
        <v>514.34902877738477</v>
      </c>
      <c r="S76" s="31"/>
      <c r="U76" s="7" t="s">
        <v>105</v>
      </c>
      <c r="V76" s="10">
        <v>5.8657409652671001E-2</v>
      </c>
      <c r="W76" s="31">
        <f>((CurrentMtgRatesDataTable871112[[#This Row],[SeriesNumValue]]-$D$1)/$D$1+1)*100</f>
        <v>391.04939768447338</v>
      </c>
      <c r="X76" s="31"/>
      <c r="Z76" s="7" t="s">
        <v>105</v>
      </c>
      <c r="AA76" s="10">
        <v>1.47232835769587E-2</v>
      </c>
      <c r="AB76" s="34">
        <f>((CurrentMtgRatesDataTable87111213[[#This Row],[SeriesNumValue]]-$D$1)/$D$1+1)*100</f>
        <v>98.155223846391337</v>
      </c>
      <c r="AC76" s="34"/>
      <c r="AE76" s="7" t="s">
        <v>105</v>
      </c>
      <c r="AF76" s="10">
        <v>1.1109793158067399E-2</v>
      </c>
      <c r="AG76" s="34">
        <f>((CurrentMtgRatesDataTable8711121314[[#This Row],[SeriesNumValue]]-$D$1)/$D$1+1)*100</f>
        <v>74.065287720449334</v>
      </c>
      <c r="AH76" s="34" t="str">
        <f>YEAR(CurrentMtgRatesDataTable8711121314[[#This Row],[asofdate]])&amp;"-"&amp;MONTH(CurrentMtgRatesDataTable8711121314[[#This Row],[asofdate]])</f>
        <v>2009-4</v>
      </c>
      <c r="AI76" s="34">
        <f>CurrentMtgRatesDataTable8711121314[[#This Row],[SeriesNumValue]]</f>
        <v>1.1109793158067399E-2</v>
      </c>
      <c r="AJ76" s="34">
        <f>VLOOKUP(CurrentMtgRatesDataTable8711121314[[#This Row],[asofdate]],P:R,2,0)</f>
        <v>7.7152354316607705E-2</v>
      </c>
      <c r="AK76" s="30">
        <f>IF(VLOOKUP(CurrentMtgRatesDataTable8711121314[[#This Row],[asofdate]],U:W,2,0)&lt;&gt;0,VLOOKUP(CurrentMtgRatesDataTable8711121314[[#This Row],[asofdate]],U:W,2,0),AK75)</f>
        <v>5.8657409652671001E-2</v>
      </c>
      <c r="AL76" s="30">
        <f>VLOOKUP(CurrentMtgRatesDataTable8711121314[[#This Row],[asofdate]],Z:AB,2,0)</f>
        <v>1.47232835769587E-2</v>
      </c>
      <c r="AM76" s="30">
        <f>CurrentMtgRatesDataTable8711121314[[#This Row],[FHA]]+0.5*CurrentMtgRatesDataTable8711121314[[#This Row],[Conventional]]</f>
        <v>8.2707250895641404E-2</v>
      </c>
      <c r="AN76" s="30">
        <f>2*CurrentMtgRatesDataTable8711121314[[#This Row],[FHA]]</f>
        <v>0.15430470863321541</v>
      </c>
      <c r="AO76" s="11">
        <f>VLOOKUP(YEAR(CurrentMtgRatesDataTable8711121314[[#This Row],[asofdate]]),OriginationVolume!$A:$N,8,FALSE)</f>
        <v>0.68277430358158042</v>
      </c>
      <c r="AP76" s="11">
        <f>VLOOKUP(YEAR(CurrentMtgRatesDataTable8711121314[[#This Row],[asofdate]]),OriginationVolume!$A:$N,9,FALSE)</f>
        <v>6.4098919840818641E-2</v>
      </c>
      <c r="AQ76" s="11">
        <f>VLOOKUP(YEAR(CurrentMtgRatesDataTable8711121314[[#This Row],[asofdate]]),OriginationVolume!$A:$N,10,FALSE)</f>
        <v>0.19229675952245595</v>
      </c>
      <c r="AR76" s="11">
        <f>VLOOKUP(YEAR(CurrentMtgRatesDataTable8711121314[[#This Row],[asofdate]]),OriginationVolume!$A:$N,11,FALSE)</f>
        <v>5.5144968732234227E-2</v>
      </c>
      <c r="AS76" s="11">
        <f>VLOOKUP(YEAR(CurrentMtgRatesDataTable8711121314[[#This Row],[asofdate]]),OriginationVolume!$A:$N,12,FALSE)</f>
        <v>3.4110289937464467E-3</v>
      </c>
      <c r="AT76" s="11">
        <f>VLOOKUP(YEAR(CurrentMtgRatesDataTable8711121314[[#This Row],[asofdate]]),OriginationVolume!$A:$N,13,FALSE)</f>
        <v>2.2740193291642978E-3</v>
      </c>
      <c r="AU7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AW76" s="7" t="s">
        <v>105</v>
      </c>
      <c r="AX76" s="10">
        <v>486214000</v>
      </c>
      <c r="AY76" s="31"/>
      <c r="BA76" s="7" t="s">
        <v>105</v>
      </c>
      <c r="BB76" s="10">
        <v>124438000</v>
      </c>
      <c r="BC76" s="31"/>
      <c r="BE76" s="7" t="s">
        <v>105</v>
      </c>
      <c r="BF76" s="10">
        <v>8754719640.6599998</v>
      </c>
      <c r="BG76" s="34"/>
      <c r="BI76" s="7" t="s">
        <v>105</v>
      </c>
      <c r="BJ76" s="10">
        <v>8144067640.6599998</v>
      </c>
      <c r="BK76" s="34" t="str">
        <f>YEAR(CurrentMtgRatesDataTable871112131417[[#This Row],[asofdate]])&amp;"-"&amp;MONTH(CurrentMtgRatesDataTable871112131417[[#This Row],[asofdate]])</f>
        <v>2009-4</v>
      </c>
      <c r="BL76" s="34">
        <f>CurrentMtgRatesDataTable871112131417[[#This Row],[SeriesNumValue]]</f>
        <v>8144067640.6599998</v>
      </c>
      <c r="BM76" s="34">
        <f>VLOOKUP(CurrentMtgRatesDataTable871112131417[[#This Row],[asofdate]],AW:AX,2,0)</f>
        <v>486214000</v>
      </c>
      <c r="BN76" s="30">
        <f>IF(VLOOKUP(CurrentMtgRatesDataTable871112131417[[#This Row],[asofdate]],BA:BB,2,0)&lt;&gt;0,VLOOKUP(CurrentMtgRatesDataTable871112131417[[#This Row],[asofdate]],BA:BB,2,0),BN75)</f>
        <v>124438000</v>
      </c>
      <c r="BO76" s="30">
        <f>VLOOKUP(CurrentMtgRatesDataTable871112131417[[#This Row],[asofdate]],BE:BF,2,0)</f>
        <v>8754719640.6599998</v>
      </c>
    </row>
    <row r="77" spans="1:67" s="6" customFormat="1">
      <c r="A77" s="7" t="s">
        <v>106</v>
      </c>
      <c r="B77" s="10">
        <v>1.20494515545658E-2</v>
      </c>
      <c r="C77" s="10" t="str">
        <f>YEAR(CurrentMtgRatesDataTable8[[#This Row],[asofdate]])&amp;"-"&amp;MONTH(CurrentMtgRatesDataTable8[[#This Row],[asofdate]])</f>
        <v>2009-5</v>
      </c>
      <c r="D77" s="6">
        <f>((CurrentMtgRatesDataTable8[[#This Row],[SeriesNumValue]]-$D$1)/$D$1+1)*100</f>
        <v>80.329677030438674</v>
      </c>
      <c r="I77" s="7" t="s">
        <v>108</v>
      </c>
      <c r="J77" s="10">
        <v>9.6949503218776208E-3</v>
      </c>
      <c r="K77" s="10" t="str">
        <f>YEAR(CurrentMtgRatesDataTable89[[#This Row],[asofdate]])&amp;"-"&amp;MONTH(CurrentMtgRatesDataTable89[[#This Row],[asofdate]])</f>
        <v>2009-7</v>
      </c>
      <c r="L77" s="6">
        <f>((CurrentMtgRatesDataTable89[[#This Row],[SeriesNumValue]]-$D$1)/$D$1+1)*100</f>
        <v>64.63300214585081</v>
      </c>
      <c r="M77" s="6">
        <f>CurrentMtgRatesDataTable89[[#This Row],[Index]]-L78</f>
        <v>-11.33825130524184</v>
      </c>
      <c r="P77" s="7" t="s">
        <v>106</v>
      </c>
      <c r="Q77" s="10">
        <v>8.2111872443475398E-2</v>
      </c>
      <c r="R77" s="31">
        <f>((CurrentMtgRatesDataTable8711[[#This Row],[SeriesNumValue]]-$D$1)/$D$1+1)*100</f>
        <v>547.41248295650269</v>
      </c>
      <c r="S77" s="31"/>
      <c r="U77" s="7" t="s">
        <v>106</v>
      </c>
      <c r="V77" s="10">
        <v>6.7690700362425998E-2</v>
      </c>
      <c r="W77" s="31">
        <f>((CurrentMtgRatesDataTable871112[[#This Row],[SeriesNumValue]]-$D$1)/$D$1+1)*100</f>
        <v>451.27133574950665</v>
      </c>
      <c r="X77" s="31"/>
      <c r="Z77" s="7" t="s">
        <v>106</v>
      </c>
      <c r="AA77" s="10">
        <v>1.52143957514009E-2</v>
      </c>
      <c r="AB77" s="34">
        <f>((CurrentMtgRatesDataTable87111213[[#This Row],[SeriesNumValue]]-$D$1)/$D$1+1)*100</f>
        <v>101.42930500933933</v>
      </c>
      <c r="AC77" s="34"/>
      <c r="AE77" s="7" t="s">
        <v>106</v>
      </c>
      <c r="AF77" s="10">
        <v>1.1418573341871499E-2</v>
      </c>
      <c r="AG77" s="34">
        <f>((CurrentMtgRatesDataTable8711121314[[#This Row],[SeriesNumValue]]-$D$1)/$D$1+1)*100</f>
        <v>76.12382227914334</v>
      </c>
      <c r="AH77" s="34" t="str">
        <f>YEAR(CurrentMtgRatesDataTable8711121314[[#This Row],[asofdate]])&amp;"-"&amp;MONTH(CurrentMtgRatesDataTable8711121314[[#This Row],[asofdate]])</f>
        <v>2009-5</v>
      </c>
      <c r="AI77" s="34">
        <f>CurrentMtgRatesDataTable8711121314[[#This Row],[SeriesNumValue]]</f>
        <v>1.1418573341871499E-2</v>
      </c>
      <c r="AJ77" s="34">
        <f>VLOOKUP(CurrentMtgRatesDataTable8711121314[[#This Row],[asofdate]],P:R,2,0)</f>
        <v>8.2111872443475398E-2</v>
      </c>
      <c r="AK77" s="30">
        <f>IF(VLOOKUP(CurrentMtgRatesDataTable8711121314[[#This Row],[asofdate]],U:W,2,0)&lt;&gt;0,VLOOKUP(CurrentMtgRatesDataTable8711121314[[#This Row],[asofdate]],U:W,2,0),AK76)</f>
        <v>6.7690700362425998E-2</v>
      </c>
      <c r="AL77" s="30">
        <f>VLOOKUP(CurrentMtgRatesDataTable8711121314[[#This Row],[asofdate]],Z:AB,2,0)</f>
        <v>1.52143957514009E-2</v>
      </c>
      <c r="AM77" s="30">
        <f>CurrentMtgRatesDataTable8711121314[[#This Row],[FHA]]+0.5*CurrentMtgRatesDataTable8711121314[[#This Row],[Conventional]]</f>
        <v>8.7821159114411143E-2</v>
      </c>
      <c r="AN77" s="30">
        <f>2*CurrentMtgRatesDataTable8711121314[[#This Row],[FHA]]</f>
        <v>0.1642237448869508</v>
      </c>
      <c r="AO77" s="11">
        <f>VLOOKUP(YEAR(CurrentMtgRatesDataTable8711121314[[#This Row],[asofdate]]),OriginationVolume!$A:$N,8,FALSE)</f>
        <v>0.68277430358158042</v>
      </c>
      <c r="AP77" s="11">
        <f>VLOOKUP(YEAR(CurrentMtgRatesDataTable8711121314[[#This Row],[asofdate]]),OriginationVolume!$A:$N,9,FALSE)</f>
        <v>6.4098919840818641E-2</v>
      </c>
      <c r="AQ77" s="11">
        <f>VLOOKUP(YEAR(CurrentMtgRatesDataTable8711121314[[#This Row],[asofdate]]),OriginationVolume!$A:$N,10,FALSE)</f>
        <v>0.19229675952245595</v>
      </c>
      <c r="AR77" s="11">
        <f>VLOOKUP(YEAR(CurrentMtgRatesDataTable8711121314[[#This Row],[asofdate]]),OriginationVolume!$A:$N,11,FALSE)</f>
        <v>5.5144968732234227E-2</v>
      </c>
      <c r="AS77" s="11">
        <f>VLOOKUP(YEAR(CurrentMtgRatesDataTable8711121314[[#This Row],[asofdate]]),OriginationVolume!$A:$N,12,FALSE)</f>
        <v>3.4110289937464467E-3</v>
      </c>
      <c r="AT77" s="11">
        <f>VLOOKUP(YEAR(CurrentMtgRatesDataTable8711121314[[#This Row],[asofdate]]),OriginationVolume!$A:$N,13,FALSE)</f>
        <v>2.2740193291642978E-3</v>
      </c>
      <c r="AU7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AW77" s="7" t="s">
        <v>106</v>
      </c>
      <c r="AX77" s="10">
        <v>615764000</v>
      </c>
      <c r="AY77" s="31"/>
      <c r="BA77" s="7" t="s">
        <v>106</v>
      </c>
      <c r="BB77" s="10">
        <v>137974000</v>
      </c>
      <c r="BC77" s="31"/>
      <c r="BE77" s="7" t="s">
        <v>106</v>
      </c>
      <c r="BF77" s="10">
        <v>11466280323.84</v>
      </c>
      <c r="BG77" s="34"/>
      <c r="BI77" s="7" t="s">
        <v>106</v>
      </c>
      <c r="BJ77" s="10">
        <v>10712542323.84</v>
      </c>
      <c r="BK77" s="34" t="str">
        <f>YEAR(CurrentMtgRatesDataTable871112131417[[#This Row],[asofdate]])&amp;"-"&amp;MONTH(CurrentMtgRatesDataTable871112131417[[#This Row],[asofdate]])</f>
        <v>2009-5</v>
      </c>
      <c r="BL77" s="34">
        <f>CurrentMtgRatesDataTable871112131417[[#This Row],[SeriesNumValue]]</f>
        <v>10712542323.84</v>
      </c>
      <c r="BM77" s="34">
        <f>VLOOKUP(CurrentMtgRatesDataTable871112131417[[#This Row],[asofdate]],AW:AX,2,0)</f>
        <v>615764000</v>
      </c>
      <c r="BN77" s="30">
        <f>IF(VLOOKUP(CurrentMtgRatesDataTable871112131417[[#This Row],[asofdate]],BA:BB,2,0)&lt;&gt;0,VLOOKUP(CurrentMtgRatesDataTable871112131417[[#This Row],[asofdate]],BA:BB,2,0),BN76)</f>
        <v>137974000</v>
      </c>
      <c r="BO77" s="30">
        <f>VLOOKUP(CurrentMtgRatesDataTable871112131417[[#This Row],[asofdate]],BE:BF,2,0)</f>
        <v>11466280323.84</v>
      </c>
    </row>
    <row r="78" spans="1:67" s="6" customFormat="1">
      <c r="A78" s="7" t="s">
        <v>107</v>
      </c>
      <c r="B78" s="10">
        <v>1.1395688017663899E-2</v>
      </c>
      <c r="C78" s="10" t="str">
        <f>YEAR(CurrentMtgRatesDataTable8[[#This Row],[asofdate]])&amp;"-"&amp;MONTH(CurrentMtgRatesDataTable8[[#This Row],[asofdate]])</f>
        <v>2009-6</v>
      </c>
      <c r="D78" s="6">
        <f>((CurrentMtgRatesDataTable8[[#This Row],[SeriesNumValue]]-$D$1)/$D$1+1)*100</f>
        <v>75.97125345109265</v>
      </c>
      <c r="I78" s="7" t="s">
        <v>107</v>
      </c>
      <c r="J78" s="10">
        <v>1.1395688017663899E-2</v>
      </c>
      <c r="K78" s="10" t="str">
        <f>YEAR(CurrentMtgRatesDataTable89[[#This Row],[asofdate]])&amp;"-"&amp;MONTH(CurrentMtgRatesDataTable89[[#This Row],[asofdate]])</f>
        <v>2009-6</v>
      </c>
      <c r="L78" s="6">
        <f>((CurrentMtgRatesDataTable89[[#This Row],[SeriesNumValue]]-$D$1)/$D$1+1)*100</f>
        <v>75.97125345109265</v>
      </c>
      <c r="M78" s="6">
        <f>CurrentMtgRatesDataTable89[[#This Row],[Index]]-L79</f>
        <v>-4.3584235793460238</v>
      </c>
      <c r="P78" s="7" t="s">
        <v>107</v>
      </c>
      <c r="Q78" s="10">
        <v>6.6489943042899999E-2</v>
      </c>
      <c r="R78" s="31">
        <f>((CurrentMtgRatesDataTable8711[[#This Row],[SeriesNumValue]]-$D$1)/$D$1+1)*100</f>
        <v>443.26628695266663</v>
      </c>
      <c r="S78" s="31"/>
      <c r="U78" s="7" t="s">
        <v>107</v>
      </c>
      <c r="V78" s="10">
        <v>6.2547871487745293E-2</v>
      </c>
      <c r="W78" s="31">
        <f>((CurrentMtgRatesDataTable871112[[#This Row],[SeriesNumValue]]-$D$1)/$D$1+1)*100</f>
        <v>416.98580991830198</v>
      </c>
      <c r="X78" s="31"/>
      <c r="Z78" s="7" t="s">
        <v>107</v>
      </c>
      <c r="AA78" s="10">
        <v>1.5473749600575E-2</v>
      </c>
      <c r="AB78" s="34">
        <f>((CurrentMtgRatesDataTable87111213[[#This Row],[SeriesNumValue]]-$D$1)/$D$1+1)*100</f>
        <v>103.15833067049999</v>
      </c>
      <c r="AC78" s="34"/>
      <c r="AE78" s="7" t="s">
        <v>107</v>
      </c>
      <c r="AF78" s="10">
        <v>1.1449481001714499E-2</v>
      </c>
      <c r="AG78" s="34">
        <f>((CurrentMtgRatesDataTable8711121314[[#This Row],[SeriesNumValue]]-$D$1)/$D$1+1)*100</f>
        <v>76.329873344763328</v>
      </c>
      <c r="AH78" s="34" t="str">
        <f>YEAR(CurrentMtgRatesDataTable8711121314[[#This Row],[asofdate]])&amp;"-"&amp;MONTH(CurrentMtgRatesDataTable8711121314[[#This Row],[asofdate]])</f>
        <v>2009-6</v>
      </c>
      <c r="AI78" s="34">
        <f>CurrentMtgRatesDataTable8711121314[[#This Row],[SeriesNumValue]]</f>
        <v>1.1449481001714499E-2</v>
      </c>
      <c r="AJ78" s="34">
        <f>VLOOKUP(CurrentMtgRatesDataTable8711121314[[#This Row],[asofdate]],P:R,2,0)</f>
        <v>6.6489943042899999E-2</v>
      </c>
      <c r="AK78" s="30">
        <f>IF(VLOOKUP(CurrentMtgRatesDataTable8711121314[[#This Row],[asofdate]],U:W,2,0)&lt;&gt;0,VLOOKUP(CurrentMtgRatesDataTable8711121314[[#This Row],[asofdate]],U:W,2,0),AK77)</f>
        <v>6.2547871487745293E-2</v>
      </c>
      <c r="AL78" s="30">
        <f>VLOOKUP(CurrentMtgRatesDataTable8711121314[[#This Row],[asofdate]],Z:AB,2,0)</f>
        <v>1.5473749600575E-2</v>
      </c>
      <c r="AM78" s="30">
        <f>CurrentMtgRatesDataTable8711121314[[#This Row],[FHA]]+0.5*CurrentMtgRatesDataTable8711121314[[#This Row],[Conventional]]</f>
        <v>7.2214683543757249E-2</v>
      </c>
      <c r="AN78" s="30">
        <f>2*CurrentMtgRatesDataTable8711121314[[#This Row],[FHA]]</f>
        <v>0.1329798860858</v>
      </c>
      <c r="AO78" s="11">
        <f>VLOOKUP(YEAR(CurrentMtgRatesDataTable8711121314[[#This Row],[asofdate]]),OriginationVolume!$A:$N,8,FALSE)</f>
        <v>0.68277430358158042</v>
      </c>
      <c r="AP78" s="11">
        <f>VLOOKUP(YEAR(CurrentMtgRatesDataTable8711121314[[#This Row],[asofdate]]),OriginationVolume!$A:$N,9,FALSE)</f>
        <v>6.4098919840818641E-2</v>
      </c>
      <c r="AQ78" s="11">
        <f>VLOOKUP(YEAR(CurrentMtgRatesDataTable8711121314[[#This Row],[asofdate]]),OriginationVolume!$A:$N,10,FALSE)</f>
        <v>0.19229675952245595</v>
      </c>
      <c r="AR78" s="11">
        <f>VLOOKUP(YEAR(CurrentMtgRatesDataTable8711121314[[#This Row],[asofdate]]),OriginationVolume!$A:$N,11,FALSE)</f>
        <v>5.5144968732234227E-2</v>
      </c>
      <c r="AS78" s="11">
        <f>VLOOKUP(YEAR(CurrentMtgRatesDataTable8711121314[[#This Row],[asofdate]]),OriginationVolume!$A:$N,12,FALSE)</f>
        <v>3.4110289937464467E-3</v>
      </c>
      <c r="AT78" s="11">
        <f>VLOOKUP(YEAR(CurrentMtgRatesDataTable8711121314[[#This Row],[asofdate]]),OriginationVolume!$A:$N,13,FALSE)</f>
        <v>2.2740193291642978E-3</v>
      </c>
      <c r="AU7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AW78" s="7" t="s">
        <v>107</v>
      </c>
      <c r="AX78" s="10">
        <v>873440000</v>
      </c>
      <c r="AY78" s="31"/>
      <c r="BA78" s="7" t="s">
        <v>107</v>
      </c>
      <c r="BB78" s="10">
        <v>166008000</v>
      </c>
      <c r="BC78" s="31"/>
      <c r="BE78" s="7" t="s">
        <v>107</v>
      </c>
      <c r="BF78" s="10">
        <v>12474284900.35</v>
      </c>
      <c r="BG78" s="34"/>
      <c r="BI78" s="7" t="s">
        <v>107</v>
      </c>
      <c r="BJ78" s="10">
        <v>11434836900.35</v>
      </c>
      <c r="BK78" s="34" t="str">
        <f>YEAR(CurrentMtgRatesDataTable871112131417[[#This Row],[asofdate]])&amp;"-"&amp;MONTH(CurrentMtgRatesDataTable871112131417[[#This Row],[asofdate]])</f>
        <v>2009-6</v>
      </c>
      <c r="BL78" s="34">
        <f>CurrentMtgRatesDataTable871112131417[[#This Row],[SeriesNumValue]]</f>
        <v>11434836900.35</v>
      </c>
      <c r="BM78" s="34">
        <f>VLOOKUP(CurrentMtgRatesDataTable871112131417[[#This Row],[asofdate]],AW:AX,2,0)</f>
        <v>873440000</v>
      </c>
      <c r="BN78" s="30">
        <f>IF(VLOOKUP(CurrentMtgRatesDataTable871112131417[[#This Row],[asofdate]],BA:BB,2,0)&lt;&gt;0,VLOOKUP(CurrentMtgRatesDataTable871112131417[[#This Row],[asofdate]],BA:BB,2,0),BN77)</f>
        <v>166008000</v>
      </c>
      <c r="BO78" s="30">
        <f>VLOOKUP(CurrentMtgRatesDataTable871112131417[[#This Row],[asofdate]],BE:BF,2,0)</f>
        <v>12474284900.35</v>
      </c>
    </row>
    <row r="79" spans="1:67" s="8" customFormat="1">
      <c r="A79" s="7" t="s">
        <v>108</v>
      </c>
      <c r="B79" s="10">
        <v>9.6949503218776208E-3</v>
      </c>
      <c r="C79" s="10" t="str">
        <f>YEAR(CurrentMtgRatesDataTable8[[#This Row],[asofdate]])&amp;"-"&amp;MONTH(CurrentMtgRatesDataTable8[[#This Row],[asofdate]])</f>
        <v>2009-7</v>
      </c>
      <c r="D79" s="6">
        <f>((CurrentMtgRatesDataTable8[[#This Row],[SeriesNumValue]]-$D$1)/$D$1+1)*100</f>
        <v>64.63300214585081</v>
      </c>
      <c r="E79" s="6"/>
      <c r="I79" s="7" t="s">
        <v>106</v>
      </c>
      <c r="J79" s="10">
        <v>1.20494515545658E-2</v>
      </c>
      <c r="K79" s="10" t="str">
        <f>YEAR(CurrentMtgRatesDataTable89[[#This Row],[asofdate]])&amp;"-"&amp;MONTH(CurrentMtgRatesDataTable89[[#This Row],[asofdate]])</f>
        <v>2009-5</v>
      </c>
      <c r="L79" s="6">
        <f>((CurrentMtgRatesDataTable89[[#This Row],[SeriesNumValue]]-$D$1)/$D$1+1)*100</f>
        <v>80.329677030438674</v>
      </c>
      <c r="M79" s="6">
        <f>CurrentMtgRatesDataTable89[[#This Row],[Index]]-L80</f>
        <v>3.6589707568853385</v>
      </c>
      <c r="P79" s="7" t="s">
        <v>108</v>
      </c>
      <c r="Q79" s="10">
        <v>6.2301954306724798E-2</v>
      </c>
      <c r="R79" s="31">
        <f>((CurrentMtgRatesDataTable8711[[#This Row],[SeriesNumValue]]-$D$1)/$D$1+1)*100</f>
        <v>415.34636204483206</v>
      </c>
      <c r="S79" s="31"/>
      <c r="U79" s="7" t="s">
        <v>108</v>
      </c>
      <c r="V79" s="10">
        <v>6.3204319708041495E-2</v>
      </c>
      <c r="W79" s="31">
        <f>((CurrentMtgRatesDataTable871112[[#This Row],[SeriesNumValue]]-$D$1)/$D$1+1)*100</f>
        <v>421.36213138694336</v>
      </c>
      <c r="X79" s="31"/>
      <c r="Z79" s="7" t="s">
        <v>108</v>
      </c>
      <c r="AA79" s="10">
        <v>1.41310490857688E-2</v>
      </c>
      <c r="AB79" s="34">
        <f>((CurrentMtgRatesDataTable87111213[[#This Row],[SeriesNumValue]]-$D$1)/$D$1+1)*100</f>
        <v>94.20699390512533</v>
      </c>
      <c r="AC79" s="34"/>
      <c r="AE79" s="7" t="s">
        <v>108</v>
      </c>
      <c r="AF79" s="10">
        <v>1.0724321486784E-2</v>
      </c>
      <c r="AG79" s="34">
        <f>((CurrentMtgRatesDataTable8711121314[[#This Row],[SeriesNumValue]]-$D$1)/$D$1+1)*100</f>
        <v>71.495476578560016</v>
      </c>
      <c r="AH79" s="34" t="str">
        <f>YEAR(CurrentMtgRatesDataTable8711121314[[#This Row],[asofdate]])&amp;"-"&amp;MONTH(CurrentMtgRatesDataTable8711121314[[#This Row],[asofdate]])</f>
        <v>2009-7</v>
      </c>
      <c r="AI79" s="34">
        <f>CurrentMtgRatesDataTable8711121314[[#This Row],[SeriesNumValue]]</f>
        <v>1.0724321486784E-2</v>
      </c>
      <c r="AJ79" s="34">
        <f>VLOOKUP(CurrentMtgRatesDataTable8711121314[[#This Row],[asofdate]],P:R,2,0)</f>
        <v>6.2301954306724798E-2</v>
      </c>
      <c r="AK79" s="30">
        <f>IF(VLOOKUP(CurrentMtgRatesDataTable8711121314[[#This Row],[asofdate]],U:W,2,0)&lt;&gt;0,VLOOKUP(CurrentMtgRatesDataTable8711121314[[#This Row],[asofdate]],U:W,2,0),AK78)</f>
        <v>6.3204319708041495E-2</v>
      </c>
      <c r="AL79" s="30">
        <f>VLOOKUP(CurrentMtgRatesDataTable8711121314[[#This Row],[asofdate]],Z:AB,2,0)</f>
        <v>1.41310490857688E-2</v>
      </c>
      <c r="AM79" s="30">
        <f>CurrentMtgRatesDataTable8711121314[[#This Row],[FHA]]+0.5*CurrentMtgRatesDataTable8711121314[[#This Row],[Conventional]]</f>
        <v>6.7664115050116797E-2</v>
      </c>
      <c r="AN79" s="30">
        <f>2*CurrentMtgRatesDataTable8711121314[[#This Row],[FHA]]</f>
        <v>0.1246039086134496</v>
      </c>
      <c r="AO79" s="11">
        <f>VLOOKUP(YEAR(CurrentMtgRatesDataTable8711121314[[#This Row],[asofdate]]),OriginationVolume!$A:$N,8,FALSE)</f>
        <v>0.68277430358158042</v>
      </c>
      <c r="AP79" s="11">
        <f>VLOOKUP(YEAR(CurrentMtgRatesDataTable8711121314[[#This Row],[asofdate]]),OriginationVolume!$A:$N,9,FALSE)</f>
        <v>6.4098919840818641E-2</v>
      </c>
      <c r="AQ79" s="11">
        <f>VLOOKUP(YEAR(CurrentMtgRatesDataTable8711121314[[#This Row],[asofdate]]),OriginationVolume!$A:$N,10,FALSE)</f>
        <v>0.19229675952245595</v>
      </c>
      <c r="AR79" s="11">
        <f>VLOOKUP(YEAR(CurrentMtgRatesDataTable8711121314[[#This Row],[asofdate]]),OriginationVolume!$A:$N,11,FALSE)</f>
        <v>5.5144968732234227E-2</v>
      </c>
      <c r="AS79" s="11">
        <f>VLOOKUP(YEAR(CurrentMtgRatesDataTable8711121314[[#This Row],[asofdate]]),OriginationVolume!$A:$N,12,FALSE)</f>
        <v>3.4110289937464467E-3</v>
      </c>
      <c r="AT79" s="11">
        <f>VLOOKUP(YEAR(CurrentMtgRatesDataTable8711121314[[#This Row],[asofdate]]),OriginationVolume!$A:$N,13,FALSE)</f>
        <v>2.2740193291642978E-3</v>
      </c>
      <c r="AU7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AW79" s="7" t="s">
        <v>108</v>
      </c>
      <c r="AX79" s="10">
        <v>933343000</v>
      </c>
      <c r="AY79" s="31"/>
      <c r="BA79" s="7" t="s">
        <v>108</v>
      </c>
      <c r="BB79" s="10">
        <v>163058000</v>
      </c>
      <c r="BC79" s="31"/>
      <c r="BE79" s="7" t="s">
        <v>108</v>
      </c>
      <c r="BF79" s="10">
        <v>14867477660.629999</v>
      </c>
      <c r="BG79" s="34"/>
      <c r="BI79" s="7" t="s">
        <v>108</v>
      </c>
      <c r="BJ79" s="10">
        <v>13771076660.629999</v>
      </c>
      <c r="BK79" s="34" t="str">
        <f>YEAR(CurrentMtgRatesDataTable871112131417[[#This Row],[asofdate]])&amp;"-"&amp;MONTH(CurrentMtgRatesDataTable871112131417[[#This Row],[asofdate]])</f>
        <v>2009-7</v>
      </c>
      <c r="BL79" s="34">
        <f>CurrentMtgRatesDataTable871112131417[[#This Row],[SeriesNumValue]]</f>
        <v>13771076660.629999</v>
      </c>
      <c r="BM79" s="34">
        <f>VLOOKUP(CurrentMtgRatesDataTable871112131417[[#This Row],[asofdate]],AW:AX,2,0)</f>
        <v>933343000</v>
      </c>
      <c r="BN79" s="30">
        <f>IF(VLOOKUP(CurrentMtgRatesDataTable871112131417[[#This Row],[asofdate]],BA:BB,2,0)&lt;&gt;0,VLOOKUP(CurrentMtgRatesDataTable871112131417[[#This Row],[asofdate]],BA:BB,2,0),BN78)</f>
        <v>163058000</v>
      </c>
      <c r="BO79" s="30">
        <f>VLOOKUP(CurrentMtgRatesDataTable871112131417[[#This Row],[asofdate]],BE:BF,2,0)</f>
        <v>14867477660.629999</v>
      </c>
    </row>
    <row r="80" spans="1:67" s="8" customFormat="1">
      <c r="A80" s="7" t="s">
        <v>109</v>
      </c>
      <c r="B80" s="10">
        <v>9.6115791828975707E-3</v>
      </c>
      <c r="C80" s="10" t="str">
        <f>YEAR(CurrentMtgRatesDataTable8[[#This Row],[asofdate]])&amp;"-"&amp;MONTH(CurrentMtgRatesDataTable8[[#This Row],[asofdate]])</f>
        <v>2009-8</v>
      </c>
      <c r="D80" s="6">
        <f>((CurrentMtgRatesDataTable8[[#This Row],[SeriesNumValue]]-$D$1)/$D$1+1)*100</f>
        <v>64.077194552650468</v>
      </c>
      <c r="E80" s="6"/>
      <c r="I80" s="7" t="s">
        <v>105</v>
      </c>
      <c r="J80" s="10">
        <v>1.1500605941033E-2</v>
      </c>
      <c r="K80" s="10" t="str">
        <f>YEAR(CurrentMtgRatesDataTable89[[#This Row],[asofdate]])&amp;"-"&amp;MONTH(CurrentMtgRatesDataTable89[[#This Row],[asofdate]])</f>
        <v>2009-4</v>
      </c>
      <c r="L80" s="6">
        <f>((CurrentMtgRatesDataTable89[[#This Row],[SeriesNumValue]]-$D$1)/$D$1+1)*100</f>
        <v>76.670706273553336</v>
      </c>
      <c r="M80" s="6">
        <f>CurrentMtgRatesDataTable89[[#This Row],[Index]]-L81</f>
        <v>-3.0681186973099983</v>
      </c>
      <c r="P80" s="7" t="s">
        <v>109</v>
      </c>
      <c r="Q80" s="10">
        <v>5.92673314950833E-2</v>
      </c>
      <c r="R80" s="31">
        <f>((CurrentMtgRatesDataTable8711[[#This Row],[SeriesNumValue]]-$D$1)/$D$1+1)*100</f>
        <v>395.11554330055537</v>
      </c>
      <c r="S80" s="31"/>
      <c r="U80" s="7" t="s">
        <v>109</v>
      </c>
      <c r="V80" s="10">
        <v>4.9912524929129003E-2</v>
      </c>
      <c r="W80" s="31">
        <f>((CurrentMtgRatesDataTable871112[[#This Row],[SeriesNumValue]]-$D$1)/$D$1+1)*100</f>
        <v>332.75016619419335</v>
      </c>
      <c r="X80" s="31"/>
      <c r="Z80" s="7" t="s">
        <v>109</v>
      </c>
      <c r="AA80" s="10">
        <v>1.1388586204772001E-2</v>
      </c>
      <c r="AB80" s="34">
        <f>((CurrentMtgRatesDataTable87111213[[#This Row],[SeriesNumValue]]-$D$1)/$D$1+1)*100</f>
        <v>75.92390803181334</v>
      </c>
      <c r="AC80" s="34"/>
      <c r="AE80" s="7" t="s">
        <v>109</v>
      </c>
      <c r="AF80" s="10">
        <v>9.1456582353529603E-3</v>
      </c>
      <c r="AG80" s="34">
        <f>((CurrentMtgRatesDataTable8711121314[[#This Row],[SeriesNumValue]]-$D$1)/$D$1+1)*100</f>
        <v>60.971054902353075</v>
      </c>
      <c r="AH80" s="34" t="str">
        <f>YEAR(CurrentMtgRatesDataTable8711121314[[#This Row],[asofdate]])&amp;"-"&amp;MONTH(CurrentMtgRatesDataTable8711121314[[#This Row],[asofdate]])</f>
        <v>2009-8</v>
      </c>
      <c r="AI80" s="34">
        <f>CurrentMtgRatesDataTable8711121314[[#This Row],[SeriesNumValue]]</f>
        <v>9.1456582353529603E-3</v>
      </c>
      <c r="AJ80" s="34">
        <f>VLOOKUP(CurrentMtgRatesDataTable8711121314[[#This Row],[asofdate]],P:R,2,0)</f>
        <v>5.92673314950833E-2</v>
      </c>
      <c r="AK80" s="30">
        <f>IF(VLOOKUP(CurrentMtgRatesDataTable8711121314[[#This Row],[asofdate]],U:W,2,0)&lt;&gt;0,VLOOKUP(CurrentMtgRatesDataTable8711121314[[#This Row],[asofdate]],U:W,2,0),AK79)</f>
        <v>4.9912524929129003E-2</v>
      </c>
      <c r="AL80" s="30">
        <f>VLOOKUP(CurrentMtgRatesDataTable8711121314[[#This Row],[asofdate]],Z:AB,2,0)</f>
        <v>1.1388586204772001E-2</v>
      </c>
      <c r="AM80" s="30">
        <f>CurrentMtgRatesDataTable8711121314[[#This Row],[FHA]]+0.5*CurrentMtgRatesDataTable8711121314[[#This Row],[Conventional]]</f>
        <v>6.384016061275978E-2</v>
      </c>
      <c r="AN80" s="30">
        <f>2*CurrentMtgRatesDataTable8711121314[[#This Row],[FHA]]</f>
        <v>0.1185346629901666</v>
      </c>
      <c r="AO80" s="11">
        <f>VLOOKUP(YEAR(CurrentMtgRatesDataTable8711121314[[#This Row],[asofdate]]),OriginationVolume!$A:$N,8,FALSE)</f>
        <v>0.68277430358158042</v>
      </c>
      <c r="AP80" s="11">
        <f>VLOOKUP(YEAR(CurrentMtgRatesDataTable8711121314[[#This Row],[asofdate]]),OriginationVolume!$A:$N,9,FALSE)</f>
        <v>6.4098919840818641E-2</v>
      </c>
      <c r="AQ80" s="11">
        <f>VLOOKUP(YEAR(CurrentMtgRatesDataTable8711121314[[#This Row],[asofdate]]),OriginationVolume!$A:$N,10,FALSE)</f>
        <v>0.19229675952245595</v>
      </c>
      <c r="AR80" s="11">
        <f>VLOOKUP(YEAR(CurrentMtgRatesDataTable8711121314[[#This Row],[asofdate]]),OriginationVolume!$A:$N,11,FALSE)</f>
        <v>5.5144968732234227E-2</v>
      </c>
      <c r="AS80" s="11">
        <f>VLOOKUP(YEAR(CurrentMtgRatesDataTable8711121314[[#This Row],[asofdate]]),OriginationVolume!$A:$N,12,FALSE)</f>
        <v>3.4110289937464467E-3</v>
      </c>
      <c r="AT80" s="11">
        <f>VLOOKUP(YEAR(CurrentMtgRatesDataTable8711121314[[#This Row],[asofdate]]),OriginationVolume!$A:$N,13,FALSE)</f>
        <v>2.2740193291642978E-3</v>
      </c>
      <c r="AU8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AW80" s="7" t="s">
        <v>109</v>
      </c>
      <c r="AX80" s="10">
        <v>715813000</v>
      </c>
      <c r="AY80" s="31"/>
      <c r="BA80" s="7" t="s">
        <v>109</v>
      </c>
      <c r="BB80" s="10">
        <v>203310000</v>
      </c>
      <c r="BC80" s="31"/>
      <c r="BE80" s="7" t="s">
        <v>109</v>
      </c>
      <c r="BF80" s="10">
        <v>16706553284.77</v>
      </c>
      <c r="BG80" s="34"/>
      <c r="BI80" s="7" t="s">
        <v>109</v>
      </c>
      <c r="BJ80" s="10">
        <v>15787430284.77</v>
      </c>
      <c r="BK80" s="34" t="str">
        <f>YEAR(CurrentMtgRatesDataTable871112131417[[#This Row],[asofdate]])&amp;"-"&amp;MONTH(CurrentMtgRatesDataTable871112131417[[#This Row],[asofdate]])</f>
        <v>2009-8</v>
      </c>
      <c r="BL80" s="34">
        <f>CurrentMtgRatesDataTable871112131417[[#This Row],[SeriesNumValue]]</f>
        <v>15787430284.77</v>
      </c>
      <c r="BM80" s="34">
        <f>VLOOKUP(CurrentMtgRatesDataTable871112131417[[#This Row],[asofdate]],AW:AX,2,0)</f>
        <v>715813000</v>
      </c>
      <c r="BN80" s="30">
        <f>IF(VLOOKUP(CurrentMtgRatesDataTable871112131417[[#This Row],[asofdate]],BA:BB,2,0)&lt;&gt;0,VLOOKUP(CurrentMtgRatesDataTable871112131417[[#This Row],[asofdate]],BA:BB,2,0),BN79)</f>
        <v>203310000</v>
      </c>
      <c r="BO80" s="30">
        <f>VLOOKUP(CurrentMtgRatesDataTable871112131417[[#This Row],[asofdate]],BE:BF,2,0)</f>
        <v>16706553284.77</v>
      </c>
    </row>
    <row r="81" spans="1:67" s="8" customFormat="1">
      <c r="A81" s="7" t="s">
        <v>110</v>
      </c>
      <c r="B81" s="10">
        <v>1.10596617389417E-2</v>
      </c>
      <c r="C81" s="10" t="str">
        <f>YEAR(CurrentMtgRatesDataTable8[[#This Row],[asofdate]])&amp;"-"&amp;MONTH(CurrentMtgRatesDataTable8[[#This Row],[asofdate]])</f>
        <v>2009-9</v>
      </c>
      <c r="D81" s="6">
        <f>((CurrentMtgRatesDataTable8[[#This Row],[SeriesNumValue]]-$D$1)/$D$1+1)*100</f>
        <v>73.731078259611337</v>
      </c>
      <c r="E81" s="6"/>
      <c r="I81" s="7" t="s">
        <v>104</v>
      </c>
      <c r="J81" s="10">
        <v>1.19608237456295E-2</v>
      </c>
      <c r="K81" s="10" t="str">
        <f>YEAR(CurrentMtgRatesDataTable89[[#This Row],[asofdate]])&amp;"-"&amp;MONTH(CurrentMtgRatesDataTable89[[#This Row],[asofdate]])</f>
        <v>2009-3</v>
      </c>
      <c r="L81" s="6">
        <f>((CurrentMtgRatesDataTable89[[#This Row],[SeriesNumValue]]-$D$1)/$D$1+1)*100</f>
        <v>79.738824970863334</v>
      </c>
      <c r="M81" s="6">
        <f>CurrentMtgRatesDataTable89[[#This Row],[Index]]-L82</f>
        <v>-20.877129311731338</v>
      </c>
      <c r="P81" s="7" t="s">
        <v>110</v>
      </c>
      <c r="Q81" s="10">
        <v>6.8005277207944095E-2</v>
      </c>
      <c r="R81" s="31">
        <f>((CurrentMtgRatesDataTable8711[[#This Row],[SeriesNumValue]]-$D$1)/$D$1+1)*100</f>
        <v>453.36851471962734</v>
      </c>
      <c r="S81" s="31"/>
      <c r="U81" s="7" t="s">
        <v>110</v>
      </c>
      <c r="V81" s="10">
        <v>6.14172208510139E-2</v>
      </c>
      <c r="W81" s="31">
        <f>((CurrentMtgRatesDataTable871112[[#This Row],[SeriesNumValue]]-$D$1)/$D$1+1)*100</f>
        <v>409.44813900675933</v>
      </c>
      <c r="X81" s="31"/>
      <c r="Z81" s="7" t="s">
        <v>110</v>
      </c>
      <c r="AA81" s="10">
        <v>1.3828378660691301E-2</v>
      </c>
      <c r="AB81" s="34">
        <f>((CurrentMtgRatesDataTable87111213[[#This Row],[SeriesNumValue]]-$D$1)/$D$1+1)*100</f>
        <v>92.189191071275346</v>
      </c>
      <c r="AC81" s="34"/>
      <c r="AE81" s="7" t="s">
        <v>110</v>
      </c>
      <c r="AF81" s="10">
        <v>1.08993077818714E-2</v>
      </c>
      <c r="AG81" s="34">
        <f>((CurrentMtgRatesDataTable8711121314[[#This Row],[SeriesNumValue]]-$D$1)/$D$1+1)*100</f>
        <v>72.66205187914268</v>
      </c>
      <c r="AH81" s="34" t="str">
        <f>YEAR(CurrentMtgRatesDataTable8711121314[[#This Row],[asofdate]])&amp;"-"&amp;MONTH(CurrentMtgRatesDataTable8711121314[[#This Row],[asofdate]])</f>
        <v>2009-9</v>
      </c>
      <c r="AI81" s="34">
        <f>CurrentMtgRatesDataTable8711121314[[#This Row],[SeriesNumValue]]</f>
        <v>1.08993077818714E-2</v>
      </c>
      <c r="AJ81" s="34">
        <f>VLOOKUP(CurrentMtgRatesDataTable8711121314[[#This Row],[asofdate]],P:R,2,0)</f>
        <v>6.8005277207944095E-2</v>
      </c>
      <c r="AK81" s="30">
        <f>IF(VLOOKUP(CurrentMtgRatesDataTable8711121314[[#This Row],[asofdate]],U:W,2,0)&lt;&gt;0,VLOOKUP(CurrentMtgRatesDataTable8711121314[[#This Row],[asofdate]],U:W,2,0),AK80)</f>
        <v>6.14172208510139E-2</v>
      </c>
      <c r="AL81" s="30">
        <f>VLOOKUP(CurrentMtgRatesDataTable8711121314[[#This Row],[asofdate]],Z:AB,2,0)</f>
        <v>1.3828378660691301E-2</v>
      </c>
      <c r="AM81" s="30">
        <f>CurrentMtgRatesDataTable8711121314[[#This Row],[FHA]]+0.5*CurrentMtgRatesDataTable8711121314[[#This Row],[Conventional]]</f>
        <v>7.3454931098879794E-2</v>
      </c>
      <c r="AN81" s="30">
        <f>2*CurrentMtgRatesDataTable8711121314[[#This Row],[FHA]]</f>
        <v>0.13601055441588819</v>
      </c>
      <c r="AO81" s="11">
        <f>VLOOKUP(YEAR(CurrentMtgRatesDataTable8711121314[[#This Row],[asofdate]]),OriginationVolume!$A:$N,8,FALSE)</f>
        <v>0.68277430358158042</v>
      </c>
      <c r="AP81" s="11">
        <f>VLOOKUP(YEAR(CurrentMtgRatesDataTable8711121314[[#This Row],[asofdate]]),OriginationVolume!$A:$N,9,FALSE)</f>
        <v>6.4098919840818641E-2</v>
      </c>
      <c r="AQ81" s="11">
        <f>VLOOKUP(YEAR(CurrentMtgRatesDataTable8711121314[[#This Row],[asofdate]]),OriginationVolume!$A:$N,10,FALSE)</f>
        <v>0.19229675952245595</v>
      </c>
      <c r="AR81" s="11">
        <f>VLOOKUP(YEAR(CurrentMtgRatesDataTable8711121314[[#This Row],[asofdate]]),OriginationVolume!$A:$N,11,FALSE)</f>
        <v>5.5144968732234227E-2</v>
      </c>
      <c r="AS81" s="11">
        <f>VLOOKUP(YEAR(CurrentMtgRatesDataTable8711121314[[#This Row],[asofdate]]),OriginationVolume!$A:$N,12,FALSE)</f>
        <v>3.4110289937464467E-3</v>
      </c>
      <c r="AT81" s="11">
        <f>VLOOKUP(YEAR(CurrentMtgRatesDataTable8711121314[[#This Row],[asofdate]]),OriginationVolume!$A:$N,13,FALSE)</f>
        <v>2.2740193291642978E-3</v>
      </c>
      <c r="AU8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AW81" s="7" t="s">
        <v>110</v>
      </c>
      <c r="AX81" s="10">
        <v>770343000</v>
      </c>
      <c r="AY81" s="31"/>
      <c r="BA81" s="7" t="s">
        <v>110</v>
      </c>
      <c r="BB81" s="10">
        <v>148117000</v>
      </c>
      <c r="BC81" s="31"/>
      <c r="BE81" s="7" t="s">
        <v>110</v>
      </c>
      <c r="BF81" s="10">
        <v>15939928257.370001</v>
      </c>
      <c r="BG81" s="34"/>
      <c r="BI81" s="7" t="s">
        <v>110</v>
      </c>
      <c r="BJ81" s="10">
        <v>15021468257.370001</v>
      </c>
      <c r="BK81" s="34" t="str">
        <f>YEAR(CurrentMtgRatesDataTable871112131417[[#This Row],[asofdate]])&amp;"-"&amp;MONTH(CurrentMtgRatesDataTable871112131417[[#This Row],[asofdate]])</f>
        <v>2009-9</v>
      </c>
      <c r="BL81" s="34">
        <f>CurrentMtgRatesDataTable871112131417[[#This Row],[SeriesNumValue]]</f>
        <v>15021468257.370001</v>
      </c>
      <c r="BM81" s="34">
        <f>VLOOKUP(CurrentMtgRatesDataTable871112131417[[#This Row],[asofdate]],AW:AX,2,0)</f>
        <v>770343000</v>
      </c>
      <c r="BN81" s="30">
        <f>IF(VLOOKUP(CurrentMtgRatesDataTable871112131417[[#This Row],[asofdate]],BA:BB,2,0)&lt;&gt;0,VLOOKUP(CurrentMtgRatesDataTable871112131417[[#This Row],[asofdate]],BA:BB,2,0),BN80)</f>
        <v>148117000</v>
      </c>
      <c r="BO81" s="30">
        <f>VLOOKUP(CurrentMtgRatesDataTable871112131417[[#This Row],[asofdate]],BE:BF,2,0)</f>
        <v>15939928257.370001</v>
      </c>
    </row>
    <row r="82" spans="1:67" s="8" customFormat="1">
      <c r="A82" s="7" t="s">
        <v>111</v>
      </c>
      <c r="B82" s="10">
        <v>1.1841402944076901E-2</v>
      </c>
      <c r="C82" s="10" t="str">
        <f>YEAR(CurrentMtgRatesDataTable8[[#This Row],[asofdate]])&amp;"-"&amp;MONTH(CurrentMtgRatesDataTable8[[#This Row],[asofdate]])</f>
        <v>2009-10</v>
      </c>
      <c r="D82" s="6">
        <f>((CurrentMtgRatesDataTable8[[#This Row],[SeriesNumValue]]-$D$1)/$D$1+1)*100</f>
        <v>78.942686293846009</v>
      </c>
      <c r="E82" s="6"/>
      <c r="I82" s="7" t="s">
        <v>103</v>
      </c>
      <c r="J82" s="10">
        <v>1.50923931423892E-2</v>
      </c>
      <c r="K82" s="10" t="str">
        <f>YEAR(CurrentMtgRatesDataTable89[[#This Row],[asofdate]])&amp;"-"&amp;MONTH(CurrentMtgRatesDataTable89[[#This Row],[asofdate]])</f>
        <v>2009-2</v>
      </c>
      <c r="L82" s="6">
        <f>((CurrentMtgRatesDataTable89[[#This Row],[SeriesNumValue]]-$D$1)/$D$1+1)*100</f>
        <v>100.61595428259467</v>
      </c>
      <c r="M82" s="6">
        <f>CurrentMtgRatesDataTable89[[#This Row],[Index]]-L83</f>
        <v>-15.642878112706654</v>
      </c>
      <c r="P82" s="7" t="s">
        <v>111</v>
      </c>
      <c r="Q82" s="10">
        <v>7.0066056895199597E-2</v>
      </c>
      <c r="R82" s="31">
        <f>((CurrentMtgRatesDataTable8711[[#This Row],[SeriesNumValue]]-$D$1)/$D$1+1)*100</f>
        <v>467.10704596799735</v>
      </c>
      <c r="S82" s="31"/>
      <c r="U82" s="7" t="s">
        <v>111</v>
      </c>
      <c r="V82" s="10">
        <v>6.1390904287183197E-2</v>
      </c>
      <c r="W82" s="31">
        <f>((CurrentMtgRatesDataTable871112[[#This Row],[SeriesNumValue]]-$D$1)/$D$1+1)*100</f>
        <v>409.27269524788807</v>
      </c>
      <c r="X82" s="31"/>
      <c r="Z82" s="7" t="s">
        <v>111</v>
      </c>
      <c r="AA82" s="10">
        <v>1.42364241092544E-2</v>
      </c>
      <c r="AB82" s="34">
        <f>((CurrentMtgRatesDataTable87111213[[#This Row],[SeriesNumValue]]-$D$1)/$D$1+1)*100</f>
        <v>94.909494061695995</v>
      </c>
      <c r="AC82" s="34"/>
      <c r="AE82" s="7" t="s">
        <v>111</v>
      </c>
      <c r="AF82" s="10">
        <v>1.13315361956783E-2</v>
      </c>
      <c r="AG82" s="34">
        <f>((CurrentMtgRatesDataTable8711121314[[#This Row],[SeriesNumValue]]-$D$1)/$D$1+1)*100</f>
        <v>75.543574637855343</v>
      </c>
      <c r="AH82" s="34" t="str">
        <f>YEAR(CurrentMtgRatesDataTable8711121314[[#This Row],[asofdate]])&amp;"-"&amp;MONTH(CurrentMtgRatesDataTable8711121314[[#This Row],[asofdate]])</f>
        <v>2009-10</v>
      </c>
      <c r="AI82" s="34">
        <f>CurrentMtgRatesDataTable8711121314[[#This Row],[SeriesNumValue]]</f>
        <v>1.13315361956783E-2</v>
      </c>
      <c r="AJ82" s="34">
        <f>VLOOKUP(CurrentMtgRatesDataTable8711121314[[#This Row],[asofdate]],P:R,2,0)</f>
        <v>7.0066056895199597E-2</v>
      </c>
      <c r="AK82" s="30">
        <f>IF(VLOOKUP(CurrentMtgRatesDataTable8711121314[[#This Row],[asofdate]],U:W,2,0)&lt;&gt;0,VLOOKUP(CurrentMtgRatesDataTable8711121314[[#This Row],[asofdate]],U:W,2,0),AK81)</f>
        <v>6.1390904287183197E-2</v>
      </c>
      <c r="AL82" s="30">
        <f>VLOOKUP(CurrentMtgRatesDataTable8711121314[[#This Row],[asofdate]],Z:AB,2,0)</f>
        <v>1.42364241092544E-2</v>
      </c>
      <c r="AM82" s="30">
        <f>CurrentMtgRatesDataTable8711121314[[#This Row],[FHA]]+0.5*CurrentMtgRatesDataTable8711121314[[#This Row],[Conventional]]</f>
        <v>7.5731824993038752E-2</v>
      </c>
      <c r="AN82" s="30">
        <f>2*CurrentMtgRatesDataTable8711121314[[#This Row],[FHA]]</f>
        <v>0.14013211379039919</v>
      </c>
      <c r="AO82" s="11">
        <f>VLOOKUP(YEAR(CurrentMtgRatesDataTable8711121314[[#This Row],[asofdate]]),OriginationVolume!$A:$N,8,FALSE)</f>
        <v>0.68277430358158042</v>
      </c>
      <c r="AP82" s="11">
        <f>VLOOKUP(YEAR(CurrentMtgRatesDataTable8711121314[[#This Row],[asofdate]]),OriginationVolume!$A:$N,9,FALSE)</f>
        <v>6.4098919840818641E-2</v>
      </c>
      <c r="AQ82" s="11">
        <f>VLOOKUP(YEAR(CurrentMtgRatesDataTable8711121314[[#This Row],[asofdate]]),OriginationVolume!$A:$N,10,FALSE)</f>
        <v>0.19229675952245595</v>
      </c>
      <c r="AR82" s="11">
        <f>VLOOKUP(YEAR(CurrentMtgRatesDataTable8711121314[[#This Row],[asofdate]]),OriginationVolume!$A:$N,11,FALSE)</f>
        <v>5.5144968732234227E-2</v>
      </c>
      <c r="AS82" s="11">
        <f>VLOOKUP(YEAR(CurrentMtgRatesDataTable8711121314[[#This Row],[asofdate]]),OriginationVolume!$A:$N,12,FALSE)</f>
        <v>3.4110289937464467E-3</v>
      </c>
      <c r="AT82" s="11">
        <f>VLOOKUP(YEAR(CurrentMtgRatesDataTable8711121314[[#This Row],[asofdate]]),OriginationVolume!$A:$N,13,FALSE)</f>
        <v>2.2740193291642978E-3</v>
      </c>
      <c r="AU8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AW82" s="7" t="s">
        <v>111</v>
      </c>
      <c r="AX82" s="10">
        <v>610776000</v>
      </c>
      <c r="AY82" s="31"/>
      <c r="BA82" s="7" t="s">
        <v>111</v>
      </c>
      <c r="BB82" s="10">
        <v>142960000</v>
      </c>
      <c r="BC82" s="31"/>
      <c r="BE82" s="7" t="s">
        <v>111</v>
      </c>
      <c r="BF82" s="10">
        <v>13528722032.889999</v>
      </c>
      <c r="BG82" s="34"/>
      <c r="BI82" s="7" t="s">
        <v>111</v>
      </c>
      <c r="BJ82" s="10">
        <v>12774986032.889999</v>
      </c>
      <c r="BK82" s="34" t="str">
        <f>YEAR(CurrentMtgRatesDataTable871112131417[[#This Row],[asofdate]])&amp;"-"&amp;MONTH(CurrentMtgRatesDataTable871112131417[[#This Row],[asofdate]])</f>
        <v>2009-10</v>
      </c>
      <c r="BL82" s="34">
        <f>CurrentMtgRatesDataTable871112131417[[#This Row],[SeriesNumValue]]</f>
        <v>12774986032.889999</v>
      </c>
      <c r="BM82" s="34">
        <f>VLOOKUP(CurrentMtgRatesDataTable871112131417[[#This Row],[asofdate]],AW:AX,2,0)</f>
        <v>610776000</v>
      </c>
      <c r="BN82" s="30">
        <f>IF(VLOOKUP(CurrentMtgRatesDataTable871112131417[[#This Row],[asofdate]],BA:BB,2,0)&lt;&gt;0,VLOOKUP(CurrentMtgRatesDataTable871112131417[[#This Row],[asofdate]],BA:BB,2,0),BN81)</f>
        <v>142960000</v>
      </c>
      <c r="BO82" s="30">
        <f>VLOOKUP(CurrentMtgRatesDataTable871112131417[[#This Row],[asofdate]],BE:BF,2,0)</f>
        <v>13528722032.889999</v>
      </c>
    </row>
    <row r="83" spans="1:67" s="8" customFormat="1">
      <c r="A83" s="7" t="s">
        <v>112</v>
      </c>
      <c r="B83" s="10">
        <v>1.20256431765603E-2</v>
      </c>
      <c r="C83" s="10" t="str">
        <f>YEAR(CurrentMtgRatesDataTable8[[#This Row],[asofdate]])&amp;"-"&amp;MONTH(CurrentMtgRatesDataTable8[[#This Row],[asofdate]])</f>
        <v>2009-11</v>
      </c>
      <c r="D83" s="6">
        <f>((CurrentMtgRatesDataTable8[[#This Row],[SeriesNumValue]]-$D$1)/$D$1+1)*100</f>
        <v>80.170954510401998</v>
      </c>
      <c r="E83" s="6"/>
      <c r="I83" s="7" t="s">
        <v>102</v>
      </c>
      <c r="J83" s="10">
        <v>1.74388248592952E-2</v>
      </c>
      <c r="K83" s="10" t="str">
        <f>YEAR(CurrentMtgRatesDataTable89[[#This Row],[asofdate]])&amp;"-"&amp;MONTH(CurrentMtgRatesDataTable89[[#This Row],[asofdate]])</f>
        <v>2009-1</v>
      </c>
      <c r="L83" s="6">
        <f>((CurrentMtgRatesDataTable89[[#This Row],[SeriesNumValue]]-$D$1)/$D$1+1)*100</f>
        <v>116.25883239530133</v>
      </c>
      <c r="M83" s="6">
        <f>CurrentMtgRatesDataTable89[[#This Row],[Index]]-L84</f>
        <v>28.252510902480665</v>
      </c>
      <c r="P83" s="7" t="s">
        <v>112</v>
      </c>
      <c r="Q83" s="10">
        <v>7.18039593407441E-2</v>
      </c>
      <c r="R83" s="31">
        <f>((CurrentMtgRatesDataTable8711[[#This Row],[SeriesNumValue]]-$D$1)/$D$1+1)*100</f>
        <v>478.6930622716273</v>
      </c>
      <c r="S83" s="31"/>
      <c r="U83" s="7" t="s">
        <v>112</v>
      </c>
      <c r="V83" s="10">
        <v>6.7723009407227197E-2</v>
      </c>
      <c r="W83" s="31">
        <f>((CurrentMtgRatesDataTable871112[[#This Row],[SeriesNumValue]]-$D$1)/$D$1+1)*100</f>
        <v>451.48672938151469</v>
      </c>
      <c r="X83" s="31"/>
      <c r="Z83" s="7" t="s">
        <v>112</v>
      </c>
      <c r="AA83" s="10">
        <v>1.5267103901716501E-2</v>
      </c>
      <c r="AB83" s="34">
        <f>((CurrentMtgRatesDataTable87111213[[#This Row],[SeriesNumValue]]-$D$1)/$D$1+1)*100</f>
        <v>101.78069267811</v>
      </c>
      <c r="AC83" s="34"/>
      <c r="AE83" s="7" t="s">
        <v>112</v>
      </c>
      <c r="AF83" s="10">
        <v>1.17542416448183E-2</v>
      </c>
      <c r="AG83" s="34">
        <f>((CurrentMtgRatesDataTable8711121314[[#This Row],[SeriesNumValue]]-$D$1)/$D$1+1)*100</f>
        <v>78.361610965455327</v>
      </c>
      <c r="AH83" s="34" t="str">
        <f>YEAR(CurrentMtgRatesDataTable8711121314[[#This Row],[asofdate]])&amp;"-"&amp;MONTH(CurrentMtgRatesDataTable8711121314[[#This Row],[asofdate]])</f>
        <v>2009-11</v>
      </c>
      <c r="AI83" s="34">
        <f>CurrentMtgRatesDataTable8711121314[[#This Row],[SeriesNumValue]]</f>
        <v>1.17542416448183E-2</v>
      </c>
      <c r="AJ83" s="34">
        <f>VLOOKUP(CurrentMtgRatesDataTable8711121314[[#This Row],[asofdate]],P:R,2,0)</f>
        <v>7.18039593407441E-2</v>
      </c>
      <c r="AK83" s="30">
        <f>IF(VLOOKUP(CurrentMtgRatesDataTable8711121314[[#This Row],[asofdate]],U:W,2,0)&lt;&gt;0,VLOOKUP(CurrentMtgRatesDataTable8711121314[[#This Row],[asofdate]],U:W,2,0),AK82)</f>
        <v>6.7723009407227197E-2</v>
      </c>
      <c r="AL83" s="30">
        <f>VLOOKUP(CurrentMtgRatesDataTable8711121314[[#This Row],[asofdate]],Z:AB,2,0)</f>
        <v>1.5267103901716501E-2</v>
      </c>
      <c r="AM83" s="30">
        <f>CurrentMtgRatesDataTable8711121314[[#This Row],[FHA]]+0.5*CurrentMtgRatesDataTable8711121314[[#This Row],[Conventional]]</f>
        <v>7.7681080163153254E-2</v>
      </c>
      <c r="AN83" s="30">
        <f>2*CurrentMtgRatesDataTable8711121314[[#This Row],[FHA]]</f>
        <v>0.1436079186814882</v>
      </c>
      <c r="AO83" s="11">
        <f>VLOOKUP(YEAR(CurrentMtgRatesDataTable8711121314[[#This Row],[asofdate]]),OriginationVolume!$A:$N,8,FALSE)</f>
        <v>0.68277430358158042</v>
      </c>
      <c r="AP83" s="11">
        <f>VLOOKUP(YEAR(CurrentMtgRatesDataTable8711121314[[#This Row],[asofdate]]),OriginationVolume!$A:$N,9,FALSE)</f>
        <v>6.4098919840818641E-2</v>
      </c>
      <c r="AQ83" s="11">
        <f>VLOOKUP(YEAR(CurrentMtgRatesDataTable8711121314[[#This Row],[asofdate]]),OriginationVolume!$A:$N,10,FALSE)</f>
        <v>0.19229675952245595</v>
      </c>
      <c r="AR83" s="11">
        <f>VLOOKUP(YEAR(CurrentMtgRatesDataTable8711121314[[#This Row],[asofdate]]),OriginationVolume!$A:$N,11,FALSE)</f>
        <v>5.5144968732234227E-2</v>
      </c>
      <c r="AS83" s="11">
        <f>VLOOKUP(YEAR(CurrentMtgRatesDataTable8711121314[[#This Row],[asofdate]]),OriginationVolume!$A:$N,12,FALSE)</f>
        <v>3.4110289937464467E-3</v>
      </c>
      <c r="AT83" s="11">
        <f>VLOOKUP(YEAR(CurrentMtgRatesDataTable8711121314[[#This Row],[asofdate]]),OriginationVolume!$A:$N,13,FALSE)</f>
        <v>2.2740193291642978E-3</v>
      </c>
      <c r="AU8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AW83" s="7" t="s">
        <v>112</v>
      </c>
      <c r="AX83" s="10">
        <v>655657000</v>
      </c>
      <c r="AY83" s="31"/>
      <c r="BA83" s="7" t="s">
        <v>112</v>
      </c>
      <c r="BB83" s="10">
        <v>153251000</v>
      </c>
      <c r="BC83" s="31"/>
      <c r="BE83" s="7" t="s">
        <v>112</v>
      </c>
      <c r="BF83" s="10">
        <v>12690846042.559999</v>
      </c>
      <c r="BG83" s="34"/>
      <c r="BI83" s="7" t="s">
        <v>112</v>
      </c>
      <c r="BJ83" s="10">
        <v>11881938042.559999</v>
      </c>
      <c r="BK83" s="34" t="str">
        <f>YEAR(CurrentMtgRatesDataTable871112131417[[#This Row],[asofdate]])&amp;"-"&amp;MONTH(CurrentMtgRatesDataTable871112131417[[#This Row],[asofdate]])</f>
        <v>2009-11</v>
      </c>
      <c r="BL83" s="34">
        <f>CurrentMtgRatesDataTable871112131417[[#This Row],[SeriesNumValue]]</f>
        <v>11881938042.559999</v>
      </c>
      <c r="BM83" s="34">
        <f>VLOOKUP(CurrentMtgRatesDataTable871112131417[[#This Row],[asofdate]],AW:AX,2,0)</f>
        <v>655657000</v>
      </c>
      <c r="BN83" s="30">
        <f>IF(VLOOKUP(CurrentMtgRatesDataTable871112131417[[#This Row],[asofdate]],BA:BB,2,0)&lt;&gt;0,VLOOKUP(CurrentMtgRatesDataTable871112131417[[#This Row],[asofdate]],BA:BB,2,0),BN82)</f>
        <v>153251000</v>
      </c>
      <c r="BO83" s="30">
        <f>VLOOKUP(CurrentMtgRatesDataTable871112131417[[#This Row],[asofdate]],BE:BF,2,0)</f>
        <v>12690846042.559999</v>
      </c>
    </row>
    <row r="84" spans="1:67" s="8" customFormat="1">
      <c r="A84" s="7" t="s">
        <v>113</v>
      </c>
      <c r="B84" s="10">
        <v>1.15347462545422E-2</v>
      </c>
      <c r="C84" s="10" t="str">
        <f>YEAR(CurrentMtgRatesDataTable8[[#This Row],[asofdate]])&amp;"-"&amp;MONTH(CurrentMtgRatesDataTable8[[#This Row],[asofdate]])</f>
        <v>2009-12</v>
      </c>
      <c r="D84" s="6">
        <f>((CurrentMtgRatesDataTable8[[#This Row],[SeriesNumValue]]-$D$1)/$D$1+1)*100</f>
        <v>76.89830836361466</v>
      </c>
      <c r="E84" s="6"/>
      <c r="I84" s="7" t="s">
        <v>101</v>
      </c>
      <c r="J84" s="10">
        <v>1.3200948223923099E-2</v>
      </c>
      <c r="K84" s="10" t="str">
        <f>YEAR(CurrentMtgRatesDataTable89[[#This Row],[asofdate]])&amp;"-"&amp;MONTH(CurrentMtgRatesDataTable89[[#This Row],[asofdate]])</f>
        <v>2008-12</v>
      </c>
      <c r="L84" s="6">
        <f>((CurrentMtgRatesDataTable89[[#This Row],[SeriesNumValue]]-$D$1)/$D$1+1)*100</f>
        <v>88.006321492820661</v>
      </c>
      <c r="M84" s="6">
        <f>CurrentMtgRatesDataTable89[[#This Row],[Index]]-L85</f>
        <v>-5.787973989358008</v>
      </c>
      <c r="P84" s="7" t="s">
        <v>113</v>
      </c>
      <c r="Q84" s="10">
        <v>6.7916944669552101E-2</v>
      </c>
      <c r="R84" s="31">
        <f>((CurrentMtgRatesDataTable8711[[#This Row],[SeriesNumValue]]-$D$1)/$D$1+1)*100</f>
        <v>452.77963113034741</v>
      </c>
      <c r="S84" s="31"/>
      <c r="U84" s="7" t="s">
        <v>113</v>
      </c>
      <c r="V84" s="10">
        <v>6.9173427498785203E-2</v>
      </c>
      <c r="W84" s="31">
        <f>((CurrentMtgRatesDataTable871112[[#This Row],[SeriesNumValue]]-$D$1)/$D$1+1)*100</f>
        <v>461.15618332523474</v>
      </c>
      <c r="X84" s="31"/>
      <c r="Z84" s="7" t="s">
        <v>113</v>
      </c>
      <c r="AA84" s="10">
        <v>1.5764339125978199E-2</v>
      </c>
      <c r="AB84" s="34">
        <f>((CurrentMtgRatesDataTable87111213[[#This Row],[SeriesNumValue]]-$D$1)/$D$1+1)*100</f>
        <v>105.09559417318799</v>
      </c>
      <c r="AC84" s="34"/>
      <c r="AE84" s="7" t="s">
        <v>113</v>
      </c>
      <c r="AF84" s="10">
        <v>1.1259845690290701E-2</v>
      </c>
      <c r="AG84" s="34">
        <f>((CurrentMtgRatesDataTable8711121314[[#This Row],[SeriesNumValue]]-$D$1)/$D$1+1)*100</f>
        <v>75.06563793527134</v>
      </c>
      <c r="AH84" s="34" t="str">
        <f>YEAR(CurrentMtgRatesDataTable8711121314[[#This Row],[asofdate]])&amp;"-"&amp;MONTH(CurrentMtgRatesDataTable8711121314[[#This Row],[asofdate]])</f>
        <v>2009-12</v>
      </c>
      <c r="AI84" s="34">
        <f>CurrentMtgRatesDataTable8711121314[[#This Row],[SeriesNumValue]]</f>
        <v>1.1259845690290701E-2</v>
      </c>
      <c r="AJ84" s="34">
        <f>VLOOKUP(CurrentMtgRatesDataTable8711121314[[#This Row],[asofdate]],P:R,2,0)</f>
        <v>6.7916944669552101E-2</v>
      </c>
      <c r="AK84" s="30">
        <f>IF(VLOOKUP(CurrentMtgRatesDataTable8711121314[[#This Row],[asofdate]],U:W,2,0)&lt;&gt;0,VLOOKUP(CurrentMtgRatesDataTable8711121314[[#This Row],[asofdate]],U:W,2,0),AK83)</f>
        <v>6.9173427498785203E-2</v>
      </c>
      <c r="AL84" s="30">
        <f>VLOOKUP(CurrentMtgRatesDataTable8711121314[[#This Row],[asofdate]],Z:AB,2,0)</f>
        <v>1.5764339125978199E-2</v>
      </c>
      <c r="AM84" s="30">
        <f>CurrentMtgRatesDataTable8711121314[[#This Row],[FHA]]+0.5*CurrentMtgRatesDataTable8711121314[[#This Row],[Conventional]]</f>
        <v>7.3546867514697453E-2</v>
      </c>
      <c r="AN84" s="30">
        <f>2*CurrentMtgRatesDataTable8711121314[[#This Row],[FHA]]</f>
        <v>0.1358338893391042</v>
      </c>
      <c r="AO84" s="11">
        <f>VLOOKUP(YEAR(CurrentMtgRatesDataTable8711121314[[#This Row],[asofdate]]),OriginationVolume!$A:$N,8,FALSE)</f>
        <v>0.68277430358158042</v>
      </c>
      <c r="AP84" s="11">
        <f>VLOOKUP(YEAR(CurrentMtgRatesDataTable8711121314[[#This Row],[asofdate]]),OriginationVolume!$A:$N,9,FALSE)</f>
        <v>6.4098919840818641E-2</v>
      </c>
      <c r="AQ84" s="11">
        <f>VLOOKUP(YEAR(CurrentMtgRatesDataTable8711121314[[#This Row],[asofdate]]),OriginationVolume!$A:$N,10,FALSE)</f>
        <v>0.19229675952245595</v>
      </c>
      <c r="AR84" s="11">
        <f>VLOOKUP(YEAR(CurrentMtgRatesDataTable8711121314[[#This Row],[asofdate]]),OriginationVolume!$A:$N,11,FALSE)</f>
        <v>5.5144968732234227E-2</v>
      </c>
      <c r="AS84" s="11">
        <f>VLOOKUP(YEAR(CurrentMtgRatesDataTable8711121314[[#This Row],[asofdate]]),OriginationVolume!$A:$N,12,FALSE)</f>
        <v>3.4110289937464467E-3</v>
      </c>
      <c r="AT84" s="11">
        <f>VLOOKUP(YEAR(CurrentMtgRatesDataTable8711121314[[#This Row],[asofdate]]),OriginationVolume!$A:$N,13,FALSE)</f>
        <v>2.2740193291642978E-3</v>
      </c>
      <c r="AU8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AW84" s="7" t="s">
        <v>113</v>
      </c>
      <c r="AX84" s="10">
        <v>1043851000</v>
      </c>
      <c r="AY84" s="31"/>
      <c r="BA84" s="7" t="s">
        <v>113</v>
      </c>
      <c r="BB84" s="10">
        <v>147779000</v>
      </c>
      <c r="BC84" s="31"/>
      <c r="BE84" s="7" t="s">
        <v>113</v>
      </c>
      <c r="BF84" s="10">
        <v>14055645207.799999</v>
      </c>
      <c r="BG84" s="34"/>
      <c r="BI84" s="7" t="s">
        <v>113</v>
      </c>
      <c r="BJ84" s="10">
        <v>12864015207.799999</v>
      </c>
      <c r="BK84" s="34" t="str">
        <f>YEAR(CurrentMtgRatesDataTable871112131417[[#This Row],[asofdate]])&amp;"-"&amp;MONTH(CurrentMtgRatesDataTable871112131417[[#This Row],[asofdate]])</f>
        <v>2009-12</v>
      </c>
      <c r="BL84" s="34">
        <f>CurrentMtgRatesDataTable871112131417[[#This Row],[SeriesNumValue]]</f>
        <v>12864015207.799999</v>
      </c>
      <c r="BM84" s="34">
        <f>VLOOKUP(CurrentMtgRatesDataTable871112131417[[#This Row],[asofdate]],AW:AX,2,0)</f>
        <v>1043851000</v>
      </c>
      <c r="BN84" s="30">
        <f>IF(VLOOKUP(CurrentMtgRatesDataTable871112131417[[#This Row],[asofdate]],BA:BB,2,0)&lt;&gt;0,VLOOKUP(CurrentMtgRatesDataTable871112131417[[#This Row],[asofdate]],BA:BB,2,0),BN83)</f>
        <v>147779000</v>
      </c>
      <c r="BO84" s="30">
        <f>VLOOKUP(CurrentMtgRatesDataTable871112131417[[#This Row],[asofdate]],BE:BF,2,0)</f>
        <v>14055645207.799999</v>
      </c>
    </row>
    <row r="85" spans="1:67" s="8" customFormat="1">
      <c r="A85" s="7" t="s">
        <v>114</v>
      </c>
      <c r="B85" s="10">
        <v>1.1516860667613499E-2</v>
      </c>
      <c r="C85" s="10" t="str">
        <f>YEAR(CurrentMtgRatesDataTable8[[#This Row],[asofdate]])&amp;"-"&amp;MONTH(CurrentMtgRatesDataTable8[[#This Row],[asofdate]])</f>
        <v>2010-1</v>
      </c>
      <c r="D85" s="6">
        <f>((CurrentMtgRatesDataTable8[[#This Row],[SeriesNumValue]]-$D$1)/$D$1+1)*100</f>
        <v>76.779071117423342</v>
      </c>
      <c r="E85" s="6"/>
      <c r="I85" s="7" t="s">
        <v>100</v>
      </c>
      <c r="J85" s="10">
        <v>1.4069144322326799E-2</v>
      </c>
      <c r="K85" s="10" t="str">
        <f>YEAR(CurrentMtgRatesDataTable89[[#This Row],[asofdate]])&amp;"-"&amp;MONTH(CurrentMtgRatesDataTable89[[#This Row],[asofdate]])</f>
        <v>2008-11</v>
      </c>
      <c r="L85" s="6">
        <f>((CurrentMtgRatesDataTable89[[#This Row],[SeriesNumValue]]-$D$1)/$D$1+1)*100</f>
        <v>93.794295482178669</v>
      </c>
      <c r="M85" s="6">
        <f>CurrentMtgRatesDataTable89[[#This Row],[Index]]-L86</f>
        <v>-13.80747675424</v>
      </c>
      <c r="P85" s="7" t="s">
        <v>114</v>
      </c>
      <c r="Q85" s="10">
        <v>6.4104657785873306E-2</v>
      </c>
      <c r="R85" s="31">
        <f>((CurrentMtgRatesDataTable8711[[#This Row],[SeriesNumValue]]-$D$1)/$D$1+1)*100</f>
        <v>427.36438523915547</v>
      </c>
      <c r="S85" s="31"/>
      <c r="U85" s="7" t="s">
        <v>114</v>
      </c>
      <c r="V85" s="10">
        <v>6.7441193636602101E-2</v>
      </c>
      <c r="W85" s="31">
        <f>((CurrentMtgRatesDataTable871112[[#This Row],[SeriesNumValue]]-$D$1)/$D$1+1)*100</f>
        <v>449.60795757734735</v>
      </c>
      <c r="X85" s="31"/>
      <c r="Z85" s="7" t="s">
        <v>114</v>
      </c>
      <c r="AA85" s="10">
        <v>1.8176199712074102E-2</v>
      </c>
      <c r="AB85" s="34">
        <f>((CurrentMtgRatesDataTable87111213[[#This Row],[SeriesNumValue]]-$D$1)/$D$1+1)*100</f>
        <v>121.17466474716068</v>
      </c>
      <c r="AC85" s="34"/>
      <c r="AE85" s="7" t="s">
        <v>114</v>
      </c>
      <c r="AF85" s="10">
        <v>1.1614952330152899E-2</v>
      </c>
      <c r="AG85" s="34">
        <f>((CurrentMtgRatesDataTable8711121314[[#This Row],[SeriesNumValue]]-$D$1)/$D$1+1)*100</f>
        <v>77.433015534352663</v>
      </c>
      <c r="AH85" s="34" t="str">
        <f>YEAR(CurrentMtgRatesDataTable8711121314[[#This Row],[asofdate]])&amp;"-"&amp;MONTH(CurrentMtgRatesDataTable8711121314[[#This Row],[asofdate]])</f>
        <v>2010-1</v>
      </c>
      <c r="AI85" s="34">
        <f>CurrentMtgRatesDataTable8711121314[[#This Row],[SeriesNumValue]]</f>
        <v>1.1614952330152899E-2</v>
      </c>
      <c r="AJ85" s="34">
        <f>VLOOKUP(CurrentMtgRatesDataTable8711121314[[#This Row],[asofdate]],P:R,2,0)</f>
        <v>6.4104657785873306E-2</v>
      </c>
      <c r="AK85" s="30">
        <f>IF(VLOOKUP(CurrentMtgRatesDataTable8711121314[[#This Row],[asofdate]],U:W,2,0)&lt;&gt;0,VLOOKUP(CurrentMtgRatesDataTable8711121314[[#This Row],[asofdate]],U:W,2,0),AK84)</f>
        <v>6.7441193636602101E-2</v>
      </c>
      <c r="AL85" s="30">
        <f>VLOOKUP(CurrentMtgRatesDataTable8711121314[[#This Row],[asofdate]],Z:AB,2,0)</f>
        <v>1.8176199712074102E-2</v>
      </c>
      <c r="AM85" s="30">
        <f>CurrentMtgRatesDataTable8711121314[[#This Row],[FHA]]+0.5*CurrentMtgRatesDataTable8711121314[[#This Row],[Conventional]]</f>
        <v>6.9912133950949751E-2</v>
      </c>
      <c r="AN85" s="30">
        <f>2*CurrentMtgRatesDataTable8711121314[[#This Row],[FHA]]</f>
        <v>0.12820931557174661</v>
      </c>
      <c r="AO85" s="11">
        <f>VLOOKUP(YEAR(CurrentMtgRatesDataTable8711121314[[#This Row],[asofdate]]),OriginationVolume!$A:$N,8,FALSE)</f>
        <v>0.69070208728652749</v>
      </c>
      <c r="AP85" s="11">
        <f>VLOOKUP(YEAR(CurrentMtgRatesDataTable8711121314[[#This Row],[asofdate]]),OriginationVolume!$A:$N,9,FALSE)</f>
        <v>5.9614168247944341E-2</v>
      </c>
      <c r="AQ85" s="11">
        <f>VLOOKUP(YEAR(CurrentMtgRatesDataTable8711121314[[#This Row],[asofdate]]),OriginationVolume!$A:$N,10,FALSE)</f>
        <v>0.17884250474383301</v>
      </c>
      <c r="AR85" s="11">
        <f>VLOOKUP(YEAR(CurrentMtgRatesDataTable8711121314[[#This Row],[asofdate]]),OriginationVolume!$A:$N,11,FALSE)</f>
        <v>6.5781151170145477E-2</v>
      </c>
      <c r="AS85" s="11">
        <f>VLOOKUP(YEAR(CurrentMtgRatesDataTable8711121314[[#This Row],[asofdate]]),OriginationVolume!$A:$N,12,FALSE)</f>
        <v>2.5300442757748261E-3</v>
      </c>
      <c r="AT85" s="11">
        <f>VLOOKUP(YEAR(CurrentMtgRatesDataTable8711121314[[#This Row],[asofdate]]),OriginationVolume!$A:$N,13,FALSE)</f>
        <v>2.5300442757748261E-3</v>
      </c>
      <c r="AU8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AW85" s="7" t="s">
        <v>114</v>
      </c>
      <c r="AX85" s="10">
        <v>1653489000</v>
      </c>
      <c r="AY85" s="31"/>
      <c r="BA85" s="7" t="s">
        <v>114</v>
      </c>
      <c r="BB85" s="10">
        <v>167787000</v>
      </c>
      <c r="BC85" s="31"/>
      <c r="BE85" s="7" t="s">
        <v>114</v>
      </c>
      <c r="BF85" s="10">
        <v>14284627990.09</v>
      </c>
      <c r="BG85" s="34"/>
      <c r="BI85" s="7" t="s">
        <v>114</v>
      </c>
      <c r="BJ85" s="10">
        <v>12463351990.09</v>
      </c>
      <c r="BK85" s="34" t="str">
        <f>YEAR(CurrentMtgRatesDataTable871112131417[[#This Row],[asofdate]])&amp;"-"&amp;MONTH(CurrentMtgRatesDataTable871112131417[[#This Row],[asofdate]])</f>
        <v>2010-1</v>
      </c>
      <c r="BL85" s="34">
        <f>CurrentMtgRatesDataTable871112131417[[#This Row],[SeriesNumValue]]</f>
        <v>12463351990.09</v>
      </c>
      <c r="BM85" s="34">
        <f>VLOOKUP(CurrentMtgRatesDataTable871112131417[[#This Row],[asofdate]],AW:AX,2,0)</f>
        <v>1653489000</v>
      </c>
      <c r="BN85" s="30">
        <f>IF(VLOOKUP(CurrentMtgRatesDataTable871112131417[[#This Row],[asofdate]],BA:BB,2,0)&lt;&gt;0,VLOOKUP(CurrentMtgRatesDataTable871112131417[[#This Row],[asofdate]],BA:BB,2,0),BN84)</f>
        <v>167787000</v>
      </c>
      <c r="BO85" s="30">
        <f>VLOOKUP(CurrentMtgRatesDataTable871112131417[[#This Row],[asofdate]],BE:BF,2,0)</f>
        <v>14284627990.09</v>
      </c>
    </row>
    <row r="86" spans="1:67" s="8" customFormat="1">
      <c r="A86" s="7" t="s">
        <v>115</v>
      </c>
      <c r="B86" s="10">
        <v>1.04795599511457E-2</v>
      </c>
      <c r="C86" s="10" t="str">
        <f>YEAR(CurrentMtgRatesDataTable8[[#This Row],[asofdate]])&amp;"-"&amp;MONTH(CurrentMtgRatesDataTable8[[#This Row],[asofdate]])</f>
        <v>2010-2</v>
      </c>
      <c r="D86" s="6">
        <f>((CurrentMtgRatesDataTable8[[#This Row],[SeriesNumValue]]-$D$1)/$D$1+1)*100</f>
        <v>69.86373300763799</v>
      </c>
      <c r="E86" s="6"/>
      <c r="I86" s="7" t="s">
        <v>99</v>
      </c>
      <c r="J86" s="10">
        <v>1.61402658354628E-2</v>
      </c>
      <c r="K86" s="10" t="str">
        <f>YEAR(CurrentMtgRatesDataTable89[[#This Row],[asofdate]])&amp;"-"&amp;MONTH(CurrentMtgRatesDataTable89[[#This Row],[asofdate]])</f>
        <v>2008-10</v>
      </c>
      <c r="L86" s="6">
        <f>((CurrentMtgRatesDataTable89[[#This Row],[SeriesNumValue]]-$D$1)/$D$1+1)*100</f>
        <v>107.60177223641867</v>
      </c>
      <c r="M86" s="6">
        <f>CurrentMtgRatesDataTable89[[#This Row],[Index]]-L87</f>
        <v>18.325295076421327</v>
      </c>
      <c r="P86" s="7" t="s">
        <v>115</v>
      </c>
      <c r="Q86" s="10">
        <v>5.3141127900620498E-2</v>
      </c>
      <c r="R86" s="31">
        <f>((CurrentMtgRatesDataTable8711[[#This Row],[SeriesNumValue]]-$D$1)/$D$1+1)*100</f>
        <v>354.27418600413665</v>
      </c>
      <c r="S86" s="31"/>
      <c r="U86" s="7" t="s">
        <v>115</v>
      </c>
      <c r="V86" s="10">
        <v>5.8153942835834402E-2</v>
      </c>
      <c r="W86" s="31">
        <f>((CurrentMtgRatesDataTable871112[[#This Row],[SeriesNumValue]]-$D$1)/$D$1+1)*100</f>
        <v>387.692952238896</v>
      </c>
      <c r="X86" s="31"/>
      <c r="Z86" s="7" t="s">
        <v>115</v>
      </c>
      <c r="AA86" s="10">
        <v>2.1841323139710201E-2</v>
      </c>
      <c r="AB86" s="34">
        <f>((CurrentMtgRatesDataTable87111213[[#This Row],[SeriesNumValue]]-$D$1)/$D$1+1)*100</f>
        <v>145.60882093140134</v>
      </c>
      <c r="AC86" s="34"/>
      <c r="AE86" s="7" t="s">
        <v>115</v>
      </c>
      <c r="AF86" s="10">
        <v>1.06424119489619E-2</v>
      </c>
      <c r="AG86" s="34">
        <f>((CurrentMtgRatesDataTable8711121314[[#This Row],[SeriesNumValue]]-$D$1)/$D$1+1)*100</f>
        <v>70.949412993079335</v>
      </c>
      <c r="AH86" s="34" t="str">
        <f>YEAR(CurrentMtgRatesDataTable8711121314[[#This Row],[asofdate]])&amp;"-"&amp;MONTH(CurrentMtgRatesDataTable8711121314[[#This Row],[asofdate]])</f>
        <v>2010-2</v>
      </c>
      <c r="AI86" s="34">
        <f>CurrentMtgRatesDataTable8711121314[[#This Row],[SeriesNumValue]]</f>
        <v>1.06424119489619E-2</v>
      </c>
      <c r="AJ86" s="34">
        <f>VLOOKUP(CurrentMtgRatesDataTable8711121314[[#This Row],[asofdate]],P:R,2,0)</f>
        <v>5.3141127900620498E-2</v>
      </c>
      <c r="AK86" s="30">
        <f>IF(VLOOKUP(CurrentMtgRatesDataTable8711121314[[#This Row],[asofdate]],U:W,2,0)&lt;&gt;0,VLOOKUP(CurrentMtgRatesDataTable8711121314[[#This Row],[asofdate]],U:W,2,0),AK85)</f>
        <v>5.8153942835834402E-2</v>
      </c>
      <c r="AL86" s="30">
        <f>VLOOKUP(CurrentMtgRatesDataTable8711121314[[#This Row],[asofdate]],Z:AB,2,0)</f>
        <v>2.1841323139710201E-2</v>
      </c>
      <c r="AM86" s="30">
        <f>CurrentMtgRatesDataTable8711121314[[#This Row],[FHA]]+0.5*CurrentMtgRatesDataTable8711121314[[#This Row],[Conventional]]</f>
        <v>5.8462333875101448E-2</v>
      </c>
      <c r="AN86" s="30">
        <f>2*CurrentMtgRatesDataTable8711121314[[#This Row],[FHA]]</f>
        <v>0.106282255801241</v>
      </c>
      <c r="AO86" s="11">
        <f>VLOOKUP(YEAR(CurrentMtgRatesDataTable8711121314[[#This Row],[asofdate]]),OriginationVolume!$A:$N,8,FALSE)</f>
        <v>0.69070208728652749</v>
      </c>
      <c r="AP86" s="11">
        <f>VLOOKUP(YEAR(CurrentMtgRatesDataTable8711121314[[#This Row],[asofdate]]),OriginationVolume!$A:$N,9,FALSE)</f>
        <v>5.9614168247944341E-2</v>
      </c>
      <c r="AQ86" s="11">
        <f>VLOOKUP(YEAR(CurrentMtgRatesDataTable8711121314[[#This Row],[asofdate]]),OriginationVolume!$A:$N,10,FALSE)</f>
        <v>0.17884250474383301</v>
      </c>
      <c r="AR86" s="11">
        <f>VLOOKUP(YEAR(CurrentMtgRatesDataTable8711121314[[#This Row],[asofdate]]),OriginationVolume!$A:$N,11,FALSE)</f>
        <v>6.5781151170145477E-2</v>
      </c>
      <c r="AS86" s="11">
        <f>VLOOKUP(YEAR(CurrentMtgRatesDataTable8711121314[[#This Row],[asofdate]]),OriginationVolume!$A:$N,12,FALSE)</f>
        <v>2.5300442757748261E-3</v>
      </c>
      <c r="AT86" s="11">
        <f>VLOOKUP(YEAR(CurrentMtgRatesDataTable8711121314[[#This Row],[asofdate]]),OriginationVolume!$A:$N,13,FALSE)</f>
        <v>2.5300442757748261E-3</v>
      </c>
      <c r="AU8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AW86" s="7" t="s">
        <v>115</v>
      </c>
      <c r="AX86" s="10">
        <v>3490097000</v>
      </c>
      <c r="AY86" s="31"/>
      <c r="BA86" s="7" t="s">
        <v>115</v>
      </c>
      <c r="BB86" s="10">
        <v>342052000</v>
      </c>
      <c r="BC86" s="31"/>
      <c r="BE86" s="7" t="s">
        <v>115</v>
      </c>
      <c r="BF86" s="10">
        <v>14878861003.209999</v>
      </c>
      <c r="BG86" s="34"/>
      <c r="BI86" s="7" t="s">
        <v>115</v>
      </c>
      <c r="BJ86" s="10">
        <v>11046712003.209999</v>
      </c>
      <c r="BK86" s="34" t="str">
        <f>YEAR(CurrentMtgRatesDataTable871112131417[[#This Row],[asofdate]])&amp;"-"&amp;MONTH(CurrentMtgRatesDataTable871112131417[[#This Row],[asofdate]])</f>
        <v>2010-2</v>
      </c>
      <c r="BL86" s="34">
        <f>CurrentMtgRatesDataTable871112131417[[#This Row],[SeriesNumValue]]</f>
        <v>11046712003.209999</v>
      </c>
      <c r="BM86" s="34">
        <f>VLOOKUP(CurrentMtgRatesDataTable871112131417[[#This Row],[asofdate]],AW:AX,2,0)</f>
        <v>3490097000</v>
      </c>
      <c r="BN86" s="30">
        <f>IF(VLOOKUP(CurrentMtgRatesDataTable871112131417[[#This Row],[asofdate]],BA:BB,2,0)&lt;&gt;0,VLOOKUP(CurrentMtgRatesDataTable871112131417[[#This Row],[asofdate]],BA:BB,2,0),BN85)</f>
        <v>342052000</v>
      </c>
      <c r="BO86" s="30">
        <f>VLOOKUP(CurrentMtgRatesDataTable871112131417[[#This Row],[asofdate]],BE:BF,2,0)</f>
        <v>14878861003.209999</v>
      </c>
    </row>
    <row r="87" spans="1:67" s="8" customFormat="1">
      <c r="A87" s="7" t="s">
        <v>116</v>
      </c>
      <c r="B87" s="10">
        <v>1.06986375276572E-2</v>
      </c>
      <c r="C87" s="10" t="str">
        <f>YEAR(CurrentMtgRatesDataTable8[[#This Row],[asofdate]])&amp;"-"&amp;MONTH(CurrentMtgRatesDataTable8[[#This Row],[asofdate]])</f>
        <v>2010-3</v>
      </c>
      <c r="D87" s="6">
        <f>((CurrentMtgRatesDataTable8[[#This Row],[SeriesNumValue]]-$D$1)/$D$1+1)*100</f>
        <v>71.324250184381327</v>
      </c>
      <c r="E87" s="6"/>
      <c r="I87" s="7" t="s">
        <v>98</v>
      </c>
      <c r="J87" s="10">
        <v>1.33914715739996E-2</v>
      </c>
      <c r="K87" s="10" t="str">
        <f>YEAR(CurrentMtgRatesDataTable89[[#This Row],[asofdate]])&amp;"-"&amp;MONTH(CurrentMtgRatesDataTable89[[#This Row],[asofdate]])</f>
        <v>2008-9</v>
      </c>
      <c r="L87" s="6">
        <f>((CurrentMtgRatesDataTable89[[#This Row],[SeriesNumValue]]-$D$1)/$D$1+1)*100</f>
        <v>89.276477159997341</v>
      </c>
      <c r="M87" s="6">
        <f>CurrentMtgRatesDataTable89[[#This Row],[Index]]-L88</f>
        <v>0.46885225453600299</v>
      </c>
      <c r="P87" s="7" t="s">
        <v>116</v>
      </c>
      <c r="Q87" s="10">
        <v>4.9614369155651102E-2</v>
      </c>
      <c r="R87" s="31">
        <f>((CurrentMtgRatesDataTable8711[[#This Row],[SeriesNumValue]]-$D$1)/$D$1+1)*100</f>
        <v>330.76246103767403</v>
      </c>
      <c r="S87" s="31"/>
      <c r="U87" s="7" t="s">
        <v>116</v>
      </c>
      <c r="V87" s="10">
        <v>5.42370628751601E-2</v>
      </c>
      <c r="W87" s="31">
        <f>((CurrentMtgRatesDataTable871112[[#This Row],[SeriesNumValue]]-$D$1)/$D$1+1)*100</f>
        <v>361.58041916773402</v>
      </c>
      <c r="X87" s="31"/>
      <c r="Z87" s="7" t="s">
        <v>116</v>
      </c>
      <c r="AA87" s="10">
        <v>2.7120403973857701E-2</v>
      </c>
      <c r="AB87" s="34">
        <f>((CurrentMtgRatesDataTable87111213[[#This Row],[SeriesNumValue]]-$D$1)/$D$1+1)*100</f>
        <v>180.80269315905136</v>
      </c>
      <c r="AC87" s="34"/>
      <c r="AE87" s="7" t="s">
        <v>116</v>
      </c>
      <c r="AF87" s="10">
        <v>1.05573524364265E-2</v>
      </c>
      <c r="AG87" s="34">
        <f>((CurrentMtgRatesDataTable8711121314[[#This Row],[SeriesNumValue]]-$D$1)/$D$1+1)*100</f>
        <v>70.382349576176665</v>
      </c>
      <c r="AH87" s="34" t="str">
        <f>YEAR(CurrentMtgRatesDataTable8711121314[[#This Row],[asofdate]])&amp;"-"&amp;MONTH(CurrentMtgRatesDataTable8711121314[[#This Row],[asofdate]])</f>
        <v>2010-3</v>
      </c>
      <c r="AI87" s="34">
        <f>CurrentMtgRatesDataTable8711121314[[#This Row],[SeriesNumValue]]</f>
        <v>1.05573524364265E-2</v>
      </c>
      <c r="AJ87" s="34">
        <f>VLOOKUP(CurrentMtgRatesDataTable8711121314[[#This Row],[asofdate]],P:R,2,0)</f>
        <v>4.9614369155651102E-2</v>
      </c>
      <c r="AK87" s="30">
        <f>IF(VLOOKUP(CurrentMtgRatesDataTable8711121314[[#This Row],[asofdate]],U:W,2,0)&lt;&gt;0,VLOOKUP(CurrentMtgRatesDataTable8711121314[[#This Row],[asofdate]],U:W,2,0),AK86)</f>
        <v>5.42370628751601E-2</v>
      </c>
      <c r="AL87" s="30">
        <f>VLOOKUP(CurrentMtgRatesDataTable8711121314[[#This Row],[asofdate]],Z:AB,2,0)</f>
        <v>2.7120403973857701E-2</v>
      </c>
      <c r="AM87" s="30">
        <f>CurrentMtgRatesDataTable8711121314[[#This Row],[FHA]]+0.5*CurrentMtgRatesDataTable8711121314[[#This Row],[Conventional]]</f>
        <v>5.4893045373864351E-2</v>
      </c>
      <c r="AN87" s="30">
        <f>2*CurrentMtgRatesDataTable8711121314[[#This Row],[FHA]]</f>
        <v>9.9228738311302203E-2</v>
      </c>
      <c r="AO87" s="11">
        <f>VLOOKUP(YEAR(CurrentMtgRatesDataTable8711121314[[#This Row],[asofdate]]),OriginationVolume!$A:$N,8,FALSE)</f>
        <v>0.69070208728652749</v>
      </c>
      <c r="AP87" s="11">
        <f>VLOOKUP(YEAR(CurrentMtgRatesDataTable8711121314[[#This Row],[asofdate]]),OriginationVolume!$A:$N,9,FALSE)</f>
        <v>5.9614168247944341E-2</v>
      </c>
      <c r="AQ87" s="11">
        <f>VLOOKUP(YEAR(CurrentMtgRatesDataTable8711121314[[#This Row],[asofdate]]),OriginationVolume!$A:$N,10,FALSE)</f>
        <v>0.17884250474383301</v>
      </c>
      <c r="AR87" s="11">
        <f>VLOOKUP(YEAR(CurrentMtgRatesDataTable8711121314[[#This Row],[asofdate]]),OriginationVolume!$A:$N,11,FALSE)</f>
        <v>6.5781151170145477E-2</v>
      </c>
      <c r="AS87" s="11">
        <f>VLOOKUP(YEAR(CurrentMtgRatesDataTable8711121314[[#This Row],[asofdate]]),OriginationVolume!$A:$N,12,FALSE)</f>
        <v>2.5300442757748261E-3</v>
      </c>
      <c r="AT87" s="11">
        <f>VLOOKUP(YEAR(CurrentMtgRatesDataTable8711121314[[#This Row],[asofdate]]),OriginationVolume!$A:$N,13,FALSE)</f>
        <v>2.5300442757748261E-3</v>
      </c>
      <c r="AU8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AW87" s="7" t="s">
        <v>116</v>
      </c>
      <c r="AX87" s="10">
        <v>4877017000</v>
      </c>
      <c r="AY87" s="31"/>
      <c r="BA87" s="7" t="s">
        <v>116</v>
      </c>
      <c r="BB87" s="10">
        <v>326276000</v>
      </c>
      <c r="BC87" s="31"/>
      <c r="BE87" s="7" t="s">
        <v>116</v>
      </c>
      <c r="BF87" s="10">
        <v>12729941372.379999</v>
      </c>
      <c r="BG87" s="34"/>
      <c r="BI87" s="7" t="s">
        <v>116</v>
      </c>
      <c r="BJ87" s="10">
        <v>7526648372.3800001</v>
      </c>
      <c r="BK87" s="34" t="str">
        <f>YEAR(CurrentMtgRatesDataTable871112131417[[#This Row],[asofdate]])&amp;"-"&amp;MONTH(CurrentMtgRatesDataTable871112131417[[#This Row],[asofdate]])</f>
        <v>2010-3</v>
      </c>
      <c r="BL87" s="34">
        <f>CurrentMtgRatesDataTable871112131417[[#This Row],[SeriesNumValue]]</f>
        <v>7526648372.3800001</v>
      </c>
      <c r="BM87" s="34">
        <f>VLOOKUP(CurrentMtgRatesDataTable871112131417[[#This Row],[asofdate]],AW:AX,2,0)</f>
        <v>4877017000</v>
      </c>
      <c r="BN87" s="30">
        <f>IF(VLOOKUP(CurrentMtgRatesDataTable871112131417[[#This Row],[asofdate]],BA:BB,2,0)&lt;&gt;0,VLOOKUP(CurrentMtgRatesDataTable871112131417[[#This Row],[asofdate]],BA:BB,2,0),BN86)</f>
        <v>326276000</v>
      </c>
      <c r="BO87" s="30">
        <f>VLOOKUP(CurrentMtgRatesDataTable871112131417[[#This Row],[asofdate]],BE:BF,2,0)</f>
        <v>12729941372.379999</v>
      </c>
    </row>
    <row r="88" spans="1:67" s="8" customFormat="1">
      <c r="A88" s="7" t="s">
        <v>117</v>
      </c>
      <c r="B88" s="10">
        <v>1.10114221292561E-2</v>
      </c>
      <c r="C88" s="10" t="str">
        <f>YEAR(CurrentMtgRatesDataTable8[[#This Row],[asofdate]])&amp;"-"&amp;MONTH(CurrentMtgRatesDataTable8[[#This Row],[asofdate]])</f>
        <v>2010-4</v>
      </c>
      <c r="D88" s="6">
        <f>((CurrentMtgRatesDataTable8[[#This Row],[SeriesNumValue]]-$D$1)/$D$1+1)*100</f>
        <v>73.409480861707337</v>
      </c>
      <c r="E88" s="6"/>
      <c r="I88" s="7" t="s">
        <v>97</v>
      </c>
      <c r="J88" s="10">
        <v>1.33211437358192E-2</v>
      </c>
      <c r="K88" s="10" t="str">
        <f>YEAR(CurrentMtgRatesDataTable89[[#This Row],[asofdate]])&amp;"-"&amp;MONTH(CurrentMtgRatesDataTable89[[#This Row],[asofdate]])</f>
        <v>2008-8</v>
      </c>
      <c r="L88" s="6">
        <f>((CurrentMtgRatesDataTable89[[#This Row],[SeriesNumValue]]-$D$1)/$D$1+1)*100</f>
        <v>88.807624905461338</v>
      </c>
      <c r="M88" s="6">
        <f>CurrentMtgRatesDataTable89[[#This Row],[Index]]-L89</f>
        <v>-3.1124602833239976</v>
      </c>
      <c r="P88" s="7" t="s">
        <v>117</v>
      </c>
      <c r="Q88" s="10">
        <v>4.9938732237334402E-2</v>
      </c>
      <c r="R88" s="31">
        <f>((CurrentMtgRatesDataTable8711[[#This Row],[SeriesNumValue]]-$D$1)/$D$1+1)*100</f>
        <v>332.92488158222937</v>
      </c>
      <c r="S88" s="31"/>
      <c r="U88" s="7" t="s">
        <v>117</v>
      </c>
      <c r="V88" s="10">
        <v>5.7537915234067899E-2</v>
      </c>
      <c r="W88" s="31">
        <f>((CurrentMtgRatesDataTable871112[[#This Row],[SeriesNumValue]]-$D$1)/$D$1+1)*100</f>
        <v>383.58610156045268</v>
      </c>
      <c r="X88" s="31"/>
      <c r="Z88" s="7" t="s">
        <v>117</v>
      </c>
      <c r="AA88" s="10">
        <v>2.82831318403679E-2</v>
      </c>
      <c r="AB88" s="34">
        <f>((CurrentMtgRatesDataTable87111213[[#This Row],[SeriesNumValue]]-$D$1)/$D$1+1)*100</f>
        <v>188.55421226911932</v>
      </c>
      <c r="AC88" s="34"/>
      <c r="AE88" s="7" t="s">
        <v>117</v>
      </c>
      <c r="AF88" s="10">
        <v>1.0941874131880001E-2</v>
      </c>
      <c r="AG88" s="34">
        <f>((CurrentMtgRatesDataTable8711121314[[#This Row],[SeriesNumValue]]-$D$1)/$D$1+1)*100</f>
        <v>72.945827545866678</v>
      </c>
      <c r="AH88" s="34" t="str">
        <f>YEAR(CurrentMtgRatesDataTable8711121314[[#This Row],[asofdate]])&amp;"-"&amp;MONTH(CurrentMtgRatesDataTable8711121314[[#This Row],[asofdate]])</f>
        <v>2010-4</v>
      </c>
      <c r="AI88" s="34">
        <f>CurrentMtgRatesDataTable8711121314[[#This Row],[SeriesNumValue]]</f>
        <v>1.0941874131880001E-2</v>
      </c>
      <c r="AJ88" s="34">
        <f>VLOOKUP(CurrentMtgRatesDataTable8711121314[[#This Row],[asofdate]],P:R,2,0)</f>
        <v>4.9938732237334402E-2</v>
      </c>
      <c r="AK88" s="30">
        <f>IF(VLOOKUP(CurrentMtgRatesDataTable8711121314[[#This Row],[asofdate]],U:W,2,0)&lt;&gt;0,VLOOKUP(CurrentMtgRatesDataTable8711121314[[#This Row],[asofdate]],U:W,2,0),AK87)</f>
        <v>5.7537915234067899E-2</v>
      </c>
      <c r="AL88" s="30">
        <f>VLOOKUP(CurrentMtgRatesDataTable8711121314[[#This Row],[asofdate]],Z:AB,2,0)</f>
        <v>2.82831318403679E-2</v>
      </c>
      <c r="AM88" s="30">
        <f>CurrentMtgRatesDataTable8711121314[[#This Row],[FHA]]+0.5*CurrentMtgRatesDataTable8711121314[[#This Row],[Conventional]]</f>
        <v>5.54096693032744E-2</v>
      </c>
      <c r="AN88" s="30">
        <f>2*CurrentMtgRatesDataTable8711121314[[#This Row],[FHA]]</f>
        <v>9.9877464474668803E-2</v>
      </c>
      <c r="AO88" s="11">
        <f>VLOOKUP(YEAR(CurrentMtgRatesDataTable8711121314[[#This Row],[asofdate]]),OriginationVolume!$A:$N,8,FALSE)</f>
        <v>0.69070208728652749</v>
      </c>
      <c r="AP88" s="11">
        <f>VLOOKUP(YEAR(CurrentMtgRatesDataTable8711121314[[#This Row],[asofdate]]),OriginationVolume!$A:$N,9,FALSE)</f>
        <v>5.9614168247944341E-2</v>
      </c>
      <c r="AQ88" s="11">
        <f>VLOOKUP(YEAR(CurrentMtgRatesDataTable8711121314[[#This Row],[asofdate]]),OriginationVolume!$A:$N,10,FALSE)</f>
        <v>0.17884250474383301</v>
      </c>
      <c r="AR88" s="11">
        <f>VLOOKUP(YEAR(CurrentMtgRatesDataTable8711121314[[#This Row],[asofdate]]),OriginationVolume!$A:$N,11,FALSE)</f>
        <v>6.5781151170145477E-2</v>
      </c>
      <c r="AS88" s="11">
        <f>VLOOKUP(YEAR(CurrentMtgRatesDataTable8711121314[[#This Row],[asofdate]]),OriginationVolume!$A:$N,12,FALSE)</f>
        <v>2.5300442757748261E-3</v>
      </c>
      <c r="AT88" s="11">
        <f>VLOOKUP(YEAR(CurrentMtgRatesDataTable8711121314[[#This Row],[asofdate]]),OriginationVolume!$A:$N,13,FALSE)</f>
        <v>2.5300442757748261E-3</v>
      </c>
      <c r="AU8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AW88" s="7" t="s">
        <v>117</v>
      </c>
      <c r="AX88" s="10">
        <v>5390326000</v>
      </c>
      <c r="AY88" s="31"/>
      <c r="BA88" s="7" t="s">
        <v>117</v>
      </c>
      <c r="BB88" s="10">
        <v>367123000</v>
      </c>
      <c r="BC88" s="31"/>
      <c r="BE88" s="7" t="s">
        <v>117</v>
      </c>
      <c r="BF88" s="10">
        <v>13588645038.32</v>
      </c>
      <c r="BG88" s="34"/>
      <c r="BI88" s="7" t="s">
        <v>117</v>
      </c>
      <c r="BJ88" s="10">
        <v>7831196038.3199997</v>
      </c>
      <c r="BK88" s="34" t="str">
        <f>YEAR(CurrentMtgRatesDataTable871112131417[[#This Row],[asofdate]])&amp;"-"&amp;MONTH(CurrentMtgRatesDataTable871112131417[[#This Row],[asofdate]])</f>
        <v>2010-4</v>
      </c>
      <c r="BL88" s="34">
        <f>CurrentMtgRatesDataTable871112131417[[#This Row],[SeriesNumValue]]</f>
        <v>7831196038.3199997</v>
      </c>
      <c r="BM88" s="34">
        <f>VLOOKUP(CurrentMtgRatesDataTable871112131417[[#This Row],[asofdate]],AW:AX,2,0)</f>
        <v>5390326000</v>
      </c>
      <c r="BN88" s="30">
        <f>IF(VLOOKUP(CurrentMtgRatesDataTable871112131417[[#This Row],[asofdate]],BA:BB,2,0)&lt;&gt;0,VLOOKUP(CurrentMtgRatesDataTable871112131417[[#This Row],[asofdate]],BA:BB,2,0),BN87)</f>
        <v>367123000</v>
      </c>
      <c r="BO88" s="30">
        <f>VLOOKUP(CurrentMtgRatesDataTable871112131417[[#This Row],[asofdate]],BE:BF,2,0)</f>
        <v>13588645038.32</v>
      </c>
    </row>
    <row r="89" spans="1:67" s="8" customFormat="1">
      <c r="A89" s="7" t="s">
        <v>118</v>
      </c>
      <c r="B89" s="10">
        <v>1.09972759547881E-2</v>
      </c>
      <c r="C89" s="10" t="str">
        <f>YEAR(CurrentMtgRatesDataTable8[[#This Row],[asofdate]])&amp;"-"&amp;MONTH(CurrentMtgRatesDataTable8[[#This Row],[asofdate]])</f>
        <v>2010-5</v>
      </c>
      <c r="D89" s="6">
        <f>((CurrentMtgRatesDataTable8[[#This Row],[SeriesNumValue]]-$D$1)/$D$1+1)*100</f>
        <v>73.315173031920679</v>
      </c>
      <c r="E89" s="6"/>
      <c r="I89" s="7" t="s">
        <v>96</v>
      </c>
      <c r="J89" s="10">
        <v>1.37880127783178E-2</v>
      </c>
      <c r="K89" s="10" t="str">
        <f>YEAR(CurrentMtgRatesDataTable89[[#This Row],[asofdate]])&amp;"-"&amp;MONTH(CurrentMtgRatesDataTable89[[#This Row],[asofdate]])</f>
        <v>2008-7</v>
      </c>
      <c r="L89" s="6">
        <f>((CurrentMtgRatesDataTable89[[#This Row],[SeriesNumValue]]-$D$1)/$D$1+1)*100</f>
        <v>91.920085188785336</v>
      </c>
      <c r="M89" s="6">
        <f>CurrentMtgRatesDataTable89[[#This Row],[Index]]-L90</f>
        <v>-15.484072631034692</v>
      </c>
      <c r="P89" s="7" t="s">
        <v>118</v>
      </c>
      <c r="Q89" s="10">
        <v>4.9433870902870103E-2</v>
      </c>
      <c r="R89" s="31">
        <f>((CurrentMtgRatesDataTable8711[[#This Row],[SeriesNumValue]]-$D$1)/$D$1+1)*100</f>
        <v>329.55913935246735</v>
      </c>
      <c r="S89" s="31"/>
      <c r="U89" s="7" t="s">
        <v>118</v>
      </c>
      <c r="V89" s="10">
        <v>5.5631148970286398E-2</v>
      </c>
      <c r="W89" s="31">
        <f>((CurrentMtgRatesDataTable871112[[#This Row],[SeriesNumValue]]-$D$1)/$D$1+1)*100</f>
        <v>370.87432646857599</v>
      </c>
      <c r="X89" s="31"/>
      <c r="Z89" s="7" t="s">
        <v>118</v>
      </c>
      <c r="AA89" s="10">
        <v>2.9777824438063202E-2</v>
      </c>
      <c r="AB89" s="34">
        <f>((CurrentMtgRatesDataTable87111213[[#This Row],[SeriesNumValue]]-$D$1)/$D$1+1)*100</f>
        <v>198.51882958708802</v>
      </c>
      <c r="AC89" s="34"/>
      <c r="AE89" s="7" t="s">
        <v>118</v>
      </c>
      <c r="AF89" s="10">
        <v>1.11922493066082E-2</v>
      </c>
      <c r="AG89" s="34">
        <f>((CurrentMtgRatesDataTable8711121314[[#This Row],[SeriesNumValue]]-$D$1)/$D$1+1)*100</f>
        <v>74.614995377387999</v>
      </c>
      <c r="AH89" s="34" t="str">
        <f>YEAR(CurrentMtgRatesDataTable8711121314[[#This Row],[asofdate]])&amp;"-"&amp;MONTH(CurrentMtgRatesDataTable8711121314[[#This Row],[asofdate]])</f>
        <v>2010-5</v>
      </c>
      <c r="AI89" s="34">
        <f>CurrentMtgRatesDataTable8711121314[[#This Row],[SeriesNumValue]]</f>
        <v>1.11922493066082E-2</v>
      </c>
      <c r="AJ89" s="34">
        <f>VLOOKUP(CurrentMtgRatesDataTable8711121314[[#This Row],[asofdate]],P:R,2,0)</f>
        <v>4.9433870902870103E-2</v>
      </c>
      <c r="AK89" s="30">
        <f>IF(VLOOKUP(CurrentMtgRatesDataTable8711121314[[#This Row],[asofdate]],U:W,2,0)&lt;&gt;0,VLOOKUP(CurrentMtgRatesDataTable8711121314[[#This Row],[asofdate]],U:W,2,0),AK88)</f>
        <v>5.5631148970286398E-2</v>
      </c>
      <c r="AL89" s="30">
        <f>VLOOKUP(CurrentMtgRatesDataTable8711121314[[#This Row],[asofdate]],Z:AB,2,0)</f>
        <v>2.9777824438063202E-2</v>
      </c>
      <c r="AM89" s="30">
        <f>CurrentMtgRatesDataTable8711121314[[#This Row],[FHA]]+0.5*CurrentMtgRatesDataTable8711121314[[#This Row],[Conventional]]</f>
        <v>5.5029995556174202E-2</v>
      </c>
      <c r="AN89" s="30">
        <f>2*CurrentMtgRatesDataTable8711121314[[#This Row],[FHA]]</f>
        <v>9.8867741805740206E-2</v>
      </c>
      <c r="AO89" s="11">
        <f>VLOOKUP(YEAR(CurrentMtgRatesDataTable8711121314[[#This Row],[asofdate]]),OriginationVolume!$A:$N,8,FALSE)</f>
        <v>0.69070208728652749</v>
      </c>
      <c r="AP89" s="11">
        <f>VLOOKUP(YEAR(CurrentMtgRatesDataTable8711121314[[#This Row],[asofdate]]),OriginationVolume!$A:$N,9,FALSE)</f>
        <v>5.9614168247944341E-2</v>
      </c>
      <c r="AQ89" s="11">
        <f>VLOOKUP(YEAR(CurrentMtgRatesDataTable8711121314[[#This Row],[asofdate]]),OriginationVolume!$A:$N,10,FALSE)</f>
        <v>0.17884250474383301</v>
      </c>
      <c r="AR89" s="11">
        <f>VLOOKUP(YEAR(CurrentMtgRatesDataTable8711121314[[#This Row],[asofdate]]),OriginationVolume!$A:$N,11,FALSE)</f>
        <v>6.5781151170145477E-2</v>
      </c>
      <c r="AS89" s="11">
        <f>VLOOKUP(YEAR(CurrentMtgRatesDataTable8711121314[[#This Row],[asofdate]]),OriginationVolume!$A:$N,12,FALSE)</f>
        <v>2.5300442757748261E-3</v>
      </c>
      <c r="AT89" s="11">
        <f>VLOOKUP(YEAR(CurrentMtgRatesDataTable8711121314[[#This Row],[asofdate]]),OriginationVolume!$A:$N,13,FALSE)</f>
        <v>2.5300442757748261E-3</v>
      </c>
      <c r="AU8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AW89" s="7" t="s">
        <v>118</v>
      </c>
      <c r="AX89" s="10">
        <v>8575167000</v>
      </c>
      <c r="AY89" s="31"/>
      <c r="BA89" s="7" t="s">
        <v>118</v>
      </c>
      <c r="BB89" s="10">
        <v>595131000</v>
      </c>
      <c r="BC89" s="31"/>
      <c r="BE89" s="7" t="s">
        <v>118</v>
      </c>
      <c r="BF89" s="10">
        <v>19740280619.880001</v>
      </c>
      <c r="BG89" s="34"/>
      <c r="BI89" s="7" t="s">
        <v>118</v>
      </c>
      <c r="BJ89" s="10">
        <v>10569982619.879999</v>
      </c>
      <c r="BK89" s="34" t="str">
        <f>YEAR(CurrentMtgRatesDataTable871112131417[[#This Row],[asofdate]])&amp;"-"&amp;MONTH(CurrentMtgRatesDataTable871112131417[[#This Row],[asofdate]])</f>
        <v>2010-5</v>
      </c>
      <c r="BL89" s="34">
        <f>CurrentMtgRatesDataTable871112131417[[#This Row],[SeriesNumValue]]</f>
        <v>10569982619.879999</v>
      </c>
      <c r="BM89" s="34">
        <f>VLOOKUP(CurrentMtgRatesDataTable871112131417[[#This Row],[asofdate]],AW:AX,2,0)</f>
        <v>8575167000</v>
      </c>
      <c r="BN89" s="30">
        <f>IF(VLOOKUP(CurrentMtgRatesDataTable871112131417[[#This Row],[asofdate]],BA:BB,2,0)&lt;&gt;0,VLOOKUP(CurrentMtgRatesDataTable871112131417[[#This Row],[asofdate]],BA:BB,2,0),BN88)</f>
        <v>595131000</v>
      </c>
      <c r="BO89" s="30">
        <f>VLOOKUP(CurrentMtgRatesDataTable871112131417[[#This Row],[asofdate]],BE:BF,2,0)</f>
        <v>19740280619.880001</v>
      </c>
    </row>
    <row r="90" spans="1:67" s="8" customFormat="1">
      <c r="A90" s="7" t="s">
        <v>119</v>
      </c>
      <c r="B90" s="10">
        <v>1.13834608526315E-2</v>
      </c>
      <c r="C90" s="10" t="str">
        <f>YEAR(CurrentMtgRatesDataTable8[[#This Row],[asofdate]])&amp;"-"&amp;MONTH(CurrentMtgRatesDataTable8[[#This Row],[asofdate]])</f>
        <v>2010-6</v>
      </c>
      <c r="D90" s="6">
        <f>((CurrentMtgRatesDataTable8[[#This Row],[SeriesNumValue]]-$D$1)/$D$1+1)*100</f>
        <v>75.889739017543334</v>
      </c>
      <c r="E90" s="6"/>
      <c r="I90" s="7" t="s">
        <v>95</v>
      </c>
      <c r="J90" s="10">
        <v>1.6110623672973001E-2</v>
      </c>
      <c r="K90" s="10" t="str">
        <f>YEAR(CurrentMtgRatesDataTable89[[#This Row],[asofdate]])&amp;"-"&amp;MONTH(CurrentMtgRatesDataTable89[[#This Row],[asofdate]])</f>
        <v>2008-6</v>
      </c>
      <c r="L90" s="6">
        <f>((CurrentMtgRatesDataTable89[[#This Row],[SeriesNumValue]]-$D$1)/$D$1+1)*100</f>
        <v>107.40415781982003</v>
      </c>
      <c r="M90" s="6">
        <f>CurrentMtgRatesDataTable89[[#This Row],[Index]]-L91</f>
        <v>-24.095281948565315</v>
      </c>
      <c r="P90" s="7" t="s">
        <v>119</v>
      </c>
      <c r="Q90" s="10">
        <v>4.7935297916397397E-2</v>
      </c>
      <c r="R90" s="31">
        <f>((CurrentMtgRatesDataTable8711[[#This Row],[SeriesNumValue]]-$D$1)/$D$1+1)*100</f>
        <v>319.56865277598268</v>
      </c>
      <c r="S90" s="31"/>
      <c r="U90" s="7" t="s">
        <v>119</v>
      </c>
      <c r="V90" s="10">
        <v>5.4544830915257102E-2</v>
      </c>
      <c r="W90" s="31">
        <f>((CurrentMtgRatesDataTable871112[[#This Row],[SeriesNumValue]]-$D$1)/$D$1+1)*100</f>
        <v>363.63220610171402</v>
      </c>
      <c r="X90" s="31"/>
      <c r="Z90" s="7" t="s">
        <v>119</v>
      </c>
      <c r="AA90" s="10">
        <v>2.9211799835975001E-2</v>
      </c>
      <c r="AB90" s="34">
        <f>((CurrentMtgRatesDataTable87111213[[#This Row],[SeriesNumValue]]-$D$1)/$D$1+1)*100</f>
        <v>194.74533223983335</v>
      </c>
      <c r="AC90" s="34"/>
      <c r="AE90" s="7" t="s">
        <v>119</v>
      </c>
      <c r="AF90" s="10">
        <v>1.08068737932689E-2</v>
      </c>
      <c r="AG90" s="34">
        <f>((CurrentMtgRatesDataTable8711121314[[#This Row],[SeriesNumValue]]-$D$1)/$D$1+1)*100</f>
        <v>72.045825288459326</v>
      </c>
      <c r="AH90" s="34" t="str">
        <f>YEAR(CurrentMtgRatesDataTable8711121314[[#This Row],[asofdate]])&amp;"-"&amp;MONTH(CurrentMtgRatesDataTable8711121314[[#This Row],[asofdate]])</f>
        <v>2010-6</v>
      </c>
      <c r="AI90" s="34">
        <f>CurrentMtgRatesDataTable8711121314[[#This Row],[SeriesNumValue]]</f>
        <v>1.08068737932689E-2</v>
      </c>
      <c r="AJ90" s="34">
        <f>VLOOKUP(CurrentMtgRatesDataTable8711121314[[#This Row],[asofdate]],P:R,2,0)</f>
        <v>4.7935297916397397E-2</v>
      </c>
      <c r="AK90" s="30">
        <f>IF(VLOOKUP(CurrentMtgRatesDataTable8711121314[[#This Row],[asofdate]],U:W,2,0)&lt;&gt;0,VLOOKUP(CurrentMtgRatesDataTable8711121314[[#This Row],[asofdate]],U:W,2,0),AK89)</f>
        <v>5.4544830915257102E-2</v>
      </c>
      <c r="AL90" s="30">
        <f>VLOOKUP(CurrentMtgRatesDataTable8711121314[[#This Row],[asofdate]],Z:AB,2,0)</f>
        <v>2.9211799835975001E-2</v>
      </c>
      <c r="AM90" s="30">
        <f>CurrentMtgRatesDataTable8711121314[[#This Row],[FHA]]+0.5*CurrentMtgRatesDataTable8711121314[[#This Row],[Conventional]]</f>
        <v>5.3338734813031849E-2</v>
      </c>
      <c r="AN90" s="30">
        <f>2*CurrentMtgRatesDataTable8711121314[[#This Row],[FHA]]</f>
        <v>9.5870595832794794E-2</v>
      </c>
      <c r="AO90" s="11">
        <f>VLOOKUP(YEAR(CurrentMtgRatesDataTable8711121314[[#This Row],[asofdate]]),OriginationVolume!$A:$N,8,FALSE)</f>
        <v>0.69070208728652749</v>
      </c>
      <c r="AP90" s="11">
        <f>VLOOKUP(YEAR(CurrentMtgRatesDataTable8711121314[[#This Row],[asofdate]]),OriginationVolume!$A:$N,9,FALSE)</f>
        <v>5.9614168247944341E-2</v>
      </c>
      <c r="AQ90" s="11">
        <f>VLOOKUP(YEAR(CurrentMtgRatesDataTable8711121314[[#This Row],[asofdate]]),OriginationVolume!$A:$N,10,FALSE)</f>
        <v>0.17884250474383301</v>
      </c>
      <c r="AR90" s="11">
        <f>VLOOKUP(YEAR(CurrentMtgRatesDataTable8711121314[[#This Row],[asofdate]]),OriginationVolume!$A:$N,11,FALSE)</f>
        <v>6.5781151170145477E-2</v>
      </c>
      <c r="AS90" s="11">
        <f>VLOOKUP(YEAR(CurrentMtgRatesDataTable8711121314[[#This Row],[asofdate]]),OriginationVolume!$A:$N,12,FALSE)</f>
        <v>2.5300442757748261E-3</v>
      </c>
      <c r="AT90" s="11">
        <f>VLOOKUP(YEAR(CurrentMtgRatesDataTable8711121314[[#This Row],[asofdate]]),OriginationVolume!$A:$N,13,FALSE)</f>
        <v>2.5300442757748261E-3</v>
      </c>
      <c r="AU9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AW90" s="7" t="s">
        <v>119</v>
      </c>
      <c r="AX90" s="10">
        <v>10024425000</v>
      </c>
      <c r="AY90" s="31"/>
      <c r="BA90" s="7" t="s">
        <v>119</v>
      </c>
      <c r="BB90" s="10">
        <v>657152000</v>
      </c>
      <c r="BC90" s="31"/>
      <c r="BE90" s="7" t="s">
        <v>119</v>
      </c>
      <c r="BF90" s="10">
        <v>22513554772.990002</v>
      </c>
      <c r="BG90" s="34"/>
      <c r="BI90" s="7" t="s">
        <v>119</v>
      </c>
      <c r="BJ90" s="10">
        <v>11831977772.99</v>
      </c>
      <c r="BK90" s="34" t="str">
        <f>YEAR(CurrentMtgRatesDataTable871112131417[[#This Row],[asofdate]])&amp;"-"&amp;MONTH(CurrentMtgRatesDataTable871112131417[[#This Row],[asofdate]])</f>
        <v>2010-6</v>
      </c>
      <c r="BL90" s="34">
        <f>CurrentMtgRatesDataTable871112131417[[#This Row],[SeriesNumValue]]</f>
        <v>11831977772.99</v>
      </c>
      <c r="BM90" s="34">
        <f>VLOOKUP(CurrentMtgRatesDataTable871112131417[[#This Row],[asofdate]],AW:AX,2,0)</f>
        <v>10024425000</v>
      </c>
      <c r="BN90" s="30">
        <f>IF(VLOOKUP(CurrentMtgRatesDataTable871112131417[[#This Row],[asofdate]],BA:BB,2,0)&lt;&gt;0,VLOOKUP(CurrentMtgRatesDataTable871112131417[[#This Row],[asofdate]],BA:BB,2,0),BN89)</f>
        <v>657152000</v>
      </c>
      <c r="BO90" s="30">
        <f>VLOOKUP(CurrentMtgRatesDataTable871112131417[[#This Row],[asofdate]],BE:BF,2,0)</f>
        <v>22513554772.990002</v>
      </c>
    </row>
    <row r="91" spans="1:67" s="8" customFormat="1">
      <c r="A91" s="7" t="s">
        <v>120</v>
      </c>
      <c r="B91" s="10">
        <v>1.2500803683488999E-2</v>
      </c>
      <c r="C91" s="10" t="str">
        <f>YEAR(CurrentMtgRatesDataTable8[[#This Row],[asofdate]])&amp;"-"&amp;MONTH(CurrentMtgRatesDataTable8[[#This Row],[asofdate]])</f>
        <v>2010-7</v>
      </c>
      <c r="D91" s="6">
        <f>((CurrentMtgRatesDataTable8[[#This Row],[SeriesNumValue]]-$D$1)/$D$1+1)*100</f>
        <v>83.33869122326</v>
      </c>
      <c r="E91" s="6"/>
      <c r="I91" s="7" t="s">
        <v>94</v>
      </c>
      <c r="J91" s="10">
        <v>1.97249159652578E-2</v>
      </c>
      <c r="K91" s="10" t="str">
        <f>YEAR(CurrentMtgRatesDataTable89[[#This Row],[asofdate]])&amp;"-"&amp;MONTH(CurrentMtgRatesDataTable89[[#This Row],[asofdate]])</f>
        <v>2008-5</v>
      </c>
      <c r="L91" s="6">
        <f>((CurrentMtgRatesDataTable89[[#This Row],[SeriesNumValue]]-$D$1)/$D$1+1)*100</f>
        <v>131.49943976838534</v>
      </c>
      <c r="M91" s="6">
        <f>CurrentMtgRatesDataTable89[[#This Row],[Index]]-L92</f>
        <v>1.2978395597713188</v>
      </c>
      <c r="P91" s="7" t="s">
        <v>120</v>
      </c>
      <c r="Q91" s="10">
        <v>5.2223575477024303E-2</v>
      </c>
      <c r="R91" s="31">
        <f>((CurrentMtgRatesDataTable8711[[#This Row],[SeriesNumValue]]-$D$1)/$D$1+1)*100</f>
        <v>348.15716984682871</v>
      </c>
      <c r="S91" s="31"/>
      <c r="U91" s="7" t="s">
        <v>120</v>
      </c>
      <c r="V91" s="10">
        <v>5.9673922576363399E-2</v>
      </c>
      <c r="W91" s="31">
        <f>((CurrentMtgRatesDataTable871112[[#This Row],[SeriesNumValue]]-$D$1)/$D$1+1)*100</f>
        <v>397.82615050908936</v>
      </c>
      <c r="X91" s="31"/>
      <c r="Z91" s="7" t="s">
        <v>120</v>
      </c>
      <c r="AA91" s="10">
        <v>3.2337849422777301E-2</v>
      </c>
      <c r="AB91" s="34">
        <f>((CurrentMtgRatesDataTable87111213[[#This Row],[SeriesNumValue]]-$D$1)/$D$1+1)*100</f>
        <v>215.58566281851537</v>
      </c>
      <c r="AC91" s="34"/>
      <c r="AE91" s="7" t="s">
        <v>120</v>
      </c>
      <c r="AF91" s="10">
        <v>1.19301678722133E-2</v>
      </c>
      <c r="AG91" s="34">
        <f>((CurrentMtgRatesDataTable8711121314[[#This Row],[SeriesNumValue]]-$D$1)/$D$1+1)*100</f>
        <v>79.534452481422008</v>
      </c>
      <c r="AH91" s="34" t="str">
        <f>YEAR(CurrentMtgRatesDataTable8711121314[[#This Row],[asofdate]])&amp;"-"&amp;MONTH(CurrentMtgRatesDataTable8711121314[[#This Row],[asofdate]])</f>
        <v>2010-7</v>
      </c>
      <c r="AI91" s="34">
        <f>CurrentMtgRatesDataTable8711121314[[#This Row],[SeriesNumValue]]</f>
        <v>1.19301678722133E-2</v>
      </c>
      <c r="AJ91" s="34">
        <f>VLOOKUP(CurrentMtgRatesDataTable8711121314[[#This Row],[asofdate]],P:R,2,0)</f>
        <v>5.2223575477024303E-2</v>
      </c>
      <c r="AK91" s="30">
        <f>IF(VLOOKUP(CurrentMtgRatesDataTable8711121314[[#This Row],[asofdate]],U:W,2,0)&lt;&gt;0,VLOOKUP(CurrentMtgRatesDataTable8711121314[[#This Row],[asofdate]],U:W,2,0),AK90)</f>
        <v>5.9673922576363399E-2</v>
      </c>
      <c r="AL91" s="30">
        <f>VLOOKUP(CurrentMtgRatesDataTable8711121314[[#This Row],[asofdate]],Z:AB,2,0)</f>
        <v>3.2337849422777301E-2</v>
      </c>
      <c r="AM91" s="30">
        <f>CurrentMtgRatesDataTable8711121314[[#This Row],[FHA]]+0.5*CurrentMtgRatesDataTable8711121314[[#This Row],[Conventional]]</f>
        <v>5.818865941313095E-2</v>
      </c>
      <c r="AN91" s="30">
        <f>2*CurrentMtgRatesDataTable8711121314[[#This Row],[FHA]]</f>
        <v>0.10444715095404861</v>
      </c>
      <c r="AO91" s="11">
        <f>VLOOKUP(YEAR(CurrentMtgRatesDataTable8711121314[[#This Row],[asofdate]]),OriginationVolume!$A:$N,8,FALSE)</f>
        <v>0.69070208728652749</v>
      </c>
      <c r="AP91" s="11">
        <f>VLOOKUP(YEAR(CurrentMtgRatesDataTable8711121314[[#This Row],[asofdate]]),OriginationVolume!$A:$N,9,FALSE)</f>
        <v>5.9614168247944341E-2</v>
      </c>
      <c r="AQ91" s="11">
        <f>VLOOKUP(YEAR(CurrentMtgRatesDataTable8711121314[[#This Row],[asofdate]]),OriginationVolume!$A:$N,10,FALSE)</f>
        <v>0.17884250474383301</v>
      </c>
      <c r="AR91" s="11">
        <f>VLOOKUP(YEAR(CurrentMtgRatesDataTable8711121314[[#This Row],[asofdate]]),OriginationVolume!$A:$N,11,FALSE)</f>
        <v>6.5781151170145477E-2</v>
      </c>
      <c r="AS91" s="11">
        <f>VLOOKUP(YEAR(CurrentMtgRatesDataTable8711121314[[#This Row],[asofdate]]),OriginationVolume!$A:$N,12,FALSE)</f>
        <v>2.5300442757748261E-3</v>
      </c>
      <c r="AT91" s="11">
        <f>VLOOKUP(YEAR(CurrentMtgRatesDataTable8711121314[[#This Row],[asofdate]]),OriginationVolume!$A:$N,13,FALSE)</f>
        <v>2.5300442757748261E-3</v>
      </c>
      <c r="AU9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AW91" s="7" t="s">
        <v>120</v>
      </c>
      <c r="AX91" s="10">
        <v>11137448000</v>
      </c>
      <c r="AY91" s="31"/>
      <c r="BA91" s="7" t="s">
        <v>120</v>
      </c>
      <c r="BB91" s="10">
        <v>733454000</v>
      </c>
      <c r="BC91" s="31"/>
      <c r="BE91" s="7" t="s">
        <v>120</v>
      </c>
      <c r="BF91" s="10">
        <v>24879975718.720001</v>
      </c>
      <c r="BG91" s="34"/>
      <c r="BI91" s="7" t="s">
        <v>120</v>
      </c>
      <c r="BJ91" s="10">
        <v>13009073718.719999</v>
      </c>
      <c r="BK91" s="34" t="str">
        <f>YEAR(CurrentMtgRatesDataTable871112131417[[#This Row],[asofdate]])&amp;"-"&amp;MONTH(CurrentMtgRatesDataTable871112131417[[#This Row],[asofdate]])</f>
        <v>2010-7</v>
      </c>
      <c r="BL91" s="34">
        <f>CurrentMtgRatesDataTable871112131417[[#This Row],[SeriesNumValue]]</f>
        <v>13009073718.719999</v>
      </c>
      <c r="BM91" s="34">
        <f>VLOOKUP(CurrentMtgRatesDataTable871112131417[[#This Row],[asofdate]],AW:AX,2,0)</f>
        <v>11137448000</v>
      </c>
      <c r="BN91" s="30">
        <f>IF(VLOOKUP(CurrentMtgRatesDataTable871112131417[[#This Row],[asofdate]],BA:BB,2,0)&lt;&gt;0,VLOOKUP(CurrentMtgRatesDataTable871112131417[[#This Row],[asofdate]],BA:BB,2,0),BN90)</f>
        <v>733454000</v>
      </c>
      <c r="BO91" s="30">
        <f>VLOOKUP(CurrentMtgRatesDataTable871112131417[[#This Row],[asofdate]],BE:BF,2,0)</f>
        <v>24879975718.720001</v>
      </c>
    </row>
    <row r="92" spans="1:67" s="8" customFormat="1">
      <c r="A92" s="7" t="s">
        <v>121</v>
      </c>
      <c r="B92" s="10">
        <v>1.2447097876510899E-2</v>
      </c>
      <c r="C92" s="10" t="str">
        <f>YEAR(CurrentMtgRatesDataTable8[[#This Row],[asofdate]])&amp;"-"&amp;MONTH(CurrentMtgRatesDataTable8[[#This Row],[asofdate]])</f>
        <v>2010-8</v>
      </c>
      <c r="D92" s="6">
        <f>((CurrentMtgRatesDataTable8[[#This Row],[SeriesNumValue]]-$D$1)/$D$1+1)*100</f>
        <v>82.980652510072659</v>
      </c>
      <c r="E92" s="6"/>
      <c r="I92" s="7" t="s">
        <v>93</v>
      </c>
      <c r="J92" s="10">
        <v>1.9530240031292102E-2</v>
      </c>
      <c r="K92" s="10" t="str">
        <f>YEAR(CurrentMtgRatesDataTable89[[#This Row],[asofdate]])&amp;"-"&amp;MONTH(CurrentMtgRatesDataTable89[[#This Row],[asofdate]])</f>
        <v>2008-4</v>
      </c>
      <c r="L92" s="6">
        <f>((CurrentMtgRatesDataTable89[[#This Row],[SeriesNumValue]]-$D$1)/$D$1+1)*100</f>
        <v>130.20160020861402</v>
      </c>
      <c r="M92" s="6">
        <f>CurrentMtgRatesDataTable89[[#This Row],[Index]]-L93</f>
        <v>-23.795692002954638</v>
      </c>
      <c r="P92" s="7" t="s">
        <v>121</v>
      </c>
      <c r="Q92" s="10">
        <v>5.4351045253614699E-2</v>
      </c>
      <c r="R92" s="31">
        <f>((CurrentMtgRatesDataTable8711[[#This Row],[SeriesNumValue]]-$D$1)/$D$1+1)*100</f>
        <v>362.34030169076465</v>
      </c>
      <c r="S92" s="31"/>
      <c r="U92" s="7" t="s">
        <v>121</v>
      </c>
      <c r="V92" s="10">
        <v>6.0916811511753502E-2</v>
      </c>
      <c r="W92" s="31">
        <f>((CurrentMtgRatesDataTable871112[[#This Row],[SeriesNumValue]]-$D$1)/$D$1+1)*100</f>
        <v>406.11207674502339</v>
      </c>
      <c r="X92" s="31"/>
      <c r="Z92" s="7" t="s">
        <v>121</v>
      </c>
      <c r="AA92" s="10">
        <v>3.3252173680331697E-2</v>
      </c>
      <c r="AB92" s="34">
        <f>((CurrentMtgRatesDataTable87111213[[#This Row],[SeriesNumValue]]-$D$1)/$D$1+1)*100</f>
        <v>221.68115786887799</v>
      </c>
      <c r="AC92" s="34"/>
      <c r="AE92" s="7" t="s">
        <v>121</v>
      </c>
      <c r="AF92" s="10">
        <v>1.1982081805722199E-2</v>
      </c>
      <c r="AG92" s="34">
        <f>((CurrentMtgRatesDataTable8711121314[[#This Row],[SeriesNumValue]]-$D$1)/$D$1+1)*100</f>
        <v>79.880545371481332</v>
      </c>
      <c r="AH92" s="34" t="str">
        <f>YEAR(CurrentMtgRatesDataTable8711121314[[#This Row],[asofdate]])&amp;"-"&amp;MONTH(CurrentMtgRatesDataTable8711121314[[#This Row],[asofdate]])</f>
        <v>2010-8</v>
      </c>
      <c r="AI92" s="34">
        <f>CurrentMtgRatesDataTable8711121314[[#This Row],[SeriesNumValue]]</f>
        <v>1.1982081805722199E-2</v>
      </c>
      <c r="AJ92" s="34">
        <f>VLOOKUP(CurrentMtgRatesDataTable8711121314[[#This Row],[asofdate]],P:R,2,0)</f>
        <v>5.4351045253614699E-2</v>
      </c>
      <c r="AK92" s="30">
        <f>IF(VLOOKUP(CurrentMtgRatesDataTable8711121314[[#This Row],[asofdate]],U:W,2,0)&lt;&gt;0,VLOOKUP(CurrentMtgRatesDataTable8711121314[[#This Row],[asofdate]],U:W,2,0),AK91)</f>
        <v>6.0916811511753502E-2</v>
      </c>
      <c r="AL92" s="30">
        <f>VLOOKUP(CurrentMtgRatesDataTable8711121314[[#This Row],[asofdate]],Z:AB,2,0)</f>
        <v>3.3252173680331697E-2</v>
      </c>
      <c r="AM92" s="30">
        <f>CurrentMtgRatesDataTable8711121314[[#This Row],[FHA]]+0.5*CurrentMtgRatesDataTable8711121314[[#This Row],[Conventional]]</f>
        <v>6.0342086156475801E-2</v>
      </c>
      <c r="AN92" s="30">
        <f>2*CurrentMtgRatesDataTable8711121314[[#This Row],[FHA]]</f>
        <v>0.1087020905072294</v>
      </c>
      <c r="AO92" s="11">
        <f>VLOOKUP(YEAR(CurrentMtgRatesDataTable8711121314[[#This Row],[asofdate]]),OriginationVolume!$A:$N,8,FALSE)</f>
        <v>0.69070208728652749</v>
      </c>
      <c r="AP92" s="11">
        <f>VLOOKUP(YEAR(CurrentMtgRatesDataTable8711121314[[#This Row],[asofdate]]),OriginationVolume!$A:$N,9,FALSE)</f>
        <v>5.9614168247944341E-2</v>
      </c>
      <c r="AQ92" s="11">
        <f>VLOOKUP(YEAR(CurrentMtgRatesDataTable8711121314[[#This Row],[asofdate]]),OriginationVolume!$A:$N,10,FALSE)</f>
        <v>0.17884250474383301</v>
      </c>
      <c r="AR92" s="11">
        <f>VLOOKUP(YEAR(CurrentMtgRatesDataTable8711121314[[#This Row],[asofdate]]),OriginationVolume!$A:$N,11,FALSE)</f>
        <v>6.5781151170145477E-2</v>
      </c>
      <c r="AS92" s="11">
        <f>VLOOKUP(YEAR(CurrentMtgRatesDataTable8711121314[[#This Row],[asofdate]]),OriginationVolume!$A:$N,12,FALSE)</f>
        <v>2.5300442757748261E-3</v>
      </c>
      <c r="AT92" s="11">
        <f>VLOOKUP(YEAR(CurrentMtgRatesDataTable8711121314[[#This Row],[asofdate]]),OriginationVolume!$A:$N,13,FALSE)</f>
        <v>2.5300442757748261E-3</v>
      </c>
      <c r="AU9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AW92" s="7" t="s">
        <v>121</v>
      </c>
      <c r="AX92" s="10">
        <v>13088231000</v>
      </c>
      <c r="AY92" s="31"/>
      <c r="BA92" s="7" t="s">
        <v>121</v>
      </c>
      <c r="BB92" s="10">
        <v>929866000</v>
      </c>
      <c r="BC92" s="31"/>
      <c r="BE92" s="7" t="s">
        <v>121</v>
      </c>
      <c r="BF92" s="10">
        <v>29569308347.779999</v>
      </c>
      <c r="BG92" s="34"/>
      <c r="BI92" s="7" t="s">
        <v>121</v>
      </c>
      <c r="BJ92" s="10">
        <v>15551211347.780001</v>
      </c>
      <c r="BK92" s="34" t="str">
        <f>YEAR(CurrentMtgRatesDataTable871112131417[[#This Row],[asofdate]])&amp;"-"&amp;MONTH(CurrentMtgRatesDataTable871112131417[[#This Row],[asofdate]])</f>
        <v>2010-8</v>
      </c>
      <c r="BL92" s="34">
        <f>CurrentMtgRatesDataTable871112131417[[#This Row],[SeriesNumValue]]</f>
        <v>15551211347.780001</v>
      </c>
      <c r="BM92" s="34">
        <f>VLOOKUP(CurrentMtgRatesDataTable871112131417[[#This Row],[asofdate]],AW:AX,2,0)</f>
        <v>13088231000</v>
      </c>
      <c r="BN92" s="30">
        <f>IF(VLOOKUP(CurrentMtgRatesDataTable871112131417[[#This Row],[asofdate]],BA:BB,2,0)&lt;&gt;0,VLOOKUP(CurrentMtgRatesDataTable871112131417[[#This Row],[asofdate]],BA:BB,2,0),BN91)</f>
        <v>929866000</v>
      </c>
      <c r="BO92" s="30">
        <f>VLOOKUP(CurrentMtgRatesDataTable871112131417[[#This Row],[asofdate]],BE:BF,2,0)</f>
        <v>29569308347.779999</v>
      </c>
    </row>
    <row r="93" spans="1:67" s="8" customFormat="1">
      <c r="A93" s="7" t="s">
        <v>122</v>
      </c>
      <c r="B93" s="10">
        <v>1.19817630079617E-2</v>
      </c>
      <c r="C93" s="10" t="str">
        <f>YEAR(CurrentMtgRatesDataTable8[[#This Row],[asofdate]])&amp;"-"&amp;MONTH(CurrentMtgRatesDataTable8[[#This Row],[asofdate]])</f>
        <v>2010-9</v>
      </c>
      <c r="D93" s="6">
        <f>((CurrentMtgRatesDataTable8[[#This Row],[SeriesNumValue]]-$D$1)/$D$1+1)*100</f>
        <v>79.878420053078003</v>
      </c>
      <c r="E93" s="6"/>
      <c r="I93" s="7" t="s">
        <v>92</v>
      </c>
      <c r="J93" s="10">
        <v>2.30995938317353E-2</v>
      </c>
      <c r="K93" s="10" t="str">
        <f>YEAR(CurrentMtgRatesDataTable89[[#This Row],[asofdate]])&amp;"-"&amp;MONTH(CurrentMtgRatesDataTable89[[#This Row],[asofdate]])</f>
        <v>2008-3</v>
      </c>
      <c r="L93" s="6">
        <f>((CurrentMtgRatesDataTable89[[#This Row],[SeriesNumValue]]-$D$1)/$D$1+1)*100</f>
        <v>153.99729221156866</v>
      </c>
      <c r="M93" s="6">
        <f>CurrentMtgRatesDataTable89[[#This Row],[Index]]-L94</f>
        <v>-19.345169508780657</v>
      </c>
      <c r="P93" s="7" t="s">
        <v>122</v>
      </c>
      <c r="Q93" s="10">
        <v>5.18039852039874E-2</v>
      </c>
      <c r="R93" s="31">
        <f>((CurrentMtgRatesDataTable8711[[#This Row],[SeriesNumValue]]-$D$1)/$D$1+1)*100</f>
        <v>345.35990135991602</v>
      </c>
      <c r="S93" s="31"/>
      <c r="U93" s="7" t="s">
        <v>122</v>
      </c>
      <c r="V93" s="10">
        <v>5.5588128111664102E-2</v>
      </c>
      <c r="W93" s="31">
        <f>((CurrentMtgRatesDataTable871112[[#This Row],[SeriesNumValue]]-$D$1)/$D$1+1)*100</f>
        <v>370.58752074442737</v>
      </c>
      <c r="X93" s="31"/>
      <c r="Z93" s="7" t="s">
        <v>122</v>
      </c>
      <c r="AA93" s="10">
        <v>2.9819952826810901E-2</v>
      </c>
      <c r="AB93" s="34">
        <f>((CurrentMtgRatesDataTable87111213[[#This Row],[SeriesNumValue]]-$D$1)/$D$1+1)*100</f>
        <v>198.79968551207267</v>
      </c>
      <c r="AC93" s="34"/>
      <c r="AE93" s="7" t="s">
        <v>122</v>
      </c>
      <c r="AF93" s="10">
        <v>1.16348044415624E-2</v>
      </c>
      <c r="AG93" s="34">
        <f>((CurrentMtgRatesDataTable8711121314[[#This Row],[SeriesNumValue]]-$D$1)/$D$1+1)*100</f>
        <v>77.565362943749335</v>
      </c>
      <c r="AH93" s="34" t="str">
        <f>YEAR(CurrentMtgRatesDataTable8711121314[[#This Row],[asofdate]])&amp;"-"&amp;MONTH(CurrentMtgRatesDataTable8711121314[[#This Row],[asofdate]])</f>
        <v>2010-9</v>
      </c>
      <c r="AI93" s="34">
        <f>CurrentMtgRatesDataTable8711121314[[#This Row],[SeriesNumValue]]</f>
        <v>1.16348044415624E-2</v>
      </c>
      <c r="AJ93" s="34">
        <f>VLOOKUP(CurrentMtgRatesDataTable8711121314[[#This Row],[asofdate]],P:R,2,0)</f>
        <v>5.18039852039874E-2</v>
      </c>
      <c r="AK93" s="30">
        <f>IF(VLOOKUP(CurrentMtgRatesDataTable8711121314[[#This Row],[asofdate]],U:W,2,0)&lt;&gt;0,VLOOKUP(CurrentMtgRatesDataTable8711121314[[#This Row],[asofdate]],U:W,2,0),AK92)</f>
        <v>5.5588128111664102E-2</v>
      </c>
      <c r="AL93" s="30">
        <f>VLOOKUP(CurrentMtgRatesDataTable8711121314[[#This Row],[asofdate]],Z:AB,2,0)</f>
        <v>2.9819952826810901E-2</v>
      </c>
      <c r="AM93" s="30">
        <f>CurrentMtgRatesDataTable8711121314[[#This Row],[FHA]]+0.5*CurrentMtgRatesDataTable8711121314[[#This Row],[Conventional]]</f>
        <v>5.7621387424768598E-2</v>
      </c>
      <c r="AN93" s="30">
        <f>2*CurrentMtgRatesDataTable8711121314[[#This Row],[FHA]]</f>
        <v>0.1036079704079748</v>
      </c>
      <c r="AO93" s="11">
        <f>VLOOKUP(YEAR(CurrentMtgRatesDataTable8711121314[[#This Row],[asofdate]]),OriginationVolume!$A:$N,8,FALSE)</f>
        <v>0.69070208728652749</v>
      </c>
      <c r="AP93" s="11">
        <f>VLOOKUP(YEAR(CurrentMtgRatesDataTable8711121314[[#This Row],[asofdate]]),OriginationVolume!$A:$N,9,FALSE)</f>
        <v>5.9614168247944341E-2</v>
      </c>
      <c r="AQ93" s="11">
        <f>VLOOKUP(YEAR(CurrentMtgRatesDataTable8711121314[[#This Row],[asofdate]]),OriginationVolume!$A:$N,10,FALSE)</f>
        <v>0.17884250474383301</v>
      </c>
      <c r="AR93" s="11">
        <f>VLOOKUP(YEAR(CurrentMtgRatesDataTable8711121314[[#This Row],[asofdate]]),OriginationVolume!$A:$N,11,FALSE)</f>
        <v>6.5781151170145477E-2</v>
      </c>
      <c r="AS93" s="11">
        <f>VLOOKUP(YEAR(CurrentMtgRatesDataTable8711121314[[#This Row],[asofdate]]),OriginationVolume!$A:$N,12,FALSE)</f>
        <v>2.5300442757748261E-3</v>
      </c>
      <c r="AT93" s="11">
        <f>VLOOKUP(YEAR(CurrentMtgRatesDataTable8711121314[[#This Row],[asofdate]]),OriginationVolume!$A:$N,13,FALSE)</f>
        <v>2.5300442757748261E-3</v>
      </c>
      <c r="AU9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AW93" s="7" t="s">
        <v>122</v>
      </c>
      <c r="AX93" s="10">
        <v>7424329000</v>
      </c>
      <c r="AY93" s="31"/>
      <c r="BA93" s="7" t="s">
        <v>122</v>
      </c>
      <c r="BB93" s="10">
        <v>753346000</v>
      </c>
      <c r="BC93" s="31"/>
      <c r="BE93" s="7" t="s">
        <v>122</v>
      </c>
      <c r="BF93" s="10">
        <v>18971719558.360001</v>
      </c>
      <c r="BG93" s="34"/>
      <c r="BI93" s="7" t="s">
        <v>122</v>
      </c>
      <c r="BJ93" s="10">
        <v>10794044558.360001</v>
      </c>
      <c r="BK93" s="34" t="str">
        <f>YEAR(CurrentMtgRatesDataTable871112131417[[#This Row],[asofdate]])&amp;"-"&amp;MONTH(CurrentMtgRatesDataTable871112131417[[#This Row],[asofdate]])</f>
        <v>2010-9</v>
      </c>
      <c r="BL93" s="34">
        <f>CurrentMtgRatesDataTable871112131417[[#This Row],[SeriesNumValue]]</f>
        <v>10794044558.360001</v>
      </c>
      <c r="BM93" s="34">
        <f>VLOOKUP(CurrentMtgRatesDataTable871112131417[[#This Row],[asofdate]],AW:AX,2,0)</f>
        <v>7424329000</v>
      </c>
      <c r="BN93" s="30">
        <f>IF(VLOOKUP(CurrentMtgRatesDataTable871112131417[[#This Row],[asofdate]],BA:BB,2,0)&lt;&gt;0,VLOOKUP(CurrentMtgRatesDataTable871112131417[[#This Row],[asofdate]],BA:BB,2,0),BN92)</f>
        <v>753346000</v>
      </c>
      <c r="BO93" s="30">
        <f>VLOOKUP(CurrentMtgRatesDataTable871112131417[[#This Row],[asofdate]],BE:BF,2,0)</f>
        <v>18971719558.360001</v>
      </c>
    </row>
    <row r="94" spans="1:67" s="8" customFormat="1">
      <c r="A94" s="7" t="s">
        <v>123</v>
      </c>
      <c r="B94" s="10">
        <v>1.1696957555317499E-2</v>
      </c>
      <c r="C94" s="10" t="str">
        <f>YEAR(CurrentMtgRatesDataTable8[[#This Row],[asofdate]])&amp;"-"&amp;MONTH(CurrentMtgRatesDataTable8[[#This Row],[asofdate]])</f>
        <v>2010-10</v>
      </c>
      <c r="D94" s="6">
        <f>((CurrentMtgRatesDataTable8[[#This Row],[SeriesNumValue]]-$D$1)/$D$1+1)*100</f>
        <v>77.979717035450008</v>
      </c>
      <c r="E94" s="6"/>
      <c r="I94" s="7" t="s">
        <v>91</v>
      </c>
      <c r="J94" s="10">
        <v>2.6001369258052399E-2</v>
      </c>
      <c r="K94" s="10" t="str">
        <f>YEAR(CurrentMtgRatesDataTable89[[#This Row],[asofdate]])&amp;"-"&amp;MONTH(CurrentMtgRatesDataTable89[[#This Row],[asofdate]])</f>
        <v>2008-2</v>
      </c>
      <c r="L94" s="6">
        <f>((CurrentMtgRatesDataTable89[[#This Row],[SeriesNumValue]]-$D$1)/$D$1+1)*100</f>
        <v>173.34246172034932</v>
      </c>
      <c r="M94" s="6">
        <f>CurrentMtgRatesDataTable89[[#This Row],[Index]]-L95</f>
        <v>-1.4872001582020289</v>
      </c>
      <c r="P94" s="7" t="s">
        <v>123</v>
      </c>
      <c r="Q94" s="10">
        <v>4.9523196065882701E-2</v>
      </c>
      <c r="R94" s="31">
        <f>((CurrentMtgRatesDataTable8711[[#This Row],[SeriesNumValue]]-$D$1)/$D$1+1)*100</f>
        <v>330.15464043921804</v>
      </c>
      <c r="S94" s="31"/>
      <c r="U94" s="7" t="s">
        <v>123</v>
      </c>
      <c r="V94" s="10">
        <v>5.3804484253040998E-2</v>
      </c>
      <c r="W94" s="31">
        <f>((CurrentMtgRatesDataTable871112[[#This Row],[SeriesNumValue]]-$D$1)/$D$1+1)*100</f>
        <v>358.69656168694002</v>
      </c>
      <c r="X94" s="31"/>
      <c r="Z94" s="7" t="s">
        <v>123</v>
      </c>
      <c r="AA94" s="10">
        <v>2.91316606433819E-2</v>
      </c>
      <c r="AB94" s="34">
        <f>((CurrentMtgRatesDataTable87111213[[#This Row],[SeriesNumValue]]-$D$1)/$D$1+1)*100</f>
        <v>194.21107095587934</v>
      </c>
      <c r="AC94" s="34"/>
      <c r="AE94" s="7" t="s">
        <v>123</v>
      </c>
      <c r="AF94" s="10">
        <v>1.15064206683952E-2</v>
      </c>
      <c r="AG94" s="34">
        <f>((CurrentMtgRatesDataTable8711121314[[#This Row],[SeriesNumValue]]-$D$1)/$D$1+1)*100</f>
        <v>76.709471122634667</v>
      </c>
      <c r="AH94" s="34" t="str">
        <f>YEAR(CurrentMtgRatesDataTable8711121314[[#This Row],[asofdate]])&amp;"-"&amp;MONTH(CurrentMtgRatesDataTable8711121314[[#This Row],[asofdate]])</f>
        <v>2010-10</v>
      </c>
      <c r="AI94" s="34">
        <f>CurrentMtgRatesDataTable8711121314[[#This Row],[SeriesNumValue]]</f>
        <v>1.15064206683952E-2</v>
      </c>
      <c r="AJ94" s="34">
        <f>VLOOKUP(CurrentMtgRatesDataTable8711121314[[#This Row],[asofdate]],P:R,2,0)</f>
        <v>4.9523196065882701E-2</v>
      </c>
      <c r="AK94" s="30">
        <f>IF(VLOOKUP(CurrentMtgRatesDataTable8711121314[[#This Row],[asofdate]],U:W,2,0)&lt;&gt;0,VLOOKUP(CurrentMtgRatesDataTable8711121314[[#This Row],[asofdate]],U:W,2,0),AK93)</f>
        <v>5.3804484253040998E-2</v>
      </c>
      <c r="AL94" s="30">
        <f>VLOOKUP(CurrentMtgRatesDataTable8711121314[[#This Row],[asofdate]],Z:AB,2,0)</f>
        <v>2.91316606433819E-2</v>
      </c>
      <c r="AM94" s="30">
        <f>CurrentMtgRatesDataTable8711121314[[#This Row],[FHA]]+0.5*CurrentMtgRatesDataTable8711121314[[#This Row],[Conventional]]</f>
        <v>5.5276406400080302E-2</v>
      </c>
      <c r="AN94" s="30">
        <f>2*CurrentMtgRatesDataTable8711121314[[#This Row],[FHA]]</f>
        <v>9.9046392131765401E-2</v>
      </c>
      <c r="AO94" s="11">
        <f>VLOOKUP(YEAR(CurrentMtgRatesDataTable8711121314[[#This Row],[asofdate]]),OriginationVolume!$A:$N,8,FALSE)</f>
        <v>0.69070208728652749</v>
      </c>
      <c r="AP94" s="11">
        <f>VLOOKUP(YEAR(CurrentMtgRatesDataTable8711121314[[#This Row],[asofdate]]),OriginationVolume!$A:$N,9,FALSE)</f>
        <v>5.9614168247944341E-2</v>
      </c>
      <c r="AQ94" s="11">
        <f>VLOOKUP(YEAR(CurrentMtgRatesDataTable8711121314[[#This Row],[asofdate]]),OriginationVolume!$A:$N,10,FALSE)</f>
        <v>0.17884250474383301</v>
      </c>
      <c r="AR94" s="11">
        <f>VLOOKUP(YEAR(CurrentMtgRatesDataTable8711121314[[#This Row],[asofdate]]),OriginationVolume!$A:$N,11,FALSE)</f>
        <v>6.5781151170145477E-2</v>
      </c>
      <c r="AS94" s="11">
        <f>VLOOKUP(YEAR(CurrentMtgRatesDataTable8711121314[[#This Row],[asofdate]]),OriginationVolume!$A:$N,12,FALSE)</f>
        <v>2.5300442757748261E-3</v>
      </c>
      <c r="AT94" s="11">
        <f>VLOOKUP(YEAR(CurrentMtgRatesDataTable8711121314[[#This Row],[asofdate]]),OriginationVolume!$A:$N,13,FALSE)</f>
        <v>2.5300442757748261E-3</v>
      </c>
      <c r="AU9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AW94" s="7" t="s">
        <v>123</v>
      </c>
      <c r="AX94" s="10">
        <v>8429378000</v>
      </c>
      <c r="AY94" s="31"/>
      <c r="BA94" s="7" t="s">
        <v>123</v>
      </c>
      <c r="BB94" s="10">
        <v>881953000</v>
      </c>
      <c r="BC94" s="31"/>
      <c r="BE94" s="7" t="s">
        <v>123</v>
      </c>
      <c r="BF94" s="10">
        <v>21149620177.060001</v>
      </c>
      <c r="BG94" s="34"/>
      <c r="BI94" s="7" t="s">
        <v>123</v>
      </c>
      <c r="BJ94" s="10">
        <v>11838289177.059999</v>
      </c>
      <c r="BK94" s="34" t="str">
        <f>YEAR(CurrentMtgRatesDataTable871112131417[[#This Row],[asofdate]])&amp;"-"&amp;MONTH(CurrentMtgRatesDataTable871112131417[[#This Row],[asofdate]])</f>
        <v>2010-10</v>
      </c>
      <c r="BL94" s="34">
        <f>CurrentMtgRatesDataTable871112131417[[#This Row],[SeriesNumValue]]</f>
        <v>11838289177.059999</v>
      </c>
      <c r="BM94" s="34">
        <f>VLOOKUP(CurrentMtgRatesDataTable871112131417[[#This Row],[asofdate]],AW:AX,2,0)</f>
        <v>8429378000</v>
      </c>
      <c r="BN94" s="30">
        <f>IF(VLOOKUP(CurrentMtgRatesDataTable871112131417[[#This Row],[asofdate]],BA:BB,2,0)&lt;&gt;0,VLOOKUP(CurrentMtgRatesDataTable871112131417[[#This Row],[asofdate]],BA:BB,2,0),BN93)</f>
        <v>881953000</v>
      </c>
      <c r="BO94" s="30">
        <f>VLOOKUP(CurrentMtgRatesDataTable871112131417[[#This Row],[asofdate]],BE:BF,2,0)</f>
        <v>21149620177.060001</v>
      </c>
    </row>
    <row r="95" spans="1:67" s="8" customFormat="1">
      <c r="A95" s="7" t="s">
        <v>124</v>
      </c>
      <c r="B95" s="10">
        <v>1.1640382998122501E-2</v>
      </c>
      <c r="C95" s="10" t="str">
        <f>YEAR(CurrentMtgRatesDataTable8[[#This Row],[asofdate]])&amp;"-"&amp;MONTH(CurrentMtgRatesDataTable8[[#This Row],[asofdate]])</f>
        <v>2010-11</v>
      </c>
      <c r="D95" s="6">
        <f>((CurrentMtgRatesDataTable8[[#This Row],[SeriesNumValue]]-$D$1)/$D$1+1)*100</f>
        <v>77.602553320816668</v>
      </c>
      <c r="E95" s="6"/>
      <c r="I95" s="7" t="s">
        <v>90</v>
      </c>
      <c r="J95" s="10">
        <v>2.6224449281782702E-2</v>
      </c>
      <c r="K95" s="10" t="str">
        <f>YEAR(CurrentMtgRatesDataTable89[[#This Row],[asofdate]])&amp;"-"&amp;MONTH(CurrentMtgRatesDataTable89[[#This Row],[asofdate]])</f>
        <v>2008-1</v>
      </c>
      <c r="L95" s="6">
        <f>((CurrentMtgRatesDataTable89[[#This Row],[SeriesNumValue]]-$D$1)/$D$1+1)*100</f>
        <v>174.82966187855135</v>
      </c>
      <c r="M95" s="6">
        <f>CurrentMtgRatesDataTable89[[#This Row],[Index]]-L96</f>
        <v>1.0152975630379899</v>
      </c>
      <c r="P95" s="7" t="s">
        <v>124</v>
      </c>
      <c r="Q95" s="10">
        <v>4.8155285513132098E-2</v>
      </c>
      <c r="R95" s="31">
        <f>((CurrentMtgRatesDataTable8711[[#This Row],[SeriesNumValue]]-$D$1)/$D$1+1)*100</f>
        <v>321.035236754214</v>
      </c>
      <c r="S95" s="31"/>
      <c r="U95" s="7" t="s">
        <v>124</v>
      </c>
      <c r="V95" s="10">
        <v>5.1146297447306997E-2</v>
      </c>
      <c r="W95" s="31">
        <f>((CurrentMtgRatesDataTable871112[[#This Row],[SeriesNumValue]]-$D$1)/$D$1+1)*100</f>
        <v>340.97531631537998</v>
      </c>
      <c r="X95" s="31"/>
      <c r="Z95" s="7" t="s">
        <v>124</v>
      </c>
      <c r="AA95" s="10">
        <v>2.9381254475399399E-2</v>
      </c>
      <c r="AB95" s="34">
        <f>((CurrentMtgRatesDataTable87111213[[#This Row],[SeriesNumValue]]-$D$1)/$D$1+1)*100</f>
        <v>195.875029835996</v>
      </c>
      <c r="AC95" s="34"/>
      <c r="AE95" s="7" t="s">
        <v>124</v>
      </c>
      <c r="AF95" s="10">
        <v>1.14185357327672E-2</v>
      </c>
      <c r="AG95" s="34">
        <f>((CurrentMtgRatesDataTable8711121314[[#This Row],[SeriesNumValue]]-$D$1)/$D$1+1)*100</f>
        <v>76.123571551781339</v>
      </c>
      <c r="AH95" s="34" t="str">
        <f>YEAR(CurrentMtgRatesDataTable8711121314[[#This Row],[asofdate]])&amp;"-"&amp;MONTH(CurrentMtgRatesDataTable8711121314[[#This Row],[asofdate]])</f>
        <v>2010-11</v>
      </c>
      <c r="AI95" s="34">
        <f>CurrentMtgRatesDataTable8711121314[[#This Row],[SeriesNumValue]]</f>
        <v>1.14185357327672E-2</v>
      </c>
      <c r="AJ95" s="34">
        <f>VLOOKUP(CurrentMtgRatesDataTable8711121314[[#This Row],[asofdate]],P:R,2,0)</f>
        <v>4.8155285513132098E-2</v>
      </c>
      <c r="AK95" s="30">
        <f>IF(VLOOKUP(CurrentMtgRatesDataTable8711121314[[#This Row],[asofdate]],U:W,2,0)&lt;&gt;0,VLOOKUP(CurrentMtgRatesDataTable8711121314[[#This Row],[asofdate]],U:W,2,0),AK94)</f>
        <v>5.1146297447306997E-2</v>
      </c>
      <c r="AL95" s="30">
        <f>VLOOKUP(CurrentMtgRatesDataTable8711121314[[#This Row],[asofdate]],Z:AB,2,0)</f>
        <v>2.9381254475399399E-2</v>
      </c>
      <c r="AM95" s="30">
        <f>CurrentMtgRatesDataTable8711121314[[#This Row],[FHA]]+0.5*CurrentMtgRatesDataTable8711121314[[#This Row],[Conventional]]</f>
        <v>5.3864553379515699E-2</v>
      </c>
      <c r="AN95" s="30">
        <f>2*CurrentMtgRatesDataTable8711121314[[#This Row],[FHA]]</f>
        <v>9.6310571026264197E-2</v>
      </c>
      <c r="AO95" s="11">
        <f>VLOOKUP(YEAR(CurrentMtgRatesDataTable8711121314[[#This Row],[asofdate]]),OriginationVolume!$A:$N,8,FALSE)</f>
        <v>0.69070208728652749</v>
      </c>
      <c r="AP95" s="11">
        <f>VLOOKUP(YEAR(CurrentMtgRatesDataTable8711121314[[#This Row],[asofdate]]),OriginationVolume!$A:$N,9,FALSE)</f>
        <v>5.9614168247944341E-2</v>
      </c>
      <c r="AQ95" s="11">
        <f>VLOOKUP(YEAR(CurrentMtgRatesDataTable8711121314[[#This Row],[asofdate]]),OriginationVolume!$A:$N,10,FALSE)</f>
        <v>0.17884250474383301</v>
      </c>
      <c r="AR95" s="11">
        <f>VLOOKUP(YEAR(CurrentMtgRatesDataTable8711121314[[#This Row],[asofdate]]),OriginationVolume!$A:$N,11,FALSE)</f>
        <v>6.5781151170145477E-2</v>
      </c>
      <c r="AS95" s="11">
        <f>VLOOKUP(YEAR(CurrentMtgRatesDataTable8711121314[[#This Row],[asofdate]]),OriginationVolume!$A:$N,12,FALSE)</f>
        <v>2.5300442757748261E-3</v>
      </c>
      <c r="AT95" s="11">
        <f>VLOOKUP(YEAR(CurrentMtgRatesDataTable8711121314[[#This Row],[asofdate]]),OriginationVolume!$A:$N,13,FALSE)</f>
        <v>2.5300442757748261E-3</v>
      </c>
      <c r="AU9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AW95" s="7" t="s">
        <v>124</v>
      </c>
      <c r="AX95" s="10">
        <v>8785174000</v>
      </c>
      <c r="AY95" s="31"/>
      <c r="BA95" s="7" t="s">
        <v>124</v>
      </c>
      <c r="BB95" s="10">
        <v>999464000</v>
      </c>
      <c r="BC95" s="31"/>
      <c r="BE95" s="7" t="s">
        <v>124</v>
      </c>
      <c r="BF95" s="10">
        <v>20824544242.75</v>
      </c>
      <c r="BG95" s="34"/>
      <c r="BI95" s="7" t="s">
        <v>124</v>
      </c>
      <c r="BJ95" s="10">
        <v>11039906242.75</v>
      </c>
      <c r="BK95" s="34" t="str">
        <f>YEAR(CurrentMtgRatesDataTable871112131417[[#This Row],[asofdate]])&amp;"-"&amp;MONTH(CurrentMtgRatesDataTable871112131417[[#This Row],[asofdate]])</f>
        <v>2010-11</v>
      </c>
      <c r="BL95" s="34">
        <f>CurrentMtgRatesDataTable871112131417[[#This Row],[SeriesNumValue]]</f>
        <v>11039906242.75</v>
      </c>
      <c r="BM95" s="34">
        <f>VLOOKUP(CurrentMtgRatesDataTable871112131417[[#This Row],[asofdate]],AW:AX,2,0)</f>
        <v>8785174000</v>
      </c>
      <c r="BN95" s="30">
        <f>IF(VLOOKUP(CurrentMtgRatesDataTable871112131417[[#This Row],[asofdate]],BA:BB,2,0)&lt;&gt;0,VLOOKUP(CurrentMtgRatesDataTable871112131417[[#This Row],[asofdate]],BA:BB,2,0),BN94)</f>
        <v>999464000</v>
      </c>
      <c r="BO95" s="30">
        <f>VLOOKUP(CurrentMtgRatesDataTable871112131417[[#This Row],[asofdate]],BE:BF,2,0)</f>
        <v>20824544242.75</v>
      </c>
    </row>
    <row r="96" spans="1:67" s="8" customFormat="1">
      <c r="A96" s="7" t="s">
        <v>125</v>
      </c>
      <c r="B96" s="10">
        <v>1.1582100830378301E-2</v>
      </c>
      <c r="C96" s="10" t="str">
        <f>YEAR(CurrentMtgRatesDataTable8[[#This Row],[asofdate]])&amp;"-"&amp;MONTH(CurrentMtgRatesDataTable8[[#This Row],[asofdate]])</f>
        <v>2010-12</v>
      </c>
      <c r="D96" s="6">
        <f>((CurrentMtgRatesDataTable8[[#This Row],[SeriesNumValue]]-$D$1)/$D$1+1)*100</f>
        <v>77.214005535855335</v>
      </c>
      <c r="E96" s="6"/>
      <c r="I96" s="7" t="s">
        <v>89</v>
      </c>
      <c r="J96" s="10">
        <v>2.6072154647327001E-2</v>
      </c>
      <c r="K96" s="10" t="str">
        <f>YEAR(CurrentMtgRatesDataTable89[[#This Row],[asofdate]])&amp;"-"&amp;MONTH(CurrentMtgRatesDataTable89[[#This Row],[asofdate]])</f>
        <v>2007-12</v>
      </c>
      <c r="L96" s="6">
        <f>((CurrentMtgRatesDataTable89[[#This Row],[SeriesNumValue]]-$D$1)/$D$1+1)*100</f>
        <v>173.81436431551336</v>
      </c>
      <c r="M96" s="6">
        <f>CurrentMtgRatesDataTable89[[#This Row],[Index]]-L97</f>
        <v>1.4924642601760354</v>
      </c>
      <c r="P96" s="7" t="s">
        <v>125</v>
      </c>
      <c r="Q96" s="10">
        <v>4.8498782379219799E-2</v>
      </c>
      <c r="R96" s="31">
        <f>((CurrentMtgRatesDataTable8711[[#This Row],[SeriesNumValue]]-$D$1)/$D$1+1)*100</f>
        <v>323.32521586146532</v>
      </c>
      <c r="S96" s="31"/>
      <c r="U96" s="7" t="s">
        <v>125</v>
      </c>
      <c r="V96" s="10">
        <v>5.3530082124945297E-2</v>
      </c>
      <c r="W96" s="31">
        <f>((CurrentMtgRatesDataTable871112[[#This Row],[SeriesNumValue]]-$D$1)/$D$1+1)*100</f>
        <v>356.86721416630201</v>
      </c>
      <c r="X96" s="31"/>
      <c r="Z96" s="7" t="s">
        <v>125</v>
      </c>
      <c r="AA96" s="10">
        <v>2.9086968961933302E-2</v>
      </c>
      <c r="AB96" s="34">
        <f>((CurrentMtgRatesDataTable87111213[[#This Row],[SeriesNumValue]]-$D$1)/$D$1+1)*100</f>
        <v>193.91312641288869</v>
      </c>
      <c r="AC96" s="34"/>
      <c r="AE96" s="7" t="s">
        <v>125</v>
      </c>
      <c r="AF96" s="10">
        <v>1.16788104740246E-2</v>
      </c>
      <c r="AG96" s="34">
        <f>((CurrentMtgRatesDataTable8711121314[[#This Row],[SeriesNumValue]]-$D$1)/$D$1+1)*100</f>
        <v>77.858736493497332</v>
      </c>
      <c r="AH96" s="34" t="str">
        <f>YEAR(CurrentMtgRatesDataTable8711121314[[#This Row],[asofdate]])&amp;"-"&amp;MONTH(CurrentMtgRatesDataTable8711121314[[#This Row],[asofdate]])</f>
        <v>2010-12</v>
      </c>
      <c r="AI96" s="34">
        <f>CurrentMtgRatesDataTable8711121314[[#This Row],[SeriesNumValue]]</f>
        <v>1.16788104740246E-2</v>
      </c>
      <c r="AJ96" s="34">
        <f>VLOOKUP(CurrentMtgRatesDataTable8711121314[[#This Row],[asofdate]],P:R,2,0)</f>
        <v>4.8498782379219799E-2</v>
      </c>
      <c r="AK96" s="30">
        <f>IF(VLOOKUP(CurrentMtgRatesDataTable8711121314[[#This Row],[asofdate]],U:W,2,0)&lt;&gt;0,VLOOKUP(CurrentMtgRatesDataTable8711121314[[#This Row],[asofdate]],U:W,2,0),AK95)</f>
        <v>5.3530082124945297E-2</v>
      </c>
      <c r="AL96" s="30">
        <f>VLOOKUP(CurrentMtgRatesDataTable8711121314[[#This Row],[asofdate]],Z:AB,2,0)</f>
        <v>2.9086968961933302E-2</v>
      </c>
      <c r="AM96" s="30">
        <f>CurrentMtgRatesDataTable8711121314[[#This Row],[FHA]]+0.5*CurrentMtgRatesDataTable8711121314[[#This Row],[Conventional]]</f>
        <v>5.4338187616232096E-2</v>
      </c>
      <c r="AN96" s="30">
        <f>2*CurrentMtgRatesDataTable8711121314[[#This Row],[FHA]]</f>
        <v>9.6997564758439597E-2</v>
      </c>
      <c r="AO96" s="11">
        <f>VLOOKUP(YEAR(CurrentMtgRatesDataTable8711121314[[#This Row],[asofdate]]),OriginationVolume!$A:$N,8,FALSE)</f>
        <v>0.69070208728652749</v>
      </c>
      <c r="AP96" s="11">
        <f>VLOOKUP(YEAR(CurrentMtgRatesDataTable8711121314[[#This Row],[asofdate]]),OriginationVolume!$A:$N,9,FALSE)</f>
        <v>5.9614168247944341E-2</v>
      </c>
      <c r="AQ96" s="11">
        <f>VLOOKUP(YEAR(CurrentMtgRatesDataTable8711121314[[#This Row],[asofdate]]),OriginationVolume!$A:$N,10,FALSE)</f>
        <v>0.17884250474383301</v>
      </c>
      <c r="AR96" s="11">
        <f>VLOOKUP(YEAR(CurrentMtgRatesDataTable8711121314[[#This Row],[asofdate]]),OriginationVolume!$A:$N,11,FALSE)</f>
        <v>6.5781151170145477E-2</v>
      </c>
      <c r="AS96" s="11">
        <f>VLOOKUP(YEAR(CurrentMtgRatesDataTable8711121314[[#This Row],[asofdate]]),OriginationVolume!$A:$N,12,FALSE)</f>
        <v>2.5300442757748261E-3</v>
      </c>
      <c r="AT96" s="11">
        <f>VLOOKUP(YEAR(CurrentMtgRatesDataTable8711121314[[#This Row],[asofdate]]),OriginationVolume!$A:$N,13,FALSE)</f>
        <v>2.5300442757748261E-3</v>
      </c>
      <c r="AU9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AW96" s="7" t="s">
        <v>125</v>
      </c>
      <c r="AX96" s="10">
        <v>7860228000</v>
      </c>
      <c r="AY96" s="31"/>
      <c r="BA96" s="7" t="s">
        <v>125</v>
      </c>
      <c r="BB96" s="10">
        <v>888768000</v>
      </c>
      <c r="BC96" s="31"/>
      <c r="BE96" s="7" t="s">
        <v>125</v>
      </c>
      <c r="BF96" s="10">
        <v>19327443127.73</v>
      </c>
      <c r="BG96" s="34"/>
      <c r="BI96" s="7" t="s">
        <v>125</v>
      </c>
      <c r="BJ96" s="10">
        <v>10578447127.73</v>
      </c>
      <c r="BK96" s="34" t="str">
        <f>YEAR(CurrentMtgRatesDataTable871112131417[[#This Row],[asofdate]])&amp;"-"&amp;MONTH(CurrentMtgRatesDataTable871112131417[[#This Row],[asofdate]])</f>
        <v>2010-12</v>
      </c>
      <c r="BL96" s="34">
        <f>CurrentMtgRatesDataTable871112131417[[#This Row],[SeriesNumValue]]</f>
        <v>10578447127.73</v>
      </c>
      <c r="BM96" s="34">
        <f>VLOOKUP(CurrentMtgRatesDataTable871112131417[[#This Row],[asofdate]],AW:AX,2,0)</f>
        <v>7860228000</v>
      </c>
      <c r="BN96" s="30">
        <f>IF(VLOOKUP(CurrentMtgRatesDataTable871112131417[[#This Row],[asofdate]],BA:BB,2,0)&lt;&gt;0,VLOOKUP(CurrentMtgRatesDataTable871112131417[[#This Row],[asofdate]],BA:BB,2,0),BN95)</f>
        <v>888768000</v>
      </c>
      <c r="BO96" s="30">
        <f>VLOOKUP(CurrentMtgRatesDataTable871112131417[[#This Row],[asofdate]],BE:BF,2,0)</f>
        <v>19327443127.73</v>
      </c>
    </row>
    <row r="97" spans="1:67" s="8" customFormat="1">
      <c r="A97" s="7" t="s">
        <v>126</v>
      </c>
      <c r="B97" s="10">
        <v>1.0418312786763599E-2</v>
      </c>
      <c r="C97" s="10" t="str">
        <f>YEAR(CurrentMtgRatesDataTable8[[#This Row],[asofdate]])&amp;"-"&amp;MONTH(CurrentMtgRatesDataTable8[[#This Row],[asofdate]])</f>
        <v>2011-1</v>
      </c>
      <c r="D97" s="6">
        <f>((CurrentMtgRatesDataTable8[[#This Row],[SeriesNumValue]]-$D$1)/$D$1+1)*100</f>
        <v>69.455418578424002</v>
      </c>
      <c r="E97" s="6"/>
      <c r="I97" s="7" t="s">
        <v>88</v>
      </c>
      <c r="J97" s="10">
        <v>2.5848285008300598E-2</v>
      </c>
      <c r="K97" s="10" t="str">
        <f>YEAR(CurrentMtgRatesDataTable89[[#This Row],[asofdate]])&amp;"-"&amp;MONTH(CurrentMtgRatesDataTable89[[#This Row],[asofdate]])</f>
        <v>2007-11</v>
      </c>
      <c r="L97" s="6">
        <f>((CurrentMtgRatesDataTable89[[#This Row],[SeriesNumValue]]-$D$1)/$D$1+1)*100</f>
        <v>172.32190005533732</v>
      </c>
      <c r="M97" s="6">
        <f>CurrentMtgRatesDataTable89[[#This Row],[Index]]-L98</f>
        <v>2.9904955249113243</v>
      </c>
      <c r="P97" s="7" t="s">
        <v>126</v>
      </c>
      <c r="Q97" s="10">
        <v>4.5520286505032703E-2</v>
      </c>
      <c r="R97" s="31">
        <f>((CurrentMtgRatesDataTable8711[[#This Row],[SeriesNumValue]]-$D$1)/$D$1+1)*100</f>
        <v>303.46857670021802</v>
      </c>
      <c r="S97" s="31"/>
      <c r="U97" s="7" t="s">
        <v>126</v>
      </c>
      <c r="V97" s="10">
        <v>4.8276735846155397E-2</v>
      </c>
      <c r="W97" s="31">
        <f>((CurrentMtgRatesDataTable871112[[#This Row],[SeriesNumValue]]-$D$1)/$D$1+1)*100</f>
        <v>321.84490564103601</v>
      </c>
      <c r="X97" s="31"/>
      <c r="Z97" s="7" t="s">
        <v>126</v>
      </c>
      <c r="AA97" s="10">
        <v>2.6632462831635201E-2</v>
      </c>
      <c r="AB97" s="34">
        <f>((CurrentMtgRatesDataTable87111213[[#This Row],[SeriesNumValue]]-$D$1)/$D$1+1)*100</f>
        <v>177.54975221090135</v>
      </c>
      <c r="AC97" s="34"/>
      <c r="AE97" s="7" t="s">
        <v>126</v>
      </c>
      <c r="AF97" s="10">
        <v>1.09787728382045E-2</v>
      </c>
      <c r="AG97" s="34">
        <f>((CurrentMtgRatesDataTable8711121314[[#This Row],[SeriesNumValue]]-$D$1)/$D$1+1)*100</f>
        <v>73.191818921363335</v>
      </c>
      <c r="AH97" s="34" t="str">
        <f>YEAR(CurrentMtgRatesDataTable8711121314[[#This Row],[asofdate]])&amp;"-"&amp;MONTH(CurrentMtgRatesDataTable8711121314[[#This Row],[asofdate]])</f>
        <v>2011-1</v>
      </c>
      <c r="AI97" s="34">
        <f>CurrentMtgRatesDataTable8711121314[[#This Row],[SeriesNumValue]]</f>
        <v>1.09787728382045E-2</v>
      </c>
      <c r="AJ97" s="34">
        <f>VLOOKUP(CurrentMtgRatesDataTable8711121314[[#This Row],[asofdate]],P:R,2,0)</f>
        <v>4.5520286505032703E-2</v>
      </c>
      <c r="AK97" s="30">
        <f>IF(VLOOKUP(CurrentMtgRatesDataTable8711121314[[#This Row],[asofdate]],U:W,2,0)&lt;&gt;0,VLOOKUP(CurrentMtgRatesDataTable8711121314[[#This Row],[asofdate]],U:W,2,0),AK96)</f>
        <v>4.8276735846155397E-2</v>
      </c>
      <c r="AL97" s="30">
        <f>VLOOKUP(CurrentMtgRatesDataTable8711121314[[#This Row],[asofdate]],Z:AB,2,0)</f>
        <v>2.6632462831635201E-2</v>
      </c>
      <c r="AM97" s="30">
        <f>CurrentMtgRatesDataTable8711121314[[#This Row],[FHA]]+0.5*CurrentMtgRatesDataTable8711121314[[#This Row],[Conventional]]</f>
        <v>5.1009672924134955E-2</v>
      </c>
      <c r="AN97" s="30">
        <f>2*CurrentMtgRatesDataTable8711121314[[#This Row],[FHA]]</f>
        <v>9.1040573010065406E-2</v>
      </c>
      <c r="AO97" s="11">
        <f>VLOOKUP(YEAR(CurrentMtgRatesDataTable8711121314[[#This Row],[asofdate]]),OriginationVolume!$A:$N,8,FALSE)</f>
        <v>0.66643598615916955</v>
      </c>
      <c r="AP97" s="11">
        <f>VLOOKUP(YEAR(CurrentMtgRatesDataTable8711121314[[#This Row],[asofdate]]),OriginationVolume!$A:$N,9,FALSE)</f>
        <v>5.0865051903114189E-2</v>
      </c>
      <c r="AQ97" s="11">
        <f>VLOOKUP(YEAR(CurrentMtgRatesDataTable8711121314[[#This Row],[asofdate]]),OriginationVolume!$A:$N,10,FALSE)</f>
        <v>0.15259515570934257</v>
      </c>
      <c r="AR97" s="11">
        <f>VLOOKUP(YEAR(CurrentMtgRatesDataTable8711121314[[#This Row],[asofdate]]),OriginationVolume!$A:$N,11,FALSE)</f>
        <v>0.11764705882352941</v>
      </c>
      <c r="AS97" s="11">
        <f>VLOOKUP(YEAR(CurrentMtgRatesDataTable8711121314[[#This Row],[asofdate]]),OriginationVolume!$A:$N,12,FALSE)</f>
        <v>9.688581314878892E-3</v>
      </c>
      <c r="AT97" s="11">
        <f>VLOOKUP(YEAR(CurrentMtgRatesDataTable8711121314[[#This Row],[asofdate]]),OriginationVolume!$A:$N,13,FALSE)</f>
        <v>2.7681660899653978E-3</v>
      </c>
      <c r="AU9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AW97" s="7" t="s">
        <v>126</v>
      </c>
      <c r="AX97" s="10">
        <v>7185062000</v>
      </c>
      <c r="AY97" s="31"/>
      <c r="BA97" s="7" t="s">
        <v>126</v>
      </c>
      <c r="BB97" s="10">
        <v>962537000</v>
      </c>
      <c r="BC97" s="31"/>
      <c r="BE97" s="7" t="s">
        <v>126</v>
      </c>
      <c r="BF97" s="10">
        <v>18606514902.029999</v>
      </c>
      <c r="BG97" s="34"/>
      <c r="BI97" s="7" t="s">
        <v>126</v>
      </c>
      <c r="BJ97" s="10">
        <v>10458915902.030001</v>
      </c>
      <c r="BK97" s="34" t="str">
        <f>YEAR(CurrentMtgRatesDataTable871112131417[[#This Row],[asofdate]])&amp;"-"&amp;MONTH(CurrentMtgRatesDataTable871112131417[[#This Row],[asofdate]])</f>
        <v>2011-1</v>
      </c>
      <c r="BL97" s="34">
        <f>CurrentMtgRatesDataTable871112131417[[#This Row],[SeriesNumValue]]</f>
        <v>10458915902.030001</v>
      </c>
      <c r="BM97" s="34">
        <f>VLOOKUP(CurrentMtgRatesDataTable871112131417[[#This Row],[asofdate]],AW:AX,2,0)</f>
        <v>7185062000</v>
      </c>
      <c r="BN97" s="30">
        <f>IF(VLOOKUP(CurrentMtgRatesDataTable871112131417[[#This Row],[asofdate]],BA:BB,2,0)&lt;&gt;0,VLOOKUP(CurrentMtgRatesDataTable871112131417[[#This Row],[asofdate]],BA:BB,2,0),BN96)</f>
        <v>962537000</v>
      </c>
      <c r="BO97" s="30">
        <f>VLOOKUP(CurrentMtgRatesDataTable871112131417[[#This Row],[asofdate]],BE:BF,2,0)</f>
        <v>18606514902.029999</v>
      </c>
    </row>
    <row r="98" spans="1:67" s="8" customFormat="1">
      <c r="A98" s="7" t="s">
        <v>127</v>
      </c>
      <c r="B98" s="10">
        <v>1.01167964102732E-2</v>
      </c>
      <c r="C98" s="10" t="str">
        <f>YEAR(CurrentMtgRatesDataTable8[[#This Row],[asofdate]])&amp;"-"&amp;MONTH(CurrentMtgRatesDataTable8[[#This Row],[asofdate]])</f>
        <v>2011-2</v>
      </c>
      <c r="D98" s="6">
        <f>((CurrentMtgRatesDataTable8[[#This Row],[SeriesNumValue]]-$D$1)/$D$1+1)*100</f>
        <v>67.445309401821333</v>
      </c>
      <c r="E98" s="6"/>
      <c r="I98" s="7" t="s">
        <v>87</v>
      </c>
      <c r="J98" s="10">
        <v>2.5399710679563901E-2</v>
      </c>
      <c r="K98" s="10" t="str">
        <f>YEAR(CurrentMtgRatesDataTable89[[#This Row],[asofdate]])&amp;"-"&amp;MONTH(CurrentMtgRatesDataTable89[[#This Row],[asofdate]])</f>
        <v>2007-10</v>
      </c>
      <c r="L98" s="6">
        <f>((CurrentMtgRatesDataTable89[[#This Row],[SeriesNumValue]]-$D$1)/$D$1+1)*100</f>
        <v>169.331404530426</v>
      </c>
      <c r="M98" s="6">
        <f>CurrentMtgRatesDataTable89[[#This Row],[Index]]-L99</f>
        <v>14.007753034267978</v>
      </c>
      <c r="P98" s="7" t="s">
        <v>127</v>
      </c>
      <c r="Q98" s="10">
        <v>4.0079471562488797E-2</v>
      </c>
      <c r="R98" s="31">
        <f>((CurrentMtgRatesDataTable8711[[#This Row],[SeriesNumValue]]-$D$1)/$D$1+1)*100</f>
        <v>267.19647708325869</v>
      </c>
      <c r="S98" s="31"/>
      <c r="U98" s="7" t="s">
        <v>127</v>
      </c>
      <c r="V98" s="10">
        <v>4.2674310047092101E-2</v>
      </c>
      <c r="W98" s="31">
        <f>((CurrentMtgRatesDataTable871112[[#This Row],[SeriesNumValue]]-$D$1)/$D$1+1)*100</f>
        <v>284.49540031394736</v>
      </c>
      <c r="X98" s="31"/>
      <c r="Z98" s="7" t="s">
        <v>127</v>
      </c>
      <c r="AA98" s="10">
        <v>2.37103477873317E-2</v>
      </c>
      <c r="AB98" s="34">
        <f>((CurrentMtgRatesDataTable87111213[[#This Row],[SeriesNumValue]]-$D$1)/$D$1+1)*100</f>
        <v>158.06898524887799</v>
      </c>
      <c r="AC98" s="34"/>
      <c r="AE98" s="7" t="s">
        <v>127</v>
      </c>
      <c r="AF98" s="10">
        <v>1.01283020433927E-2</v>
      </c>
      <c r="AG98" s="34">
        <f>((CurrentMtgRatesDataTable8711121314[[#This Row],[SeriesNumValue]]-$D$1)/$D$1+1)*100</f>
        <v>67.522013622618005</v>
      </c>
      <c r="AH98" s="34" t="str">
        <f>YEAR(CurrentMtgRatesDataTable8711121314[[#This Row],[asofdate]])&amp;"-"&amp;MONTH(CurrentMtgRatesDataTable8711121314[[#This Row],[asofdate]])</f>
        <v>2011-2</v>
      </c>
      <c r="AI98" s="34">
        <f>CurrentMtgRatesDataTable8711121314[[#This Row],[SeriesNumValue]]</f>
        <v>1.01283020433927E-2</v>
      </c>
      <c r="AJ98" s="34">
        <f>VLOOKUP(CurrentMtgRatesDataTable8711121314[[#This Row],[asofdate]],P:R,2,0)</f>
        <v>4.0079471562488797E-2</v>
      </c>
      <c r="AK98" s="30">
        <f>IF(VLOOKUP(CurrentMtgRatesDataTable8711121314[[#This Row],[asofdate]],U:W,2,0)&lt;&gt;0,VLOOKUP(CurrentMtgRatesDataTable8711121314[[#This Row],[asofdate]],U:W,2,0),AK97)</f>
        <v>4.2674310047092101E-2</v>
      </c>
      <c r="AL98" s="30">
        <f>VLOOKUP(CurrentMtgRatesDataTable8711121314[[#This Row],[asofdate]],Z:AB,2,0)</f>
        <v>2.37103477873317E-2</v>
      </c>
      <c r="AM98" s="30">
        <f>CurrentMtgRatesDataTable8711121314[[#This Row],[FHA]]+0.5*CurrentMtgRatesDataTable8711121314[[#This Row],[Conventional]]</f>
        <v>4.5143622584185146E-2</v>
      </c>
      <c r="AN98" s="30">
        <f>2*CurrentMtgRatesDataTable8711121314[[#This Row],[FHA]]</f>
        <v>8.0158943124977594E-2</v>
      </c>
      <c r="AO98" s="11">
        <f>VLOOKUP(YEAR(CurrentMtgRatesDataTable8711121314[[#This Row],[asofdate]]),OriginationVolume!$A:$N,8,FALSE)</f>
        <v>0.66643598615916955</v>
      </c>
      <c r="AP98" s="11">
        <f>VLOOKUP(YEAR(CurrentMtgRatesDataTable8711121314[[#This Row],[asofdate]]),OriginationVolume!$A:$N,9,FALSE)</f>
        <v>5.0865051903114189E-2</v>
      </c>
      <c r="AQ98" s="11">
        <f>VLOOKUP(YEAR(CurrentMtgRatesDataTable8711121314[[#This Row],[asofdate]]),OriginationVolume!$A:$N,10,FALSE)</f>
        <v>0.15259515570934257</v>
      </c>
      <c r="AR98" s="11">
        <f>VLOOKUP(YEAR(CurrentMtgRatesDataTable8711121314[[#This Row],[asofdate]]),OriginationVolume!$A:$N,11,FALSE)</f>
        <v>0.11764705882352941</v>
      </c>
      <c r="AS98" s="11">
        <f>VLOOKUP(YEAR(CurrentMtgRatesDataTable8711121314[[#This Row],[asofdate]]),OriginationVolume!$A:$N,12,FALSE)</f>
        <v>9.688581314878892E-3</v>
      </c>
      <c r="AT98" s="11">
        <f>VLOOKUP(YEAR(CurrentMtgRatesDataTable8711121314[[#This Row],[asofdate]]),OriginationVolume!$A:$N,13,FALSE)</f>
        <v>2.7681660899653978E-3</v>
      </c>
      <c r="AU9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AW98" s="7" t="s">
        <v>127</v>
      </c>
      <c r="AX98" s="10">
        <v>7336184000</v>
      </c>
      <c r="AY98" s="31"/>
      <c r="BA98" s="7" t="s">
        <v>127</v>
      </c>
      <c r="BB98" s="10">
        <v>1215721000</v>
      </c>
      <c r="BC98" s="31"/>
      <c r="BE98" s="7" t="s">
        <v>127</v>
      </c>
      <c r="BF98" s="10">
        <v>19595722018.380001</v>
      </c>
      <c r="BG98" s="34"/>
      <c r="BI98" s="7" t="s">
        <v>127</v>
      </c>
      <c r="BJ98" s="10">
        <v>11043817018.379999</v>
      </c>
      <c r="BK98" s="34" t="str">
        <f>YEAR(CurrentMtgRatesDataTable871112131417[[#This Row],[asofdate]])&amp;"-"&amp;MONTH(CurrentMtgRatesDataTable871112131417[[#This Row],[asofdate]])</f>
        <v>2011-2</v>
      </c>
      <c r="BL98" s="34">
        <f>CurrentMtgRatesDataTable871112131417[[#This Row],[SeriesNumValue]]</f>
        <v>11043817018.379999</v>
      </c>
      <c r="BM98" s="34">
        <f>VLOOKUP(CurrentMtgRatesDataTable871112131417[[#This Row],[asofdate]],AW:AX,2,0)</f>
        <v>7336184000</v>
      </c>
      <c r="BN98" s="30">
        <f>IF(VLOOKUP(CurrentMtgRatesDataTable871112131417[[#This Row],[asofdate]],BA:BB,2,0)&lt;&gt;0,VLOOKUP(CurrentMtgRatesDataTable871112131417[[#This Row],[asofdate]],BA:BB,2,0),BN97)</f>
        <v>1215721000</v>
      </c>
      <c r="BO98" s="30">
        <f>VLOOKUP(CurrentMtgRatesDataTable871112131417[[#This Row],[asofdate]],BE:BF,2,0)</f>
        <v>19595722018.380001</v>
      </c>
    </row>
    <row r="99" spans="1:67" s="8" customFormat="1">
      <c r="A99" s="7" t="s">
        <v>128</v>
      </c>
      <c r="B99" s="10">
        <v>1.10515396315222E-2</v>
      </c>
      <c r="C99" s="10" t="str">
        <f>YEAR(CurrentMtgRatesDataTable8[[#This Row],[asofdate]])&amp;"-"&amp;MONTH(CurrentMtgRatesDataTable8[[#This Row],[asofdate]])</f>
        <v>2011-3</v>
      </c>
      <c r="D99" s="6">
        <f>((CurrentMtgRatesDataTable8[[#This Row],[SeriesNumValue]]-$D$1)/$D$1+1)*100</f>
        <v>73.676930876814666</v>
      </c>
      <c r="E99" s="6"/>
      <c r="I99" s="7" t="s">
        <v>86</v>
      </c>
      <c r="J99" s="10">
        <v>2.3298547724423701E-2</v>
      </c>
      <c r="K99" s="10" t="str">
        <f>YEAR(CurrentMtgRatesDataTable89[[#This Row],[asofdate]])&amp;"-"&amp;MONTH(CurrentMtgRatesDataTable89[[#This Row],[asofdate]])</f>
        <v>2007-9</v>
      </c>
      <c r="L99" s="6">
        <f>((CurrentMtgRatesDataTable89[[#This Row],[SeriesNumValue]]-$D$1)/$D$1+1)*100</f>
        <v>155.32365149615802</v>
      </c>
      <c r="M99" s="6">
        <f>CurrentMtgRatesDataTable89[[#This Row],[Index]]-L100</f>
        <v>17.229269371458031</v>
      </c>
      <c r="P99" s="7" t="s">
        <v>128</v>
      </c>
      <c r="Q99" s="10">
        <v>4.3811617029674503E-2</v>
      </c>
      <c r="R99" s="31">
        <f>((CurrentMtgRatesDataTable8711[[#This Row],[SeriesNumValue]]-$D$1)/$D$1+1)*100</f>
        <v>292.07744686449672</v>
      </c>
      <c r="S99" s="31"/>
      <c r="U99" s="7" t="s">
        <v>128</v>
      </c>
      <c r="V99" s="10">
        <v>4.7347657775073798E-2</v>
      </c>
      <c r="W99" s="31">
        <f>((CurrentMtgRatesDataTable871112[[#This Row],[SeriesNumValue]]-$D$1)/$D$1+1)*100</f>
        <v>315.65105183382531</v>
      </c>
      <c r="X99" s="31"/>
      <c r="Z99" s="7" t="s">
        <v>128</v>
      </c>
      <c r="AA99" s="10">
        <v>2.6289854778870098E-2</v>
      </c>
      <c r="AB99" s="34">
        <f>((CurrentMtgRatesDataTable87111213[[#This Row],[SeriesNumValue]]-$D$1)/$D$1+1)*100</f>
        <v>175.26569852580067</v>
      </c>
      <c r="AC99" s="34"/>
      <c r="AE99" s="7" t="s">
        <v>128</v>
      </c>
      <c r="AF99" s="10">
        <v>1.13508512550948E-2</v>
      </c>
      <c r="AG99" s="34">
        <f>((CurrentMtgRatesDataTable8711121314[[#This Row],[SeriesNumValue]]-$D$1)/$D$1+1)*100</f>
        <v>75.672341700631989</v>
      </c>
      <c r="AH99" s="34" t="str">
        <f>YEAR(CurrentMtgRatesDataTable8711121314[[#This Row],[asofdate]])&amp;"-"&amp;MONTH(CurrentMtgRatesDataTable8711121314[[#This Row],[asofdate]])</f>
        <v>2011-3</v>
      </c>
      <c r="AI99" s="34">
        <f>CurrentMtgRatesDataTable8711121314[[#This Row],[SeriesNumValue]]</f>
        <v>1.13508512550948E-2</v>
      </c>
      <c r="AJ99" s="34">
        <f>VLOOKUP(CurrentMtgRatesDataTable8711121314[[#This Row],[asofdate]],P:R,2,0)</f>
        <v>4.3811617029674503E-2</v>
      </c>
      <c r="AK99" s="30">
        <f>IF(VLOOKUP(CurrentMtgRatesDataTable8711121314[[#This Row],[asofdate]],U:W,2,0)&lt;&gt;0,VLOOKUP(CurrentMtgRatesDataTable8711121314[[#This Row],[asofdate]],U:W,2,0),AK98)</f>
        <v>4.7347657775073798E-2</v>
      </c>
      <c r="AL99" s="30">
        <f>VLOOKUP(CurrentMtgRatesDataTable8711121314[[#This Row],[asofdate]],Z:AB,2,0)</f>
        <v>2.6289854778870098E-2</v>
      </c>
      <c r="AM99" s="30">
        <f>CurrentMtgRatesDataTable8711121314[[#This Row],[FHA]]+0.5*CurrentMtgRatesDataTable8711121314[[#This Row],[Conventional]]</f>
        <v>4.9487042657221904E-2</v>
      </c>
      <c r="AN99" s="30">
        <f>2*CurrentMtgRatesDataTable8711121314[[#This Row],[FHA]]</f>
        <v>8.7623234059349006E-2</v>
      </c>
      <c r="AO99" s="11">
        <f>VLOOKUP(YEAR(CurrentMtgRatesDataTable8711121314[[#This Row],[asofdate]]),OriginationVolume!$A:$N,8,FALSE)</f>
        <v>0.66643598615916955</v>
      </c>
      <c r="AP99" s="11">
        <f>VLOOKUP(YEAR(CurrentMtgRatesDataTable8711121314[[#This Row],[asofdate]]),OriginationVolume!$A:$N,9,FALSE)</f>
        <v>5.0865051903114189E-2</v>
      </c>
      <c r="AQ99" s="11">
        <f>VLOOKUP(YEAR(CurrentMtgRatesDataTable8711121314[[#This Row],[asofdate]]),OriginationVolume!$A:$N,10,FALSE)</f>
        <v>0.15259515570934257</v>
      </c>
      <c r="AR99" s="11">
        <f>VLOOKUP(YEAR(CurrentMtgRatesDataTable8711121314[[#This Row],[asofdate]]),OriginationVolume!$A:$N,11,FALSE)</f>
        <v>0.11764705882352941</v>
      </c>
      <c r="AS99" s="11">
        <f>VLOOKUP(YEAR(CurrentMtgRatesDataTable8711121314[[#This Row],[asofdate]]),OriginationVolume!$A:$N,12,FALSE)</f>
        <v>9.688581314878892E-3</v>
      </c>
      <c r="AT99" s="11">
        <f>VLOOKUP(YEAR(CurrentMtgRatesDataTable8711121314[[#This Row],[asofdate]]),OriginationVolume!$A:$N,13,FALSE)</f>
        <v>2.7681660899653978E-3</v>
      </c>
      <c r="AU9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AW99" s="7" t="s">
        <v>128</v>
      </c>
      <c r="AX99" s="10">
        <v>4523772000</v>
      </c>
      <c r="AY99" s="31"/>
      <c r="BA99" s="7" t="s">
        <v>128</v>
      </c>
      <c r="BB99" s="10">
        <v>860403000</v>
      </c>
      <c r="BC99" s="31"/>
      <c r="BE99" s="7" t="s">
        <v>128</v>
      </c>
      <c r="BF99" s="10">
        <v>12517854062.799999</v>
      </c>
      <c r="BG99" s="34"/>
      <c r="BI99" s="7" t="s">
        <v>128</v>
      </c>
      <c r="BJ99" s="10">
        <v>7133679062.8000002</v>
      </c>
      <c r="BK99" s="34" t="str">
        <f>YEAR(CurrentMtgRatesDataTable871112131417[[#This Row],[asofdate]])&amp;"-"&amp;MONTH(CurrentMtgRatesDataTable871112131417[[#This Row],[asofdate]])</f>
        <v>2011-3</v>
      </c>
      <c r="BL99" s="34">
        <f>CurrentMtgRatesDataTable871112131417[[#This Row],[SeriesNumValue]]</f>
        <v>7133679062.8000002</v>
      </c>
      <c r="BM99" s="34">
        <f>VLOOKUP(CurrentMtgRatesDataTable871112131417[[#This Row],[asofdate]],AW:AX,2,0)</f>
        <v>4523772000</v>
      </c>
      <c r="BN99" s="30">
        <f>IF(VLOOKUP(CurrentMtgRatesDataTable871112131417[[#This Row],[asofdate]],BA:BB,2,0)&lt;&gt;0,VLOOKUP(CurrentMtgRatesDataTable871112131417[[#This Row],[asofdate]],BA:BB,2,0),BN98)</f>
        <v>860403000</v>
      </c>
      <c r="BO99" s="30">
        <f>VLOOKUP(CurrentMtgRatesDataTable871112131417[[#This Row],[asofdate]],BE:BF,2,0)</f>
        <v>12517854062.799999</v>
      </c>
    </row>
    <row r="100" spans="1:67" s="8" customFormat="1">
      <c r="A100" s="7" t="s">
        <v>129</v>
      </c>
      <c r="B100" s="10">
        <v>1.15246470908057E-2</v>
      </c>
      <c r="C100" s="10" t="str">
        <f>YEAR(CurrentMtgRatesDataTable8[[#This Row],[asofdate]])&amp;"-"&amp;MONTH(CurrentMtgRatesDataTable8[[#This Row],[asofdate]])</f>
        <v>2011-4</v>
      </c>
      <c r="D100" s="6">
        <f>((CurrentMtgRatesDataTable8[[#This Row],[SeriesNumValue]]-$D$1)/$D$1+1)*100</f>
        <v>76.830980605371352</v>
      </c>
      <c r="E100" s="6"/>
      <c r="I100" s="7" t="s">
        <v>85</v>
      </c>
      <c r="J100" s="10">
        <v>2.0714157318705E-2</v>
      </c>
      <c r="K100" s="10" t="str">
        <f>YEAR(CurrentMtgRatesDataTable89[[#This Row],[asofdate]])&amp;"-"&amp;MONTH(CurrentMtgRatesDataTable89[[#This Row],[asofdate]])</f>
        <v>2007-8</v>
      </c>
      <c r="L100" s="6">
        <f>((CurrentMtgRatesDataTable89[[#This Row],[SeriesNumValue]]-$D$1)/$D$1+1)*100</f>
        <v>138.09438212469999</v>
      </c>
      <c r="M100" s="6">
        <f>CurrentMtgRatesDataTable89[[#This Row],[Index]]-L101</f>
        <v>5.2330551800166347</v>
      </c>
      <c r="P100" s="7" t="s">
        <v>129</v>
      </c>
      <c r="Q100" s="10">
        <v>4.3426562211492999E-2</v>
      </c>
      <c r="R100" s="31">
        <f>((CurrentMtgRatesDataTable8711[[#This Row],[SeriesNumValue]]-$D$1)/$D$1+1)*100</f>
        <v>289.51041474328667</v>
      </c>
      <c r="S100" s="31"/>
      <c r="U100" s="7" t="s">
        <v>129</v>
      </c>
      <c r="V100" s="10">
        <v>4.6889622090334801E-2</v>
      </c>
      <c r="W100" s="31">
        <f>((CurrentMtgRatesDataTable871112[[#This Row],[SeriesNumValue]]-$D$1)/$D$1+1)*100</f>
        <v>312.59748060223205</v>
      </c>
      <c r="X100" s="31"/>
      <c r="Z100" s="7" t="s">
        <v>129</v>
      </c>
      <c r="AA100" s="10">
        <v>2.6604644436645002E-2</v>
      </c>
      <c r="AB100" s="34">
        <f>((CurrentMtgRatesDataTable87111213[[#This Row],[SeriesNumValue]]-$D$1)/$D$1+1)*100</f>
        <v>177.36429624430002</v>
      </c>
      <c r="AC100" s="34"/>
      <c r="AE100" s="7" t="s">
        <v>129</v>
      </c>
      <c r="AF100" s="10">
        <v>1.12627930078745E-2</v>
      </c>
      <c r="AG100" s="34">
        <f>((CurrentMtgRatesDataTable8711121314[[#This Row],[SeriesNumValue]]-$D$1)/$D$1+1)*100</f>
        <v>75.085286719163335</v>
      </c>
      <c r="AH100" s="34" t="str">
        <f>YEAR(CurrentMtgRatesDataTable8711121314[[#This Row],[asofdate]])&amp;"-"&amp;MONTH(CurrentMtgRatesDataTable8711121314[[#This Row],[asofdate]])</f>
        <v>2011-4</v>
      </c>
      <c r="AI100" s="34">
        <f>CurrentMtgRatesDataTable8711121314[[#This Row],[SeriesNumValue]]</f>
        <v>1.12627930078745E-2</v>
      </c>
      <c r="AJ100" s="34">
        <f>VLOOKUP(CurrentMtgRatesDataTable8711121314[[#This Row],[asofdate]],P:R,2,0)</f>
        <v>4.3426562211492999E-2</v>
      </c>
      <c r="AK100" s="30">
        <f>IF(VLOOKUP(CurrentMtgRatesDataTable8711121314[[#This Row],[asofdate]],U:W,2,0)&lt;&gt;0,VLOOKUP(CurrentMtgRatesDataTable8711121314[[#This Row],[asofdate]],U:W,2,0),AK99)</f>
        <v>4.6889622090334801E-2</v>
      </c>
      <c r="AL100" s="30">
        <f>VLOOKUP(CurrentMtgRatesDataTable8711121314[[#This Row],[asofdate]],Z:AB,2,0)</f>
        <v>2.6604644436645002E-2</v>
      </c>
      <c r="AM100" s="30">
        <f>CurrentMtgRatesDataTable8711121314[[#This Row],[FHA]]+0.5*CurrentMtgRatesDataTable8711121314[[#This Row],[Conventional]]</f>
        <v>4.9057958715430248E-2</v>
      </c>
      <c r="AN100" s="30">
        <f>2*CurrentMtgRatesDataTable8711121314[[#This Row],[FHA]]</f>
        <v>8.6853124422985997E-2</v>
      </c>
      <c r="AO100" s="11">
        <f>VLOOKUP(YEAR(CurrentMtgRatesDataTable8711121314[[#This Row],[asofdate]]),OriginationVolume!$A:$N,8,FALSE)</f>
        <v>0.66643598615916955</v>
      </c>
      <c r="AP100" s="11">
        <f>VLOOKUP(YEAR(CurrentMtgRatesDataTable8711121314[[#This Row],[asofdate]]),OriginationVolume!$A:$N,9,FALSE)</f>
        <v>5.0865051903114189E-2</v>
      </c>
      <c r="AQ100" s="11">
        <f>VLOOKUP(YEAR(CurrentMtgRatesDataTable8711121314[[#This Row],[asofdate]]),OriginationVolume!$A:$N,10,FALSE)</f>
        <v>0.15259515570934257</v>
      </c>
      <c r="AR100" s="11">
        <f>VLOOKUP(YEAR(CurrentMtgRatesDataTable8711121314[[#This Row],[asofdate]]),OriginationVolume!$A:$N,11,FALSE)</f>
        <v>0.11764705882352941</v>
      </c>
      <c r="AS100" s="11">
        <f>VLOOKUP(YEAR(CurrentMtgRatesDataTable8711121314[[#This Row],[asofdate]]),OriginationVolume!$A:$N,12,FALSE)</f>
        <v>9.688581314878892E-3</v>
      </c>
      <c r="AT100" s="11">
        <f>VLOOKUP(YEAR(CurrentMtgRatesDataTable8711121314[[#This Row],[asofdate]]),OriginationVolume!$A:$N,13,FALSE)</f>
        <v>2.7681660899653978E-3</v>
      </c>
      <c r="AU10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AW100" s="7" t="s">
        <v>129</v>
      </c>
      <c r="AX100" s="10">
        <v>4510409000</v>
      </c>
      <c r="AY100" s="31"/>
      <c r="BA100" s="7" t="s">
        <v>129</v>
      </c>
      <c r="BB100" s="10">
        <v>834045000</v>
      </c>
      <c r="BC100" s="31"/>
      <c r="BE100" s="7" t="s">
        <v>129</v>
      </c>
      <c r="BF100" s="10">
        <v>11968693481.92</v>
      </c>
      <c r="BG100" s="34"/>
      <c r="BI100" s="7" t="s">
        <v>129</v>
      </c>
      <c r="BJ100" s="10">
        <v>6624239481.9200001</v>
      </c>
      <c r="BK100" s="34" t="str">
        <f>YEAR(CurrentMtgRatesDataTable871112131417[[#This Row],[asofdate]])&amp;"-"&amp;MONTH(CurrentMtgRatesDataTable871112131417[[#This Row],[asofdate]])</f>
        <v>2011-4</v>
      </c>
      <c r="BL100" s="34">
        <f>CurrentMtgRatesDataTable871112131417[[#This Row],[SeriesNumValue]]</f>
        <v>6624239481.9200001</v>
      </c>
      <c r="BM100" s="34">
        <f>VLOOKUP(CurrentMtgRatesDataTable871112131417[[#This Row],[asofdate]],AW:AX,2,0)</f>
        <v>4510409000</v>
      </c>
      <c r="BN100" s="30">
        <f>IF(VLOOKUP(CurrentMtgRatesDataTable871112131417[[#This Row],[asofdate]],BA:BB,2,0)&lt;&gt;0,VLOOKUP(CurrentMtgRatesDataTable871112131417[[#This Row],[asofdate]],BA:BB,2,0),BN99)</f>
        <v>834045000</v>
      </c>
      <c r="BO100" s="30">
        <f>VLOOKUP(CurrentMtgRatesDataTable871112131417[[#This Row],[asofdate]],BE:BF,2,0)</f>
        <v>11968693481.92</v>
      </c>
    </row>
    <row r="101" spans="1:67" s="8" customFormat="1">
      <c r="A101" s="7" t="s">
        <v>130</v>
      </c>
      <c r="B101" s="10">
        <v>1.24223115520012E-2</v>
      </c>
      <c r="C101" s="10" t="str">
        <f>YEAR(CurrentMtgRatesDataTable8[[#This Row],[asofdate]])&amp;"-"&amp;MONTH(CurrentMtgRatesDataTable8[[#This Row],[asofdate]])</f>
        <v>2011-5</v>
      </c>
      <c r="D101" s="6">
        <f>((CurrentMtgRatesDataTable8[[#This Row],[SeriesNumValue]]-$D$1)/$D$1+1)*100</f>
        <v>82.815410346674668</v>
      </c>
      <c r="E101" s="6"/>
      <c r="I101" s="7" t="s">
        <v>84</v>
      </c>
      <c r="J101" s="10">
        <v>1.9929199041702501E-2</v>
      </c>
      <c r="K101" s="10" t="str">
        <f>YEAR(CurrentMtgRatesDataTable89[[#This Row],[asofdate]])&amp;"-"&amp;MONTH(CurrentMtgRatesDataTable89[[#This Row],[asofdate]])</f>
        <v>2007-7</v>
      </c>
      <c r="L101" s="6">
        <f>((CurrentMtgRatesDataTable89[[#This Row],[SeriesNumValue]]-$D$1)/$D$1+1)*100</f>
        <v>132.86132694468336</v>
      </c>
      <c r="M101" s="6">
        <f>CurrentMtgRatesDataTable89[[#This Row],[Index]]-L102</f>
        <v>-4.9538617214599867</v>
      </c>
      <c r="P101" s="7" t="s">
        <v>130</v>
      </c>
      <c r="Q101" s="10">
        <v>4.7030864544221701E-2</v>
      </c>
      <c r="R101" s="31">
        <f>((CurrentMtgRatesDataTable8711[[#This Row],[SeriesNumValue]]-$D$1)/$D$1+1)*100</f>
        <v>313.53909696147804</v>
      </c>
      <c r="S101" s="31"/>
      <c r="U101" s="7" t="s">
        <v>130</v>
      </c>
      <c r="V101" s="10">
        <v>5.1291471977601498E-2</v>
      </c>
      <c r="W101" s="31">
        <f>((CurrentMtgRatesDataTable871112[[#This Row],[SeriesNumValue]]-$D$1)/$D$1+1)*100</f>
        <v>341.94314651734334</v>
      </c>
      <c r="X101" s="31"/>
      <c r="Z101" s="7" t="s">
        <v>130</v>
      </c>
      <c r="AA101" s="10">
        <v>2.9504422857076301E-2</v>
      </c>
      <c r="AB101" s="34">
        <f>((CurrentMtgRatesDataTable87111213[[#This Row],[SeriesNumValue]]-$D$1)/$D$1+1)*100</f>
        <v>196.69615238050869</v>
      </c>
      <c r="AC101" s="34"/>
      <c r="AE101" s="7" t="s">
        <v>130</v>
      </c>
      <c r="AF101" s="10">
        <v>1.23644975040067E-2</v>
      </c>
      <c r="AG101" s="34">
        <f>((CurrentMtgRatesDataTable8711121314[[#This Row],[SeriesNumValue]]-$D$1)/$D$1+1)*100</f>
        <v>82.429983360044673</v>
      </c>
      <c r="AH101" s="34" t="str">
        <f>YEAR(CurrentMtgRatesDataTable8711121314[[#This Row],[asofdate]])&amp;"-"&amp;MONTH(CurrentMtgRatesDataTable8711121314[[#This Row],[asofdate]])</f>
        <v>2011-5</v>
      </c>
      <c r="AI101" s="34">
        <f>CurrentMtgRatesDataTable8711121314[[#This Row],[SeriesNumValue]]</f>
        <v>1.23644975040067E-2</v>
      </c>
      <c r="AJ101" s="34">
        <f>VLOOKUP(CurrentMtgRatesDataTable8711121314[[#This Row],[asofdate]],P:R,2,0)</f>
        <v>4.7030864544221701E-2</v>
      </c>
      <c r="AK101" s="30">
        <f>IF(VLOOKUP(CurrentMtgRatesDataTable8711121314[[#This Row],[asofdate]],U:W,2,0)&lt;&gt;0,VLOOKUP(CurrentMtgRatesDataTable8711121314[[#This Row],[asofdate]],U:W,2,0),AK100)</f>
        <v>5.1291471977601498E-2</v>
      </c>
      <c r="AL101" s="30">
        <f>VLOOKUP(CurrentMtgRatesDataTable8711121314[[#This Row],[asofdate]],Z:AB,2,0)</f>
        <v>2.9504422857076301E-2</v>
      </c>
      <c r="AM101" s="30">
        <f>CurrentMtgRatesDataTable8711121314[[#This Row],[FHA]]+0.5*CurrentMtgRatesDataTable8711121314[[#This Row],[Conventional]]</f>
        <v>5.3213113296225051E-2</v>
      </c>
      <c r="AN101" s="30">
        <f>2*CurrentMtgRatesDataTable8711121314[[#This Row],[FHA]]</f>
        <v>9.4061729088443402E-2</v>
      </c>
      <c r="AO101" s="11">
        <f>VLOOKUP(YEAR(CurrentMtgRatesDataTable8711121314[[#This Row],[asofdate]]),OriginationVolume!$A:$N,8,FALSE)</f>
        <v>0.66643598615916955</v>
      </c>
      <c r="AP101" s="11">
        <f>VLOOKUP(YEAR(CurrentMtgRatesDataTable8711121314[[#This Row],[asofdate]]),OriginationVolume!$A:$N,9,FALSE)</f>
        <v>5.0865051903114189E-2</v>
      </c>
      <c r="AQ101" s="11">
        <f>VLOOKUP(YEAR(CurrentMtgRatesDataTable8711121314[[#This Row],[asofdate]]),OriginationVolume!$A:$N,10,FALSE)</f>
        <v>0.15259515570934257</v>
      </c>
      <c r="AR101" s="11">
        <f>VLOOKUP(YEAR(CurrentMtgRatesDataTable8711121314[[#This Row],[asofdate]]),OriginationVolume!$A:$N,11,FALSE)</f>
        <v>0.11764705882352941</v>
      </c>
      <c r="AS101" s="11">
        <f>VLOOKUP(YEAR(CurrentMtgRatesDataTable8711121314[[#This Row],[asofdate]]),OriginationVolume!$A:$N,12,FALSE)</f>
        <v>9.688581314878892E-3</v>
      </c>
      <c r="AT101" s="11">
        <f>VLOOKUP(YEAR(CurrentMtgRatesDataTable8711121314[[#This Row],[asofdate]]),OriginationVolume!$A:$N,13,FALSE)</f>
        <v>2.7681660899653978E-3</v>
      </c>
      <c r="AU10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AW101" s="7" t="s">
        <v>130</v>
      </c>
      <c r="AX101" s="10">
        <v>6264608000</v>
      </c>
      <c r="AY101" s="31"/>
      <c r="BA101" s="7" t="s">
        <v>130</v>
      </c>
      <c r="BB101" s="10">
        <v>1068440000</v>
      </c>
      <c r="BC101" s="31"/>
      <c r="BE101" s="7" t="s">
        <v>130</v>
      </c>
      <c r="BF101" s="10">
        <v>16128105234.540001</v>
      </c>
      <c r="BG101" s="34"/>
      <c r="BI101" s="7" t="s">
        <v>130</v>
      </c>
      <c r="BJ101" s="10">
        <v>8795057234.5400009</v>
      </c>
      <c r="BK101" s="34" t="str">
        <f>YEAR(CurrentMtgRatesDataTable871112131417[[#This Row],[asofdate]])&amp;"-"&amp;MONTH(CurrentMtgRatesDataTable871112131417[[#This Row],[asofdate]])</f>
        <v>2011-5</v>
      </c>
      <c r="BL101" s="34">
        <f>CurrentMtgRatesDataTable871112131417[[#This Row],[SeriesNumValue]]</f>
        <v>8795057234.5400009</v>
      </c>
      <c r="BM101" s="34">
        <f>VLOOKUP(CurrentMtgRatesDataTable871112131417[[#This Row],[asofdate]],AW:AX,2,0)</f>
        <v>6264608000</v>
      </c>
      <c r="BN101" s="30">
        <f>IF(VLOOKUP(CurrentMtgRatesDataTable871112131417[[#This Row],[asofdate]],BA:BB,2,0)&lt;&gt;0,VLOOKUP(CurrentMtgRatesDataTable871112131417[[#This Row],[asofdate]],BA:BB,2,0),BN100)</f>
        <v>1068440000</v>
      </c>
      <c r="BO101" s="30">
        <f>VLOOKUP(CurrentMtgRatesDataTable871112131417[[#This Row],[asofdate]],BE:BF,2,0)</f>
        <v>16128105234.540001</v>
      </c>
    </row>
    <row r="102" spans="1:67" s="8" customFormat="1">
      <c r="A102" s="7" t="s">
        <v>131</v>
      </c>
      <c r="B102" s="10">
        <v>1.28257852491206E-2</v>
      </c>
      <c r="C102" s="10" t="str">
        <f>YEAR(CurrentMtgRatesDataTable8[[#This Row],[asofdate]])&amp;"-"&amp;MONTH(CurrentMtgRatesDataTable8[[#This Row],[asofdate]])</f>
        <v>2011-6</v>
      </c>
      <c r="D102" s="6">
        <f>((CurrentMtgRatesDataTable8[[#This Row],[SeriesNumValue]]-$D$1)/$D$1+1)*100</f>
        <v>85.505234994137339</v>
      </c>
      <c r="E102" s="6"/>
      <c r="I102" s="7" t="s">
        <v>83</v>
      </c>
      <c r="J102" s="10">
        <v>2.06722782999215E-2</v>
      </c>
      <c r="K102" s="10" t="str">
        <f>YEAR(CurrentMtgRatesDataTable89[[#This Row],[asofdate]])&amp;"-"&amp;MONTH(CurrentMtgRatesDataTable89[[#This Row],[asofdate]])</f>
        <v>2007-6</v>
      </c>
      <c r="L102" s="6">
        <f>((CurrentMtgRatesDataTable89[[#This Row],[SeriesNumValue]]-$D$1)/$D$1+1)*100</f>
        <v>137.81518866614334</v>
      </c>
      <c r="M102" s="6">
        <f>CurrentMtgRatesDataTable89[[#This Row],[Index]]-L103</f>
        <v>2.582213788185328</v>
      </c>
      <c r="P102" s="7" t="s">
        <v>131</v>
      </c>
      <c r="Q102" s="10">
        <v>4.7169554670103801E-2</v>
      </c>
      <c r="R102" s="31">
        <f>((CurrentMtgRatesDataTable8711[[#This Row],[SeriesNumValue]]-$D$1)/$D$1+1)*100</f>
        <v>314.46369780069199</v>
      </c>
      <c r="S102" s="31"/>
      <c r="U102" s="7" t="s">
        <v>131</v>
      </c>
      <c r="V102" s="10">
        <v>5.1146663651552397E-2</v>
      </c>
      <c r="W102" s="31">
        <f>((CurrentMtgRatesDataTable871112[[#This Row],[SeriesNumValue]]-$D$1)/$D$1+1)*100</f>
        <v>340.97775767701603</v>
      </c>
      <c r="X102" s="31"/>
      <c r="Z102" s="7" t="s">
        <v>131</v>
      </c>
      <c r="AA102" s="10">
        <v>2.9783633659662301E-2</v>
      </c>
      <c r="AB102" s="34">
        <f>((CurrentMtgRatesDataTable87111213[[#This Row],[SeriesNumValue]]-$D$1)/$D$1+1)*100</f>
        <v>198.557557731082</v>
      </c>
      <c r="AC102" s="34"/>
      <c r="AE102" s="7" t="s">
        <v>131</v>
      </c>
      <c r="AF102" s="10">
        <v>1.22665245776873E-2</v>
      </c>
      <c r="AG102" s="34">
        <f>((CurrentMtgRatesDataTable8711121314[[#This Row],[SeriesNumValue]]-$D$1)/$D$1+1)*100</f>
        <v>81.776830517915329</v>
      </c>
      <c r="AH102" s="34" t="str">
        <f>YEAR(CurrentMtgRatesDataTable8711121314[[#This Row],[asofdate]])&amp;"-"&amp;MONTH(CurrentMtgRatesDataTable8711121314[[#This Row],[asofdate]])</f>
        <v>2011-6</v>
      </c>
      <c r="AI102" s="34">
        <f>CurrentMtgRatesDataTable8711121314[[#This Row],[SeriesNumValue]]</f>
        <v>1.22665245776873E-2</v>
      </c>
      <c r="AJ102" s="34">
        <f>VLOOKUP(CurrentMtgRatesDataTable8711121314[[#This Row],[asofdate]],P:R,2,0)</f>
        <v>4.7169554670103801E-2</v>
      </c>
      <c r="AK102" s="30">
        <f>IF(VLOOKUP(CurrentMtgRatesDataTable8711121314[[#This Row],[asofdate]],U:W,2,0)&lt;&gt;0,VLOOKUP(CurrentMtgRatesDataTable8711121314[[#This Row],[asofdate]],U:W,2,0),AK101)</f>
        <v>5.1146663651552397E-2</v>
      </c>
      <c r="AL102" s="30">
        <f>VLOOKUP(CurrentMtgRatesDataTable8711121314[[#This Row],[asofdate]],Z:AB,2,0)</f>
        <v>2.9783633659662301E-2</v>
      </c>
      <c r="AM102" s="30">
        <f>CurrentMtgRatesDataTable8711121314[[#This Row],[FHA]]+0.5*CurrentMtgRatesDataTable8711121314[[#This Row],[Conventional]]</f>
        <v>5.3302816958947452E-2</v>
      </c>
      <c r="AN102" s="30">
        <f>2*CurrentMtgRatesDataTable8711121314[[#This Row],[FHA]]</f>
        <v>9.4339109340207603E-2</v>
      </c>
      <c r="AO102" s="11">
        <f>VLOOKUP(YEAR(CurrentMtgRatesDataTable8711121314[[#This Row],[asofdate]]),OriginationVolume!$A:$N,8,FALSE)</f>
        <v>0.66643598615916955</v>
      </c>
      <c r="AP102" s="11">
        <f>VLOOKUP(YEAR(CurrentMtgRatesDataTable8711121314[[#This Row],[asofdate]]),OriginationVolume!$A:$N,9,FALSE)</f>
        <v>5.0865051903114189E-2</v>
      </c>
      <c r="AQ102" s="11">
        <f>VLOOKUP(YEAR(CurrentMtgRatesDataTable8711121314[[#This Row],[asofdate]]),OriginationVolume!$A:$N,10,FALSE)</f>
        <v>0.15259515570934257</v>
      </c>
      <c r="AR102" s="11">
        <f>VLOOKUP(YEAR(CurrentMtgRatesDataTable8711121314[[#This Row],[asofdate]]),OriginationVolume!$A:$N,11,FALSE)</f>
        <v>0.11764705882352941</v>
      </c>
      <c r="AS102" s="11">
        <f>VLOOKUP(YEAR(CurrentMtgRatesDataTable8711121314[[#This Row],[asofdate]]),OriginationVolume!$A:$N,12,FALSE)</f>
        <v>9.688581314878892E-3</v>
      </c>
      <c r="AT102" s="11">
        <f>VLOOKUP(YEAR(CurrentMtgRatesDataTable8711121314[[#This Row],[asofdate]]),OriginationVolume!$A:$N,13,FALSE)</f>
        <v>2.7681660899653978E-3</v>
      </c>
      <c r="AU10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AW102" s="7" t="s">
        <v>131</v>
      </c>
      <c r="AX102" s="10">
        <v>6733364000</v>
      </c>
      <c r="AY102" s="31"/>
      <c r="BA102" s="7" t="s">
        <v>131</v>
      </c>
      <c r="BB102" s="10">
        <v>1178013000</v>
      </c>
      <c r="BC102" s="31"/>
      <c r="BE102" s="7" t="s">
        <v>131</v>
      </c>
      <c r="BF102" s="10">
        <v>17029511603.32</v>
      </c>
      <c r="BG102" s="34"/>
      <c r="BI102" s="7" t="s">
        <v>131</v>
      </c>
      <c r="BJ102" s="10">
        <v>9118134603.3199997</v>
      </c>
      <c r="BK102" s="34" t="str">
        <f>YEAR(CurrentMtgRatesDataTable871112131417[[#This Row],[asofdate]])&amp;"-"&amp;MONTH(CurrentMtgRatesDataTable871112131417[[#This Row],[asofdate]])</f>
        <v>2011-6</v>
      </c>
      <c r="BL102" s="34">
        <f>CurrentMtgRatesDataTable871112131417[[#This Row],[SeriesNumValue]]</f>
        <v>9118134603.3199997</v>
      </c>
      <c r="BM102" s="34">
        <f>VLOOKUP(CurrentMtgRatesDataTable871112131417[[#This Row],[asofdate]],AW:AX,2,0)</f>
        <v>6733364000</v>
      </c>
      <c r="BN102" s="30">
        <f>IF(VLOOKUP(CurrentMtgRatesDataTable871112131417[[#This Row],[asofdate]],BA:BB,2,0)&lt;&gt;0,VLOOKUP(CurrentMtgRatesDataTable871112131417[[#This Row],[asofdate]],BA:BB,2,0),BN101)</f>
        <v>1178013000</v>
      </c>
      <c r="BO102" s="30">
        <f>VLOOKUP(CurrentMtgRatesDataTable871112131417[[#This Row],[asofdate]],BE:BF,2,0)</f>
        <v>17029511603.32</v>
      </c>
    </row>
    <row r="103" spans="1:67" s="8" customFormat="1">
      <c r="A103" s="7" t="s">
        <v>132</v>
      </c>
      <c r="B103" s="10">
        <v>1.39403259481931E-2</v>
      </c>
      <c r="C103" s="10" t="str">
        <f>YEAR(CurrentMtgRatesDataTable8[[#This Row],[asofdate]])&amp;"-"&amp;MONTH(CurrentMtgRatesDataTable8[[#This Row],[asofdate]])</f>
        <v>2011-7</v>
      </c>
      <c r="D103" s="6">
        <f>((CurrentMtgRatesDataTable8[[#This Row],[SeriesNumValue]]-$D$1)/$D$1+1)*100</f>
        <v>92.935506321287349</v>
      </c>
      <c r="E103" s="6"/>
      <c r="I103" s="7" t="s">
        <v>82</v>
      </c>
      <c r="J103" s="10">
        <v>2.0284946231693701E-2</v>
      </c>
      <c r="K103" s="10" t="str">
        <f>YEAR(CurrentMtgRatesDataTable89[[#This Row],[asofdate]])&amp;"-"&amp;MONTH(CurrentMtgRatesDataTable89[[#This Row],[asofdate]])</f>
        <v>2007-5</v>
      </c>
      <c r="L103" s="6">
        <f>((CurrentMtgRatesDataTable89[[#This Row],[SeriesNumValue]]-$D$1)/$D$1+1)*100</f>
        <v>135.23297487795801</v>
      </c>
      <c r="M103" s="6">
        <f>CurrentMtgRatesDataTable89[[#This Row],[Index]]-L104</f>
        <v>3.0647218881340166</v>
      </c>
      <c r="P103" s="7" t="s">
        <v>132</v>
      </c>
      <c r="Q103" s="10">
        <v>5.01318953503316E-2</v>
      </c>
      <c r="R103" s="31">
        <f>((CurrentMtgRatesDataTable8711[[#This Row],[SeriesNumValue]]-$D$1)/$D$1+1)*100</f>
        <v>334.21263566887734</v>
      </c>
      <c r="S103" s="31"/>
      <c r="U103" s="7" t="s">
        <v>132</v>
      </c>
      <c r="V103" s="10">
        <v>5.2659002166967103E-2</v>
      </c>
      <c r="W103" s="31">
        <f>((CurrentMtgRatesDataTable871112[[#This Row],[SeriesNumValue]]-$D$1)/$D$1+1)*100</f>
        <v>351.06001444644738</v>
      </c>
      <c r="X103" s="31"/>
      <c r="Z103" s="7" t="s">
        <v>132</v>
      </c>
      <c r="AA103" s="10">
        <v>3.1748377147821999E-2</v>
      </c>
      <c r="AB103" s="34">
        <f>((CurrentMtgRatesDataTable87111213[[#This Row],[SeriesNumValue]]-$D$1)/$D$1+1)*100</f>
        <v>211.65584765214666</v>
      </c>
      <c r="AC103" s="34"/>
      <c r="AE103" s="7" t="s">
        <v>132</v>
      </c>
      <c r="AF103" s="10">
        <v>1.3548661533222499E-2</v>
      </c>
      <c r="AG103" s="34">
        <f>((CurrentMtgRatesDataTable8711121314[[#This Row],[SeriesNumValue]]-$D$1)/$D$1+1)*100</f>
        <v>90.324410221483333</v>
      </c>
      <c r="AH103" s="34" t="str">
        <f>YEAR(CurrentMtgRatesDataTable8711121314[[#This Row],[asofdate]])&amp;"-"&amp;MONTH(CurrentMtgRatesDataTable8711121314[[#This Row],[asofdate]])</f>
        <v>2011-7</v>
      </c>
      <c r="AI103" s="34">
        <f>CurrentMtgRatesDataTable8711121314[[#This Row],[SeriesNumValue]]</f>
        <v>1.3548661533222499E-2</v>
      </c>
      <c r="AJ103" s="34">
        <f>VLOOKUP(CurrentMtgRatesDataTable8711121314[[#This Row],[asofdate]],P:R,2,0)</f>
        <v>5.01318953503316E-2</v>
      </c>
      <c r="AK103" s="30">
        <f>IF(VLOOKUP(CurrentMtgRatesDataTable8711121314[[#This Row],[asofdate]],U:W,2,0)&lt;&gt;0,VLOOKUP(CurrentMtgRatesDataTable8711121314[[#This Row],[asofdate]],U:W,2,0),AK102)</f>
        <v>5.2659002166967103E-2</v>
      </c>
      <c r="AL103" s="30">
        <f>VLOOKUP(CurrentMtgRatesDataTable8711121314[[#This Row],[asofdate]],Z:AB,2,0)</f>
        <v>3.1748377147821999E-2</v>
      </c>
      <c r="AM103" s="30">
        <f>CurrentMtgRatesDataTable8711121314[[#This Row],[FHA]]+0.5*CurrentMtgRatesDataTable8711121314[[#This Row],[Conventional]]</f>
        <v>5.6906226116942848E-2</v>
      </c>
      <c r="AN103" s="30">
        <f>2*CurrentMtgRatesDataTable8711121314[[#This Row],[FHA]]</f>
        <v>0.1002637907006632</v>
      </c>
      <c r="AO103" s="11">
        <f>VLOOKUP(YEAR(CurrentMtgRatesDataTable8711121314[[#This Row],[asofdate]]),OriginationVolume!$A:$N,8,FALSE)</f>
        <v>0.66643598615916955</v>
      </c>
      <c r="AP103" s="11">
        <f>VLOOKUP(YEAR(CurrentMtgRatesDataTable8711121314[[#This Row],[asofdate]]),OriginationVolume!$A:$N,9,FALSE)</f>
        <v>5.0865051903114189E-2</v>
      </c>
      <c r="AQ103" s="11">
        <f>VLOOKUP(YEAR(CurrentMtgRatesDataTable8711121314[[#This Row],[asofdate]]),OriginationVolume!$A:$N,10,FALSE)</f>
        <v>0.15259515570934257</v>
      </c>
      <c r="AR103" s="11">
        <f>VLOOKUP(YEAR(CurrentMtgRatesDataTable8711121314[[#This Row],[asofdate]]),OriginationVolume!$A:$N,11,FALSE)</f>
        <v>0.11764705882352941</v>
      </c>
      <c r="AS103" s="11">
        <f>VLOOKUP(YEAR(CurrentMtgRatesDataTable8711121314[[#This Row],[asofdate]]),OriginationVolume!$A:$N,12,FALSE)</f>
        <v>9.688581314878892E-3</v>
      </c>
      <c r="AT103" s="11">
        <f>VLOOKUP(YEAR(CurrentMtgRatesDataTable8711121314[[#This Row],[asofdate]]),OriginationVolume!$A:$N,13,FALSE)</f>
        <v>2.7681660899653978E-3</v>
      </c>
      <c r="AU10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AW103" s="7" t="s">
        <v>132</v>
      </c>
      <c r="AX103" s="10">
        <v>7397565000</v>
      </c>
      <c r="AY103" s="31"/>
      <c r="BA103" s="7" t="s">
        <v>132</v>
      </c>
      <c r="BB103" s="10">
        <v>1403411000</v>
      </c>
      <c r="BC103" s="31"/>
      <c r="BE103" s="7" t="s">
        <v>132</v>
      </c>
      <c r="BF103" s="10">
        <v>19200996692.759998</v>
      </c>
      <c r="BG103" s="34"/>
      <c r="BI103" s="7" t="s">
        <v>132</v>
      </c>
      <c r="BJ103" s="10">
        <v>10400020692.76</v>
      </c>
      <c r="BK103" s="34" t="str">
        <f>YEAR(CurrentMtgRatesDataTable871112131417[[#This Row],[asofdate]])&amp;"-"&amp;MONTH(CurrentMtgRatesDataTable871112131417[[#This Row],[asofdate]])</f>
        <v>2011-7</v>
      </c>
      <c r="BL103" s="34">
        <f>CurrentMtgRatesDataTable871112131417[[#This Row],[SeriesNumValue]]</f>
        <v>10400020692.76</v>
      </c>
      <c r="BM103" s="34">
        <f>VLOOKUP(CurrentMtgRatesDataTable871112131417[[#This Row],[asofdate]],AW:AX,2,0)</f>
        <v>7397565000</v>
      </c>
      <c r="BN103" s="30">
        <f>IF(VLOOKUP(CurrentMtgRatesDataTable871112131417[[#This Row],[asofdate]],BA:BB,2,0)&lt;&gt;0,VLOOKUP(CurrentMtgRatesDataTable871112131417[[#This Row],[asofdate]],BA:BB,2,0),BN102)</f>
        <v>1403411000</v>
      </c>
      <c r="BO103" s="30">
        <f>VLOOKUP(CurrentMtgRatesDataTable871112131417[[#This Row],[asofdate]],BE:BF,2,0)</f>
        <v>19200996692.759998</v>
      </c>
    </row>
    <row r="104" spans="1:67" s="8" customFormat="1">
      <c r="A104" s="7" t="s">
        <v>133</v>
      </c>
      <c r="B104" s="10">
        <v>1.34411536056156E-2</v>
      </c>
      <c r="C104" s="10" t="str">
        <f>YEAR(CurrentMtgRatesDataTable8[[#This Row],[asofdate]])&amp;"-"&amp;MONTH(CurrentMtgRatesDataTable8[[#This Row],[asofdate]])</f>
        <v>2011-8</v>
      </c>
      <c r="D104" s="6">
        <f>((CurrentMtgRatesDataTable8[[#This Row],[SeriesNumValue]]-$D$1)/$D$1+1)*100</f>
        <v>89.607690704104002</v>
      </c>
      <c r="E104" s="6"/>
      <c r="I104" s="7" t="s">
        <v>81</v>
      </c>
      <c r="J104" s="10">
        <v>1.9825237948473601E-2</v>
      </c>
      <c r="K104" s="10" t="str">
        <f>YEAR(CurrentMtgRatesDataTable89[[#This Row],[asofdate]])&amp;"-"&amp;MONTH(CurrentMtgRatesDataTable89[[#This Row],[asofdate]])</f>
        <v>2007-4</v>
      </c>
      <c r="L104" s="6">
        <f>((CurrentMtgRatesDataTable89[[#This Row],[SeriesNumValue]]-$D$1)/$D$1+1)*100</f>
        <v>132.168252989824</v>
      </c>
      <c r="M104" s="6">
        <f>CurrentMtgRatesDataTable89[[#This Row],[Index]]-L105</f>
        <v>10.989575304721996</v>
      </c>
      <c r="P104" s="7" t="s">
        <v>133</v>
      </c>
      <c r="Q104" s="10">
        <v>4.9767969979469202E-2</v>
      </c>
      <c r="R104" s="31">
        <f>((CurrentMtgRatesDataTable8711[[#This Row],[SeriesNumValue]]-$D$1)/$D$1+1)*100</f>
        <v>331.78646652979472</v>
      </c>
      <c r="S104" s="31"/>
      <c r="U104" s="7" t="s">
        <v>133</v>
      </c>
      <c r="V104" s="10">
        <v>5.0209840006234303E-2</v>
      </c>
      <c r="W104" s="31">
        <f>((CurrentMtgRatesDataTable871112[[#This Row],[SeriesNumValue]]-$D$1)/$D$1+1)*100</f>
        <v>334.73226670822868</v>
      </c>
      <c r="X104" s="31"/>
      <c r="Z104" s="7" t="s">
        <v>133</v>
      </c>
      <c r="AA104" s="10">
        <v>3.0301931604928299E-2</v>
      </c>
      <c r="AB104" s="34">
        <f>((CurrentMtgRatesDataTable87111213[[#This Row],[SeriesNumValue]]-$D$1)/$D$1+1)*100</f>
        <v>202.01287736618866</v>
      </c>
      <c r="AC104" s="34"/>
      <c r="AE104" s="7" t="s">
        <v>133</v>
      </c>
      <c r="AF104" s="10">
        <v>1.35046347973401E-2</v>
      </c>
      <c r="AG104" s="34">
        <f>((CurrentMtgRatesDataTable8711121314[[#This Row],[SeriesNumValue]]-$D$1)/$D$1+1)*100</f>
        <v>90.030898648933999</v>
      </c>
      <c r="AH104" s="34" t="str">
        <f>YEAR(CurrentMtgRatesDataTable8711121314[[#This Row],[asofdate]])&amp;"-"&amp;MONTH(CurrentMtgRatesDataTable8711121314[[#This Row],[asofdate]])</f>
        <v>2011-8</v>
      </c>
      <c r="AI104" s="34">
        <f>CurrentMtgRatesDataTable8711121314[[#This Row],[SeriesNumValue]]</f>
        <v>1.35046347973401E-2</v>
      </c>
      <c r="AJ104" s="34">
        <f>VLOOKUP(CurrentMtgRatesDataTable8711121314[[#This Row],[asofdate]],P:R,2,0)</f>
        <v>4.9767969979469202E-2</v>
      </c>
      <c r="AK104" s="30">
        <f>IF(VLOOKUP(CurrentMtgRatesDataTable8711121314[[#This Row],[asofdate]],U:W,2,0)&lt;&gt;0,VLOOKUP(CurrentMtgRatesDataTable8711121314[[#This Row],[asofdate]],U:W,2,0),AK103)</f>
        <v>5.0209840006234303E-2</v>
      </c>
      <c r="AL104" s="30">
        <f>VLOOKUP(CurrentMtgRatesDataTable8711121314[[#This Row],[asofdate]],Z:AB,2,0)</f>
        <v>3.0301931604928299E-2</v>
      </c>
      <c r="AM104" s="30">
        <f>CurrentMtgRatesDataTable8711121314[[#This Row],[FHA]]+0.5*CurrentMtgRatesDataTable8711121314[[#This Row],[Conventional]]</f>
        <v>5.6520287378139251E-2</v>
      </c>
      <c r="AN104" s="30">
        <f>2*CurrentMtgRatesDataTable8711121314[[#This Row],[FHA]]</f>
        <v>9.9535939958938405E-2</v>
      </c>
      <c r="AO104" s="11">
        <f>VLOOKUP(YEAR(CurrentMtgRatesDataTable8711121314[[#This Row],[asofdate]]),OriginationVolume!$A:$N,8,FALSE)</f>
        <v>0.66643598615916955</v>
      </c>
      <c r="AP104" s="11">
        <f>VLOOKUP(YEAR(CurrentMtgRatesDataTable8711121314[[#This Row],[asofdate]]),OriginationVolume!$A:$N,9,FALSE)</f>
        <v>5.0865051903114189E-2</v>
      </c>
      <c r="AQ104" s="11">
        <f>VLOOKUP(YEAR(CurrentMtgRatesDataTable8711121314[[#This Row],[asofdate]]),OriginationVolume!$A:$N,10,FALSE)</f>
        <v>0.15259515570934257</v>
      </c>
      <c r="AR104" s="11">
        <f>VLOOKUP(YEAR(CurrentMtgRatesDataTable8711121314[[#This Row],[asofdate]]),OriginationVolume!$A:$N,11,FALSE)</f>
        <v>0.11764705882352941</v>
      </c>
      <c r="AS104" s="11">
        <f>VLOOKUP(YEAR(CurrentMtgRatesDataTable8711121314[[#This Row],[asofdate]]),OriginationVolume!$A:$N,12,FALSE)</f>
        <v>9.688581314878892E-3</v>
      </c>
      <c r="AT104" s="11">
        <f>VLOOKUP(YEAR(CurrentMtgRatesDataTable8711121314[[#This Row],[asofdate]]),OriginationVolume!$A:$N,13,FALSE)</f>
        <v>2.7681660899653978E-3</v>
      </c>
      <c r="AU10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AW104" s="7" t="s">
        <v>133</v>
      </c>
      <c r="AX104" s="10">
        <v>8156290000</v>
      </c>
      <c r="AY104" s="31"/>
      <c r="BA104" s="7" t="s">
        <v>133</v>
      </c>
      <c r="BB104" s="10">
        <v>1900169000</v>
      </c>
      <c r="BC104" s="31"/>
      <c r="BE104" s="7" t="s">
        <v>133</v>
      </c>
      <c r="BF104" s="10">
        <v>23478300195.93</v>
      </c>
      <c r="BG104" s="34"/>
      <c r="BI104" s="7" t="s">
        <v>133</v>
      </c>
      <c r="BJ104" s="10">
        <v>13421841195.93</v>
      </c>
      <c r="BK104" s="34" t="str">
        <f>YEAR(CurrentMtgRatesDataTable871112131417[[#This Row],[asofdate]])&amp;"-"&amp;MONTH(CurrentMtgRatesDataTable871112131417[[#This Row],[asofdate]])</f>
        <v>2011-8</v>
      </c>
      <c r="BL104" s="34">
        <f>CurrentMtgRatesDataTable871112131417[[#This Row],[SeriesNumValue]]</f>
        <v>13421841195.93</v>
      </c>
      <c r="BM104" s="34">
        <f>VLOOKUP(CurrentMtgRatesDataTable871112131417[[#This Row],[asofdate]],AW:AX,2,0)</f>
        <v>8156290000</v>
      </c>
      <c r="BN104" s="30">
        <f>IF(VLOOKUP(CurrentMtgRatesDataTable871112131417[[#This Row],[asofdate]],BA:BB,2,0)&lt;&gt;0,VLOOKUP(CurrentMtgRatesDataTable871112131417[[#This Row],[asofdate]],BA:BB,2,0),BN103)</f>
        <v>1900169000</v>
      </c>
      <c r="BO104" s="30">
        <f>VLOOKUP(CurrentMtgRatesDataTable871112131417[[#This Row],[asofdate]],BE:BF,2,0)</f>
        <v>23478300195.93</v>
      </c>
    </row>
    <row r="105" spans="1:67" s="8" customFormat="1">
      <c r="A105" s="7" t="s">
        <v>134</v>
      </c>
      <c r="B105" s="10">
        <v>1.4107184425189099E-2</v>
      </c>
      <c r="C105" s="10" t="str">
        <f>YEAR(CurrentMtgRatesDataTable8[[#This Row],[asofdate]])&amp;"-"&amp;MONTH(CurrentMtgRatesDataTable8[[#This Row],[asofdate]])</f>
        <v>2011-9</v>
      </c>
      <c r="D105" s="6">
        <f>((CurrentMtgRatesDataTable8[[#This Row],[SeriesNumValue]]-$D$1)/$D$1+1)*100</f>
        <v>94.047896167927334</v>
      </c>
      <c r="E105" s="6"/>
      <c r="I105" s="7" t="s">
        <v>80</v>
      </c>
      <c r="J105" s="10">
        <v>1.81768016527653E-2</v>
      </c>
      <c r="K105" s="10" t="str">
        <f>YEAR(CurrentMtgRatesDataTable89[[#This Row],[asofdate]])&amp;"-"&amp;MONTH(CurrentMtgRatesDataTable89[[#This Row],[asofdate]])</f>
        <v>2007-3</v>
      </c>
      <c r="L105" s="6">
        <f>((CurrentMtgRatesDataTable89[[#This Row],[SeriesNumValue]]-$D$1)/$D$1+1)*100</f>
        <v>121.178677685102</v>
      </c>
      <c r="M105" s="6">
        <f>CurrentMtgRatesDataTable89[[#This Row],[Index]]-L106</f>
        <v>2.735946589965323</v>
      </c>
      <c r="P105" s="7" t="s">
        <v>134</v>
      </c>
      <c r="Q105" s="10">
        <v>4.8609534038481103E-2</v>
      </c>
      <c r="R105" s="31">
        <f>((CurrentMtgRatesDataTable8711[[#This Row],[SeriesNumValue]]-$D$1)/$D$1+1)*100</f>
        <v>324.06356025654071</v>
      </c>
      <c r="S105" s="31"/>
      <c r="U105" s="7" t="s">
        <v>134</v>
      </c>
      <c r="V105" s="10">
        <v>4.7379612469321097E-2</v>
      </c>
      <c r="W105" s="31">
        <f>((CurrentMtgRatesDataTable871112[[#This Row],[SeriesNumValue]]-$D$1)/$D$1+1)*100</f>
        <v>315.86408312880729</v>
      </c>
      <c r="X105" s="31"/>
      <c r="Z105" s="7" t="s">
        <v>134</v>
      </c>
      <c r="AA105" s="10">
        <v>2.9341399510707401E-2</v>
      </c>
      <c r="AB105" s="34">
        <f>((CurrentMtgRatesDataTable87111213[[#This Row],[SeriesNumValue]]-$D$1)/$D$1+1)*100</f>
        <v>195.60933007138269</v>
      </c>
      <c r="AC105" s="34"/>
      <c r="AE105" s="7" t="s">
        <v>134</v>
      </c>
      <c r="AF105" s="10">
        <v>1.3295891282051799E-2</v>
      </c>
      <c r="AG105" s="34">
        <f>((CurrentMtgRatesDataTable8711121314[[#This Row],[SeriesNumValue]]-$D$1)/$D$1+1)*100</f>
        <v>88.639275213678673</v>
      </c>
      <c r="AH105" s="34" t="str">
        <f>YEAR(CurrentMtgRatesDataTable8711121314[[#This Row],[asofdate]])&amp;"-"&amp;MONTH(CurrentMtgRatesDataTable8711121314[[#This Row],[asofdate]])</f>
        <v>2011-9</v>
      </c>
      <c r="AI105" s="34">
        <f>CurrentMtgRatesDataTable8711121314[[#This Row],[SeriesNumValue]]</f>
        <v>1.3295891282051799E-2</v>
      </c>
      <c r="AJ105" s="34">
        <f>VLOOKUP(CurrentMtgRatesDataTable8711121314[[#This Row],[asofdate]],P:R,2,0)</f>
        <v>4.8609534038481103E-2</v>
      </c>
      <c r="AK105" s="30">
        <f>IF(VLOOKUP(CurrentMtgRatesDataTable8711121314[[#This Row],[asofdate]],U:W,2,0)&lt;&gt;0,VLOOKUP(CurrentMtgRatesDataTable8711121314[[#This Row],[asofdate]],U:W,2,0),AK104)</f>
        <v>4.7379612469321097E-2</v>
      </c>
      <c r="AL105" s="30">
        <f>VLOOKUP(CurrentMtgRatesDataTable8711121314[[#This Row],[asofdate]],Z:AB,2,0)</f>
        <v>2.9341399510707401E-2</v>
      </c>
      <c r="AM105" s="30">
        <f>CurrentMtgRatesDataTable8711121314[[#This Row],[FHA]]+0.5*CurrentMtgRatesDataTable8711121314[[#This Row],[Conventional]]</f>
        <v>5.5257479679507004E-2</v>
      </c>
      <c r="AN105" s="30">
        <f>2*CurrentMtgRatesDataTable8711121314[[#This Row],[FHA]]</f>
        <v>9.7219068076962206E-2</v>
      </c>
      <c r="AO105" s="11">
        <f>VLOOKUP(YEAR(CurrentMtgRatesDataTable8711121314[[#This Row],[asofdate]]),OriginationVolume!$A:$N,8,FALSE)</f>
        <v>0.66643598615916955</v>
      </c>
      <c r="AP105" s="11">
        <f>VLOOKUP(YEAR(CurrentMtgRatesDataTable8711121314[[#This Row],[asofdate]]),OriginationVolume!$A:$N,9,FALSE)</f>
        <v>5.0865051903114189E-2</v>
      </c>
      <c r="AQ105" s="11">
        <f>VLOOKUP(YEAR(CurrentMtgRatesDataTable8711121314[[#This Row],[asofdate]]),OriginationVolume!$A:$N,10,FALSE)</f>
        <v>0.15259515570934257</v>
      </c>
      <c r="AR105" s="11">
        <f>VLOOKUP(YEAR(CurrentMtgRatesDataTable8711121314[[#This Row],[asofdate]]),OriginationVolume!$A:$N,11,FALSE)</f>
        <v>0.11764705882352941</v>
      </c>
      <c r="AS105" s="11">
        <f>VLOOKUP(YEAR(CurrentMtgRatesDataTable8711121314[[#This Row],[asofdate]]),OriginationVolume!$A:$N,12,FALSE)</f>
        <v>9.688581314878892E-3</v>
      </c>
      <c r="AT105" s="11">
        <f>VLOOKUP(YEAR(CurrentMtgRatesDataTable8711121314[[#This Row],[asofdate]]),OriginationVolume!$A:$N,13,FALSE)</f>
        <v>2.7681660899653978E-3</v>
      </c>
      <c r="AU10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AW105" s="7" t="s">
        <v>134</v>
      </c>
      <c r="AX105" s="10">
        <v>7439272000</v>
      </c>
      <c r="AY105" s="31"/>
      <c r="BA105" s="7" t="s">
        <v>134</v>
      </c>
      <c r="BB105" s="10">
        <v>1853986000</v>
      </c>
      <c r="BC105" s="31"/>
      <c r="BE105" s="7" t="s">
        <v>134</v>
      </c>
      <c r="BF105" s="10">
        <v>21651222384.169998</v>
      </c>
      <c r="BG105" s="34"/>
      <c r="BI105" s="7" t="s">
        <v>134</v>
      </c>
      <c r="BJ105" s="10">
        <v>12357964384.17</v>
      </c>
      <c r="BK105" s="34" t="str">
        <f>YEAR(CurrentMtgRatesDataTable871112131417[[#This Row],[asofdate]])&amp;"-"&amp;MONTH(CurrentMtgRatesDataTable871112131417[[#This Row],[asofdate]])</f>
        <v>2011-9</v>
      </c>
      <c r="BL105" s="34">
        <f>CurrentMtgRatesDataTable871112131417[[#This Row],[SeriesNumValue]]</f>
        <v>12357964384.17</v>
      </c>
      <c r="BM105" s="34">
        <f>VLOOKUP(CurrentMtgRatesDataTable871112131417[[#This Row],[asofdate]],AW:AX,2,0)</f>
        <v>7439272000</v>
      </c>
      <c r="BN105" s="30">
        <f>IF(VLOOKUP(CurrentMtgRatesDataTable871112131417[[#This Row],[asofdate]],BA:BB,2,0)&lt;&gt;0,VLOOKUP(CurrentMtgRatesDataTable871112131417[[#This Row],[asofdate]],BA:BB,2,0),BN104)</f>
        <v>1853986000</v>
      </c>
      <c r="BO105" s="30">
        <f>VLOOKUP(CurrentMtgRatesDataTable871112131417[[#This Row],[asofdate]],BE:BF,2,0)</f>
        <v>21651222384.169998</v>
      </c>
    </row>
    <row r="106" spans="1:67" s="8" customFormat="1">
      <c r="A106" s="7" t="s">
        <v>135</v>
      </c>
      <c r="B106" s="10">
        <v>1.50634818904279E-2</v>
      </c>
      <c r="C106" s="10" t="str">
        <f>YEAR(CurrentMtgRatesDataTable8[[#This Row],[asofdate]])&amp;"-"&amp;MONTH(CurrentMtgRatesDataTable8[[#This Row],[asofdate]])</f>
        <v>2011-10</v>
      </c>
      <c r="D106" s="6">
        <f>((CurrentMtgRatesDataTable8[[#This Row],[SeriesNumValue]]-$D$1)/$D$1+1)*100</f>
        <v>100.42321260285267</v>
      </c>
      <c r="E106" s="6"/>
      <c r="I106" s="7" t="s">
        <v>79</v>
      </c>
      <c r="J106" s="10">
        <v>1.77664096642705E-2</v>
      </c>
      <c r="K106" s="10" t="str">
        <f>YEAR(CurrentMtgRatesDataTable89[[#This Row],[asofdate]])&amp;"-"&amp;MONTH(CurrentMtgRatesDataTable89[[#This Row],[asofdate]])</f>
        <v>2007-2</v>
      </c>
      <c r="L106" s="6">
        <f>((CurrentMtgRatesDataTable89[[#This Row],[SeriesNumValue]]-$D$1)/$D$1+1)*100</f>
        <v>118.44273109513668</v>
      </c>
      <c r="M106" s="6">
        <f>CurrentMtgRatesDataTable89[[#This Row],[Index]]-L107</f>
        <v>-6.9214801024640025</v>
      </c>
      <c r="P106" s="7" t="s">
        <v>135</v>
      </c>
      <c r="Q106" s="10">
        <v>5.28969377612565E-2</v>
      </c>
      <c r="R106" s="31">
        <f>((CurrentMtgRatesDataTable8711[[#This Row],[SeriesNumValue]]-$D$1)/$D$1+1)*100</f>
        <v>352.64625174171005</v>
      </c>
      <c r="S106" s="31"/>
      <c r="U106" s="7" t="s">
        <v>135</v>
      </c>
      <c r="V106" s="10">
        <v>5.1907866082719203E-2</v>
      </c>
      <c r="W106" s="31">
        <f>((CurrentMtgRatesDataTable871112[[#This Row],[SeriesNumValue]]-$D$1)/$D$1+1)*100</f>
        <v>346.05244055146136</v>
      </c>
      <c r="X106" s="31"/>
      <c r="Z106" s="7" t="s">
        <v>135</v>
      </c>
      <c r="AA106" s="10">
        <v>3.2241124496181599E-2</v>
      </c>
      <c r="AB106" s="34">
        <f>((CurrentMtgRatesDataTable87111213[[#This Row],[SeriesNumValue]]-$D$1)/$D$1+1)*100</f>
        <v>214.94082997454402</v>
      </c>
      <c r="AC106" s="34"/>
      <c r="AE106" s="7" t="s">
        <v>135</v>
      </c>
      <c r="AF106" s="10">
        <v>1.45289945276896E-2</v>
      </c>
      <c r="AG106" s="34">
        <f>((CurrentMtgRatesDataTable8711121314[[#This Row],[SeriesNumValue]]-$D$1)/$D$1+1)*100</f>
        <v>96.859963517930666</v>
      </c>
      <c r="AH106" s="34" t="str">
        <f>YEAR(CurrentMtgRatesDataTable8711121314[[#This Row],[asofdate]])&amp;"-"&amp;MONTH(CurrentMtgRatesDataTable8711121314[[#This Row],[asofdate]])</f>
        <v>2011-10</v>
      </c>
      <c r="AI106" s="34">
        <f>CurrentMtgRatesDataTable8711121314[[#This Row],[SeriesNumValue]]</f>
        <v>1.45289945276896E-2</v>
      </c>
      <c r="AJ106" s="34">
        <f>VLOOKUP(CurrentMtgRatesDataTable8711121314[[#This Row],[asofdate]],P:R,2,0)</f>
        <v>5.28969377612565E-2</v>
      </c>
      <c r="AK106" s="30">
        <f>IF(VLOOKUP(CurrentMtgRatesDataTable8711121314[[#This Row],[asofdate]],U:W,2,0)&lt;&gt;0,VLOOKUP(CurrentMtgRatesDataTable8711121314[[#This Row],[asofdate]],U:W,2,0),AK105)</f>
        <v>5.1907866082719203E-2</v>
      </c>
      <c r="AL106" s="30">
        <f>VLOOKUP(CurrentMtgRatesDataTable8711121314[[#This Row],[asofdate]],Z:AB,2,0)</f>
        <v>3.2241124496181599E-2</v>
      </c>
      <c r="AM106" s="30">
        <f>CurrentMtgRatesDataTable8711121314[[#This Row],[FHA]]+0.5*CurrentMtgRatesDataTable8711121314[[#This Row],[Conventional]]</f>
        <v>6.0161435025101302E-2</v>
      </c>
      <c r="AN106" s="30">
        <f>2*CurrentMtgRatesDataTable8711121314[[#This Row],[FHA]]</f>
        <v>0.105793875522513</v>
      </c>
      <c r="AO106" s="11">
        <f>VLOOKUP(YEAR(CurrentMtgRatesDataTable8711121314[[#This Row],[asofdate]]),OriginationVolume!$A:$N,8,FALSE)</f>
        <v>0.66643598615916955</v>
      </c>
      <c r="AP106" s="11">
        <f>VLOOKUP(YEAR(CurrentMtgRatesDataTable8711121314[[#This Row],[asofdate]]),OriginationVolume!$A:$N,9,FALSE)</f>
        <v>5.0865051903114189E-2</v>
      </c>
      <c r="AQ106" s="11">
        <f>VLOOKUP(YEAR(CurrentMtgRatesDataTable8711121314[[#This Row],[asofdate]]),OriginationVolume!$A:$N,10,FALSE)</f>
        <v>0.15259515570934257</v>
      </c>
      <c r="AR106" s="11">
        <f>VLOOKUP(YEAR(CurrentMtgRatesDataTable8711121314[[#This Row],[asofdate]]),OriginationVolume!$A:$N,11,FALSE)</f>
        <v>0.11764705882352941</v>
      </c>
      <c r="AS106" s="11">
        <f>VLOOKUP(YEAR(CurrentMtgRatesDataTable8711121314[[#This Row],[asofdate]]),OriginationVolume!$A:$N,12,FALSE)</f>
        <v>9.688581314878892E-3</v>
      </c>
      <c r="AT106" s="11">
        <f>VLOOKUP(YEAR(CurrentMtgRatesDataTable8711121314[[#This Row],[asofdate]]),OriginationVolume!$A:$N,13,FALSE)</f>
        <v>2.7681660899653978E-3</v>
      </c>
      <c r="AU10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AW106" s="7" t="s">
        <v>135</v>
      </c>
      <c r="AX106" s="10">
        <v>7975850000</v>
      </c>
      <c r="AY106" s="31"/>
      <c r="BA106" s="7" t="s">
        <v>135</v>
      </c>
      <c r="BB106" s="10">
        <v>2094241000</v>
      </c>
      <c r="BC106" s="31"/>
      <c r="BE106" s="7" t="s">
        <v>135</v>
      </c>
      <c r="BF106" s="10">
        <v>23348020211.02</v>
      </c>
      <c r="BG106" s="34"/>
      <c r="BI106" s="7" t="s">
        <v>135</v>
      </c>
      <c r="BJ106" s="10">
        <v>13277929211.02</v>
      </c>
      <c r="BK106" s="34" t="str">
        <f>YEAR(CurrentMtgRatesDataTable871112131417[[#This Row],[asofdate]])&amp;"-"&amp;MONTH(CurrentMtgRatesDataTable871112131417[[#This Row],[asofdate]])</f>
        <v>2011-10</v>
      </c>
      <c r="BL106" s="34">
        <f>CurrentMtgRatesDataTable871112131417[[#This Row],[SeriesNumValue]]</f>
        <v>13277929211.02</v>
      </c>
      <c r="BM106" s="34">
        <f>VLOOKUP(CurrentMtgRatesDataTable871112131417[[#This Row],[asofdate]],AW:AX,2,0)</f>
        <v>7975850000</v>
      </c>
      <c r="BN106" s="30">
        <f>IF(VLOOKUP(CurrentMtgRatesDataTable871112131417[[#This Row],[asofdate]],BA:BB,2,0)&lt;&gt;0,VLOOKUP(CurrentMtgRatesDataTable871112131417[[#This Row],[asofdate]],BA:BB,2,0),BN105)</f>
        <v>2094241000</v>
      </c>
      <c r="BO106" s="30">
        <f>VLOOKUP(CurrentMtgRatesDataTable871112131417[[#This Row],[asofdate]],BE:BF,2,0)</f>
        <v>23348020211.02</v>
      </c>
    </row>
    <row r="107" spans="1:67" s="8" customFormat="1">
      <c r="A107" s="7" t="s">
        <v>136</v>
      </c>
      <c r="B107" s="10">
        <v>1.41697690866889E-2</v>
      </c>
      <c r="C107" s="10" t="str">
        <f>YEAR(CurrentMtgRatesDataTable8[[#This Row],[asofdate]])&amp;"-"&amp;MONTH(CurrentMtgRatesDataTable8[[#This Row],[asofdate]])</f>
        <v>2011-11</v>
      </c>
      <c r="D107" s="6">
        <f>((CurrentMtgRatesDataTable8[[#This Row],[SeriesNumValue]]-$D$1)/$D$1+1)*100</f>
        <v>94.465127244592665</v>
      </c>
      <c r="E107" s="6"/>
      <c r="I107" s="7" t="s">
        <v>78</v>
      </c>
      <c r="J107" s="10">
        <v>1.88046316796401E-2</v>
      </c>
      <c r="K107" s="10" t="str">
        <f>YEAR(CurrentMtgRatesDataTable89[[#This Row],[asofdate]])&amp;"-"&amp;MONTH(CurrentMtgRatesDataTable89[[#This Row],[asofdate]])</f>
        <v>2007-1</v>
      </c>
      <c r="L107" s="6">
        <f>((CurrentMtgRatesDataTable89[[#This Row],[SeriesNumValue]]-$D$1)/$D$1+1)*100</f>
        <v>125.36421119760068</v>
      </c>
      <c r="M107" s="6">
        <f>CurrentMtgRatesDataTable89[[#This Row],[Index]]-L108</f>
        <v>4.1690730414433403</v>
      </c>
      <c r="P107" s="7" t="s">
        <v>136</v>
      </c>
      <c r="Q107" s="10">
        <v>5.2062657199863797E-2</v>
      </c>
      <c r="R107" s="31">
        <f>((CurrentMtgRatesDataTable8711[[#This Row],[SeriesNumValue]]-$D$1)/$D$1+1)*100</f>
        <v>347.08438133242532</v>
      </c>
      <c r="S107" s="31"/>
      <c r="U107" s="7" t="s">
        <v>136</v>
      </c>
      <c r="V107" s="10">
        <v>5.1315061043071201E-2</v>
      </c>
      <c r="W107" s="31">
        <f>((CurrentMtgRatesDataTable871112[[#This Row],[SeriesNumValue]]-$D$1)/$D$1+1)*100</f>
        <v>342.10040695380803</v>
      </c>
      <c r="X107" s="31"/>
      <c r="Z107" s="7" t="s">
        <v>136</v>
      </c>
      <c r="AA107" s="10">
        <v>3.2302017217116299E-2</v>
      </c>
      <c r="AB107" s="34">
        <f>((CurrentMtgRatesDataTable87111213[[#This Row],[SeriesNumValue]]-$D$1)/$D$1+1)*100</f>
        <v>215.34678144744203</v>
      </c>
      <c r="AC107" s="34"/>
      <c r="AE107" s="7" t="s">
        <v>136</v>
      </c>
      <c r="AF107" s="10">
        <v>1.41537331520687E-2</v>
      </c>
      <c r="AG107" s="34">
        <f>((CurrentMtgRatesDataTable8711121314[[#This Row],[SeriesNumValue]]-$D$1)/$D$1+1)*100</f>
        <v>94.358221013791336</v>
      </c>
      <c r="AH107" s="34" t="str">
        <f>YEAR(CurrentMtgRatesDataTable8711121314[[#This Row],[asofdate]])&amp;"-"&amp;MONTH(CurrentMtgRatesDataTable8711121314[[#This Row],[asofdate]])</f>
        <v>2011-11</v>
      </c>
      <c r="AI107" s="34">
        <f>CurrentMtgRatesDataTable8711121314[[#This Row],[SeriesNumValue]]</f>
        <v>1.41537331520687E-2</v>
      </c>
      <c r="AJ107" s="34">
        <f>VLOOKUP(CurrentMtgRatesDataTable8711121314[[#This Row],[asofdate]],P:R,2,0)</f>
        <v>5.2062657199863797E-2</v>
      </c>
      <c r="AK107" s="30">
        <f>IF(VLOOKUP(CurrentMtgRatesDataTable8711121314[[#This Row],[asofdate]],U:W,2,0)&lt;&gt;0,VLOOKUP(CurrentMtgRatesDataTable8711121314[[#This Row],[asofdate]],U:W,2,0),AK106)</f>
        <v>5.1315061043071201E-2</v>
      </c>
      <c r="AL107" s="30">
        <f>VLOOKUP(CurrentMtgRatesDataTable8711121314[[#This Row],[asofdate]],Z:AB,2,0)</f>
        <v>3.2302017217116299E-2</v>
      </c>
      <c r="AM107" s="30">
        <f>CurrentMtgRatesDataTable8711121314[[#This Row],[FHA]]+0.5*CurrentMtgRatesDataTable8711121314[[#This Row],[Conventional]]</f>
        <v>5.9139523775898151E-2</v>
      </c>
      <c r="AN107" s="30">
        <f>2*CurrentMtgRatesDataTable8711121314[[#This Row],[FHA]]</f>
        <v>0.10412531439972759</v>
      </c>
      <c r="AO107" s="11">
        <f>VLOOKUP(YEAR(CurrentMtgRatesDataTable8711121314[[#This Row],[asofdate]]),OriginationVolume!$A:$N,8,FALSE)</f>
        <v>0.66643598615916955</v>
      </c>
      <c r="AP107" s="11">
        <f>VLOOKUP(YEAR(CurrentMtgRatesDataTable8711121314[[#This Row],[asofdate]]),OriginationVolume!$A:$N,9,FALSE)</f>
        <v>5.0865051903114189E-2</v>
      </c>
      <c r="AQ107" s="11">
        <f>VLOOKUP(YEAR(CurrentMtgRatesDataTable8711121314[[#This Row],[asofdate]]),OriginationVolume!$A:$N,10,FALSE)</f>
        <v>0.15259515570934257</v>
      </c>
      <c r="AR107" s="11">
        <f>VLOOKUP(YEAR(CurrentMtgRatesDataTable8711121314[[#This Row],[asofdate]]),OriginationVolume!$A:$N,11,FALSE)</f>
        <v>0.11764705882352941</v>
      </c>
      <c r="AS107" s="11">
        <f>VLOOKUP(YEAR(CurrentMtgRatesDataTable8711121314[[#This Row],[asofdate]]),OriginationVolume!$A:$N,12,FALSE)</f>
        <v>9.688581314878892E-3</v>
      </c>
      <c r="AT107" s="11">
        <f>VLOOKUP(YEAR(CurrentMtgRatesDataTable8711121314[[#This Row],[asofdate]]),OriginationVolume!$A:$N,13,FALSE)</f>
        <v>2.7681660899653978E-3</v>
      </c>
      <c r="AU10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AW107" s="7" t="s">
        <v>136</v>
      </c>
      <c r="AX107" s="10">
        <v>7806533000</v>
      </c>
      <c r="AY107" s="31"/>
      <c r="BA107" s="7" t="s">
        <v>136</v>
      </c>
      <c r="BB107" s="10">
        <v>2126623000</v>
      </c>
      <c r="BC107" s="31"/>
      <c r="BE107" s="7" t="s">
        <v>136</v>
      </c>
      <c r="BF107" s="10">
        <v>22063440657.23</v>
      </c>
      <c r="BG107" s="34"/>
      <c r="BI107" s="7" t="s">
        <v>136</v>
      </c>
      <c r="BJ107" s="10">
        <v>12130284657.23</v>
      </c>
      <c r="BK107" s="34" t="str">
        <f>YEAR(CurrentMtgRatesDataTable871112131417[[#This Row],[asofdate]])&amp;"-"&amp;MONTH(CurrentMtgRatesDataTable871112131417[[#This Row],[asofdate]])</f>
        <v>2011-11</v>
      </c>
      <c r="BL107" s="34">
        <f>CurrentMtgRatesDataTable871112131417[[#This Row],[SeriesNumValue]]</f>
        <v>12130284657.23</v>
      </c>
      <c r="BM107" s="34">
        <f>VLOOKUP(CurrentMtgRatesDataTable871112131417[[#This Row],[asofdate]],AW:AX,2,0)</f>
        <v>7806533000</v>
      </c>
      <c r="BN107" s="30">
        <f>IF(VLOOKUP(CurrentMtgRatesDataTable871112131417[[#This Row],[asofdate]],BA:BB,2,0)&lt;&gt;0,VLOOKUP(CurrentMtgRatesDataTable871112131417[[#This Row],[asofdate]],BA:BB,2,0),BN106)</f>
        <v>2126623000</v>
      </c>
      <c r="BO107" s="30">
        <f>VLOOKUP(CurrentMtgRatesDataTable871112131417[[#This Row],[asofdate]],BE:BF,2,0)</f>
        <v>22063440657.23</v>
      </c>
    </row>
    <row r="108" spans="1:67" s="8" customFormat="1">
      <c r="A108" s="7" t="s">
        <v>137</v>
      </c>
      <c r="B108" s="10">
        <v>1.3527695791264701E-2</v>
      </c>
      <c r="C108" s="10" t="str">
        <f>YEAR(CurrentMtgRatesDataTable8[[#This Row],[asofdate]])&amp;"-"&amp;MONTH(CurrentMtgRatesDataTable8[[#This Row],[asofdate]])</f>
        <v>2011-12</v>
      </c>
      <c r="D108" s="6">
        <f>((CurrentMtgRatesDataTable8[[#This Row],[SeriesNumValue]]-$D$1)/$D$1+1)*100</f>
        <v>90.184638608431342</v>
      </c>
      <c r="E108" s="6"/>
      <c r="I108" s="7" t="s">
        <v>77</v>
      </c>
      <c r="J108" s="10">
        <v>1.81792707234236E-2</v>
      </c>
      <c r="K108" s="10" t="str">
        <f>YEAR(CurrentMtgRatesDataTable89[[#This Row],[asofdate]])&amp;"-"&amp;MONTH(CurrentMtgRatesDataTable89[[#This Row],[asofdate]])</f>
        <v>2006-12</v>
      </c>
      <c r="L108" s="6">
        <f>((CurrentMtgRatesDataTable89[[#This Row],[SeriesNumValue]]-$D$1)/$D$1+1)*100</f>
        <v>121.19513815615734</v>
      </c>
      <c r="M108" s="6">
        <f>CurrentMtgRatesDataTable89[[#This Row],[Index]]-L109</f>
        <v>-1.0660108331313438</v>
      </c>
      <c r="P108" s="7" t="s">
        <v>137</v>
      </c>
      <c r="Q108" s="10">
        <v>4.88513891385828E-2</v>
      </c>
      <c r="R108" s="31">
        <f>((CurrentMtgRatesDataTable8711[[#This Row],[SeriesNumValue]]-$D$1)/$D$1+1)*100</f>
        <v>325.67592759055202</v>
      </c>
      <c r="S108" s="31"/>
      <c r="U108" s="7" t="s">
        <v>137</v>
      </c>
      <c r="V108" s="10">
        <v>4.6816733514231698E-2</v>
      </c>
      <c r="W108" s="31">
        <f>((CurrentMtgRatesDataTable871112[[#This Row],[SeriesNumValue]]-$D$1)/$D$1+1)*100</f>
        <v>312.11155676154465</v>
      </c>
      <c r="X108" s="31"/>
      <c r="Z108" s="7" t="s">
        <v>137</v>
      </c>
      <c r="AA108" s="10">
        <v>3.00642548892452E-2</v>
      </c>
      <c r="AB108" s="34">
        <f>((CurrentMtgRatesDataTable87111213[[#This Row],[SeriesNumValue]]-$D$1)/$D$1+1)*100</f>
        <v>200.4283659283013</v>
      </c>
      <c r="AC108" s="34"/>
      <c r="AE108" s="7" t="s">
        <v>137</v>
      </c>
      <c r="AF108" s="10">
        <v>1.3330284117289501E-2</v>
      </c>
      <c r="AG108" s="34">
        <f>((CurrentMtgRatesDataTable8711121314[[#This Row],[SeriesNumValue]]-$D$1)/$D$1+1)*100</f>
        <v>88.86856078193</v>
      </c>
      <c r="AH108" s="34" t="str">
        <f>YEAR(CurrentMtgRatesDataTable8711121314[[#This Row],[asofdate]])&amp;"-"&amp;MONTH(CurrentMtgRatesDataTable8711121314[[#This Row],[asofdate]])</f>
        <v>2011-12</v>
      </c>
      <c r="AI108" s="34">
        <f>CurrentMtgRatesDataTable8711121314[[#This Row],[SeriesNumValue]]</f>
        <v>1.3330284117289501E-2</v>
      </c>
      <c r="AJ108" s="34">
        <f>VLOOKUP(CurrentMtgRatesDataTable8711121314[[#This Row],[asofdate]],P:R,2,0)</f>
        <v>4.88513891385828E-2</v>
      </c>
      <c r="AK108" s="30">
        <f>IF(VLOOKUP(CurrentMtgRatesDataTable8711121314[[#This Row],[asofdate]],U:W,2,0)&lt;&gt;0,VLOOKUP(CurrentMtgRatesDataTable8711121314[[#This Row],[asofdate]],U:W,2,0),AK107)</f>
        <v>4.6816733514231698E-2</v>
      </c>
      <c r="AL108" s="30">
        <f>VLOOKUP(CurrentMtgRatesDataTable8711121314[[#This Row],[asofdate]],Z:AB,2,0)</f>
        <v>3.00642548892452E-2</v>
      </c>
      <c r="AM108" s="30">
        <f>CurrentMtgRatesDataTable8711121314[[#This Row],[FHA]]+0.5*CurrentMtgRatesDataTable8711121314[[#This Row],[Conventional]]</f>
        <v>5.5516531197227548E-2</v>
      </c>
      <c r="AN108" s="30">
        <f>2*CurrentMtgRatesDataTable8711121314[[#This Row],[FHA]]</f>
        <v>9.77027782771656E-2</v>
      </c>
      <c r="AO108" s="11">
        <f>VLOOKUP(YEAR(CurrentMtgRatesDataTable8711121314[[#This Row],[asofdate]]),OriginationVolume!$A:$N,8,FALSE)</f>
        <v>0.66643598615916955</v>
      </c>
      <c r="AP108" s="11">
        <f>VLOOKUP(YEAR(CurrentMtgRatesDataTable8711121314[[#This Row],[asofdate]]),OriginationVolume!$A:$N,9,FALSE)</f>
        <v>5.0865051903114189E-2</v>
      </c>
      <c r="AQ108" s="11">
        <f>VLOOKUP(YEAR(CurrentMtgRatesDataTable8711121314[[#This Row],[asofdate]]),OriginationVolume!$A:$N,10,FALSE)</f>
        <v>0.15259515570934257</v>
      </c>
      <c r="AR108" s="11">
        <f>VLOOKUP(YEAR(CurrentMtgRatesDataTable8711121314[[#This Row],[asofdate]]),OriginationVolume!$A:$N,11,FALSE)</f>
        <v>0.11764705882352941</v>
      </c>
      <c r="AS108" s="11">
        <f>VLOOKUP(YEAR(CurrentMtgRatesDataTable8711121314[[#This Row],[asofdate]]),OriginationVolume!$A:$N,12,FALSE)</f>
        <v>9.688581314878892E-3</v>
      </c>
      <c r="AT108" s="11">
        <f>VLOOKUP(YEAR(CurrentMtgRatesDataTable8711121314[[#This Row],[asofdate]]),OriginationVolume!$A:$N,13,FALSE)</f>
        <v>2.7681660899653978E-3</v>
      </c>
      <c r="AU10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AW108" s="7" t="s">
        <v>137</v>
      </c>
      <c r="AX108" s="10">
        <v>7661966000</v>
      </c>
      <c r="AY108" s="31"/>
      <c r="BA108" s="7" t="s">
        <v>137</v>
      </c>
      <c r="BB108" s="10">
        <v>2239074000</v>
      </c>
      <c r="BC108" s="31"/>
      <c r="BE108" s="7" t="s">
        <v>137</v>
      </c>
      <c r="BF108" s="10">
        <v>21813664361.48</v>
      </c>
      <c r="BG108" s="34"/>
      <c r="BI108" s="7" t="s">
        <v>137</v>
      </c>
      <c r="BJ108" s="10">
        <v>11912624361.48</v>
      </c>
      <c r="BK108" s="34" t="str">
        <f>YEAR(CurrentMtgRatesDataTable871112131417[[#This Row],[asofdate]])&amp;"-"&amp;MONTH(CurrentMtgRatesDataTable871112131417[[#This Row],[asofdate]])</f>
        <v>2011-12</v>
      </c>
      <c r="BL108" s="34">
        <f>CurrentMtgRatesDataTable871112131417[[#This Row],[SeriesNumValue]]</f>
        <v>11912624361.48</v>
      </c>
      <c r="BM108" s="34">
        <f>VLOOKUP(CurrentMtgRatesDataTable871112131417[[#This Row],[asofdate]],AW:AX,2,0)</f>
        <v>7661966000</v>
      </c>
      <c r="BN108" s="30">
        <f>IF(VLOOKUP(CurrentMtgRatesDataTable871112131417[[#This Row],[asofdate]],BA:BB,2,0)&lt;&gt;0,VLOOKUP(CurrentMtgRatesDataTable871112131417[[#This Row],[asofdate]],BA:BB,2,0),BN107)</f>
        <v>2239074000</v>
      </c>
      <c r="BO108" s="30">
        <f>VLOOKUP(CurrentMtgRatesDataTable871112131417[[#This Row],[asofdate]],BE:BF,2,0)</f>
        <v>21813664361.48</v>
      </c>
    </row>
    <row r="109" spans="1:67" s="8" customFormat="1">
      <c r="A109" s="7" t="s">
        <v>138</v>
      </c>
      <c r="B109" s="10">
        <v>1.3651022269579699E-2</v>
      </c>
      <c r="C109" s="10" t="str">
        <f>YEAR(CurrentMtgRatesDataTable8[[#This Row],[asofdate]])&amp;"-"&amp;MONTH(CurrentMtgRatesDataTable8[[#This Row],[asofdate]])</f>
        <v>2012-1</v>
      </c>
      <c r="D109" s="6">
        <f>((CurrentMtgRatesDataTable8[[#This Row],[SeriesNumValue]]-$D$1)/$D$1+1)*100</f>
        <v>91.006815130531322</v>
      </c>
      <c r="E109" s="6"/>
      <c r="I109" s="7" t="s">
        <v>76</v>
      </c>
      <c r="J109" s="10">
        <v>1.8339172348393301E-2</v>
      </c>
      <c r="K109" s="10" t="str">
        <f>YEAR(CurrentMtgRatesDataTable89[[#This Row],[asofdate]])&amp;"-"&amp;MONTH(CurrentMtgRatesDataTable89[[#This Row],[asofdate]])</f>
        <v>2006-11</v>
      </c>
      <c r="L109" s="6">
        <f>((CurrentMtgRatesDataTable89[[#This Row],[SeriesNumValue]]-$D$1)/$D$1+1)*100</f>
        <v>122.26114898928869</v>
      </c>
      <c r="M109" s="6">
        <f>CurrentMtgRatesDataTable89[[#This Row],[Index]]-L110</f>
        <v>-3.2907798786333302</v>
      </c>
      <c r="P109" s="7" t="s">
        <v>138</v>
      </c>
      <c r="Q109" s="10">
        <v>4.9178067070710603E-2</v>
      </c>
      <c r="R109" s="31">
        <f>((CurrentMtgRatesDataTable8711[[#This Row],[SeriesNumValue]]-$D$1)/$D$1+1)*100</f>
        <v>327.85378047140404</v>
      </c>
      <c r="S109" s="31"/>
      <c r="U109" s="7" t="s">
        <v>138</v>
      </c>
      <c r="V109" s="10">
        <v>4.6387119469580601E-2</v>
      </c>
      <c r="W109" s="31">
        <f>((CurrentMtgRatesDataTable871112[[#This Row],[SeriesNumValue]]-$D$1)/$D$1+1)*100</f>
        <v>309.24746313053737</v>
      </c>
      <c r="X109" s="31"/>
      <c r="Z109" s="7" t="s">
        <v>138</v>
      </c>
      <c r="AA109" s="10">
        <v>2.9713506787696999E-2</v>
      </c>
      <c r="AB109" s="34">
        <f>((CurrentMtgRatesDataTable87111213[[#This Row],[SeriesNumValue]]-$D$1)/$D$1+1)*100</f>
        <v>198.09004525131334</v>
      </c>
      <c r="AC109" s="34"/>
      <c r="AE109" s="7" t="s">
        <v>138</v>
      </c>
      <c r="AF109" s="10">
        <v>1.3541139321708799E-2</v>
      </c>
      <c r="AG109" s="34">
        <f>((CurrentMtgRatesDataTable8711121314[[#This Row],[SeriesNumValue]]-$D$1)/$D$1+1)*100</f>
        <v>90.274262144725341</v>
      </c>
      <c r="AH109" s="34" t="str">
        <f>YEAR(CurrentMtgRatesDataTable8711121314[[#This Row],[asofdate]])&amp;"-"&amp;MONTH(CurrentMtgRatesDataTable8711121314[[#This Row],[asofdate]])</f>
        <v>2012-1</v>
      </c>
      <c r="AI109" s="34">
        <f>CurrentMtgRatesDataTable8711121314[[#This Row],[SeriesNumValue]]</f>
        <v>1.3541139321708799E-2</v>
      </c>
      <c r="AJ109" s="34">
        <f>VLOOKUP(CurrentMtgRatesDataTable8711121314[[#This Row],[asofdate]],P:R,2,0)</f>
        <v>4.9178067070710603E-2</v>
      </c>
      <c r="AK109" s="30">
        <f>IF(VLOOKUP(CurrentMtgRatesDataTable8711121314[[#This Row],[asofdate]],U:W,2,0)&lt;&gt;0,VLOOKUP(CurrentMtgRatesDataTable8711121314[[#This Row],[asofdate]],U:W,2,0),AK108)</f>
        <v>4.6387119469580601E-2</v>
      </c>
      <c r="AL109" s="30">
        <f>VLOOKUP(CurrentMtgRatesDataTable8711121314[[#This Row],[asofdate]],Z:AB,2,0)</f>
        <v>2.9713506787696999E-2</v>
      </c>
      <c r="AM109" s="30">
        <f>CurrentMtgRatesDataTable8711121314[[#This Row],[FHA]]+0.5*CurrentMtgRatesDataTable8711121314[[#This Row],[Conventional]]</f>
        <v>5.5948636731564999E-2</v>
      </c>
      <c r="AN109" s="30">
        <f>2*CurrentMtgRatesDataTable8711121314[[#This Row],[FHA]]</f>
        <v>9.8356134141421206E-2</v>
      </c>
      <c r="AO109" s="11">
        <f>VLOOKUP(YEAR(CurrentMtgRatesDataTable8711121314[[#This Row],[asofdate]]),OriginationVolume!$A:$N,8,FALSE)</f>
        <v>0.69267822736030826</v>
      </c>
      <c r="AP109" s="11">
        <f>VLOOKUP(YEAR(CurrentMtgRatesDataTable8711121314[[#This Row],[asofdate]]),OriginationVolume!$A:$N,9,FALSE)</f>
        <v>4.6965317919075142E-2</v>
      </c>
      <c r="AQ109" s="11">
        <f>VLOOKUP(YEAR(CurrentMtgRatesDataTable8711121314[[#This Row],[asofdate]]),OriginationVolume!$A:$N,10,FALSE)</f>
        <v>0.14089595375722544</v>
      </c>
      <c r="AR109" s="11">
        <f>VLOOKUP(YEAR(CurrentMtgRatesDataTable8711121314[[#This Row],[asofdate]]),OriginationVolume!$A:$N,11,FALSE)</f>
        <v>0.10838150289017341</v>
      </c>
      <c r="AS109" s="11">
        <f>VLOOKUP(YEAR(CurrentMtgRatesDataTable8711121314[[#This Row],[asofdate]]),OriginationVolume!$A:$N,12,FALSE)</f>
        <v>9.1522157996146436E-3</v>
      </c>
      <c r="AT109" s="11">
        <f>VLOOKUP(YEAR(CurrentMtgRatesDataTable8711121314[[#This Row],[asofdate]]),OriginationVolume!$A:$N,13,FALSE)</f>
        <v>1.9267822736030828E-3</v>
      </c>
      <c r="AU10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AW109" s="7" t="s">
        <v>138</v>
      </c>
      <c r="AX109" s="10">
        <v>7486376000</v>
      </c>
      <c r="AY109" s="31"/>
      <c r="BA109" s="7" t="s">
        <v>138</v>
      </c>
      <c r="BB109" s="10">
        <v>2138090000</v>
      </c>
      <c r="BC109" s="31"/>
      <c r="BE109" s="7" t="s">
        <v>138</v>
      </c>
      <c r="BF109" s="10">
        <v>21634291320.59</v>
      </c>
      <c r="BG109" s="34"/>
      <c r="BI109" s="7" t="s">
        <v>138</v>
      </c>
      <c r="BJ109" s="10">
        <v>12009825320.59</v>
      </c>
      <c r="BK109" s="34" t="str">
        <f>YEAR(CurrentMtgRatesDataTable871112131417[[#This Row],[asofdate]])&amp;"-"&amp;MONTH(CurrentMtgRatesDataTable871112131417[[#This Row],[asofdate]])</f>
        <v>2012-1</v>
      </c>
      <c r="BL109" s="34">
        <f>CurrentMtgRatesDataTable871112131417[[#This Row],[SeriesNumValue]]</f>
        <v>12009825320.59</v>
      </c>
      <c r="BM109" s="34">
        <f>VLOOKUP(CurrentMtgRatesDataTable871112131417[[#This Row],[asofdate]],AW:AX,2,0)</f>
        <v>7486376000</v>
      </c>
      <c r="BN109" s="30">
        <f>IF(VLOOKUP(CurrentMtgRatesDataTable871112131417[[#This Row],[asofdate]],BA:BB,2,0)&lt;&gt;0,VLOOKUP(CurrentMtgRatesDataTable871112131417[[#This Row],[asofdate]],BA:BB,2,0),BN108)</f>
        <v>2138090000</v>
      </c>
      <c r="BO109" s="30">
        <f>VLOOKUP(CurrentMtgRatesDataTable871112131417[[#This Row],[asofdate]],BE:BF,2,0)</f>
        <v>21634291320.59</v>
      </c>
    </row>
    <row r="110" spans="1:67" s="8" customFormat="1">
      <c r="A110" s="7" t="s">
        <v>139</v>
      </c>
      <c r="B110" s="10">
        <v>1.34731893048365E-2</v>
      </c>
      <c r="C110" s="10" t="str">
        <f>YEAR(CurrentMtgRatesDataTable8[[#This Row],[asofdate]])&amp;"-"&amp;MONTH(CurrentMtgRatesDataTable8[[#This Row],[asofdate]])</f>
        <v>2012-2</v>
      </c>
      <c r="D110" s="6">
        <f>((CurrentMtgRatesDataTable8[[#This Row],[SeriesNumValue]]-$D$1)/$D$1+1)*100</f>
        <v>89.821262032243325</v>
      </c>
      <c r="E110" s="6"/>
      <c r="I110" s="7" t="s">
        <v>75</v>
      </c>
      <c r="J110" s="10">
        <v>1.8832789330188299E-2</v>
      </c>
      <c r="K110" s="10" t="str">
        <f>YEAR(CurrentMtgRatesDataTable89[[#This Row],[asofdate]])&amp;"-"&amp;MONTH(CurrentMtgRatesDataTable89[[#This Row],[asofdate]])</f>
        <v>2006-10</v>
      </c>
      <c r="L110" s="6">
        <f>((CurrentMtgRatesDataTable89[[#This Row],[SeriesNumValue]]-$D$1)/$D$1+1)*100</f>
        <v>125.55192886792202</v>
      </c>
      <c r="M110" s="6">
        <f>CurrentMtgRatesDataTable89[[#This Row],[Index]]-L111</f>
        <v>6.3485449599053396</v>
      </c>
      <c r="P110" s="7" t="s">
        <v>139</v>
      </c>
      <c r="Q110" s="10">
        <v>4.9578391995180202E-2</v>
      </c>
      <c r="R110" s="31">
        <f>((CurrentMtgRatesDataTable8711[[#This Row],[SeriesNumValue]]-$D$1)/$D$1+1)*100</f>
        <v>330.52261330120137</v>
      </c>
      <c r="S110" s="31"/>
      <c r="U110" s="7" t="s">
        <v>139</v>
      </c>
      <c r="V110" s="10">
        <v>4.71167468684561E-2</v>
      </c>
      <c r="W110" s="31">
        <f>((CurrentMtgRatesDataTable871112[[#This Row],[SeriesNumValue]]-$D$1)/$D$1+1)*100</f>
        <v>314.11164578970732</v>
      </c>
      <c r="X110" s="31"/>
      <c r="Z110" s="7" t="s">
        <v>139</v>
      </c>
      <c r="AA110" s="10">
        <v>2.95042213462617E-2</v>
      </c>
      <c r="AB110" s="34">
        <f>((CurrentMtgRatesDataTable87111213[[#This Row],[SeriesNumValue]]-$D$1)/$D$1+1)*100</f>
        <v>196.69480897507802</v>
      </c>
      <c r="AC110" s="34"/>
      <c r="AE110" s="7" t="s">
        <v>139</v>
      </c>
      <c r="AF110" s="10">
        <v>1.3375190108893801E-2</v>
      </c>
      <c r="AG110" s="34">
        <f>((CurrentMtgRatesDataTable8711121314[[#This Row],[SeriesNumValue]]-$D$1)/$D$1+1)*100</f>
        <v>89.167934059292008</v>
      </c>
      <c r="AH110" s="34" t="str">
        <f>YEAR(CurrentMtgRatesDataTable8711121314[[#This Row],[asofdate]])&amp;"-"&amp;MONTH(CurrentMtgRatesDataTable8711121314[[#This Row],[asofdate]])</f>
        <v>2012-2</v>
      </c>
      <c r="AI110" s="34">
        <f>CurrentMtgRatesDataTable8711121314[[#This Row],[SeriesNumValue]]</f>
        <v>1.3375190108893801E-2</v>
      </c>
      <c r="AJ110" s="34">
        <f>VLOOKUP(CurrentMtgRatesDataTable8711121314[[#This Row],[asofdate]],P:R,2,0)</f>
        <v>4.9578391995180202E-2</v>
      </c>
      <c r="AK110" s="30">
        <f>IF(VLOOKUP(CurrentMtgRatesDataTable8711121314[[#This Row],[asofdate]],U:W,2,0)&lt;&gt;0,VLOOKUP(CurrentMtgRatesDataTable8711121314[[#This Row],[asofdate]],U:W,2,0),AK109)</f>
        <v>4.71167468684561E-2</v>
      </c>
      <c r="AL110" s="30">
        <f>VLOOKUP(CurrentMtgRatesDataTable8711121314[[#This Row],[asofdate]],Z:AB,2,0)</f>
        <v>2.95042213462617E-2</v>
      </c>
      <c r="AM110" s="30">
        <f>CurrentMtgRatesDataTable8711121314[[#This Row],[FHA]]+0.5*CurrentMtgRatesDataTable8711121314[[#This Row],[Conventional]]</f>
        <v>5.6265987049627104E-2</v>
      </c>
      <c r="AN110" s="30">
        <f>2*CurrentMtgRatesDataTable8711121314[[#This Row],[FHA]]</f>
        <v>9.9156783990360403E-2</v>
      </c>
      <c r="AO110" s="11">
        <f>VLOOKUP(YEAR(CurrentMtgRatesDataTable8711121314[[#This Row],[asofdate]]),OriginationVolume!$A:$N,8,FALSE)</f>
        <v>0.69267822736030826</v>
      </c>
      <c r="AP110" s="11">
        <f>VLOOKUP(YEAR(CurrentMtgRatesDataTable8711121314[[#This Row],[asofdate]]),OriginationVolume!$A:$N,9,FALSE)</f>
        <v>4.6965317919075142E-2</v>
      </c>
      <c r="AQ110" s="11">
        <f>VLOOKUP(YEAR(CurrentMtgRatesDataTable8711121314[[#This Row],[asofdate]]),OriginationVolume!$A:$N,10,FALSE)</f>
        <v>0.14089595375722544</v>
      </c>
      <c r="AR110" s="11">
        <f>VLOOKUP(YEAR(CurrentMtgRatesDataTable8711121314[[#This Row],[asofdate]]),OriginationVolume!$A:$N,11,FALSE)</f>
        <v>0.10838150289017341</v>
      </c>
      <c r="AS110" s="11">
        <f>VLOOKUP(YEAR(CurrentMtgRatesDataTable8711121314[[#This Row],[asofdate]]),OriginationVolume!$A:$N,12,FALSE)</f>
        <v>9.1522157996146436E-3</v>
      </c>
      <c r="AT110" s="11">
        <f>VLOOKUP(YEAR(CurrentMtgRatesDataTable8711121314[[#This Row],[asofdate]]),OriginationVolume!$A:$N,13,FALSE)</f>
        <v>1.9267822736030828E-3</v>
      </c>
      <c r="AU11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AW110" s="7" t="s">
        <v>139</v>
      </c>
      <c r="AX110" s="10">
        <v>8000834000</v>
      </c>
      <c r="AY110" s="31"/>
      <c r="BA110" s="7" t="s">
        <v>139</v>
      </c>
      <c r="BB110" s="10">
        <v>2569710000</v>
      </c>
      <c r="BC110" s="31"/>
      <c r="BE110" s="7" t="s">
        <v>139</v>
      </c>
      <c r="BF110" s="10">
        <v>23641513148.34</v>
      </c>
      <c r="BG110" s="34"/>
      <c r="BI110" s="7" t="s">
        <v>139</v>
      </c>
      <c r="BJ110" s="10">
        <v>13070969148.34</v>
      </c>
      <c r="BK110" s="34" t="str">
        <f>YEAR(CurrentMtgRatesDataTable871112131417[[#This Row],[asofdate]])&amp;"-"&amp;MONTH(CurrentMtgRatesDataTable871112131417[[#This Row],[asofdate]])</f>
        <v>2012-2</v>
      </c>
      <c r="BL110" s="34">
        <f>CurrentMtgRatesDataTable871112131417[[#This Row],[SeriesNumValue]]</f>
        <v>13070969148.34</v>
      </c>
      <c r="BM110" s="34">
        <f>VLOOKUP(CurrentMtgRatesDataTable871112131417[[#This Row],[asofdate]],AW:AX,2,0)</f>
        <v>8000834000</v>
      </c>
      <c r="BN110" s="30">
        <f>IF(VLOOKUP(CurrentMtgRatesDataTable871112131417[[#This Row],[asofdate]],BA:BB,2,0)&lt;&gt;0,VLOOKUP(CurrentMtgRatesDataTable871112131417[[#This Row],[asofdate]],BA:BB,2,0),BN109)</f>
        <v>2569710000</v>
      </c>
      <c r="BO110" s="30">
        <f>VLOOKUP(CurrentMtgRatesDataTable871112131417[[#This Row],[asofdate]],BE:BF,2,0)</f>
        <v>23641513148.34</v>
      </c>
    </row>
    <row r="111" spans="1:67" s="8" customFormat="1">
      <c r="A111" s="7" t="s">
        <v>140</v>
      </c>
      <c r="B111" s="10">
        <v>1.3438208340839501E-2</v>
      </c>
      <c r="C111" s="10" t="str">
        <f>YEAR(CurrentMtgRatesDataTable8[[#This Row],[asofdate]])&amp;"-"&amp;MONTH(CurrentMtgRatesDataTable8[[#This Row],[asofdate]])</f>
        <v>2012-3</v>
      </c>
      <c r="D111" s="6">
        <f>((CurrentMtgRatesDataTable8[[#This Row],[SeriesNumValue]]-$D$1)/$D$1+1)*100</f>
        <v>89.588055605596679</v>
      </c>
      <c r="E111" s="6"/>
      <c r="I111" s="7" t="s">
        <v>74</v>
      </c>
      <c r="J111" s="10">
        <v>1.78805075862025E-2</v>
      </c>
      <c r="K111" s="10" t="str">
        <f>YEAR(CurrentMtgRatesDataTable89[[#This Row],[asofdate]])&amp;"-"&amp;MONTH(CurrentMtgRatesDataTable89[[#This Row],[asofdate]])</f>
        <v>2006-9</v>
      </c>
      <c r="L111" s="6">
        <f>((CurrentMtgRatesDataTable89[[#This Row],[SeriesNumValue]]-$D$1)/$D$1+1)*100</f>
        <v>119.20338390801668</v>
      </c>
      <c r="M111" s="6">
        <f>CurrentMtgRatesDataTable89[[#This Row],[Index]]-L112</f>
        <v>16.977283967414664</v>
      </c>
      <c r="P111" s="7" t="s">
        <v>140</v>
      </c>
      <c r="Q111" s="10">
        <v>4.9470745177948798E-2</v>
      </c>
      <c r="R111" s="31">
        <f>((CurrentMtgRatesDataTable8711[[#This Row],[SeriesNumValue]]-$D$1)/$D$1+1)*100</f>
        <v>329.80496785299198</v>
      </c>
      <c r="S111" s="31"/>
      <c r="U111" s="7" t="s">
        <v>140</v>
      </c>
      <c r="V111" s="10">
        <v>4.6752001158217198E-2</v>
      </c>
      <c r="W111" s="31">
        <f>((CurrentMtgRatesDataTable871112[[#This Row],[SeriesNumValue]]-$D$1)/$D$1+1)*100</f>
        <v>311.68000772144802</v>
      </c>
      <c r="X111" s="31"/>
      <c r="Z111" s="7" t="s">
        <v>140</v>
      </c>
      <c r="AA111" s="10">
        <v>2.92251324076724E-2</v>
      </c>
      <c r="AB111" s="34">
        <f>((CurrentMtgRatesDataTable87111213[[#This Row],[SeriesNumValue]]-$D$1)/$D$1+1)*100</f>
        <v>194.83421605114935</v>
      </c>
      <c r="AC111" s="34"/>
      <c r="AE111" s="7" t="s">
        <v>140</v>
      </c>
      <c r="AF111" s="10">
        <v>1.3368199117739499E-2</v>
      </c>
      <c r="AG111" s="34">
        <f>((CurrentMtgRatesDataTable8711121314[[#This Row],[SeriesNumValue]]-$D$1)/$D$1+1)*100</f>
        <v>89.12132745159667</v>
      </c>
      <c r="AH111" s="34" t="str">
        <f>YEAR(CurrentMtgRatesDataTable8711121314[[#This Row],[asofdate]])&amp;"-"&amp;MONTH(CurrentMtgRatesDataTable8711121314[[#This Row],[asofdate]])</f>
        <v>2012-3</v>
      </c>
      <c r="AI111" s="34">
        <f>CurrentMtgRatesDataTable8711121314[[#This Row],[SeriesNumValue]]</f>
        <v>1.3368199117739499E-2</v>
      </c>
      <c r="AJ111" s="34">
        <f>VLOOKUP(CurrentMtgRatesDataTable8711121314[[#This Row],[asofdate]],P:R,2,0)</f>
        <v>4.9470745177948798E-2</v>
      </c>
      <c r="AK111" s="30">
        <f>IF(VLOOKUP(CurrentMtgRatesDataTable8711121314[[#This Row],[asofdate]],U:W,2,0)&lt;&gt;0,VLOOKUP(CurrentMtgRatesDataTable8711121314[[#This Row],[asofdate]],U:W,2,0),AK110)</f>
        <v>4.6752001158217198E-2</v>
      </c>
      <c r="AL111" s="30">
        <f>VLOOKUP(CurrentMtgRatesDataTable8711121314[[#This Row],[asofdate]],Z:AB,2,0)</f>
        <v>2.92251324076724E-2</v>
      </c>
      <c r="AM111" s="30">
        <f>CurrentMtgRatesDataTable8711121314[[#This Row],[FHA]]+0.5*CurrentMtgRatesDataTable8711121314[[#This Row],[Conventional]]</f>
        <v>5.6154844736818546E-2</v>
      </c>
      <c r="AN111" s="30">
        <f>2*CurrentMtgRatesDataTable8711121314[[#This Row],[FHA]]</f>
        <v>9.8941490355897596E-2</v>
      </c>
      <c r="AO111" s="11">
        <f>VLOOKUP(YEAR(CurrentMtgRatesDataTable8711121314[[#This Row],[asofdate]]),OriginationVolume!$A:$N,8,FALSE)</f>
        <v>0.69267822736030826</v>
      </c>
      <c r="AP111" s="11">
        <f>VLOOKUP(YEAR(CurrentMtgRatesDataTable8711121314[[#This Row],[asofdate]]),OriginationVolume!$A:$N,9,FALSE)</f>
        <v>4.6965317919075142E-2</v>
      </c>
      <c r="AQ111" s="11">
        <f>VLOOKUP(YEAR(CurrentMtgRatesDataTable8711121314[[#This Row],[asofdate]]),OriginationVolume!$A:$N,10,FALSE)</f>
        <v>0.14089595375722544</v>
      </c>
      <c r="AR111" s="11">
        <f>VLOOKUP(YEAR(CurrentMtgRatesDataTable8711121314[[#This Row],[asofdate]]),OriginationVolume!$A:$N,11,FALSE)</f>
        <v>0.10838150289017341</v>
      </c>
      <c r="AS111" s="11">
        <f>VLOOKUP(YEAR(CurrentMtgRatesDataTable8711121314[[#This Row],[asofdate]]),OriginationVolume!$A:$N,12,FALSE)</f>
        <v>9.1522157996146436E-3</v>
      </c>
      <c r="AT111" s="11">
        <f>VLOOKUP(YEAR(CurrentMtgRatesDataTable8711121314[[#This Row],[asofdate]]),OriginationVolume!$A:$N,13,FALSE)</f>
        <v>1.9267822736030828E-3</v>
      </c>
      <c r="AU11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AW111" s="7" t="s">
        <v>140</v>
      </c>
      <c r="AX111" s="10">
        <v>5986718000</v>
      </c>
      <c r="AY111" s="31"/>
      <c r="BA111" s="7" t="s">
        <v>140</v>
      </c>
      <c r="BB111" s="10">
        <v>1778382000</v>
      </c>
      <c r="BC111" s="31"/>
      <c r="BE111" s="7" t="s">
        <v>140</v>
      </c>
      <c r="BF111" s="10">
        <v>17503960845.209999</v>
      </c>
      <c r="BG111" s="34"/>
      <c r="BI111" s="7" t="s">
        <v>140</v>
      </c>
      <c r="BJ111" s="10">
        <v>9738860845.2099991</v>
      </c>
      <c r="BK111" s="34" t="str">
        <f>YEAR(CurrentMtgRatesDataTable871112131417[[#This Row],[asofdate]])&amp;"-"&amp;MONTH(CurrentMtgRatesDataTable871112131417[[#This Row],[asofdate]])</f>
        <v>2012-3</v>
      </c>
      <c r="BL111" s="34">
        <f>CurrentMtgRatesDataTable871112131417[[#This Row],[SeriesNumValue]]</f>
        <v>9738860845.2099991</v>
      </c>
      <c r="BM111" s="34">
        <f>VLOOKUP(CurrentMtgRatesDataTable871112131417[[#This Row],[asofdate]],AW:AX,2,0)</f>
        <v>5986718000</v>
      </c>
      <c r="BN111" s="30">
        <f>IF(VLOOKUP(CurrentMtgRatesDataTable871112131417[[#This Row],[asofdate]],BA:BB,2,0)&lt;&gt;0,VLOOKUP(CurrentMtgRatesDataTable871112131417[[#This Row],[asofdate]],BA:BB,2,0),BN110)</f>
        <v>1778382000</v>
      </c>
      <c r="BO111" s="30">
        <f>VLOOKUP(CurrentMtgRatesDataTable871112131417[[#This Row],[asofdate]],BE:BF,2,0)</f>
        <v>17503960845.209999</v>
      </c>
    </row>
    <row r="112" spans="1:67" s="8" customFormat="1">
      <c r="A112" s="7" t="s">
        <v>141</v>
      </c>
      <c r="B112" s="10">
        <v>1.3231156891929901E-2</v>
      </c>
      <c r="C112" s="10" t="str">
        <f>YEAR(CurrentMtgRatesDataTable8[[#This Row],[asofdate]])&amp;"-"&amp;MONTH(CurrentMtgRatesDataTable8[[#This Row],[asofdate]])</f>
        <v>2012-4</v>
      </c>
      <c r="D112" s="6">
        <f>((CurrentMtgRatesDataTable8[[#This Row],[SeriesNumValue]]-$D$1)/$D$1+1)*100</f>
        <v>88.207712612866004</v>
      </c>
      <c r="E112" s="6"/>
      <c r="I112" s="7" t="s">
        <v>73</v>
      </c>
      <c r="J112" s="10">
        <v>1.5333914991090301E-2</v>
      </c>
      <c r="K112" s="10" t="str">
        <f>YEAR(CurrentMtgRatesDataTable89[[#This Row],[asofdate]])&amp;"-"&amp;MONTH(CurrentMtgRatesDataTable89[[#This Row],[asofdate]])</f>
        <v>2006-8</v>
      </c>
      <c r="L112" s="6">
        <f>((CurrentMtgRatesDataTable89[[#This Row],[SeriesNumValue]]-$D$1)/$D$1+1)*100</f>
        <v>102.22609994060201</v>
      </c>
      <c r="M112" s="6">
        <f>CurrentMtgRatesDataTable89[[#This Row],[Index]]-L113</f>
        <v>-1.0088372025119838</v>
      </c>
      <c r="P112" s="7" t="s">
        <v>141</v>
      </c>
      <c r="Q112" s="10">
        <v>4.8345406248694399E-2</v>
      </c>
      <c r="R112" s="31">
        <f>((CurrentMtgRatesDataTable8711[[#This Row],[SeriesNumValue]]-$D$1)/$D$1+1)*100</f>
        <v>322.30270832462935</v>
      </c>
      <c r="S112" s="31"/>
      <c r="U112" s="7" t="s">
        <v>141</v>
      </c>
      <c r="V112" s="10">
        <v>4.5729186390120899E-2</v>
      </c>
      <c r="W112" s="31">
        <f>((CurrentMtgRatesDataTable871112[[#This Row],[SeriesNumValue]]-$D$1)/$D$1+1)*100</f>
        <v>304.86124260080601</v>
      </c>
      <c r="X112" s="31"/>
      <c r="Z112" s="7" t="s">
        <v>141</v>
      </c>
      <c r="AA112" s="10">
        <v>2.8886846875359602E-2</v>
      </c>
      <c r="AB112" s="34">
        <f>((CurrentMtgRatesDataTable87111213[[#This Row],[SeriesNumValue]]-$D$1)/$D$1+1)*100</f>
        <v>192.57897916906401</v>
      </c>
      <c r="AC112" s="34"/>
      <c r="AE112" s="7" t="s">
        <v>141</v>
      </c>
      <c r="AF112" s="10">
        <v>1.3247374772760801E-2</v>
      </c>
      <c r="AG112" s="34">
        <f>((CurrentMtgRatesDataTable8711121314[[#This Row],[SeriesNumValue]]-$D$1)/$D$1+1)*100</f>
        <v>88.315831818405343</v>
      </c>
      <c r="AH112" s="34" t="str">
        <f>YEAR(CurrentMtgRatesDataTable8711121314[[#This Row],[asofdate]])&amp;"-"&amp;MONTH(CurrentMtgRatesDataTable8711121314[[#This Row],[asofdate]])</f>
        <v>2012-4</v>
      </c>
      <c r="AI112" s="34">
        <f>CurrentMtgRatesDataTable8711121314[[#This Row],[SeriesNumValue]]</f>
        <v>1.3247374772760801E-2</v>
      </c>
      <c r="AJ112" s="34">
        <f>VLOOKUP(CurrentMtgRatesDataTable8711121314[[#This Row],[asofdate]],P:R,2,0)</f>
        <v>4.8345406248694399E-2</v>
      </c>
      <c r="AK112" s="30">
        <f>IF(VLOOKUP(CurrentMtgRatesDataTable8711121314[[#This Row],[asofdate]],U:W,2,0)&lt;&gt;0,VLOOKUP(CurrentMtgRatesDataTable8711121314[[#This Row],[asofdate]],U:W,2,0),AK111)</f>
        <v>4.5729186390120899E-2</v>
      </c>
      <c r="AL112" s="30">
        <f>VLOOKUP(CurrentMtgRatesDataTable8711121314[[#This Row],[asofdate]],Z:AB,2,0)</f>
        <v>2.8886846875359602E-2</v>
      </c>
      <c r="AM112" s="30">
        <f>CurrentMtgRatesDataTable8711121314[[#This Row],[FHA]]+0.5*CurrentMtgRatesDataTable8711121314[[#This Row],[Conventional]]</f>
        <v>5.4969093635074802E-2</v>
      </c>
      <c r="AN112" s="30">
        <f>2*CurrentMtgRatesDataTable8711121314[[#This Row],[FHA]]</f>
        <v>9.6690812497388798E-2</v>
      </c>
      <c r="AO112" s="11">
        <f>VLOOKUP(YEAR(CurrentMtgRatesDataTable8711121314[[#This Row],[asofdate]]),OriginationVolume!$A:$N,8,FALSE)</f>
        <v>0.69267822736030826</v>
      </c>
      <c r="AP112" s="11">
        <f>VLOOKUP(YEAR(CurrentMtgRatesDataTable8711121314[[#This Row],[asofdate]]),OriginationVolume!$A:$N,9,FALSE)</f>
        <v>4.6965317919075142E-2</v>
      </c>
      <c r="AQ112" s="11">
        <f>VLOOKUP(YEAR(CurrentMtgRatesDataTable8711121314[[#This Row],[asofdate]]),OriginationVolume!$A:$N,10,FALSE)</f>
        <v>0.14089595375722544</v>
      </c>
      <c r="AR112" s="11">
        <f>VLOOKUP(YEAR(CurrentMtgRatesDataTable8711121314[[#This Row],[asofdate]]),OriginationVolume!$A:$N,11,FALSE)</f>
        <v>0.10838150289017341</v>
      </c>
      <c r="AS112" s="11">
        <f>VLOOKUP(YEAR(CurrentMtgRatesDataTable8711121314[[#This Row],[asofdate]]),OriginationVolume!$A:$N,12,FALSE)</f>
        <v>9.1522157996146436E-3</v>
      </c>
      <c r="AT112" s="11">
        <f>VLOOKUP(YEAR(CurrentMtgRatesDataTable8711121314[[#This Row],[asofdate]]),OriginationVolume!$A:$N,13,FALSE)</f>
        <v>1.9267822736030828E-3</v>
      </c>
      <c r="AU11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AW112" s="7" t="s">
        <v>141</v>
      </c>
      <c r="AX112" s="10">
        <v>6802506000</v>
      </c>
      <c r="AY112" s="31"/>
      <c r="BA112" s="7" t="s">
        <v>141</v>
      </c>
      <c r="BB112" s="10">
        <v>2129724000</v>
      </c>
      <c r="BC112" s="31"/>
      <c r="BE112" s="7" t="s">
        <v>141</v>
      </c>
      <c r="BF112" s="10">
        <v>19871923589.490002</v>
      </c>
      <c r="BG112" s="34"/>
      <c r="BI112" s="7" t="s">
        <v>141</v>
      </c>
      <c r="BJ112" s="10">
        <v>10939693589.49</v>
      </c>
      <c r="BK112" s="34" t="str">
        <f>YEAR(CurrentMtgRatesDataTable871112131417[[#This Row],[asofdate]])&amp;"-"&amp;MONTH(CurrentMtgRatesDataTable871112131417[[#This Row],[asofdate]])</f>
        <v>2012-4</v>
      </c>
      <c r="BL112" s="34">
        <f>CurrentMtgRatesDataTable871112131417[[#This Row],[SeriesNumValue]]</f>
        <v>10939693589.49</v>
      </c>
      <c r="BM112" s="34">
        <f>VLOOKUP(CurrentMtgRatesDataTable871112131417[[#This Row],[asofdate]],AW:AX,2,0)</f>
        <v>6802506000</v>
      </c>
      <c r="BN112" s="30">
        <f>IF(VLOOKUP(CurrentMtgRatesDataTable871112131417[[#This Row],[asofdate]],BA:BB,2,0)&lt;&gt;0,VLOOKUP(CurrentMtgRatesDataTable871112131417[[#This Row],[asofdate]],BA:BB,2,0),BN111)</f>
        <v>2129724000</v>
      </c>
      <c r="BO112" s="30">
        <f>VLOOKUP(CurrentMtgRatesDataTable871112131417[[#This Row],[asofdate]],BE:BF,2,0)</f>
        <v>19871923589.490002</v>
      </c>
    </row>
    <row r="113" spans="1:67" s="8" customFormat="1">
      <c r="A113" s="7" t="s">
        <v>9</v>
      </c>
      <c r="B113" s="10">
        <v>1.29593289554329E-2</v>
      </c>
      <c r="C113" s="10" t="str">
        <f>YEAR(CurrentMtgRatesDataTable8[[#This Row],[asofdate]])&amp;"-"&amp;MONTH(CurrentMtgRatesDataTable8[[#This Row],[asofdate]])</f>
        <v>2012-5</v>
      </c>
      <c r="D113" s="6">
        <f>((CurrentMtgRatesDataTable8[[#This Row],[SeriesNumValue]]-$D$1)/$D$1+1)*100</f>
        <v>86.395526369552684</v>
      </c>
      <c r="E113" s="6"/>
      <c r="I113" s="7" t="s">
        <v>72</v>
      </c>
      <c r="J113" s="10">
        <v>1.54852405714671E-2</v>
      </c>
      <c r="K113" s="10" t="str">
        <f>YEAR(CurrentMtgRatesDataTable89[[#This Row],[asofdate]])&amp;"-"&amp;MONTH(CurrentMtgRatesDataTable89[[#This Row],[asofdate]])</f>
        <v>2006-7</v>
      </c>
      <c r="L113" s="6">
        <f>((CurrentMtgRatesDataTable89[[#This Row],[SeriesNumValue]]-$D$1)/$D$1+1)*100</f>
        <v>103.234937143114</v>
      </c>
      <c r="M113" s="6">
        <f>CurrentMtgRatesDataTable89[[#This Row],[Index]]-L114</f>
        <v>1.5206343493393319</v>
      </c>
      <c r="P113" s="7" t="s">
        <v>9</v>
      </c>
      <c r="Q113" s="10">
        <v>4.7200576073014297E-2</v>
      </c>
      <c r="R113" s="31">
        <f>((CurrentMtgRatesDataTable8711[[#This Row],[SeriesNumValue]]-$D$1)/$D$1+1)*100</f>
        <v>314.67050715342867</v>
      </c>
      <c r="S113" s="31"/>
      <c r="U113" s="7" t="s">
        <v>9</v>
      </c>
      <c r="V113" s="10">
        <v>4.3987919201613497E-2</v>
      </c>
      <c r="W113" s="31">
        <f>((CurrentMtgRatesDataTable871112[[#This Row],[SeriesNumValue]]-$D$1)/$D$1+1)*100</f>
        <v>293.25279467742337</v>
      </c>
      <c r="X113" s="31"/>
      <c r="Z113" s="7" t="s">
        <v>9</v>
      </c>
      <c r="AA113" s="10">
        <v>2.7973207610378199E-2</v>
      </c>
      <c r="AB113" s="34">
        <f>((CurrentMtgRatesDataTable87111213[[#This Row],[SeriesNumValue]]-$D$1)/$D$1+1)*100</f>
        <v>186.48805073585467</v>
      </c>
      <c r="AC113" s="34"/>
      <c r="AE113" s="7" t="s">
        <v>9</v>
      </c>
      <c r="AF113" s="10">
        <v>1.28225727158472E-2</v>
      </c>
      <c r="AG113" s="34">
        <f>((CurrentMtgRatesDataTable8711121314[[#This Row],[SeriesNumValue]]-$D$1)/$D$1+1)*100</f>
        <v>85.483818105647998</v>
      </c>
      <c r="AH113" s="34" t="str">
        <f>YEAR(CurrentMtgRatesDataTable8711121314[[#This Row],[asofdate]])&amp;"-"&amp;MONTH(CurrentMtgRatesDataTable8711121314[[#This Row],[asofdate]])</f>
        <v>2012-5</v>
      </c>
      <c r="AI113" s="34">
        <f>CurrentMtgRatesDataTable8711121314[[#This Row],[SeriesNumValue]]</f>
        <v>1.28225727158472E-2</v>
      </c>
      <c r="AJ113" s="34">
        <f>VLOOKUP(CurrentMtgRatesDataTable8711121314[[#This Row],[asofdate]],P:R,2,0)</f>
        <v>4.7200576073014297E-2</v>
      </c>
      <c r="AK113" s="30">
        <f>IF(VLOOKUP(CurrentMtgRatesDataTable8711121314[[#This Row],[asofdate]],U:W,2,0)&lt;&gt;0,VLOOKUP(CurrentMtgRatesDataTable8711121314[[#This Row],[asofdate]],U:W,2,0),AK112)</f>
        <v>4.3987919201613497E-2</v>
      </c>
      <c r="AL113" s="30">
        <f>VLOOKUP(CurrentMtgRatesDataTable8711121314[[#This Row],[asofdate]],Z:AB,2,0)</f>
        <v>2.7973207610378199E-2</v>
      </c>
      <c r="AM113" s="30">
        <f>CurrentMtgRatesDataTable8711121314[[#This Row],[FHA]]+0.5*CurrentMtgRatesDataTable8711121314[[#This Row],[Conventional]]</f>
        <v>5.36118624309379E-2</v>
      </c>
      <c r="AN113" s="30">
        <f>2*CurrentMtgRatesDataTable8711121314[[#This Row],[FHA]]</f>
        <v>9.4401152146028594E-2</v>
      </c>
      <c r="AO113" s="11">
        <f>VLOOKUP(YEAR(CurrentMtgRatesDataTable8711121314[[#This Row],[asofdate]]),OriginationVolume!$A:$N,8,FALSE)</f>
        <v>0.69267822736030826</v>
      </c>
      <c r="AP113" s="11">
        <f>VLOOKUP(YEAR(CurrentMtgRatesDataTable8711121314[[#This Row],[asofdate]]),OriginationVolume!$A:$N,9,FALSE)</f>
        <v>4.6965317919075142E-2</v>
      </c>
      <c r="AQ113" s="11">
        <f>VLOOKUP(YEAR(CurrentMtgRatesDataTable8711121314[[#This Row],[asofdate]]),OriginationVolume!$A:$N,10,FALSE)</f>
        <v>0.14089595375722544</v>
      </c>
      <c r="AR113" s="11">
        <f>VLOOKUP(YEAR(CurrentMtgRatesDataTable8711121314[[#This Row],[asofdate]]),OriginationVolume!$A:$N,11,FALSE)</f>
        <v>0.10838150289017341</v>
      </c>
      <c r="AS113" s="11">
        <f>VLOOKUP(YEAR(CurrentMtgRatesDataTable8711121314[[#This Row],[asofdate]]),OriginationVolume!$A:$N,12,FALSE)</f>
        <v>9.1522157996146436E-3</v>
      </c>
      <c r="AT113" s="11">
        <f>VLOOKUP(YEAR(CurrentMtgRatesDataTable8711121314[[#This Row],[asofdate]]),OriginationVolume!$A:$N,13,FALSE)</f>
        <v>1.9267822736030828E-3</v>
      </c>
      <c r="AU11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AW113" s="7" t="s">
        <v>9</v>
      </c>
      <c r="AX113" s="10">
        <v>9101987000</v>
      </c>
      <c r="AY113" s="31"/>
      <c r="BA113" s="7" t="s">
        <v>9</v>
      </c>
      <c r="BB113" s="10">
        <v>2746106000</v>
      </c>
      <c r="BC113" s="31"/>
      <c r="BE113" s="7" t="s">
        <v>9</v>
      </c>
      <c r="BF113" s="10">
        <v>26497760667.029999</v>
      </c>
      <c r="BG113" s="34"/>
      <c r="BI113" s="7" t="s">
        <v>9</v>
      </c>
      <c r="BJ113" s="10">
        <v>14649667667.030001</v>
      </c>
      <c r="BK113" s="34" t="str">
        <f>YEAR(CurrentMtgRatesDataTable871112131417[[#This Row],[asofdate]])&amp;"-"&amp;MONTH(CurrentMtgRatesDataTable871112131417[[#This Row],[asofdate]])</f>
        <v>2012-5</v>
      </c>
      <c r="BL113" s="34">
        <f>CurrentMtgRatesDataTable871112131417[[#This Row],[SeriesNumValue]]</f>
        <v>14649667667.030001</v>
      </c>
      <c r="BM113" s="34">
        <f>VLOOKUP(CurrentMtgRatesDataTable871112131417[[#This Row],[asofdate]],AW:AX,2,0)</f>
        <v>9101987000</v>
      </c>
      <c r="BN113" s="30">
        <f>IF(VLOOKUP(CurrentMtgRatesDataTable871112131417[[#This Row],[asofdate]],BA:BB,2,0)&lt;&gt;0,VLOOKUP(CurrentMtgRatesDataTable871112131417[[#This Row],[asofdate]],BA:BB,2,0),BN112)</f>
        <v>2746106000</v>
      </c>
      <c r="BO113" s="30">
        <f>VLOOKUP(CurrentMtgRatesDataTable871112131417[[#This Row],[asofdate]],BE:BF,2,0)</f>
        <v>26497760667.029999</v>
      </c>
    </row>
    <row r="114" spans="1:67" s="8" customFormat="1">
      <c r="A114" s="7" t="s">
        <v>17</v>
      </c>
      <c r="B114" s="10">
        <v>1.3682182088131E-2</v>
      </c>
      <c r="C114" s="10" t="str">
        <f>YEAR(CurrentMtgRatesDataTable8[[#This Row],[asofdate]])&amp;"-"&amp;MONTH(CurrentMtgRatesDataTable8[[#This Row],[asofdate]])</f>
        <v>2012-6</v>
      </c>
      <c r="D114" s="6">
        <f>((CurrentMtgRatesDataTable8[[#This Row],[SeriesNumValue]]-$D$1)/$D$1+1)*100</f>
        <v>91.214547254206664</v>
      </c>
      <c r="E114" s="6"/>
      <c r="I114" s="7" t="s">
        <v>71</v>
      </c>
      <c r="J114" s="10">
        <v>1.52571454190662E-2</v>
      </c>
      <c r="K114" s="10" t="str">
        <f>YEAR(CurrentMtgRatesDataTable89[[#This Row],[asofdate]])&amp;"-"&amp;MONTH(CurrentMtgRatesDataTable89[[#This Row],[asofdate]])</f>
        <v>2006-6</v>
      </c>
      <c r="L114" s="6">
        <f>((CurrentMtgRatesDataTable89[[#This Row],[SeriesNumValue]]-$D$1)/$D$1+1)*100</f>
        <v>101.71430279377466</v>
      </c>
      <c r="M114" s="6">
        <f>CurrentMtgRatesDataTable89[[#This Row],[Index]]-L115</f>
        <v>0.89733289491599066</v>
      </c>
      <c r="P114" s="7" t="s">
        <v>17</v>
      </c>
      <c r="Q114" s="10">
        <v>4.87455541273265E-2</v>
      </c>
      <c r="R114" s="31">
        <f>((CurrentMtgRatesDataTable8711[[#This Row],[SeriesNumValue]]-$D$1)/$D$1+1)*100</f>
        <v>324.97036084884337</v>
      </c>
      <c r="S114" s="31"/>
      <c r="U114" s="7" t="s">
        <v>17</v>
      </c>
      <c r="V114" s="10">
        <v>4.4928326738978099E-2</v>
      </c>
      <c r="W114" s="31">
        <f>((CurrentMtgRatesDataTable871112[[#This Row],[SeriesNumValue]]-$D$1)/$D$1+1)*100</f>
        <v>299.522178259854</v>
      </c>
      <c r="X114" s="31"/>
      <c r="Z114" s="7" t="s">
        <v>17</v>
      </c>
      <c r="AA114" s="10">
        <v>2.9030036671829799E-2</v>
      </c>
      <c r="AB114" s="34">
        <f>((CurrentMtgRatesDataTable87111213[[#This Row],[SeriesNumValue]]-$D$1)/$D$1+1)*100</f>
        <v>193.53357781219867</v>
      </c>
      <c r="AC114" s="34"/>
      <c r="AE114" s="7" t="s">
        <v>17</v>
      </c>
      <c r="AF114" s="10">
        <v>1.34595905180787E-2</v>
      </c>
      <c r="AG114" s="34">
        <f>((CurrentMtgRatesDataTable8711121314[[#This Row],[SeriesNumValue]]-$D$1)/$D$1+1)*100</f>
        <v>89.730603453858009</v>
      </c>
      <c r="AH114" s="34" t="str">
        <f>YEAR(CurrentMtgRatesDataTable8711121314[[#This Row],[asofdate]])&amp;"-"&amp;MONTH(CurrentMtgRatesDataTable8711121314[[#This Row],[asofdate]])</f>
        <v>2012-6</v>
      </c>
      <c r="AI114" s="34">
        <f>CurrentMtgRatesDataTable8711121314[[#This Row],[SeriesNumValue]]</f>
        <v>1.34595905180787E-2</v>
      </c>
      <c r="AJ114" s="34">
        <f>VLOOKUP(CurrentMtgRatesDataTable8711121314[[#This Row],[asofdate]],P:R,2,0)</f>
        <v>4.87455541273265E-2</v>
      </c>
      <c r="AK114" s="30">
        <f>IF(VLOOKUP(CurrentMtgRatesDataTable8711121314[[#This Row],[asofdate]],U:W,2,0)&lt;&gt;0,VLOOKUP(CurrentMtgRatesDataTable8711121314[[#This Row],[asofdate]],U:W,2,0),AK113)</f>
        <v>4.4928326738978099E-2</v>
      </c>
      <c r="AL114" s="30">
        <f>VLOOKUP(CurrentMtgRatesDataTable8711121314[[#This Row],[asofdate]],Z:AB,2,0)</f>
        <v>2.9030036671829799E-2</v>
      </c>
      <c r="AM114" s="30">
        <f>CurrentMtgRatesDataTable8711121314[[#This Row],[FHA]]+0.5*CurrentMtgRatesDataTable8711121314[[#This Row],[Conventional]]</f>
        <v>5.5475349386365849E-2</v>
      </c>
      <c r="AN114" s="30">
        <f>2*CurrentMtgRatesDataTable8711121314[[#This Row],[FHA]]</f>
        <v>9.7491108254653E-2</v>
      </c>
      <c r="AO114" s="11">
        <f>VLOOKUP(YEAR(CurrentMtgRatesDataTable8711121314[[#This Row],[asofdate]]),OriginationVolume!$A:$N,8,FALSE)</f>
        <v>0.69267822736030826</v>
      </c>
      <c r="AP114" s="11">
        <f>VLOOKUP(YEAR(CurrentMtgRatesDataTable8711121314[[#This Row],[asofdate]]),OriginationVolume!$A:$N,9,FALSE)</f>
        <v>4.6965317919075142E-2</v>
      </c>
      <c r="AQ114" s="11">
        <f>VLOOKUP(YEAR(CurrentMtgRatesDataTable8711121314[[#This Row],[asofdate]]),OriginationVolume!$A:$N,10,FALSE)</f>
        <v>0.14089595375722544</v>
      </c>
      <c r="AR114" s="11">
        <f>VLOOKUP(YEAR(CurrentMtgRatesDataTable8711121314[[#This Row],[asofdate]]),OriginationVolume!$A:$N,11,FALSE)</f>
        <v>0.10838150289017341</v>
      </c>
      <c r="AS114" s="11">
        <f>VLOOKUP(YEAR(CurrentMtgRatesDataTable8711121314[[#This Row],[asofdate]]),OriginationVolume!$A:$N,12,FALSE)</f>
        <v>9.1522157996146436E-3</v>
      </c>
      <c r="AT114" s="11">
        <f>VLOOKUP(YEAR(CurrentMtgRatesDataTable8711121314[[#This Row],[asofdate]]),OriginationVolume!$A:$N,13,FALSE)</f>
        <v>1.9267822736030828E-3</v>
      </c>
      <c r="AU11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AW114" s="7" t="s">
        <v>17</v>
      </c>
      <c r="AX114" s="10">
        <v>9457697000</v>
      </c>
      <c r="AY114" s="31"/>
      <c r="BA114" s="7" t="s">
        <v>17</v>
      </c>
      <c r="BB114" s="10">
        <v>2848847000</v>
      </c>
      <c r="BC114" s="31"/>
      <c r="BE114" s="7" t="s">
        <v>17</v>
      </c>
      <c r="BF114" s="10">
        <v>28552816390.639999</v>
      </c>
      <c r="BG114" s="34"/>
      <c r="BI114" s="7" t="s">
        <v>17</v>
      </c>
      <c r="BJ114" s="10">
        <v>16246272390.639999</v>
      </c>
      <c r="BK114" s="34" t="str">
        <f>YEAR(CurrentMtgRatesDataTable871112131417[[#This Row],[asofdate]])&amp;"-"&amp;MONTH(CurrentMtgRatesDataTable871112131417[[#This Row],[asofdate]])</f>
        <v>2012-6</v>
      </c>
      <c r="BL114" s="34">
        <f>CurrentMtgRatesDataTable871112131417[[#This Row],[SeriesNumValue]]</f>
        <v>16246272390.639999</v>
      </c>
      <c r="BM114" s="34">
        <f>VLOOKUP(CurrentMtgRatesDataTable871112131417[[#This Row],[asofdate]],AW:AX,2,0)</f>
        <v>9457697000</v>
      </c>
      <c r="BN114" s="30">
        <f>IF(VLOOKUP(CurrentMtgRatesDataTable871112131417[[#This Row],[asofdate]],BA:BB,2,0)&lt;&gt;0,VLOOKUP(CurrentMtgRatesDataTable871112131417[[#This Row],[asofdate]],BA:BB,2,0),BN113)</f>
        <v>2848847000</v>
      </c>
      <c r="BO114" s="30">
        <f>VLOOKUP(CurrentMtgRatesDataTable871112131417[[#This Row],[asofdate]],BE:BF,2,0)</f>
        <v>28552816390.639999</v>
      </c>
    </row>
    <row r="115" spans="1:67" s="8" customFormat="1">
      <c r="A115" s="7" t="s">
        <v>142</v>
      </c>
      <c r="B115" s="10">
        <v>1.41908284025984E-2</v>
      </c>
      <c r="C115" s="10" t="str">
        <f>YEAR(CurrentMtgRatesDataTable8[[#This Row],[asofdate]])&amp;"-"&amp;MONTH(CurrentMtgRatesDataTable8[[#This Row],[asofdate]])</f>
        <v>2012-7</v>
      </c>
      <c r="D115" s="6">
        <f>((CurrentMtgRatesDataTable8[[#This Row],[SeriesNumValue]]-$D$1)/$D$1+1)*100</f>
        <v>94.605522683989335</v>
      </c>
      <c r="E115" s="6"/>
      <c r="I115" s="7" t="s">
        <v>70</v>
      </c>
      <c r="J115" s="10">
        <v>1.51225454848288E-2</v>
      </c>
      <c r="K115" s="10" t="str">
        <f>YEAR(CurrentMtgRatesDataTable89[[#This Row],[asofdate]])&amp;"-"&amp;MONTH(CurrentMtgRatesDataTable89[[#This Row],[asofdate]])</f>
        <v>2006-5</v>
      </c>
      <c r="L115" s="6">
        <f>((CurrentMtgRatesDataTable89[[#This Row],[SeriesNumValue]]-$D$1)/$D$1+1)*100</f>
        <v>100.81696989885867</v>
      </c>
      <c r="M115" s="6">
        <f>CurrentMtgRatesDataTable89[[#This Row],[Index]]-L116</f>
        <v>-4.8568161930513298</v>
      </c>
      <c r="P115" s="7" t="s">
        <v>142</v>
      </c>
      <c r="Q115" s="10">
        <v>5.01526295017918E-2</v>
      </c>
      <c r="R115" s="31">
        <f>((CurrentMtgRatesDataTable8711[[#This Row],[SeriesNumValue]]-$D$1)/$D$1+1)*100</f>
        <v>334.35086334527864</v>
      </c>
      <c r="S115" s="31"/>
      <c r="U115" s="7" t="s">
        <v>142</v>
      </c>
      <c r="V115" s="10">
        <v>4.52225899073396E-2</v>
      </c>
      <c r="W115" s="31">
        <f>((CurrentMtgRatesDataTable871112[[#This Row],[SeriesNumValue]]-$D$1)/$D$1+1)*100</f>
        <v>301.48393271559735</v>
      </c>
      <c r="X115" s="31"/>
      <c r="Z115" s="7" t="s">
        <v>142</v>
      </c>
      <c r="AA115" s="10">
        <v>2.9559605426103301E-2</v>
      </c>
      <c r="AB115" s="34">
        <f>((CurrentMtgRatesDataTable87111213[[#This Row],[SeriesNumValue]]-$D$1)/$D$1+1)*100</f>
        <v>197.06403617402202</v>
      </c>
      <c r="AC115" s="34"/>
      <c r="AE115" s="7" t="s">
        <v>142</v>
      </c>
      <c r="AF115" s="10">
        <v>1.38760274451609E-2</v>
      </c>
      <c r="AG115" s="34">
        <f>((CurrentMtgRatesDataTable8711121314[[#This Row],[SeriesNumValue]]-$D$1)/$D$1+1)*100</f>
        <v>92.506849634406009</v>
      </c>
      <c r="AH115" s="34" t="str">
        <f>YEAR(CurrentMtgRatesDataTable8711121314[[#This Row],[asofdate]])&amp;"-"&amp;MONTH(CurrentMtgRatesDataTable8711121314[[#This Row],[asofdate]])</f>
        <v>2012-7</v>
      </c>
      <c r="AI115" s="34">
        <f>CurrentMtgRatesDataTable8711121314[[#This Row],[SeriesNumValue]]</f>
        <v>1.38760274451609E-2</v>
      </c>
      <c r="AJ115" s="34">
        <f>VLOOKUP(CurrentMtgRatesDataTable8711121314[[#This Row],[asofdate]],P:R,2,0)</f>
        <v>5.01526295017918E-2</v>
      </c>
      <c r="AK115" s="30">
        <f>IF(VLOOKUP(CurrentMtgRatesDataTable8711121314[[#This Row],[asofdate]],U:W,2,0)&lt;&gt;0,VLOOKUP(CurrentMtgRatesDataTable8711121314[[#This Row],[asofdate]],U:W,2,0),AK114)</f>
        <v>4.52225899073396E-2</v>
      </c>
      <c r="AL115" s="30">
        <f>VLOOKUP(CurrentMtgRatesDataTable8711121314[[#This Row],[asofdate]],Z:AB,2,0)</f>
        <v>2.9559605426103301E-2</v>
      </c>
      <c r="AM115" s="30">
        <f>CurrentMtgRatesDataTable8711121314[[#This Row],[FHA]]+0.5*CurrentMtgRatesDataTable8711121314[[#This Row],[Conventional]]</f>
        <v>5.7090643224372253E-2</v>
      </c>
      <c r="AN115" s="30">
        <f>2*CurrentMtgRatesDataTable8711121314[[#This Row],[FHA]]</f>
        <v>0.1003052590035836</v>
      </c>
      <c r="AO115" s="11">
        <f>VLOOKUP(YEAR(CurrentMtgRatesDataTable8711121314[[#This Row],[asofdate]]),OriginationVolume!$A:$N,8,FALSE)</f>
        <v>0.69267822736030826</v>
      </c>
      <c r="AP115" s="11">
        <f>VLOOKUP(YEAR(CurrentMtgRatesDataTable8711121314[[#This Row],[asofdate]]),OriginationVolume!$A:$N,9,FALSE)</f>
        <v>4.6965317919075142E-2</v>
      </c>
      <c r="AQ115" s="11">
        <f>VLOOKUP(YEAR(CurrentMtgRatesDataTable8711121314[[#This Row],[asofdate]]),OriginationVolume!$A:$N,10,FALSE)</f>
        <v>0.14089595375722544</v>
      </c>
      <c r="AR115" s="11">
        <f>VLOOKUP(YEAR(CurrentMtgRatesDataTable8711121314[[#This Row],[asofdate]]),OriginationVolume!$A:$N,11,FALSE)</f>
        <v>0.10838150289017341</v>
      </c>
      <c r="AS115" s="11">
        <f>VLOOKUP(YEAR(CurrentMtgRatesDataTable8711121314[[#This Row],[asofdate]]),OriginationVolume!$A:$N,12,FALSE)</f>
        <v>9.1522157996146436E-3</v>
      </c>
      <c r="AT115" s="11">
        <f>VLOOKUP(YEAR(CurrentMtgRatesDataTable8711121314[[#This Row],[asofdate]]),OriginationVolume!$A:$N,13,FALSE)</f>
        <v>1.9267822736030828E-3</v>
      </c>
      <c r="AU11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AW115" s="7" t="s">
        <v>142</v>
      </c>
      <c r="AX115" s="10">
        <v>10628814000</v>
      </c>
      <c r="AY115" s="31"/>
      <c r="BA115" s="7" t="s">
        <v>142</v>
      </c>
      <c r="BB115" s="10">
        <v>3569092000</v>
      </c>
      <c r="BC115" s="31"/>
      <c r="BE115" s="7" t="s">
        <v>142</v>
      </c>
      <c r="BF115" s="10">
        <v>33983864651.150002</v>
      </c>
      <c r="BG115" s="34"/>
      <c r="BI115" s="7" t="s">
        <v>142</v>
      </c>
      <c r="BJ115" s="10">
        <v>19785958651.150002</v>
      </c>
      <c r="BK115" s="34" t="str">
        <f>YEAR(CurrentMtgRatesDataTable871112131417[[#This Row],[asofdate]])&amp;"-"&amp;MONTH(CurrentMtgRatesDataTable871112131417[[#This Row],[asofdate]])</f>
        <v>2012-7</v>
      </c>
      <c r="BL115" s="34">
        <f>CurrentMtgRatesDataTable871112131417[[#This Row],[SeriesNumValue]]</f>
        <v>19785958651.150002</v>
      </c>
      <c r="BM115" s="34">
        <f>VLOOKUP(CurrentMtgRatesDataTable871112131417[[#This Row],[asofdate]],AW:AX,2,0)</f>
        <v>10628814000</v>
      </c>
      <c r="BN115" s="30">
        <f>IF(VLOOKUP(CurrentMtgRatesDataTable871112131417[[#This Row],[asofdate]],BA:BB,2,0)&lt;&gt;0,VLOOKUP(CurrentMtgRatesDataTable871112131417[[#This Row],[asofdate]],BA:BB,2,0),BN114)</f>
        <v>3569092000</v>
      </c>
      <c r="BO115" s="30">
        <f>VLOOKUP(CurrentMtgRatesDataTable871112131417[[#This Row],[asofdate]],BE:BF,2,0)</f>
        <v>33983864651.150002</v>
      </c>
    </row>
    <row r="116" spans="1:67" s="8" customFormat="1">
      <c r="A116" s="7" t="s">
        <v>6</v>
      </c>
      <c r="B116" s="10">
        <v>1.42525975058555E-2</v>
      </c>
      <c r="C116" s="10" t="str">
        <f>YEAR(CurrentMtgRatesDataTable8[[#This Row],[asofdate]])&amp;"-"&amp;MONTH(CurrentMtgRatesDataTable8[[#This Row],[asofdate]])</f>
        <v>2012-8</v>
      </c>
      <c r="D116" s="6">
        <f>((CurrentMtgRatesDataTable8[[#This Row],[SeriesNumValue]]-$D$1)/$D$1+1)*100</f>
        <v>95.017316705703337</v>
      </c>
      <c r="E116" s="6"/>
      <c r="I116" s="7" t="s">
        <v>69</v>
      </c>
      <c r="J116" s="10">
        <v>1.5851067913786501E-2</v>
      </c>
      <c r="K116" s="10" t="str">
        <f>YEAR(CurrentMtgRatesDataTable89[[#This Row],[asofdate]])&amp;"-"&amp;MONTH(CurrentMtgRatesDataTable89[[#This Row],[asofdate]])</f>
        <v>2006-4</v>
      </c>
      <c r="L116" s="6">
        <f>((CurrentMtgRatesDataTable89[[#This Row],[SeriesNumValue]]-$D$1)/$D$1+1)*100</f>
        <v>105.67378609191</v>
      </c>
      <c r="M116" s="6">
        <f>CurrentMtgRatesDataTable89[[#This Row],[Index]]-L117</f>
        <v>-2.2260070397053511</v>
      </c>
      <c r="P116" s="7" t="s">
        <v>6</v>
      </c>
      <c r="Q116" s="10">
        <v>5.0920901691329901E-2</v>
      </c>
      <c r="R116" s="31">
        <f>((CurrentMtgRatesDataTable8711[[#This Row],[SeriesNumValue]]-$D$1)/$D$1+1)*100</f>
        <v>339.47267794219937</v>
      </c>
      <c r="S116" s="31"/>
      <c r="U116" s="7" t="s">
        <v>6</v>
      </c>
      <c r="V116" s="10">
        <v>4.48731934408561E-2</v>
      </c>
      <c r="W116" s="31">
        <f>((CurrentMtgRatesDataTable871112[[#This Row],[SeriesNumValue]]-$D$1)/$D$1+1)*100</f>
        <v>299.15462293904068</v>
      </c>
      <c r="X116" s="31"/>
      <c r="Z116" s="7" t="s">
        <v>6</v>
      </c>
      <c r="AA116" s="10">
        <v>2.88786046475875E-2</v>
      </c>
      <c r="AB116" s="34">
        <f>((CurrentMtgRatesDataTable87111213[[#This Row],[SeriesNumValue]]-$D$1)/$D$1+1)*100</f>
        <v>192.52403098391667</v>
      </c>
      <c r="AC116" s="34"/>
      <c r="AE116" s="7" t="s">
        <v>6</v>
      </c>
      <c r="AF116" s="10">
        <v>1.4000643367963099E-2</v>
      </c>
      <c r="AG116" s="34">
        <f>((CurrentMtgRatesDataTable8711121314[[#This Row],[SeriesNumValue]]-$D$1)/$D$1+1)*100</f>
        <v>93.337622453087334</v>
      </c>
      <c r="AH116" s="34" t="str">
        <f>YEAR(CurrentMtgRatesDataTable8711121314[[#This Row],[asofdate]])&amp;"-"&amp;MONTH(CurrentMtgRatesDataTable8711121314[[#This Row],[asofdate]])</f>
        <v>2012-8</v>
      </c>
      <c r="AI116" s="34">
        <f>CurrentMtgRatesDataTable8711121314[[#This Row],[SeriesNumValue]]</f>
        <v>1.4000643367963099E-2</v>
      </c>
      <c r="AJ116" s="34">
        <f>VLOOKUP(CurrentMtgRatesDataTable8711121314[[#This Row],[asofdate]],P:R,2,0)</f>
        <v>5.0920901691329901E-2</v>
      </c>
      <c r="AK116" s="30">
        <f>IF(VLOOKUP(CurrentMtgRatesDataTable8711121314[[#This Row],[asofdate]],U:W,2,0)&lt;&gt;0,VLOOKUP(CurrentMtgRatesDataTable8711121314[[#This Row],[asofdate]],U:W,2,0),AK115)</f>
        <v>4.48731934408561E-2</v>
      </c>
      <c r="AL116" s="30">
        <f>VLOOKUP(CurrentMtgRatesDataTable8711121314[[#This Row],[asofdate]],Z:AB,2,0)</f>
        <v>2.88786046475875E-2</v>
      </c>
      <c r="AM116" s="30">
        <f>CurrentMtgRatesDataTable8711121314[[#This Row],[FHA]]+0.5*CurrentMtgRatesDataTable8711121314[[#This Row],[Conventional]]</f>
        <v>5.7921223375311449E-2</v>
      </c>
      <c r="AN116" s="30">
        <f>2*CurrentMtgRatesDataTable8711121314[[#This Row],[FHA]]</f>
        <v>0.1018418033826598</v>
      </c>
      <c r="AO116" s="11">
        <f>VLOOKUP(YEAR(CurrentMtgRatesDataTable8711121314[[#This Row],[asofdate]]),OriginationVolume!$A:$N,8,FALSE)</f>
        <v>0.69267822736030826</v>
      </c>
      <c r="AP116" s="11">
        <f>VLOOKUP(YEAR(CurrentMtgRatesDataTable8711121314[[#This Row],[asofdate]]),OriginationVolume!$A:$N,9,FALSE)</f>
        <v>4.6965317919075142E-2</v>
      </c>
      <c r="AQ116" s="11">
        <f>VLOOKUP(YEAR(CurrentMtgRatesDataTable8711121314[[#This Row],[asofdate]]),OriginationVolume!$A:$N,10,FALSE)</f>
        <v>0.14089595375722544</v>
      </c>
      <c r="AR116" s="11">
        <f>VLOOKUP(YEAR(CurrentMtgRatesDataTable8711121314[[#This Row],[asofdate]]),OriginationVolume!$A:$N,11,FALSE)</f>
        <v>0.10838150289017341</v>
      </c>
      <c r="AS116" s="11">
        <f>VLOOKUP(YEAR(CurrentMtgRatesDataTable8711121314[[#This Row],[asofdate]]),OriginationVolume!$A:$N,12,FALSE)</f>
        <v>9.1522157996146436E-3</v>
      </c>
      <c r="AT116" s="11">
        <f>VLOOKUP(YEAR(CurrentMtgRatesDataTable8711121314[[#This Row],[asofdate]]),OriginationVolume!$A:$N,13,FALSE)</f>
        <v>1.9267822736030828E-3</v>
      </c>
      <c r="AU11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AW116" s="7" t="s">
        <v>6</v>
      </c>
      <c r="AX116" s="10">
        <v>10625133000</v>
      </c>
      <c r="AY116" s="31"/>
      <c r="BA116" s="7" t="s">
        <v>6</v>
      </c>
      <c r="BB116" s="10">
        <v>4002029000</v>
      </c>
      <c r="BC116" s="31"/>
      <c r="BE116" s="7" t="s">
        <v>6</v>
      </c>
      <c r="BF116" s="10">
        <v>36673421394.889999</v>
      </c>
      <c r="BG116" s="34"/>
      <c r="BI116" s="7" t="s">
        <v>6</v>
      </c>
      <c r="BJ116" s="10">
        <v>22046259394.889999</v>
      </c>
      <c r="BK116" s="34" t="str">
        <f>YEAR(CurrentMtgRatesDataTable871112131417[[#This Row],[asofdate]])&amp;"-"&amp;MONTH(CurrentMtgRatesDataTable871112131417[[#This Row],[asofdate]])</f>
        <v>2012-8</v>
      </c>
      <c r="BL116" s="34">
        <f>CurrentMtgRatesDataTable871112131417[[#This Row],[SeriesNumValue]]</f>
        <v>22046259394.889999</v>
      </c>
      <c r="BM116" s="34">
        <f>VLOOKUP(CurrentMtgRatesDataTable871112131417[[#This Row],[asofdate]],AW:AX,2,0)</f>
        <v>10625133000</v>
      </c>
      <c r="BN116" s="30">
        <f>IF(VLOOKUP(CurrentMtgRatesDataTable871112131417[[#This Row],[asofdate]],BA:BB,2,0)&lt;&gt;0,VLOOKUP(CurrentMtgRatesDataTable871112131417[[#This Row],[asofdate]],BA:BB,2,0),BN115)</f>
        <v>4002029000</v>
      </c>
      <c r="BO116" s="30">
        <f>VLOOKUP(CurrentMtgRatesDataTable871112131417[[#This Row],[asofdate]],BE:BF,2,0)</f>
        <v>36673421394.889999</v>
      </c>
    </row>
    <row r="117" spans="1:67" s="8" customFormat="1">
      <c r="A117" s="7" t="s">
        <v>143</v>
      </c>
      <c r="B117" s="10">
        <v>1.4331186185642801E-2</v>
      </c>
      <c r="C117" s="10" t="str">
        <f>YEAR(CurrentMtgRatesDataTable8[[#This Row],[asofdate]])&amp;"-"&amp;MONTH(CurrentMtgRatesDataTable8[[#This Row],[asofdate]])</f>
        <v>2012-9</v>
      </c>
      <c r="D117" s="6">
        <f>((CurrentMtgRatesDataTable8[[#This Row],[SeriesNumValue]]-$D$1)/$D$1+1)*100</f>
        <v>95.541241237618678</v>
      </c>
      <c r="E117" s="6"/>
      <c r="I117" s="7" t="s">
        <v>68</v>
      </c>
      <c r="J117" s="10">
        <v>1.6184968969742301E-2</v>
      </c>
      <c r="K117" s="10" t="str">
        <f>YEAR(CurrentMtgRatesDataTable89[[#This Row],[asofdate]])&amp;"-"&amp;MONTH(CurrentMtgRatesDataTable89[[#This Row],[asofdate]])</f>
        <v>2006-3</v>
      </c>
      <c r="L117" s="6">
        <f>((CurrentMtgRatesDataTable89[[#This Row],[SeriesNumValue]]-$D$1)/$D$1+1)*100</f>
        <v>107.89979313161535</v>
      </c>
      <c r="M117" s="6">
        <f>CurrentMtgRatesDataTable89[[#This Row],[Index]]-L118</f>
        <v>-4.3545995827426509</v>
      </c>
      <c r="P117" s="7" t="s">
        <v>143</v>
      </c>
      <c r="Q117" s="10">
        <v>5.1164146729042799E-2</v>
      </c>
      <c r="R117" s="31">
        <f>((CurrentMtgRatesDataTable8711[[#This Row],[SeriesNumValue]]-$D$1)/$D$1+1)*100</f>
        <v>341.09431152695203</v>
      </c>
      <c r="S117" s="31"/>
      <c r="U117" s="7" t="s">
        <v>143</v>
      </c>
      <c r="V117" s="10">
        <v>4.5942757786631101E-2</v>
      </c>
      <c r="W117" s="31">
        <f>((CurrentMtgRatesDataTable871112[[#This Row],[SeriesNumValue]]-$D$1)/$D$1+1)*100</f>
        <v>306.28505191087402</v>
      </c>
      <c r="X117" s="31"/>
      <c r="Z117" s="7" t="s">
        <v>143</v>
      </c>
      <c r="AA117" s="10">
        <v>2.8612422400761998E-2</v>
      </c>
      <c r="AB117" s="34">
        <f>((CurrentMtgRatesDataTable87111213[[#This Row],[SeriesNumValue]]-$D$1)/$D$1+1)*100</f>
        <v>190.74948267174668</v>
      </c>
      <c r="AC117" s="34"/>
      <c r="AE117" s="7" t="s">
        <v>143</v>
      </c>
      <c r="AF117" s="10">
        <v>1.4333792880612499E-2</v>
      </c>
      <c r="AG117" s="34">
        <f>((CurrentMtgRatesDataTable8711121314[[#This Row],[SeriesNumValue]]-$D$1)/$D$1+1)*100</f>
        <v>95.558619204083328</v>
      </c>
      <c r="AH117" s="34" t="str">
        <f>YEAR(CurrentMtgRatesDataTable8711121314[[#This Row],[asofdate]])&amp;"-"&amp;MONTH(CurrentMtgRatesDataTable8711121314[[#This Row],[asofdate]])</f>
        <v>2012-9</v>
      </c>
      <c r="AI117" s="34">
        <f>CurrentMtgRatesDataTable8711121314[[#This Row],[SeriesNumValue]]</f>
        <v>1.4333792880612499E-2</v>
      </c>
      <c r="AJ117" s="34">
        <f>VLOOKUP(CurrentMtgRatesDataTable8711121314[[#This Row],[asofdate]],P:R,2,0)</f>
        <v>5.1164146729042799E-2</v>
      </c>
      <c r="AK117" s="30">
        <f>IF(VLOOKUP(CurrentMtgRatesDataTable8711121314[[#This Row],[asofdate]],U:W,2,0)&lt;&gt;0,VLOOKUP(CurrentMtgRatesDataTable8711121314[[#This Row],[asofdate]],U:W,2,0),AK116)</f>
        <v>4.5942757786631101E-2</v>
      </c>
      <c r="AL117" s="30">
        <f>VLOOKUP(CurrentMtgRatesDataTable8711121314[[#This Row],[asofdate]],Z:AB,2,0)</f>
        <v>2.8612422400761998E-2</v>
      </c>
      <c r="AM117" s="30">
        <f>CurrentMtgRatesDataTable8711121314[[#This Row],[FHA]]+0.5*CurrentMtgRatesDataTable8711121314[[#This Row],[Conventional]]</f>
        <v>5.8331043169349048E-2</v>
      </c>
      <c r="AN117" s="30">
        <f>2*CurrentMtgRatesDataTable8711121314[[#This Row],[FHA]]</f>
        <v>0.1023282934580856</v>
      </c>
      <c r="AO117" s="11">
        <f>VLOOKUP(YEAR(CurrentMtgRatesDataTable8711121314[[#This Row],[asofdate]]),OriginationVolume!$A:$N,8,FALSE)</f>
        <v>0.69267822736030826</v>
      </c>
      <c r="AP117" s="11">
        <f>VLOOKUP(YEAR(CurrentMtgRatesDataTable8711121314[[#This Row],[asofdate]]),OriginationVolume!$A:$N,9,FALSE)</f>
        <v>4.6965317919075142E-2</v>
      </c>
      <c r="AQ117" s="11">
        <f>VLOOKUP(YEAR(CurrentMtgRatesDataTable8711121314[[#This Row],[asofdate]]),OriginationVolume!$A:$N,10,FALSE)</f>
        <v>0.14089595375722544</v>
      </c>
      <c r="AR117" s="11">
        <f>VLOOKUP(YEAR(CurrentMtgRatesDataTable8711121314[[#This Row],[asofdate]]),OriginationVolume!$A:$N,11,FALSE)</f>
        <v>0.10838150289017341</v>
      </c>
      <c r="AS117" s="11">
        <f>VLOOKUP(YEAR(CurrentMtgRatesDataTable8711121314[[#This Row],[asofdate]]),OriginationVolume!$A:$N,12,FALSE)</f>
        <v>9.1522157996146436E-3</v>
      </c>
      <c r="AT117" s="11">
        <f>VLOOKUP(YEAR(CurrentMtgRatesDataTable8711121314[[#This Row],[asofdate]]),OriginationVolume!$A:$N,13,FALSE)</f>
        <v>1.9267822736030828E-3</v>
      </c>
      <c r="AU11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AW117" s="7" t="s">
        <v>143</v>
      </c>
      <c r="AX117" s="10">
        <v>10227130000</v>
      </c>
      <c r="AY117" s="31"/>
      <c r="BA117" s="7" t="s">
        <v>143</v>
      </c>
      <c r="BB117" s="10">
        <v>3998582000</v>
      </c>
      <c r="BC117" s="31"/>
      <c r="BE117" s="7" t="s">
        <v>143</v>
      </c>
      <c r="BF117" s="10">
        <v>34780704202.900002</v>
      </c>
      <c r="BG117" s="34"/>
      <c r="BI117" s="7" t="s">
        <v>143</v>
      </c>
      <c r="BJ117" s="10">
        <v>20554992202.900002</v>
      </c>
      <c r="BK117" s="34" t="str">
        <f>YEAR(CurrentMtgRatesDataTable871112131417[[#This Row],[asofdate]])&amp;"-"&amp;MONTH(CurrentMtgRatesDataTable871112131417[[#This Row],[asofdate]])</f>
        <v>2012-9</v>
      </c>
      <c r="BL117" s="34">
        <f>CurrentMtgRatesDataTable871112131417[[#This Row],[SeriesNumValue]]</f>
        <v>20554992202.900002</v>
      </c>
      <c r="BM117" s="34">
        <f>VLOOKUP(CurrentMtgRatesDataTable871112131417[[#This Row],[asofdate]],AW:AX,2,0)</f>
        <v>10227130000</v>
      </c>
      <c r="BN117" s="30">
        <f>IF(VLOOKUP(CurrentMtgRatesDataTable871112131417[[#This Row],[asofdate]],BA:BB,2,0)&lt;&gt;0,VLOOKUP(CurrentMtgRatesDataTable871112131417[[#This Row],[asofdate]],BA:BB,2,0),BN116)</f>
        <v>3998582000</v>
      </c>
      <c r="BO117" s="30">
        <f>VLOOKUP(CurrentMtgRatesDataTable871112131417[[#This Row],[asofdate]],BE:BF,2,0)</f>
        <v>34780704202.900002</v>
      </c>
    </row>
    <row r="118" spans="1:67" s="8" customFormat="1">
      <c r="A118" s="7" t="s">
        <v>14</v>
      </c>
      <c r="B118" s="10">
        <v>1.3918998812950801E-2</v>
      </c>
      <c r="C118" s="10" t="str">
        <f>YEAR(CurrentMtgRatesDataTable8[[#This Row],[asofdate]])&amp;"-"&amp;MONTH(CurrentMtgRatesDataTable8[[#This Row],[asofdate]])</f>
        <v>2012-10</v>
      </c>
      <c r="D118" s="6">
        <f>((CurrentMtgRatesDataTable8[[#This Row],[SeriesNumValue]]-$D$1)/$D$1+1)*100</f>
        <v>92.793325419672001</v>
      </c>
      <c r="E118" s="6"/>
      <c r="I118" s="7" t="s">
        <v>67</v>
      </c>
      <c r="J118" s="10">
        <v>1.6838158907153698E-2</v>
      </c>
      <c r="K118" s="10" t="str">
        <f>YEAR(CurrentMtgRatesDataTable89[[#This Row],[asofdate]])&amp;"-"&amp;MONTH(CurrentMtgRatesDataTable89[[#This Row],[asofdate]])</f>
        <v>2006-2</v>
      </c>
      <c r="L118" s="6">
        <f>((CurrentMtgRatesDataTable89[[#This Row],[SeriesNumValue]]-$D$1)/$D$1+1)*100</f>
        <v>112.254392714358</v>
      </c>
      <c r="M118" s="6">
        <f>CurrentMtgRatesDataTable89[[#This Row],[Index]]-L119</f>
        <v>11.681889455375327</v>
      </c>
      <c r="P118" s="7" t="s">
        <v>14</v>
      </c>
      <c r="Q118" s="10">
        <v>4.8689499032941203E-2</v>
      </c>
      <c r="R118" s="31">
        <f>((CurrentMtgRatesDataTable8711[[#This Row],[SeriesNumValue]]-$D$1)/$D$1+1)*100</f>
        <v>324.596660219608</v>
      </c>
      <c r="S118" s="31"/>
      <c r="U118" s="7" t="s">
        <v>14</v>
      </c>
      <c r="V118" s="10">
        <v>4.3904772572709201E-2</v>
      </c>
      <c r="W118" s="31">
        <f>((CurrentMtgRatesDataTable871112[[#This Row],[SeriesNumValue]]-$D$1)/$D$1+1)*100</f>
        <v>292.69848381806139</v>
      </c>
      <c r="X118" s="31"/>
      <c r="Z118" s="7" t="s">
        <v>14</v>
      </c>
      <c r="AA118" s="10">
        <v>2.52363064977612E-2</v>
      </c>
      <c r="AB118" s="34">
        <f>((CurrentMtgRatesDataTable87111213[[#This Row],[SeriesNumValue]]-$D$1)/$D$1+1)*100</f>
        <v>168.24204331840801</v>
      </c>
      <c r="AC118" s="34"/>
      <c r="AE118" s="7" t="s">
        <v>14</v>
      </c>
      <c r="AF118" s="10">
        <v>1.36711529187892E-2</v>
      </c>
      <c r="AG118" s="34">
        <f>((CurrentMtgRatesDataTable8711121314[[#This Row],[SeriesNumValue]]-$D$1)/$D$1+1)*100</f>
        <v>91.14101945859467</v>
      </c>
      <c r="AH118" s="34" t="str">
        <f>YEAR(CurrentMtgRatesDataTable8711121314[[#This Row],[asofdate]])&amp;"-"&amp;MONTH(CurrentMtgRatesDataTable8711121314[[#This Row],[asofdate]])</f>
        <v>2012-10</v>
      </c>
      <c r="AI118" s="34">
        <f>CurrentMtgRatesDataTable8711121314[[#This Row],[SeriesNumValue]]</f>
        <v>1.36711529187892E-2</v>
      </c>
      <c r="AJ118" s="34">
        <f>VLOOKUP(CurrentMtgRatesDataTable8711121314[[#This Row],[asofdate]],P:R,2,0)</f>
        <v>4.8689499032941203E-2</v>
      </c>
      <c r="AK118" s="30">
        <f>IF(VLOOKUP(CurrentMtgRatesDataTable8711121314[[#This Row],[asofdate]],U:W,2,0)&lt;&gt;0,VLOOKUP(CurrentMtgRatesDataTable8711121314[[#This Row],[asofdate]],U:W,2,0),AK117)</f>
        <v>4.3904772572709201E-2</v>
      </c>
      <c r="AL118" s="30">
        <f>VLOOKUP(CurrentMtgRatesDataTable8711121314[[#This Row],[asofdate]],Z:AB,2,0)</f>
        <v>2.52363064977612E-2</v>
      </c>
      <c r="AM118" s="30">
        <f>CurrentMtgRatesDataTable8711121314[[#This Row],[FHA]]+0.5*CurrentMtgRatesDataTable8711121314[[#This Row],[Conventional]]</f>
        <v>5.5525075492335804E-2</v>
      </c>
      <c r="AN118" s="30">
        <f>2*CurrentMtgRatesDataTable8711121314[[#This Row],[FHA]]</f>
        <v>9.7378998065882405E-2</v>
      </c>
      <c r="AO118" s="11">
        <f>VLOOKUP(YEAR(CurrentMtgRatesDataTable8711121314[[#This Row],[asofdate]]),OriginationVolume!$A:$N,8,FALSE)</f>
        <v>0.69267822736030826</v>
      </c>
      <c r="AP118" s="11">
        <f>VLOOKUP(YEAR(CurrentMtgRatesDataTable8711121314[[#This Row],[asofdate]]),OriginationVolume!$A:$N,9,FALSE)</f>
        <v>4.6965317919075142E-2</v>
      </c>
      <c r="AQ118" s="11">
        <f>VLOOKUP(YEAR(CurrentMtgRatesDataTable8711121314[[#This Row],[asofdate]]),OriginationVolume!$A:$N,10,FALSE)</f>
        <v>0.14089595375722544</v>
      </c>
      <c r="AR118" s="11">
        <f>VLOOKUP(YEAR(CurrentMtgRatesDataTable8711121314[[#This Row],[asofdate]]),OriginationVolume!$A:$N,11,FALSE)</f>
        <v>0.10838150289017341</v>
      </c>
      <c r="AS118" s="11">
        <f>VLOOKUP(YEAR(CurrentMtgRatesDataTable8711121314[[#This Row],[asofdate]]),OriginationVolume!$A:$N,12,FALSE)</f>
        <v>9.1522157996146436E-3</v>
      </c>
      <c r="AT118" s="11">
        <f>VLOOKUP(YEAR(CurrentMtgRatesDataTable8711121314[[#This Row],[asofdate]]),OriginationVolume!$A:$N,13,FALSE)</f>
        <v>1.9267822736030828E-3</v>
      </c>
      <c r="AU11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AW118" s="7" t="s">
        <v>14</v>
      </c>
      <c r="AX118" s="10">
        <v>10905972000</v>
      </c>
      <c r="AY118" s="31"/>
      <c r="BA118" s="7" t="s">
        <v>14</v>
      </c>
      <c r="BB118" s="10">
        <v>4291042000</v>
      </c>
      <c r="BC118" s="31"/>
      <c r="BE118" s="7" t="s">
        <v>14</v>
      </c>
      <c r="BF118" s="10">
        <v>36532079130.620003</v>
      </c>
      <c r="BG118" s="34"/>
      <c r="BI118" s="7" t="s">
        <v>14</v>
      </c>
      <c r="BJ118" s="10">
        <v>21335065130.619999</v>
      </c>
      <c r="BK118" s="34" t="str">
        <f>YEAR(CurrentMtgRatesDataTable871112131417[[#This Row],[asofdate]])&amp;"-"&amp;MONTH(CurrentMtgRatesDataTable871112131417[[#This Row],[asofdate]])</f>
        <v>2012-10</v>
      </c>
      <c r="BL118" s="34">
        <f>CurrentMtgRatesDataTable871112131417[[#This Row],[SeriesNumValue]]</f>
        <v>21335065130.619999</v>
      </c>
      <c r="BM118" s="34">
        <f>VLOOKUP(CurrentMtgRatesDataTable871112131417[[#This Row],[asofdate]],AW:AX,2,0)</f>
        <v>10905972000</v>
      </c>
      <c r="BN118" s="30">
        <f>IF(VLOOKUP(CurrentMtgRatesDataTable871112131417[[#This Row],[asofdate]],BA:BB,2,0)&lt;&gt;0,VLOOKUP(CurrentMtgRatesDataTable871112131417[[#This Row],[asofdate]],BA:BB,2,0),BN117)</f>
        <v>4291042000</v>
      </c>
      <c r="BO118" s="30">
        <f>VLOOKUP(CurrentMtgRatesDataTable871112131417[[#This Row],[asofdate]],BE:BF,2,0)</f>
        <v>36532079130.620003</v>
      </c>
    </row>
    <row r="119" spans="1:67" s="8" customFormat="1">
      <c r="A119" s="7" t="s">
        <v>22</v>
      </c>
      <c r="B119" s="10">
        <v>1.4659989209711699E-2</v>
      </c>
      <c r="C119" s="10" t="str">
        <f>YEAR(CurrentMtgRatesDataTable8[[#This Row],[asofdate]])&amp;"-"&amp;MONTH(CurrentMtgRatesDataTable8[[#This Row],[asofdate]])</f>
        <v>2012-11</v>
      </c>
      <c r="D119" s="6">
        <f>((CurrentMtgRatesDataTable8[[#This Row],[SeriesNumValue]]-$D$1)/$D$1+1)*100</f>
        <v>97.733261398078</v>
      </c>
      <c r="E119" s="6"/>
      <c r="I119" s="7" t="s">
        <v>66</v>
      </c>
      <c r="J119" s="10">
        <v>1.50858754888474E-2</v>
      </c>
      <c r="K119" s="10" t="str">
        <f>YEAR(CurrentMtgRatesDataTable89[[#This Row],[asofdate]])&amp;"-"&amp;MONTH(CurrentMtgRatesDataTable89[[#This Row],[asofdate]])</f>
        <v>2006-1</v>
      </c>
      <c r="L119" s="6">
        <f>((CurrentMtgRatesDataTable89[[#This Row],[SeriesNumValue]]-$D$1)/$D$1+1)*100</f>
        <v>100.57250325898268</v>
      </c>
      <c r="M119" s="6">
        <f>CurrentMtgRatesDataTable89[[#This Row],[Index]]-L120</f>
        <v>-0.79516469480398655</v>
      </c>
      <c r="P119" s="7" t="s">
        <v>22</v>
      </c>
      <c r="Q119" s="10">
        <v>5.0126620688003297E-2</v>
      </c>
      <c r="R119" s="31">
        <f>((CurrentMtgRatesDataTable8711[[#This Row],[SeriesNumValue]]-$D$1)/$D$1+1)*100</f>
        <v>334.17747125335529</v>
      </c>
      <c r="S119" s="31"/>
      <c r="U119" s="7" t="s">
        <v>22</v>
      </c>
      <c r="V119" s="10">
        <v>4.4982903840556802E-2</v>
      </c>
      <c r="W119" s="31">
        <f>((CurrentMtgRatesDataTable871112[[#This Row],[SeriesNumValue]]-$D$1)/$D$1+1)*100</f>
        <v>299.88602560371203</v>
      </c>
      <c r="X119" s="31"/>
      <c r="Z119" s="7" t="s">
        <v>22</v>
      </c>
      <c r="AA119" s="10">
        <v>2.6163714470855599E-2</v>
      </c>
      <c r="AB119" s="34">
        <f>((CurrentMtgRatesDataTable87111213[[#This Row],[SeriesNumValue]]-$D$1)/$D$1+1)*100</f>
        <v>174.42476313903734</v>
      </c>
      <c r="AC119" s="34"/>
      <c r="AE119" s="7" t="s">
        <v>22</v>
      </c>
      <c r="AF119" s="10">
        <v>1.43868581919379E-2</v>
      </c>
      <c r="AG119" s="34">
        <f>((CurrentMtgRatesDataTable8711121314[[#This Row],[SeriesNumValue]]-$D$1)/$D$1+1)*100</f>
        <v>95.912387946252679</v>
      </c>
      <c r="AH119" s="34" t="str">
        <f>YEAR(CurrentMtgRatesDataTable8711121314[[#This Row],[asofdate]])&amp;"-"&amp;MONTH(CurrentMtgRatesDataTable8711121314[[#This Row],[asofdate]])</f>
        <v>2012-11</v>
      </c>
      <c r="AI119" s="34">
        <f>CurrentMtgRatesDataTable8711121314[[#This Row],[SeriesNumValue]]</f>
        <v>1.43868581919379E-2</v>
      </c>
      <c r="AJ119" s="34">
        <f>VLOOKUP(CurrentMtgRatesDataTable8711121314[[#This Row],[asofdate]],P:R,2,0)</f>
        <v>5.0126620688003297E-2</v>
      </c>
      <c r="AK119" s="30">
        <f>IF(VLOOKUP(CurrentMtgRatesDataTable8711121314[[#This Row],[asofdate]],U:W,2,0)&lt;&gt;0,VLOOKUP(CurrentMtgRatesDataTable8711121314[[#This Row],[asofdate]],U:W,2,0),AK118)</f>
        <v>4.4982903840556802E-2</v>
      </c>
      <c r="AL119" s="30">
        <f>VLOOKUP(CurrentMtgRatesDataTable8711121314[[#This Row],[asofdate]],Z:AB,2,0)</f>
        <v>2.6163714470855599E-2</v>
      </c>
      <c r="AM119" s="30">
        <f>CurrentMtgRatesDataTable8711121314[[#This Row],[FHA]]+0.5*CurrentMtgRatesDataTable8711121314[[#This Row],[Conventional]]</f>
        <v>5.7320049783972246E-2</v>
      </c>
      <c r="AN119" s="30">
        <f>2*CurrentMtgRatesDataTable8711121314[[#This Row],[FHA]]</f>
        <v>0.10025324137600659</v>
      </c>
      <c r="AO119" s="11">
        <f>VLOOKUP(YEAR(CurrentMtgRatesDataTable8711121314[[#This Row],[asofdate]]),OriginationVolume!$A:$N,8,FALSE)</f>
        <v>0.69267822736030826</v>
      </c>
      <c r="AP119" s="11">
        <f>VLOOKUP(YEAR(CurrentMtgRatesDataTable8711121314[[#This Row],[asofdate]]),OriginationVolume!$A:$N,9,FALSE)</f>
        <v>4.6965317919075142E-2</v>
      </c>
      <c r="AQ119" s="11">
        <f>VLOOKUP(YEAR(CurrentMtgRatesDataTable8711121314[[#This Row],[asofdate]]),OriginationVolume!$A:$N,10,FALSE)</f>
        <v>0.14089595375722544</v>
      </c>
      <c r="AR119" s="11">
        <f>VLOOKUP(YEAR(CurrentMtgRatesDataTable8711121314[[#This Row],[asofdate]]),OriginationVolume!$A:$N,11,FALSE)</f>
        <v>0.10838150289017341</v>
      </c>
      <c r="AS119" s="11">
        <f>VLOOKUP(YEAR(CurrentMtgRatesDataTable8711121314[[#This Row],[asofdate]]),OriginationVolume!$A:$N,12,FALSE)</f>
        <v>9.1522157996146436E-3</v>
      </c>
      <c r="AT119" s="11">
        <f>VLOOKUP(YEAR(CurrentMtgRatesDataTable8711121314[[#This Row],[asofdate]]),OriginationVolume!$A:$N,13,FALSE)</f>
        <v>1.9267822736030828E-3</v>
      </c>
      <c r="AU11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AW119" s="7" t="s">
        <v>22</v>
      </c>
      <c r="AX119" s="10">
        <v>9366610000</v>
      </c>
      <c r="AY119" s="31"/>
      <c r="BA119" s="7" t="s">
        <v>22</v>
      </c>
      <c r="BB119" s="10">
        <v>3638477000</v>
      </c>
      <c r="BC119" s="31"/>
      <c r="BE119" s="7" t="s">
        <v>22</v>
      </c>
      <c r="BF119" s="10">
        <v>31660314796.400002</v>
      </c>
      <c r="BG119" s="34"/>
      <c r="BI119" s="7" t="s">
        <v>22</v>
      </c>
      <c r="BJ119" s="10">
        <v>18655227796.400002</v>
      </c>
      <c r="BK119" s="34" t="str">
        <f>YEAR(CurrentMtgRatesDataTable871112131417[[#This Row],[asofdate]])&amp;"-"&amp;MONTH(CurrentMtgRatesDataTable871112131417[[#This Row],[asofdate]])</f>
        <v>2012-11</v>
      </c>
      <c r="BL119" s="34">
        <f>CurrentMtgRatesDataTable871112131417[[#This Row],[SeriesNumValue]]</f>
        <v>18655227796.400002</v>
      </c>
      <c r="BM119" s="34">
        <f>VLOOKUP(CurrentMtgRatesDataTable871112131417[[#This Row],[asofdate]],AW:AX,2,0)</f>
        <v>9366610000</v>
      </c>
      <c r="BN119" s="30">
        <f>IF(VLOOKUP(CurrentMtgRatesDataTable871112131417[[#This Row],[asofdate]],BA:BB,2,0)&lt;&gt;0,VLOOKUP(CurrentMtgRatesDataTable871112131417[[#This Row],[asofdate]],BA:BB,2,0),BN118)</f>
        <v>3638477000</v>
      </c>
      <c r="BO119" s="30">
        <f>VLOOKUP(CurrentMtgRatesDataTable871112131417[[#This Row],[asofdate]],BE:BF,2,0)</f>
        <v>31660314796.400002</v>
      </c>
    </row>
    <row r="120" spans="1:67" s="8" customFormat="1">
      <c r="A120" s="7" t="s">
        <v>144</v>
      </c>
      <c r="B120" s="10">
        <v>1.4541719345645E-2</v>
      </c>
      <c r="C120" s="10" t="str">
        <f>YEAR(CurrentMtgRatesDataTable8[[#This Row],[asofdate]])&amp;"-"&amp;MONTH(CurrentMtgRatesDataTable8[[#This Row],[asofdate]])</f>
        <v>2012-12</v>
      </c>
      <c r="D120" s="6">
        <f>((CurrentMtgRatesDataTable8[[#This Row],[SeriesNumValue]]-$D$1)/$D$1+1)*100</f>
        <v>96.944795637633348</v>
      </c>
      <c r="E120" s="6"/>
      <c r="I120" s="7" t="s">
        <v>65</v>
      </c>
      <c r="J120" s="10">
        <v>1.5205150193068E-2</v>
      </c>
      <c r="K120" s="10" t="str">
        <f>YEAR(CurrentMtgRatesDataTable89[[#This Row],[asofdate]])&amp;"-"&amp;MONTH(CurrentMtgRatesDataTable89[[#This Row],[asofdate]])</f>
        <v>2005-12</v>
      </c>
      <c r="L120" s="6">
        <f>((CurrentMtgRatesDataTable89[[#This Row],[SeriesNumValue]]-$D$1)/$D$1+1)*100</f>
        <v>101.36766795378666</v>
      </c>
      <c r="M120" s="6">
        <f>CurrentMtgRatesDataTable89[[#This Row],[Index]]-L121</f>
        <v>-19.915191230685352</v>
      </c>
      <c r="P120" s="7" t="s">
        <v>144</v>
      </c>
      <c r="Q120" s="10">
        <v>5.01747604460736E-2</v>
      </c>
      <c r="R120" s="31">
        <f>((CurrentMtgRatesDataTable8711[[#This Row],[SeriesNumValue]]-$D$1)/$D$1+1)*100</f>
        <v>334.498402973824</v>
      </c>
      <c r="S120" s="31"/>
      <c r="U120" s="7" t="s">
        <v>144</v>
      </c>
      <c r="V120" s="10">
        <v>4.4889553215802097E-2</v>
      </c>
      <c r="W120" s="31">
        <f>((CurrentMtgRatesDataTable871112[[#This Row],[SeriesNumValue]]-$D$1)/$D$1+1)*100</f>
        <v>299.26368810534728</v>
      </c>
      <c r="X120" s="31"/>
      <c r="Z120" s="7" t="s">
        <v>144</v>
      </c>
      <c r="AA120" s="10">
        <v>2.6164273361528299E-2</v>
      </c>
      <c r="AB120" s="34">
        <f>((CurrentMtgRatesDataTable87111213[[#This Row],[SeriesNumValue]]-$D$1)/$D$1+1)*100</f>
        <v>174.42848907685533</v>
      </c>
      <c r="AC120" s="34"/>
      <c r="AE120" s="7" t="s">
        <v>144</v>
      </c>
      <c r="AF120" s="10">
        <v>1.44275123819479E-2</v>
      </c>
      <c r="AG120" s="34">
        <f>((CurrentMtgRatesDataTable8711121314[[#This Row],[SeriesNumValue]]-$D$1)/$D$1+1)*100</f>
        <v>96.183415879652671</v>
      </c>
      <c r="AH120" s="34" t="str">
        <f>YEAR(CurrentMtgRatesDataTable8711121314[[#This Row],[asofdate]])&amp;"-"&amp;MONTH(CurrentMtgRatesDataTable8711121314[[#This Row],[asofdate]])</f>
        <v>2012-12</v>
      </c>
      <c r="AI120" s="34">
        <f>CurrentMtgRatesDataTable8711121314[[#This Row],[SeriesNumValue]]</f>
        <v>1.44275123819479E-2</v>
      </c>
      <c r="AJ120" s="34">
        <f>VLOOKUP(CurrentMtgRatesDataTable8711121314[[#This Row],[asofdate]],P:R,2,0)</f>
        <v>5.01747604460736E-2</v>
      </c>
      <c r="AK120" s="30">
        <f>IF(VLOOKUP(CurrentMtgRatesDataTable8711121314[[#This Row],[asofdate]],U:W,2,0)&lt;&gt;0,VLOOKUP(CurrentMtgRatesDataTable8711121314[[#This Row],[asofdate]],U:W,2,0),AK119)</f>
        <v>4.4889553215802097E-2</v>
      </c>
      <c r="AL120" s="30">
        <f>VLOOKUP(CurrentMtgRatesDataTable8711121314[[#This Row],[asofdate]],Z:AB,2,0)</f>
        <v>2.6164273361528299E-2</v>
      </c>
      <c r="AM120" s="30">
        <f>CurrentMtgRatesDataTable8711121314[[#This Row],[FHA]]+0.5*CurrentMtgRatesDataTable8711121314[[#This Row],[Conventional]]</f>
        <v>5.7388516637047554E-2</v>
      </c>
      <c r="AN120" s="30">
        <f>2*CurrentMtgRatesDataTable8711121314[[#This Row],[FHA]]</f>
        <v>0.1003495208921472</v>
      </c>
      <c r="AO120" s="11">
        <f>VLOOKUP(YEAR(CurrentMtgRatesDataTable8711121314[[#This Row],[asofdate]]),OriginationVolume!$A:$N,8,FALSE)</f>
        <v>0.69267822736030826</v>
      </c>
      <c r="AP120" s="11">
        <f>VLOOKUP(YEAR(CurrentMtgRatesDataTable8711121314[[#This Row],[asofdate]]),OriginationVolume!$A:$N,9,FALSE)</f>
        <v>4.6965317919075142E-2</v>
      </c>
      <c r="AQ120" s="11">
        <f>VLOOKUP(YEAR(CurrentMtgRatesDataTable8711121314[[#This Row],[asofdate]]),OriginationVolume!$A:$N,10,FALSE)</f>
        <v>0.14089595375722544</v>
      </c>
      <c r="AR120" s="11">
        <f>VLOOKUP(YEAR(CurrentMtgRatesDataTable8711121314[[#This Row],[asofdate]]),OriginationVolume!$A:$N,11,FALSE)</f>
        <v>0.10838150289017341</v>
      </c>
      <c r="AS120" s="11">
        <f>VLOOKUP(YEAR(CurrentMtgRatesDataTable8711121314[[#This Row],[asofdate]]),OriginationVolume!$A:$N,12,FALSE)</f>
        <v>9.1522157996146436E-3</v>
      </c>
      <c r="AT120" s="11">
        <f>VLOOKUP(YEAR(CurrentMtgRatesDataTable8711121314[[#This Row],[asofdate]]),OriginationVolume!$A:$N,13,FALSE)</f>
        <v>1.9267822736030828E-3</v>
      </c>
      <c r="AU12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AW120" s="7" t="s">
        <v>144</v>
      </c>
      <c r="AX120" s="10">
        <v>9589008000</v>
      </c>
      <c r="AY120" s="31"/>
      <c r="BA120" s="7" t="s">
        <v>144</v>
      </c>
      <c r="BB120" s="10">
        <v>3805829000</v>
      </c>
      <c r="BC120" s="31"/>
      <c r="BE120" s="7" t="s">
        <v>144</v>
      </c>
      <c r="BF120" s="10">
        <v>32504840877.98</v>
      </c>
      <c r="BG120" s="34"/>
      <c r="BI120" s="7" t="s">
        <v>144</v>
      </c>
      <c r="BJ120" s="10">
        <v>19110003877.98</v>
      </c>
      <c r="BK120" s="34" t="str">
        <f>YEAR(CurrentMtgRatesDataTable871112131417[[#This Row],[asofdate]])&amp;"-"&amp;MONTH(CurrentMtgRatesDataTable871112131417[[#This Row],[asofdate]])</f>
        <v>2012-12</v>
      </c>
      <c r="BL120" s="34">
        <f>CurrentMtgRatesDataTable871112131417[[#This Row],[SeriesNumValue]]</f>
        <v>19110003877.98</v>
      </c>
      <c r="BM120" s="34">
        <f>VLOOKUP(CurrentMtgRatesDataTable871112131417[[#This Row],[asofdate]],AW:AX,2,0)</f>
        <v>9589008000</v>
      </c>
      <c r="BN120" s="30">
        <f>IF(VLOOKUP(CurrentMtgRatesDataTable871112131417[[#This Row],[asofdate]],BA:BB,2,0)&lt;&gt;0,VLOOKUP(CurrentMtgRatesDataTable871112131417[[#This Row],[asofdate]],BA:BB,2,0),BN119)</f>
        <v>3805829000</v>
      </c>
      <c r="BO120" s="30">
        <f>VLOOKUP(CurrentMtgRatesDataTable871112131417[[#This Row],[asofdate]],BE:BF,2,0)</f>
        <v>32504840877.98</v>
      </c>
    </row>
    <row r="121" spans="1:67" s="8" customFormat="1">
      <c r="A121" s="7" t="s">
        <v>145</v>
      </c>
      <c r="B121" s="10">
        <v>1.4335152659645699E-2</v>
      </c>
      <c r="C121" s="10" t="str">
        <f>YEAR(CurrentMtgRatesDataTable8[[#This Row],[asofdate]])&amp;"-"&amp;MONTH(CurrentMtgRatesDataTable8[[#This Row],[asofdate]])</f>
        <v>2013-1</v>
      </c>
      <c r="D121" s="6">
        <f>((CurrentMtgRatesDataTable8[[#This Row],[SeriesNumValue]]-$D$1)/$D$1+1)*100</f>
        <v>95.567684397638004</v>
      </c>
      <c r="E121" s="6"/>
      <c r="I121" s="7" t="s">
        <v>64</v>
      </c>
      <c r="J121" s="10">
        <v>1.8192428877670801E-2</v>
      </c>
      <c r="K121" s="10" t="str">
        <f>YEAR(CurrentMtgRatesDataTable89[[#This Row],[asofdate]])&amp;"-"&amp;MONTH(CurrentMtgRatesDataTable89[[#This Row],[asofdate]])</f>
        <v>2005-11</v>
      </c>
      <c r="L121" s="6">
        <f>((CurrentMtgRatesDataTable89[[#This Row],[SeriesNumValue]]-$D$1)/$D$1+1)*100</f>
        <v>121.28285918447202</v>
      </c>
      <c r="M121" s="6">
        <f>CurrentMtgRatesDataTable89[[#This Row],[Index]]-L122</f>
        <v>-5.2736780293620029</v>
      </c>
      <c r="P121" s="7" t="s">
        <v>145</v>
      </c>
      <c r="Q121" s="10">
        <v>4.9156981992146E-2</v>
      </c>
      <c r="R121" s="31">
        <f>((CurrentMtgRatesDataTable8711[[#This Row],[SeriesNumValue]]-$D$1)/$D$1+1)*100</f>
        <v>327.71321328097332</v>
      </c>
      <c r="S121" s="31"/>
      <c r="U121" s="7" t="s">
        <v>145</v>
      </c>
      <c r="V121" s="10">
        <v>4.39098469008933E-2</v>
      </c>
      <c r="W121" s="31">
        <f>((CurrentMtgRatesDataTable871112[[#This Row],[SeriesNumValue]]-$D$1)/$D$1+1)*100</f>
        <v>292.73231267262202</v>
      </c>
      <c r="X121" s="31"/>
      <c r="Z121" s="7" t="s">
        <v>145</v>
      </c>
      <c r="AA121" s="10">
        <v>2.5806870465320299E-2</v>
      </c>
      <c r="AB121" s="34">
        <f>((CurrentMtgRatesDataTable87111213[[#This Row],[SeriesNumValue]]-$D$1)/$D$1+1)*100</f>
        <v>172.04580310213532</v>
      </c>
      <c r="AC121" s="34"/>
      <c r="AE121" s="7" t="s">
        <v>145</v>
      </c>
      <c r="AF121" s="10">
        <v>1.4271463873293099E-2</v>
      </c>
      <c r="AG121" s="34">
        <f>((CurrentMtgRatesDataTable8711121314[[#This Row],[SeriesNumValue]]-$D$1)/$D$1+1)*100</f>
        <v>95.143092488620667</v>
      </c>
      <c r="AH121" s="34" t="str">
        <f>YEAR(CurrentMtgRatesDataTable8711121314[[#This Row],[asofdate]])&amp;"-"&amp;MONTH(CurrentMtgRatesDataTable8711121314[[#This Row],[asofdate]])</f>
        <v>2013-1</v>
      </c>
      <c r="AI121" s="34">
        <f>CurrentMtgRatesDataTable8711121314[[#This Row],[SeriesNumValue]]</f>
        <v>1.4271463873293099E-2</v>
      </c>
      <c r="AJ121" s="34">
        <f>VLOOKUP(CurrentMtgRatesDataTable8711121314[[#This Row],[asofdate]],P:R,2,0)</f>
        <v>4.9156981992146E-2</v>
      </c>
      <c r="AK121" s="30">
        <f>IF(VLOOKUP(CurrentMtgRatesDataTable8711121314[[#This Row],[asofdate]],U:W,2,0)&lt;&gt;0,VLOOKUP(CurrentMtgRatesDataTable8711121314[[#This Row],[asofdate]],U:W,2,0),AK120)</f>
        <v>4.39098469008933E-2</v>
      </c>
      <c r="AL121" s="30">
        <f>VLOOKUP(CurrentMtgRatesDataTable8711121314[[#This Row],[asofdate]],Z:AB,2,0)</f>
        <v>2.5806870465320299E-2</v>
      </c>
      <c r="AM121" s="30">
        <f>CurrentMtgRatesDataTable8711121314[[#This Row],[FHA]]+0.5*CurrentMtgRatesDataTable8711121314[[#This Row],[Conventional]]</f>
        <v>5.6292713928792551E-2</v>
      </c>
      <c r="AN121" s="30">
        <f>2*CurrentMtgRatesDataTable8711121314[[#This Row],[FHA]]</f>
        <v>9.8313963984291999E-2</v>
      </c>
      <c r="AO121" s="11">
        <f>VLOOKUP(YEAR(CurrentMtgRatesDataTable8711121314[[#This Row],[asofdate]]),OriginationVolume!$A:$N,8,FALSE)</f>
        <v>0.64153005464480872</v>
      </c>
      <c r="AP121" s="11">
        <f>VLOOKUP(YEAR(CurrentMtgRatesDataTable8711121314[[#This Row],[asofdate]]),OriginationVolume!$A:$N,9,FALSE)</f>
        <v>0.05</v>
      </c>
      <c r="AQ121" s="11">
        <f>VLOOKUP(YEAR(CurrentMtgRatesDataTable8711121314[[#This Row],[asofdate]]),OriginationVolume!$A:$N,10,FALSE)</f>
        <v>0.15</v>
      </c>
      <c r="AR121" s="11">
        <f>VLOOKUP(YEAR(CurrentMtgRatesDataTable8711121314[[#This Row],[asofdate]]),OriginationVolume!$A:$N,11,FALSE)</f>
        <v>0.14863387978142076</v>
      </c>
      <c r="AS121" s="11">
        <f>VLOOKUP(YEAR(CurrentMtgRatesDataTable8711121314[[#This Row],[asofdate]]),OriginationVolume!$A:$N,12,FALSE)</f>
        <v>7.6502732240437158E-3</v>
      </c>
      <c r="AT121" s="11">
        <f>VLOOKUP(YEAR(CurrentMtgRatesDataTable8711121314[[#This Row],[asofdate]]),OriginationVolume!$A:$N,13,FALSE)</f>
        <v>2.185792349726776E-3</v>
      </c>
      <c r="AU12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AW121" s="7" t="s">
        <v>145</v>
      </c>
      <c r="AX121" s="10">
        <v>9109521000</v>
      </c>
      <c r="AY121" s="31"/>
      <c r="BA121" s="7" t="s">
        <v>145</v>
      </c>
      <c r="BB121" s="10">
        <v>3642429000</v>
      </c>
      <c r="BC121" s="31"/>
      <c r="BE121" s="7" t="s">
        <v>145</v>
      </c>
      <c r="BF121" s="10">
        <v>30640581342.310001</v>
      </c>
      <c r="BG121" s="34"/>
      <c r="BI121" s="7" t="s">
        <v>145</v>
      </c>
      <c r="BJ121" s="10">
        <v>17888631342.310001</v>
      </c>
      <c r="BK121" s="34" t="str">
        <f>YEAR(CurrentMtgRatesDataTable871112131417[[#This Row],[asofdate]])&amp;"-"&amp;MONTH(CurrentMtgRatesDataTable871112131417[[#This Row],[asofdate]])</f>
        <v>2013-1</v>
      </c>
      <c r="BL121" s="34">
        <f>CurrentMtgRatesDataTable871112131417[[#This Row],[SeriesNumValue]]</f>
        <v>17888631342.310001</v>
      </c>
      <c r="BM121" s="34">
        <f>VLOOKUP(CurrentMtgRatesDataTable871112131417[[#This Row],[asofdate]],AW:AX,2,0)</f>
        <v>9109521000</v>
      </c>
      <c r="BN121" s="30">
        <f>IF(VLOOKUP(CurrentMtgRatesDataTable871112131417[[#This Row],[asofdate]],BA:BB,2,0)&lt;&gt;0,VLOOKUP(CurrentMtgRatesDataTable871112131417[[#This Row],[asofdate]],BA:BB,2,0),BN120)</f>
        <v>3642429000</v>
      </c>
      <c r="BO121" s="30">
        <f>VLOOKUP(CurrentMtgRatesDataTable871112131417[[#This Row],[asofdate]],BE:BF,2,0)</f>
        <v>30640581342.310001</v>
      </c>
    </row>
    <row r="122" spans="1:67" s="8" customFormat="1">
      <c r="A122" s="7" t="s">
        <v>18</v>
      </c>
      <c r="B122" s="10">
        <v>1.41313947384549E-2</v>
      </c>
      <c r="C122" s="10" t="str">
        <f>YEAR(CurrentMtgRatesDataTable8[[#This Row],[asofdate]])&amp;"-"&amp;MONTH(CurrentMtgRatesDataTable8[[#This Row],[asofdate]])</f>
        <v>2013-2</v>
      </c>
      <c r="D122" s="6">
        <f>((CurrentMtgRatesDataTable8[[#This Row],[SeriesNumValue]]-$D$1)/$D$1+1)*100</f>
        <v>94.209298256365997</v>
      </c>
      <c r="E122" s="6"/>
      <c r="I122" s="7" t="s">
        <v>63</v>
      </c>
      <c r="J122" s="10">
        <v>1.89834805820751E-2</v>
      </c>
      <c r="K122" s="10" t="str">
        <f>YEAR(CurrentMtgRatesDataTable89[[#This Row],[asofdate]])&amp;"-"&amp;MONTH(CurrentMtgRatesDataTable89[[#This Row],[asofdate]])</f>
        <v>2005-10</v>
      </c>
      <c r="L122" s="6">
        <f>((CurrentMtgRatesDataTable89[[#This Row],[SeriesNumValue]]-$D$1)/$D$1+1)*100</f>
        <v>126.55653721383402</v>
      </c>
      <c r="M122" s="6">
        <f>CurrentMtgRatesDataTable89[[#This Row],[Index]]-L123</f>
        <v>4.2880653348506854</v>
      </c>
      <c r="P122" s="7" t="s">
        <v>18</v>
      </c>
      <c r="Q122" s="10">
        <v>4.83999856771603E-2</v>
      </c>
      <c r="R122" s="31">
        <f>((CurrentMtgRatesDataTable8711[[#This Row],[SeriesNumValue]]-$D$1)/$D$1+1)*100</f>
        <v>322.66657118106872</v>
      </c>
      <c r="S122" s="31"/>
      <c r="U122" s="7" t="s">
        <v>18</v>
      </c>
      <c r="V122" s="10">
        <v>4.4121631138438998E-2</v>
      </c>
      <c r="W122" s="31">
        <f>((CurrentMtgRatesDataTable871112[[#This Row],[SeriesNumValue]]-$D$1)/$D$1+1)*100</f>
        <v>294.14420758959335</v>
      </c>
      <c r="X122" s="31"/>
      <c r="Z122" s="7" t="s">
        <v>18</v>
      </c>
      <c r="AA122" s="10">
        <v>2.5297205207147799E-2</v>
      </c>
      <c r="AB122" s="34">
        <f>((CurrentMtgRatesDataTable87111213[[#This Row],[SeriesNumValue]]-$D$1)/$D$1+1)*100</f>
        <v>168.64803471431867</v>
      </c>
      <c r="AC122" s="34"/>
      <c r="AE122" s="7" t="s">
        <v>18</v>
      </c>
      <c r="AF122" s="10">
        <v>1.4186851428333201E-2</v>
      </c>
      <c r="AG122" s="34">
        <f>((CurrentMtgRatesDataTable8711121314[[#This Row],[SeriesNumValue]]-$D$1)/$D$1+1)*100</f>
        <v>94.579009522221341</v>
      </c>
      <c r="AH122" s="34" t="str">
        <f>YEAR(CurrentMtgRatesDataTable8711121314[[#This Row],[asofdate]])&amp;"-"&amp;MONTH(CurrentMtgRatesDataTable8711121314[[#This Row],[asofdate]])</f>
        <v>2013-2</v>
      </c>
      <c r="AI122" s="34">
        <f>CurrentMtgRatesDataTable8711121314[[#This Row],[SeriesNumValue]]</f>
        <v>1.4186851428333201E-2</v>
      </c>
      <c r="AJ122" s="34">
        <f>VLOOKUP(CurrentMtgRatesDataTable8711121314[[#This Row],[asofdate]],P:R,2,0)</f>
        <v>4.83999856771603E-2</v>
      </c>
      <c r="AK122" s="30">
        <f>IF(VLOOKUP(CurrentMtgRatesDataTable8711121314[[#This Row],[asofdate]],U:W,2,0)&lt;&gt;0,VLOOKUP(CurrentMtgRatesDataTable8711121314[[#This Row],[asofdate]],U:W,2,0),AK121)</f>
        <v>4.4121631138438998E-2</v>
      </c>
      <c r="AL122" s="30">
        <f>VLOOKUP(CurrentMtgRatesDataTable8711121314[[#This Row],[asofdate]],Z:AB,2,0)</f>
        <v>2.5297205207147799E-2</v>
      </c>
      <c r="AM122" s="30">
        <f>CurrentMtgRatesDataTable8711121314[[#This Row],[FHA]]+0.5*CurrentMtgRatesDataTable8711121314[[#This Row],[Conventional]]</f>
        <v>5.5493411391326901E-2</v>
      </c>
      <c r="AN122" s="30">
        <f>2*CurrentMtgRatesDataTable8711121314[[#This Row],[FHA]]</f>
        <v>9.6799971354320599E-2</v>
      </c>
      <c r="AO122" s="11">
        <f>VLOOKUP(YEAR(CurrentMtgRatesDataTable8711121314[[#This Row],[asofdate]]),OriginationVolume!$A:$N,8,FALSE)</f>
        <v>0.64153005464480872</v>
      </c>
      <c r="AP122" s="11">
        <f>VLOOKUP(YEAR(CurrentMtgRatesDataTable8711121314[[#This Row],[asofdate]]),OriginationVolume!$A:$N,9,FALSE)</f>
        <v>0.05</v>
      </c>
      <c r="AQ122" s="11">
        <f>VLOOKUP(YEAR(CurrentMtgRatesDataTable8711121314[[#This Row],[asofdate]]),OriginationVolume!$A:$N,10,FALSE)</f>
        <v>0.15</v>
      </c>
      <c r="AR122" s="11">
        <f>VLOOKUP(YEAR(CurrentMtgRatesDataTable8711121314[[#This Row],[asofdate]]),OriginationVolume!$A:$N,11,FALSE)</f>
        <v>0.14863387978142076</v>
      </c>
      <c r="AS122" s="11">
        <f>VLOOKUP(YEAR(CurrentMtgRatesDataTable8711121314[[#This Row],[asofdate]]),OriginationVolume!$A:$N,12,FALSE)</f>
        <v>7.6502732240437158E-3</v>
      </c>
      <c r="AT122" s="11">
        <f>VLOOKUP(YEAR(CurrentMtgRatesDataTable8711121314[[#This Row],[asofdate]]),OriginationVolume!$A:$N,13,FALSE)</f>
        <v>2.185792349726776E-3</v>
      </c>
      <c r="AU12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AW122" s="7" t="s">
        <v>18</v>
      </c>
      <c r="AX122" s="10">
        <v>8934122000</v>
      </c>
      <c r="AY122" s="31"/>
      <c r="BA122" s="7" t="s">
        <v>18</v>
      </c>
      <c r="BB122" s="10">
        <v>3681776000</v>
      </c>
      <c r="BC122" s="31"/>
      <c r="BE122" s="7" t="s">
        <v>18</v>
      </c>
      <c r="BF122" s="10">
        <v>30895488742.830002</v>
      </c>
      <c r="BG122" s="34"/>
      <c r="BI122" s="7" t="s">
        <v>18</v>
      </c>
      <c r="BJ122" s="10">
        <v>18279590742.830002</v>
      </c>
      <c r="BK122" s="34" t="str">
        <f>YEAR(CurrentMtgRatesDataTable871112131417[[#This Row],[asofdate]])&amp;"-"&amp;MONTH(CurrentMtgRatesDataTable871112131417[[#This Row],[asofdate]])</f>
        <v>2013-2</v>
      </c>
      <c r="BL122" s="34">
        <f>CurrentMtgRatesDataTable871112131417[[#This Row],[SeriesNumValue]]</f>
        <v>18279590742.830002</v>
      </c>
      <c r="BM122" s="34">
        <f>VLOOKUP(CurrentMtgRatesDataTable871112131417[[#This Row],[asofdate]],AW:AX,2,0)</f>
        <v>8934122000</v>
      </c>
      <c r="BN122" s="30">
        <f>IF(VLOOKUP(CurrentMtgRatesDataTable871112131417[[#This Row],[asofdate]],BA:BB,2,0)&lt;&gt;0,VLOOKUP(CurrentMtgRatesDataTable871112131417[[#This Row],[asofdate]],BA:BB,2,0),BN121)</f>
        <v>3681776000</v>
      </c>
      <c r="BO122" s="30">
        <f>VLOOKUP(CurrentMtgRatesDataTable871112131417[[#This Row],[asofdate]],BE:BF,2,0)</f>
        <v>30895488742.830002</v>
      </c>
    </row>
    <row r="123" spans="1:67" s="8" customFormat="1">
      <c r="A123" s="7" t="s">
        <v>19</v>
      </c>
      <c r="B123" s="10">
        <v>1.3987396579261201E-2</v>
      </c>
      <c r="C123" s="10" t="str">
        <f>YEAR(CurrentMtgRatesDataTable8[[#This Row],[asofdate]])&amp;"-"&amp;MONTH(CurrentMtgRatesDataTable8[[#This Row],[asofdate]])</f>
        <v>2013-3</v>
      </c>
      <c r="D123" s="6">
        <f>((CurrentMtgRatesDataTable8[[#This Row],[SeriesNumValue]]-$D$1)/$D$1+1)*100</f>
        <v>93.249310528408017</v>
      </c>
      <c r="E123" s="6"/>
      <c r="I123" s="7" t="s">
        <v>62</v>
      </c>
      <c r="J123" s="10">
        <v>1.8340270781847499E-2</v>
      </c>
      <c r="K123" s="10" t="str">
        <f>YEAR(CurrentMtgRatesDataTable89[[#This Row],[asofdate]])&amp;"-"&amp;MONTH(CurrentMtgRatesDataTable89[[#This Row],[asofdate]])</f>
        <v>2005-9</v>
      </c>
      <c r="L123" s="6">
        <f>((CurrentMtgRatesDataTable89[[#This Row],[SeriesNumValue]]-$D$1)/$D$1+1)*100</f>
        <v>122.26847187898333</v>
      </c>
      <c r="M123" s="6">
        <f>CurrentMtgRatesDataTable89[[#This Row],[Index]]-L124</f>
        <v>-8.6933922804073376</v>
      </c>
      <c r="P123" s="7" t="s">
        <v>19</v>
      </c>
      <c r="Q123" s="10">
        <v>4.8162877188679197E-2</v>
      </c>
      <c r="R123" s="31">
        <f>((CurrentMtgRatesDataTable8711[[#This Row],[SeriesNumValue]]-$D$1)/$D$1+1)*100</f>
        <v>321.08584792452797</v>
      </c>
      <c r="S123" s="31"/>
      <c r="U123" s="7" t="s">
        <v>19</v>
      </c>
      <c r="V123" s="10">
        <v>4.3393988731490002E-2</v>
      </c>
      <c r="W123" s="31">
        <f>((CurrentMtgRatesDataTable871112[[#This Row],[SeriesNumValue]]-$D$1)/$D$1+1)*100</f>
        <v>289.2932582099333</v>
      </c>
      <c r="X123" s="31"/>
      <c r="Z123" s="7" t="s">
        <v>19</v>
      </c>
      <c r="AA123" s="10">
        <v>2.5268895814262501E-2</v>
      </c>
      <c r="AB123" s="34">
        <f>((CurrentMtgRatesDataTable87111213[[#This Row],[SeriesNumValue]]-$D$1)/$D$1+1)*100</f>
        <v>168.45930542841668</v>
      </c>
      <c r="AC123" s="34"/>
      <c r="AE123" s="7" t="s">
        <v>19</v>
      </c>
      <c r="AF123" s="10">
        <v>1.4205148918397199E-2</v>
      </c>
      <c r="AG123" s="34">
        <f>((CurrentMtgRatesDataTable8711121314[[#This Row],[SeriesNumValue]]-$D$1)/$D$1+1)*100</f>
        <v>94.700992789314668</v>
      </c>
      <c r="AH123" s="34" t="str">
        <f>YEAR(CurrentMtgRatesDataTable8711121314[[#This Row],[asofdate]])&amp;"-"&amp;MONTH(CurrentMtgRatesDataTable8711121314[[#This Row],[asofdate]])</f>
        <v>2013-3</v>
      </c>
      <c r="AI123" s="34">
        <f>CurrentMtgRatesDataTable8711121314[[#This Row],[SeriesNumValue]]</f>
        <v>1.4205148918397199E-2</v>
      </c>
      <c r="AJ123" s="34">
        <f>VLOOKUP(CurrentMtgRatesDataTable8711121314[[#This Row],[asofdate]],P:R,2,0)</f>
        <v>4.8162877188679197E-2</v>
      </c>
      <c r="AK123" s="30">
        <f>IF(VLOOKUP(CurrentMtgRatesDataTable8711121314[[#This Row],[asofdate]],U:W,2,0)&lt;&gt;0,VLOOKUP(CurrentMtgRatesDataTable8711121314[[#This Row],[asofdate]],U:W,2,0),AK122)</f>
        <v>4.3393988731490002E-2</v>
      </c>
      <c r="AL123" s="30">
        <f>VLOOKUP(CurrentMtgRatesDataTable8711121314[[#This Row],[asofdate]],Z:AB,2,0)</f>
        <v>2.5268895814262501E-2</v>
      </c>
      <c r="AM123" s="30">
        <f>CurrentMtgRatesDataTable8711121314[[#This Row],[FHA]]+0.5*CurrentMtgRatesDataTable8711121314[[#This Row],[Conventional]]</f>
        <v>5.52654516478778E-2</v>
      </c>
      <c r="AN123" s="30">
        <f>2*CurrentMtgRatesDataTable8711121314[[#This Row],[FHA]]</f>
        <v>9.6325754377358394E-2</v>
      </c>
      <c r="AO123" s="11">
        <f>VLOOKUP(YEAR(CurrentMtgRatesDataTable8711121314[[#This Row],[asofdate]]),OriginationVolume!$A:$N,8,FALSE)</f>
        <v>0.64153005464480872</v>
      </c>
      <c r="AP123" s="11">
        <f>VLOOKUP(YEAR(CurrentMtgRatesDataTable8711121314[[#This Row],[asofdate]]),OriginationVolume!$A:$N,9,FALSE)</f>
        <v>0.05</v>
      </c>
      <c r="AQ123" s="11">
        <f>VLOOKUP(YEAR(CurrentMtgRatesDataTable8711121314[[#This Row],[asofdate]]),OriginationVolume!$A:$N,10,FALSE)</f>
        <v>0.15</v>
      </c>
      <c r="AR123" s="11">
        <f>VLOOKUP(YEAR(CurrentMtgRatesDataTable8711121314[[#This Row],[asofdate]]),OriginationVolume!$A:$N,11,FALSE)</f>
        <v>0.14863387978142076</v>
      </c>
      <c r="AS123" s="11">
        <f>VLOOKUP(YEAR(CurrentMtgRatesDataTable8711121314[[#This Row],[asofdate]]),OriginationVolume!$A:$N,12,FALSE)</f>
        <v>7.6502732240437158E-3</v>
      </c>
      <c r="AT123" s="11">
        <f>VLOOKUP(YEAR(CurrentMtgRatesDataTable8711121314[[#This Row],[asofdate]]),OriginationVolume!$A:$N,13,FALSE)</f>
        <v>2.185792349726776E-3</v>
      </c>
      <c r="AU12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AW123" s="7" t="s">
        <v>19</v>
      </c>
      <c r="AX123" s="10">
        <v>7294344000</v>
      </c>
      <c r="AY123" s="31"/>
      <c r="BA123" s="7" t="s">
        <v>19</v>
      </c>
      <c r="BB123" s="10">
        <v>2847845000</v>
      </c>
      <c r="BC123" s="31"/>
      <c r="BE123" s="7" t="s">
        <v>19</v>
      </c>
      <c r="BF123" s="10">
        <v>24189070034.529999</v>
      </c>
      <c r="BG123" s="34"/>
      <c r="BI123" s="7" t="s">
        <v>19</v>
      </c>
      <c r="BJ123" s="10">
        <v>14046881034.530001</v>
      </c>
      <c r="BK123" s="34" t="str">
        <f>YEAR(CurrentMtgRatesDataTable871112131417[[#This Row],[asofdate]])&amp;"-"&amp;MONTH(CurrentMtgRatesDataTable871112131417[[#This Row],[asofdate]])</f>
        <v>2013-3</v>
      </c>
      <c r="BL123" s="34">
        <f>CurrentMtgRatesDataTable871112131417[[#This Row],[SeriesNumValue]]</f>
        <v>14046881034.530001</v>
      </c>
      <c r="BM123" s="34">
        <f>VLOOKUP(CurrentMtgRatesDataTable871112131417[[#This Row],[asofdate]],AW:AX,2,0)</f>
        <v>7294344000</v>
      </c>
      <c r="BN123" s="30">
        <f>IF(VLOOKUP(CurrentMtgRatesDataTable871112131417[[#This Row],[asofdate]],BA:BB,2,0)&lt;&gt;0,VLOOKUP(CurrentMtgRatesDataTable871112131417[[#This Row],[asofdate]],BA:BB,2,0),BN122)</f>
        <v>2847845000</v>
      </c>
      <c r="BO123" s="30">
        <f>VLOOKUP(CurrentMtgRatesDataTable871112131417[[#This Row],[asofdate]],BE:BF,2,0)</f>
        <v>24189070034.529999</v>
      </c>
    </row>
    <row r="124" spans="1:67" s="8" customFormat="1">
      <c r="A124" s="7" t="s">
        <v>15</v>
      </c>
      <c r="B124" s="10">
        <v>1.4081346589350801E-2</v>
      </c>
      <c r="C124" s="10" t="str">
        <f>YEAR(CurrentMtgRatesDataTable8[[#This Row],[asofdate]])&amp;"-"&amp;MONTH(CurrentMtgRatesDataTable8[[#This Row],[asofdate]])</f>
        <v>2013-4</v>
      </c>
      <c r="D124" s="6">
        <f>((CurrentMtgRatesDataTable8[[#This Row],[SeriesNumValue]]-$D$1)/$D$1+1)*100</f>
        <v>93.875643929005335</v>
      </c>
      <c r="E124" s="6"/>
      <c r="I124" s="7" t="s">
        <v>61</v>
      </c>
      <c r="J124" s="10">
        <v>1.9644279623908599E-2</v>
      </c>
      <c r="K124" s="10" t="str">
        <f>YEAR(CurrentMtgRatesDataTable89[[#This Row],[asofdate]])&amp;"-"&amp;MONTH(CurrentMtgRatesDataTable89[[#This Row],[asofdate]])</f>
        <v>2005-8</v>
      </c>
      <c r="L124" s="6">
        <f>((CurrentMtgRatesDataTable89[[#This Row],[SeriesNumValue]]-$D$1)/$D$1+1)*100</f>
        <v>130.96186415939067</v>
      </c>
      <c r="M124" s="6">
        <f>CurrentMtgRatesDataTable89[[#This Row],[Index]]-L125</f>
        <v>-11.073182021811334</v>
      </c>
      <c r="P124" s="7" t="s">
        <v>15</v>
      </c>
      <c r="Q124" s="10">
        <v>4.7048443962686003E-2</v>
      </c>
      <c r="R124" s="31">
        <f>((CurrentMtgRatesDataTable8711[[#This Row],[SeriesNumValue]]-$D$1)/$D$1+1)*100</f>
        <v>313.65629308457335</v>
      </c>
      <c r="S124" s="31"/>
      <c r="U124" s="7" t="s">
        <v>15</v>
      </c>
      <c r="V124" s="10">
        <v>4.2668851038634797E-2</v>
      </c>
      <c r="W124" s="31">
        <f>((CurrentMtgRatesDataTable871112[[#This Row],[SeriesNumValue]]-$D$1)/$D$1+1)*100</f>
        <v>284.45900692423197</v>
      </c>
      <c r="X124" s="31"/>
      <c r="Z124" s="7" t="s">
        <v>15</v>
      </c>
      <c r="AA124" s="10">
        <v>2.4194226674924001E-2</v>
      </c>
      <c r="AB124" s="34">
        <f>((CurrentMtgRatesDataTable87111213[[#This Row],[SeriesNumValue]]-$D$1)/$D$1+1)*100</f>
        <v>161.29484449949337</v>
      </c>
      <c r="AC124" s="34"/>
      <c r="AE124" s="7" t="s">
        <v>15</v>
      </c>
      <c r="AF124" s="10">
        <v>1.40763601235394E-2</v>
      </c>
      <c r="AG124" s="34">
        <f>((CurrentMtgRatesDataTable8711121314[[#This Row],[SeriesNumValue]]-$D$1)/$D$1+1)*100</f>
        <v>93.842400823596009</v>
      </c>
      <c r="AH124" s="34" t="str">
        <f>YEAR(CurrentMtgRatesDataTable8711121314[[#This Row],[asofdate]])&amp;"-"&amp;MONTH(CurrentMtgRatesDataTable8711121314[[#This Row],[asofdate]])</f>
        <v>2013-4</v>
      </c>
      <c r="AI124" s="34">
        <f>CurrentMtgRatesDataTable8711121314[[#This Row],[SeriesNumValue]]</f>
        <v>1.40763601235394E-2</v>
      </c>
      <c r="AJ124" s="34">
        <f>VLOOKUP(CurrentMtgRatesDataTable8711121314[[#This Row],[asofdate]],P:R,2,0)</f>
        <v>4.7048443962686003E-2</v>
      </c>
      <c r="AK124" s="30">
        <f>IF(VLOOKUP(CurrentMtgRatesDataTable8711121314[[#This Row],[asofdate]],U:W,2,0)&lt;&gt;0,VLOOKUP(CurrentMtgRatesDataTable8711121314[[#This Row],[asofdate]],U:W,2,0),AK123)</f>
        <v>4.2668851038634797E-2</v>
      </c>
      <c r="AL124" s="30">
        <f>VLOOKUP(CurrentMtgRatesDataTable8711121314[[#This Row],[asofdate]],Z:AB,2,0)</f>
        <v>2.4194226674924001E-2</v>
      </c>
      <c r="AM124" s="30">
        <f>CurrentMtgRatesDataTable8711121314[[#This Row],[FHA]]+0.5*CurrentMtgRatesDataTable8711121314[[#This Row],[Conventional]]</f>
        <v>5.4086624024455701E-2</v>
      </c>
      <c r="AN124" s="30">
        <f>2*CurrentMtgRatesDataTable8711121314[[#This Row],[FHA]]</f>
        <v>9.4096887925372005E-2</v>
      </c>
      <c r="AO124" s="11">
        <f>VLOOKUP(YEAR(CurrentMtgRatesDataTable8711121314[[#This Row],[asofdate]]),OriginationVolume!$A:$N,8,FALSE)</f>
        <v>0.64153005464480872</v>
      </c>
      <c r="AP124" s="11">
        <f>VLOOKUP(YEAR(CurrentMtgRatesDataTable8711121314[[#This Row],[asofdate]]),OriginationVolume!$A:$N,9,FALSE)</f>
        <v>0.05</v>
      </c>
      <c r="AQ124" s="11">
        <f>VLOOKUP(YEAR(CurrentMtgRatesDataTable8711121314[[#This Row],[asofdate]]),OriginationVolume!$A:$N,10,FALSE)</f>
        <v>0.15</v>
      </c>
      <c r="AR124" s="11">
        <f>VLOOKUP(YEAR(CurrentMtgRatesDataTable8711121314[[#This Row],[asofdate]]),OriginationVolume!$A:$N,11,FALSE)</f>
        <v>0.14863387978142076</v>
      </c>
      <c r="AS124" s="11">
        <f>VLOOKUP(YEAR(CurrentMtgRatesDataTable8711121314[[#This Row],[asofdate]]),OriginationVolume!$A:$N,12,FALSE)</f>
        <v>7.6502732240437158E-3</v>
      </c>
      <c r="AT124" s="11">
        <f>VLOOKUP(YEAR(CurrentMtgRatesDataTable8711121314[[#This Row],[asofdate]]),OriginationVolume!$A:$N,13,FALSE)</f>
        <v>2.185792349726776E-3</v>
      </c>
      <c r="AU12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AW124" s="7" t="s">
        <v>15</v>
      </c>
      <c r="AX124" s="10">
        <v>7200749000</v>
      </c>
      <c r="AY124" s="31"/>
      <c r="BA124" s="7" t="s">
        <v>15</v>
      </c>
      <c r="BB124" s="10">
        <v>2986035000</v>
      </c>
      <c r="BC124" s="31"/>
      <c r="BE124" s="7" t="s">
        <v>15</v>
      </c>
      <c r="BF124" s="10">
        <v>24826686214.599998</v>
      </c>
      <c r="BG124" s="34"/>
      <c r="BI124" s="7" t="s">
        <v>15</v>
      </c>
      <c r="BJ124" s="10">
        <v>14639902214.6</v>
      </c>
      <c r="BK124" s="34" t="str">
        <f>YEAR(CurrentMtgRatesDataTable871112131417[[#This Row],[asofdate]])&amp;"-"&amp;MONTH(CurrentMtgRatesDataTable871112131417[[#This Row],[asofdate]])</f>
        <v>2013-4</v>
      </c>
      <c r="BL124" s="34">
        <f>CurrentMtgRatesDataTable871112131417[[#This Row],[SeriesNumValue]]</f>
        <v>14639902214.6</v>
      </c>
      <c r="BM124" s="34">
        <f>VLOOKUP(CurrentMtgRatesDataTable871112131417[[#This Row],[asofdate]],AW:AX,2,0)</f>
        <v>7200749000</v>
      </c>
      <c r="BN124" s="30">
        <f>IF(VLOOKUP(CurrentMtgRatesDataTable871112131417[[#This Row],[asofdate]],BA:BB,2,0)&lt;&gt;0,VLOOKUP(CurrentMtgRatesDataTable871112131417[[#This Row],[asofdate]],BA:BB,2,0),BN123)</f>
        <v>2986035000</v>
      </c>
      <c r="BO124" s="30">
        <f>VLOOKUP(CurrentMtgRatesDataTable871112131417[[#This Row],[asofdate]],BE:BF,2,0)</f>
        <v>24826686214.599998</v>
      </c>
    </row>
    <row r="125" spans="1:67" s="8" customFormat="1">
      <c r="A125" s="7" t="s">
        <v>7</v>
      </c>
      <c r="B125" s="10">
        <v>1.48366985334087E-2</v>
      </c>
      <c r="C125" s="10" t="str">
        <f>YEAR(CurrentMtgRatesDataTable8[[#This Row],[asofdate]])&amp;"-"&amp;MONTH(CurrentMtgRatesDataTable8[[#This Row],[asofdate]])</f>
        <v>2013-5</v>
      </c>
      <c r="D125" s="6">
        <f>((CurrentMtgRatesDataTable8[[#This Row],[SeriesNumValue]]-$D$1)/$D$1+1)*100</f>
        <v>98.911323556058008</v>
      </c>
      <c r="E125" s="6"/>
      <c r="I125" s="7" t="s">
        <v>60</v>
      </c>
      <c r="J125" s="10">
        <v>2.1305256927180299E-2</v>
      </c>
      <c r="K125" s="10" t="str">
        <f>YEAR(CurrentMtgRatesDataTable89[[#This Row],[asofdate]])&amp;"-"&amp;MONTH(CurrentMtgRatesDataTable89[[#This Row],[asofdate]])</f>
        <v>2005-7</v>
      </c>
      <c r="L125" s="6">
        <f>((CurrentMtgRatesDataTable89[[#This Row],[SeriesNumValue]]-$D$1)/$D$1+1)*100</f>
        <v>142.03504618120201</v>
      </c>
      <c r="M125" s="6">
        <f>CurrentMtgRatesDataTable89[[#This Row],[Index]]-L126</f>
        <v>3.1544608154299851</v>
      </c>
      <c r="P125" s="7" t="s">
        <v>7</v>
      </c>
      <c r="Q125" s="10">
        <v>4.8564626706116498E-2</v>
      </c>
      <c r="R125" s="31">
        <f>((CurrentMtgRatesDataTable8711[[#This Row],[SeriesNumValue]]-$D$1)/$D$1+1)*100</f>
        <v>323.7641780407767</v>
      </c>
      <c r="S125" s="31"/>
      <c r="U125" s="7" t="s">
        <v>7</v>
      </c>
      <c r="V125" s="10">
        <v>4.2284506095958602E-2</v>
      </c>
      <c r="W125" s="31">
        <f>((CurrentMtgRatesDataTable871112[[#This Row],[SeriesNumValue]]-$D$1)/$D$1+1)*100</f>
        <v>281.89670730639068</v>
      </c>
      <c r="X125" s="31"/>
      <c r="Z125" s="7" t="s">
        <v>7</v>
      </c>
      <c r="AA125" s="10">
        <v>2.4376745764779099E-2</v>
      </c>
      <c r="AB125" s="34">
        <f>((CurrentMtgRatesDataTable87111213[[#This Row],[SeriesNumValue]]-$D$1)/$D$1+1)*100</f>
        <v>162.51163843186066</v>
      </c>
      <c r="AC125" s="34"/>
      <c r="AE125" s="7" t="s">
        <v>7</v>
      </c>
      <c r="AF125" s="10">
        <v>1.4536398607508799E-2</v>
      </c>
      <c r="AG125" s="34">
        <f>((CurrentMtgRatesDataTable8711121314[[#This Row],[SeriesNumValue]]-$D$1)/$D$1+1)*100</f>
        <v>96.909324050058672</v>
      </c>
      <c r="AH125" s="34" t="str">
        <f>YEAR(CurrentMtgRatesDataTable8711121314[[#This Row],[asofdate]])&amp;"-"&amp;MONTH(CurrentMtgRatesDataTable8711121314[[#This Row],[asofdate]])</f>
        <v>2013-5</v>
      </c>
      <c r="AI125" s="34">
        <f>CurrentMtgRatesDataTable8711121314[[#This Row],[SeriesNumValue]]</f>
        <v>1.4536398607508799E-2</v>
      </c>
      <c r="AJ125" s="34">
        <f>VLOOKUP(CurrentMtgRatesDataTable8711121314[[#This Row],[asofdate]],P:R,2,0)</f>
        <v>4.8564626706116498E-2</v>
      </c>
      <c r="AK125" s="30">
        <f>IF(VLOOKUP(CurrentMtgRatesDataTable8711121314[[#This Row],[asofdate]],U:W,2,0)&lt;&gt;0,VLOOKUP(CurrentMtgRatesDataTable8711121314[[#This Row],[asofdate]],U:W,2,0),AK124)</f>
        <v>4.2284506095958602E-2</v>
      </c>
      <c r="AL125" s="30">
        <f>VLOOKUP(CurrentMtgRatesDataTable8711121314[[#This Row],[asofdate]],Z:AB,2,0)</f>
        <v>2.4376745764779099E-2</v>
      </c>
      <c r="AM125" s="30">
        <f>CurrentMtgRatesDataTable8711121314[[#This Row],[FHA]]+0.5*CurrentMtgRatesDataTable8711121314[[#This Row],[Conventional]]</f>
        <v>5.5832826009870898E-2</v>
      </c>
      <c r="AN125" s="30">
        <f>2*CurrentMtgRatesDataTable8711121314[[#This Row],[FHA]]</f>
        <v>9.7129253412232996E-2</v>
      </c>
      <c r="AO125" s="11">
        <f>VLOOKUP(YEAR(CurrentMtgRatesDataTable8711121314[[#This Row],[asofdate]]),OriginationVolume!$A:$N,8,FALSE)</f>
        <v>0.64153005464480872</v>
      </c>
      <c r="AP125" s="11">
        <f>VLOOKUP(YEAR(CurrentMtgRatesDataTable8711121314[[#This Row],[asofdate]]),OriginationVolume!$A:$N,9,FALSE)</f>
        <v>0.05</v>
      </c>
      <c r="AQ125" s="11">
        <f>VLOOKUP(YEAR(CurrentMtgRatesDataTable8711121314[[#This Row],[asofdate]]),OriginationVolume!$A:$N,10,FALSE)</f>
        <v>0.15</v>
      </c>
      <c r="AR125" s="11">
        <f>VLOOKUP(YEAR(CurrentMtgRatesDataTable8711121314[[#This Row],[asofdate]]),OriginationVolume!$A:$N,11,FALSE)</f>
        <v>0.14863387978142076</v>
      </c>
      <c r="AS125" s="11">
        <f>VLOOKUP(YEAR(CurrentMtgRatesDataTable8711121314[[#This Row],[asofdate]]),OriginationVolume!$A:$N,12,FALSE)</f>
        <v>7.6502732240437158E-3</v>
      </c>
      <c r="AT125" s="11">
        <f>VLOOKUP(YEAR(CurrentMtgRatesDataTable8711121314[[#This Row],[asofdate]]),OriginationVolume!$A:$N,13,FALSE)</f>
        <v>2.185792349726776E-3</v>
      </c>
      <c r="AU12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AW125" s="7" t="s">
        <v>7</v>
      </c>
      <c r="AX125" s="10">
        <v>9446655000</v>
      </c>
      <c r="AY125" s="31"/>
      <c r="BA125" s="7" t="s">
        <v>7</v>
      </c>
      <c r="BB125" s="10">
        <v>3923858000</v>
      </c>
      <c r="BC125" s="31"/>
      <c r="BE125" s="7" t="s">
        <v>7</v>
      </c>
      <c r="BF125" s="10">
        <v>33624158715.84</v>
      </c>
      <c r="BG125" s="34"/>
      <c r="BI125" s="7" t="s">
        <v>7</v>
      </c>
      <c r="BJ125" s="10">
        <v>20253645715.84</v>
      </c>
      <c r="BK125" s="34" t="str">
        <f>YEAR(CurrentMtgRatesDataTable871112131417[[#This Row],[asofdate]])&amp;"-"&amp;MONTH(CurrentMtgRatesDataTable871112131417[[#This Row],[asofdate]])</f>
        <v>2013-5</v>
      </c>
      <c r="BL125" s="34">
        <f>CurrentMtgRatesDataTable871112131417[[#This Row],[SeriesNumValue]]</f>
        <v>20253645715.84</v>
      </c>
      <c r="BM125" s="34">
        <f>VLOOKUP(CurrentMtgRatesDataTable871112131417[[#This Row],[asofdate]],AW:AX,2,0)</f>
        <v>9446655000</v>
      </c>
      <c r="BN125" s="30">
        <f>IF(VLOOKUP(CurrentMtgRatesDataTable871112131417[[#This Row],[asofdate]],BA:BB,2,0)&lt;&gt;0,VLOOKUP(CurrentMtgRatesDataTable871112131417[[#This Row],[asofdate]],BA:BB,2,0),BN124)</f>
        <v>3923858000</v>
      </c>
      <c r="BO125" s="30">
        <f>VLOOKUP(CurrentMtgRatesDataTable871112131417[[#This Row],[asofdate]],BE:BF,2,0)</f>
        <v>33624158715.84</v>
      </c>
    </row>
    <row r="126" spans="1:67" s="8" customFormat="1">
      <c r="A126" s="7" t="s">
        <v>146</v>
      </c>
      <c r="B126" s="10">
        <v>1.5413706581738599E-2</v>
      </c>
      <c r="C126" s="10" t="str">
        <f>YEAR(CurrentMtgRatesDataTable8[[#This Row],[asofdate]])&amp;"-"&amp;MONTH(CurrentMtgRatesDataTable8[[#This Row],[asofdate]])</f>
        <v>2013-6</v>
      </c>
      <c r="D126" s="6">
        <f>((CurrentMtgRatesDataTable8[[#This Row],[SeriesNumValue]]-$D$1)/$D$1+1)*100</f>
        <v>102.75804387825733</v>
      </c>
      <c r="E126" s="6"/>
      <c r="I126" s="7" t="s">
        <v>59</v>
      </c>
      <c r="J126" s="10">
        <v>2.0832087804865802E-2</v>
      </c>
      <c r="K126" s="10" t="str">
        <f>YEAR(CurrentMtgRatesDataTable89[[#This Row],[asofdate]])&amp;"-"&amp;MONTH(CurrentMtgRatesDataTable89[[#This Row],[asofdate]])</f>
        <v>2005-6</v>
      </c>
      <c r="L126" s="6">
        <f>((CurrentMtgRatesDataTable89[[#This Row],[SeriesNumValue]]-$D$1)/$D$1+1)*100</f>
        <v>138.88058536577202</v>
      </c>
      <c r="M126" s="6">
        <f>CurrentMtgRatesDataTable89[[#This Row],[Index]]-L127</f>
        <v>16.902729397636676</v>
      </c>
      <c r="P126" s="7" t="s">
        <v>146</v>
      </c>
      <c r="Q126" s="10">
        <v>5.0915054900666903E-2</v>
      </c>
      <c r="R126" s="31">
        <f>((CurrentMtgRatesDataTable8711[[#This Row],[SeriesNumValue]]-$D$1)/$D$1+1)*100</f>
        <v>339.43369933777939</v>
      </c>
      <c r="S126" s="31"/>
      <c r="U126" s="7" t="s">
        <v>146</v>
      </c>
      <c r="V126" s="10">
        <v>4.3999613211472499E-2</v>
      </c>
      <c r="W126" s="31">
        <f>((CurrentMtgRatesDataTable871112[[#This Row],[SeriesNumValue]]-$D$1)/$D$1+1)*100</f>
        <v>293.33075474315001</v>
      </c>
      <c r="X126" s="31"/>
      <c r="Z126" s="7" t="s">
        <v>146</v>
      </c>
      <c r="AA126" s="10">
        <v>2.55210242403539E-2</v>
      </c>
      <c r="AB126" s="34">
        <f>((CurrentMtgRatesDataTable87111213[[#This Row],[SeriesNumValue]]-$D$1)/$D$1+1)*100</f>
        <v>170.14016160235934</v>
      </c>
      <c r="AC126" s="34"/>
      <c r="AE126" s="7" t="s">
        <v>146</v>
      </c>
      <c r="AF126" s="10">
        <v>1.5513831385549501E-2</v>
      </c>
      <c r="AG126" s="34">
        <f>((CurrentMtgRatesDataTable8711121314[[#This Row],[SeriesNumValue]]-$D$1)/$D$1+1)*100</f>
        <v>103.42554257033001</v>
      </c>
      <c r="AH126" s="34" t="str">
        <f>YEAR(CurrentMtgRatesDataTable8711121314[[#This Row],[asofdate]])&amp;"-"&amp;MONTH(CurrentMtgRatesDataTable8711121314[[#This Row],[asofdate]])</f>
        <v>2013-6</v>
      </c>
      <c r="AI126" s="34">
        <f>CurrentMtgRatesDataTable8711121314[[#This Row],[SeriesNumValue]]</f>
        <v>1.5513831385549501E-2</v>
      </c>
      <c r="AJ126" s="34">
        <f>VLOOKUP(CurrentMtgRatesDataTable8711121314[[#This Row],[asofdate]],P:R,2,0)</f>
        <v>5.0915054900666903E-2</v>
      </c>
      <c r="AK126" s="30">
        <f>IF(VLOOKUP(CurrentMtgRatesDataTable8711121314[[#This Row],[asofdate]],U:W,2,0)&lt;&gt;0,VLOOKUP(CurrentMtgRatesDataTable8711121314[[#This Row],[asofdate]],U:W,2,0),AK125)</f>
        <v>4.3999613211472499E-2</v>
      </c>
      <c r="AL126" s="30">
        <f>VLOOKUP(CurrentMtgRatesDataTable8711121314[[#This Row],[asofdate]],Z:AB,2,0)</f>
        <v>2.55210242403539E-2</v>
      </c>
      <c r="AM126" s="30">
        <f>CurrentMtgRatesDataTable8711121314[[#This Row],[FHA]]+0.5*CurrentMtgRatesDataTable8711121314[[#This Row],[Conventional]]</f>
        <v>5.8671970593441654E-2</v>
      </c>
      <c r="AN126" s="30">
        <f>2*CurrentMtgRatesDataTable8711121314[[#This Row],[FHA]]</f>
        <v>0.10183010980133381</v>
      </c>
      <c r="AO126" s="11">
        <f>VLOOKUP(YEAR(CurrentMtgRatesDataTable8711121314[[#This Row],[asofdate]]),OriginationVolume!$A:$N,8,FALSE)</f>
        <v>0.64153005464480872</v>
      </c>
      <c r="AP126" s="11">
        <f>VLOOKUP(YEAR(CurrentMtgRatesDataTable8711121314[[#This Row],[asofdate]]),OriginationVolume!$A:$N,9,FALSE)</f>
        <v>0.05</v>
      </c>
      <c r="AQ126" s="11">
        <f>VLOOKUP(YEAR(CurrentMtgRatesDataTable8711121314[[#This Row],[asofdate]]),OriginationVolume!$A:$N,10,FALSE)</f>
        <v>0.15</v>
      </c>
      <c r="AR126" s="11">
        <f>VLOOKUP(YEAR(CurrentMtgRatesDataTable8711121314[[#This Row],[asofdate]]),OriginationVolume!$A:$N,11,FALSE)</f>
        <v>0.14863387978142076</v>
      </c>
      <c r="AS126" s="11">
        <f>VLOOKUP(YEAR(CurrentMtgRatesDataTable8711121314[[#This Row],[asofdate]]),OriginationVolume!$A:$N,12,FALSE)</f>
        <v>7.6502732240437158E-3</v>
      </c>
      <c r="AT126" s="11">
        <f>VLOOKUP(YEAR(CurrentMtgRatesDataTable8711121314[[#This Row],[asofdate]]),OriginationVolume!$A:$N,13,FALSE)</f>
        <v>2.185792349726776E-3</v>
      </c>
      <c r="AU12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AW126" s="7" t="s">
        <v>146</v>
      </c>
      <c r="AX126" s="10">
        <v>10361546000</v>
      </c>
      <c r="AY126" s="31"/>
      <c r="BA126" s="7" t="s">
        <v>146</v>
      </c>
      <c r="BB126" s="10">
        <v>4269305000</v>
      </c>
      <c r="BC126" s="31"/>
      <c r="BE126" s="7" t="s">
        <v>146</v>
      </c>
      <c r="BF126" s="10">
        <v>37565043769.32</v>
      </c>
      <c r="BG126" s="34"/>
      <c r="BI126" s="7" t="s">
        <v>146</v>
      </c>
      <c r="BJ126" s="10">
        <v>22934192769.32</v>
      </c>
      <c r="BK126" s="34" t="str">
        <f>YEAR(CurrentMtgRatesDataTable871112131417[[#This Row],[asofdate]])&amp;"-"&amp;MONTH(CurrentMtgRatesDataTable871112131417[[#This Row],[asofdate]])</f>
        <v>2013-6</v>
      </c>
      <c r="BL126" s="34">
        <f>CurrentMtgRatesDataTable871112131417[[#This Row],[SeriesNumValue]]</f>
        <v>22934192769.32</v>
      </c>
      <c r="BM126" s="34">
        <f>VLOOKUP(CurrentMtgRatesDataTable871112131417[[#This Row],[asofdate]],AW:AX,2,0)</f>
        <v>10361546000</v>
      </c>
      <c r="BN126" s="30">
        <f>IF(VLOOKUP(CurrentMtgRatesDataTable871112131417[[#This Row],[asofdate]],BA:BB,2,0)&lt;&gt;0,VLOOKUP(CurrentMtgRatesDataTable871112131417[[#This Row],[asofdate]],BA:BB,2,0),BN125)</f>
        <v>4269305000</v>
      </c>
      <c r="BO126" s="30">
        <f>VLOOKUP(CurrentMtgRatesDataTable871112131417[[#This Row],[asofdate]],BE:BF,2,0)</f>
        <v>37565043769.32</v>
      </c>
    </row>
    <row r="127" spans="1:67" s="8" customFormat="1">
      <c r="A127" s="7" t="s">
        <v>10</v>
      </c>
      <c r="B127" s="10">
        <v>1.3647562689271499E-2</v>
      </c>
      <c r="C127" s="10" t="str">
        <f>YEAR(CurrentMtgRatesDataTable8[[#This Row],[asofdate]])&amp;"-"&amp;MONTH(CurrentMtgRatesDataTable8[[#This Row],[asofdate]])</f>
        <v>2013-7</v>
      </c>
      <c r="D127" s="6">
        <f>((CurrentMtgRatesDataTable8[[#This Row],[SeriesNumValue]]-$D$1)/$D$1+1)*100</f>
        <v>90.983751261809999</v>
      </c>
      <c r="E127" s="6"/>
      <c r="I127" s="7" t="s">
        <v>58</v>
      </c>
      <c r="J127" s="10">
        <v>1.8296678395220301E-2</v>
      </c>
      <c r="K127" s="10" t="str">
        <f>YEAR(CurrentMtgRatesDataTable89[[#This Row],[asofdate]])&amp;"-"&amp;MONTH(CurrentMtgRatesDataTable89[[#This Row],[asofdate]])</f>
        <v>2005-5</v>
      </c>
      <c r="L127" s="6">
        <f>((CurrentMtgRatesDataTable89[[#This Row],[SeriesNumValue]]-$D$1)/$D$1+1)*100</f>
        <v>121.97785596813534</v>
      </c>
      <c r="M127" s="6">
        <f>CurrentMtgRatesDataTable89[[#This Row],[Index]]-L128</f>
        <v>-10.866807213664657</v>
      </c>
      <c r="P127" s="7" t="s">
        <v>10</v>
      </c>
      <c r="Q127" s="10">
        <v>4.8400476857025899E-2</v>
      </c>
      <c r="R127" s="31">
        <f>((CurrentMtgRatesDataTable8711[[#This Row],[SeriesNumValue]]-$D$1)/$D$1+1)*100</f>
        <v>322.66984571350599</v>
      </c>
      <c r="S127" s="31"/>
      <c r="U127" s="7" t="s">
        <v>10</v>
      </c>
      <c r="V127" s="10">
        <v>4.0382987212321503E-2</v>
      </c>
      <c r="W127" s="31">
        <f>((CurrentMtgRatesDataTable871112[[#This Row],[SeriesNumValue]]-$D$1)/$D$1+1)*100</f>
        <v>269.21991474881003</v>
      </c>
      <c r="X127" s="31"/>
      <c r="Z127" s="7" t="s">
        <v>10</v>
      </c>
      <c r="AA127" s="10">
        <v>2.3348464514678501E-2</v>
      </c>
      <c r="AB127" s="34">
        <f>((CurrentMtgRatesDataTable87111213[[#This Row],[SeriesNumValue]]-$D$1)/$D$1+1)*100</f>
        <v>155.65643009785668</v>
      </c>
      <c r="AC127" s="34"/>
      <c r="AE127" s="7" t="s">
        <v>10</v>
      </c>
      <c r="AF127" s="10">
        <v>1.4664753361722E-2</v>
      </c>
      <c r="AG127" s="34">
        <f>((CurrentMtgRatesDataTable8711121314[[#This Row],[SeriesNumValue]]-$D$1)/$D$1+1)*100</f>
        <v>97.765022411480004</v>
      </c>
      <c r="AH127" s="34" t="str">
        <f>YEAR(CurrentMtgRatesDataTable8711121314[[#This Row],[asofdate]])&amp;"-"&amp;MONTH(CurrentMtgRatesDataTable8711121314[[#This Row],[asofdate]])</f>
        <v>2013-7</v>
      </c>
      <c r="AI127" s="34">
        <f>CurrentMtgRatesDataTable8711121314[[#This Row],[SeriesNumValue]]</f>
        <v>1.4664753361722E-2</v>
      </c>
      <c r="AJ127" s="34">
        <f>VLOOKUP(CurrentMtgRatesDataTable8711121314[[#This Row],[asofdate]],P:R,2,0)</f>
        <v>4.8400476857025899E-2</v>
      </c>
      <c r="AK127" s="30">
        <f>IF(VLOOKUP(CurrentMtgRatesDataTable8711121314[[#This Row],[asofdate]],U:W,2,0)&lt;&gt;0,VLOOKUP(CurrentMtgRatesDataTable8711121314[[#This Row],[asofdate]],U:W,2,0),AK126)</f>
        <v>4.0382987212321503E-2</v>
      </c>
      <c r="AL127" s="30">
        <f>VLOOKUP(CurrentMtgRatesDataTable8711121314[[#This Row],[asofdate]],Z:AB,2,0)</f>
        <v>2.3348464514678501E-2</v>
      </c>
      <c r="AM127" s="30">
        <f>CurrentMtgRatesDataTable8711121314[[#This Row],[FHA]]+0.5*CurrentMtgRatesDataTable8711121314[[#This Row],[Conventional]]</f>
        <v>5.5732853537886901E-2</v>
      </c>
      <c r="AN127" s="30">
        <f>2*CurrentMtgRatesDataTable8711121314[[#This Row],[FHA]]</f>
        <v>9.6800953714051799E-2</v>
      </c>
      <c r="AO127" s="11">
        <f>VLOOKUP(YEAR(CurrentMtgRatesDataTable8711121314[[#This Row],[asofdate]]),OriginationVolume!$A:$N,8,FALSE)</f>
        <v>0.64153005464480872</v>
      </c>
      <c r="AP127" s="11">
        <f>VLOOKUP(YEAR(CurrentMtgRatesDataTable8711121314[[#This Row],[asofdate]]),OriginationVolume!$A:$N,9,FALSE)</f>
        <v>0.05</v>
      </c>
      <c r="AQ127" s="11">
        <f>VLOOKUP(YEAR(CurrentMtgRatesDataTable8711121314[[#This Row],[asofdate]]),OriginationVolume!$A:$N,10,FALSE)</f>
        <v>0.15</v>
      </c>
      <c r="AR127" s="11">
        <f>VLOOKUP(YEAR(CurrentMtgRatesDataTable8711121314[[#This Row],[asofdate]]),OriginationVolume!$A:$N,11,FALSE)</f>
        <v>0.14863387978142076</v>
      </c>
      <c r="AS127" s="11">
        <f>VLOOKUP(YEAR(CurrentMtgRatesDataTable8711121314[[#This Row],[asofdate]]),OriginationVolume!$A:$N,12,FALSE)</f>
        <v>7.6502732240437158E-3</v>
      </c>
      <c r="AT127" s="11">
        <f>VLOOKUP(YEAR(CurrentMtgRatesDataTable8711121314[[#This Row],[asofdate]]),OriginationVolume!$A:$N,13,FALSE)</f>
        <v>2.185792349726776E-3</v>
      </c>
      <c r="AU12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AW127" s="7" t="s">
        <v>10</v>
      </c>
      <c r="AX127" s="10">
        <v>11097451000</v>
      </c>
      <c r="AY127" s="31"/>
      <c r="BA127" s="7" t="s">
        <v>10</v>
      </c>
      <c r="BB127" s="10">
        <v>5171751000</v>
      </c>
      <c r="BC127" s="31"/>
      <c r="BE127" s="7" t="s">
        <v>10</v>
      </c>
      <c r="BF127" s="10">
        <v>44312165499.870003</v>
      </c>
      <c r="BG127" s="34"/>
      <c r="BI127" s="7" t="s">
        <v>10</v>
      </c>
      <c r="BJ127" s="10">
        <v>28042963499.869999</v>
      </c>
      <c r="BK127" s="34" t="str">
        <f>YEAR(CurrentMtgRatesDataTable871112131417[[#This Row],[asofdate]])&amp;"-"&amp;MONTH(CurrentMtgRatesDataTable871112131417[[#This Row],[asofdate]])</f>
        <v>2013-7</v>
      </c>
      <c r="BL127" s="34">
        <f>CurrentMtgRatesDataTable871112131417[[#This Row],[SeriesNumValue]]</f>
        <v>28042963499.869999</v>
      </c>
      <c r="BM127" s="34">
        <f>VLOOKUP(CurrentMtgRatesDataTable871112131417[[#This Row],[asofdate]],AW:AX,2,0)</f>
        <v>11097451000</v>
      </c>
      <c r="BN127" s="30">
        <f>IF(VLOOKUP(CurrentMtgRatesDataTable871112131417[[#This Row],[asofdate]],BA:BB,2,0)&lt;&gt;0,VLOOKUP(CurrentMtgRatesDataTable871112131417[[#This Row],[asofdate]],BA:BB,2,0),BN126)</f>
        <v>5171751000</v>
      </c>
      <c r="BO127" s="30">
        <f>VLOOKUP(CurrentMtgRatesDataTable871112131417[[#This Row],[asofdate]],BE:BF,2,0)</f>
        <v>44312165499.870003</v>
      </c>
    </row>
    <row r="128" spans="1:67" s="8" customFormat="1">
      <c r="A128" s="7" t="s">
        <v>23</v>
      </c>
      <c r="B128" s="10">
        <v>1.2469920234914901E-2</v>
      </c>
      <c r="C128" s="10" t="str">
        <f>YEAR(CurrentMtgRatesDataTable8[[#This Row],[asofdate]])&amp;"-"&amp;MONTH(CurrentMtgRatesDataTable8[[#This Row],[asofdate]])</f>
        <v>2013-8</v>
      </c>
      <c r="D128" s="6">
        <f>((CurrentMtgRatesDataTable8[[#This Row],[SeriesNumValue]]-$D$1)/$D$1+1)*100</f>
        <v>83.132801566099346</v>
      </c>
      <c r="E128" s="6"/>
      <c r="I128" s="7" t="s">
        <v>57</v>
      </c>
      <c r="J128" s="10">
        <v>1.992669947727E-2</v>
      </c>
      <c r="K128" s="10" t="str">
        <f>YEAR(CurrentMtgRatesDataTable89[[#This Row],[asofdate]])&amp;"-"&amp;MONTH(CurrentMtgRatesDataTable89[[#This Row],[asofdate]])</f>
        <v>2005-4</v>
      </c>
      <c r="L128" s="6">
        <f>((CurrentMtgRatesDataTable89[[#This Row],[SeriesNumValue]]-$D$1)/$D$1+1)*100</f>
        <v>132.8446631818</v>
      </c>
      <c r="M128" s="6">
        <f>CurrentMtgRatesDataTable89[[#This Row],[Index]]-L129</f>
        <v>-4.0947310402020207</v>
      </c>
      <c r="P128" s="7" t="s">
        <v>23</v>
      </c>
      <c r="Q128" s="10">
        <v>4.3075210687433897E-2</v>
      </c>
      <c r="R128" s="31">
        <f>((CurrentMtgRatesDataTable8711[[#This Row],[SeriesNumValue]]-$D$1)/$D$1+1)*100</f>
        <v>287.16807124955932</v>
      </c>
      <c r="S128" s="31"/>
      <c r="U128" s="7" t="s">
        <v>23</v>
      </c>
      <c r="V128" s="10">
        <v>3.4542716001929402E-2</v>
      </c>
      <c r="W128" s="31">
        <f>((CurrentMtgRatesDataTable871112[[#This Row],[SeriesNumValue]]-$D$1)/$D$1+1)*100</f>
        <v>230.28477334619603</v>
      </c>
      <c r="X128" s="31"/>
      <c r="Z128" s="7" t="s">
        <v>23</v>
      </c>
      <c r="AA128" s="10">
        <v>2.0163804934787099E-2</v>
      </c>
      <c r="AB128" s="34">
        <f>((CurrentMtgRatesDataTable87111213[[#This Row],[SeriesNumValue]]-$D$1)/$D$1+1)*100</f>
        <v>134.42536623191398</v>
      </c>
      <c r="AC128" s="34"/>
      <c r="AE128" s="7" t="s">
        <v>23</v>
      </c>
      <c r="AF128" s="10">
        <v>1.28803683488304E-2</v>
      </c>
      <c r="AG128" s="34">
        <f>((CurrentMtgRatesDataTable8711121314[[#This Row],[SeriesNumValue]]-$D$1)/$D$1+1)*100</f>
        <v>85.869122325536011</v>
      </c>
      <c r="AH128" s="34" t="str">
        <f>YEAR(CurrentMtgRatesDataTable8711121314[[#This Row],[asofdate]])&amp;"-"&amp;MONTH(CurrentMtgRatesDataTable8711121314[[#This Row],[asofdate]])</f>
        <v>2013-8</v>
      </c>
      <c r="AI128" s="34">
        <f>CurrentMtgRatesDataTable8711121314[[#This Row],[SeriesNumValue]]</f>
        <v>1.28803683488304E-2</v>
      </c>
      <c r="AJ128" s="34">
        <f>VLOOKUP(CurrentMtgRatesDataTable8711121314[[#This Row],[asofdate]],P:R,2,0)</f>
        <v>4.3075210687433897E-2</v>
      </c>
      <c r="AK128" s="30">
        <f>IF(VLOOKUP(CurrentMtgRatesDataTable8711121314[[#This Row],[asofdate]],U:W,2,0)&lt;&gt;0,VLOOKUP(CurrentMtgRatesDataTable8711121314[[#This Row],[asofdate]],U:W,2,0),AK127)</f>
        <v>3.4542716001929402E-2</v>
      </c>
      <c r="AL128" s="30">
        <f>VLOOKUP(CurrentMtgRatesDataTable8711121314[[#This Row],[asofdate]],Z:AB,2,0)</f>
        <v>2.0163804934787099E-2</v>
      </c>
      <c r="AM128" s="30">
        <f>CurrentMtgRatesDataTable8711121314[[#This Row],[FHA]]+0.5*CurrentMtgRatesDataTable8711121314[[#This Row],[Conventional]]</f>
        <v>4.9515394861849096E-2</v>
      </c>
      <c r="AN128" s="30">
        <f>2*CurrentMtgRatesDataTable8711121314[[#This Row],[FHA]]</f>
        <v>8.6150421374867794E-2</v>
      </c>
      <c r="AO128" s="11">
        <f>VLOOKUP(YEAR(CurrentMtgRatesDataTable8711121314[[#This Row],[asofdate]]),OriginationVolume!$A:$N,8,FALSE)</f>
        <v>0.64153005464480872</v>
      </c>
      <c r="AP128" s="11">
        <f>VLOOKUP(YEAR(CurrentMtgRatesDataTable8711121314[[#This Row],[asofdate]]),OriginationVolume!$A:$N,9,FALSE)</f>
        <v>0.05</v>
      </c>
      <c r="AQ128" s="11">
        <f>VLOOKUP(YEAR(CurrentMtgRatesDataTable8711121314[[#This Row],[asofdate]]),OriginationVolume!$A:$N,10,FALSE)</f>
        <v>0.15</v>
      </c>
      <c r="AR128" s="11">
        <f>VLOOKUP(YEAR(CurrentMtgRatesDataTable8711121314[[#This Row],[asofdate]]),OriginationVolume!$A:$N,11,FALSE)</f>
        <v>0.14863387978142076</v>
      </c>
      <c r="AS128" s="11">
        <f>VLOOKUP(YEAR(CurrentMtgRatesDataTable8711121314[[#This Row],[asofdate]]),OriginationVolume!$A:$N,12,FALSE)</f>
        <v>7.6502732240437158E-3</v>
      </c>
      <c r="AT128" s="11">
        <f>VLOOKUP(YEAR(CurrentMtgRatesDataTable8711121314[[#This Row],[asofdate]]),OriginationVolume!$A:$N,13,FALSE)</f>
        <v>2.185792349726776E-3</v>
      </c>
      <c r="AU12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AW128" s="7" t="s">
        <v>23</v>
      </c>
      <c r="AX128" s="10">
        <v>10991380000</v>
      </c>
      <c r="AY128" s="31"/>
      <c r="BA128" s="7" t="s">
        <v>23</v>
      </c>
      <c r="BB128" s="10">
        <v>5603397000</v>
      </c>
      <c r="BC128" s="31"/>
      <c r="BE128" s="7" t="s">
        <v>23</v>
      </c>
      <c r="BF128" s="10">
        <v>46605442149.639999</v>
      </c>
      <c r="BG128" s="34"/>
      <c r="BI128" s="7" t="s">
        <v>23</v>
      </c>
      <c r="BJ128" s="10">
        <v>30010665149.639999</v>
      </c>
      <c r="BK128" s="34" t="str">
        <f>YEAR(CurrentMtgRatesDataTable871112131417[[#This Row],[asofdate]])&amp;"-"&amp;MONTH(CurrentMtgRatesDataTable871112131417[[#This Row],[asofdate]])</f>
        <v>2013-8</v>
      </c>
      <c r="BL128" s="34">
        <f>CurrentMtgRatesDataTable871112131417[[#This Row],[SeriesNumValue]]</f>
        <v>30010665149.639999</v>
      </c>
      <c r="BM128" s="34">
        <f>VLOOKUP(CurrentMtgRatesDataTable871112131417[[#This Row],[asofdate]],AW:AX,2,0)</f>
        <v>10991380000</v>
      </c>
      <c r="BN128" s="30">
        <f>IF(VLOOKUP(CurrentMtgRatesDataTable871112131417[[#This Row],[asofdate]],BA:BB,2,0)&lt;&gt;0,VLOOKUP(CurrentMtgRatesDataTable871112131417[[#This Row],[asofdate]],BA:BB,2,0),BN127)</f>
        <v>5603397000</v>
      </c>
      <c r="BO128" s="30">
        <f>VLOOKUP(CurrentMtgRatesDataTable871112131417[[#This Row],[asofdate]],BE:BF,2,0)</f>
        <v>46605442149.639999</v>
      </c>
    </row>
    <row r="129" spans="1:67" s="8" customFormat="1">
      <c r="A129" s="7" t="s">
        <v>147</v>
      </c>
      <c r="B129" s="10">
        <v>1.3768461724071E-2</v>
      </c>
      <c r="C129" s="10" t="str">
        <f>YEAR(CurrentMtgRatesDataTable8[[#This Row],[asofdate]])&amp;"-"&amp;MONTH(CurrentMtgRatesDataTable8[[#This Row],[asofdate]])</f>
        <v>2013-9</v>
      </c>
      <c r="D129" s="6">
        <f>((CurrentMtgRatesDataTable8[[#This Row],[SeriesNumValue]]-$D$1)/$D$1+1)*100</f>
        <v>91.789744827140012</v>
      </c>
      <c r="E129" s="6"/>
      <c r="I129" s="7" t="s">
        <v>56</v>
      </c>
      <c r="J129" s="10">
        <v>2.0540909133300301E-2</v>
      </c>
      <c r="K129" s="10" t="str">
        <f>YEAR(CurrentMtgRatesDataTable89[[#This Row],[asofdate]])&amp;"-"&amp;MONTH(CurrentMtgRatesDataTable89[[#This Row],[asofdate]])</f>
        <v>2005-3</v>
      </c>
      <c r="L129" s="6">
        <f>((CurrentMtgRatesDataTable89[[#This Row],[SeriesNumValue]]-$D$1)/$D$1+1)*100</f>
        <v>136.93939422200202</v>
      </c>
      <c r="M129" s="6">
        <f>CurrentMtgRatesDataTable89[[#This Row],[Index]]-L130</f>
        <v>-1.5405355407626473</v>
      </c>
      <c r="P129" s="7" t="s">
        <v>147</v>
      </c>
      <c r="Q129" s="10">
        <v>4.59432838113287E-2</v>
      </c>
      <c r="R129" s="31">
        <f>((CurrentMtgRatesDataTable8711[[#This Row],[SeriesNumValue]]-$D$1)/$D$1+1)*100</f>
        <v>306.28855874219136</v>
      </c>
      <c r="S129" s="31"/>
      <c r="U129" s="7" t="s">
        <v>147</v>
      </c>
      <c r="V129" s="10">
        <v>3.6128492494755901E-2</v>
      </c>
      <c r="W129" s="31">
        <f>((CurrentMtgRatesDataTable871112[[#This Row],[SeriesNumValue]]-$D$1)/$D$1+1)*100</f>
        <v>240.856616631706</v>
      </c>
      <c r="X129" s="31"/>
      <c r="Z129" s="7" t="s">
        <v>147</v>
      </c>
      <c r="AA129" s="10">
        <v>2.1507462507157401E-2</v>
      </c>
      <c r="AB129" s="34">
        <f>((CurrentMtgRatesDataTable87111213[[#This Row],[SeriesNumValue]]-$D$1)/$D$1+1)*100</f>
        <v>143.38308338104935</v>
      </c>
      <c r="AC129" s="34"/>
      <c r="AE129" s="7" t="s">
        <v>147</v>
      </c>
      <c r="AF129" s="10">
        <v>1.3852929718571799E-2</v>
      </c>
      <c r="AG129" s="34">
        <f>((CurrentMtgRatesDataTable8711121314[[#This Row],[SeriesNumValue]]-$D$1)/$D$1+1)*100</f>
        <v>92.352864790478662</v>
      </c>
      <c r="AH129" s="34" t="str">
        <f>YEAR(CurrentMtgRatesDataTable8711121314[[#This Row],[asofdate]])&amp;"-"&amp;MONTH(CurrentMtgRatesDataTable8711121314[[#This Row],[asofdate]])</f>
        <v>2013-9</v>
      </c>
      <c r="AI129" s="34">
        <f>CurrentMtgRatesDataTable8711121314[[#This Row],[SeriesNumValue]]</f>
        <v>1.3852929718571799E-2</v>
      </c>
      <c r="AJ129" s="34">
        <f>VLOOKUP(CurrentMtgRatesDataTable8711121314[[#This Row],[asofdate]],P:R,2,0)</f>
        <v>4.59432838113287E-2</v>
      </c>
      <c r="AK129" s="30">
        <f>IF(VLOOKUP(CurrentMtgRatesDataTable8711121314[[#This Row],[asofdate]],U:W,2,0)&lt;&gt;0,VLOOKUP(CurrentMtgRatesDataTable8711121314[[#This Row],[asofdate]],U:W,2,0),AK128)</f>
        <v>3.6128492494755901E-2</v>
      </c>
      <c r="AL129" s="30">
        <f>VLOOKUP(CurrentMtgRatesDataTable8711121314[[#This Row],[asofdate]],Z:AB,2,0)</f>
        <v>2.1507462507157401E-2</v>
      </c>
      <c r="AM129" s="30">
        <f>CurrentMtgRatesDataTable8711121314[[#This Row],[FHA]]+0.5*CurrentMtgRatesDataTable8711121314[[#This Row],[Conventional]]</f>
        <v>5.28697486706146E-2</v>
      </c>
      <c r="AN129" s="30">
        <f>2*CurrentMtgRatesDataTable8711121314[[#This Row],[FHA]]</f>
        <v>9.18865676226574E-2</v>
      </c>
      <c r="AO129" s="11">
        <f>VLOOKUP(YEAR(CurrentMtgRatesDataTable8711121314[[#This Row],[asofdate]]),OriginationVolume!$A:$N,8,FALSE)</f>
        <v>0.64153005464480872</v>
      </c>
      <c r="AP129" s="11">
        <f>VLOOKUP(YEAR(CurrentMtgRatesDataTable8711121314[[#This Row],[asofdate]]),OriginationVolume!$A:$N,9,FALSE)</f>
        <v>0.05</v>
      </c>
      <c r="AQ129" s="11">
        <f>VLOOKUP(YEAR(CurrentMtgRatesDataTable8711121314[[#This Row],[asofdate]]),OriginationVolume!$A:$N,10,FALSE)</f>
        <v>0.15</v>
      </c>
      <c r="AR129" s="11">
        <f>VLOOKUP(YEAR(CurrentMtgRatesDataTable8711121314[[#This Row],[asofdate]]),OriginationVolume!$A:$N,11,FALSE)</f>
        <v>0.14863387978142076</v>
      </c>
      <c r="AS129" s="11">
        <f>VLOOKUP(YEAR(CurrentMtgRatesDataTable8711121314[[#This Row],[asofdate]]),OriginationVolume!$A:$N,12,FALSE)</f>
        <v>7.6502732240437158E-3</v>
      </c>
      <c r="AT129" s="11">
        <f>VLOOKUP(YEAR(CurrentMtgRatesDataTable8711121314[[#This Row],[asofdate]]),OriginationVolume!$A:$N,13,FALSE)</f>
        <v>2.185792349726776E-3</v>
      </c>
      <c r="AU12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AW129" s="7" t="s">
        <v>147</v>
      </c>
      <c r="AX129" s="10">
        <v>10661815000</v>
      </c>
      <c r="AY129" s="31"/>
      <c r="BA129" s="7" t="s">
        <v>147</v>
      </c>
      <c r="BB129" s="10">
        <v>5775907000</v>
      </c>
      <c r="BC129" s="31"/>
      <c r="BE129" s="7" t="s">
        <v>147</v>
      </c>
      <c r="BF129" s="10">
        <v>46218367857.099998</v>
      </c>
      <c r="BG129" s="34"/>
      <c r="BI129" s="7" t="s">
        <v>147</v>
      </c>
      <c r="BJ129" s="10">
        <v>29780645857.099998</v>
      </c>
      <c r="BK129" s="34" t="str">
        <f>YEAR(CurrentMtgRatesDataTable871112131417[[#This Row],[asofdate]])&amp;"-"&amp;MONTH(CurrentMtgRatesDataTable871112131417[[#This Row],[asofdate]])</f>
        <v>2013-9</v>
      </c>
      <c r="BL129" s="34">
        <f>CurrentMtgRatesDataTable871112131417[[#This Row],[SeriesNumValue]]</f>
        <v>29780645857.099998</v>
      </c>
      <c r="BM129" s="34">
        <f>VLOOKUP(CurrentMtgRatesDataTable871112131417[[#This Row],[asofdate]],AW:AX,2,0)</f>
        <v>10661815000</v>
      </c>
      <c r="BN129" s="30">
        <f>IF(VLOOKUP(CurrentMtgRatesDataTable871112131417[[#This Row],[asofdate]],BA:BB,2,0)&lt;&gt;0,VLOOKUP(CurrentMtgRatesDataTable871112131417[[#This Row],[asofdate]],BA:BB,2,0),BN128)</f>
        <v>5775907000</v>
      </c>
      <c r="BO129" s="30">
        <f>VLOOKUP(CurrentMtgRatesDataTable871112131417[[#This Row],[asofdate]],BE:BF,2,0)</f>
        <v>46218367857.099998</v>
      </c>
    </row>
    <row r="130" spans="1:67" s="8" customFormat="1">
      <c r="A130" s="7" t="s">
        <v>11</v>
      </c>
      <c r="B130" s="10">
        <v>1.5156340459755E-2</v>
      </c>
      <c r="C130" s="10" t="str">
        <f>YEAR(CurrentMtgRatesDataTable8[[#This Row],[asofdate]])&amp;"-"&amp;MONTH(CurrentMtgRatesDataTable8[[#This Row],[asofdate]])</f>
        <v>2013-10</v>
      </c>
      <c r="D130" s="6">
        <f>((CurrentMtgRatesDataTable8[[#This Row],[SeriesNumValue]]-$D$1)/$D$1+1)*100</f>
        <v>101.0422697317</v>
      </c>
      <c r="E130" s="6"/>
      <c r="I130" s="7" t="s">
        <v>55</v>
      </c>
      <c r="J130" s="10">
        <v>2.0771989464414699E-2</v>
      </c>
      <c r="K130" s="10" t="str">
        <f>YEAR(CurrentMtgRatesDataTable89[[#This Row],[asofdate]])&amp;"-"&amp;MONTH(CurrentMtgRatesDataTable89[[#This Row],[asofdate]])</f>
        <v>2005-2</v>
      </c>
      <c r="L130" s="6">
        <f>((CurrentMtgRatesDataTable89[[#This Row],[SeriesNumValue]]-$D$1)/$D$1+1)*100</f>
        <v>138.47992976276467</v>
      </c>
      <c r="M130" s="6">
        <f>CurrentMtgRatesDataTable89[[#This Row],[Index]]-L131</f>
        <v>-1.8273430075039983</v>
      </c>
      <c r="P130" s="7" t="s">
        <v>11</v>
      </c>
      <c r="Q130" s="10">
        <v>5.0301606990154298E-2</v>
      </c>
      <c r="R130" s="31">
        <f>((CurrentMtgRatesDataTable8711[[#This Row],[SeriesNumValue]]-$D$1)/$D$1+1)*100</f>
        <v>335.34404660102865</v>
      </c>
      <c r="S130" s="31"/>
      <c r="U130" s="7" t="s">
        <v>11</v>
      </c>
      <c r="V130" s="10">
        <v>3.97317518471954E-2</v>
      </c>
      <c r="W130" s="31">
        <f>((CurrentMtgRatesDataTable871112[[#This Row],[SeriesNumValue]]-$D$1)/$D$1+1)*100</f>
        <v>264.87834564796935</v>
      </c>
      <c r="X130" s="31"/>
      <c r="Z130" s="7" t="s">
        <v>11</v>
      </c>
      <c r="AA130" s="10">
        <v>2.3411747429402299E-2</v>
      </c>
      <c r="AB130" s="34">
        <f>((CurrentMtgRatesDataTable87111213[[#This Row],[SeriesNumValue]]-$D$1)/$D$1+1)*100</f>
        <v>156.07831619601532</v>
      </c>
      <c r="AC130" s="34"/>
      <c r="AE130" s="7" t="s">
        <v>11</v>
      </c>
      <c r="AF130" s="10">
        <v>1.51215279764365E-2</v>
      </c>
      <c r="AG130" s="34">
        <f>((CurrentMtgRatesDataTable8711121314[[#This Row],[SeriesNumValue]]-$D$1)/$D$1+1)*100</f>
        <v>100.81018650957667</v>
      </c>
      <c r="AH130" s="34" t="str">
        <f>YEAR(CurrentMtgRatesDataTable8711121314[[#This Row],[asofdate]])&amp;"-"&amp;MONTH(CurrentMtgRatesDataTable8711121314[[#This Row],[asofdate]])</f>
        <v>2013-10</v>
      </c>
      <c r="AI130" s="34">
        <f>CurrentMtgRatesDataTable8711121314[[#This Row],[SeriesNumValue]]</f>
        <v>1.51215279764365E-2</v>
      </c>
      <c r="AJ130" s="34">
        <f>VLOOKUP(CurrentMtgRatesDataTable8711121314[[#This Row],[asofdate]],P:R,2,0)</f>
        <v>5.0301606990154298E-2</v>
      </c>
      <c r="AK130" s="30">
        <f>IF(VLOOKUP(CurrentMtgRatesDataTable8711121314[[#This Row],[asofdate]],U:W,2,0)&lt;&gt;0,VLOOKUP(CurrentMtgRatesDataTable8711121314[[#This Row],[asofdate]],U:W,2,0),AK129)</f>
        <v>3.97317518471954E-2</v>
      </c>
      <c r="AL130" s="30">
        <f>VLOOKUP(CurrentMtgRatesDataTable8711121314[[#This Row],[asofdate]],Z:AB,2,0)</f>
        <v>2.3411747429402299E-2</v>
      </c>
      <c r="AM130" s="30">
        <f>CurrentMtgRatesDataTable8711121314[[#This Row],[FHA]]+0.5*CurrentMtgRatesDataTable8711121314[[#This Row],[Conventional]]</f>
        <v>5.7862370978372546E-2</v>
      </c>
      <c r="AN130" s="30">
        <f>2*CurrentMtgRatesDataTable8711121314[[#This Row],[FHA]]</f>
        <v>0.1006032139803086</v>
      </c>
      <c r="AO130" s="11">
        <f>VLOOKUP(YEAR(CurrentMtgRatesDataTable8711121314[[#This Row],[asofdate]]),OriginationVolume!$A:$N,8,FALSE)</f>
        <v>0.64153005464480872</v>
      </c>
      <c r="AP130" s="11">
        <f>VLOOKUP(YEAR(CurrentMtgRatesDataTable8711121314[[#This Row],[asofdate]]),OriginationVolume!$A:$N,9,FALSE)</f>
        <v>0.05</v>
      </c>
      <c r="AQ130" s="11">
        <f>VLOOKUP(YEAR(CurrentMtgRatesDataTable8711121314[[#This Row],[asofdate]]),OriginationVolume!$A:$N,10,FALSE)</f>
        <v>0.15</v>
      </c>
      <c r="AR130" s="11">
        <f>VLOOKUP(YEAR(CurrentMtgRatesDataTable8711121314[[#This Row],[asofdate]]),OriginationVolume!$A:$N,11,FALSE)</f>
        <v>0.14863387978142076</v>
      </c>
      <c r="AS130" s="11">
        <f>VLOOKUP(YEAR(CurrentMtgRatesDataTable8711121314[[#This Row],[asofdate]]),OriginationVolume!$A:$N,12,FALSE)</f>
        <v>7.6502732240437158E-3</v>
      </c>
      <c r="AT130" s="11">
        <f>VLOOKUP(YEAR(CurrentMtgRatesDataTable8711121314[[#This Row],[asofdate]]),OriginationVolume!$A:$N,13,FALSE)</f>
        <v>2.185792349726776E-3</v>
      </c>
      <c r="AU13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AW130" s="7" t="s">
        <v>11</v>
      </c>
      <c r="AX130" s="10">
        <v>10036843000</v>
      </c>
      <c r="AY130" s="31"/>
      <c r="BA130" s="7" t="s">
        <v>11</v>
      </c>
      <c r="BB130" s="10">
        <v>5564810000</v>
      </c>
      <c r="BC130" s="31"/>
      <c r="BE130" s="7" t="s">
        <v>11</v>
      </c>
      <c r="BF130" s="10">
        <v>44316539758.709999</v>
      </c>
      <c r="BG130" s="34"/>
      <c r="BI130" s="7" t="s">
        <v>11</v>
      </c>
      <c r="BJ130" s="10">
        <v>28714886758.709999</v>
      </c>
      <c r="BK130" s="34" t="str">
        <f>YEAR(CurrentMtgRatesDataTable871112131417[[#This Row],[asofdate]])&amp;"-"&amp;MONTH(CurrentMtgRatesDataTable871112131417[[#This Row],[asofdate]])</f>
        <v>2013-10</v>
      </c>
      <c r="BL130" s="34">
        <f>CurrentMtgRatesDataTable871112131417[[#This Row],[SeriesNumValue]]</f>
        <v>28714886758.709999</v>
      </c>
      <c r="BM130" s="34">
        <f>VLOOKUP(CurrentMtgRatesDataTable871112131417[[#This Row],[asofdate]],AW:AX,2,0)</f>
        <v>10036843000</v>
      </c>
      <c r="BN130" s="30">
        <f>IF(VLOOKUP(CurrentMtgRatesDataTable871112131417[[#This Row],[asofdate]],BA:BB,2,0)&lt;&gt;0,VLOOKUP(CurrentMtgRatesDataTable871112131417[[#This Row],[asofdate]],BA:BB,2,0),BN129)</f>
        <v>5564810000</v>
      </c>
      <c r="BO130" s="30">
        <f>VLOOKUP(CurrentMtgRatesDataTable871112131417[[#This Row],[asofdate]],BE:BF,2,0)</f>
        <v>44316539758.709999</v>
      </c>
    </row>
    <row r="131" spans="1:67" s="8" customFormat="1">
      <c r="A131" s="7" t="s">
        <v>20</v>
      </c>
      <c r="B131" s="10">
        <v>1.6601946320048199E-2</v>
      </c>
      <c r="C131" s="10" t="str">
        <f>YEAR(CurrentMtgRatesDataTable8[[#This Row],[asofdate]])&amp;"-"&amp;MONTH(CurrentMtgRatesDataTable8[[#This Row],[asofdate]])</f>
        <v>2013-11</v>
      </c>
      <c r="D131" s="6">
        <f>((CurrentMtgRatesDataTable8[[#This Row],[SeriesNumValue]]-$D$1)/$D$1+1)*100</f>
        <v>110.67964213365467</v>
      </c>
      <c r="E131" s="6"/>
      <c r="I131" s="7" t="s">
        <v>54</v>
      </c>
      <c r="J131" s="10">
        <v>2.10460909155403E-2</v>
      </c>
      <c r="K131" s="10" t="str">
        <f>YEAR(CurrentMtgRatesDataTable89[[#This Row],[asofdate]])&amp;"-"&amp;MONTH(CurrentMtgRatesDataTable89[[#This Row],[asofdate]])</f>
        <v>2005-1</v>
      </c>
      <c r="L131" s="6">
        <f>((CurrentMtgRatesDataTable89[[#This Row],[SeriesNumValue]]-$D$1)/$D$1+1)*100</f>
        <v>140.30727277026867</v>
      </c>
      <c r="M131" s="6">
        <f>CurrentMtgRatesDataTable89[[#This Row],[Index]]-L132</f>
        <v>-0.84402962013999172</v>
      </c>
      <c r="P131" s="7" t="s">
        <v>20</v>
      </c>
      <c r="Q131" s="10">
        <v>5.28326536481473E-2</v>
      </c>
      <c r="R131" s="31">
        <f>((CurrentMtgRatesDataTable8711[[#This Row],[SeriesNumValue]]-$D$1)/$D$1+1)*100</f>
        <v>352.21769098764872</v>
      </c>
      <c r="S131" s="31"/>
      <c r="U131" s="7" t="s">
        <v>20</v>
      </c>
      <c r="V131" s="10">
        <v>4.2534373017318799E-2</v>
      </c>
      <c r="W131" s="31">
        <f>((CurrentMtgRatesDataTable871112[[#This Row],[SeriesNumValue]]-$D$1)/$D$1+1)*100</f>
        <v>283.56248678212535</v>
      </c>
      <c r="X131" s="31"/>
      <c r="Z131" s="7" t="s">
        <v>20</v>
      </c>
      <c r="AA131" s="10">
        <v>2.4966672353050799E-2</v>
      </c>
      <c r="AB131" s="34">
        <f>((CurrentMtgRatesDataTable87111213[[#This Row],[SeriesNumValue]]-$D$1)/$D$1+1)*100</f>
        <v>166.44448235367199</v>
      </c>
      <c r="AC131" s="34"/>
      <c r="AE131" s="7" t="s">
        <v>20</v>
      </c>
      <c r="AF131" s="10">
        <v>1.5960902616382399E-2</v>
      </c>
      <c r="AG131" s="34">
        <f>((CurrentMtgRatesDataTable8711121314[[#This Row],[SeriesNumValue]]-$D$1)/$D$1+1)*100</f>
        <v>106.40601744254934</v>
      </c>
      <c r="AH131" s="34" t="str">
        <f>YEAR(CurrentMtgRatesDataTable8711121314[[#This Row],[asofdate]])&amp;"-"&amp;MONTH(CurrentMtgRatesDataTable8711121314[[#This Row],[asofdate]])</f>
        <v>2013-11</v>
      </c>
      <c r="AI131" s="34">
        <f>CurrentMtgRatesDataTable8711121314[[#This Row],[SeriesNumValue]]</f>
        <v>1.5960902616382399E-2</v>
      </c>
      <c r="AJ131" s="34">
        <f>VLOOKUP(CurrentMtgRatesDataTable8711121314[[#This Row],[asofdate]],P:R,2,0)</f>
        <v>5.28326536481473E-2</v>
      </c>
      <c r="AK131" s="30">
        <f>IF(VLOOKUP(CurrentMtgRatesDataTable8711121314[[#This Row],[asofdate]],U:W,2,0)&lt;&gt;0,VLOOKUP(CurrentMtgRatesDataTable8711121314[[#This Row],[asofdate]],U:W,2,0),AK130)</f>
        <v>4.2534373017318799E-2</v>
      </c>
      <c r="AL131" s="30">
        <f>VLOOKUP(CurrentMtgRatesDataTable8711121314[[#This Row],[asofdate]],Z:AB,2,0)</f>
        <v>2.4966672353050799E-2</v>
      </c>
      <c r="AM131" s="30">
        <f>CurrentMtgRatesDataTable8711121314[[#This Row],[FHA]]+0.5*CurrentMtgRatesDataTable8711121314[[#This Row],[Conventional]]</f>
        <v>6.0813104956338501E-2</v>
      </c>
      <c r="AN131" s="30">
        <f>2*CurrentMtgRatesDataTable8711121314[[#This Row],[FHA]]</f>
        <v>0.1056653072962946</v>
      </c>
      <c r="AO131" s="11">
        <f>VLOOKUP(YEAR(CurrentMtgRatesDataTable8711121314[[#This Row],[asofdate]]),OriginationVolume!$A:$N,8,FALSE)</f>
        <v>0.64153005464480872</v>
      </c>
      <c r="AP131" s="11">
        <f>VLOOKUP(YEAR(CurrentMtgRatesDataTable8711121314[[#This Row],[asofdate]]),OriginationVolume!$A:$N,9,FALSE)</f>
        <v>0.05</v>
      </c>
      <c r="AQ131" s="11">
        <f>VLOOKUP(YEAR(CurrentMtgRatesDataTable8711121314[[#This Row],[asofdate]]),OriginationVolume!$A:$N,10,FALSE)</f>
        <v>0.15</v>
      </c>
      <c r="AR131" s="11">
        <f>VLOOKUP(YEAR(CurrentMtgRatesDataTable8711121314[[#This Row],[asofdate]]),OriginationVolume!$A:$N,11,FALSE)</f>
        <v>0.14863387978142076</v>
      </c>
      <c r="AS131" s="11">
        <f>VLOOKUP(YEAR(CurrentMtgRatesDataTable8711121314[[#This Row],[asofdate]]),OriginationVolume!$A:$N,12,FALSE)</f>
        <v>7.6502732240437158E-3</v>
      </c>
      <c r="AT131" s="11">
        <f>VLOOKUP(YEAR(CurrentMtgRatesDataTable8711121314[[#This Row],[asofdate]]),OriginationVolume!$A:$N,13,FALSE)</f>
        <v>2.185792349726776E-3</v>
      </c>
      <c r="AU13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AW131" s="7" t="s">
        <v>20</v>
      </c>
      <c r="AX131" s="10">
        <v>8699123000</v>
      </c>
      <c r="AY131" s="31"/>
      <c r="BA131" s="7" t="s">
        <v>20</v>
      </c>
      <c r="BB131" s="10">
        <v>4691710000</v>
      </c>
      <c r="BC131" s="31"/>
      <c r="BE131" s="7" t="s">
        <v>20</v>
      </c>
      <c r="BF131" s="10">
        <v>37258942631.82</v>
      </c>
      <c r="BG131" s="34"/>
      <c r="BI131" s="7" t="s">
        <v>20</v>
      </c>
      <c r="BJ131" s="10">
        <v>23868109631.82</v>
      </c>
      <c r="BK131" s="34" t="str">
        <f>YEAR(CurrentMtgRatesDataTable871112131417[[#This Row],[asofdate]])&amp;"-"&amp;MONTH(CurrentMtgRatesDataTable871112131417[[#This Row],[asofdate]])</f>
        <v>2013-11</v>
      </c>
      <c r="BL131" s="34">
        <f>CurrentMtgRatesDataTable871112131417[[#This Row],[SeriesNumValue]]</f>
        <v>23868109631.82</v>
      </c>
      <c r="BM131" s="34">
        <f>VLOOKUP(CurrentMtgRatesDataTable871112131417[[#This Row],[asofdate]],AW:AX,2,0)</f>
        <v>8699123000</v>
      </c>
      <c r="BN131" s="30">
        <f>IF(VLOOKUP(CurrentMtgRatesDataTable871112131417[[#This Row],[asofdate]],BA:BB,2,0)&lt;&gt;0,VLOOKUP(CurrentMtgRatesDataTable871112131417[[#This Row],[asofdate]],BA:BB,2,0),BN130)</f>
        <v>4691710000</v>
      </c>
      <c r="BO131" s="30">
        <f>VLOOKUP(CurrentMtgRatesDataTable871112131417[[#This Row],[asofdate]],BE:BF,2,0)</f>
        <v>37258942631.82</v>
      </c>
    </row>
    <row r="132" spans="1:67" s="8" customFormat="1">
      <c r="A132" s="7" t="s">
        <v>148</v>
      </c>
      <c r="B132" s="10">
        <v>1.74052809343711E-2</v>
      </c>
      <c r="C132" s="10" t="str">
        <f>YEAR(CurrentMtgRatesDataTable8[[#This Row],[asofdate]])&amp;"-"&amp;MONTH(CurrentMtgRatesDataTable8[[#This Row],[asofdate]])</f>
        <v>2013-12</v>
      </c>
      <c r="D132" s="6">
        <f>((CurrentMtgRatesDataTable8[[#This Row],[SeriesNumValue]]-$D$1)/$D$1+1)*100</f>
        <v>116.03520622914067</v>
      </c>
      <c r="E132" s="6"/>
      <c r="I132" s="7" t="s">
        <v>53</v>
      </c>
      <c r="J132" s="10">
        <v>2.11726953585613E-2</v>
      </c>
      <c r="K132" s="10" t="str">
        <f>YEAR(CurrentMtgRatesDataTable89[[#This Row],[asofdate]])&amp;"-"&amp;MONTH(CurrentMtgRatesDataTable89[[#This Row],[asofdate]])</f>
        <v>2004-12</v>
      </c>
      <c r="L132" s="6">
        <f>((CurrentMtgRatesDataTable89[[#This Row],[SeriesNumValue]]-$D$1)/$D$1+1)*100</f>
        <v>141.15130239040866</v>
      </c>
      <c r="M132" s="6">
        <f>CurrentMtgRatesDataTable89[[#This Row],[Index]]-L133</f>
        <v>-4.8121102030293628</v>
      </c>
      <c r="P132" s="7" t="s">
        <v>148</v>
      </c>
      <c r="Q132" s="10">
        <v>5.8020706017923598E-2</v>
      </c>
      <c r="R132" s="31">
        <f>((CurrentMtgRatesDataTable8711[[#This Row],[SeriesNumValue]]-$D$1)/$D$1+1)*100</f>
        <v>386.80470678615734</v>
      </c>
      <c r="S132" s="31"/>
      <c r="U132" s="7" t="s">
        <v>148</v>
      </c>
      <c r="V132" s="10">
        <v>4.6547078626505201E-2</v>
      </c>
      <c r="W132" s="31">
        <f>((CurrentMtgRatesDataTable871112[[#This Row],[SeriesNumValue]]-$D$1)/$D$1+1)*100</f>
        <v>310.31385751003467</v>
      </c>
      <c r="X132" s="31"/>
      <c r="Z132" s="7" t="s">
        <v>148</v>
      </c>
      <c r="AA132" s="10">
        <v>2.7542770105444501E-2</v>
      </c>
      <c r="AB132" s="34">
        <f>((CurrentMtgRatesDataTable87111213[[#This Row],[SeriesNumValue]]-$D$1)/$D$1+1)*100</f>
        <v>183.61846736963003</v>
      </c>
      <c r="AC132" s="34"/>
      <c r="AE132" s="7" t="s">
        <v>148</v>
      </c>
      <c r="AF132" s="10">
        <v>1.7515607394978299E-2</v>
      </c>
      <c r="AG132" s="34">
        <f>((CurrentMtgRatesDataTable8711121314[[#This Row],[SeriesNumValue]]-$D$1)/$D$1+1)*100</f>
        <v>116.770715966522</v>
      </c>
      <c r="AH132" s="34" t="str">
        <f>YEAR(CurrentMtgRatesDataTable8711121314[[#This Row],[asofdate]])&amp;"-"&amp;MONTH(CurrentMtgRatesDataTable8711121314[[#This Row],[asofdate]])</f>
        <v>2013-12</v>
      </c>
      <c r="AI132" s="34">
        <f>CurrentMtgRatesDataTable8711121314[[#This Row],[SeriesNumValue]]</f>
        <v>1.7515607394978299E-2</v>
      </c>
      <c r="AJ132" s="34">
        <f>VLOOKUP(CurrentMtgRatesDataTable8711121314[[#This Row],[asofdate]],P:R,2,0)</f>
        <v>5.8020706017923598E-2</v>
      </c>
      <c r="AK132" s="30">
        <f>IF(VLOOKUP(CurrentMtgRatesDataTable8711121314[[#This Row],[asofdate]],U:W,2,0)&lt;&gt;0,VLOOKUP(CurrentMtgRatesDataTable8711121314[[#This Row],[asofdate]],U:W,2,0),AK131)</f>
        <v>4.6547078626505201E-2</v>
      </c>
      <c r="AL132" s="30">
        <f>VLOOKUP(CurrentMtgRatesDataTable8711121314[[#This Row],[asofdate]],Z:AB,2,0)</f>
        <v>2.7542770105444501E-2</v>
      </c>
      <c r="AM132" s="30">
        <f>CurrentMtgRatesDataTable8711121314[[#This Row],[FHA]]+0.5*CurrentMtgRatesDataTable8711121314[[#This Row],[Conventional]]</f>
        <v>6.6778509715412743E-2</v>
      </c>
      <c r="AN132" s="30">
        <f>2*CurrentMtgRatesDataTable8711121314[[#This Row],[FHA]]</f>
        <v>0.1160414120358472</v>
      </c>
      <c r="AO132" s="11">
        <f>VLOOKUP(YEAR(CurrentMtgRatesDataTable8711121314[[#This Row],[asofdate]]),OriginationVolume!$A:$N,8,FALSE)</f>
        <v>0.64153005464480872</v>
      </c>
      <c r="AP132" s="11">
        <f>VLOOKUP(YEAR(CurrentMtgRatesDataTable8711121314[[#This Row],[asofdate]]),OriginationVolume!$A:$N,9,FALSE)</f>
        <v>0.05</v>
      </c>
      <c r="AQ132" s="11">
        <f>VLOOKUP(YEAR(CurrentMtgRatesDataTable8711121314[[#This Row],[asofdate]]),OriginationVolume!$A:$N,10,FALSE)</f>
        <v>0.15</v>
      </c>
      <c r="AR132" s="11">
        <f>VLOOKUP(YEAR(CurrentMtgRatesDataTable8711121314[[#This Row],[asofdate]]),OriginationVolume!$A:$N,11,FALSE)</f>
        <v>0.14863387978142076</v>
      </c>
      <c r="AS132" s="11">
        <f>VLOOKUP(YEAR(CurrentMtgRatesDataTable8711121314[[#This Row],[asofdate]]),OriginationVolume!$A:$N,12,FALSE)</f>
        <v>7.6502732240437158E-3</v>
      </c>
      <c r="AT132" s="11">
        <f>VLOOKUP(YEAR(CurrentMtgRatesDataTable8711121314[[#This Row],[asofdate]]),OriginationVolume!$A:$N,13,FALSE)</f>
        <v>2.185792349726776E-3</v>
      </c>
      <c r="AU13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AW132" s="7" t="s">
        <v>148</v>
      </c>
      <c r="AX132" s="10">
        <v>8631008000</v>
      </c>
      <c r="AY132" s="31"/>
      <c r="BA132" s="7" t="s">
        <v>148</v>
      </c>
      <c r="BB132" s="10">
        <v>4587111000</v>
      </c>
      <c r="BC132" s="31"/>
      <c r="BE132" s="7" t="s">
        <v>148</v>
      </c>
      <c r="BF132" s="10">
        <v>36403153126.440002</v>
      </c>
      <c r="BG132" s="34"/>
      <c r="BI132" s="7" t="s">
        <v>148</v>
      </c>
      <c r="BJ132" s="10">
        <v>23185034126.439999</v>
      </c>
      <c r="BK132" s="34" t="str">
        <f>YEAR(CurrentMtgRatesDataTable871112131417[[#This Row],[asofdate]])&amp;"-"&amp;MONTH(CurrentMtgRatesDataTable871112131417[[#This Row],[asofdate]])</f>
        <v>2013-12</v>
      </c>
      <c r="BL132" s="34">
        <f>CurrentMtgRatesDataTable871112131417[[#This Row],[SeriesNumValue]]</f>
        <v>23185034126.439999</v>
      </c>
      <c r="BM132" s="34">
        <f>VLOOKUP(CurrentMtgRatesDataTable871112131417[[#This Row],[asofdate]],AW:AX,2,0)</f>
        <v>8631008000</v>
      </c>
      <c r="BN132" s="30">
        <f>IF(VLOOKUP(CurrentMtgRatesDataTable871112131417[[#This Row],[asofdate]],BA:BB,2,0)&lt;&gt;0,VLOOKUP(CurrentMtgRatesDataTable871112131417[[#This Row],[asofdate]],BA:BB,2,0),BN131)</f>
        <v>4587111000</v>
      </c>
      <c r="BO132" s="30">
        <f>VLOOKUP(CurrentMtgRatesDataTable871112131417[[#This Row],[asofdate]],BE:BF,2,0)</f>
        <v>36403153126.440002</v>
      </c>
    </row>
    <row r="133" spans="1:67" s="8" customFormat="1">
      <c r="A133" s="7" t="s">
        <v>149</v>
      </c>
      <c r="B133" s="10">
        <v>1.5698185728227902E-2</v>
      </c>
      <c r="C133" s="10" t="str">
        <f>YEAR(CurrentMtgRatesDataTable8[[#This Row],[asofdate]])&amp;"-"&amp;MONTH(CurrentMtgRatesDataTable8[[#This Row],[asofdate]])</f>
        <v>2014-1</v>
      </c>
      <c r="D133" s="6">
        <f>((CurrentMtgRatesDataTable8[[#This Row],[SeriesNumValue]]-$D$1)/$D$1+1)*100</f>
        <v>104.65457152151936</v>
      </c>
      <c r="E133" s="6"/>
      <c r="I133" s="7" t="s">
        <v>52</v>
      </c>
      <c r="J133" s="10">
        <v>2.18945118890157E-2</v>
      </c>
      <c r="K133" s="10" t="str">
        <f>YEAR(CurrentMtgRatesDataTable89[[#This Row],[asofdate]])&amp;"-"&amp;MONTH(CurrentMtgRatesDataTable89[[#This Row],[asofdate]])</f>
        <v>2004-11</v>
      </c>
      <c r="L133" s="6">
        <f>((CurrentMtgRatesDataTable89[[#This Row],[SeriesNumValue]]-$D$1)/$D$1+1)*100</f>
        <v>145.96341259343802</v>
      </c>
      <c r="M133" s="6">
        <f>CurrentMtgRatesDataTable89[[#This Row],[Index]]-L134</f>
        <v>-4.2427682041106607</v>
      </c>
      <c r="P133" s="7" t="s">
        <v>149</v>
      </c>
      <c r="Q133" s="10">
        <v>5.3732575289805497E-2</v>
      </c>
      <c r="R133" s="31">
        <f>((CurrentMtgRatesDataTable8711[[#This Row],[SeriesNumValue]]-$D$1)/$D$1+1)*100</f>
        <v>358.21716859870332</v>
      </c>
      <c r="S133" s="31"/>
      <c r="U133" s="7" t="s">
        <v>149</v>
      </c>
      <c r="V133" s="10">
        <v>4.33860973163313E-2</v>
      </c>
      <c r="W133" s="31">
        <f>((CurrentMtgRatesDataTable871112[[#This Row],[SeriesNumValue]]-$D$1)/$D$1+1)*100</f>
        <v>289.24064877554201</v>
      </c>
      <c r="X133" s="31"/>
      <c r="Z133" s="7" t="s">
        <v>149</v>
      </c>
      <c r="AA133" s="10">
        <v>2.5488779254130799E-2</v>
      </c>
      <c r="AB133" s="34">
        <f>((CurrentMtgRatesDataTable87111213[[#This Row],[SeriesNumValue]]-$D$1)/$D$1+1)*100</f>
        <v>169.92519502753868</v>
      </c>
      <c r="AC133" s="34"/>
      <c r="AE133" s="7" t="s">
        <v>149</v>
      </c>
      <c r="AF133" s="10">
        <v>1.6092987998410201E-2</v>
      </c>
      <c r="AG133" s="34">
        <f>((CurrentMtgRatesDataTable8711121314[[#This Row],[SeriesNumValue]]-$D$1)/$D$1+1)*100</f>
        <v>107.28658665606801</v>
      </c>
      <c r="AH133" s="34" t="str">
        <f>YEAR(CurrentMtgRatesDataTable8711121314[[#This Row],[asofdate]])&amp;"-"&amp;MONTH(CurrentMtgRatesDataTable8711121314[[#This Row],[asofdate]])</f>
        <v>2014-1</v>
      </c>
      <c r="AI133" s="34">
        <f>CurrentMtgRatesDataTable8711121314[[#This Row],[SeriesNumValue]]</f>
        <v>1.6092987998410201E-2</v>
      </c>
      <c r="AJ133" s="34">
        <f>VLOOKUP(CurrentMtgRatesDataTable8711121314[[#This Row],[asofdate]],P:R,2,0)</f>
        <v>5.3732575289805497E-2</v>
      </c>
      <c r="AK133" s="30">
        <f>IF(VLOOKUP(CurrentMtgRatesDataTable8711121314[[#This Row],[asofdate]],U:W,2,0)&lt;&gt;0,VLOOKUP(CurrentMtgRatesDataTable8711121314[[#This Row],[asofdate]],U:W,2,0),AK132)</f>
        <v>4.33860973163313E-2</v>
      </c>
      <c r="AL133" s="30">
        <f>VLOOKUP(CurrentMtgRatesDataTable8711121314[[#This Row],[asofdate]],Z:AB,2,0)</f>
        <v>2.5488779254130799E-2</v>
      </c>
      <c r="AM133" s="30">
        <f>CurrentMtgRatesDataTable8711121314[[#This Row],[FHA]]+0.5*CurrentMtgRatesDataTable8711121314[[#This Row],[Conventional]]</f>
        <v>6.1779069289010599E-2</v>
      </c>
      <c r="AN133" s="30">
        <f>2*CurrentMtgRatesDataTable8711121314[[#This Row],[FHA]]</f>
        <v>0.10746515057961099</v>
      </c>
      <c r="AO133" s="11">
        <f>VLOOKUP(YEAR(CurrentMtgRatesDataTable8711121314[[#This Row],[asofdate]]),OriginationVolume!$A:$N,8,FALSE)</f>
        <v>0.55517536355859709</v>
      </c>
      <c r="AP133" s="11">
        <f>VLOOKUP(YEAR(CurrentMtgRatesDataTable8711121314[[#This Row],[asofdate]]),OriginationVolume!$A:$N,9,FALSE)</f>
        <v>5.9238665526090674E-2</v>
      </c>
      <c r="AQ133" s="11">
        <f>VLOOKUP(YEAR(CurrentMtgRatesDataTable8711121314[[#This Row],[asofdate]]),OriginationVolume!$A:$N,10,FALSE)</f>
        <v>0.17771599657827203</v>
      </c>
      <c r="AR133" s="11">
        <f>VLOOKUP(YEAR(CurrentMtgRatesDataTable8711121314[[#This Row],[asofdate]]),OriginationVolume!$A:$N,11,FALSE)</f>
        <v>0.20102651839178784</v>
      </c>
      <c r="AS133" s="11">
        <f>VLOOKUP(YEAR(CurrentMtgRatesDataTable8711121314[[#This Row],[asofdate]]),OriginationVolume!$A:$N,12,FALSE)</f>
        <v>3.4217279726261761E-3</v>
      </c>
      <c r="AT133" s="11">
        <f>VLOOKUP(YEAR(CurrentMtgRatesDataTable8711121314[[#This Row],[asofdate]]),OriginationVolume!$A:$N,13,FALSE)</f>
        <v>3.4217279726261761E-3</v>
      </c>
      <c r="AU13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AW133" s="7" t="s">
        <v>149</v>
      </c>
      <c r="AX133" s="10">
        <v>7490924000</v>
      </c>
      <c r="AY133" s="31"/>
      <c r="BA133" s="7" t="s">
        <v>149</v>
      </c>
      <c r="BB133" s="10">
        <v>4016989000</v>
      </c>
      <c r="BC133" s="31"/>
      <c r="BE133" s="7" t="s">
        <v>149</v>
      </c>
      <c r="BF133" s="10">
        <v>31415157431.299999</v>
      </c>
      <c r="BG133" s="34"/>
      <c r="BI133" s="7" t="s">
        <v>149</v>
      </c>
      <c r="BJ133" s="10">
        <v>19907244431.299999</v>
      </c>
      <c r="BK133" s="34" t="str">
        <f>YEAR(CurrentMtgRatesDataTable871112131417[[#This Row],[asofdate]])&amp;"-"&amp;MONTH(CurrentMtgRatesDataTable871112131417[[#This Row],[asofdate]])</f>
        <v>2014-1</v>
      </c>
      <c r="BL133" s="34">
        <f>CurrentMtgRatesDataTable871112131417[[#This Row],[SeriesNumValue]]</f>
        <v>19907244431.299999</v>
      </c>
      <c r="BM133" s="34">
        <f>VLOOKUP(CurrentMtgRatesDataTable871112131417[[#This Row],[asofdate]],AW:AX,2,0)</f>
        <v>7490924000</v>
      </c>
      <c r="BN133" s="30">
        <f>IF(VLOOKUP(CurrentMtgRatesDataTable871112131417[[#This Row],[asofdate]],BA:BB,2,0)&lt;&gt;0,VLOOKUP(CurrentMtgRatesDataTable871112131417[[#This Row],[asofdate]],BA:BB,2,0),BN132)</f>
        <v>4016989000</v>
      </c>
      <c r="BO133" s="30">
        <f>VLOOKUP(CurrentMtgRatesDataTable871112131417[[#This Row],[asofdate]],BE:BF,2,0)</f>
        <v>31415157431.299999</v>
      </c>
    </row>
    <row r="134" spans="1:67" s="8" customFormat="1">
      <c r="A134" s="7" t="s">
        <v>150</v>
      </c>
      <c r="B134" s="10">
        <v>1.55164512382632E-2</v>
      </c>
      <c r="C134" s="10" t="str">
        <f>YEAR(CurrentMtgRatesDataTable8[[#This Row],[asofdate]])&amp;"-"&amp;MONTH(CurrentMtgRatesDataTable8[[#This Row],[asofdate]])</f>
        <v>2014-2</v>
      </c>
      <c r="D134" s="6">
        <f>((CurrentMtgRatesDataTable8[[#This Row],[SeriesNumValue]]-$D$1)/$D$1+1)*100</f>
        <v>103.443008255088</v>
      </c>
      <c r="E134" s="6"/>
      <c r="I134" s="7" t="s">
        <v>51</v>
      </c>
      <c r="J134" s="10">
        <v>2.25309271196323E-2</v>
      </c>
      <c r="K134" s="10" t="str">
        <f>YEAR(CurrentMtgRatesDataTable89[[#This Row],[asofdate]])&amp;"-"&amp;MONTH(CurrentMtgRatesDataTable89[[#This Row],[asofdate]])</f>
        <v>2004-10</v>
      </c>
      <c r="L134" s="6">
        <f>((CurrentMtgRatesDataTable89[[#This Row],[SeriesNumValue]]-$D$1)/$D$1+1)*100</f>
        <v>150.20618079754868</v>
      </c>
      <c r="M134" s="6">
        <f>CurrentMtgRatesDataTable89[[#This Row],[Index]]-L135</f>
        <v>-4.5912796032726249</v>
      </c>
      <c r="P134" s="7" t="s">
        <v>150</v>
      </c>
      <c r="Q134" s="10">
        <v>5.0638509422985097E-2</v>
      </c>
      <c r="R134" s="31">
        <f>((CurrentMtgRatesDataTable8711[[#This Row],[SeriesNumValue]]-$D$1)/$D$1+1)*100</f>
        <v>337.59006281990065</v>
      </c>
      <c r="S134" s="31"/>
      <c r="U134" s="7" t="s">
        <v>150</v>
      </c>
      <c r="V134" s="10">
        <v>3.9774229888142401E-2</v>
      </c>
      <c r="W134" s="31">
        <f>((CurrentMtgRatesDataTable871112[[#This Row],[SeriesNumValue]]-$D$1)/$D$1+1)*100</f>
        <v>265.16153258761602</v>
      </c>
      <c r="X134" s="31"/>
      <c r="Z134" s="7" t="s">
        <v>150</v>
      </c>
      <c r="AA134" s="10">
        <v>2.4148287648052699E-2</v>
      </c>
      <c r="AB134" s="34">
        <f>((CurrentMtgRatesDataTable87111213[[#This Row],[SeriesNumValue]]-$D$1)/$D$1+1)*100</f>
        <v>160.98858432035135</v>
      </c>
      <c r="AC134" s="34"/>
      <c r="AE134" s="7" t="s">
        <v>150</v>
      </c>
      <c r="AF134" s="10">
        <v>1.5423133326643799E-2</v>
      </c>
      <c r="AG134" s="34">
        <f>((CurrentMtgRatesDataTable8711121314[[#This Row],[SeriesNumValue]]-$D$1)/$D$1+1)*100</f>
        <v>102.82088884429199</v>
      </c>
      <c r="AH134" s="34" t="str">
        <f>YEAR(CurrentMtgRatesDataTable8711121314[[#This Row],[asofdate]])&amp;"-"&amp;MONTH(CurrentMtgRatesDataTable8711121314[[#This Row],[asofdate]])</f>
        <v>2014-2</v>
      </c>
      <c r="AI134" s="34">
        <f>CurrentMtgRatesDataTable8711121314[[#This Row],[SeriesNumValue]]</f>
        <v>1.5423133326643799E-2</v>
      </c>
      <c r="AJ134" s="34">
        <f>VLOOKUP(CurrentMtgRatesDataTable8711121314[[#This Row],[asofdate]],P:R,2,0)</f>
        <v>5.0638509422985097E-2</v>
      </c>
      <c r="AK134" s="30">
        <f>IF(VLOOKUP(CurrentMtgRatesDataTable8711121314[[#This Row],[asofdate]],U:W,2,0)&lt;&gt;0,VLOOKUP(CurrentMtgRatesDataTable8711121314[[#This Row],[asofdate]],U:W,2,0),AK133)</f>
        <v>3.9774229888142401E-2</v>
      </c>
      <c r="AL134" s="30">
        <f>VLOOKUP(CurrentMtgRatesDataTable8711121314[[#This Row],[asofdate]],Z:AB,2,0)</f>
        <v>2.4148287648052699E-2</v>
      </c>
      <c r="AM134" s="30">
        <f>CurrentMtgRatesDataTable8711121314[[#This Row],[FHA]]+0.5*CurrentMtgRatesDataTable8711121314[[#This Row],[Conventional]]</f>
        <v>5.8350076086306997E-2</v>
      </c>
      <c r="AN134" s="30">
        <f>2*CurrentMtgRatesDataTable8711121314[[#This Row],[FHA]]</f>
        <v>0.10127701884597019</v>
      </c>
      <c r="AO134" s="11">
        <f>VLOOKUP(YEAR(CurrentMtgRatesDataTable8711121314[[#This Row],[asofdate]]),OriginationVolume!$A:$N,8,FALSE)</f>
        <v>0.55517536355859709</v>
      </c>
      <c r="AP134" s="11">
        <f>VLOOKUP(YEAR(CurrentMtgRatesDataTable8711121314[[#This Row],[asofdate]]),OriginationVolume!$A:$N,9,FALSE)</f>
        <v>5.9238665526090674E-2</v>
      </c>
      <c r="AQ134" s="11">
        <f>VLOOKUP(YEAR(CurrentMtgRatesDataTable8711121314[[#This Row],[asofdate]]),OriginationVolume!$A:$N,10,FALSE)</f>
        <v>0.17771599657827203</v>
      </c>
      <c r="AR134" s="11">
        <f>VLOOKUP(YEAR(CurrentMtgRatesDataTable8711121314[[#This Row],[asofdate]]),OriginationVolume!$A:$N,11,FALSE)</f>
        <v>0.20102651839178784</v>
      </c>
      <c r="AS134" s="11">
        <f>VLOOKUP(YEAR(CurrentMtgRatesDataTable8711121314[[#This Row],[asofdate]]),OriginationVolume!$A:$N,12,FALSE)</f>
        <v>3.4217279726261761E-3</v>
      </c>
      <c r="AT134" s="11">
        <f>VLOOKUP(YEAR(CurrentMtgRatesDataTable8711121314[[#This Row],[asofdate]]),OriginationVolume!$A:$N,13,FALSE)</f>
        <v>3.4217279726261761E-3</v>
      </c>
      <c r="AU13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AW134" s="7" t="s">
        <v>150</v>
      </c>
      <c r="AX134" s="10">
        <v>7633351000</v>
      </c>
      <c r="AY134" s="31"/>
      <c r="BA134" s="7" t="s">
        <v>150</v>
      </c>
      <c r="BB134" s="10">
        <v>4349519000</v>
      </c>
      <c r="BC134" s="31"/>
      <c r="BE134" s="7" t="s">
        <v>150</v>
      </c>
      <c r="BF134" s="10">
        <v>32524796703.040001</v>
      </c>
      <c r="BG134" s="34"/>
      <c r="BI134" s="7" t="s">
        <v>150</v>
      </c>
      <c r="BJ134" s="10">
        <v>20541926703.040001</v>
      </c>
      <c r="BK134" s="34" t="str">
        <f>YEAR(CurrentMtgRatesDataTable871112131417[[#This Row],[asofdate]])&amp;"-"&amp;MONTH(CurrentMtgRatesDataTable871112131417[[#This Row],[asofdate]])</f>
        <v>2014-2</v>
      </c>
      <c r="BL134" s="34">
        <f>CurrentMtgRatesDataTable871112131417[[#This Row],[SeriesNumValue]]</f>
        <v>20541926703.040001</v>
      </c>
      <c r="BM134" s="34">
        <f>VLOOKUP(CurrentMtgRatesDataTable871112131417[[#This Row],[asofdate]],AW:AX,2,0)</f>
        <v>7633351000</v>
      </c>
      <c r="BN134" s="30">
        <f>IF(VLOOKUP(CurrentMtgRatesDataTable871112131417[[#This Row],[asofdate]],BA:BB,2,0)&lt;&gt;0,VLOOKUP(CurrentMtgRatesDataTable871112131417[[#This Row],[asofdate]],BA:BB,2,0),BN133)</f>
        <v>4349519000</v>
      </c>
      <c r="BO134" s="30">
        <f>VLOOKUP(CurrentMtgRatesDataTable871112131417[[#This Row],[asofdate]],BE:BF,2,0)</f>
        <v>32524796703.040001</v>
      </c>
    </row>
    <row r="135" spans="1:67" s="8" customFormat="1">
      <c r="A135" s="7" t="s">
        <v>151</v>
      </c>
      <c r="B135" s="10">
        <v>1.6884764231063599E-2</v>
      </c>
      <c r="C135" s="10" t="str">
        <f>YEAR(CurrentMtgRatesDataTable8[[#This Row],[asofdate]])&amp;"-"&amp;MONTH(CurrentMtgRatesDataTable8[[#This Row],[asofdate]])</f>
        <v>2014-3</v>
      </c>
      <c r="D135" s="6">
        <f>((CurrentMtgRatesDataTable8[[#This Row],[SeriesNumValue]]-$D$1)/$D$1+1)*100</f>
        <v>112.56509487375732</v>
      </c>
      <c r="E135" s="6"/>
      <c r="I135" s="7" t="s">
        <v>50</v>
      </c>
      <c r="J135" s="10">
        <v>2.3219619060123198E-2</v>
      </c>
      <c r="K135" s="10" t="str">
        <f>YEAR(CurrentMtgRatesDataTable89[[#This Row],[asofdate]])&amp;"-"&amp;MONTH(CurrentMtgRatesDataTable89[[#This Row],[asofdate]])</f>
        <v>2004-9</v>
      </c>
      <c r="L135" s="6">
        <f>((CurrentMtgRatesDataTable89[[#This Row],[SeriesNumValue]]-$D$1)/$D$1+1)*100</f>
        <v>154.79746040082131</v>
      </c>
      <c r="M135" s="6">
        <f>CurrentMtgRatesDataTable89[[#This Row],[Index]]-L136</f>
        <v>15.724453355831287</v>
      </c>
      <c r="P135" s="7" t="s">
        <v>151</v>
      </c>
      <c r="Q135" s="10">
        <v>5.3963745614458901E-2</v>
      </c>
      <c r="R135" s="31">
        <f>((CurrentMtgRatesDataTable8711[[#This Row],[SeriesNumValue]]-$D$1)/$D$1+1)*100</f>
        <v>359.75830409639269</v>
      </c>
      <c r="S135" s="31"/>
      <c r="U135" s="7" t="s">
        <v>151</v>
      </c>
      <c r="V135" s="10">
        <v>4.1916679311245E-2</v>
      </c>
      <c r="W135" s="31">
        <f>((CurrentMtgRatesDataTable871112[[#This Row],[SeriesNumValue]]-$D$1)/$D$1+1)*100</f>
        <v>279.44452874163335</v>
      </c>
      <c r="X135" s="31"/>
      <c r="Z135" s="7" t="s">
        <v>151</v>
      </c>
      <c r="AA135" s="10">
        <v>2.61621554469573E-2</v>
      </c>
      <c r="AB135" s="34">
        <f>((CurrentMtgRatesDataTable87111213[[#This Row],[SeriesNumValue]]-$D$1)/$D$1+1)*100</f>
        <v>174.41436964638203</v>
      </c>
      <c r="AC135" s="34"/>
      <c r="AE135" s="7" t="s">
        <v>151</v>
      </c>
      <c r="AF135" s="10">
        <v>1.64709134882766E-2</v>
      </c>
      <c r="AG135" s="34">
        <f>((CurrentMtgRatesDataTable8711121314[[#This Row],[SeriesNumValue]]-$D$1)/$D$1+1)*100</f>
        <v>109.80608992184399</v>
      </c>
      <c r="AH135" s="34" t="str">
        <f>YEAR(CurrentMtgRatesDataTable8711121314[[#This Row],[asofdate]])&amp;"-"&amp;MONTH(CurrentMtgRatesDataTable8711121314[[#This Row],[asofdate]])</f>
        <v>2014-3</v>
      </c>
      <c r="AI135" s="34">
        <f>CurrentMtgRatesDataTable8711121314[[#This Row],[SeriesNumValue]]</f>
        <v>1.64709134882766E-2</v>
      </c>
      <c r="AJ135" s="34">
        <f>VLOOKUP(CurrentMtgRatesDataTable8711121314[[#This Row],[asofdate]],P:R,2,0)</f>
        <v>5.3963745614458901E-2</v>
      </c>
      <c r="AK135" s="30">
        <f>IF(VLOOKUP(CurrentMtgRatesDataTable8711121314[[#This Row],[asofdate]],U:W,2,0)&lt;&gt;0,VLOOKUP(CurrentMtgRatesDataTable8711121314[[#This Row],[asofdate]],U:W,2,0),AK134)</f>
        <v>4.1916679311245E-2</v>
      </c>
      <c r="AL135" s="30">
        <f>VLOOKUP(CurrentMtgRatesDataTable8711121314[[#This Row],[asofdate]],Z:AB,2,0)</f>
        <v>2.61621554469573E-2</v>
      </c>
      <c r="AM135" s="30">
        <f>CurrentMtgRatesDataTable8711121314[[#This Row],[FHA]]+0.5*CurrentMtgRatesDataTable8711121314[[#This Row],[Conventional]]</f>
        <v>6.2199202358597203E-2</v>
      </c>
      <c r="AN135" s="30">
        <f>2*CurrentMtgRatesDataTable8711121314[[#This Row],[FHA]]</f>
        <v>0.1079274912289178</v>
      </c>
      <c r="AO135" s="11">
        <f>VLOOKUP(YEAR(CurrentMtgRatesDataTable8711121314[[#This Row],[asofdate]]),OriginationVolume!$A:$N,8,FALSE)</f>
        <v>0.55517536355859709</v>
      </c>
      <c r="AP135" s="11">
        <f>VLOOKUP(YEAR(CurrentMtgRatesDataTable8711121314[[#This Row],[asofdate]]),OriginationVolume!$A:$N,9,FALSE)</f>
        <v>5.9238665526090674E-2</v>
      </c>
      <c r="AQ135" s="11">
        <f>VLOOKUP(YEAR(CurrentMtgRatesDataTable8711121314[[#This Row],[asofdate]]),OriginationVolume!$A:$N,10,FALSE)</f>
        <v>0.17771599657827203</v>
      </c>
      <c r="AR135" s="11">
        <f>VLOOKUP(YEAR(CurrentMtgRatesDataTable8711121314[[#This Row],[asofdate]]),OriginationVolume!$A:$N,11,FALSE)</f>
        <v>0.20102651839178784</v>
      </c>
      <c r="AS135" s="11">
        <f>VLOOKUP(YEAR(CurrentMtgRatesDataTable8711121314[[#This Row],[asofdate]]),OriginationVolume!$A:$N,12,FALSE)</f>
        <v>3.4217279726261761E-3</v>
      </c>
      <c r="AT135" s="11">
        <f>VLOOKUP(YEAR(CurrentMtgRatesDataTable8711121314[[#This Row],[asofdate]]),OriginationVolume!$A:$N,13,FALSE)</f>
        <v>3.4217279726261761E-3</v>
      </c>
      <c r="AU13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AW135" s="7" t="s">
        <v>151</v>
      </c>
      <c r="AX135" s="10">
        <v>5523702000</v>
      </c>
      <c r="AY135" s="31"/>
      <c r="BA135" s="7" t="s">
        <v>151</v>
      </c>
      <c r="BB135" s="10">
        <v>3098723000</v>
      </c>
      <c r="BC135" s="31"/>
      <c r="BE135" s="7" t="s">
        <v>151</v>
      </c>
      <c r="BF135" s="10">
        <v>22456066645.990002</v>
      </c>
      <c r="BG135" s="34"/>
      <c r="BI135" s="7" t="s">
        <v>151</v>
      </c>
      <c r="BJ135" s="10">
        <v>13833641645.99</v>
      </c>
      <c r="BK135" s="34" t="str">
        <f>YEAR(CurrentMtgRatesDataTable871112131417[[#This Row],[asofdate]])&amp;"-"&amp;MONTH(CurrentMtgRatesDataTable871112131417[[#This Row],[asofdate]])</f>
        <v>2014-3</v>
      </c>
      <c r="BL135" s="34">
        <f>CurrentMtgRatesDataTable871112131417[[#This Row],[SeriesNumValue]]</f>
        <v>13833641645.99</v>
      </c>
      <c r="BM135" s="34">
        <f>VLOOKUP(CurrentMtgRatesDataTable871112131417[[#This Row],[asofdate]],AW:AX,2,0)</f>
        <v>5523702000</v>
      </c>
      <c r="BN135" s="30">
        <f>IF(VLOOKUP(CurrentMtgRatesDataTable871112131417[[#This Row],[asofdate]],BA:BB,2,0)&lt;&gt;0,VLOOKUP(CurrentMtgRatesDataTable871112131417[[#This Row],[asofdate]],BA:BB,2,0),BN134)</f>
        <v>3098723000</v>
      </c>
      <c r="BO135" s="30">
        <f>VLOOKUP(CurrentMtgRatesDataTable871112131417[[#This Row],[asofdate]],BE:BF,2,0)</f>
        <v>22456066645.990002</v>
      </c>
    </row>
    <row r="136" spans="1:67" s="8" customFormat="1">
      <c r="A136" s="7" t="s">
        <v>12</v>
      </c>
      <c r="B136" s="10">
        <v>1.7375950434527401E-2</v>
      </c>
      <c r="C136" s="10" t="str">
        <f>YEAR(CurrentMtgRatesDataTable8[[#This Row],[asofdate]])&amp;"-"&amp;MONTH(CurrentMtgRatesDataTable8[[#This Row],[asofdate]])</f>
        <v>2014-4</v>
      </c>
      <c r="D136" s="6">
        <f>((CurrentMtgRatesDataTable8[[#This Row],[SeriesNumValue]]-$D$1)/$D$1+1)*100</f>
        <v>115.83966956351601</v>
      </c>
      <c r="E136" s="6"/>
      <c r="I136" s="7" t="s">
        <v>49</v>
      </c>
      <c r="J136" s="10">
        <v>2.0860951056748501E-2</v>
      </c>
      <c r="K136" s="10" t="str">
        <f>YEAR(CurrentMtgRatesDataTable89[[#This Row],[asofdate]])&amp;"-"&amp;MONTH(CurrentMtgRatesDataTable89[[#This Row],[asofdate]])</f>
        <v>2004-8</v>
      </c>
      <c r="L136" s="6">
        <f>((CurrentMtgRatesDataTable89[[#This Row],[SeriesNumValue]]-$D$1)/$D$1+1)*100</f>
        <v>139.07300704499002</v>
      </c>
      <c r="M136" s="6">
        <f>CurrentMtgRatesDataTable89[[#This Row],[Index]]-L137</f>
        <v>23.851179858696014</v>
      </c>
      <c r="P136" s="7" t="s">
        <v>12</v>
      </c>
      <c r="Q136" s="10">
        <v>5.64173982878792E-2</v>
      </c>
      <c r="R136" s="31">
        <f>((CurrentMtgRatesDataTable8711[[#This Row],[SeriesNumValue]]-$D$1)/$D$1+1)*100</f>
        <v>376.11598858586132</v>
      </c>
      <c r="S136" s="31"/>
      <c r="U136" s="7" t="s">
        <v>12</v>
      </c>
      <c r="V136" s="10">
        <v>4.4487411594855697E-2</v>
      </c>
      <c r="W136" s="31">
        <f>((CurrentMtgRatesDataTable871112[[#This Row],[SeriesNumValue]]-$D$1)/$D$1+1)*100</f>
        <v>296.58274396570465</v>
      </c>
      <c r="X136" s="31"/>
      <c r="Z136" s="7" t="s">
        <v>12</v>
      </c>
      <c r="AA136" s="10">
        <v>2.73206228023559E-2</v>
      </c>
      <c r="AB136" s="34">
        <f>((CurrentMtgRatesDataTable87111213[[#This Row],[SeriesNumValue]]-$D$1)/$D$1+1)*100</f>
        <v>182.13748534903937</v>
      </c>
      <c r="AC136" s="34"/>
      <c r="AE136" s="7" t="s">
        <v>12</v>
      </c>
      <c r="AF136" s="10">
        <v>1.73785950978117E-2</v>
      </c>
      <c r="AG136" s="34">
        <f>((CurrentMtgRatesDataTable8711121314[[#This Row],[SeriesNumValue]]-$D$1)/$D$1+1)*100</f>
        <v>115.857300652078</v>
      </c>
      <c r="AH136" s="34" t="str">
        <f>YEAR(CurrentMtgRatesDataTable8711121314[[#This Row],[asofdate]])&amp;"-"&amp;MONTH(CurrentMtgRatesDataTable8711121314[[#This Row],[asofdate]])</f>
        <v>2014-4</v>
      </c>
      <c r="AI136" s="34">
        <f>CurrentMtgRatesDataTable8711121314[[#This Row],[SeriesNumValue]]</f>
        <v>1.73785950978117E-2</v>
      </c>
      <c r="AJ136" s="34">
        <f>VLOOKUP(CurrentMtgRatesDataTable8711121314[[#This Row],[asofdate]],P:R,2,0)</f>
        <v>5.64173982878792E-2</v>
      </c>
      <c r="AK136" s="30">
        <f>IF(VLOOKUP(CurrentMtgRatesDataTable8711121314[[#This Row],[asofdate]],U:W,2,0)&lt;&gt;0,VLOOKUP(CurrentMtgRatesDataTable8711121314[[#This Row],[asofdate]],U:W,2,0),AK135)</f>
        <v>4.4487411594855697E-2</v>
      </c>
      <c r="AL136" s="30">
        <f>VLOOKUP(CurrentMtgRatesDataTable8711121314[[#This Row],[asofdate]],Z:AB,2,0)</f>
        <v>2.73206228023559E-2</v>
      </c>
      <c r="AM136" s="30">
        <f>CurrentMtgRatesDataTable8711121314[[#This Row],[FHA]]+0.5*CurrentMtgRatesDataTable8711121314[[#This Row],[Conventional]]</f>
        <v>6.510669583678505E-2</v>
      </c>
      <c r="AN136" s="30">
        <f>2*CurrentMtgRatesDataTable8711121314[[#This Row],[FHA]]</f>
        <v>0.1128347965757584</v>
      </c>
      <c r="AO136" s="11">
        <f>VLOOKUP(YEAR(CurrentMtgRatesDataTable8711121314[[#This Row],[asofdate]]),OriginationVolume!$A:$N,8,FALSE)</f>
        <v>0.55517536355859709</v>
      </c>
      <c r="AP136" s="11">
        <f>VLOOKUP(YEAR(CurrentMtgRatesDataTable8711121314[[#This Row],[asofdate]]),OriginationVolume!$A:$N,9,FALSE)</f>
        <v>5.9238665526090674E-2</v>
      </c>
      <c r="AQ136" s="11">
        <f>VLOOKUP(YEAR(CurrentMtgRatesDataTable8711121314[[#This Row],[asofdate]]),OriginationVolume!$A:$N,10,FALSE)</f>
        <v>0.17771599657827203</v>
      </c>
      <c r="AR136" s="11">
        <f>VLOOKUP(YEAR(CurrentMtgRatesDataTable8711121314[[#This Row],[asofdate]]),OriginationVolume!$A:$N,11,FALSE)</f>
        <v>0.20102651839178784</v>
      </c>
      <c r="AS136" s="11">
        <f>VLOOKUP(YEAR(CurrentMtgRatesDataTable8711121314[[#This Row],[asofdate]]),OriginationVolume!$A:$N,12,FALSE)</f>
        <v>3.4217279726261761E-3</v>
      </c>
      <c r="AT136" s="11">
        <f>VLOOKUP(YEAR(CurrentMtgRatesDataTable8711121314[[#This Row],[asofdate]]),OriginationVolume!$A:$N,13,FALSE)</f>
        <v>3.4217279726261761E-3</v>
      </c>
      <c r="AU13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AW136" s="7" t="s">
        <v>12</v>
      </c>
      <c r="AX136" s="10">
        <v>5599340000</v>
      </c>
      <c r="AY136" s="31"/>
      <c r="BA136" s="7" t="s">
        <v>12</v>
      </c>
      <c r="BB136" s="10">
        <v>3325977000</v>
      </c>
      <c r="BC136" s="31"/>
      <c r="BE136" s="7" t="s">
        <v>12</v>
      </c>
      <c r="BF136" s="10">
        <v>23623473762.130001</v>
      </c>
      <c r="BG136" s="34"/>
      <c r="BI136" s="7" t="s">
        <v>12</v>
      </c>
      <c r="BJ136" s="10">
        <v>14698156762.129999</v>
      </c>
      <c r="BK136" s="34" t="str">
        <f>YEAR(CurrentMtgRatesDataTable871112131417[[#This Row],[asofdate]])&amp;"-"&amp;MONTH(CurrentMtgRatesDataTable871112131417[[#This Row],[asofdate]])</f>
        <v>2014-4</v>
      </c>
      <c r="BL136" s="34">
        <f>CurrentMtgRatesDataTable871112131417[[#This Row],[SeriesNumValue]]</f>
        <v>14698156762.129999</v>
      </c>
      <c r="BM136" s="34">
        <f>VLOOKUP(CurrentMtgRatesDataTable871112131417[[#This Row],[asofdate]],AW:AX,2,0)</f>
        <v>5599340000</v>
      </c>
      <c r="BN136" s="30">
        <f>IF(VLOOKUP(CurrentMtgRatesDataTable871112131417[[#This Row],[asofdate]],BA:BB,2,0)&lt;&gt;0,VLOOKUP(CurrentMtgRatesDataTable871112131417[[#This Row],[asofdate]],BA:BB,2,0),BN135)</f>
        <v>3325977000</v>
      </c>
      <c r="BO136" s="30">
        <f>VLOOKUP(CurrentMtgRatesDataTable871112131417[[#This Row],[asofdate]],BE:BF,2,0)</f>
        <v>23623473762.130001</v>
      </c>
    </row>
    <row r="137" spans="1:67" s="8" customFormat="1">
      <c r="A137" s="7" t="s">
        <v>24</v>
      </c>
      <c r="B137" s="10">
        <v>1.7108265313383102E-2</v>
      </c>
      <c r="C137" s="10" t="str">
        <f>YEAR(CurrentMtgRatesDataTable8[[#This Row],[asofdate]])&amp;"-"&amp;MONTH(CurrentMtgRatesDataTable8[[#This Row],[asofdate]])</f>
        <v>2014-5</v>
      </c>
      <c r="D137" s="6">
        <f>((CurrentMtgRatesDataTable8[[#This Row],[SeriesNumValue]]-$D$1)/$D$1+1)*100</f>
        <v>114.0551020892207</v>
      </c>
      <c r="E137" s="6"/>
      <c r="I137" s="7" t="s">
        <v>48</v>
      </c>
      <c r="J137" s="10">
        <v>1.72832740779441E-2</v>
      </c>
      <c r="K137" s="10" t="str">
        <f>YEAR(CurrentMtgRatesDataTable89[[#This Row],[asofdate]])&amp;"-"&amp;MONTH(CurrentMtgRatesDataTable89[[#This Row],[asofdate]])</f>
        <v>2004-7</v>
      </c>
      <c r="L137" s="6">
        <f>((CurrentMtgRatesDataTable89[[#This Row],[SeriesNumValue]]-$D$1)/$D$1+1)*100</f>
        <v>115.22182718629401</v>
      </c>
      <c r="M137" s="6">
        <f>CurrentMtgRatesDataTable89[[#This Row],[Index]]-L138</f>
        <v>-0.36867647624532651</v>
      </c>
      <c r="P137" s="7" t="s">
        <v>24</v>
      </c>
      <c r="Q137" s="10">
        <v>5.6079401787069001E-2</v>
      </c>
      <c r="R137" s="31">
        <f>((CurrentMtgRatesDataTable8711[[#This Row],[SeriesNumValue]]-$D$1)/$D$1+1)*100</f>
        <v>373.86267858046</v>
      </c>
      <c r="S137" s="31"/>
      <c r="U137" s="7" t="s">
        <v>24</v>
      </c>
      <c r="V137" s="10">
        <v>4.3190796110447502E-2</v>
      </c>
      <c r="W137" s="31">
        <f>((CurrentMtgRatesDataTable871112[[#This Row],[SeriesNumValue]]-$D$1)/$D$1+1)*100</f>
        <v>287.9386407363167</v>
      </c>
      <c r="X137" s="31"/>
      <c r="Z137" s="7" t="s">
        <v>24</v>
      </c>
      <c r="AA137" s="10">
        <v>2.6757400763266801E-2</v>
      </c>
      <c r="AB137" s="34">
        <f>((CurrentMtgRatesDataTable87111213[[#This Row],[SeriesNumValue]]-$D$1)/$D$1+1)*100</f>
        <v>178.38267175511203</v>
      </c>
      <c r="AC137" s="34"/>
      <c r="AE137" s="7" t="s">
        <v>24</v>
      </c>
      <c r="AF137" s="10">
        <v>1.7042595501706601E-2</v>
      </c>
      <c r="AG137" s="34">
        <f>((CurrentMtgRatesDataTable8711121314[[#This Row],[SeriesNumValue]]-$D$1)/$D$1+1)*100</f>
        <v>113.61730334471068</v>
      </c>
      <c r="AH137" s="34" t="str">
        <f>YEAR(CurrentMtgRatesDataTable8711121314[[#This Row],[asofdate]])&amp;"-"&amp;MONTH(CurrentMtgRatesDataTable8711121314[[#This Row],[asofdate]])</f>
        <v>2014-5</v>
      </c>
      <c r="AI137" s="34">
        <f>CurrentMtgRatesDataTable8711121314[[#This Row],[SeriesNumValue]]</f>
        <v>1.7042595501706601E-2</v>
      </c>
      <c r="AJ137" s="34">
        <f>VLOOKUP(CurrentMtgRatesDataTable8711121314[[#This Row],[asofdate]],P:R,2,0)</f>
        <v>5.6079401787069001E-2</v>
      </c>
      <c r="AK137" s="30">
        <f>IF(VLOOKUP(CurrentMtgRatesDataTable8711121314[[#This Row],[asofdate]],U:W,2,0)&lt;&gt;0,VLOOKUP(CurrentMtgRatesDataTable8711121314[[#This Row],[asofdate]],U:W,2,0),AK136)</f>
        <v>4.3190796110447502E-2</v>
      </c>
      <c r="AL137" s="30">
        <f>VLOOKUP(CurrentMtgRatesDataTable8711121314[[#This Row],[asofdate]],Z:AB,2,0)</f>
        <v>2.6757400763266801E-2</v>
      </c>
      <c r="AM137" s="30">
        <f>CurrentMtgRatesDataTable8711121314[[#This Row],[FHA]]+0.5*CurrentMtgRatesDataTable8711121314[[#This Row],[Conventional]]</f>
        <v>6.4600699537922301E-2</v>
      </c>
      <c r="AN137" s="30">
        <f>2*CurrentMtgRatesDataTable8711121314[[#This Row],[FHA]]</f>
        <v>0.112158803574138</v>
      </c>
      <c r="AO137" s="11">
        <f>VLOOKUP(YEAR(CurrentMtgRatesDataTable8711121314[[#This Row],[asofdate]]),OriginationVolume!$A:$N,8,FALSE)</f>
        <v>0.55517536355859709</v>
      </c>
      <c r="AP137" s="11">
        <f>VLOOKUP(YEAR(CurrentMtgRatesDataTable8711121314[[#This Row],[asofdate]]),OriginationVolume!$A:$N,9,FALSE)</f>
        <v>5.9238665526090674E-2</v>
      </c>
      <c r="AQ137" s="11">
        <f>VLOOKUP(YEAR(CurrentMtgRatesDataTable8711121314[[#This Row],[asofdate]]),OriginationVolume!$A:$N,10,FALSE)</f>
        <v>0.17771599657827203</v>
      </c>
      <c r="AR137" s="11">
        <f>VLOOKUP(YEAR(CurrentMtgRatesDataTable8711121314[[#This Row],[asofdate]]),OriginationVolume!$A:$N,11,FALSE)</f>
        <v>0.20102651839178784</v>
      </c>
      <c r="AS137" s="11">
        <f>VLOOKUP(YEAR(CurrentMtgRatesDataTable8711121314[[#This Row],[asofdate]]),OriginationVolume!$A:$N,12,FALSE)</f>
        <v>3.4217279726261761E-3</v>
      </c>
      <c r="AT137" s="11">
        <f>VLOOKUP(YEAR(CurrentMtgRatesDataTable8711121314[[#This Row],[asofdate]]),OriginationVolume!$A:$N,13,FALSE)</f>
        <v>3.4217279726261761E-3</v>
      </c>
      <c r="AU13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AW137" s="7" t="s">
        <v>24</v>
      </c>
      <c r="AX137" s="10">
        <v>7401653000</v>
      </c>
      <c r="AY137" s="31"/>
      <c r="BA137" s="7" t="s">
        <v>24</v>
      </c>
      <c r="BB137" s="10">
        <v>4375315000</v>
      </c>
      <c r="BC137" s="31"/>
      <c r="BE137" s="7" t="s">
        <v>24</v>
      </c>
      <c r="BF137" s="10">
        <v>31416513528.869999</v>
      </c>
      <c r="BG137" s="34"/>
      <c r="BI137" s="7" t="s">
        <v>24</v>
      </c>
      <c r="BJ137" s="10">
        <v>19639545528.869999</v>
      </c>
      <c r="BK137" s="34" t="str">
        <f>YEAR(CurrentMtgRatesDataTable871112131417[[#This Row],[asofdate]])&amp;"-"&amp;MONTH(CurrentMtgRatesDataTable871112131417[[#This Row],[asofdate]])</f>
        <v>2014-5</v>
      </c>
      <c r="BL137" s="34">
        <f>CurrentMtgRatesDataTable871112131417[[#This Row],[SeriesNumValue]]</f>
        <v>19639545528.869999</v>
      </c>
      <c r="BM137" s="34">
        <f>VLOOKUP(CurrentMtgRatesDataTable871112131417[[#This Row],[asofdate]],AW:AX,2,0)</f>
        <v>7401653000</v>
      </c>
      <c r="BN137" s="30">
        <f>IF(VLOOKUP(CurrentMtgRatesDataTable871112131417[[#This Row],[asofdate]],BA:BB,2,0)&lt;&gt;0,VLOOKUP(CurrentMtgRatesDataTable871112131417[[#This Row],[asofdate]],BA:BB,2,0),BN136)</f>
        <v>4375315000</v>
      </c>
      <c r="BO137" s="30">
        <f>VLOOKUP(CurrentMtgRatesDataTable871112131417[[#This Row],[asofdate]],BE:BF,2,0)</f>
        <v>31416513528.869999</v>
      </c>
    </row>
    <row r="138" spans="1:67" s="8" customFormat="1">
      <c r="A138" s="7" t="s">
        <v>152</v>
      </c>
      <c r="B138" s="10">
        <v>1.8082572305789399E-2</v>
      </c>
      <c r="C138" s="10" t="str">
        <f>YEAR(CurrentMtgRatesDataTable8[[#This Row],[asofdate]])&amp;"-"&amp;MONTH(CurrentMtgRatesDataTable8[[#This Row],[asofdate]])</f>
        <v>2014-6</v>
      </c>
      <c r="D138" s="6">
        <f>((CurrentMtgRatesDataTable8[[#This Row],[SeriesNumValue]]-$D$1)/$D$1+1)*100</f>
        <v>120.550482038596</v>
      </c>
      <c r="E138" s="6"/>
      <c r="I138" s="7" t="s">
        <v>47</v>
      </c>
      <c r="J138" s="10">
        <v>1.73385755493809E-2</v>
      </c>
      <c r="K138" s="10" t="str">
        <f>YEAR(CurrentMtgRatesDataTable89[[#This Row],[asofdate]])&amp;"-"&amp;MONTH(CurrentMtgRatesDataTable89[[#This Row],[asofdate]])</f>
        <v>2004-6</v>
      </c>
      <c r="L138" s="6">
        <f>((CurrentMtgRatesDataTable89[[#This Row],[SeriesNumValue]]-$D$1)/$D$1+1)*100</f>
        <v>115.59050366253933</v>
      </c>
      <c r="M138" s="6">
        <f>CurrentMtgRatesDataTable89[[#This Row],[Index]]-L139</f>
        <v>-26.203773071490673</v>
      </c>
      <c r="P138" s="7" t="s">
        <v>152</v>
      </c>
      <c r="Q138" s="10">
        <v>5.7150634619079502E-2</v>
      </c>
      <c r="R138" s="31">
        <f>((CurrentMtgRatesDataTable8711[[#This Row],[SeriesNumValue]]-$D$1)/$D$1+1)*100</f>
        <v>381.00423079386331</v>
      </c>
      <c r="S138" s="31"/>
      <c r="U138" s="7" t="s">
        <v>152</v>
      </c>
      <c r="V138" s="10">
        <v>4.3374642953449401E-2</v>
      </c>
      <c r="W138" s="31">
        <f>((CurrentMtgRatesDataTable871112[[#This Row],[SeriesNumValue]]-$D$1)/$D$1+1)*100</f>
        <v>289.1642863563294</v>
      </c>
      <c r="X138" s="31"/>
      <c r="Z138" s="7" t="s">
        <v>152</v>
      </c>
      <c r="AA138" s="10">
        <v>2.7414493556132999E-2</v>
      </c>
      <c r="AB138" s="34">
        <f>((CurrentMtgRatesDataTable87111213[[#This Row],[SeriesNumValue]]-$D$1)/$D$1+1)*100</f>
        <v>182.76329037422002</v>
      </c>
      <c r="AC138" s="34"/>
      <c r="AE138" s="7" t="s">
        <v>152</v>
      </c>
      <c r="AF138" s="10">
        <v>1.7496590906512201E-2</v>
      </c>
      <c r="AG138" s="34">
        <f>((CurrentMtgRatesDataTable8711121314[[#This Row],[SeriesNumValue]]-$D$1)/$D$1+1)*100</f>
        <v>116.64393937674802</v>
      </c>
      <c r="AH138" s="34" t="str">
        <f>YEAR(CurrentMtgRatesDataTable8711121314[[#This Row],[asofdate]])&amp;"-"&amp;MONTH(CurrentMtgRatesDataTable8711121314[[#This Row],[asofdate]])</f>
        <v>2014-6</v>
      </c>
      <c r="AI138" s="34">
        <f>CurrentMtgRatesDataTable8711121314[[#This Row],[SeriesNumValue]]</f>
        <v>1.7496590906512201E-2</v>
      </c>
      <c r="AJ138" s="34">
        <f>VLOOKUP(CurrentMtgRatesDataTable8711121314[[#This Row],[asofdate]],P:R,2,0)</f>
        <v>5.7150634619079502E-2</v>
      </c>
      <c r="AK138" s="30">
        <f>IF(VLOOKUP(CurrentMtgRatesDataTable8711121314[[#This Row],[asofdate]],U:W,2,0)&lt;&gt;0,VLOOKUP(CurrentMtgRatesDataTable8711121314[[#This Row],[asofdate]],U:W,2,0),AK137)</f>
        <v>4.3374642953449401E-2</v>
      </c>
      <c r="AL138" s="30">
        <f>VLOOKUP(CurrentMtgRatesDataTable8711121314[[#This Row],[asofdate]],Z:AB,2,0)</f>
        <v>2.7414493556132999E-2</v>
      </c>
      <c r="AM138" s="30">
        <f>CurrentMtgRatesDataTable8711121314[[#This Row],[FHA]]+0.5*CurrentMtgRatesDataTable8711121314[[#This Row],[Conventional]]</f>
        <v>6.5898930072335604E-2</v>
      </c>
      <c r="AN138" s="30">
        <f>2*CurrentMtgRatesDataTable8711121314[[#This Row],[FHA]]</f>
        <v>0.114301269238159</v>
      </c>
      <c r="AO138" s="11">
        <f>VLOOKUP(YEAR(CurrentMtgRatesDataTable8711121314[[#This Row],[asofdate]]),OriginationVolume!$A:$N,8,FALSE)</f>
        <v>0.55517536355859709</v>
      </c>
      <c r="AP138" s="11">
        <f>VLOOKUP(YEAR(CurrentMtgRatesDataTable8711121314[[#This Row],[asofdate]]),OriginationVolume!$A:$N,9,FALSE)</f>
        <v>5.9238665526090674E-2</v>
      </c>
      <c r="AQ138" s="11">
        <f>VLOOKUP(YEAR(CurrentMtgRatesDataTable8711121314[[#This Row],[asofdate]]),OriginationVolume!$A:$N,10,FALSE)</f>
        <v>0.17771599657827203</v>
      </c>
      <c r="AR138" s="11">
        <f>VLOOKUP(YEAR(CurrentMtgRatesDataTable8711121314[[#This Row],[asofdate]]),OriginationVolume!$A:$N,11,FALSE)</f>
        <v>0.20102651839178784</v>
      </c>
      <c r="AS138" s="11">
        <f>VLOOKUP(YEAR(CurrentMtgRatesDataTable8711121314[[#This Row],[asofdate]]),OriginationVolume!$A:$N,12,FALSE)</f>
        <v>3.4217279726261761E-3</v>
      </c>
      <c r="AT138" s="11">
        <f>VLOOKUP(YEAR(CurrentMtgRatesDataTable8711121314[[#This Row],[asofdate]]),OriginationVolume!$A:$N,13,FALSE)</f>
        <v>3.4217279726261761E-3</v>
      </c>
      <c r="AU13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AW138" s="7" t="s">
        <v>152</v>
      </c>
      <c r="AX138" s="10">
        <v>8406591000</v>
      </c>
      <c r="AY138" s="31"/>
      <c r="BA138" s="7" t="s">
        <v>152</v>
      </c>
      <c r="BB138" s="10">
        <v>4827460000</v>
      </c>
      <c r="BC138" s="31"/>
      <c r="BE138" s="7" t="s">
        <v>152</v>
      </c>
      <c r="BF138" s="10">
        <v>35087895001.290001</v>
      </c>
      <c r="BG138" s="34"/>
      <c r="BI138" s="7" t="s">
        <v>152</v>
      </c>
      <c r="BJ138" s="10">
        <v>21853844001.290001</v>
      </c>
      <c r="BK138" s="34" t="str">
        <f>YEAR(CurrentMtgRatesDataTable871112131417[[#This Row],[asofdate]])&amp;"-"&amp;MONTH(CurrentMtgRatesDataTable871112131417[[#This Row],[asofdate]])</f>
        <v>2014-6</v>
      </c>
      <c r="BL138" s="34">
        <f>CurrentMtgRatesDataTable871112131417[[#This Row],[SeriesNumValue]]</f>
        <v>21853844001.290001</v>
      </c>
      <c r="BM138" s="34">
        <f>VLOOKUP(CurrentMtgRatesDataTable871112131417[[#This Row],[asofdate]],AW:AX,2,0)</f>
        <v>8406591000</v>
      </c>
      <c r="BN138" s="30">
        <f>IF(VLOOKUP(CurrentMtgRatesDataTable871112131417[[#This Row],[asofdate]],BA:BB,2,0)&lt;&gt;0,VLOOKUP(CurrentMtgRatesDataTable871112131417[[#This Row],[asofdate]],BA:BB,2,0),BN137)</f>
        <v>4827460000</v>
      </c>
      <c r="BO138" s="30">
        <f>VLOOKUP(CurrentMtgRatesDataTable871112131417[[#This Row],[asofdate]],BE:BF,2,0)</f>
        <v>35087895001.290001</v>
      </c>
    </row>
    <row r="139" spans="1:67" s="8" customFormat="1">
      <c r="A139" s="7" t="s">
        <v>13</v>
      </c>
      <c r="B139" s="10">
        <v>1.85862565826246E-2</v>
      </c>
      <c r="C139" s="10" t="str">
        <f>YEAR(CurrentMtgRatesDataTable8[[#This Row],[asofdate]])&amp;"-"&amp;MONTH(CurrentMtgRatesDataTable8[[#This Row],[asofdate]])</f>
        <v>2014-7</v>
      </c>
      <c r="D139" s="6">
        <f>((CurrentMtgRatesDataTable8[[#This Row],[SeriesNumValue]]-$D$1)/$D$1+1)*100</f>
        <v>123.90837721749735</v>
      </c>
      <c r="E139" s="6"/>
      <c r="I139" s="7" t="s">
        <v>46</v>
      </c>
      <c r="J139" s="10">
        <v>2.1269141510104499E-2</v>
      </c>
      <c r="K139" s="10" t="str">
        <f>YEAR(CurrentMtgRatesDataTable89[[#This Row],[asofdate]])&amp;"-"&amp;MONTH(CurrentMtgRatesDataTable89[[#This Row],[asofdate]])</f>
        <v>2004-5</v>
      </c>
      <c r="L139" s="6">
        <f>((CurrentMtgRatesDataTable89[[#This Row],[SeriesNumValue]]-$D$1)/$D$1+1)*100</f>
        <v>141.79427673403001</v>
      </c>
      <c r="M139" s="6">
        <f>CurrentMtgRatesDataTable89[[#This Row],[Index]]-L140</f>
        <v>-2.5422019632153479</v>
      </c>
      <c r="P139" s="7" t="s">
        <v>13</v>
      </c>
      <c r="Q139" s="10">
        <v>6.0279482404130599E-2</v>
      </c>
      <c r="R139" s="31">
        <f>((CurrentMtgRatesDataTable8711[[#This Row],[SeriesNumValue]]-$D$1)/$D$1+1)*100</f>
        <v>401.86321602753736</v>
      </c>
      <c r="S139" s="31"/>
      <c r="U139" s="7" t="s">
        <v>13</v>
      </c>
      <c r="V139" s="10">
        <v>4.57339776962047E-2</v>
      </c>
      <c r="W139" s="31">
        <f>((CurrentMtgRatesDataTable871112[[#This Row],[SeriesNumValue]]-$D$1)/$D$1+1)*100</f>
        <v>304.89318464136466</v>
      </c>
      <c r="X139" s="31"/>
      <c r="Z139" s="7" t="s">
        <v>13</v>
      </c>
      <c r="AA139" s="10">
        <v>2.86164559652493E-2</v>
      </c>
      <c r="AB139" s="34">
        <f>((CurrentMtgRatesDataTable87111213[[#This Row],[SeriesNumValue]]-$D$1)/$D$1+1)*100</f>
        <v>190.77637310166199</v>
      </c>
      <c r="AC139" s="34"/>
      <c r="AE139" s="7" t="s">
        <v>13</v>
      </c>
      <c r="AF139" s="10">
        <v>1.84803007349175E-2</v>
      </c>
      <c r="AG139" s="34">
        <f>((CurrentMtgRatesDataTable8711121314[[#This Row],[SeriesNumValue]]-$D$1)/$D$1+1)*100</f>
        <v>123.20200489945002</v>
      </c>
      <c r="AH139" s="34" t="str">
        <f>YEAR(CurrentMtgRatesDataTable8711121314[[#This Row],[asofdate]])&amp;"-"&amp;MONTH(CurrentMtgRatesDataTable8711121314[[#This Row],[asofdate]])</f>
        <v>2014-7</v>
      </c>
      <c r="AI139" s="34">
        <f>CurrentMtgRatesDataTable8711121314[[#This Row],[SeriesNumValue]]</f>
        <v>1.84803007349175E-2</v>
      </c>
      <c r="AJ139" s="34">
        <f>VLOOKUP(CurrentMtgRatesDataTable8711121314[[#This Row],[asofdate]],P:R,2,0)</f>
        <v>6.0279482404130599E-2</v>
      </c>
      <c r="AK139" s="30">
        <f>IF(VLOOKUP(CurrentMtgRatesDataTable8711121314[[#This Row],[asofdate]],U:W,2,0)&lt;&gt;0,VLOOKUP(CurrentMtgRatesDataTable8711121314[[#This Row],[asofdate]],U:W,2,0),AK138)</f>
        <v>4.57339776962047E-2</v>
      </c>
      <c r="AL139" s="30">
        <f>VLOOKUP(CurrentMtgRatesDataTable8711121314[[#This Row],[asofdate]],Z:AB,2,0)</f>
        <v>2.86164559652493E-2</v>
      </c>
      <c r="AM139" s="30">
        <f>CurrentMtgRatesDataTable8711121314[[#This Row],[FHA]]+0.5*CurrentMtgRatesDataTable8711121314[[#This Row],[Conventional]]</f>
        <v>6.9519632771589346E-2</v>
      </c>
      <c r="AN139" s="30">
        <f>2*CurrentMtgRatesDataTable8711121314[[#This Row],[FHA]]</f>
        <v>0.1205589648082612</v>
      </c>
      <c r="AO139" s="11">
        <f>VLOOKUP(YEAR(CurrentMtgRatesDataTable8711121314[[#This Row],[asofdate]]),OriginationVolume!$A:$N,8,FALSE)</f>
        <v>0.55517536355859709</v>
      </c>
      <c r="AP139" s="11">
        <f>VLOOKUP(YEAR(CurrentMtgRatesDataTable8711121314[[#This Row],[asofdate]]),OriginationVolume!$A:$N,9,FALSE)</f>
        <v>5.9238665526090674E-2</v>
      </c>
      <c r="AQ139" s="11">
        <f>VLOOKUP(YEAR(CurrentMtgRatesDataTable8711121314[[#This Row],[asofdate]]),OriginationVolume!$A:$N,10,FALSE)</f>
        <v>0.17771599657827203</v>
      </c>
      <c r="AR139" s="11">
        <f>VLOOKUP(YEAR(CurrentMtgRatesDataTable8711121314[[#This Row],[asofdate]]),OriginationVolume!$A:$N,11,FALSE)</f>
        <v>0.20102651839178784</v>
      </c>
      <c r="AS139" s="11">
        <f>VLOOKUP(YEAR(CurrentMtgRatesDataTable8711121314[[#This Row],[asofdate]]),OriginationVolume!$A:$N,12,FALSE)</f>
        <v>3.4217279726261761E-3</v>
      </c>
      <c r="AT139" s="11">
        <f>VLOOKUP(YEAR(CurrentMtgRatesDataTable8711121314[[#This Row],[asofdate]]),OriginationVolume!$A:$N,13,FALSE)</f>
        <v>3.4217279726261761E-3</v>
      </c>
      <c r="AU13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AW139" s="7" t="s">
        <v>13</v>
      </c>
      <c r="AX139" s="10">
        <v>9332118000</v>
      </c>
      <c r="AY139" s="31"/>
      <c r="BA139" s="7" t="s">
        <v>13</v>
      </c>
      <c r="BB139" s="10">
        <v>5686986000</v>
      </c>
      <c r="BC139" s="31"/>
      <c r="BE139" s="7" t="s">
        <v>13</v>
      </c>
      <c r="BF139" s="10">
        <v>40789409119.690002</v>
      </c>
      <c r="BG139" s="34"/>
      <c r="BI139" s="7" t="s">
        <v>13</v>
      </c>
      <c r="BJ139" s="10">
        <v>25770305119.689999</v>
      </c>
      <c r="BK139" s="34" t="str">
        <f>YEAR(CurrentMtgRatesDataTable871112131417[[#This Row],[asofdate]])&amp;"-"&amp;MONTH(CurrentMtgRatesDataTable871112131417[[#This Row],[asofdate]])</f>
        <v>2014-7</v>
      </c>
      <c r="BL139" s="34">
        <f>CurrentMtgRatesDataTable871112131417[[#This Row],[SeriesNumValue]]</f>
        <v>25770305119.689999</v>
      </c>
      <c r="BM139" s="34">
        <f>VLOOKUP(CurrentMtgRatesDataTable871112131417[[#This Row],[asofdate]],AW:AX,2,0)</f>
        <v>9332118000</v>
      </c>
      <c r="BN139" s="30">
        <f>IF(VLOOKUP(CurrentMtgRatesDataTable871112131417[[#This Row],[asofdate]],BA:BB,2,0)&lt;&gt;0,VLOOKUP(CurrentMtgRatesDataTable871112131417[[#This Row],[asofdate]],BA:BB,2,0),BN138)</f>
        <v>5686986000</v>
      </c>
      <c r="BO139" s="30">
        <f>VLOOKUP(CurrentMtgRatesDataTable871112131417[[#This Row],[asofdate]],BE:BF,2,0)</f>
        <v>40789409119.690002</v>
      </c>
    </row>
    <row r="140" spans="1:67" s="8" customFormat="1">
      <c r="A140" s="7" t="s">
        <v>21</v>
      </c>
      <c r="B140" s="10">
        <v>1.78251707128806E-2</v>
      </c>
      <c r="C140" s="10" t="str">
        <f>YEAR(CurrentMtgRatesDataTable8[[#This Row],[asofdate]])&amp;"-"&amp;MONTH(CurrentMtgRatesDataTable8[[#This Row],[asofdate]])</f>
        <v>2014-8</v>
      </c>
      <c r="D140" s="6">
        <f>((CurrentMtgRatesDataTable8[[#This Row],[SeriesNumValue]]-$D$1)/$D$1+1)*100</f>
        <v>118.83447141920401</v>
      </c>
      <c r="E140" s="6"/>
      <c r="I140" s="7" t="s">
        <v>45</v>
      </c>
      <c r="J140" s="10">
        <v>2.1650471804586801E-2</v>
      </c>
      <c r="K140" s="10" t="str">
        <f>YEAR(CurrentMtgRatesDataTable89[[#This Row],[asofdate]])&amp;"-"&amp;MONTH(CurrentMtgRatesDataTable89[[#This Row],[asofdate]])</f>
        <v>2004-4</v>
      </c>
      <c r="L140" s="6">
        <f>((CurrentMtgRatesDataTable89[[#This Row],[SeriesNumValue]]-$D$1)/$D$1+1)*100</f>
        <v>144.33647869724535</v>
      </c>
      <c r="M140" s="6">
        <f>CurrentMtgRatesDataTable89[[#This Row],[Index]]-L141</f>
        <v>5.2423705586766971</v>
      </c>
      <c r="P140" s="7" t="s">
        <v>21</v>
      </c>
      <c r="Q140" s="10">
        <v>5.9039886698822097E-2</v>
      </c>
      <c r="R140" s="31">
        <f>((CurrentMtgRatesDataTable8711[[#This Row],[SeriesNumValue]]-$D$1)/$D$1+1)*100</f>
        <v>393.59924465881397</v>
      </c>
      <c r="S140" s="31"/>
      <c r="U140" s="7" t="s">
        <v>21</v>
      </c>
      <c r="V140" s="10">
        <v>4.34006018726504E-2</v>
      </c>
      <c r="W140" s="31">
        <f>((CurrentMtgRatesDataTable871112[[#This Row],[SeriesNumValue]]-$D$1)/$D$1+1)*100</f>
        <v>289.33734581766936</v>
      </c>
      <c r="X140" s="31"/>
      <c r="Z140" s="7" t="s">
        <v>21</v>
      </c>
      <c r="AA140" s="10">
        <v>2.7045210237171501E-2</v>
      </c>
      <c r="AB140" s="34">
        <f>((CurrentMtgRatesDataTable87111213[[#This Row],[SeriesNumValue]]-$D$1)/$D$1+1)*100</f>
        <v>180.30140158114335</v>
      </c>
      <c r="AC140" s="34"/>
      <c r="AE140" s="7" t="s">
        <v>21</v>
      </c>
      <c r="AF140" s="10">
        <v>1.7708516972218001E-2</v>
      </c>
      <c r="AG140" s="34">
        <f>((CurrentMtgRatesDataTable8711121314[[#This Row],[SeriesNumValue]]-$D$1)/$D$1+1)*100</f>
        <v>118.05677981478668</v>
      </c>
      <c r="AH140" s="34" t="str">
        <f>YEAR(CurrentMtgRatesDataTable8711121314[[#This Row],[asofdate]])&amp;"-"&amp;MONTH(CurrentMtgRatesDataTable8711121314[[#This Row],[asofdate]])</f>
        <v>2014-8</v>
      </c>
      <c r="AI140" s="34">
        <f>CurrentMtgRatesDataTable8711121314[[#This Row],[SeriesNumValue]]</f>
        <v>1.7708516972218001E-2</v>
      </c>
      <c r="AJ140" s="34">
        <f>VLOOKUP(CurrentMtgRatesDataTable8711121314[[#This Row],[asofdate]],P:R,2,0)</f>
        <v>5.9039886698822097E-2</v>
      </c>
      <c r="AK140" s="30">
        <f>IF(VLOOKUP(CurrentMtgRatesDataTable8711121314[[#This Row],[asofdate]],U:W,2,0)&lt;&gt;0,VLOOKUP(CurrentMtgRatesDataTable8711121314[[#This Row],[asofdate]],U:W,2,0),AK139)</f>
        <v>4.34006018726504E-2</v>
      </c>
      <c r="AL140" s="30">
        <f>VLOOKUP(CurrentMtgRatesDataTable8711121314[[#This Row],[asofdate]],Z:AB,2,0)</f>
        <v>2.7045210237171501E-2</v>
      </c>
      <c r="AM140" s="30">
        <f>CurrentMtgRatesDataTable8711121314[[#This Row],[FHA]]+0.5*CurrentMtgRatesDataTable8711121314[[#This Row],[Conventional]]</f>
        <v>6.7894145184931101E-2</v>
      </c>
      <c r="AN140" s="30">
        <f>2*CurrentMtgRatesDataTable8711121314[[#This Row],[FHA]]</f>
        <v>0.11807977339764419</v>
      </c>
      <c r="AO140" s="11">
        <f>VLOOKUP(YEAR(CurrentMtgRatesDataTable8711121314[[#This Row],[asofdate]]),OriginationVolume!$A:$N,8,FALSE)</f>
        <v>0.55517536355859709</v>
      </c>
      <c r="AP140" s="11">
        <f>VLOOKUP(YEAR(CurrentMtgRatesDataTable8711121314[[#This Row],[asofdate]]),OriginationVolume!$A:$N,9,FALSE)</f>
        <v>5.9238665526090674E-2</v>
      </c>
      <c r="AQ140" s="11">
        <f>VLOOKUP(YEAR(CurrentMtgRatesDataTable8711121314[[#This Row],[asofdate]]),OriginationVolume!$A:$N,10,FALSE)</f>
        <v>0.17771599657827203</v>
      </c>
      <c r="AR140" s="11">
        <f>VLOOKUP(YEAR(CurrentMtgRatesDataTable8711121314[[#This Row],[asofdate]]),OriginationVolume!$A:$N,11,FALSE)</f>
        <v>0.20102651839178784</v>
      </c>
      <c r="AS140" s="11">
        <f>VLOOKUP(YEAR(CurrentMtgRatesDataTable8711121314[[#This Row],[asofdate]]),OriginationVolume!$A:$N,12,FALSE)</f>
        <v>3.4217279726261761E-3</v>
      </c>
      <c r="AT140" s="11">
        <f>VLOOKUP(YEAR(CurrentMtgRatesDataTable8711121314[[#This Row],[asofdate]]),OriginationVolume!$A:$N,13,FALSE)</f>
        <v>3.4217279726261761E-3</v>
      </c>
      <c r="AU14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AW140" s="7" t="s">
        <v>21</v>
      </c>
      <c r="AX140" s="10">
        <v>9988061000</v>
      </c>
      <c r="AY140" s="31"/>
      <c r="BA140" s="7" t="s">
        <v>21</v>
      </c>
      <c r="BB140" s="10">
        <v>6417534000</v>
      </c>
      <c r="BC140" s="31"/>
      <c r="BE140" s="7" t="s">
        <v>21</v>
      </c>
      <c r="BF140" s="10">
        <v>46031403352.970001</v>
      </c>
      <c r="BG140" s="34"/>
      <c r="BI140" s="7" t="s">
        <v>21</v>
      </c>
      <c r="BJ140" s="10">
        <v>29625808352.970001</v>
      </c>
      <c r="BK140" s="34" t="str">
        <f>YEAR(CurrentMtgRatesDataTable871112131417[[#This Row],[asofdate]])&amp;"-"&amp;MONTH(CurrentMtgRatesDataTable871112131417[[#This Row],[asofdate]])</f>
        <v>2014-8</v>
      </c>
      <c r="BL140" s="34">
        <f>CurrentMtgRatesDataTable871112131417[[#This Row],[SeriesNumValue]]</f>
        <v>29625808352.970001</v>
      </c>
      <c r="BM140" s="34">
        <f>VLOOKUP(CurrentMtgRatesDataTable871112131417[[#This Row],[asofdate]],AW:AX,2,0)</f>
        <v>9988061000</v>
      </c>
      <c r="BN140" s="30">
        <f>IF(VLOOKUP(CurrentMtgRatesDataTable871112131417[[#This Row],[asofdate]],BA:BB,2,0)&lt;&gt;0,VLOOKUP(CurrentMtgRatesDataTable871112131417[[#This Row],[asofdate]],BA:BB,2,0),BN139)</f>
        <v>6417534000</v>
      </c>
      <c r="BO140" s="30">
        <f>VLOOKUP(CurrentMtgRatesDataTable871112131417[[#This Row],[asofdate]],BE:BF,2,0)</f>
        <v>46031403352.970001</v>
      </c>
    </row>
    <row r="141" spans="1:67" s="8" customFormat="1">
      <c r="A141" s="7" t="s">
        <v>153</v>
      </c>
      <c r="B141" s="10">
        <v>1.7808186457583499E-2</v>
      </c>
      <c r="C141" s="10" t="str">
        <f>YEAR(CurrentMtgRatesDataTable8[[#This Row],[asofdate]])&amp;"-"&amp;MONTH(CurrentMtgRatesDataTable8[[#This Row],[asofdate]])</f>
        <v>2014-9</v>
      </c>
      <c r="D141" s="6">
        <f>((CurrentMtgRatesDataTable8[[#This Row],[SeriesNumValue]]-$D$1)/$D$1+1)*100</f>
        <v>118.72124305055667</v>
      </c>
      <c r="E141" s="6"/>
      <c r="I141" s="7" t="s">
        <v>44</v>
      </c>
      <c r="J141" s="10">
        <v>2.0864116220785298E-2</v>
      </c>
      <c r="K141" s="10" t="str">
        <f>YEAR(CurrentMtgRatesDataTable89[[#This Row],[asofdate]])&amp;"-"&amp;MONTH(CurrentMtgRatesDataTable89[[#This Row],[asofdate]])</f>
        <v>2004-3</v>
      </c>
      <c r="L141" s="6">
        <f>((CurrentMtgRatesDataTable89[[#This Row],[SeriesNumValue]]-$D$1)/$D$1+1)*100</f>
        <v>139.09410813856866</v>
      </c>
      <c r="M141" s="6">
        <f>CurrentMtgRatesDataTable89[[#This Row],[Index]]-L142</f>
        <v>0.9470668245772913</v>
      </c>
      <c r="P141" s="7" t="s">
        <v>153</v>
      </c>
      <c r="Q141" s="10">
        <v>5.9232734324811201E-2</v>
      </c>
      <c r="R141" s="31">
        <f>((CurrentMtgRatesDataTable8711[[#This Row],[SeriesNumValue]]-$D$1)/$D$1+1)*100</f>
        <v>394.88489549874134</v>
      </c>
      <c r="S141" s="31"/>
      <c r="U141" s="7" t="s">
        <v>153</v>
      </c>
      <c r="V141" s="10">
        <v>4.3732377941726401E-2</v>
      </c>
      <c r="W141" s="31">
        <f>((CurrentMtgRatesDataTable871112[[#This Row],[SeriesNumValue]]-$D$1)/$D$1+1)*100</f>
        <v>291.54918627817602</v>
      </c>
      <c r="X141" s="31"/>
      <c r="Z141" s="7" t="s">
        <v>153</v>
      </c>
      <c r="AA141" s="10">
        <v>2.7187170721383502E-2</v>
      </c>
      <c r="AB141" s="34">
        <f>((CurrentMtgRatesDataTable87111213[[#This Row],[SeriesNumValue]]-$D$1)/$D$1+1)*100</f>
        <v>181.24780480922337</v>
      </c>
      <c r="AC141" s="34"/>
      <c r="AE141" s="7" t="s">
        <v>153</v>
      </c>
      <c r="AF141" s="10">
        <v>1.7686077599562498E-2</v>
      </c>
      <c r="AG141" s="34">
        <f>((CurrentMtgRatesDataTable8711121314[[#This Row],[SeriesNumValue]]-$D$1)/$D$1+1)*100</f>
        <v>117.90718399708334</v>
      </c>
      <c r="AH141" s="34" t="str">
        <f>YEAR(CurrentMtgRatesDataTable8711121314[[#This Row],[asofdate]])&amp;"-"&amp;MONTH(CurrentMtgRatesDataTable8711121314[[#This Row],[asofdate]])</f>
        <v>2014-9</v>
      </c>
      <c r="AI141" s="34">
        <f>CurrentMtgRatesDataTable8711121314[[#This Row],[SeriesNumValue]]</f>
        <v>1.7686077599562498E-2</v>
      </c>
      <c r="AJ141" s="34">
        <f>VLOOKUP(CurrentMtgRatesDataTable8711121314[[#This Row],[asofdate]],P:R,2,0)</f>
        <v>5.9232734324811201E-2</v>
      </c>
      <c r="AK141" s="30">
        <f>IF(VLOOKUP(CurrentMtgRatesDataTable8711121314[[#This Row],[asofdate]],U:W,2,0)&lt;&gt;0,VLOOKUP(CurrentMtgRatesDataTable8711121314[[#This Row],[asofdate]],U:W,2,0),AK140)</f>
        <v>4.3732377941726401E-2</v>
      </c>
      <c r="AL141" s="30">
        <f>VLOOKUP(CurrentMtgRatesDataTable8711121314[[#This Row],[asofdate]],Z:AB,2,0)</f>
        <v>2.7187170721383502E-2</v>
      </c>
      <c r="AM141" s="30">
        <f>CurrentMtgRatesDataTable8711121314[[#This Row],[FHA]]+0.5*CurrentMtgRatesDataTable8711121314[[#This Row],[Conventional]]</f>
        <v>6.8075773124592454E-2</v>
      </c>
      <c r="AN141" s="30">
        <f>2*CurrentMtgRatesDataTable8711121314[[#This Row],[FHA]]</f>
        <v>0.1184654686496224</v>
      </c>
      <c r="AO141" s="11">
        <f>VLOOKUP(YEAR(CurrentMtgRatesDataTable8711121314[[#This Row],[asofdate]]),OriginationVolume!$A:$N,8,FALSE)</f>
        <v>0.55517536355859709</v>
      </c>
      <c r="AP141" s="11">
        <f>VLOOKUP(YEAR(CurrentMtgRatesDataTable8711121314[[#This Row],[asofdate]]),OriginationVolume!$A:$N,9,FALSE)</f>
        <v>5.9238665526090674E-2</v>
      </c>
      <c r="AQ141" s="11">
        <f>VLOOKUP(YEAR(CurrentMtgRatesDataTable8711121314[[#This Row],[asofdate]]),OriginationVolume!$A:$N,10,FALSE)</f>
        <v>0.17771599657827203</v>
      </c>
      <c r="AR141" s="11">
        <f>VLOOKUP(YEAR(CurrentMtgRatesDataTable8711121314[[#This Row],[asofdate]]),OriginationVolume!$A:$N,11,FALSE)</f>
        <v>0.20102651839178784</v>
      </c>
      <c r="AS141" s="11">
        <f>VLOOKUP(YEAR(CurrentMtgRatesDataTable8711121314[[#This Row],[asofdate]]),OriginationVolume!$A:$N,12,FALSE)</f>
        <v>3.4217279726261761E-3</v>
      </c>
      <c r="AT141" s="11">
        <f>VLOOKUP(YEAR(CurrentMtgRatesDataTable8711121314[[#This Row],[asofdate]]),OriginationVolume!$A:$N,13,FALSE)</f>
        <v>3.4217279726261761E-3</v>
      </c>
      <c r="AU14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AW141" s="7" t="s">
        <v>153</v>
      </c>
      <c r="AX141" s="10">
        <v>10033277000</v>
      </c>
      <c r="AY141" s="31"/>
      <c r="BA141" s="7" t="s">
        <v>153</v>
      </c>
      <c r="BB141" s="10">
        <v>6356926000</v>
      </c>
      <c r="BC141" s="31"/>
      <c r="BE141" s="7" t="s">
        <v>153</v>
      </c>
      <c r="BF141" s="10">
        <v>45574789343.559998</v>
      </c>
      <c r="BG141" s="34"/>
      <c r="BI141" s="7" t="s">
        <v>153</v>
      </c>
      <c r="BJ141" s="10">
        <v>29184586343.560001</v>
      </c>
      <c r="BK141" s="34" t="str">
        <f>YEAR(CurrentMtgRatesDataTable871112131417[[#This Row],[asofdate]])&amp;"-"&amp;MONTH(CurrentMtgRatesDataTable871112131417[[#This Row],[asofdate]])</f>
        <v>2014-9</v>
      </c>
      <c r="BL141" s="34">
        <f>CurrentMtgRatesDataTable871112131417[[#This Row],[SeriesNumValue]]</f>
        <v>29184586343.560001</v>
      </c>
      <c r="BM141" s="34">
        <f>VLOOKUP(CurrentMtgRatesDataTable871112131417[[#This Row],[asofdate]],AW:AX,2,0)</f>
        <v>10033277000</v>
      </c>
      <c r="BN141" s="30">
        <f>IF(VLOOKUP(CurrentMtgRatesDataTable871112131417[[#This Row],[asofdate]],BA:BB,2,0)&lt;&gt;0,VLOOKUP(CurrentMtgRatesDataTable871112131417[[#This Row],[asofdate]],BA:BB,2,0),BN140)</f>
        <v>6356926000</v>
      </c>
      <c r="BO141" s="30">
        <f>VLOOKUP(CurrentMtgRatesDataTable871112131417[[#This Row],[asofdate]],BE:BF,2,0)</f>
        <v>45574789343.559998</v>
      </c>
    </row>
    <row r="142" spans="1:67" s="8" customFormat="1">
      <c r="A142" s="7" t="s">
        <v>8</v>
      </c>
      <c r="B142" s="10">
        <v>1.78819828081676E-2</v>
      </c>
      <c r="C142" s="10" t="str">
        <f>YEAR(CurrentMtgRatesDataTable8[[#This Row],[asofdate]])&amp;"-"&amp;MONTH(CurrentMtgRatesDataTable8[[#This Row],[asofdate]])</f>
        <v>2014-10</v>
      </c>
      <c r="D142" s="6">
        <f>((CurrentMtgRatesDataTable8[[#This Row],[SeriesNumValue]]-$D$1)/$D$1+1)*100</f>
        <v>119.21321872111734</v>
      </c>
      <c r="E142" s="6"/>
      <c r="I142" s="7" t="s">
        <v>43</v>
      </c>
      <c r="J142" s="10">
        <v>2.0722056197098701E-2</v>
      </c>
      <c r="K142" s="10" t="str">
        <f>YEAR(CurrentMtgRatesDataTable89[[#This Row],[asofdate]])&amp;"-"&amp;MONTH(CurrentMtgRatesDataTable89[[#This Row],[asofdate]])</f>
        <v>2004-2</v>
      </c>
      <c r="L142" s="6">
        <f>((CurrentMtgRatesDataTable89[[#This Row],[SeriesNumValue]]-$D$1)/$D$1+1)*100</f>
        <v>138.14704131399137</v>
      </c>
      <c r="M142" s="6">
        <f>CurrentMtgRatesDataTable89[[#This Row],[Index]]-L143</f>
        <v>-4.6609955109479699</v>
      </c>
      <c r="P142" s="7" t="s">
        <v>8</v>
      </c>
      <c r="Q142" s="10">
        <v>6.0455601405621499E-2</v>
      </c>
      <c r="R142" s="31">
        <f>((CurrentMtgRatesDataTable8711[[#This Row],[SeriesNumValue]]-$D$1)/$D$1+1)*100</f>
        <v>403.03734270414333</v>
      </c>
      <c r="S142" s="31"/>
      <c r="U142" s="7" t="s">
        <v>8</v>
      </c>
      <c r="V142" s="10">
        <v>4.4866368406642501E-2</v>
      </c>
      <c r="W142" s="31">
        <f>((CurrentMtgRatesDataTable871112[[#This Row],[SeriesNumValue]]-$D$1)/$D$1+1)*100</f>
        <v>299.10912271095003</v>
      </c>
      <c r="X142" s="31"/>
      <c r="Z142" s="7" t="s">
        <v>8</v>
      </c>
      <c r="AA142" s="10">
        <v>2.7586762423134799E-2</v>
      </c>
      <c r="AB142" s="34">
        <f>((CurrentMtgRatesDataTable87111213[[#This Row],[SeriesNumValue]]-$D$1)/$D$1+1)*100</f>
        <v>183.91174948756532</v>
      </c>
      <c r="AC142" s="34"/>
      <c r="AE142" s="7" t="s">
        <v>8</v>
      </c>
      <c r="AF142" s="10">
        <v>1.7911224377334799E-2</v>
      </c>
      <c r="AG142" s="34">
        <f>((CurrentMtgRatesDataTable8711121314[[#This Row],[SeriesNumValue]]-$D$1)/$D$1+1)*100</f>
        <v>119.40816251556532</v>
      </c>
      <c r="AH142" s="34" t="str">
        <f>YEAR(CurrentMtgRatesDataTable8711121314[[#This Row],[asofdate]])&amp;"-"&amp;MONTH(CurrentMtgRatesDataTable8711121314[[#This Row],[asofdate]])</f>
        <v>2014-10</v>
      </c>
      <c r="AI142" s="34">
        <f>CurrentMtgRatesDataTable8711121314[[#This Row],[SeriesNumValue]]</f>
        <v>1.7911224377334799E-2</v>
      </c>
      <c r="AJ142" s="34">
        <f>VLOOKUP(CurrentMtgRatesDataTable8711121314[[#This Row],[asofdate]],P:R,2,0)</f>
        <v>6.0455601405621499E-2</v>
      </c>
      <c r="AK142" s="30">
        <f>IF(VLOOKUP(CurrentMtgRatesDataTable8711121314[[#This Row],[asofdate]],U:W,2,0)&lt;&gt;0,VLOOKUP(CurrentMtgRatesDataTable8711121314[[#This Row],[asofdate]],U:W,2,0),AK141)</f>
        <v>4.4866368406642501E-2</v>
      </c>
      <c r="AL142" s="30">
        <f>VLOOKUP(CurrentMtgRatesDataTable8711121314[[#This Row],[asofdate]],Z:AB,2,0)</f>
        <v>2.7586762423134799E-2</v>
      </c>
      <c r="AM142" s="30">
        <f>CurrentMtgRatesDataTable8711121314[[#This Row],[FHA]]+0.5*CurrentMtgRatesDataTable8711121314[[#This Row],[Conventional]]</f>
        <v>6.9411213594288895E-2</v>
      </c>
      <c r="AN142" s="30">
        <f>2*CurrentMtgRatesDataTable8711121314[[#This Row],[FHA]]</f>
        <v>0.120911202811243</v>
      </c>
      <c r="AO142" s="11">
        <f>VLOOKUP(YEAR(CurrentMtgRatesDataTable8711121314[[#This Row],[asofdate]]),OriginationVolume!$A:$N,8,FALSE)</f>
        <v>0.55517536355859709</v>
      </c>
      <c r="AP142" s="11">
        <f>VLOOKUP(YEAR(CurrentMtgRatesDataTable8711121314[[#This Row],[asofdate]]),OriginationVolume!$A:$N,9,FALSE)</f>
        <v>5.9238665526090674E-2</v>
      </c>
      <c r="AQ142" s="11">
        <f>VLOOKUP(YEAR(CurrentMtgRatesDataTable8711121314[[#This Row],[asofdate]]),OriginationVolume!$A:$N,10,FALSE)</f>
        <v>0.17771599657827203</v>
      </c>
      <c r="AR142" s="11">
        <f>VLOOKUP(YEAR(CurrentMtgRatesDataTable8711121314[[#This Row],[asofdate]]),OriginationVolume!$A:$N,11,FALSE)</f>
        <v>0.20102651839178784</v>
      </c>
      <c r="AS142" s="11">
        <f>VLOOKUP(YEAR(CurrentMtgRatesDataTable8711121314[[#This Row],[asofdate]]),OriginationVolume!$A:$N,12,FALSE)</f>
        <v>3.4217279726261761E-3</v>
      </c>
      <c r="AT142" s="11">
        <f>VLOOKUP(YEAR(CurrentMtgRatesDataTable8711121314[[#This Row],[asofdate]]),OriginationVolume!$A:$N,13,FALSE)</f>
        <v>3.4217279726261761E-3</v>
      </c>
      <c r="AU14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AW142" s="7" t="s">
        <v>8</v>
      </c>
      <c r="AX142" s="10">
        <v>9306528000</v>
      </c>
      <c r="AY142" s="31"/>
      <c r="BA142" s="7" t="s">
        <v>8</v>
      </c>
      <c r="BB142" s="10">
        <v>5964777000</v>
      </c>
      <c r="BC142" s="31"/>
      <c r="BE142" s="7" t="s">
        <v>8</v>
      </c>
      <c r="BF142" s="10">
        <v>42626835553.860001</v>
      </c>
      <c r="BG142" s="34"/>
      <c r="BI142" s="7" t="s">
        <v>8</v>
      </c>
      <c r="BJ142" s="10">
        <v>27355530553.860001</v>
      </c>
      <c r="BK142" s="34" t="str">
        <f>YEAR(CurrentMtgRatesDataTable871112131417[[#This Row],[asofdate]])&amp;"-"&amp;MONTH(CurrentMtgRatesDataTable871112131417[[#This Row],[asofdate]])</f>
        <v>2014-10</v>
      </c>
      <c r="BL142" s="34">
        <f>CurrentMtgRatesDataTable871112131417[[#This Row],[SeriesNumValue]]</f>
        <v>27355530553.860001</v>
      </c>
      <c r="BM142" s="34">
        <f>VLOOKUP(CurrentMtgRatesDataTable871112131417[[#This Row],[asofdate]],AW:AX,2,0)</f>
        <v>9306528000</v>
      </c>
      <c r="BN142" s="30">
        <f>IF(VLOOKUP(CurrentMtgRatesDataTable871112131417[[#This Row],[asofdate]],BA:BB,2,0)&lt;&gt;0,VLOOKUP(CurrentMtgRatesDataTable871112131417[[#This Row],[asofdate]],BA:BB,2,0),BN141)</f>
        <v>5964777000</v>
      </c>
      <c r="BO142" s="30">
        <f>VLOOKUP(CurrentMtgRatesDataTable871112131417[[#This Row],[asofdate]],BE:BF,2,0)</f>
        <v>42626835553.860001</v>
      </c>
    </row>
    <row r="143" spans="1:67" s="8" customFormat="1">
      <c r="A143" s="7" t="s">
        <v>154</v>
      </c>
      <c r="B143" s="10">
        <v>1.8450502596294101E-2</v>
      </c>
      <c r="C143" s="10" t="str">
        <f>YEAR(CurrentMtgRatesDataTable8[[#This Row],[asofdate]])&amp;"-"&amp;MONTH(CurrentMtgRatesDataTable8[[#This Row],[asofdate]])</f>
        <v>2014-11</v>
      </c>
      <c r="D143" s="6">
        <f>((CurrentMtgRatesDataTable8[[#This Row],[SeriesNumValue]]-$D$1)/$D$1+1)*100</f>
        <v>123.00335064196068</v>
      </c>
      <c r="E143" s="6"/>
      <c r="I143" s="7" t="s">
        <v>42</v>
      </c>
      <c r="J143" s="10">
        <v>2.14212055237409E-2</v>
      </c>
      <c r="K143" s="10" t="str">
        <f>YEAR(CurrentMtgRatesDataTable89[[#This Row],[asofdate]])&amp;"-"&amp;MONTH(CurrentMtgRatesDataTable89[[#This Row],[asofdate]])</f>
        <v>2004-1</v>
      </c>
      <c r="L143" s="6">
        <f>((CurrentMtgRatesDataTable89[[#This Row],[SeriesNumValue]]-$D$1)/$D$1+1)*100</f>
        <v>142.80803682493934</v>
      </c>
      <c r="M143" s="6">
        <f>CurrentMtgRatesDataTable89[[#This Row],[Index]]-L144</f>
        <v>-2.7261115394026945</v>
      </c>
      <c r="P143" s="7" t="s">
        <v>154</v>
      </c>
      <c r="Q143" s="10">
        <v>5.9874562188320497E-2</v>
      </c>
      <c r="R143" s="31">
        <f>((CurrentMtgRatesDataTable8711[[#This Row],[SeriesNumValue]]-$D$1)/$D$1+1)*100</f>
        <v>399.16374792213662</v>
      </c>
      <c r="S143" s="31"/>
      <c r="U143" s="7" t="s">
        <v>154</v>
      </c>
      <c r="V143" s="10">
        <v>4.4860699739032402E-2</v>
      </c>
      <c r="W143" s="31">
        <f>((CurrentMtgRatesDataTable871112[[#This Row],[SeriesNumValue]]-$D$1)/$D$1+1)*100</f>
        <v>299.0713315935493</v>
      </c>
      <c r="X143" s="31"/>
      <c r="Z143" s="7" t="s">
        <v>154</v>
      </c>
      <c r="AA143" s="10">
        <v>2.7955056947931701E-2</v>
      </c>
      <c r="AB143" s="34">
        <f>((CurrentMtgRatesDataTable87111213[[#This Row],[SeriesNumValue]]-$D$1)/$D$1+1)*100</f>
        <v>186.36704631954467</v>
      </c>
      <c r="AC143" s="34"/>
      <c r="AE143" s="7" t="s">
        <v>154</v>
      </c>
      <c r="AF143" s="10">
        <v>1.7995520073933E-2</v>
      </c>
      <c r="AG143" s="34">
        <f>((CurrentMtgRatesDataTable8711121314[[#This Row],[SeriesNumValue]]-$D$1)/$D$1+1)*100</f>
        <v>119.97013382621999</v>
      </c>
      <c r="AH143" s="34" t="str">
        <f>YEAR(CurrentMtgRatesDataTable8711121314[[#This Row],[asofdate]])&amp;"-"&amp;MONTH(CurrentMtgRatesDataTable8711121314[[#This Row],[asofdate]])</f>
        <v>2014-11</v>
      </c>
      <c r="AI143" s="34">
        <f>CurrentMtgRatesDataTable8711121314[[#This Row],[SeriesNumValue]]</f>
        <v>1.7995520073933E-2</v>
      </c>
      <c r="AJ143" s="34">
        <f>VLOOKUP(CurrentMtgRatesDataTable8711121314[[#This Row],[asofdate]],P:R,2,0)</f>
        <v>5.9874562188320497E-2</v>
      </c>
      <c r="AK143" s="30">
        <f>IF(VLOOKUP(CurrentMtgRatesDataTable8711121314[[#This Row],[asofdate]],U:W,2,0)&lt;&gt;0,VLOOKUP(CurrentMtgRatesDataTable8711121314[[#This Row],[asofdate]],U:W,2,0),AK142)</f>
        <v>4.4860699739032402E-2</v>
      </c>
      <c r="AL143" s="30">
        <f>VLOOKUP(CurrentMtgRatesDataTable8711121314[[#This Row],[asofdate]],Z:AB,2,0)</f>
        <v>2.7955056947931701E-2</v>
      </c>
      <c r="AM143" s="30">
        <f>CurrentMtgRatesDataTable8711121314[[#This Row],[FHA]]+0.5*CurrentMtgRatesDataTable8711121314[[#This Row],[Conventional]]</f>
        <v>6.8872322225286997E-2</v>
      </c>
      <c r="AN143" s="30">
        <f>2*CurrentMtgRatesDataTable8711121314[[#This Row],[FHA]]</f>
        <v>0.11974912437664099</v>
      </c>
      <c r="AO143" s="11">
        <f>VLOOKUP(YEAR(CurrentMtgRatesDataTable8711121314[[#This Row],[asofdate]]),OriginationVolume!$A:$N,8,FALSE)</f>
        <v>0.55517536355859709</v>
      </c>
      <c r="AP143" s="11">
        <f>VLOOKUP(YEAR(CurrentMtgRatesDataTable8711121314[[#This Row],[asofdate]]),OriginationVolume!$A:$N,9,FALSE)</f>
        <v>5.9238665526090674E-2</v>
      </c>
      <c r="AQ143" s="11">
        <f>VLOOKUP(YEAR(CurrentMtgRatesDataTable8711121314[[#This Row],[asofdate]]),OriginationVolume!$A:$N,10,FALSE)</f>
        <v>0.17771599657827203</v>
      </c>
      <c r="AR143" s="11">
        <f>VLOOKUP(YEAR(CurrentMtgRatesDataTable8711121314[[#This Row],[asofdate]]),OriginationVolume!$A:$N,11,FALSE)</f>
        <v>0.20102651839178784</v>
      </c>
      <c r="AS143" s="11">
        <f>VLOOKUP(YEAR(CurrentMtgRatesDataTable8711121314[[#This Row],[asofdate]]),OriginationVolume!$A:$N,12,FALSE)</f>
        <v>3.4217279726261761E-3</v>
      </c>
      <c r="AT143" s="11">
        <f>VLOOKUP(YEAR(CurrentMtgRatesDataTable8711121314[[#This Row],[asofdate]]),OriginationVolume!$A:$N,13,FALSE)</f>
        <v>3.4217279726261761E-3</v>
      </c>
      <c r="AU14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AW143" s="7" t="s">
        <v>154</v>
      </c>
      <c r="AX143" s="10">
        <v>8864973000</v>
      </c>
      <c r="AY143" s="31"/>
      <c r="BA143" s="7" t="s">
        <v>154</v>
      </c>
      <c r="BB143" s="10">
        <v>5607829000</v>
      </c>
      <c r="BC143" s="31"/>
      <c r="BE143" s="7" t="s">
        <v>154</v>
      </c>
      <c r="BF143" s="10">
        <v>39172729918.940002</v>
      </c>
      <c r="BG143" s="34"/>
      <c r="BI143" s="7" t="s">
        <v>154</v>
      </c>
      <c r="BJ143" s="10">
        <v>24699927918.939999</v>
      </c>
      <c r="BK143" s="34" t="str">
        <f>YEAR(CurrentMtgRatesDataTable871112131417[[#This Row],[asofdate]])&amp;"-"&amp;MONTH(CurrentMtgRatesDataTable871112131417[[#This Row],[asofdate]])</f>
        <v>2014-11</v>
      </c>
      <c r="BL143" s="34">
        <f>CurrentMtgRatesDataTable871112131417[[#This Row],[SeriesNumValue]]</f>
        <v>24699927918.939999</v>
      </c>
      <c r="BM143" s="34">
        <f>VLOOKUP(CurrentMtgRatesDataTable871112131417[[#This Row],[asofdate]],AW:AX,2,0)</f>
        <v>8864973000</v>
      </c>
      <c r="BN143" s="30">
        <f>IF(VLOOKUP(CurrentMtgRatesDataTable871112131417[[#This Row],[asofdate]],BA:BB,2,0)&lt;&gt;0,VLOOKUP(CurrentMtgRatesDataTable871112131417[[#This Row],[asofdate]],BA:BB,2,0),BN142)</f>
        <v>5607829000</v>
      </c>
      <c r="BO143" s="30">
        <f>VLOOKUP(CurrentMtgRatesDataTable871112131417[[#This Row],[asofdate]],BE:BF,2,0)</f>
        <v>39172729918.940002</v>
      </c>
    </row>
    <row r="144" spans="1:67" s="8" customFormat="1">
      <c r="A144" s="7" t="s">
        <v>16</v>
      </c>
      <c r="B144" s="10">
        <v>1.8848009868152601E-2</v>
      </c>
      <c r="C144" s="10" t="str">
        <f>YEAR(CurrentMtgRatesDataTable8[[#This Row],[asofdate]])&amp;"-"&amp;MONTH(CurrentMtgRatesDataTable8[[#This Row],[asofdate]])</f>
        <v>2014-12</v>
      </c>
      <c r="D144" s="6">
        <f>((CurrentMtgRatesDataTable8[[#This Row],[SeriesNumValue]]-$D$1)/$D$1+1)*100</f>
        <v>125.65339912101734</v>
      </c>
      <c r="E144" s="6"/>
      <c r="I144" s="7" t="s">
        <v>41</v>
      </c>
      <c r="J144" s="10">
        <v>2.18301222546513E-2</v>
      </c>
      <c r="K144" s="10" t="str">
        <f>YEAR(CurrentMtgRatesDataTable89[[#This Row],[asofdate]])&amp;"-"&amp;MONTH(CurrentMtgRatesDataTable89[[#This Row],[asofdate]])</f>
        <v>2003-12</v>
      </c>
      <c r="L144" s="6">
        <f>((CurrentMtgRatesDataTable89[[#This Row],[SeriesNumValue]]-$D$1)/$D$1+1)*100</f>
        <v>145.53414836434203</v>
      </c>
      <c r="M144" s="6">
        <f>CurrentMtgRatesDataTable89[[#This Row],[Index]]-L145</f>
        <v>1.7067364409953711</v>
      </c>
      <c r="P144" s="7" t="s">
        <v>16</v>
      </c>
      <c r="Q144" s="10">
        <v>6.2400887079476899E-2</v>
      </c>
      <c r="R144" s="31">
        <f>((CurrentMtgRatesDataTable8711[[#This Row],[SeriesNumValue]]-$D$1)/$D$1+1)*100</f>
        <v>416.00591386317933</v>
      </c>
      <c r="S144" s="31"/>
      <c r="U144" s="7" t="s">
        <v>16</v>
      </c>
      <c r="V144" s="10">
        <v>4.68738925155835E-2</v>
      </c>
      <c r="W144" s="31">
        <f>((CurrentMtgRatesDataTable871112[[#This Row],[SeriesNumValue]]-$D$1)/$D$1+1)*100</f>
        <v>312.49261677055665</v>
      </c>
      <c r="X144" s="31"/>
      <c r="Z144" s="7" t="s">
        <v>16</v>
      </c>
      <c r="AA144" s="10">
        <v>2.91850030439786E-2</v>
      </c>
      <c r="AB144" s="34">
        <f>((CurrentMtgRatesDataTable87111213[[#This Row],[SeriesNumValue]]-$D$1)/$D$1+1)*100</f>
        <v>194.56668695985732</v>
      </c>
      <c r="AC144" s="34"/>
      <c r="AE144" s="7" t="s">
        <v>16</v>
      </c>
      <c r="AF144" s="10">
        <v>1.8702407855327199E-2</v>
      </c>
      <c r="AG144" s="34">
        <f>((CurrentMtgRatesDataTable8711121314[[#This Row],[SeriesNumValue]]-$D$1)/$D$1+1)*100</f>
        <v>124.68271903551467</v>
      </c>
      <c r="AH144" s="34" t="str">
        <f>YEAR(CurrentMtgRatesDataTable8711121314[[#This Row],[asofdate]])&amp;"-"&amp;MONTH(CurrentMtgRatesDataTable8711121314[[#This Row],[asofdate]])</f>
        <v>2014-12</v>
      </c>
      <c r="AI144" s="34">
        <f>CurrentMtgRatesDataTable8711121314[[#This Row],[SeriesNumValue]]</f>
        <v>1.8702407855327199E-2</v>
      </c>
      <c r="AJ144" s="34">
        <f>VLOOKUP(CurrentMtgRatesDataTable8711121314[[#This Row],[asofdate]],P:R,2,0)</f>
        <v>6.2400887079476899E-2</v>
      </c>
      <c r="AK144" s="30">
        <f>IF(VLOOKUP(CurrentMtgRatesDataTable8711121314[[#This Row],[asofdate]],U:W,2,0)&lt;&gt;0,VLOOKUP(CurrentMtgRatesDataTable8711121314[[#This Row],[asofdate]],U:W,2,0),AK143)</f>
        <v>4.68738925155835E-2</v>
      </c>
      <c r="AL144" s="30">
        <f>VLOOKUP(CurrentMtgRatesDataTable8711121314[[#This Row],[asofdate]],Z:AB,2,0)</f>
        <v>2.91850030439786E-2</v>
      </c>
      <c r="AM144" s="30">
        <f>CurrentMtgRatesDataTable8711121314[[#This Row],[FHA]]+0.5*CurrentMtgRatesDataTable8711121314[[#This Row],[Conventional]]</f>
        <v>7.17520910071405E-2</v>
      </c>
      <c r="AN144" s="30">
        <f>2*CurrentMtgRatesDataTable8711121314[[#This Row],[FHA]]</f>
        <v>0.1248017741589538</v>
      </c>
      <c r="AO144" s="11">
        <f>VLOOKUP(YEAR(CurrentMtgRatesDataTable8711121314[[#This Row],[asofdate]]),OriginationVolume!$A:$N,8,FALSE)</f>
        <v>0.55517536355859709</v>
      </c>
      <c r="AP144" s="11">
        <f>VLOOKUP(YEAR(CurrentMtgRatesDataTable8711121314[[#This Row],[asofdate]]),OriginationVolume!$A:$N,9,FALSE)</f>
        <v>5.9238665526090674E-2</v>
      </c>
      <c r="AQ144" s="11">
        <f>VLOOKUP(YEAR(CurrentMtgRatesDataTable8711121314[[#This Row],[asofdate]]),OriginationVolume!$A:$N,10,FALSE)</f>
        <v>0.17771599657827203</v>
      </c>
      <c r="AR144" s="11">
        <f>VLOOKUP(YEAR(CurrentMtgRatesDataTable8711121314[[#This Row],[asofdate]]),OriginationVolume!$A:$N,11,FALSE)</f>
        <v>0.20102651839178784</v>
      </c>
      <c r="AS144" s="11">
        <f>VLOOKUP(YEAR(CurrentMtgRatesDataTable8711121314[[#This Row],[asofdate]]),OriginationVolume!$A:$N,12,FALSE)</f>
        <v>3.4217279726261761E-3</v>
      </c>
      <c r="AT144" s="11">
        <f>VLOOKUP(YEAR(CurrentMtgRatesDataTable8711121314[[#This Row],[asofdate]]),OriginationVolume!$A:$N,13,FALSE)</f>
        <v>3.4217279726261761E-3</v>
      </c>
      <c r="AU14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AW144" s="7" t="s">
        <v>16</v>
      </c>
      <c r="AX144" s="10">
        <v>8858380000</v>
      </c>
      <c r="AY144" s="31"/>
      <c r="BA144" s="7" t="s">
        <v>16</v>
      </c>
      <c r="BB144" s="10">
        <v>5486375000</v>
      </c>
      <c r="BC144" s="31"/>
      <c r="BE144" s="7" t="s">
        <v>16</v>
      </c>
      <c r="BF144" s="10">
        <v>38719282119.989998</v>
      </c>
      <c r="BG144" s="34"/>
      <c r="BI144" s="7" t="s">
        <v>16</v>
      </c>
      <c r="BJ144" s="10">
        <v>24374527119.990002</v>
      </c>
      <c r="BK144" s="34" t="str">
        <f>YEAR(CurrentMtgRatesDataTable871112131417[[#This Row],[asofdate]])&amp;"-"&amp;MONTH(CurrentMtgRatesDataTable871112131417[[#This Row],[asofdate]])</f>
        <v>2014-12</v>
      </c>
      <c r="BL144" s="34">
        <f>CurrentMtgRatesDataTable871112131417[[#This Row],[SeriesNumValue]]</f>
        <v>24374527119.990002</v>
      </c>
      <c r="BM144" s="34">
        <f>VLOOKUP(CurrentMtgRatesDataTable871112131417[[#This Row],[asofdate]],AW:AX,2,0)</f>
        <v>8858380000</v>
      </c>
      <c r="BN144" s="30">
        <f>IF(VLOOKUP(CurrentMtgRatesDataTable871112131417[[#This Row],[asofdate]],BA:BB,2,0)&lt;&gt;0,VLOOKUP(CurrentMtgRatesDataTable871112131417[[#This Row],[asofdate]],BA:BB,2,0),BN143)</f>
        <v>5486375000</v>
      </c>
      <c r="BO144" s="30">
        <f>VLOOKUP(CurrentMtgRatesDataTable871112131417[[#This Row],[asofdate]],BE:BF,2,0)</f>
        <v>38719282119.989998</v>
      </c>
    </row>
    <row r="145" spans="1:67" s="8" customFormat="1">
      <c r="A145" s="7" t="s">
        <v>155</v>
      </c>
      <c r="B145" s="10">
        <v>1.8665764870618599E-2</v>
      </c>
      <c r="C145" s="10" t="str">
        <f>YEAR(CurrentMtgRatesDataTable8[[#This Row],[asofdate]])&amp;"-"&amp;MONTH(CurrentMtgRatesDataTable8[[#This Row],[asofdate]])</f>
        <v>2015-1</v>
      </c>
      <c r="D145" s="6">
        <f>((CurrentMtgRatesDataTable8[[#This Row],[SeriesNumValue]]-$D$1)/$D$1+1)*100</f>
        <v>124.43843247079067</v>
      </c>
      <c r="E145" s="6"/>
      <c r="I145" s="7" t="s">
        <v>40</v>
      </c>
      <c r="J145" s="10">
        <v>2.1574111788502E-2</v>
      </c>
      <c r="K145" s="10" t="str">
        <f>YEAR(CurrentMtgRatesDataTable89[[#This Row],[asofdate]])&amp;"-"&amp;MONTH(CurrentMtgRatesDataTable89[[#This Row],[asofdate]])</f>
        <v>2003-11</v>
      </c>
      <c r="L145" s="6">
        <f>((CurrentMtgRatesDataTable89[[#This Row],[SeriesNumValue]]-$D$1)/$D$1+1)*100</f>
        <v>143.82741192334666</v>
      </c>
      <c r="M145" s="6">
        <f>CurrentMtgRatesDataTable89[[#This Row],[Index]]-L146</f>
        <v>33.164769922987986</v>
      </c>
      <c r="P145" s="7" t="s">
        <v>155</v>
      </c>
      <c r="Q145" s="10">
        <v>6.0841622906473401E-2</v>
      </c>
      <c r="R145" s="31">
        <f>((CurrentMtgRatesDataTable8711[[#This Row],[SeriesNumValue]]-$D$1)/$D$1+1)*100</f>
        <v>405.61081937648942</v>
      </c>
      <c r="S145" s="31"/>
      <c r="U145" s="7" t="s">
        <v>155</v>
      </c>
      <c r="V145" s="10">
        <v>4.65732522111236E-2</v>
      </c>
      <c r="W145" s="31">
        <f>((CurrentMtgRatesDataTable871112[[#This Row],[SeriesNumValue]]-$D$1)/$D$1+1)*100</f>
        <v>310.48834807415733</v>
      </c>
      <c r="X145" s="31"/>
      <c r="Z145" s="7" t="s">
        <v>155</v>
      </c>
      <c r="AA145" s="10">
        <v>2.8601910427867201E-2</v>
      </c>
      <c r="AB145" s="34">
        <f>((CurrentMtgRatesDataTable87111213[[#This Row],[SeriesNumValue]]-$D$1)/$D$1+1)*100</f>
        <v>190.67940285244802</v>
      </c>
      <c r="AC145" s="34"/>
      <c r="AE145" s="7" t="s">
        <v>155</v>
      </c>
      <c r="AF145" s="10">
        <v>1.8273129064639401E-2</v>
      </c>
      <c r="AG145" s="34">
        <f>((CurrentMtgRatesDataTable8711121314[[#This Row],[SeriesNumValue]]-$D$1)/$D$1+1)*100</f>
        <v>121.82086043092934</v>
      </c>
      <c r="AH145" s="34" t="str">
        <f>YEAR(CurrentMtgRatesDataTable8711121314[[#This Row],[asofdate]])&amp;"-"&amp;MONTH(CurrentMtgRatesDataTable8711121314[[#This Row],[asofdate]])</f>
        <v>2015-1</v>
      </c>
      <c r="AI145" s="34">
        <f>CurrentMtgRatesDataTable8711121314[[#This Row],[SeriesNumValue]]</f>
        <v>1.8273129064639401E-2</v>
      </c>
      <c r="AJ145" s="34">
        <f>VLOOKUP(CurrentMtgRatesDataTable8711121314[[#This Row],[asofdate]],P:R,2,0)</f>
        <v>6.0841622906473401E-2</v>
      </c>
      <c r="AK145" s="30">
        <f>IF(VLOOKUP(CurrentMtgRatesDataTable8711121314[[#This Row],[asofdate]],U:W,2,0)&lt;&gt;0,VLOOKUP(CurrentMtgRatesDataTable8711121314[[#This Row],[asofdate]],U:W,2,0),AK144)</f>
        <v>4.65732522111236E-2</v>
      </c>
      <c r="AL145" s="30">
        <f>VLOOKUP(CurrentMtgRatesDataTable8711121314[[#This Row],[asofdate]],Z:AB,2,0)</f>
        <v>2.8601910427867201E-2</v>
      </c>
      <c r="AM145" s="30">
        <f>CurrentMtgRatesDataTable8711121314[[#This Row],[FHA]]+0.5*CurrentMtgRatesDataTable8711121314[[#This Row],[Conventional]]</f>
        <v>6.9978187438793096E-2</v>
      </c>
      <c r="AN145" s="30">
        <f>2*CurrentMtgRatesDataTable8711121314[[#This Row],[FHA]]</f>
        <v>0.1216832458129468</v>
      </c>
      <c r="AO145" s="11">
        <f>VLOOKUP(YEAR(CurrentMtgRatesDataTable8711121314[[#This Row],[asofdate]]),OriginationVolume!$A:$N,8,FALSE)</f>
        <v>0.54906832298136643</v>
      </c>
      <c r="AP145" s="11">
        <f>VLOOKUP(YEAR(CurrentMtgRatesDataTable8711121314[[#This Row],[asofdate]]),OriginationVolume!$A:$N,9,FALSE)</f>
        <v>6.0869565217391307E-2</v>
      </c>
      <c r="AQ145" s="11">
        <f>VLOOKUP(YEAR(CurrentMtgRatesDataTable8711121314[[#This Row],[asofdate]]),OriginationVolume!$A:$N,10,FALSE)</f>
        <v>0.18260869565217391</v>
      </c>
      <c r="AR145" s="11">
        <f>VLOOKUP(YEAR(CurrentMtgRatesDataTable8711121314[[#This Row],[asofdate]]),OriginationVolume!$A:$N,11,FALSE)</f>
        <v>0.20248447204968945</v>
      </c>
      <c r="AS145" s="11">
        <f>VLOOKUP(YEAR(CurrentMtgRatesDataTable8711121314[[#This Row],[asofdate]]),OriginationVolume!$A:$N,12,FALSE)</f>
        <v>2.4844720496894411E-3</v>
      </c>
      <c r="AT145" s="11">
        <f>VLOOKUP(YEAR(CurrentMtgRatesDataTable8711121314[[#This Row],[asofdate]]),OriginationVolume!$A:$N,13,FALSE)</f>
        <v>2.4844720496894411E-3</v>
      </c>
      <c r="AU14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AW145" s="7" t="s">
        <v>155</v>
      </c>
      <c r="AX145" s="10">
        <v>7407106000</v>
      </c>
      <c r="AY145" s="31"/>
      <c r="BA145" s="7" t="s">
        <v>155</v>
      </c>
      <c r="BB145" s="10">
        <v>4582030000</v>
      </c>
      <c r="BC145" s="31"/>
      <c r="BE145" s="7" t="s">
        <v>155</v>
      </c>
      <c r="BF145" s="10">
        <v>32344105601.049999</v>
      </c>
      <c r="BG145" s="34"/>
      <c r="BI145" s="7" t="s">
        <v>155</v>
      </c>
      <c r="BJ145" s="10">
        <v>20354969601.049999</v>
      </c>
      <c r="BK145" s="34" t="str">
        <f>YEAR(CurrentMtgRatesDataTable871112131417[[#This Row],[asofdate]])&amp;"-"&amp;MONTH(CurrentMtgRatesDataTable871112131417[[#This Row],[asofdate]])</f>
        <v>2015-1</v>
      </c>
      <c r="BL145" s="34">
        <f>CurrentMtgRatesDataTable871112131417[[#This Row],[SeriesNumValue]]</f>
        <v>20354969601.049999</v>
      </c>
      <c r="BM145" s="34">
        <f>VLOOKUP(CurrentMtgRatesDataTable871112131417[[#This Row],[asofdate]],AW:AX,2,0)</f>
        <v>7407106000</v>
      </c>
      <c r="BN145" s="30">
        <f>IF(VLOOKUP(CurrentMtgRatesDataTable871112131417[[#This Row],[asofdate]],BA:BB,2,0)&lt;&gt;0,VLOOKUP(CurrentMtgRatesDataTable871112131417[[#This Row],[asofdate]],BA:BB,2,0),BN144)</f>
        <v>4582030000</v>
      </c>
      <c r="BO145" s="30">
        <f>VLOOKUP(CurrentMtgRatesDataTable871112131417[[#This Row],[asofdate]],BE:BF,2,0)</f>
        <v>32344105601.049999</v>
      </c>
    </row>
    <row r="146" spans="1:67" s="8" customFormat="1">
      <c r="A146" s="7" t="s">
        <v>156</v>
      </c>
      <c r="B146" s="10">
        <v>1.9502418205538101E-2</v>
      </c>
      <c r="C146" s="10" t="str">
        <f>YEAR(CurrentMtgRatesDataTable8[[#This Row],[asofdate]])&amp;"-"&amp;MONTH(CurrentMtgRatesDataTable8[[#This Row],[asofdate]])</f>
        <v>2015-2</v>
      </c>
      <c r="D146" s="6">
        <f>((CurrentMtgRatesDataTable8[[#This Row],[SeriesNumValue]]-$D$1)/$D$1+1)*100</f>
        <v>130.01612137025401</v>
      </c>
      <c r="E146" s="6"/>
      <c r="I146" s="7" t="s">
        <v>39</v>
      </c>
      <c r="J146" s="10">
        <v>1.65993963000538E-2</v>
      </c>
      <c r="K146" s="10" t="str">
        <f>YEAR(CurrentMtgRatesDataTable89[[#This Row],[asofdate]])&amp;"-"&amp;MONTH(CurrentMtgRatesDataTable89[[#This Row],[asofdate]])</f>
        <v>2003-10</v>
      </c>
      <c r="L146" s="6">
        <f>((CurrentMtgRatesDataTable89[[#This Row],[SeriesNumValue]]-$D$1)/$D$1+1)*100</f>
        <v>110.66264200035867</v>
      </c>
      <c r="M146" s="6">
        <f>CurrentMtgRatesDataTable89[[#This Row],[Index]]-L147</f>
        <v>-6.1485520092919757</v>
      </c>
      <c r="P146" s="7" t="s">
        <v>156</v>
      </c>
      <c r="Q146" s="10">
        <v>6.2622998242086406E-2</v>
      </c>
      <c r="R146" s="31">
        <f>((CurrentMtgRatesDataTable8711[[#This Row],[SeriesNumValue]]-$D$1)/$D$1+1)*100</f>
        <v>417.48665494724276</v>
      </c>
      <c r="S146" s="31"/>
      <c r="U146" s="7" t="s">
        <v>156</v>
      </c>
      <c r="V146" s="10">
        <v>4.7552411446694302E-2</v>
      </c>
      <c r="W146" s="31">
        <f>((CurrentMtgRatesDataTable871112[[#This Row],[SeriesNumValue]]-$D$1)/$D$1+1)*100</f>
        <v>317.01607631129536</v>
      </c>
      <c r="X146" s="31"/>
      <c r="Z146" s="7" t="s">
        <v>156</v>
      </c>
      <c r="AA146" s="10">
        <v>2.9706495876540399E-2</v>
      </c>
      <c r="AB146" s="34">
        <f>((CurrentMtgRatesDataTable87111213[[#This Row],[SeriesNumValue]]-$D$1)/$D$1+1)*100</f>
        <v>198.04330584360267</v>
      </c>
      <c r="AC146" s="34"/>
      <c r="AE146" s="7" t="s">
        <v>156</v>
      </c>
      <c r="AF146" s="10">
        <v>1.8941540337179898E-2</v>
      </c>
      <c r="AG146" s="34">
        <f>((CurrentMtgRatesDataTable8711121314[[#This Row],[SeriesNumValue]]-$D$1)/$D$1+1)*100</f>
        <v>126.27693558119933</v>
      </c>
      <c r="AH146" s="34" t="str">
        <f>YEAR(CurrentMtgRatesDataTable8711121314[[#This Row],[asofdate]])&amp;"-"&amp;MONTH(CurrentMtgRatesDataTable8711121314[[#This Row],[asofdate]])</f>
        <v>2015-2</v>
      </c>
      <c r="AI146" s="34">
        <f>CurrentMtgRatesDataTable8711121314[[#This Row],[SeriesNumValue]]</f>
        <v>1.8941540337179898E-2</v>
      </c>
      <c r="AJ146" s="34">
        <f>VLOOKUP(CurrentMtgRatesDataTable8711121314[[#This Row],[asofdate]],P:R,2,0)</f>
        <v>6.2622998242086406E-2</v>
      </c>
      <c r="AK146" s="30">
        <f>IF(VLOOKUP(CurrentMtgRatesDataTable8711121314[[#This Row],[asofdate]],U:W,2,0)&lt;&gt;0,VLOOKUP(CurrentMtgRatesDataTable8711121314[[#This Row],[asofdate]],U:W,2,0),AK145)</f>
        <v>4.7552411446694302E-2</v>
      </c>
      <c r="AL146" s="30">
        <f>VLOOKUP(CurrentMtgRatesDataTable8711121314[[#This Row],[asofdate]],Z:AB,2,0)</f>
        <v>2.9706495876540399E-2</v>
      </c>
      <c r="AM146" s="30">
        <f>CurrentMtgRatesDataTable8711121314[[#This Row],[FHA]]+0.5*CurrentMtgRatesDataTable8711121314[[#This Row],[Conventional]]</f>
        <v>7.2093768410676357E-2</v>
      </c>
      <c r="AN146" s="30">
        <f>2*CurrentMtgRatesDataTable8711121314[[#This Row],[FHA]]</f>
        <v>0.12524599648417281</v>
      </c>
      <c r="AO146" s="11">
        <f>VLOOKUP(YEAR(CurrentMtgRatesDataTable8711121314[[#This Row],[asofdate]]),OriginationVolume!$A:$N,8,FALSE)</f>
        <v>0.54906832298136643</v>
      </c>
      <c r="AP146" s="11">
        <f>VLOOKUP(YEAR(CurrentMtgRatesDataTable8711121314[[#This Row],[asofdate]]),OriginationVolume!$A:$N,9,FALSE)</f>
        <v>6.0869565217391307E-2</v>
      </c>
      <c r="AQ146" s="11">
        <f>VLOOKUP(YEAR(CurrentMtgRatesDataTable8711121314[[#This Row],[asofdate]]),OriginationVolume!$A:$N,10,FALSE)</f>
        <v>0.18260869565217391</v>
      </c>
      <c r="AR146" s="11">
        <f>VLOOKUP(YEAR(CurrentMtgRatesDataTable8711121314[[#This Row],[asofdate]]),OriginationVolume!$A:$N,11,FALSE)</f>
        <v>0.20248447204968945</v>
      </c>
      <c r="AS146" s="11">
        <f>VLOOKUP(YEAR(CurrentMtgRatesDataTable8711121314[[#This Row],[asofdate]]),OriginationVolume!$A:$N,12,FALSE)</f>
        <v>2.4844720496894411E-3</v>
      </c>
      <c r="AT146" s="11">
        <f>VLOOKUP(YEAR(CurrentMtgRatesDataTable8711121314[[#This Row],[asofdate]]),OriginationVolume!$A:$N,13,FALSE)</f>
        <v>2.4844720496894411E-3</v>
      </c>
      <c r="AU14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AW146" s="7" t="s">
        <v>156</v>
      </c>
      <c r="AX146" s="10">
        <v>8367088000</v>
      </c>
      <c r="AY146" s="31"/>
      <c r="BA146" s="7" t="s">
        <v>156</v>
      </c>
      <c r="BB146" s="10">
        <v>5404946000</v>
      </c>
      <c r="BC146" s="31"/>
      <c r="BE146" s="7" t="s">
        <v>156</v>
      </c>
      <c r="BF146" s="10">
        <v>36532780903.989998</v>
      </c>
      <c r="BG146" s="34"/>
      <c r="BI146" s="7" t="s">
        <v>156</v>
      </c>
      <c r="BJ146" s="10">
        <v>22760746903.990002</v>
      </c>
      <c r="BK146" s="34" t="str">
        <f>YEAR(CurrentMtgRatesDataTable871112131417[[#This Row],[asofdate]])&amp;"-"&amp;MONTH(CurrentMtgRatesDataTable871112131417[[#This Row],[asofdate]])</f>
        <v>2015-2</v>
      </c>
      <c r="BL146" s="34">
        <f>CurrentMtgRatesDataTable871112131417[[#This Row],[SeriesNumValue]]</f>
        <v>22760746903.990002</v>
      </c>
      <c r="BM146" s="34">
        <f>VLOOKUP(CurrentMtgRatesDataTable871112131417[[#This Row],[asofdate]],AW:AX,2,0)</f>
        <v>8367088000</v>
      </c>
      <c r="BN146" s="30">
        <f>IF(VLOOKUP(CurrentMtgRatesDataTable871112131417[[#This Row],[asofdate]],BA:BB,2,0)&lt;&gt;0,VLOOKUP(CurrentMtgRatesDataTable871112131417[[#This Row],[asofdate]],BA:BB,2,0),BN145)</f>
        <v>5404946000</v>
      </c>
      <c r="BO146" s="30">
        <f>VLOOKUP(CurrentMtgRatesDataTable871112131417[[#This Row],[asofdate]],BE:BF,2,0)</f>
        <v>36532780903.989998</v>
      </c>
    </row>
    <row r="147" spans="1:67" s="8" customFormat="1">
      <c r="A147" s="7" t="s">
        <v>157</v>
      </c>
      <c r="B147" s="10">
        <v>1.9353094342445299E-2</v>
      </c>
      <c r="C147" s="10" t="str">
        <f>YEAR(CurrentMtgRatesDataTable8[[#This Row],[asofdate]])&amp;"-"&amp;MONTH(CurrentMtgRatesDataTable8[[#This Row],[asofdate]])</f>
        <v>2015-3</v>
      </c>
      <c r="D147" s="6">
        <f>((CurrentMtgRatesDataTable8[[#This Row],[SeriesNumValue]]-$D$1)/$D$1+1)*100</f>
        <v>129.02062894963532</v>
      </c>
      <c r="E147" s="6"/>
      <c r="I147" s="7" t="s">
        <v>38</v>
      </c>
      <c r="J147" s="10">
        <v>1.7521679101447599E-2</v>
      </c>
      <c r="K147" s="10" t="str">
        <f>YEAR(CurrentMtgRatesDataTable89[[#This Row],[asofdate]])&amp;"-"&amp;MONTH(CurrentMtgRatesDataTable89[[#This Row],[asofdate]])</f>
        <v>2003-9</v>
      </c>
      <c r="L147" s="6">
        <f>((CurrentMtgRatesDataTable89[[#This Row],[SeriesNumValue]]-$D$1)/$D$1+1)*100</f>
        <v>116.81119400965065</v>
      </c>
      <c r="M147" s="6">
        <f>CurrentMtgRatesDataTable89[[#This Row],[Index]]-L148</f>
        <v>-27.004643606159362</v>
      </c>
      <c r="P147" s="7" t="s">
        <v>157</v>
      </c>
      <c r="Q147" s="10">
        <v>6.6263717165098004E-2</v>
      </c>
      <c r="R147" s="31">
        <f>((CurrentMtgRatesDataTable8711[[#This Row],[SeriesNumValue]]-$D$1)/$D$1+1)*100</f>
        <v>441.75811443398663</v>
      </c>
      <c r="S147" s="31"/>
      <c r="U147" s="7" t="s">
        <v>157</v>
      </c>
      <c r="V147" s="10">
        <v>4.9418960876341803E-2</v>
      </c>
      <c r="W147" s="31">
        <f>((CurrentMtgRatesDataTable871112[[#This Row],[SeriesNumValue]]-$D$1)/$D$1+1)*100</f>
        <v>329.45973917561207</v>
      </c>
      <c r="X147" s="31"/>
      <c r="Z147" s="7" t="s">
        <v>157</v>
      </c>
      <c r="AA147" s="10">
        <v>3.0273579841232901E-2</v>
      </c>
      <c r="AB147" s="34">
        <f>((CurrentMtgRatesDataTable87111213[[#This Row],[SeriesNumValue]]-$D$1)/$D$1+1)*100</f>
        <v>201.82386560821931</v>
      </c>
      <c r="AC147" s="34"/>
      <c r="AE147" s="7" t="s">
        <v>157</v>
      </c>
      <c r="AF147" s="10">
        <v>1.9426549529739E-2</v>
      </c>
      <c r="AG147" s="34">
        <f>((CurrentMtgRatesDataTable8711121314[[#This Row],[SeriesNumValue]]-$D$1)/$D$1+1)*100</f>
        <v>129.51033019826002</v>
      </c>
      <c r="AH147" s="34" t="str">
        <f>YEAR(CurrentMtgRatesDataTable8711121314[[#This Row],[asofdate]])&amp;"-"&amp;MONTH(CurrentMtgRatesDataTable8711121314[[#This Row],[asofdate]])</f>
        <v>2015-3</v>
      </c>
      <c r="AI147" s="34">
        <f>CurrentMtgRatesDataTable8711121314[[#This Row],[SeriesNumValue]]</f>
        <v>1.9426549529739E-2</v>
      </c>
      <c r="AJ147" s="34">
        <f>VLOOKUP(CurrentMtgRatesDataTable8711121314[[#This Row],[asofdate]],P:R,2,0)</f>
        <v>6.6263717165098004E-2</v>
      </c>
      <c r="AK147" s="30">
        <f>IF(VLOOKUP(CurrentMtgRatesDataTable8711121314[[#This Row],[asofdate]],U:W,2,0)&lt;&gt;0,VLOOKUP(CurrentMtgRatesDataTable8711121314[[#This Row],[asofdate]],U:W,2,0),AK146)</f>
        <v>4.9418960876341803E-2</v>
      </c>
      <c r="AL147" s="30">
        <f>VLOOKUP(CurrentMtgRatesDataTable8711121314[[#This Row],[asofdate]],Z:AB,2,0)</f>
        <v>3.0273579841232901E-2</v>
      </c>
      <c r="AM147" s="30">
        <f>CurrentMtgRatesDataTable8711121314[[#This Row],[FHA]]+0.5*CurrentMtgRatesDataTable8711121314[[#This Row],[Conventional]]</f>
        <v>7.59769919299675E-2</v>
      </c>
      <c r="AN147" s="30">
        <f>2*CurrentMtgRatesDataTable8711121314[[#This Row],[FHA]]</f>
        <v>0.13252743433019601</v>
      </c>
      <c r="AO147" s="11">
        <f>VLOOKUP(YEAR(CurrentMtgRatesDataTable8711121314[[#This Row],[asofdate]]),OriginationVolume!$A:$N,8,FALSE)</f>
        <v>0.54906832298136643</v>
      </c>
      <c r="AP147" s="11">
        <f>VLOOKUP(YEAR(CurrentMtgRatesDataTable8711121314[[#This Row],[asofdate]]),OriginationVolume!$A:$N,9,FALSE)</f>
        <v>6.0869565217391307E-2</v>
      </c>
      <c r="AQ147" s="11">
        <f>VLOOKUP(YEAR(CurrentMtgRatesDataTable8711121314[[#This Row],[asofdate]]),OriginationVolume!$A:$N,10,FALSE)</f>
        <v>0.18260869565217391</v>
      </c>
      <c r="AR147" s="11">
        <f>VLOOKUP(YEAR(CurrentMtgRatesDataTable8711121314[[#This Row],[asofdate]]),OriginationVolume!$A:$N,11,FALSE)</f>
        <v>0.20248447204968945</v>
      </c>
      <c r="AS147" s="11">
        <f>VLOOKUP(YEAR(CurrentMtgRatesDataTable8711121314[[#This Row],[asofdate]]),OriginationVolume!$A:$N,12,FALSE)</f>
        <v>2.4844720496894411E-3</v>
      </c>
      <c r="AT147" s="11">
        <f>VLOOKUP(YEAR(CurrentMtgRatesDataTable8711121314[[#This Row],[asofdate]]),OriginationVolume!$A:$N,13,FALSE)</f>
        <v>2.4844720496894411E-3</v>
      </c>
      <c r="AU14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AW147" s="7" t="s">
        <v>157</v>
      </c>
      <c r="AX147" s="10">
        <v>5462043000</v>
      </c>
      <c r="AY147" s="31"/>
      <c r="BA147" s="7" t="s">
        <v>157</v>
      </c>
      <c r="BB147" s="10">
        <v>3593740000</v>
      </c>
      <c r="BC147" s="31"/>
      <c r="BE147" s="7" t="s">
        <v>157</v>
      </c>
      <c r="BF147" s="10">
        <v>24933874986</v>
      </c>
      <c r="BG147" s="34"/>
      <c r="BI147" s="7" t="s">
        <v>157</v>
      </c>
      <c r="BJ147" s="10">
        <v>15878091986</v>
      </c>
      <c r="BK147" s="34" t="str">
        <f>YEAR(CurrentMtgRatesDataTable871112131417[[#This Row],[asofdate]])&amp;"-"&amp;MONTH(CurrentMtgRatesDataTable871112131417[[#This Row],[asofdate]])</f>
        <v>2015-3</v>
      </c>
      <c r="BL147" s="34">
        <f>CurrentMtgRatesDataTable871112131417[[#This Row],[SeriesNumValue]]</f>
        <v>15878091986</v>
      </c>
      <c r="BM147" s="34">
        <f>VLOOKUP(CurrentMtgRatesDataTable871112131417[[#This Row],[asofdate]],AW:AX,2,0)</f>
        <v>5462043000</v>
      </c>
      <c r="BN147" s="30">
        <f>IF(VLOOKUP(CurrentMtgRatesDataTable871112131417[[#This Row],[asofdate]],BA:BB,2,0)&lt;&gt;0,VLOOKUP(CurrentMtgRatesDataTable871112131417[[#This Row],[asofdate]],BA:BB,2,0),BN146)</f>
        <v>3593740000</v>
      </c>
      <c r="BO147" s="30">
        <f>VLOOKUP(CurrentMtgRatesDataTable871112131417[[#This Row],[asofdate]],BE:BF,2,0)</f>
        <v>24933874986</v>
      </c>
    </row>
    <row r="148" spans="1:67" s="8" customFormat="1">
      <c r="A148" s="7" t="s">
        <v>29</v>
      </c>
      <c r="B148" s="10">
        <v>1.7730220299065898E-2</v>
      </c>
      <c r="C148" s="10" t="str">
        <f>YEAR(CurrentMtgRatesDataTable8[[#This Row],[asofdate]])&amp;"-"&amp;MONTH(CurrentMtgRatesDataTable8[[#This Row],[asofdate]])</f>
        <v>2015-4</v>
      </c>
      <c r="D148" s="6">
        <f>((CurrentMtgRatesDataTable8[[#This Row],[SeriesNumValue]]-$D$1)/$D$1+1)*100</f>
        <v>118.20146866043932</v>
      </c>
      <c r="E148" s="6"/>
      <c r="I148" s="7" t="s">
        <v>37</v>
      </c>
      <c r="J148" s="10">
        <v>2.1572375642371501E-2</v>
      </c>
      <c r="K148" s="10" t="str">
        <f>YEAR(CurrentMtgRatesDataTable89[[#This Row],[asofdate]])&amp;"-"&amp;MONTH(CurrentMtgRatesDataTable89[[#This Row],[asofdate]])</f>
        <v>2003-8</v>
      </c>
      <c r="L148" s="6">
        <f>((CurrentMtgRatesDataTable89[[#This Row],[SeriesNumValue]]-$D$1)/$D$1+1)*100</f>
        <v>143.81583761581001</v>
      </c>
      <c r="M148" s="6">
        <f>CurrentMtgRatesDataTable89[[#This Row],[Index]]-L149</f>
        <v>-7.0524786470119807</v>
      </c>
      <c r="P148" s="7" t="s">
        <v>29</v>
      </c>
      <c r="Q148" s="10">
        <v>6.1486236715359202E-2</v>
      </c>
      <c r="R148" s="31">
        <f>((CurrentMtgRatesDataTable8711[[#This Row],[SeriesNumValue]]-$D$1)/$D$1+1)*100</f>
        <v>409.90824476906135</v>
      </c>
      <c r="S148" s="31"/>
      <c r="U148" s="7" t="s">
        <v>29</v>
      </c>
      <c r="V148" s="10">
        <v>4.7615630618715099E-2</v>
      </c>
      <c r="W148" s="31">
        <f>((CurrentMtgRatesDataTable871112[[#This Row],[SeriesNumValue]]-$D$1)/$D$1+1)*100</f>
        <v>317.43753745810068</v>
      </c>
      <c r="X148" s="31"/>
      <c r="Z148" s="7" t="s">
        <v>29</v>
      </c>
      <c r="AA148" s="10">
        <v>2.9032528308857102E-2</v>
      </c>
      <c r="AB148" s="34">
        <f>((CurrentMtgRatesDataTable87111213[[#This Row],[SeriesNumValue]]-$D$1)/$D$1+1)*100</f>
        <v>193.55018872571401</v>
      </c>
      <c r="AC148" s="34"/>
      <c r="AE148" s="7" t="s">
        <v>29</v>
      </c>
      <c r="AF148" s="10">
        <v>1.7817477432637101E-2</v>
      </c>
      <c r="AG148" s="34">
        <f>((CurrentMtgRatesDataTable8711121314[[#This Row],[SeriesNumValue]]-$D$1)/$D$1+1)*100</f>
        <v>118.78318288424734</v>
      </c>
      <c r="AH148" s="34" t="str">
        <f>YEAR(CurrentMtgRatesDataTable8711121314[[#This Row],[asofdate]])&amp;"-"&amp;MONTH(CurrentMtgRatesDataTable8711121314[[#This Row],[asofdate]])</f>
        <v>2015-4</v>
      </c>
      <c r="AI148" s="34">
        <f>CurrentMtgRatesDataTable8711121314[[#This Row],[SeriesNumValue]]</f>
        <v>1.7817477432637101E-2</v>
      </c>
      <c r="AJ148" s="34">
        <f>VLOOKUP(CurrentMtgRatesDataTable8711121314[[#This Row],[asofdate]],P:R,2,0)</f>
        <v>6.1486236715359202E-2</v>
      </c>
      <c r="AK148" s="30">
        <f>IF(VLOOKUP(CurrentMtgRatesDataTable8711121314[[#This Row],[asofdate]],U:W,2,0)&lt;&gt;0,VLOOKUP(CurrentMtgRatesDataTable8711121314[[#This Row],[asofdate]],U:W,2,0),AK147)</f>
        <v>4.7615630618715099E-2</v>
      </c>
      <c r="AL148" s="30">
        <f>VLOOKUP(CurrentMtgRatesDataTable8711121314[[#This Row],[asofdate]],Z:AB,2,0)</f>
        <v>2.9032528308857102E-2</v>
      </c>
      <c r="AM148" s="30">
        <f>CurrentMtgRatesDataTable8711121314[[#This Row],[FHA]]+0.5*CurrentMtgRatesDataTable8711121314[[#This Row],[Conventional]]</f>
        <v>7.0394975431677748E-2</v>
      </c>
      <c r="AN148" s="30">
        <f>2*CurrentMtgRatesDataTable8711121314[[#This Row],[FHA]]</f>
        <v>0.1229724734307184</v>
      </c>
      <c r="AO148" s="11">
        <f>VLOOKUP(YEAR(CurrentMtgRatesDataTable8711121314[[#This Row],[asofdate]]),OriginationVolume!$A:$N,8,FALSE)</f>
        <v>0.54906832298136643</v>
      </c>
      <c r="AP148" s="11">
        <f>VLOOKUP(YEAR(CurrentMtgRatesDataTable8711121314[[#This Row],[asofdate]]),OriginationVolume!$A:$N,9,FALSE)</f>
        <v>6.0869565217391307E-2</v>
      </c>
      <c r="AQ148" s="11">
        <f>VLOOKUP(YEAR(CurrentMtgRatesDataTable8711121314[[#This Row],[asofdate]]),OriginationVolume!$A:$N,10,FALSE)</f>
        <v>0.18260869565217391</v>
      </c>
      <c r="AR148" s="11">
        <f>VLOOKUP(YEAR(CurrentMtgRatesDataTable8711121314[[#This Row],[asofdate]]),OriginationVolume!$A:$N,11,FALSE)</f>
        <v>0.20248447204968945</v>
      </c>
      <c r="AS148" s="11">
        <f>VLOOKUP(YEAR(CurrentMtgRatesDataTable8711121314[[#This Row],[asofdate]]),OriginationVolume!$A:$N,12,FALSE)</f>
        <v>2.4844720496894411E-3</v>
      </c>
      <c r="AT148" s="11">
        <f>VLOOKUP(YEAR(CurrentMtgRatesDataTable8711121314[[#This Row],[asofdate]]),OriginationVolume!$A:$N,13,FALSE)</f>
        <v>2.4844720496894411E-3</v>
      </c>
      <c r="AU14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AW148" s="7" t="s">
        <v>29</v>
      </c>
      <c r="AX148" s="10">
        <v>7189366000</v>
      </c>
      <c r="AY148" s="31"/>
      <c r="BA148" s="7" t="s">
        <v>29</v>
      </c>
      <c r="BB148" s="10">
        <v>3934514000</v>
      </c>
      <c r="BC148" s="31"/>
      <c r="BE148" s="7" t="s">
        <v>29</v>
      </c>
      <c r="BF148" s="10">
        <v>28438741301.779999</v>
      </c>
      <c r="BG148" s="34"/>
      <c r="BI148" s="7" t="s">
        <v>29</v>
      </c>
      <c r="BJ148" s="10">
        <v>17314861301.779999</v>
      </c>
      <c r="BK148" s="34" t="str">
        <f>YEAR(CurrentMtgRatesDataTable871112131417[[#This Row],[asofdate]])&amp;"-"&amp;MONTH(CurrentMtgRatesDataTable871112131417[[#This Row],[asofdate]])</f>
        <v>2015-4</v>
      </c>
      <c r="BL148" s="34">
        <f>CurrentMtgRatesDataTable871112131417[[#This Row],[SeriesNumValue]]</f>
        <v>17314861301.779999</v>
      </c>
      <c r="BM148" s="34">
        <f>VLOOKUP(CurrentMtgRatesDataTable871112131417[[#This Row],[asofdate]],AW:AX,2,0)</f>
        <v>7189366000</v>
      </c>
      <c r="BN148" s="30">
        <f>IF(VLOOKUP(CurrentMtgRatesDataTable871112131417[[#This Row],[asofdate]],BA:BB,2,0)&lt;&gt;0,VLOOKUP(CurrentMtgRatesDataTable871112131417[[#This Row],[asofdate]],BA:BB,2,0),BN147)</f>
        <v>3934514000</v>
      </c>
      <c r="BO148" s="30">
        <f>VLOOKUP(CurrentMtgRatesDataTable871112131417[[#This Row],[asofdate]],BE:BF,2,0)</f>
        <v>28438741301.779999</v>
      </c>
    </row>
    <row r="149" spans="1:67" s="8" customFormat="1">
      <c r="A149" s="7" t="s">
        <v>30</v>
      </c>
      <c r="B149" s="10">
        <v>1.79100237130203E-2</v>
      </c>
      <c r="C149" s="10" t="str">
        <f>YEAR(CurrentMtgRatesDataTable8[[#This Row],[asofdate]])&amp;"-"&amp;MONTH(CurrentMtgRatesDataTable8[[#This Row],[asofdate]])</f>
        <v>2015-5</v>
      </c>
      <c r="D149" s="6">
        <f>((CurrentMtgRatesDataTable8[[#This Row],[SeriesNumValue]]-$D$1)/$D$1+1)*100</f>
        <v>119.40015808680199</v>
      </c>
      <c r="E149" s="6"/>
      <c r="I149" s="7" t="s">
        <v>36</v>
      </c>
      <c r="J149" s="10">
        <v>2.2630247439423299E-2</v>
      </c>
      <c r="K149" s="10" t="str">
        <f>YEAR(CurrentMtgRatesDataTable89[[#This Row],[asofdate]])&amp;"-"&amp;MONTH(CurrentMtgRatesDataTable89[[#This Row],[asofdate]])</f>
        <v>2003-7</v>
      </c>
      <c r="L149" s="6">
        <f>((CurrentMtgRatesDataTable89[[#This Row],[SeriesNumValue]]-$D$1)/$D$1+1)*100</f>
        <v>150.86831626282199</v>
      </c>
      <c r="M149" s="6">
        <f>CurrentMtgRatesDataTable89[[#This Row],[Index]]-L150</f>
        <v>10.773195673281975</v>
      </c>
      <c r="P149" s="7" t="s">
        <v>30</v>
      </c>
      <c r="Q149" s="10">
        <v>6.0306400919081203E-2</v>
      </c>
      <c r="R149" s="31">
        <f>((CurrentMtgRatesDataTable8711[[#This Row],[SeriesNumValue]]-$D$1)/$D$1+1)*100</f>
        <v>402.04267279387471</v>
      </c>
      <c r="S149" s="31"/>
      <c r="U149" s="7" t="s">
        <v>30</v>
      </c>
      <c r="V149" s="10">
        <v>4.77608855292758E-2</v>
      </c>
      <c r="W149" s="31">
        <f>((CurrentMtgRatesDataTable871112[[#This Row],[SeriesNumValue]]-$D$1)/$D$1+1)*100</f>
        <v>318.40590352850535</v>
      </c>
      <c r="X149" s="31"/>
      <c r="Z149" s="7" t="s">
        <v>30</v>
      </c>
      <c r="AA149" s="10">
        <v>2.92433920784574E-2</v>
      </c>
      <c r="AB149" s="34">
        <f>((CurrentMtgRatesDataTable87111213[[#This Row],[SeriesNumValue]]-$D$1)/$D$1+1)*100</f>
        <v>194.955947189716</v>
      </c>
      <c r="AC149" s="34"/>
      <c r="AE149" s="7" t="s">
        <v>30</v>
      </c>
      <c r="AF149" s="10">
        <v>1.75796444520223E-2</v>
      </c>
      <c r="AG149" s="34">
        <f>((CurrentMtgRatesDataTable8711121314[[#This Row],[SeriesNumValue]]-$D$1)/$D$1+1)*100</f>
        <v>117.19762968014867</v>
      </c>
      <c r="AH149" s="34" t="str">
        <f>YEAR(CurrentMtgRatesDataTable8711121314[[#This Row],[asofdate]])&amp;"-"&amp;MONTH(CurrentMtgRatesDataTable8711121314[[#This Row],[asofdate]])</f>
        <v>2015-5</v>
      </c>
      <c r="AI149" s="34">
        <f>CurrentMtgRatesDataTable8711121314[[#This Row],[SeriesNumValue]]</f>
        <v>1.75796444520223E-2</v>
      </c>
      <c r="AJ149" s="34">
        <f>VLOOKUP(CurrentMtgRatesDataTable8711121314[[#This Row],[asofdate]],P:R,2,0)</f>
        <v>6.0306400919081203E-2</v>
      </c>
      <c r="AK149" s="30">
        <f>IF(VLOOKUP(CurrentMtgRatesDataTable8711121314[[#This Row],[asofdate]],U:W,2,0)&lt;&gt;0,VLOOKUP(CurrentMtgRatesDataTable8711121314[[#This Row],[asofdate]],U:W,2,0),AK148)</f>
        <v>4.77608855292758E-2</v>
      </c>
      <c r="AL149" s="30">
        <f>VLOOKUP(CurrentMtgRatesDataTable8711121314[[#This Row],[asofdate]],Z:AB,2,0)</f>
        <v>2.92433920784574E-2</v>
      </c>
      <c r="AM149" s="30">
        <f>CurrentMtgRatesDataTable8711121314[[#This Row],[FHA]]+0.5*CurrentMtgRatesDataTable8711121314[[#This Row],[Conventional]]</f>
        <v>6.9096223145092353E-2</v>
      </c>
      <c r="AN149" s="30">
        <f>2*CurrentMtgRatesDataTable8711121314[[#This Row],[FHA]]</f>
        <v>0.12061280183816241</v>
      </c>
      <c r="AO149" s="11">
        <f>VLOOKUP(YEAR(CurrentMtgRatesDataTable8711121314[[#This Row],[asofdate]]),OriginationVolume!$A:$N,8,FALSE)</f>
        <v>0.54906832298136643</v>
      </c>
      <c r="AP149" s="11">
        <f>VLOOKUP(YEAR(CurrentMtgRatesDataTable8711121314[[#This Row],[asofdate]]),OriginationVolume!$A:$N,9,FALSE)</f>
        <v>6.0869565217391307E-2</v>
      </c>
      <c r="AQ149" s="11">
        <f>VLOOKUP(YEAR(CurrentMtgRatesDataTable8711121314[[#This Row],[asofdate]]),OriginationVolume!$A:$N,10,FALSE)</f>
        <v>0.18260869565217391</v>
      </c>
      <c r="AR149" s="11">
        <f>VLOOKUP(YEAR(CurrentMtgRatesDataTable8711121314[[#This Row],[asofdate]]),OriginationVolume!$A:$N,11,FALSE)</f>
        <v>0.20248447204968945</v>
      </c>
      <c r="AS149" s="11">
        <f>VLOOKUP(YEAR(CurrentMtgRatesDataTable8711121314[[#This Row],[asofdate]]),OriginationVolume!$A:$N,12,FALSE)</f>
        <v>2.4844720496894411E-3</v>
      </c>
      <c r="AT149" s="11">
        <f>VLOOKUP(YEAR(CurrentMtgRatesDataTable8711121314[[#This Row],[asofdate]]),OriginationVolume!$A:$N,13,FALSE)</f>
        <v>2.4844720496894411E-3</v>
      </c>
      <c r="AU14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AW149" s="7" t="s">
        <v>30</v>
      </c>
      <c r="AX149" s="10">
        <v>11143471000</v>
      </c>
      <c r="AY149" s="31"/>
      <c r="BA149" s="7" t="s">
        <v>30</v>
      </c>
      <c r="BB149" s="10">
        <v>5496675000</v>
      </c>
      <c r="BC149" s="31"/>
      <c r="BE149" s="7" t="s">
        <v>30</v>
      </c>
      <c r="BF149" s="10">
        <v>41010466755.290001</v>
      </c>
      <c r="BG149" s="34"/>
      <c r="BI149" s="7" t="s">
        <v>30</v>
      </c>
      <c r="BJ149" s="10">
        <v>24370320755.290001</v>
      </c>
      <c r="BK149" s="34" t="str">
        <f>YEAR(CurrentMtgRatesDataTable871112131417[[#This Row],[asofdate]])&amp;"-"&amp;MONTH(CurrentMtgRatesDataTable871112131417[[#This Row],[asofdate]])</f>
        <v>2015-5</v>
      </c>
      <c r="BL149" s="34">
        <f>CurrentMtgRatesDataTable871112131417[[#This Row],[SeriesNumValue]]</f>
        <v>24370320755.290001</v>
      </c>
      <c r="BM149" s="34">
        <f>VLOOKUP(CurrentMtgRatesDataTable871112131417[[#This Row],[asofdate]],AW:AX,2,0)</f>
        <v>11143471000</v>
      </c>
      <c r="BN149" s="30">
        <f>IF(VLOOKUP(CurrentMtgRatesDataTable871112131417[[#This Row],[asofdate]],BA:BB,2,0)&lt;&gt;0,VLOOKUP(CurrentMtgRatesDataTable871112131417[[#This Row],[asofdate]],BA:BB,2,0),BN148)</f>
        <v>5496675000</v>
      </c>
      <c r="BO149" s="30">
        <f>VLOOKUP(CurrentMtgRatesDataTable871112131417[[#This Row],[asofdate]],BE:BF,2,0)</f>
        <v>41010466755.290001</v>
      </c>
    </row>
    <row r="150" spans="1:67" s="8" customFormat="1">
      <c r="A150" s="7" t="s">
        <v>31</v>
      </c>
      <c r="B150" s="10">
        <v>1.7843633851479499E-2</v>
      </c>
      <c r="C150" s="10" t="str">
        <f>YEAR(CurrentMtgRatesDataTable8[[#This Row],[asofdate]])&amp;"-"&amp;MONTH(CurrentMtgRatesDataTable8[[#This Row],[asofdate]])</f>
        <v>2015-6</v>
      </c>
      <c r="D150" s="6">
        <f>((CurrentMtgRatesDataTable8[[#This Row],[SeriesNumValue]]-$D$1)/$D$1+1)*100</f>
        <v>118.95755900986333</v>
      </c>
      <c r="E150" s="6"/>
      <c r="I150" s="7" t="s">
        <v>35</v>
      </c>
      <c r="J150" s="10">
        <v>2.1014268088431001E-2</v>
      </c>
      <c r="K150" s="10" t="str">
        <f>YEAR(CurrentMtgRatesDataTable89[[#This Row],[asofdate]])&amp;"-"&amp;MONTH(CurrentMtgRatesDataTable89[[#This Row],[asofdate]])</f>
        <v>2003-6</v>
      </c>
      <c r="L150" s="6">
        <f>((CurrentMtgRatesDataTable89[[#This Row],[SeriesNumValue]]-$D$1)/$D$1+1)*100</f>
        <v>140.09512058954002</v>
      </c>
      <c r="M150" s="6">
        <f>CurrentMtgRatesDataTable89[[#This Row],[Index]]-L151</f>
        <v>-3.2606182587846604</v>
      </c>
      <c r="P150" s="7" t="s">
        <v>31</v>
      </c>
      <c r="Q150" s="10">
        <v>6.1448839793864403E-2</v>
      </c>
      <c r="R150" s="31">
        <f>((CurrentMtgRatesDataTable8711[[#This Row],[SeriesNumValue]]-$D$1)/$D$1+1)*100</f>
        <v>409.65893195909598</v>
      </c>
      <c r="S150" s="31"/>
      <c r="U150" s="7" t="s">
        <v>31</v>
      </c>
      <c r="V150" s="10">
        <v>4.8892254020369799E-2</v>
      </c>
      <c r="W150" s="31">
        <f>((CurrentMtgRatesDataTable871112[[#This Row],[SeriesNumValue]]-$D$1)/$D$1+1)*100</f>
        <v>325.94836013579868</v>
      </c>
      <c r="X150" s="31"/>
      <c r="Z150" s="7" t="s">
        <v>31</v>
      </c>
      <c r="AA150" s="10">
        <v>3.0500849360639699E-2</v>
      </c>
      <c r="AB150" s="34">
        <f>((CurrentMtgRatesDataTable87111213[[#This Row],[SeriesNumValue]]-$D$1)/$D$1+1)*100</f>
        <v>203.338995737598</v>
      </c>
      <c r="AC150" s="34"/>
      <c r="AE150" s="7" t="s">
        <v>31</v>
      </c>
      <c r="AF150" s="10">
        <v>1.8308992119838299E-2</v>
      </c>
      <c r="AG150" s="34">
        <f>((CurrentMtgRatesDataTable8711121314[[#This Row],[SeriesNumValue]]-$D$1)/$D$1+1)*100</f>
        <v>122.05994746558866</v>
      </c>
      <c r="AH150" s="34" t="str">
        <f>YEAR(CurrentMtgRatesDataTable8711121314[[#This Row],[asofdate]])&amp;"-"&amp;MONTH(CurrentMtgRatesDataTable8711121314[[#This Row],[asofdate]])</f>
        <v>2015-6</v>
      </c>
      <c r="AI150" s="34">
        <f>CurrentMtgRatesDataTable8711121314[[#This Row],[SeriesNumValue]]</f>
        <v>1.8308992119838299E-2</v>
      </c>
      <c r="AJ150" s="34">
        <f>VLOOKUP(CurrentMtgRatesDataTable8711121314[[#This Row],[asofdate]],P:R,2,0)</f>
        <v>6.1448839793864403E-2</v>
      </c>
      <c r="AK150" s="30">
        <f>IF(VLOOKUP(CurrentMtgRatesDataTable8711121314[[#This Row],[asofdate]],U:W,2,0)&lt;&gt;0,VLOOKUP(CurrentMtgRatesDataTable8711121314[[#This Row],[asofdate]],U:W,2,0),AK149)</f>
        <v>4.8892254020369799E-2</v>
      </c>
      <c r="AL150" s="30">
        <f>VLOOKUP(CurrentMtgRatesDataTable8711121314[[#This Row],[asofdate]],Z:AB,2,0)</f>
        <v>3.0500849360639699E-2</v>
      </c>
      <c r="AM150" s="30">
        <f>CurrentMtgRatesDataTable8711121314[[#This Row],[FHA]]+0.5*CurrentMtgRatesDataTable8711121314[[#This Row],[Conventional]]</f>
        <v>7.0603335853783547E-2</v>
      </c>
      <c r="AN150" s="30">
        <f>2*CurrentMtgRatesDataTable8711121314[[#This Row],[FHA]]</f>
        <v>0.12289767958772881</v>
      </c>
      <c r="AO150" s="11">
        <f>VLOOKUP(YEAR(CurrentMtgRatesDataTable8711121314[[#This Row],[asofdate]]),OriginationVolume!$A:$N,8,FALSE)</f>
        <v>0.54906832298136643</v>
      </c>
      <c r="AP150" s="11">
        <f>VLOOKUP(YEAR(CurrentMtgRatesDataTable8711121314[[#This Row],[asofdate]]),OriginationVolume!$A:$N,9,FALSE)</f>
        <v>6.0869565217391307E-2</v>
      </c>
      <c r="AQ150" s="11">
        <f>VLOOKUP(YEAR(CurrentMtgRatesDataTable8711121314[[#This Row],[asofdate]]),OriginationVolume!$A:$N,10,FALSE)</f>
        <v>0.18260869565217391</v>
      </c>
      <c r="AR150" s="11">
        <f>VLOOKUP(YEAR(CurrentMtgRatesDataTable8711121314[[#This Row],[asofdate]]),OriginationVolume!$A:$N,11,FALSE)</f>
        <v>0.20248447204968945</v>
      </c>
      <c r="AS150" s="11">
        <f>VLOOKUP(YEAR(CurrentMtgRatesDataTable8711121314[[#This Row],[asofdate]]),OriginationVolume!$A:$N,12,FALSE)</f>
        <v>2.4844720496894411E-3</v>
      </c>
      <c r="AT150" s="11">
        <f>VLOOKUP(YEAR(CurrentMtgRatesDataTable8711121314[[#This Row],[asofdate]]),OriginationVolume!$A:$N,13,FALSE)</f>
        <v>2.4844720496894411E-3</v>
      </c>
      <c r="AU15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AW150" s="7" t="s">
        <v>31</v>
      </c>
      <c r="AX150" s="10">
        <v>12438370000</v>
      </c>
      <c r="AY150" s="31"/>
      <c r="BA150" s="7" t="s">
        <v>31</v>
      </c>
      <c r="BB150" s="10">
        <v>5696623000</v>
      </c>
      <c r="BC150" s="31"/>
      <c r="BE150" s="7" t="s">
        <v>31</v>
      </c>
      <c r="BF150" s="10">
        <v>43960342880.019997</v>
      </c>
      <c r="BG150" s="34"/>
      <c r="BI150" s="7" t="s">
        <v>31</v>
      </c>
      <c r="BJ150" s="10">
        <v>25825349880.02</v>
      </c>
      <c r="BK150" s="34" t="str">
        <f>YEAR(CurrentMtgRatesDataTable871112131417[[#This Row],[asofdate]])&amp;"-"&amp;MONTH(CurrentMtgRatesDataTable871112131417[[#This Row],[asofdate]])</f>
        <v>2015-6</v>
      </c>
      <c r="BL150" s="34">
        <f>CurrentMtgRatesDataTable871112131417[[#This Row],[SeriesNumValue]]</f>
        <v>25825349880.02</v>
      </c>
      <c r="BM150" s="34">
        <f>VLOOKUP(CurrentMtgRatesDataTable871112131417[[#This Row],[asofdate]],AW:AX,2,0)</f>
        <v>12438370000</v>
      </c>
      <c r="BN150" s="30">
        <f>IF(VLOOKUP(CurrentMtgRatesDataTable871112131417[[#This Row],[asofdate]],BA:BB,2,0)&lt;&gt;0,VLOOKUP(CurrentMtgRatesDataTable871112131417[[#This Row],[asofdate]],BA:BB,2,0),BN149)</f>
        <v>5696623000</v>
      </c>
      <c r="BO150" s="30">
        <f>VLOOKUP(CurrentMtgRatesDataTable871112131417[[#This Row],[asofdate]],BE:BF,2,0)</f>
        <v>43960342880.019997</v>
      </c>
    </row>
    <row r="151" spans="1:67" s="8" customFormat="1">
      <c r="A151" s="27" t="s">
        <v>167</v>
      </c>
      <c r="B151" s="28">
        <v>1.6458059896986101E-2</v>
      </c>
      <c r="C151" s="29" t="str">
        <f>YEAR(CurrentMtgRatesDataTable8[[#This Row],[asofdate]])&amp;"-"&amp;MONTH(CurrentMtgRatesDataTable8[[#This Row],[asofdate]])</f>
        <v>2015-7</v>
      </c>
      <c r="D151" s="11">
        <f>((CurrentMtgRatesDataTable8[[#This Row],[SeriesNumValue]]-$D$1)/$D$1+1)*100</f>
        <v>109.72039931324066</v>
      </c>
      <c r="E151" s="6"/>
      <c r="I151" s="27" t="s">
        <v>33</v>
      </c>
      <c r="J151" s="28">
        <v>2.1503360827248699E-2</v>
      </c>
      <c r="K151" s="29" t="str">
        <f>YEAR(CurrentMtgRatesDataTable89[[#This Row],[asofdate]])&amp;"-"&amp;MONTH(CurrentMtgRatesDataTable89[[#This Row],[asofdate]])</f>
        <v>2003-5</v>
      </c>
      <c r="L151" s="11">
        <f>((CurrentMtgRatesDataTable89[[#This Row],[SeriesNumValue]]-$D$1)/$D$1+1)*100</f>
        <v>143.35573884832468</v>
      </c>
      <c r="M151" s="11">
        <f>CurrentMtgRatesDataTable89[[#This Row],[Index]]-L152</f>
        <v>143.35573884832468</v>
      </c>
      <c r="P151" s="27" t="s">
        <v>167</v>
      </c>
      <c r="Q151" s="28">
        <v>5.5814197233407602E-2</v>
      </c>
      <c r="R151" s="32">
        <f>((CurrentMtgRatesDataTable8711[[#This Row],[SeriesNumValue]]-$D$1)/$D$1+1)*100</f>
        <v>372.09464822271735</v>
      </c>
      <c r="S151" s="32"/>
      <c r="U151" s="27" t="s">
        <v>167</v>
      </c>
      <c r="V151" s="28">
        <v>4.4194488795020699E-2</v>
      </c>
      <c r="W151" s="32">
        <f>((CurrentMtgRatesDataTable871112[[#This Row],[SeriesNumValue]]-$D$1)/$D$1+1)*100</f>
        <v>294.62992530013798</v>
      </c>
      <c r="X151" s="32"/>
      <c r="Z151" s="27" t="s">
        <v>167</v>
      </c>
      <c r="AA151" s="28">
        <v>2.7139039518248701E-2</v>
      </c>
      <c r="AB151" s="34">
        <f>((CurrentMtgRatesDataTable87111213[[#This Row],[SeriesNumValue]]-$D$1)/$D$1+1)*100</f>
        <v>180.92693012165802</v>
      </c>
      <c r="AC151" s="34"/>
      <c r="AE151" s="27" t="s">
        <v>167</v>
      </c>
      <c r="AF151" s="28">
        <v>1.67906224223657E-2</v>
      </c>
      <c r="AG151" s="34">
        <f>((CurrentMtgRatesDataTable8711121314[[#This Row],[SeriesNumValue]]-$D$1)/$D$1+1)*100</f>
        <v>111.93748281577133</v>
      </c>
      <c r="AH151" s="34" t="str">
        <f>YEAR(CurrentMtgRatesDataTable8711121314[[#This Row],[asofdate]])&amp;"-"&amp;MONTH(CurrentMtgRatesDataTable8711121314[[#This Row],[asofdate]])</f>
        <v>2015-7</v>
      </c>
      <c r="AI151" s="34">
        <f>CurrentMtgRatesDataTable8711121314[[#This Row],[SeriesNumValue]]</f>
        <v>1.67906224223657E-2</v>
      </c>
      <c r="AJ151" s="34">
        <f>VLOOKUP(CurrentMtgRatesDataTable8711121314[[#This Row],[asofdate]],P:R,2,0)</f>
        <v>5.5814197233407602E-2</v>
      </c>
      <c r="AK151" s="30">
        <f>IF(VLOOKUP(CurrentMtgRatesDataTable8711121314[[#This Row],[asofdate]],U:W,2,0)&lt;&gt;0,VLOOKUP(CurrentMtgRatesDataTable8711121314[[#This Row],[asofdate]],U:W,2,0),AK150)</f>
        <v>4.4194488795020699E-2</v>
      </c>
      <c r="AL151" s="30">
        <f>VLOOKUP(CurrentMtgRatesDataTable8711121314[[#This Row],[asofdate]],Z:AB,2,0)</f>
        <v>2.7139039518248701E-2</v>
      </c>
      <c r="AM151" s="30">
        <f>CurrentMtgRatesDataTable8711121314[[#This Row],[FHA]]+0.5*CurrentMtgRatesDataTable8711121314[[#This Row],[Conventional]]</f>
        <v>6.4209508444590446E-2</v>
      </c>
      <c r="AN151" s="30">
        <f>2*CurrentMtgRatesDataTable8711121314[[#This Row],[FHA]]</f>
        <v>0.1116283944668152</v>
      </c>
      <c r="AO151" s="11">
        <f>VLOOKUP(YEAR(CurrentMtgRatesDataTable8711121314[[#This Row],[asofdate]]),OriginationVolume!$A:$N,8,FALSE)</f>
        <v>0.54906832298136643</v>
      </c>
      <c r="AP151" s="11">
        <f>VLOOKUP(YEAR(CurrentMtgRatesDataTable8711121314[[#This Row],[asofdate]]),OriginationVolume!$A:$N,9,FALSE)</f>
        <v>6.0869565217391307E-2</v>
      </c>
      <c r="AQ151" s="11">
        <f>VLOOKUP(YEAR(CurrentMtgRatesDataTable8711121314[[#This Row],[asofdate]]),OriginationVolume!$A:$N,10,FALSE)</f>
        <v>0.18260869565217391</v>
      </c>
      <c r="AR151" s="11">
        <f>VLOOKUP(YEAR(CurrentMtgRatesDataTable8711121314[[#This Row],[asofdate]]),OriginationVolume!$A:$N,11,FALSE)</f>
        <v>0.20248447204968945</v>
      </c>
      <c r="AS151" s="11">
        <f>VLOOKUP(YEAR(CurrentMtgRatesDataTable8711121314[[#This Row],[asofdate]]),OriginationVolume!$A:$N,12,FALSE)</f>
        <v>2.4844720496894411E-3</v>
      </c>
      <c r="AT151" s="11">
        <f>VLOOKUP(YEAR(CurrentMtgRatesDataTable8711121314[[#This Row],[asofdate]]),OriginationVolume!$A:$N,13,FALSE)</f>
        <v>2.4844720496894411E-3</v>
      </c>
      <c r="AU15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2.5938160640522973E-2</v>
      </c>
      <c r="AW151" s="27" t="s">
        <v>167</v>
      </c>
      <c r="AX151" s="28">
        <v>12190922000</v>
      </c>
      <c r="AY151" s="32"/>
      <c r="BA151" s="27" t="s">
        <v>167</v>
      </c>
      <c r="BB151" s="28">
        <v>6074207000</v>
      </c>
      <c r="BC151" s="32"/>
      <c r="BE151" s="27" t="s">
        <v>167</v>
      </c>
      <c r="BF151" s="28">
        <v>46474622381.669998</v>
      </c>
      <c r="BG151" s="34"/>
      <c r="BI151" s="27" t="s">
        <v>167</v>
      </c>
      <c r="BJ151" s="28">
        <v>28209493381.669998</v>
      </c>
      <c r="BK151" s="34" t="str">
        <f>YEAR(CurrentMtgRatesDataTable871112131417[[#This Row],[asofdate]])&amp;"-"&amp;MONTH(CurrentMtgRatesDataTable871112131417[[#This Row],[asofdate]])</f>
        <v>2015-7</v>
      </c>
      <c r="BL151" s="34">
        <f>CurrentMtgRatesDataTable871112131417[[#This Row],[SeriesNumValue]]</f>
        <v>28209493381.669998</v>
      </c>
      <c r="BM151" s="34">
        <f>VLOOKUP(CurrentMtgRatesDataTable871112131417[[#This Row],[asofdate]],AW:AX,2,0)</f>
        <v>12190922000</v>
      </c>
      <c r="BN151" s="30">
        <f>IF(VLOOKUP(CurrentMtgRatesDataTable871112131417[[#This Row],[asofdate]],BA:BB,2,0)&lt;&gt;0,VLOOKUP(CurrentMtgRatesDataTable871112131417[[#This Row],[asofdate]],BA:BB,2,0),BN150)</f>
        <v>6074207000</v>
      </c>
      <c r="BO151" s="30">
        <f>VLOOKUP(CurrentMtgRatesDataTable871112131417[[#This Row],[asofdate]],BE:BF,2,0)</f>
        <v>46474622381.669998</v>
      </c>
    </row>
    <row r="152" spans="1:67">
      <c r="A152" s="6"/>
      <c r="B152" s="6"/>
      <c r="C152" s="6"/>
      <c r="D152" s="6"/>
      <c r="E152" s="6"/>
    </row>
    <row r="153" spans="1:67">
      <c r="A153" s="6"/>
      <c r="B153" s="6"/>
      <c r="C153" s="6"/>
      <c r="D153" s="6"/>
      <c r="E153" s="6"/>
    </row>
    <row r="154" spans="1:67">
      <c r="A154" s="6"/>
      <c r="B154" s="6"/>
      <c r="C154" s="6"/>
      <c r="D154" s="6"/>
      <c r="E154" s="6"/>
    </row>
    <row r="155" spans="1:67">
      <c r="A155" s="6"/>
      <c r="B155" s="6"/>
      <c r="C155" s="6"/>
      <c r="D155" s="6"/>
      <c r="E155" s="6"/>
    </row>
    <row r="156" spans="1:67">
      <c r="A156" s="6"/>
      <c r="B156" s="6"/>
      <c r="C156" s="6"/>
      <c r="D156" s="6"/>
      <c r="E156" s="6"/>
    </row>
    <row r="157" spans="1:67">
      <c r="A157" s="6"/>
      <c r="B157" s="6"/>
      <c r="C157" s="6"/>
      <c r="D157" s="6"/>
      <c r="E157" s="6"/>
    </row>
    <row r="158" spans="1:67">
      <c r="A158" s="6"/>
      <c r="B158" s="6"/>
      <c r="C158" s="6"/>
      <c r="D158" s="6"/>
      <c r="E158" s="6"/>
    </row>
    <row r="159" spans="1:67">
      <c r="A159" s="6"/>
      <c r="B159" s="6"/>
      <c r="C159" s="6"/>
      <c r="D159" s="6"/>
      <c r="E159" s="6"/>
    </row>
    <row r="160" spans="1:67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6"/>
      <c r="B190" s="6"/>
      <c r="C190" s="6"/>
      <c r="D190" s="6"/>
      <c r="E190" s="6"/>
    </row>
    <row r="191" spans="1:5">
      <c r="A191" s="8"/>
      <c r="B191" s="8"/>
      <c r="C191" s="8"/>
      <c r="D191" s="8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A263" s="8"/>
      <c r="B263" s="8"/>
      <c r="C263" s="8"/>
      <c r="D263" s="8"/>
      <c r="E263" s="8"/>
    </row>
  </sheetData>
  <pageMargins left="0.7" right="0.7" top="0.75" bottom="0.75" header="0.3" footer="0.3"/>
  <pageSetup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O26" sqref="O26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39">
        <v>1</v>
      </c>
      <c r="I1" s="39">
        <v>0.25</v>
      </c>
      <c r="J1" s="39">
        <v>0.75</v>
      </c>
      <c r="K1" s="39">
        <v>1</v>
      </c>
      <c r="L1" s="39">
        <v>1</v>
      </c>
      <c r="M1" s="39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8" t="s">
        <v>180</v>
      </c>
      <c r="B3" s="35" t="s">
        <v>175</v>
      </c>
      <c r="C3" s="35" t="s">
        <v>174</v>
      </c>
      <c r="D3" s="35" t="s">
        <v>176</v>
      </c>
      <c r="E3" s="35" t="s">
        <v>177</v>
      </c>
      <c r="F3" s="35" t="s">
        <v>178</v>
      </c>
      <c r="G3" s="35" t="s">
        <v>179</v>
      </c>
      <c r="H3" s="35" t="s">
        <v>183</v>
      </c>
      <c r="I3" s="35" t="s">
        <v>181</v>
      </c>
      <c r="J3" s="35" t="s">
        <v>182</v>
      </c>
      <c r="K3" s="35" t="s">
        <v>184</v>
      </c>
      <c r="L3" s="35" t="s">
        <v>185</v>
      </c>
      <c r="M3" s="35" t="s">
        <v>186</v>
      </c>
      <c r="N3" s="35" t="s">
        <v>187</v>
      </c>
    </row>
    <row r="4" spans="1:14">
      <c r="A4">
        <v>1995</v>
      </c>
      <c r="B4" s="36">
        <v>315</v>
      </c>
      <c r="C4" s="36">
        <v>75</v>
      </c>
      <c r="D4" s="36">
        <v>135</v>
      </c>
      <c r="E4" s="36">
        <v>10</v>
      </c>
      <c r="F4" s="36">
        <v>60</v>
      </c>
      <c r="G4" s="37">
        <f>SUM(B4:F4)</f>
        <v>595</v>
      </c>
      <c r="H4" s="40">
        <f t="shared" ref="H4:H24" si="0">B4*H$1/$G4</f>
        <v>0.52941176470588236</v>
      </c>
      <c r="I4" s="40">
        <f t="shared" ref="I4:I24" si="1">C4*I$1/$G4</f>
        <v>3.1512605042016806E-2</v>
      </c>
      <c r="J4" s="40">
        <f t="shared" ref="J4:J24" si="2">C4*J$1/$G4</f>
        <v>9.4537815126050417E-2</v>
      </c>
      <c r="K4" s="40">
        <f t="shared" ref="K4:K24" si="3">D4*K$1/$G4</f>
        <v>0.22689075630252101</v>
      </c>
      <c r="L4" s="40">
        <f t="shared" ref="L4:L24" si="4">E4*L$1/$G4</f>
        <v>1.680672268907563E-2</v>
      </c>
      <c r="M4" s="40">
        <f t="shared" ref="M4:M24" si="5">F4*M$1/$G4</f>
        <v>0.10084033613445378</v>
      </c>
      <c r="N4" s="26">
        <f>SUM(H4:M4)</f>
        <v>1</v>
      </c>
    </row>
    <row r="5" spans="1:14">
      <c r="A5">
        <v>1996</v>
      </c>
      <c r="B5" s="36">
        <v>380</v>
      </c>
      <c r="C5" s="36">
        <v>105</v>
      </c>
      <c r="D5" s="36">
        <v>160</v>
      </c>
      <c r="E5" s="36">
        <v>20</v>
      </c>
      <c r="F5" s="36">
        <v>70</v>
      </c>
      <c r="G5" s="37">
        <f t="shared" ref="G5:G24" si="6">SUM(B5:F5)</f>
        <v>735</v>
      </c>
      <c r="H5" s="40">
        <f t="shared" si="0"/>
        <v>0.51700680272108845</v>
      </c>
      <c r="I5" s="40">
        <f t="shared" si="1"/>
        <v>3.5714285714285712E-2</v>
      </c>
      <c r="J5" s="40">
        <f t="shared" si="2"/>
        <v>0.10714285714285714</v>
      </c>
      <c r="K5" s="40">
        <f t="shared" si="3"/>
        <v>0.21768707482993196</v>
      </c>
      <c r="L5" s="40">
        <f t="shared" si="4"/>
        <v>2.7210884353741496E-2</v>
      </c>
      <c r="M5" s="40">
        <f t="shared" si="5"/>
        <v>9.5238095238095233E-2</v>
      </c>
      <c r="N5" s="26">
        <f t="shared" ref="N5:N24" si="7">SUM(H5:M5)</f>
        <v>1</v>
      </c>
    </row>
    <row r="6" spans="1:14">
      <c r="A6">
        <v>1997</v>
      </c>
      <c r="B6" s="36">
        <v>405</v>
      </c>
      <c r="C6" s="36">
        <v>100</v>
      </c>
      <c r="D6" s="36">
        <v>190</v>
      </c>
      <c r="E6" s="36">
        <v>25</v>
      </c>
      <c r="F6" s="36">
        <v>85</v>
      </c>
      <c r="G6" s="37">
        <f t="shared" si="6"/>
        <v>805</v>
      </c>
      <c r="H6" s="40">
        <f t="shared" si="0"/>
        <v>0.50310559006211175</v>
      </c>
      <c r="I6" s="40">
        <f t="shared" si="1"/>
        <v>3.1055900621118012E-2</v>
      </c>
      <c r="J6" s="40">
        <f t="shared" si="2"/>
        <v>9.3167701863354033E-2</v>
      </c>
      <c r="K6" s="40">
        <f t="shared" si="3"/>
        <v>0.2360248447204969</v>
      </c>
      <c r="L6" s="40">
        <f t="shared" si="4"/>
        <v>3.1055900621118012E-2</v>
      </c>
      <c r="M6" s="40">
        <f t="shared" si="5"/>
        <v>0.10559006211180125</v>
      </c>
      <c r="N6" s="26">
        <f t="shared" si="7"/>
        <v>0.99999999999999978</v>
      </c>
    </row>
    <row r="7" spans="1:14">
      <c r="A7">
        <v>1998</v>
      </c>
      <c r="B7" s="36">
        <v>705</v>
      </c>
      <c r="C7" s="36">
        <v>145</v>
      </c>
      <c r="D7" s="36">
        <v>355</v>
      </c>
      <c r="E7" s="36">
        <v>35</v>
      </c>
      <c r="F7" s="36">
        <v>135</v>
      </c>
      <c r="G7" s="37">
        <f t="shared" si="6"/>
        <v>1375</v>
      </c>
      <c r="H7" s="40">
        <f t="shared" si="0"/>
        <v>0.5127272727272727</v>
      </c>
      <c r="I7" s="40">
        <f t="shared" si="1"/>
        <v>2.6363636363636363E-2</v>
      </c>
      <c r="J7" s="40">
        <f t="shared" si="2"/>
        <v>7.9090909090909087E-2</v>
      </c>
      <c r="K7" s="40">
        <f t="shared" si="3"/>
        <v>0.25818181818181818</v>
      </c>
      <c r="L7" s="40">
        <f t="shared" si="4"/>
        <v>2.5454545454545455E-2</v>
      </c>
      <c r="M7" s="40">
        <f t="shared" si="5"/>
        <v>9.8181818181818176E-2</v>
      </c>
      <c r="N7" s="26">
        <f t="shared" si="7"/>
        <v>1</v>
      </c>
    </row>
    <row r="8" spans="1:14">
      <c r="A8">
        <v>1999</v>
      </c>
      <c r="B8" s="36">
        <v>595</v>
      </c>
      <c r="C8" s="36">
        <v>172</v>
      </c>
      <c r="D8" s="36">
        <v>315</v>
      </c>
      <c r="E8" s="36">
        <v>40</v>
      </c>
      <c r="F8" s="36">
        <v>130</v>
      </c>
      <c r="G8" s="37">
        <f t="shared" si="6"/>
        <v>1252</v>
      </c>
      <c r="H8" s="40">
        <f t="shared" si="0"/>
        <v>0.47523961661341851</v>
      </c>
      <c r="I8" s="40">
        <f t="shared" si="1"/>
        <v>3.4345047923322686E-2</v>
      </c>
      <c r="J8" s="40">
        <f t="shared" si="2"/>
        <v>0.10303514376996806</v>
      </c>
      <c r="K8" s="40">
        <f t="shared" si="3"/>
        <v>0.25159744408945689</v>
      </c>
      <c r="L8" s="40">
        <f t="shared" si="4"/>
        <v>3.1948881789137379E-2</v>
      </c>
      <c r="M8" s="40">
        <f t="shared" si="5"/>
        <v>0.10383386581469649</v>
      </c>
      <c r="N8" s="26">
        <f t="shared" si="7"/>
        <v>1</v>
      </c>
    </row>
    <row r="9" spans="1:14">
      <c r="A9">
        <v>2000</v>
      </c>
      <c r="B9" s="36">
        <v>495</v>
      </c>
      <c r="C9" s="36">
        <v>115</v>
      </c>
      <c r="D9" s="36">
        <v>260</v>
      </c>
      <c r="E9" s="36">
        <v>25</v>
      </c>
      <c r="F9" s="36">
        <v>100</v>
      </c>
      <c r="G9" s="37">
        <f t="shared" si="6"/>
        <v>995</v>
      </c>
      <c r="H9" s="40">
        <f t="shared" si="0"/>
        <v>0.49748743718592964</v>
      </c>
      <c r="I9" s="40">
        <f t="shared" si="1"/>
        <v>2.8894472361809045E-2</v>
      </c>
      <c r="J9" s="40">
        <f t="shared" si="2"/>
        <v>8.6683417085427136E-2</v>
      </c>
      <c r="K9" s="40">
        <f t="shared" si="3"/>
        <v>0.2613065326633166</v>
      </c>
      <c r="L9" s="40">
        <f t="shared" si="4"/>
        <v>2.5125628140703519E-2</v>
      </c>
      <c r="M9" s="40">
        <f t="shared" si="5"/>
        <v>0.10050251256281408</v>
      </c>
      <c r="N9" s="26">
        <f t="shared" si="7"/>
        <v>1</v>
      </c>
    </row>
    <row r="10" spans="1:14">
      <c r="A10">
        <v>2001</v>
      </c>
      <c r="B10" s="36">
        <v>1265</v>
      </c>
      <c r="C10" s="36">
        <v>175</v>
      </c>
      <c r="D10" s="36">
        <v>460</v>
      </c>
      <c r="E10" s="36">
        <v>40</v>
      </c>
      <c r="F10" s="36">
        <v>160</v>
      </c>
      <c r="G10" s="37">
        <f t="shared" si="6"/>
        <v>2100</v>
      </c>
      <c r="H10" s="40">
        <f t="shared" si="0"/>
        <v>0.60238095238095235</v>
      </c>
      <c r="I10" s="40">
        <f t="shared" si="1"/>
        <v>2.0833333333333332E-2</v>
      </c>
      <c r="J10" s="40">
        <f t="shared" si="2"/>
        <v>6.25E-2</v>
      </c>
      <c r="K10" s="40">
        <f t="shared" si="3"/>
        <v>0.21904761904761905</v>
      </c>
      <c r="L10" s="40">
        <f t="shared" si="4"/>
        <v>1.9047619047619049E-2</v>
      </c>
      <c r="M10" s="40">
        <f t="shared" si="5"/>
        <v>7.6190476190476197E-2</v>
      </c>
      <c r="N10" s="26">
        <f t="shared" si="7"/>
        <v>1</v>
      </c>
    </row>
    <row r="11" spans="1:14">
      <c r="A11">
        <v>2002</v>
      </c>
      <c r="B11" s="36">
        <v>1706</v>
      </c>
      <c r="C11" s="36">
        <v>176</v>
      </c>
      <c r="D11" s="36">
        <v>571</v>
      </c>
      <c r="E11" s="36">
        <v>67</v>
      </c>
      <c r="F11" s="36">
        <v>200</v>
      </c>
      <c r="G11" s="37">
        <f t="shared" si="6"/>
        <v>2720</v>
      </c>
      <c r="H11" s="40">
        <f t="shared" si="0"/>
        <v>0.62720588235294117</v>
      </c>
      <c r="I11" s="40">
        <f t="shared" si="1"/>
        <v>1.6176470588235296E-2</v>
      </c>
      <c r="J11" s="40">
        <f t="shared" si="2"/>
        <v>4.8529411764705883E-2</v>
      </c>
      <c r="K11" s="40">
        <f t="shared" si="3"/>
        <v>0.2099264705882353</v>
      </c>
      <c r="L11" s="40">
        <f t="shared" si="4"/>
        <v>2.463235294117647E-2</v>
      </c>
      <c r="M11" s="40">
        <f t="shared" si="5"/>
        <v>7.3529411764705885E-2</v>
      </c>
      <c r="N11" s="26">
        <f t="shared" si="7"/>
        <v>1.0000000000000002</v>
      </c>
    </row>
    <row r="12" spans="1:14">
      <c r="A12">
        <v>2003</v>
      </c>
      <c r="B12" s="36">
        <v>2460</v>
      </c>
      <c r="C12" s="36">
        <v>220</v>
      </c>
      <c r="D12" s="36">
        <v>650</v>
      </c>
      <c r="E12" s="36">
        <v>85</v>
      </c>
      <c r="F12" s="36">
        <v>310</v>
      </c>
      <c r="G12" s="37">
        <f t="shared" si="6"/>
        <v>3725</v>
      </c>
      <c r="H12" s="40">
        <f t="shared" si="0"/>
        <v>0.66040268456375839</v>
      </c>
      <c r="I12" s="40">
        <f t="shared" si="1"/>
        <v>1.4765100671140939E-2</v>
      </c>
      <c r="J12" s="40">
        <f t="shared" si="2"/>
        <v>4.429530201342282E-2</v>
      </c>
      <c r="K12" s="40">
        <f t="shared" si="3"/>
        <v>0.17449664429530201</v>
      </c>
      <c r="L12" s="40">
        <f t="shared" si="4"/>
        <v>2.2818791946308724E-2</v>
      </c>
      <c r="M12" s="40">
        <f t="shared" si="5"/>
        <v>8.3221476510067116E-2</v>
      </c>
      <c r="N12" s="26">
        <f t="shared" si="7"/>
        <v>1</v>
      </c>
    </row>
    <row r="13" spans="1:14">
      <c r="A13">
        <v>2004</v>
      </c>
      <c r="B13" s="36">
        <v>1210</v>
      </c>
      <c r="C13" s="36">
        <v>135</v>
      </c>
      <c r="D13" s="36">
        <v>515</v>
      </c>
      <c r="E13" s="36">
        <v>190</v>
      </c>
      <c r="F13" s="36">
        <v>540</v>
      </c>
      <c r="G13" s="37">
        <f t="shared" si="6"/>
        <v>2590</v>
      </c>
      <c r="H13" s="40">
        <f t="shared" si="0"/>
        <v>0.46718146718146719</v>
      </c>
      <c r="I13" s="40">
        <f t="shared" si="1"/>
        <v>1.3030888030888031E-2</v>
      </c>
      <c r="J13" s="40">
        <f t="shared" si="2"/>
        <v>3.9092664092664091E-2</v>
      </c>
      <c r="K13" s="40">
        <f t="shared" si="3"/>
        <v>0.19884169884169883</v>
      </c>
      <c r="L13" s="40">
        <f t="shared" si="4"/>
        <v>7.3359073359073365E-2</v>
      </c>
      <c r="M13" s="40">
        <f t="shared" si="5"/>
        <v>0.20849420849420849</v>
      </c>
      <c r="N13" s="26">
        <f t="shared" si="7"/>
        <v>0.99999999999999989</v>
      </c>
    </row>
    <row r="14" spans="1:14">
      <c r="A14">
        <v>2005</v>
      </c>
      <c r="B14" s="36">
        <v>1090</v>
      </c>
      <c r="C14" s="36">
        <v>90</v>
      </c>
      <c r="D14" s="36">
        <v>570</v>
      </c>
      <c r="E14" s="36">
        <v>380</v>
      </c>
      <c r="F14" s="36">
        <v>625</v>
      </c>
      <c r="G14" s="37">
        <f t="shared" si="6"/>
        <v>2755</v>
      </c>
      <c r="H14" s="40">
        <f t="shared" si="0"/>
        <v>0.39564428312159711</v>
      </c>
      <c r="I14" s="40">
        <f t="shared" si="1"/>
        <v>8.1669691470054439E-3</v>
      </c>
      <c r="J14" s="40">
        <f t="shared" si="2"/>
        <v>2.4500907441016333E-2</v>
      </c>
      <c r="K14" s="40">
        <f t="shared" si="3"/>
        <v>0.20689655172413793</v>
      </c>
      <c r="L14" s="40">
        <f t="shared" si="4"/>
        <v>0.13793103448275862</v>
      </c>
      <c r="M14" s="40">
        <f t="shared" si="5"/>
        <v>0.22686025408348456</v>
      </c>
      <c r="N14" s="26">
        <f t="shared" si="7"/>
        <v>1</v>
      </c>
    </row>
    <row r="15" spans="1:14">
      <c r="A15">
        <v>2006</v>
      </c>
      <c r="B15" s="36">
        <v>990</v>
      </c>
      <c r="C15" s="36">
        <v>80</v>
      </c>
      <c r="D15" s="36">
        <v>480</v>
      </c>
      <c r="E15" s="36">
        <v>400</v>
      </c>
      <c r="F15" s="36">
        <v>600</v>
      </c>
      <c r="G15" s="37">
        <f t="shared" si="6"/>
        <v>2550</v>
      </c>
      <c r="H15" s="40">
        <f t="shared" si="0"/>
        <v>0.38823529411764707</v>
      </c>
      <c r="I15" s="40">
        <f t="shared" si="1"/>
        <v>7.8431372549019607E-3</v>
      </c>
      <c r="J15" s="40">
        <f t="shared" si="2"/>
        <v>2.3529411764705882E-2</v>
      </c>
      <c r="K15" s="40">
        <f t="shared" si="3"/>
        <v>0.18823529411764706</v>
      </c>
      <c r="L15" s="40">
        <f t="shared" si="4"/>
        <v>0.15686274509803921</v>
      </c>
      <c r="M15" s="40">
        <f t="shared" si="5"/>
        <v>0.23529411764705882</v>
      </c>
      <c r="N15" s="26">
        <f t="shared" si="7"/>
        <v>1</v>
      </c>
    </row>
    <row r="16" spans="1:14">
      <c r="A16">
        <v>2007</v>
      </c>
      <c r="B16" s="36">
        <v>1151</v>
      </c>
      <c r="C16" s="36">
        <v>116</v>
      </c>
      <c r="D16" s="36">
        <v>348</v>
      </c>
      <c r="E16" s="36">
        <v>275</v>
      </c>
      <c r="F16" s="36">
        <v>191</v>
      </c>
      <c r="G16" s="37">
        <f t="shared" si="6"/>
        <v>2081</v>
      </c>
      <c r="H16" s="40">
        <f t="shared" si="0"/>
        <v>0.55309947140797688</v>
      </c>
      <c r="I16" s="40">
        <f t="shared" si="1"/>
        <v>1.3935607880826525E-2</v>
      </c>
      <c r="J16" s="40">
        <f t="shared" si="2"/>
        <v>4.1806823642479576E-2</v>
      </c>
      <c r="K16" s="40">
        <f t="shared" si="3"/>
        <v>0.16722729456991831</v>
      </c>
      <c r="L16" s="40">
        <f t="shared" si="4"/>
        <v>0.13214800576645844</v>
      </c>
      <c r="M16" s="40">
        <f t="shared" si="5"/>
        <v>9.1782796732340216E-2</v>
      </c>
      <c r="N16" s="26">
        <f t="shared" si="7"/>
        <v>1</v>
      </c>
    </row>
    <row r="17" spans="1:15">
      <c r="A17">
        <v>2008</v>
      </c>
      <c r="B17" s="36">
        <v>928</v>
      </c>
      <c r="C17" s="36">
        <v>293</v>
      </c>
      <c r="D17" s="36">
        <v>98</v>
      </c>
      <c r="E17" s="36">
        <v>42</v>
      </c>
      <c r="F17" s="36">
        <v>23</v>
      </c>
      <c r="G17" s="37">
        <f t="shared" si="6"/>
        <v>1384</v>
      </c>
      <c r="H17" s="40">
        <f t="shared" si="0"/>
        <v>0.67052023121387283</v>
      </c>
      <c r="I17" s="40">
        <f t="shared" si="1"/>
        <v>5.2926300578034685E-2</v>
      </c>
      <c r="J17" s="40">
        <f t="shared" si="2"/>
        <v>0.15877890173410406</v>
      </c>
      <c r="K17" s="40">
        <f t="shared" si="3"/>
        <v>7.0809248554913301E-2</v>
      </c>
      <c r="L17" s="40">
        <f t="shared" si="4"/>
        <v>3.0346820809248554E-2</v>
      </c>
      <c r="M17" s="40">
        <f t="shared" si="5"/>
        <v>1.6618497109826588E-2</v>
      </c>
      <c r="N17" s="26">
        <f t="shared" si="7"/>
        <v>1</v>
      </c>
    </row>
    <row r="18" spans="1:15">
      <c r="A18">
        <v>2009</v>
      </c>
      <c r="B18" s="36">
        <v>1201</v>
      </c>
      <c r="C18" s="36">
        <v>451</v>
      </c>
      <c r="D18" s="36">
        <f>97</f>
        <v>97</v>
      </c>
      <c r="E18" s="36">
        <v>6</v>
      </c>
      <c r="F18" s="36">
        <v>4</v>
      </c>
      <c r="G18" s="37">
        <f t="shared" si="6"/>
        <v>1759</v>
      </c>
      <c r="H18" s="40">
        <f t="shared" si="0"/>
        <v>0.68277430358158042</v>
      </c>
      <c r="I18" s="40">
        <f t="shared" si="1"/>
        <v>6.4098919840818641E-2</v>
      </c>
      <c r="J18" s="40">
        <f t="shared" si="2"/>
        <v>0.19229675952245595</v>
      </c>
      <c r="K18" s="40">
        <f t="shared" si="3"/>
        <v>5.5144968732234227E-2</v>
      </c>
      <c r="L18" s="40">
        <f t="shared" si="4"/>
        <v>3.4110289937464467E-3</v>
      </c>
      <c r="M18" s="40">
        <f t="shared" si="5"/>
        <v>2.2740193291642978E-3</v>
      </c>
      <c r="N18" s="26">
        <f t="shared" si="7"/>
        <v>0.99999999999999989</v>
      </c>
    </row>
    <row r="19" spans="1:15">
      <c r="A19">
        <v>2010</v>
      </c>
      <c r="B19" s="36">
        <f>1092</f>
        <v>1092</v>
      </c>
      <c r="C19" s="36">
        <v>377</v>
      </c>
      <c r="D19" s="36">
        <f>104</f>
        <v>104</v>
      </c>
      <c r="E19" s="36">
        <v>4</v>
      </c>
      <c r="F19" s="36">
        <v>4</v>
      </c>
      <c r="G19" s="37">
        <f t="shared" si="6"/>
        <v>1581</v>
      </c>
      <c r="H19" s="40">
        <f t="shared" si="0"/>
        <v>0.69070208728652749</v>
      </c>
      <c r="I19" s="40">
        <f t="shared" si="1"/>
        <v>5.9614168247944341E-2</v>
      </c>
      <c r="J19" s="40">
        <f t="shared" si="2"/>
        <v>0.17884250474383301</v>
      </c>
      <c r="K19" s="40">
        <f t="shared" si="3"/>
        <v>6.5781151170145477E-2</v>
      </c>
      <c r="L19" s="40">
        <f t="shared" si="4"/>
        <v>2.5300442757748261E-3</v>
      </c>
      <c r="M19" s="40">
        <f t="shared" si="5"/>
        <v>2.5300442757748261E-3</v>
      </c>
      <c r="N19" s="26">
        <f t="shared" si="7"/>
        <v>1</v>
      </c>
    </row>
    <row r="20" spans="1:15">
      <c r="A20">
        <v>2011</v>
      </c>
      <c r="B20" s="36">
        <f>963</f>
        <v>963</v>
      </c>
      <c r="C20" s="36">
        <v>294</v>
      </c>
      <c r="D20" s="36">
        <v>170</v>
      </c>
      <c r="E20" s="36">
        <v>14</v>
      </c>
      <c r="F20" s="36">
        <v>4</v>
      </c>
      <c r="G20" s="37">
        <f t="shared" si="6"/>
        <v>1445</v>
      </c>
      <c r="H20" s="40">
        <f t="shared" si="0"/>
        <v>0.66643598615916955</v>
      </c>
      <c r="I20" s="40">
        <f t="shared" si="1"/>
        <v>5.0865051903114189E-2</v>
      </c>
      <c r="J20" s="40">
        <f t="shared" si="2"/>
        <v>0.15259515570934257</v>
      </c>
      <c r="K20" s="40">
        <f t="shared" si="3"/>
        <v>0.11764705882352941</v>
      </c>
      <c r="L20" s="40">
        <f t="shared" si="4"/>
        <v>9.688581314878892E-3</v>
      </c>
      <c r="M20" s="40">
        <f t="shared" si="5"/>
        <v>2.7681660899653978E-3</v>
      </c>
      <c r="N20" s="26">
        <f t="shared" si="7"/>
        <v>1</v>
      </c>
    </row>
    <row r="21" spans="1:15">
      <c r="A21">
        <v>2012</v>
      </c>
      <c r="B21" s="36">
        <f>1438</f>
        <v>1438</v>
      </c>
      <c r="C21" s="36">
        <v>390</v>
      </c>
      <c r="D21" s="36">
        <v>225</v>
      </c>
      <c r="E21" s="36">
        <v>19</v>
      </c>
      <c r="F21" s="36">
        <v>4</v>
      </c>
      <c r="G21" s="37">
        <f t="shared" si="6"/>
        <v>2076</v>
      </c>
      <c r="H21" s="40">
        <f t="shared" si="0"/>
        <v>0.69267822736030826</v>
      </c>
      <c r="I21" s="40">
        <f t="shared" si="1"/>
        <v>4.6965317919075142E-2</v>
      </c>
      <c r="J21" s="40">
        <f t="shared" si="2"/>
        <v>0.14089595375722544</v>
      </c>
      <c r="K21" s="40">
        <f t="shared" si="3"/>
        <v>0.10838150289017341</v>
      </c>
      <c r="L21" s="40">
        <f t="shared" si="4"/>
        <v>9.1522157996146436E-3</v>
      </c>
      <c r="M21" s="40">
        <f t="shared" si="5"/>
        <v>1.9267822736030828E-3</v>
      </c>
      <c r="N21" s="26">
        <f t="shared" si="7"/>
        <v>1</v>
      </c>
    </row>
    <row r="22" spans="1:15">
      <c r="A22">
        <v>2013</v>
      </c>
      <c r="B22" s="36">
        <f>1174</f>
        <v>1174</v>
      </c>
      <c r="C22" s="36">
        <v>366</v>
      </c>
      <c r="D22" s="36">
        <v>272</v>
      </c>
      <c r="E22" s="36">
        <v>14</v>
      </c>
      <c r="F22" s="36">
        <v>4</v>
      </c>
      <c r="G22" s="37">
        <f t="shared" si="6"/>
        <v>1830</v>
      </c>
      <c r="H22" s="40">
        <f t="shared" si="0"/>
        <v>0.64153005464480872</v>
      </c>
      <c r="I22" s="40">
        <f t="shared" si="1"/>
        <v>0.05</v>
      </c>
      <c r="J22" s="40">
        <f t="shared" si="2"/>
        <v>0.15</v>
      </c>
      <c r="K22" s="40">
        <f t="shared" si="3"/>
        <v>0.14863387978142076</v>
      </c>
      <c r="L22" s="40">
        <f t="shared" si="4"/>
        <v>7.6502732240437158E-3</v>
      </c>
      <c r="M22" s="40">
        <f t="shared" si="5"/>
        <v>2.185792349726776E-3</v>
      </c>
      <c r="N22" s="26">
        <f t="shared" si="7"/>
        <v>1</v>
      </c>
    </row>
    <row r="23" spans="1:15">
      <c r="A23">
        <v>2014</v>
      </c>
      <c r="B23" s="35">
        <f>649</f>
        <v>649</v>
      </c>
      <c r="C23" s="36">
        <v>277</v>
      </c>
      <c r="D23" s="36">
        <f>235</f>
        <v>235</v>
      </c>
      <c r="E23" s="36">
        <v>4</v>
      </c>
      <c r="F23" s="36">
        <v>4</v>
      </c>
      <c r="G23" s="37">
        <f t="shared" si="6"/>
        <v>1169</v>
      </c>
      <c r="H23" s="40">
        <f t="shared" si="0"/>
        <v>0.55517536355859709</v>
      </c>
      <c r="I23" s="40">
        <f t="shared" si="1"/>
        <v>5.9238665526090674E-2</v>
      </c>
      <c r="J23" s="40">
        <f t="shared" si="2"/>
        <v>0.17771599657827203</v>
      </c>
      <c r="K23" s="40">
        <f t="shared" si="3"/>
        <v>0.20102651839178784</v>
      </c>
      <c r="L23" s="40">
        <f t="shared" si="4"/>
        <v>3.4217279726261761E-3</v>
      </c>
      <c r="M23" s="40">
        <f t="shared" si="5"/>
        <v>3.4217279726261761E-3</v>
      </c>
      <c r="N23" s="26">
        <f t="shared" si="7"/>
        <v>1</v>
      </c>
    </row>
    <row r="24" spans="1:15">
      <c r="A24">
        <v>2015</v>
      </c>
      <c r="B24" s="36">
        <f>442</f>
        <v>442</v>
      </c>
      <c r="C24" s="36">
        <v>196</v>
      </c>
      <c r="D24" s="36">
        <f>163</f>
        <v>163</v>
      </c>
      <c r="E24" s="36">
        <v>2</v>
      </c>
      <c r="F24" s="36">
        <v>2</v>
      </c>
      <c r="G24" s="37">
        <f t="shared" si="6"/>
        <v>805</v>
      </c>
      <c r="H24" s="40">
        <f t="shared" si="0"/>
        <v>0.54906832298136643</v>
      </c>
      <c r="I24" s="40">
        <f t="shared" si="1"/>
        <v>6.0869565217391307E-2</v>
      </c>
      <c r="J24" s="40">
        <f t="shared" si="2"/>
        <v>0.18260869565217391</v>
      </c>
      <c r="K24" s="40">
        <f t="shared" si="3"/>
        <v>0.20248447204968945</v>
      </c>
      <c r="L24" s="40">
        <f t="shared" si="4"/>
        <v>2.4844720496894411E-3</v>
      </c>
      <c r="M24" s="40">
        <f t="shared" si="5"/>
        <v>2.4844720496894411E-3</v>
      </c>
      <c r="N24" s="26">
        <f t="shared" si="7"/>
        <v>1</v>
      </c>
    </row>
    <row r="25" spans="1:15">
      <c r="A25">
        <v>2016</v>
      </c>
      <c r="B25" s="36">
        <f>442</f>
        <v>442</v>
      </c>
      <c r="C25" s="36">
        <v>196</v>
      </c>
      <c r="D25" s="36">
        <f>163</f>
        <v>163</v>
      </c>
      <c r="E25" s="36">
        <v>2</v>
      </c>
      <c r="F25" s="36">
        <v>2</v>
      </c>
      <c r="G25" s="37">
        <f t="shared" ref="G25" si="8">SUM(B25:F25)</f>
        <v>805</v>
      </c>
      <c r="H25" s="40">
        <f t="shared" ref="H25" si="9">B25*H$1/$G25</f>
        <v>0.54906832298136643</v>
      </c>
      <c r="I25" s="40">
        <f t="shared" ref="I25" si="10">C25*I$1/$G25</f>
        <v>6.0869565217391307E-2</v>
      </c>
      <c r="J25" s="40">
        <f t="shared" ref="J25" si="11">C25*J$1/$G25</f>
        <v>0.18260869565217391</v>
      </c>
      <c r="K25" s="40">
        <f t="shared" ref="K25" si="12">D25*K$1/$G25</f>
        <v>0.20248447204968945</v>
      </c>
      <c r="L25" s="40">
        <f t="shared" ref="L25" si="13">E25*L$1/$G25</f>
        <v>2.4844720496894411E-3</v>
      </c>
      <c r="M25" s="40">
        <f t="shared" ref="M25" si="14">F25*M$1/$G25</f>
        <v>2.4844720496894411E-3</v>
      </c>
      <c r="N25" s="26">
        <f t="shared" ref="N25" si="15">SUM(H25:M25)</f>
        <v>1</v>
      </c>
      <c r="O25" t="s">
        <v>199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H49" sqref="H49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1" t="s">
        <v>188</v>
      </c>
      <c r="C2" s="41" t="s">
        <v>189</v>
      </c>
    </row>
    <row r="3" spans="1:3">
      <c r="A3" t="s">
        <v>168</v>
      </c>
      <c r="C3" t="s">
        <v>190</v>
      </c>
    </row>
    <row r="4" spans="1:3">
      <c r="A4" t="s">
        <v>169</v>
      </c>
      <c r="C4" t="s">
        <v>190</v>
      </c>
    </row>
    <row r="5" spans="1:3">
      <c r="A5" t="s">
        <v>175</v>
      </c>
      <c r="C5" t="s">
        <v>190</v>
      </c>
    </row>
    <row r="6" spans="1:3">
      <c r="A6" t="s">
        <v>176</v>
      </c>
      <c r="C6" t="s">
        <v>175</v>
      </c>
    </row>
    <row r="7" spans="1:3">
      <c r="A7" t="s">
        <v>177</v>
      </c>
      <c r="C7" t="s">
        <v>191</v>
      </c>
    </row>
    <row r="8" spans="1:3">
      <c r="A8" t="s">
        <v>178</v>
      </c>
      <c r="C8" t="s">
        <v>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OriginationVolume</vt:lpstr>
      <vt:lpstr>Default Assumptions</vt:lpstr>
      <vt:lpstr>CurrentCloseDate</vt:lpstr>
      <vt:lpstr>DatabaseEnv</vt:lpstr>
      <vt:lpstr>LastAvailableDate</vt:lpstr>
      <vt:lpstr>LastMonth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2015-09-02T21:34:11Z</cp:lastPrinted>
  <dcterms:created xsi:type="dcterms:W3CDTF">2013-04-04T19:42:48Z</dcterms:created>
  <dcterms:modified xsi:type="dcterms:W3CDTF">2015-09-17T22:27:55Z</dcterms:modified>
</cp:coreProperties>
</file>