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ccmnydc1\users$\robert.morris\My Documents\Credit Availability\"/>
    </mc:Choice>
  </mc:AlternateContent>
  <bookViews>
    <workbookView xWindow="0" yWindow="0" windowWidth="31140" windowHeight="17370" activeTab="2"/>
  </bookViews>
  <sheets>
    <sheet name="Sheet1" sheetId="1" r:id="rId1"/>
    <sheet name="Sheet2" sheetId="2" r:id="rId2"/>
    <sheet name="Sheet3" sheetId="3" r:id="rId3"/>
  </sheets>
  <calcPr calcId="152511"/>
</workbook>
</file>

<file path=xl/calcChain.xml><?xml version="1.0" encoding="utf-8"?>
<calcChain xmlns="http://schemas.openxmlformats.org/spreadsheetml/2006/main">
  <c r="BD10" i="1" l="1"/>
  <c r="BE10" i="1"/>
  <c r="BD11" i="1"/>
  <c r="BE11" i="1"/>
  <c r="BD12" i="1"/>
  <c r="BE12" i="1"/>
  <c r="BD13" i="1"/>
  <c r="BE13" i="1"/>
  <c r="BC10" i="1"/>
  <c r="BC11" i="1"/>
  <c r="BC12" i="1"/>
  <c r="BC13" i="1"/>
  <c r="BC14" i="1"/>
  <c r="BB10" i="1"/>
  <c r="BB11" i="1"/>
  <c r="BB12" i="1"/>
  <c r="BB13" i="1"/>
  <c r="AZ10" i="1"/>
  <c r="AZ11" i="1"/>
  <c r="AZ12" i="1"/>
  <c r="AZ13" i="1"/>
  <c r="V12" i="1"/>
  <c r="BC15" i="1"/>
  <c r="BC21" i="1"/>
  <c r="BC22" i="1"/>
  <c r="BC23" i="1"/>
  <c r="BC29" i="1"/>
  <c r="BC30" i="1"/>
  <c r="BC31" i="1"/>
  <c r="BC37" i="1"/>
  <c r="BC38" i="1"/>
  <c r="BC39" i="1"/>
  <c r="BC45" i="1"/>
  <c r="BC46" i="1"/>
  <c r="BC47" i="1"/>
  <c r="BC53" i="1"/>
  <c r="BC54" i="1"/>
  <c r="BE14" i="1"/>
  <c r="BD20" i="1"/>
  <c r="BD21" i="1"/>
  <c r="BD22" i="1"/>
  <c r="BD28" i="1"/>
  <c r="BD29" i="1"/>
  <c r="BD30" i="1"/>
  <c r="BD36" i="1"/>
  <c r="BD37" i="1"/>
  <c r="BD41" i="1"/>
  <c r="BD44" i="1"/>
  <c r="BD49" i="1"/>
  <c r="BD52" i="1"/>
  <c r="AZ15" i="1"/>
  <c r="AZ16" i="1"/>
  <c r="BC16" i="1" s="1"/>
  <c r="AZ17" i="1"/>
  <c r="BC17" i="1" s="1"/>
  <c r="BE16" i="1" s="1"/>
  <c r="AZ18" i="1"/>
  <c r="BC18" i="1" s="1"/>
  <c r="AZ19" i="1"/>
  <c r="BC19" i="1" s="1"/>
  <c r="BE18" i="1" s="1"/>
  <c r="AZ20" i="1"/>
  <c r="BC20" i="1" s="1"/>
  <c r="BE19" i="1" s="1"/>
  <c r="AZ21" i="1"/>
  <c r="AZ22" i="1"/>
  <c r="AZ23" i="1"/>
  <c r="AZ24" i="1"/>
  <c r="BC24" i="1" s="1"/>
  <c r="AZ25" i="1"/>
  <c r="BC25" i="1" s="1"/>
  <c r="BE24" i="1" s="1"/>
  <c r="AZ26" i="1"/>
  <c r="BC26" i="1" s="1"/>
  <c r="AZ27" i="1"/>
  <c r="BC27" i="1" s="1"/>
  <c r="BE26" i="1" s="1"/>
  <c r="AZ28" i="1"/>
  <c r="BC28" i="1" s="1"/>
  <c r="BE27" i="1" s="1"/>
  <c r="AZ29" i="1"/>
  <c r="AZ30" i="1"/>
  <c r="AZ31" i="1"/>
  <c r="AZ32" i="1"/>
  <c r="BC32" i="1" s="1"/>
  <c r="BE31" i="1" s="1"/>
  <c r="AZ33" i="1"/>
  <c r="BC33" i="1" s="1"/>
  <c r="BE32" i="1" s="1"/>
  <c r="AZ34" i="1"/>
  <c r="BC34" i="1" s="1"/>
  <c r="AZ35" i="1"/>
  <c r="BC35" i="1" s="1"/>
  <c r="BE34" i="1" s="1"/>
  <c r="AZ36" i="1"/>
  <c r="BC36" i="1" s="1"/>
  <c r="BE35" i="1" s="1"/>
  <c r="AZ37" i="1"/>
  <c r="AZ38" i="1"/>
  <c r="AZ39" i="1"/>
  <c r="AZ40" i="1"/>
  <c r="BC40" i="1" s="1"/>
  <c r="BE39" i="1" s="1"/>
  <c r="AZ41" i="1"/>
  <c r="BC41" i="1" s="1"/>
  <c r="BE40" i="1" s="1"/>
  <c r="AZ42" i="1"/>
  <c r="BC42" i="1" s="1"/>
  <c r="AZ43" i="1"/>
  <c r="BC43" i="1" s="1"/>
  <c r="BE42" i="1" s="1"/>
  <c r="AZ44" i="1"/>
  <c r="BC44" i="1" s="1"/>
  <c r="BE43" i="1" s="1"/>
  <c r="AZ45" i="1"/>
  <c r="AZ46" i="1"/>
  <c r="AZ47" i="1"/>
  <c r="AZ48" i="1"/>
  <c r="BC48" i="1" s="1"/>
  <c r="AZ49" i="1"/>
  <c r="BC49" i="1" s="1"/>
  <c r="AZ50" i="1"/>
  <c r="BC50" i="1" s="1"/>
  <c r="AZ51" i="1"/>
  <c r="BC51" i="1" s="1"/>
  <c r="BE50" i="1" s="1"/>
  <c r="AZ52" i="1"/>
  <c r="BC52" i="1" s="1"/>
  <c r="BE51" i="1" s="1"/>
  <c r="AZ53" i="1"/>
  <c r="AZ54" i="1"/>
  <c r="AZ14" i="1"/>
  <c r="BB15" i="1"/>
  <c r="BD14" i="1" s="1"/>
  <c r="BB16" i="1"/>
  <c r="BD15" i="1" s="1"/>
  <c r="BB17" i="1"/>
  <c r="BD16" i="1" s="1"/>
  <c r="BB18" i="1"/>
  <c r="BD17" i="1" s="1"/>
  <c r="BB19" i="1"/>
  <c r="BD18" i="1" s="1"/>
  <c r="BB20" i="1"/>
  <c r="BB21" i="1"/>
  <c r="BB22" i="1"/>
  <c r="BB23" i="1"/>
  <c r="BB24" i="1"/>
  <c r="BD23" i="1" s="1"/>
  <c r="BB25" i="1"/>
  <c r="BD24" i="1" s="1"/>
  <c r="BB26" i="1"/>
  <c r="BD25" i="1" s="1"/>
  <c r="BB27" i="1"/>
  <c r="BD26" i="1" s="1"/>
  <c r="BB28" i="1"/>
  <c r="BB29" i="1"/>
  <c r="BB30" i="1"/>
  <c r="BB31" i="1"/>
  <c r="BB32" i="1"/>
  <c r="BD31" i="1" s="1"/>
  <c r="BB33" i="1"/>
  <c r="BD32" i="1" s="1"/>
  <c r="BB34" i="1"/>
  <c r="BD33" i="1" s="1"/>
  <c r="BB35" i="1"/>
  <c r="BD34" i="1" s="1"/>
  <c r="BB36" i="1"/>
  <c r="BB37" i="1"/>
  <c r="BB38" i="1"/>
  <c r="BB39" i="1"/>
  <c r="BD38" i="1" s="1"/>
  <c r="BB40" i="1"/>
  <c r="BD39" i="1" s="1"/>
  <c r="BB41" i="1"/>
  <c r="BB42" i="1"/>
  <c r="BB43" i="1"/>
  <c r="BD42" i="1" s="1"/>
  <c r="BB44" i="1"/>
  <c r="BB45" i="1"/>
  <c r="BB46" i="1"/>
  <c r="BD45" i="1" s="1"/>
  <c r="BB47" i="1"/>
  <c r="BD46" i="1" s="1"/>
  <c r="BB48" i="1"/>
  <c r="BD47" i="1" s="1"/>
  <c r="BB49" i="1"/>
  <c r="BB50" i="1"/>
  <c r="BB51" i="1"/>
  <c r="BD50" i="1" s="1"/>
  <c r="BB52" i="1"/>
  <c r="BB53" i="1"/>
  <c r="BB54" i="1"/>
  <c r="BD53" i="1" s="1"/>
  <c r="BB14" i="1"/>
  <c r="W10" i="1"/>
  <c r="Z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10" i="1"/>
  <c r="V10" i="1"/>
  <c r="Y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10" i="1"/>
  <c r="BD51" i="1" l="1"/>
  <c r="BD43" i="1"/>
  <c r="BD35" i="1"/>
  <c r="BD27" i="1"/>
  <c r="BD19" i="1"/>
  <c r="BD48" i="1"/>
  <c r="BD40" i="1"/>
  <c r="BE17" i="1"/>
  <c r="BE41" i="1"/>
  <c r="BE53" i="1"/>
  <c r="BE46" i="1"/>
  <c r="BE38" i="1"/>
  <c r="BE30" i="1"/>
  <c r="BE22" i="1"/>
  <c r="BE25" i="1"/>
  <c r="BE47" i="1"/>
  <c r="BE23" i="1"/>
  <c r="BE15" i="1"/>
  <c r="BE49" i="1"/>
  <c r="BE52" i="1"/>
  <c r="BE44" i="1"/>
  <c r="BE36" i="1"/>
  <c r="BE28" i="1"/>
  <c r="BE20" i="1"/>
  <c r="BE48" i="1"/>
  <c r="BE33" i="1"/>
  <c r="BE45" i="1"/>
  <c r="BE37" i="1"/>
  <c r="BE29" i="1"/>
  <c r="BE21" i="1"/>
  <c r="H36" i="1"/>
  <c r="H37" i="1"/>
  <c r="H38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</calcChain>
</file>

<file path=xl/sharedStrings.xml><?xml version="1.0" encoding="utf-8"?>
<sst xmlns="http://schemas.openxmlformats.org/spreadsheetml/2006/main" count="223" uniqueCount="104">
  <si>
    <t>July</t>
  </si>
  <si>
    <t>June</t>
  </si>
  <si>
    <t>May</t>
  </si>
  <si>
    <t>Apr</t>
  </si>
  <si>
    <t>Mar</t>
  </si>
  <si>
    <t>Feb</t>
  </si>
  <si>
    <t>Jan</t>
  </si>
  <si>
    <t>Dec</t>
  </si>
  <si>
    <t>Nov</t>
  </si>
  <si>
    <t>Oct</t>
  </si>
  <si>
    <t>Sep</t>
  </si>
  <si>
    <t>Aug</t>
  </si>
  <si>
    <t>Jul</t>
  </si>
  <si>
    <t>Jun</t>
  </si>
  <si>
    <t>PUR</t>
  </si>
  <si>
    <t>2015-7</t>
  </si>
  <si>
    <t>2015-6</t>
  </si>
  <si>
    <t>2015-5</t>
  </si>
  <si>
    <t>2015-4</t>
  </si>
  <si>
    <t>2015-3</t>
  </si>
  <si>
    <t>2015-2</t>
  </si>
  <si>
    <t>2015-1</t>
  </si>
  <si>
    <t>2014-12</t>
  </si>
  <si>
    <t>2014-11</t>
  </si>
  <si>
    <t>2014-10</t>
  </si>
  <si>
    <t>2014-9</t>
  </si>
  <si>
    <t>2014-8</t>
  </si>
  <si>
    <t>2014-7</t>
  </si>
  <si>
    <t>2014-6</t>
  </si>
  <si>
    <t>2014-5</t>
  </si>
  <si>
    <t>2014-4</t>
  </si>
  <si>
    <t>2014-3</t>
  </si>
  <si>
    <t>2014-2</t>
  </si>
  <si>
    <t>2014-1</t>
  </si>
  <si>
    <t>2013-12</t>
  </si>
  <si>
    <t>2013-11</t>
  </si>
  <si>
    <t>2013-10</t>
  </si>
  <si>
    <t>2013-9</t>
  </si>
  <si>
    <t>2013-8</t>
  </si>
  <si>
    <t>2013-7</t>
  </si>
  <si>
    <t>2013-6</t>
  </si>
  <si>
    <t>2013-5</t>
  </si>
  <si>
    <t>2013-4</t>
  </si>
  <si>
    <t>2013-3</t>
  </si>
  <si>
    <t>2013-2</t>
  </si>
  <si>
    <t>2013-1</t>
  </si>
  <si>
    <t>CAI</t>
  </si>
  <si>
    <t>Closing Rate</t>
  </si>
  <si>
    <t>Closing Rate-S</t>
  </si>
  <si>
    <t>AllLoan</t>
  </si>
  <si>
    <t>2015-07-01</t>
  </si>
  <si>
    <t>2015-06-01</t>
  </si>
  <si>
    <t>2015-05-01</t>
  </si>
  <si>
    <t>2015-04-01</t>
  </si>
  <si>
    <t>2015-03-01</t>
  </si>
  <si>
    <t>2015-02-01</t>
  </si>
  <si>
    <t>2015-01-01</t>
  </si>
  <si>
    <t>2014-12-01</t>
  </si>
  <si>
    <t>2014-11-01</t>
  </si>
  <si>
    <t>2014-10-01</t>
  </si>
  <si>
    <t>2014-09-01</t>
  </si>
  <si>
    <t>2014-08-01</t>
  </si>
  <si>
    <t>2014-07-01</t>
  </si>
  <si>
    <t>2014-06-01</t>
  </si>
  <si>
    <t>2014-05-01</t>
  </si>
  <si>
    <t>2014-04-01</t>
  </si>
  <si>
    <t>2014-03-01</t>
  </si>
  <si>
    <t>2014-02-01</t>
  </si>
  <si>
    <t>2014-01-01</t>
  </si>
  <si>
    <t>2013-12-01</t>
  </si>
  <si>
    <t>2013-11-01</t>
  </si>
  <si>
    <t>2013-10-01</t>
  </si>
  <si>
    <t>2013-09-01</t>
  </si>
  <si>
    <t>2013-08-01</t>
  </si>
  <si>
    <t>2013-07-01</t>
  </si>
  <si>
    <t>2013-06-01</t>
  </si>
  <si>
    <t>2013-05-01</t>
  </si>
  <si>
    <t>2013-04-01</t>
  </si>
  <si>
    <t>2013-03-01</t>
  </si>
  <si>
    <t>2013-02-01</t>
  </si>
  <si>
    <t>2013-01-01</t>
  </si>
  <si>
    <t>2012-12-01</t>
  </si>
  <si>
    <t>2012-11-01</t>
  </si>
  <si>
    <t>2012-10-01</t>
  </si>
  <si>
    <t>2012-09-01</t>
  </si>
  <si>
    <t>2012-08-01</t>
  </si>
  <si>
    <t>2012-07-01</t>
  </si>
  <si>
    <t>2012-06-01</t>
  </si>
  <si>
    <t>2012-05-01</t>
  </si>
  <si>
    <t>2012-04-01</t>
  </si>
  <si>
    <t>2012-03-01</t>
  </si>
  <si>
    <t>2012-02-01</t>
  </si>
  <si>
    <t>2012-01-01</t>
  </si>
  <si>
    <t>Credit Availability Index</t>
  </si>
  <si>
    <t>Closing Rate %</t>
  </si>
  <si>
    <t>Date</t>
  </si>
  <si>
    <t>Close Rate</t>
  </si>
  <si>
    <t>Corr</t>
  </si>
  <si>
    <t>Slope</t>
  </si>
  <si>
    <t>CAI2</t>
  </si>
  <si>
    <t>CloseRate</t>
  </si>
  <si>
    <t>CumDflt</t>
  </si>
  <si>
    <t>CAI New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</si>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</sst>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7">
    <numFmt numFmtId="5" formatCode="&quot;$&quot;#,##0_);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\£\ #,##0_);[Red]\(\£\ #,##0\)"/>
    <numFmt numFmtId="166" formatCode="\¥\ #,##0_);[Red]\(\¥\ #,##0\)"/>
    <numFmt numFmtId="167" formatCode="\•\ \ @"/>
    <numFmt numFmtId="168" formatCode="_(&quot;$&quot;* #,##0_);_(&quot;$&quot;* \(#,##0.0\);_(&quot;$&quot;* &quot;-&quot;??_);_(@_)"/>
    <numFmt numFmtId="169" formatCode="&quot;$&quot;#,##0.000"/>
    <numFmt numFmtId="170" formatCode="&quot;$&quot;#,##0.000000_);\(&quot;$&quot;#,##0.000000\)"/>
    <numFmt numFmtId="171" formatCode="#,##0.0_);[Red]\(&quot;$&quot;#,##0.0\)"/>
    <numFmt numFmtId="172" formatCode="0.000_)"/>
    <numFmt numFmtId="173" formatCode="\ \ _•\–\ \ \ \ @"/>
    <numFmt numFmtId="174" formatCode="0.00&quot;%&quot;"/>
    <numFmt numFmtId="175" formatCode="0&quot;%&quot;"/>
    <numFmt numFmtId="176" formatCode="mmmm\ d\,\ yyyy"/>
    <numFmt numFmtId="177" formatCode="0.000"/>
    <numFmt numFmtId="178" formatCode="0.0000000"/>
    <numFmt numFmtId="179" formatCode="_([$€-2]* #,##0.00_);_([$€-2]* \(#,##0.00\);_([$€-2]* &quot;-&quot;??_)"/>
    <numFmt numFmtId="180" formatCode="dd\-mmm\-yy\ hh:mm:ss"/>
    <numFmt numFmtId="181" formatCode="0.00_)"/>
    <numFmt numFmtId="182" formatCode="0.0#\%;\-0.0#\%"/>
    <numFmt numFmtId="183" formatCode="#,##0.0\ ;\(#,##0.0\)"/>
    <numFmt numFmtId="184" formatCode="#,##0\ \ \ ;\(#,##0\)\ \ "/>
    <numFmt numFmtId="185" formatCode="0.0000_)"/>
    <numFmt numFmtId="186" formatCode="0.000;\-0.000"/>
    <numFmt numFmtId="187" formatCode="0.00;\-0.00"/>
    <numFmt numFmtId="188" formatCode="#,##0.0_);\(#,##0.0\)"/>
    <numFmt numFmtId="189" formatCode="mm/dd/yy"/>
    <numFmt numFmtId="190" formatCode="#,###\ &quot;Months&quot;"/>
    <numFmt numFmtId="191" formatCode="##########.###"/>
    <numFmt numFmtId="192" formatCode="0.0#%"/>
    <numFmt numFmtId="193" formatCode="0.0;\-0.0"/>
    <numFmt numFmtId="194" formatCode="0.0000"/>
    <numFmt numFmtId="195" formatCode="0.00000"/>
    <numFmt numFmtId="198" formatCode="_(* #,##0_);_(* \(#,##0\);_(* &quot;-&quot;??_);_(@_)"/>
  </numFmts>
  <fonts count="1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0"/>
      <color theme="4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2"/>
      <name val="Times New Roman"/>
      <family val="1"/>
    </font>
    <font>
      <sz val="10"/>
      <color indexed="8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9"/>
      <name val="Calibri"/>
      <family val="2"/>
    </font>
    <font>
      <sz val="10"/>
      <color indexed="9"/>
      <name val="Arial"/>
      <family val="2"/>
    </font>
    <font>
      <sz val="11"/>
      <color indexed="9"/>
      <name val="Calibri"/>
      <family val="2"/>
    </font>
    <font>
      <sz val="10"/>
      <color indexed="20"/>
      <name val="Calibri"/>
      <family val="2"/>
    </font>
    <font>
      <sz val="10"/>
      <color indexed="10"/>
      <name val="Arial"/>
      <family val="2"/>
    </font>
    <font>
      <sz val="11"/>
      <color indexed="20"/>
      <name val="Calibri"/>
      <family val="2"/>
    </font>
    <font>
      <b/>
      <sz val="10"/>
      <color indexed="8"/>
      <name val="Arial"/>
      <family val="2"/>
    </font>
    <font>
      <sz val="8"/>
      <color indexed="12"/>
      <name val="Tms Rmn"/>
    </font>
    <font>
      <b/>
      <sz val="8"/>
      <color indexed="9"/>
      <name val="Arial"/>
      <family val="2"/>
    </font>
    <font>
      <b/>
      <sz val="9"/>
      <color indexed="12"/>
      <name val="Arial"/>
      <family val="2"/>
    </font>
    <font>
      <sz val="12"/>
      <name val="Tms Rmn"/>
    </font>
    <font>
      <b/>
      <sz val="12"/>
      <name val="Times New Roman"/>
      <family val="1"/>
    </font>
    <font>
      <sz val="9"/>
      <name val="Arial"/>
      <family val="2"/>
    </font>
    <font>
      <sz val="10"/>
      <name val="Century Schoolbook"/>
      <family val="1"/>
    </font>
    <font>
      <b/>
      <sz val="10"/>
      <color indexed="52"/>
      <name val="Calibri"/>
      <family val="2"/>
    </font>
    <font>
      <b/>
      <sz val="10"/>
      <color indexed="52"/>
      <name val="Arial"/>
      <family val="2"/>
    </font>
    <font>
      <b/>
      <sz val="11"/>
      <color indexed="52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sz val="10"/>
      <color rgb="FFFA7D00"/>
      <name val="Calibri"/>
      <family val="2"/>
      <scheme val="minor"/>
    </font>
    <font>
      <sz val="10"/>
      <color theme="1" tint="0.499984740745262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b/>
      <sz val="10"/>
      <color indexed="9"/>
      <name val="Calibri"/>
      <family val="2"/>
    </font>
    <font>
      <b/>
      <sz val="10"/>
      <color indexed="9"/>
      <name val="Arial"/>
      <family val="2"/>
    </font>
    <font>
      <b/>
      <sz val="11"/>
      <color indexed="9"/>
      <name val="Calibri"/>
      <family val="2"/>
    </font>
    <font>
      <sz val="8"/>
      <name val="Arial"/>
      <family val="2"/>
    </font>
    <font>
      <sz val="11"/>
      <name val="Tms Rmn"/>
      <family val="1"/>
    </font>
    <font>
      <sz val="11"/>
      <name val="Tms Rmn"/>
    </font>
    <font>
      <sz val="10"/>
      <name val="Helv"/>
    </font>
    <font>
      <sz val="10"/>
      <name val="MS Serif"/>
      <family val="1"/>
    </font>
    <font>
      <b/>
      <sz val="8"/>
      <name val="Arial"/>
      <family val="2"/>
    </font>
    <font>
      <sz val="11"/>
      <color indexed="12"/>
      <name val="Book Antiqua"/>
      <family val="1"/>
    </font>
    <font>
      <sz val="10"/>
      <name val="Times New Roman"/>
      <family val="1"/>
    </font>
    <font>
      <b/>
      <sz val="10"/>
      <name val="Arial"/>
      <family val="2"/>
    </font>
    <font>
      <b/>
      <i/>
      <sz val="10"/>
      <name val="Arial"/>
      <family val="2"/>
    </font>
    <font>
      <sz val="10"/>
      <name val="MS Sans Serif"/>
      <family val="2"/>
    </font>
    <font>
      <sz val="10"/>
      <color indexed="16"/>
      <name val="MS Serif"/>
      <family val="1"/>
    </font>
    <font>
      <b/>
      <sz val="9.5"/>
      <color indexed="10"/>
      <name val="Arial"/>
      <family val="2"/>
    </font>
    <font>
      <i/>
      <sz val="10"/>
      <color indexed="23"/>
      <name val="Calibri"/>
      <family val="2"/>
    </font>
    <font>
      <i/>
      <sz val="10"/>
      <color indexed="23"/>
      <name val="Arial"/>
      <family val="2"/>
    </font>
    <font>
      <i/>
      <sz val="11"/>
      <color indexed="23"/>
      <name val="Calibri"/>
      <family val="2"/>
    </font>
    <font>
      <sz val="10"/>
      <color indexed="17"/>
      <name val="Calibri"/>
      <family val="2"/>
    </font>
    <font>
      <sz val="10"/>
      <color indexed="17"/>
      <name val="Arial"/>
      <family val="2"/>
    </font>
    <font>
      <sz val="11"/>
      <color indexed="17"/>
      <name val="Calibri"/>
      <family val="2"/>
    </font>
    <font>
      <b/>
      <sz val="9"/>
      <color indexed="23"/>
      <name val="Arial"/>
      <family val="2"/>
    </font>
    <font>
      <b/>
      <sz val="12"/>
      <name val="Arial"/>
      <family val="2"/>
    </font>
    <font>
      <b/>
      <sz val="11"/>
      <name val="Book Antiqua"/>
      <family val="1"/>
    </font>
    <font>
      <b/>
      <sz val="15"/>
      <color indexed="62"/>
      <name val="Calibri"/>
      <family val="2"/>
    </font>
    <font>
      <b/>
      <sz val="15"/>
      <color indexed="56"/>
      <name val="Arial"/>
      <family val="2"/>
    </font>
    <font>
      <b/>
      <sz val="10"/>
      <name val="Times New Roman"/>
      <family val="1"/>
    </font>
    <font>
      <b/>
      <sz val="18"/>
      <name val="Arial"/>
      <family val="2"/>
    </font>
    <font>
      <b/>
      <sz val="15"/>
      <color indexed="56"/>
      <name val="Calibri"/>
      <family val="2"/>
    </font>
    <font>
      <b/>
      <sz val="13"/>
      <color indexed="62"/>
      <name val="Calibri"/>
      <family val="2"/>
    </font>
    <font>
      <b/>
      <sz val="13"/>
      <color indexed="56"/>
      <name val="Arial"/>
      <family val="2"/>
    </font>
    <font>
      <b/>
      <sz val="13"/>
      <color indexed="56"/>
      <name val="Calibri"/>
      <family val="2"/>
    </font>
    <font>
      <b/>
      <sz val="11"/>
      <color indexed="62"/>
      <name val="Calibri"/>
      <family val="2"/>
    </font>
    <font>
      <b/>
      <sz val="11"/>
      <color indexed="56"/>
      <name val="Arial"/>
      <family val="2"/>
    </font>
    <font>
      <b/>
      <sz val="11"/>
      <color indexed="56"/>
      <name val="Calibri"/>
      <family val="2"/>
    </font>
    <font>
      <b/>
      <sz val="16"/>
      <color indexed="8"/>
      <name val="Arial"/>
      <family val="2"/>
    </font>
    <font>
      <u/>
      <sz val="9"/>
      <color theme="10"/>
      <name val="Arial"/>
      <family val="2"/>
    </font>
    <font>
      <sz val="10"/>
      <color indexed="12"/>
      <name val="MS Sans Serif"/>
      <family val="2"/>
    </font>
    <font>
      <sz val="10"/>
      <color indexed="56"/>
      <name val="Arial"/>
      <family val="2"/>
    </font>
    <font>
      <sz val="10"/>
      <color indexed="12"/>
      <name val="Arial"/>
      <family val="2"/>
    </font>
    <font>
      <b/>
      <sz val="10"/>
      <name val="Book Antiqua"/>
      <family val="1"/>
    </font>
    <font>
      <sz val="10"/>
      <color indexed="52"/>
      <name val="Calibri"/>
      <family val="2"/>
    </font>
    <font>
      <sz val="10"/>
      <color indexed="52"/>
      <name val="Arial"/>
      <family val="2"/>
    </font>
    <font>
      <sz val="11"/>
      <color indexed="52"/>
      <name val="Calibri"/>
      <family val="2"/>
    </font>
    <font>
      <sz val="10"/>
      <color indexed="60"/>
      <name val="Calibri"/>
      <family val="2"/>
    </font>
    <font>
      <sz val="10"/>
      <color indexed="60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sz val="9"/>
      <color theme="1"/>
      <name val="Arial"/>
      <family val="2"/>
    </font>
    <font>
      <b/>
      <sz val="11"/>
      <name val="Arial"/>
      <family val="2"/>
    </font>
    <font>
      <b/>
      <i/>
      <sz val="8"/>
      <name val="Book Antiqua"/>
      <family val="1"/>
    </font>
    <font>
      <sz val="10"/>
      <name val="Book Antiqua"/>
      <family val="1"/>
    </font>
    <font>
      <b/>
      <sz val="9"/>
      <color indexed="52"/>
      <name val="Arial"/>
      <family val="2"/>
    </font>
    <font>
      <b/>
      <sz val="10"/>
      <color indexed="63"/>
      <name val="Calibri"/>
      <family val="2"/>
    </font>
    <font>
      <b/>
      <sz val="10"/>
      <color indexed="63"/>
      <name val="Arial"/>
      <family val="2"/>
    </font>
    <font>
      <b/>
      <sz val="11"/>
      <color indexed="63"/>
      <name val="Calibri"/>
      <family val="2"/>
    </font>
    <font>
      <b/>
      <i/>
      <sz val="10"/>
      <color indexed="8"/>
      <name val="Arial"/>
      <family val="2"/>
    </font>
    <font>
      <b/>
      <sz val="11"/>
      <color indexed="21"/>
      <name val="Arial"/>
      <family val="2"/>
    </font>
    <font>
      <b/>
      <sz val="22"/>
      <color indexed="21"/>
      <name val="Times New Roman"/>
      <family val="1"/>
    </font>
    <font>
      <sz val="9"/>
      <name val="Times New Roman"/>
      <family val="1"/>
    </font>
    <font>
      <b/>
      <sz val="9"/>
      <name val="Arial"/>
      <family val="2"/>
    </font>
    <font>
      <b/>
      <sz val="10"/>
      <color indexed="8"/>
      <name val="Arial Narrow"/>
      <family val="2"/>
    </font>
    <font>
      <b/>
      <sz val="10"/>
      <name val="MS Sans Serif"/>
      <family val="2"/>
    </font>
    <font>
      <sz val="8"/>
      <name val="Helv"/>
    </font>
    <font>
      <b/>
      <sz val="14"/>
      <name val="Arial Narrow"/>
      <family val="2"/>
    </font>
    <font>
      <sz val="9"/>
      <color indexed="10"/>
      <name val="Arial"/>
      <family val="2"/>
    </font>
    <font>
      <sz val="9"/>
      <color indexed="8"/>
      <name val="Times New Roman"/>
      <family val="1"/>
    </font>
    <font>
      <b/>
      <sz val="8"/>
      <color indexed="12"/>
      <name val="Arial"/>
      <family val="2"/>
    </font>
    <font>
      <b/>
      <sz val="8"/>
      <color indexed="8"/>
      <name val="Helv"/>
    </font>
    <font>
      <b/>
      <i/>
      <sz val="9"/>
      <name val="Arial"/>
      <family val="2"/>
    </font>
    <font>
      <sz val="9"/>
      <color indexed="9"/>
      <name val="Arial"/>
      <family val="2"/>
    </font>
    <font>
      <b/>
      <u/>
      <sz val="8"/>
      <name val="Arial"/>
      <family val="2"/>
    </font>
    <font>
      <sz val="8"/>
      <name val="Book Antiqua"/>
      <family val="1"/>
    </font>
    <font>
      <sz val="10"/>
      <name val="Courier New"/>
      <family val="3"/>
    </font>
    <font>
      <sz val="10"/>
      <color indexed="12"/>
      <name val="Courier New"/>
      <family val="3"/>
    </font>
    <font>
      <b/>
      <u/>
      <sz val="9"/>
      <name val="Arial"/>
      <family val="2"/>
    </font>
    <font>
      <b/>
      <sz val="18"/>
      <color indexed="62"/>
      <name val="Cambria"/>
      <family val="2"/>
    </font>
    <font>
      <b/>
      <sz val="18"/>
      <color indexed="56"/>
      <name val="Cambria"/>
      <family val="2"/>
    </font>
    <font>
      <b/>
      <sz val="10"/>
      <color indexed="8"/>
      <name val="Calibri"/>
      <family val="2"/>
    </font>
    <font>
      <b/>
      <sz val="11"/>
      <color indexed="8"/>
      <name val="Calibri"/>
      <family val="2"/>
    </font>
    <font>
      <b/>
      <sz val="16"/>
      <color indexed="10"/>
      <name val="Arial"/>
      <family val="2"/>
    </font>
    <font>
      <sz val="10"/>
      <color indexed="10"/>
      <name val="Calibri"/>
      <family val="2"/>
    </font>
    <font>
      <sz val="10"/>
      <color indexed="53"/>
      <name val="Arial"/>
      <family val="2"/>
    </font>
    <font>
      <sz val="11"/>
      <color indexed="10"/>
      <name val="Calibri"/>
      <family val="2"/>
    </font>
    <font>
      <sz val="10"/>
      <color theme="6" tint="-0.24994659260841701"/>
      <name val="Calibri"/>
      <family val="2"/>
      <scheme val="minor"/>
    </font>
    <font>
      <sz val="11"/>
      <color theme="5"/>
      <name val="Calibri"/>
      <family val="2"/>
      <scheme val="minor"/>
    </font>
    <font>
      <sz val="10"/>
      <color theme="2" tint="-0.499984740745262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sz val="11"/>
      <color theme="7" tint="-0.24994659260841701"/>
      <name val="Calibri"/>
      <family val="2"/>
      <scheme val="minor"/>
    </font>
    <font>
      <sz val="11"/>
      <color theme="6" tint="-0.24994659260841701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rgb="FFF6F9FC"/>
        <bgColor indexed="64"/>
      </patternFill>
    </fill>
    <fill>
      <patternFill patternType="solid">
        <fgColor rgb="FFEFEBE4"/>
        <bgColor indexed="64"/>
      </patternFill>
    </fill>
    <fill>
      <patternFill patternType="solid">
        <fgColor indexed="47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9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13"/>
      </patternFill>
    </fill>
    <fill>
      <patternFill patternType="solid">
        <fgColor indexed="22"/>
      </patternFill>
    </fill>
    <fill>
      <patternFill patternType="solid">
        <fgColor indexed="40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15"/>
      </patternFill>
    </fill>
    <fill>
      <patternFill patternType="solid">
        <fgColor indexed="30"/>
      </patternFill>
    </fill>
    <fill>
      <patternFill patternType="solid">
        <fgColor indexed="18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5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1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3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8"/>
      </patternFill>
    </fill>
    <fill>
      <patternFill patternType="solid">
        <fgColor rgb="FFEFF3E5"/>
        <bgColor indexed="64"/>
      </patternFill>
    </fill>
    <fill>
      <patternFill patternType="solid">
        <fgColor rgb="FFF2F1EA"/>
        <bgColor indexed="64"/>
      </patternFill>
    </fill>
    <fill>
      <patternFill patternType="solid">
        <fgColor rgb="FFE5F4F7"/>
        <bgColor indexed="64"/>
      </patternFill>
    </fill>
    <fill>
      <patternFill patternType="solid">
        <fgColor theme="8" tint="0.79998168889431442"/>
        <bgColor indexed="64"/>
      </patternFill>
    </fill>
  </fills>
  <borders count="5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hair">
        <color rgb="FF7F7F7F"/>
      </top>
      <bottom style="hair">
        <color rgb="FF7F7F7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hair">
        <color rgb="FF3F3F3F"/>
      </top>
      <bottom style="hair">
        <color rgb="FF3F3F3F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15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15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tted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587">
    <xf numFmtId="0" fontId="0" fillId="0" borderId="0"/>
    <xf numFmtId="0" fontId="4" fillId="6" borderId="7" applyNumberFormat="0"/>
    <xf numFmtId="0" fontId="6" fillId="0" borderId="0" applyNumberFormat="0" applyFill="0" applyBorder="0" applyAlignment="0" applyProtection="0">
      <alignment horizontal="left" wrapText="1"/>
    </xf>
    <xf numFmtId="0" fontId="6" fillId="0" borderId="0" applyNumberFormat="0" applyFill="0" applyBorder="0" applyAlignment="0" applyProtection="0">
      <alignment horizontal="left" wrapText="1"/>
    </xf>
    <xf numFmtId="0" fontId="6" fillId="0" borderId="0" applyNumberFormat="0" applyFill="0" applyBorder="0" applyAlignment="0" applyProtection="0">
      <alignment horizontal="left" wrapText="1"/>
    </xf>
    <xf numFmtId="0" fontId="6" fillId="0" borderId="0" applyNumberFormat="0" applyFill="0" applyBorder="0" applyAlignment="0" applyProtection="0">
      <alignment horizontal="left" wrapText="1"/>
    </xf>
    <xf numFmtId="165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8" fillId="8" borderId="0" applyNumberFormat="0" applyBorder="0" applyAlignment="0" applyProtection="0"/>
    <xf numFmtId="0" fontId="9" fillId="8" borderId="0" applyNumberFormat="0" applyBorder="0" applyAlignment="0" applyProtection="0"/>
    <xf numFmtId="0" fontId="10" fillId="9" borderId="0" applyNumberFormat="0" applyBorder="0" applyAlignment="0" applyProtection="0"/>
    <xf numFmtId="0" fontId="8" fillId="10" borderId="0" applyNumberFormat="0" applyBorder="0" applyAlignment="0" applyProtection="0"/>
    <xf numFmtId="0" fontId="9" fillId="10" borderId="0" applyNumberFormat="0" applyBorder="0" applyAlignment="0" applyProtection="0"/>
    <xf numFmtId="0" fontId="10" fillId="11" borderId="0" applyNumberFormat="0" applyBorder="0" applyAlignment="0" applyProtection="0"/>
    <xf numFmtId="0" fontId="8" fillId="12" borderId="0" applyNumberFormat="0" applyBorder="0" applyAlignment="0" applyProtection="0"/>
    <xf numFmtId="0" fontId="9" fillId="11" borderId="0" applyNumberFormat="0" applyBorder="0" applyAlignment="0" applyProtection="0"/>
    <xf numFmtId="0" fontId="10" fillId="13" borderId="0" applyNumberFormat="0" applyBorder="0" applyAlignment="0" applyProtection="0"/>
    <xf numFmtId="0" fontId="8" fillId="14" borderId="0" applyNumberFormat="0" applyBorder="0" applyAlignment="0" applyProtection="0"/>
    <xf numFmtId="0" fontId="9" fillId="15" borderId="0" applyNumberFormat="0" applyBorder="0" applyAlignment="0" applyProtection="0"/>
    <xf numFmtId="0" fontId="10" fillId="14" borderId="0" applyNumberFormat="0" applyBorder="0" applyAlignment="0" applyProtection="0"/>
    <xf numFmtId="0" fontId="8" fillId="8" borderId="0" applyNumberFormat="0" applyBorder="0" applyAlignment="0" applyProtection="0"/>
    <xf numFmtId="0" fontId="9" fillId="8" borderId="0" applyNumberFormat="0" applyBorder="0" applyAlignment="0" applyProtection="0"/>
    <xf numFmtId="0" fontId="10" fillId="8" borderId="0" applyNumberFormat="0" applyBorder="0" applyAlignment="0" applyProtection="0"/>
    <xf numFmtId="0" fontId="8" fillId="16" borderId="0" applyNumberFormat="0" applyBorder="0" applyAlignment="0" applyProtection="0"/>
    <xf numFmtId="0" fontId="9" fillId="17" borderId="0" applyNumberFormat="0" applyBorder="0" applyAlignment="0" applyProtection="0"/>
    <xf numFmtId="0" fontId="10" fillId="18" borderId="0" applyNumberFormat="0" applyBorder="0" applyAlignment="0" applyProtection="0"/>
    <xf numFmtId="0" fontId="8" fillId="19" borderId="0" applyNumberFormat="0" applyBorder="0" applyAlignment="0" applyProtection="0"/>
    <xf numFmtId="0" fontId="9" fillId="19" borderId="0" applyNumberFormat="0" applyBorder="0" applyAlignment="0" applyProtection="0"/>
    <xf numFmtId="0" fontId="10" fillId="19" borderId="0" applyNumberFormat="0" applyBorder="0" applyAlignment="0" applyProtection="0"/>
    <xf numFmtId="0" fontId="8" fillId="10" borderId="0" applyNumberFormat="0" applyBorder="0" applyAlignment="0" applyProtection="0"/>
    <xf numFmtId="0" fontId="9" fillId="13" borderId="0" applyNumberFormat="0" applyBorder="0" applyAlignment="0" applyProtection="0"/>
    <xf numFmtId="0" fontId="10" fillId="20" borderId="0" applyNumberFormat="0" applyBorder="0" applyAlignment="0" applyProtection="0"/>
    <xf numFmtId="0" fontId="8" fillId="16" borderId="0" applyNumberFormat="0" applyBorder="0" applyAlignment="0" applyProtection="0"/>
    <xf numFmtId="0" fontId="9" fillId="21" borderId="0" applyNumberFormat="0" applyBorder="0" applyAlignment="0" applyProtection="0"/>
    <xf numFmtId="0" fontId="10" fillId="13" borderId="0" applyNumberFormat="0" applyBorder="0" applyAlignment="0" applyProtection="0"/>
    <xf numFmtId="0" fontId="8" fillId="18" borderId="0" applyNumberFormat="0" applyBorder="0" applyAlignment="0" applyProtection="0"/>
    <xf numFmtId="0" fontId="9" fillId="15" borderId="0" applyNumberFormat="0" applyBorder="0" applyAlignment="0" applyProtection="0"/>
    <xf numFmtId="0" fontId="10" fillId="18" borderId="0" applyNumberFormat="0" applyBorder="0" applyAlignment="0" applyProtection="0"/>
    <xf numFmtId="0" fontId="8" fillId="8" borderId="0" applyNumberFormat="0" applyBorder="0" applyAlignment="0" applyProtection="0"/>
    <xf numFmtId="0" fontId="9" fillId="8" borderId="0" applyNumberFormat="0" applyBorder="0" applyAlignment="0" applyProtection="0"/>
    <xf numFmtId="0" fontId="10" fillId="22" borderId="0" applyNumberFormat="0" applyBorder="0" applyAlignment="0" applyProtection="0"/>
    <xf numFmtId="0" fontId="11" fillId="23" borderId="0" applyNumberFormat="0" applyBorder="0" applyAlignment="0" applyProtection="0"/>
    <xf numFmtId="0" fontId="12" fillId="24" borderId="0" applyNumberFormat="0" applyBorder="0" applyAlignment="0" applyProtection="0"/>
    <xf numFmtId="0" fontId="13" fillId="25" borderId="0" applyNumberFormat="0" applyBorder="0" applyAlignment="0" applyProtection="0"/>
    <xf numFmtId="0" fontId="11" fillId="19" borderId="0" applyNumberFormat="0" applyBorder="0" applyAlignment="0" applyProtection="0"/>
    <xf numFmtId="0" fontId="12" fillId="19" borderId="0" applyNumberFormat="0" applyBorder="0" applyAlignment="0" applyProtection="0"/>
    <xf numFmtId="0" fontId="13" fillId="19" borderId="0" applyNumberFormat="0" applyBorder="0" applyAlignment="0" applyProtection="0"/>
    <xf numFmtId="0" fontId="11" fillId="10" borderId="0" applyNumberFormat="0" applyBorder="0" applyAlignment="0" applyProtection="0"/>
    <xf numFmtId="0" fontId="12" fillId="13" borderId="0" applyNumberFormat="0" applyBorder="0" applyAlignment="0" applyProtection="0"/>
    <xf numFmtId="0" fontId="13" fillId="20" borderId="0" applyNumberFormat="0" applyBorder="0" applyAlignment="0" applyProtection="0"/>
    <xf numFmtId="0" fontId="11" fillId="16" borderId="0" applyNumberFormat="0" applyBorder="0" applyAlignment="0" applyProtection="0"/>
    <xf numFmtId="0" fontId="12" fillId="26" borderId="0" applyNumberFormat="0" applyBorder="0" applyAlignment="0" applyProtection="0"/>
    <xf numFmtId="0" fontId="13" fillId="27" borderId="0" applyNumberFormat="0" applyBorder="0" applyAlignment="0" applyProtection="0"/>
    <xf numFmtId="0" fontId="11" fillId="23" borderId="0" applyNumberFormat="0" applyBorder="0" applyAlignment="0" applyProtection="0"/>
    <xf numFmtId="0" fontId="12" fillId="24" borderId="0" applyNumberFormat="0" applyBorder="0" applyAlignment="0" applyProtection="0"/>
    <xf numFmtId="0" fontId="13" fillId="23" borderId="0" applyNumberFormat="0" applyBorder="0" applyAlignment="0" applyProtection="0"/>
    <xf numFmtId="0" fontId="11" fillId="8" borderId="0" applyNumberFormat="0" applyBorder="0" applyAlignment="0" applyProtection="0"/>
    <xf numFmtId="0" fontId="12" fillId="8" borderId="0" applyNumberFormat="0" applyBorder="0" applyAlignment="0" applyProtection="0"/>
    <xf numFmtId="0" fontId="13" fillId="28" borderId="0" applyNumberFormat="0" applyBorder="0" applyAlignment="0" applyProtection="0"/>
    <xf numFmtId="0" fontId="11" fillId="23" borderId="0" applyNumberFormat="0" applyBorder="0" applyAlignment="0" applyProtection="0"/>
    <xf numFmtId="0" fontId="12" fillId="29" borderId="0" applyNumberFormat="0" applyBorder="0" applyAlignment="0" applyProtection="0"/>
    <xf numFmtId="0" fontId="13" fillId="30" borderId="0" applyNumberFormat="0" applyBorder="0" applyAlignment="0" applyProtection="0"/>
    <xf numFmtId="0" fontId="11" fillId="31" borderId="0" applyNumberFormat="0" applyBorder="0" applyAlignment="0" applyProtection="0"/>
    <xf numFmtId="0" fontId="12" fillId="32" borderId="0" applyNumberFormat="0" applyBorder="0" applyAlignment="0" applyProtection="0"/>
    <xf numFmtId="0" fontId="13" fillId="31" borderId="0" applyNumberFormat="0" applyBorder="0" applyAlignment="0" applyProtection="0"/>
    <xf numFmtId="0" fontId="11" fillId="33" borderId="0" applyNumberFormat="0" applyBorder="0" applyAlignment="0" applyProtection="0"/>
    <xf numFmtId="0" fontId="12" fillId="32" borderId="0" applyNumberFormat="0" applyBorder="0" applyAlignment="0" applyProtection="0"/>
    <xf numFmtId="0" fontId="13" fillId="33" borderId="0" applyNumberFormat="0" applyBorder="0" applyAlignment="0" applyProtection="0"/>
    <xf numFmtId="0" fontId="11" fillId="29" borderId="0" applyNumberFormat="0" applyBorder="0" applyAlignment="0" applyProtection="0"/>
    <xf numFmtId="0" fontId="12" fillId="29" borderId="0" applyNumberFormat="0" applyBorder="0" applyAlignment="0" applyProtection="0"/>
    <xf numFmtId="0" fontId="13" fillId="27" borderId="0" applyNumberFormat="0" applyBorder="0" applyAlignment="0" applyProtection="0"/>
    <xf numFmtId="0" fontId="11" fillId="23" borderId="0" applyNumberFormat="0" applyBorder="0" applyAlignment="0" applyProtection="0"/>
    <xf numFmtId="0" fontId="12" fillId="33" borderId="0" applyNumberFormat="0" applyBorder="0" applyAlignment="0" applyProtection="0"/>
    <xf numFmtId="0" fontId="13" fillId="23" borderId="0" applyNumberFormat="0" applyBorder="0" applyAlignment="0" applyProtection="0"/>
    <xf numFmtId="0" fontId="11" fillId="34" borderId="0" applyNumberFormat="0" applyBorder="0" applyAlignment="0" applyProtection="0"/>
    <xf numFmtId="0" fontId="12" fillId="34" borderId="0" applyNumberFormat="0" applyBorder="0" applyAlignment="0" applyProtection="0"/>
    <xf numFmtId="0" fontId="13" fillId="34" borderId="0" applyNumberFormat="0" applyBorder="0" applyAlignment="0" applyProtection="0"/>
    <xf numFmtId="0" fontId="6" fillId="0" borderId="0"/>
    <xf numFmtId="17" fontId="6" fillId="0" borderId="0" applyFont="0" applyFill="0" applyBorder="0" applyProtection="0">
      <alignment horizontal="left"/>
    </xf>
    <xf numFmtId="0" fontId="6" fillId="0" borderId="0" applyFont="0" applyFill="0" applyBorder="0" applyProtection="0">
      <alignment horizontal="left"/>
    </xf>
    <xf numFmtId="0" fontId="14" fillId="9" borderId="0" applyNumberFormat="0" applyBorder="0" applyAlignment="0" applyProtection="0"/>
    <xf numFmtId="0" fontId="15" fillId="9" borderId="0" applyNumberFormat="0" applyBorder="0" applyAlignment="0" applyProtection="0"/>
    <xf numFmtId="0" fontId="16" fillId="9" borderId="0" applyNumberFormat="0" applyBorder="0" applyAlignment="0" applyProtection="0"/>
    <xf numFmtId="38" fontId="17" fillId="12" borderId="0"/>
    <xf numFmtId="0" fontId="18" fillId="0" borderId="0" applyNumberFormat="0" applyFill="0" applyBorder="0" applyAlignment="0" applyProtection="0"/>
    <xf numFmtId="0" fontId="19" fillId="35" borderId="0">
      <alignment horizontal="left"/>
    </xf>
    <xf numFmtId="2" fontId="20" fillId="36" borderId="8" applyProtection="0">
      <alignment horizontal="left"/>
      <protection locked="0"/>
    </xf>
    <xf numFmtId="0" fontId="21" fillId="0" borderId="0" applyNumberFormat="0" applyFill="0" applyBorder="0" applyAlignment="0" applyProtection="0"/>
    <xf numFmtId="0" fontId="22" fillId="0" borderId="3" applyNumberFormat="0" applyFill="0" applyAlignment="0" applyProtection="0"/>
    <xf numFmtId="0" fontId="6" fillId="37" borderId="0"/>
    <xf numFmtId="167" fontId="7" fillId="0" borderId="0" applyFont="0" applyFill="0" applyBorder="0" applyAlignment="0" applyProtection="0"/>
    <xf numFmtId="0" fontId="23" fillId="0" borderId="0" applyFill="0" applyBorder="0" applyAlignment="0"/>
    <xf numFmtId="168" fontId="6" fillId="0" borderId="0" applyFill="0" applyBorder="0" applyAlignment="0"/>
    <xf numFmtId="0" fontId="23" fillId="0" borderId="0" applyFill="0" applyBorder="0" applyAlignment="0"/>
    <xf numFmtId="169" fontId="6" fillId="0" borderId="0" applyFill="0" applyBorder="0" applyAlignment="0"/>
    <xf numFmtId="0" fontId="6" fillId="0" borderId="0" applyFill="0" applyBorder="0" applyAlignment="0"/>
    <xf numFmtId="170" fontId="6" fillId="0" borderId="0" applyFill="0" applyBorder="0" applyAlignment="0"/>
    <xf numFmtId="0" fontId="6" fillId="0" borderId="0" applyFill="0" applyBorder="0" applyAlignment="0"/>
    <xf numFmtId="168" fontId="24" fillId="0" borderId="0" applyFill="0" applyBorder="0" applyAlignment="0"/>
    <xf numFmtId="0" fontId="6" fillId="0" borderId="0" applyFill="0" applyBorder="0" applyAlignment="0"/>
    <xf numFmtId="171" fontId="6" fillId="0" borderId="0" applyFill="0" applyBorder="0" applyAlignment="0"/>
    <xf numFmtId="0" fontId="23" fillId="0" borderId="0" applyFill="0" applyBorder="0" applyAlignment="0"/>
    <xf numFmtId="168" fontId="6" fillId="0" borderId="0" applyFill="0" applyBorder="0" applyAlignment="0"/>
    <xf numFmtId="0" fontId="23" fillId="0" borderId="0" applyFill="0" applyBorder="0" applyAlignment="0"/>
    <xf numFmtId="168" fontId="6" fillId="0" borderId="0" applyFill="0" applyBorder="0" applyAlignment="0"/>
    <xf numFmtId="0" fontId="23" fillId="0" borderId="0" applyFill="0" applyBorder="0" applyAlignment="0"/>
    <xf numFmtId="169" fontId="6" fillId="0" borderId="0" applyFill="0" applyBorder="0" applyAlignment="0"/>
    <xf numFmtId="0" fontId="25" fillId="12" borderId="9" applyNumberFormat="0" applyAlignment="0" applyProtection="0"/>
    <xf numFmtId="0" fontId="26" fillId="14" borderId="9" applyNumberFormat="0" applyAlignment="0" applyProtection="0"/>
    <xf numFmtId="0" fontId="27" fillId="16" borderId="9" applyNumberFormat="0" applyAlignment="0" applyProtection="0"/>
    <xf numFmtId="0" fontId="28" fillId="38" borderId="10" applyNumberFormat="0"/>
    <xf numFmtId="0" fontId="29" fillId="39" borderId="11" applyBorder="0">
      <alignment horizontal="center" wrapText="1"/>
    </xf>
    <xf numFmtId="0" fontId="29" fillId="5" borderId="11" applyBorder="0">
      <alignment horizontal="center" wrapText="1"/>
    </xf>
    <xf numFmtId="0" fontId="30" fillId="40" borderId="10" applyNumberFormat="0"/>
    <xf numFmtId="0" fontId="31" fillId="41" borderId="10" applyNumberFormat="0"/>
    <xf numFmtId="0" fontId="3" fillId="41" borderId="10" applyNumberFormat="0"/>
    <xf numFmtId="0" fontId="30" fillId="40" borderId="10" applyNumberFormat="0"/>
    <xf numFmtId="0" fontId="31" fillId="40" borderId="10" applyNumberFormat="0"/>
    <xf numFmtId="0" fontId="30" fillId="38" borderId="10" applyNumberFormat="0"/>
    <xf numFmtId="0" fontId="28" fillId="38" borderId="10" applyNumberFormat="0"/>
    <xf numFmtId="0" fontId="4" fillId="6" borderId="7" applyNumberFormat="0" applyBorder="0"/>
    <xf numFmtId="0" fontId="4" fillId="6" borderId="7" applyNumberFormat="0" applyBorder="0"/>
    <xf numFmtId="0" fontId="4" fillId="6" borderId="7" applyNumberFormat="0"/>
    <xf numFmtId="0" fontId="4" fillId="6" borderId="7" applyNumberFormat="0" applyBorder="0"/>
    <xf numFmtId="14" fontId="32" fillId="40" borderId="12" applyNumberFormat="0" applyAlignment="0"/>
    <xf numFmtId="14" fontId="32" fillId="41" borderId="12" applyNumberFormat="0" applyAlignment="0"/>
    <xf numFmtId="14" fontId="33" fillId="41" borderId="12" applyNumberFormat="0" applyAlignment="0"/>
    <xf numFmtId="0" fontId="34" fillId="42" borderId="13" applyNumberFormat="0" applyAlignment="0" applyProtection="0"/>
    <xf numFmtId="0" fontId="35" fillId="42" borderId="13" applyNumberFormat="0" applyAlignment="0" applyProtection="0"/>
    <xf numFmtId="0" fontId="36" fillId="42" borderId="13" applyNumberFormat="0" applyAlignment="0" applyProtection="0"/>
    <xf numFmtId="0" fontId="37" fillId="0" borderId="0" applyNumberFormat="0" applyFill="0" applyBorder="0" applyAlignment="0" applyProtection="0"/>
    <xf numFmtId="172" fontId="38" fillId="0" borderId="0"/>
    <xf numFmtId="172" fontId="39" fillId="0" borderId="0"/>
    <xf numFmtId="172" fontId="38" fillId="0" borderId="0"/>
    <xf numFmtId="172" fontId="39" fillId="0" borderId="0"/>
    <xf numFmtId="172" fontId="38" fillId="0" borderId="0"/>
    <xf numFmtId="172" fontId="39" fillId="0" borderId="0"/>
    <xf numFmtId="172" fontId="38" fillId="0" borderId="0"/>
    <xf numFmtId="172" fontId="39" fillId="0" borderId="0"/>
    <xf numFmtId="172" fontId="38" fillId="0" borderId="0"/>
    <xf numFmtId="172" fontId="39" fillId="0" borderId="0"/>
    <xf numFmtId="172" fontId="38" fillId="0" borderId="0"/>
    <xf numFmtId="172" fontId="39" fillId="0" borderId="0"/>
    <xf numFmtId="172" fontId="38" fillId="0" borderId="0"/>
    <xf numFmtId="172" fontId="39" fillId="0" borderId="0"/>
    <xf numFmtId="172" fontId="38" fillId="0" borderId="0"/>
    <xf numFmtId="172" fontId="39" fillId="0" borderId="0"/>
    <xf numFmtId="0" fontId="23" fillId="0" borderId="0" applyFont="0" applyFill="0" applyBorder="0" applyAlignment="0" applyProtection="0"/>
    <xf numFmtId="168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3" fontId="6" fillId="0" borderId="0" applyFill="0" applyBorder="0" applyAlignment="0" applyProtection="0"/>
    <xf numFmtId="0" fontId="40" fillId="0" borderId="0"/>
    <xf numFmtId="0" fontId="41" fillId="0" borderId="0" applyNumberFormat="0" applyAlignment="0">
      <alignment horizontal="left"/>
    </xf>
    <xf numFmtId="0" fontId="42" fillId="0" borderId="0">
      <alignment horizontal="center"/>
    </xf>
    <xf numFmtId="0" fontId="40" fillId="0" borderId="0"/>
    <xf numFmtId="0" fontId="23" fillId="0" borderId="0" applyFont="0" applyFill="0" applyBorder="0" applyAlignment="0" applyProtection="0"/>
    <xf numFmtId="169" fontId="6" fillId="0" borderId="0" applyFont="0" applyFill="0" applyBorder="0" applyAlignment="0" applyProtection="0"/>
    <xf numFmtId="8" fontId="43" fillId="0" borderId="14">
      <protection locked="0"/>
    </xf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5" fontId="6" fillId="0" borderId="0" applyFill="0" applyBorder="0" applyAlignment="0" applyProtection="0"/>
    <xf numFmtId="173" fontId="7" fillId="0" borderId="0" applyFont="0" applyFill="0" applyBorder="0" applyAlignment="0" applyProtection="0"/>
    <xf numFmtId="10" fontId="6" fillId="0" borderId="0" applyFont="0" applyFill="0" applyBorder="0" applyProtection="0">
      <alignment horizontal="center"/>
    </xf>
    <xf numFmtId="174" fontId="6" fillId="0" borderId="0" applyFont="0" applyFill="0" applyBorder="0" applyProtection="0"/>
    <xf numFmtId="175" fontId="6" fillId="0" borderId="0" applyFont="0" applyFill="0" applyBorder="0" applyProtection="0"/>
    <xf numFmtId="15" fontId="44" fillId="0" borderId="0" applyFont="0" applyFill="0" applyBorder="0" applyAlignment="0" applyProtection="0"/>
    <xf numFmtId="0" fontId="40" fillId="0" borderId="0"/>
    <xf numFmtId="176" fontId="6" fillId="0" borderId="0" applyFill="0" applyBorder="0" applyAlignment="0" applyProtection="0"/>
    <xf numFmtId="176" fontId="6" fillId="0" borderId="0" applyFill="0" applyBorder="0" applyAlignment="0" applyProtection="0"/>
    <xf numFmtId="176" fontId="6" fillId="0" borderId="0" applyFill="0" applyBorder="0" applyAlignment="0" applyProtection="0"/>
    <xf numFmtId="176" fontId="6" fillId="0" borderId="0" applyFill="0" applyBorder="0" applyAlignment="0" applyProtection="0"/>
    <xf numFmtId="176" fontId="6" fillId="0" borderId="0" applyFill="0" applyBorder="0" applyAlignment="0" applyProtection="0"/>
    <xf numFmtId="15" fontId="9" fillId="12" borderId="0"/>
    <xf numFmtId="14" fontId="9" fillId="0" borderId="0" applyFill="0" applyBorder="0" applyAlignment="0"/>
    <xf numFmtId="0" fontId="42" fillId="36" borderId="0">
      <alignment horizontal="left"/>
    </xf>
    <xf numFmtId="176" fontId="6" fillId="0" borderId="0" applyFill="0" applyBorder="0" applyAlignment="0" applyProtection="0"/>
    <xf numFmtId="14" fontId="6" fillId="0" borderId="0"/>
    <xf numFmtId="0" fontId="45" fillId="19" borderId="0">
      <alignment horizontal="left"/>
    </xf>
    <xf numFmtId="0" fontId="46" fillId="0" borderId="0">
      <alignment horizontal="left"/>
    </xf>
    <xf numFmtId="38" fontId="47" fillId="0" borderId="15">
      <alignment vertical="center"/>
    </xf>
    <xf numFmtId="177" fontId="6" fillId="0" borderId="0">
      <alignment horizontal="right"/>
    </xf>
    <xf numFmtId="1" fontId="6" fillId="0" borderId="0">
      <alignment horizontal="right"/>
    </xf>
    <xf numFmtId="1" fontId="6" fillId="0" borderId="0">
      <alignment horizontal="right"/>
    </xf>
    <xf numFmtId="178" fontId="6" fillId="0" borderId="0">
      <alignment horizontal="right"/>
    </xf>
    <xf numFmtId="49" fontId="6" fillId="0" borderId="0">
      <alignment horizontal="left"/>
    </xf>
    <xf numFmtId="49" fontId="6" fillId="0" borderId="0">
      <alignment horizontal="left"/>
    </xf>
    <xf numFmtId="49" fontId="6" fillId="0" borderId="0">
      <alignment horizontal="right"/>
    </xf>
    <xf numFmtId="14" fontId="6" fillId="0" borderId="0">
      <alignment horizontal="left"/>
    </xf>
    <xf numFmtId="0" fontId="23" fillId="0" borderId="0" applyFill="0" applyBorder="0" applyAlignment="0"/>
    <xf numFmtId="168" fontId="6" fillId="0" borderId="0" applyFill="0" applyBorder="0" applyAlignment="0"/>
    <xf numFmtId="0" fontId="23" fillId="0" borderId="0" applyFill="0" applyBorder="0" applyAlignment="0"/>
    <xf numFmtId="169" fontId="6" fillId="0" borderId="0" applyFill="0" applyBorder="0" applyAlignment="0"/>
    <xf numFmtId="0" fontId="23" fillId="0" borderId="0" applyFill="0" applyBorder="0" applyAlignment="0"/>
    <xf numFmtId="168" fontId="6" fillId="0" borderId="0" applyFill="0" applyBorder="0" applyAlignment="0"/>
    <xf numFmtId="0" fontId="23" fillId="0" borderId="0" applyFill="0" applyBorder="0" applyAlignment="0"/>
    <xf numFmtId="168" fontId="6" fillId="0" borderId="0" applyFill="0" applyBorder="0" applyAlignment="0"/>
    <xf numFmtId="0" fontId="23" fillId="0" borderId="0" applyFill="0" applyBorder="0" applyAlignment="0"/>
    <xf numFmtId="169" fontId="6" fillId="0" borderId="0" applyFill="0" applyBorder="0" applyAlignment="0"/>
    <xf numFmtId="0" fontId="48" fillId="0" borderId="0" applyNumberFormat="0" applyAlignment="0">
      <alignment horizontal="left"/>
    </xf>
    <xf numFmtId="9" fontId="49" fillId="0" borderId="6" applyNumberFormat="0" applyBorder="0" applyAlignment="0">
      <protection locked="0"/>
    </xf>
    <xf numFmtId="179" fontId="6" fillId="0" borderId="0" applyFont="0" applyFill="0" applyBorder="0" applyAlignment="0" applyProtection="0"/>
    <xf numFmtId="0" fontId="50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2" fontId="6" fillId="0" borderId="0" applyFill="0" applyBorder="0" applyAlignment="0" applyProtection="0"/>
    <xf numFmtId="180" fontId="6" fillId="0" borderId="0" applyFont="0" applyFill="0" applyBorder="0" applyAlignment="0" applyProtection="0"/>
    <xf numFmtId="0" fontId="9" fillId="12" borderId="0"/>
    <xf numFmtId="0" fontId="53" fillId="11" borderId="0" applyNumberFormat="0" applyBorder="0" applyAlignment="0" applyProtection="0"/>
    <xf numFmtId="0" fontId="54" fillId="15" borderId="0" applyNumberFormat="0" applyBorder="0" applyAlignment="0" applyProtection="0"/>
    <xf numFmtId="0" fontId="55" fillId="11" borderId="0" applyNumberFormat="0" applyBorder="0" applyAlignment="0" applyProtection="0"/>
    <xf numFmtId="2" fontId="56" fillId="36" borderId="8" applyProtection="0">
      <alignment horizontal="left"/>
      <protection locked="0"/>
    </xf>
    <xf numFmtId="38" fontId="37" fillId="43" borderId="0" applyNumberFormat="0" applyBorder="0" applyAlignment="0" applyProtection="0"/>
    <xf numFmtId="0" fontId="57" fillId="0" borderId="16" applyNumberFormat="0" applyAlignment="0" applyProtection="0">
      <alignment horizontal="left" vertical="center"/>
    </xf>
    <xf numFmtId="0" fontId="57" fillId="0" borderId="4">
      <alignment horizontal="left" vertical="center"/>
    </xf>
    <xf numFmtId="0" fontId="58" fillId="16" borderId="6">
      <alignment horizontal="centerContinuous"/>
    </xf>
    <xf numFmtId="0" fontId="59" fillId="0" borderId="17" applyNumberFormat="0" applyFill="0" applyAlignment="0" applyProtection="0"/>
    <xf numFmtId="0" fontId="60" fillId="0" borderId="18" applyNumberFormat="0" applyFill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19" applyNumberFormat="0" applyFill="0" applyAlignment="0" applyProtection="0"/>
    <xf numFmtId="0" fontId="64" fillId="0" borderId="20" applyNumberFormat="0" applyFill="0" applyAlignment="0" applyProtection="0"/>
    <xf numFmtId="0" fontId="65" fillId="0" borderId="21" applyNumberFormat="0" applyFill="0" applyAlignment="0" applyProtection="0"/>
    <xf numFmtId="0" fontId="45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66" fillId="0" borderId="20" applyNumberFormat="0" applyFill="0" applyAlignment="0" applyProtection="0"/>
    <xf numFmtId="0" fontId="67" fillId="0" borderId="22" applyNumberFormat="0" applyFill="0" applyAlignment="0" applyProtection="0"/>
    <xf numFmtId="0" fontId="68" fillId="0" borderId="23" applyNumberFormat="0" applyFill="0" applyAlignment="0" applyProtection="0"/>
    <xf numFmtId="0" fontId="69" fillId="0" borderId="24" applyNumberFormat="0" applyFill="0" applyAlignment="0" applyProtection="0"/>
    <xf numFmtId="0" fontId="67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70" fillId="12" borderId="0"/>
    <xf numFmtId="0" fontId="62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71" fillId="0" borderId="0" applyNumberFormat="0" applyFill="0" applyBorder="0" applyAlignment="0" applyProtection="0">
      <alignment vertical="top"/>
      <protection locked="0"/>
    </xf>
    <xf numFmtId="10" fontId="37" fillId="44" borderId="6" applyNumberFormat="0" applyBorder="0" applyAlignment="0" applyProtection="0"/>
    <xf numFmtId="2" fontId="72" fillId="0" borderId="25" applyNumberFormat="0" applyFill="0" applyBorder="0" applyAlignment="0">
      <alignment horizontal="center"/>
      <protection locked="0"/>
    </xf>
    <xf numFmtId="2" fontId="72" fillId="0" borderId="25" applyNumberFormat="0" applyFill="0" applyBorder="0" applyAlignment="0">
      <alignment horizontal="center"/>
      <protection locked="0"/>
    </xf>
    <xf numFmtId="0" fontId="2" fillId="2" borderId="1" applyNumberFormat="0" applyAlignment="0" applyProtection="0"/>
    <xf numFmtId="0" fontId="73" fillId="8" borderId="9" applyNumberFormat="0" applyAlignment="0" applyProtection="0"/>
    <xf numFmtId="0" fontId="73" fillId="8" borderId="9" applyNumberFormat="0" applyAlignment="0" applyProtection="0"/>
    <xf numFmtId="0" fontId="73" fillId="8" borderId="9" applyNumberFormat="0" applyAlignment="0" applyProtection="0"/>
    <xf numFmtId="0" fontId="73" fillId="8" borderId="9" applyNumberFormat="0" applyAlignment="0" applyProtection="0"/>
    <xf numFmtId="37" fontId="74" fillId="0" borderId="0" applyNumberFormat="0" applyAlignment="0">
      <protection locked="0"/>
    </xf>
    <xf numFmtId="0" fontId="75" fillId="0" borderId="0"/>
    <xf numFmtId="0" fontId="23" fillId="0" borderId="0" applyFill="0" applyBorder="0" applyAlignment="0"/>
    <xf numFmtId="168" fontId="6" fillId="0" borderId="0" applyFill="0" applyBorder="0" applyAlignment="0"/>
    <xf numFmtId="0" fontId="23" fillId="0" borderId="0" applyFill="0" applyBorder="0" applyAlignment="0"/>
    <xf numFmtId="169" fontId="6" fillId="0" borderId="0" applyFill="0" applyBorder="0" applyAlignment="0"/>
    <xf numFmtId="0" fontId="23" fillId="0" borderId="0" applyFill="0" applyBorder="0" applyAlignment="0"/>
    <xf numFmtId="168" fontId="6" fillId="0" borderId="0" applyFill="0" applyBorder="0" applyAlignment="0"/>
    <xf numFmtId="0" fontId="23" fillId="0" borderId="0" applyFill="0" applyBorder="0" applyAlignment="0"/>
    <xf numFmtId="168" fontId="6" fillId="0" borderId="0" applyFill="0" applyBorder="0" applyAlignment="0"/>
    <xf numFmtId="0" fontId="23" fillId="0" borderId="0" applyFill="0" applyBorder="0" applyAlignment="0"/>
    <xf numFmtId="169" fontId="6" fillId="0" borderId="0" applyFill="0" applyBorder="0" applyAlignment="0"/>
    <xf numFmtId="0" fontId="76" fillId="0" borderId="26" applyNumberFormat="0" applyFill="0" applyAlignment="0" applyProtection="0"/>
    <xf numFmtId="0" fontId="77" fillId="0" borderId="26" applyNumberFormat="0" applyFill="0" applyAlignment="0" applyProtection="0"/>
    <xf numFmtId="0" fontId="78" fillId="0" borderId="26" applyNumberFormat="0" applyFill="0" applyAlignment="0" applyProtection="0"/>
    <xf numFmtId="0" fontId="6" fillId="43" borderId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38" fontId="9" fillId="12" borderId="0"/>
    <xf numFmtId="0" fontId="79" fillId="8" borderId="0" applyNumberFormat="0" applyBorder="0" applyAlignment="0" applyProtection="0"/>
    <xf numFmtId="0" fontId="80" fillId="13" borderId="0" applyNumberFormat="0" applyBorder="0" applyAlignment="0" applyProtection="0"/>
    <xf numFmtId="0" fontId="81" fillId="37" borderId="0" applyNumberFormat="0" applyBorder="0" applyAlignment="0" applyProtection="0"/>
    <xf numFmtId="37" fontId="82" fillId="0" borderId="0"/>
    <xf numFmtId="0" fontId="45" fillId="12" borderId="0" applyNumberFormat="0" applyFont="0" applyFill="0" applyBorder="0" applyAlignment="0"/>
    <xf numFmtId="10" fontId="9" fillId="12" borderId="0"/>
    <xf numFmtId="181" fontId="83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0" fillId="4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41" borderId="0"/>
    <xf numFmtId="0" fontId="6" fillId="41" borderId="0"/>
    <xf numFmtId="0" fontId="6" fillId="0" borderId="0"/>
    <xf numFmtId="0" fontId="6" fillId="0" borderId="0"/>
    <xf numFmtId="0" fontId="30" fillId="40" borderId="0"/>
    <xf numFmtId="0" fontId="30" fillId="40" borderId="0"/>
    <xf numFmtId="0" fontId="30" fillId="4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0" fillId="40" borderId="0"/>
    <xf numFmtId="0" fontId="6" fillId="0" borderId="0"/>
    <xf numFmtId="0" fontId="6" fillId="0" borderId="0"/>
    <xf numFmtId="0" fontId="30" fillId="40" borderId="0"/>
    <xf numFmtId="0" fontId="1" fillId="0" borderId="0"/>
    <xf numFmtId="0" fontId="1" fillId="0" borderId="0"/>
    <xf numFmtId="0" fontId="6" fillId="0" borderId="0">
      <alignment vertical="top"/>
    </xf>
    <xf numFmtId="0" fontId="6" fillId="0" borderId="0">
      <alignment vertical="top"/>
    </xf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84" fillId="0" borderId="0"/>
    <xf numFmtId="0" fontId="6" fillId="0" borderId="0"/>
    <xf numFmtId="0" fontId="6" fillId="0" borderId="0"/>
    <xf numFmtId="0" fontId="30" fillId="3" borderId="2" applyNumberFormat="0" applyFont="0" applyAlignment="0" applyProtection="0"/>
    <xf numFmtId="0" fontId="9" fillId="10" borderId="27" applyNumberFormat="0" applyFont="0" applyAlignment="0" applyProtection="0"/>
    <xf numFmtId="0" fontId="85" fillId="10" borderId="27" applyNumberFormat="0" applyFont="0" applyAlignment="0" applyProtection="0"/>
    <xf numFmtId="0" fontId="30" fillId="3" borderId="2" applyNumberFormat="0" applyFont="0" applyAlignment="0" applyProtection="0"/>
    <xf numFmtId="0" fontId="86" fillId="0" borderId="0"/>
    <xf numFmtId="0" fontId="10" fillId="10" borderId="27" applyNumberFormat="0" applyFont="0" applyAlignment="0" applyProtection="0"/>
    <xf numFmtId="0" fontId="30" fillId="3" borderId="2" applyNumberFormat="0" applyFont="0" applyAlignment="0" applyProtection="0"/>
    <xf numFmtId="0" fontId="30" fillId="3" borderId="2" applyNumberFormat="0" applyFont="0" applyAlignment="0" applyProtection="0"/>
    <xf numFmtId="0" fontId="1" fillId="3" borderId="2" applyNumberFormat="0" applyFont="0" applyAlignment="0" applyProtection="0"/>
    <xf numFmtId="0" fontId="1" fillId="3" borderId="2" applyNumberFormat="0" applyFont="0" applyAlignment="0" applyProtection="0"/>
    <xf numFmtId="0" fontId="1" fillId="3" borderId="2" applyNumberFormat="0" applyFont="0" applyAlignment="0" applyProtection="0"/>
    <xf numFmtId="182" fontId="23" fillId="0" borderId="0">
      <alignment horizontal="center"/>
    </xf>
    <xf numFmtId="37" fontId="6" fillId="0" borderId="0"/>
    <xf numFmtId="183" fontId="37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184" fontId="87" fillId="0" borderId="0" applyNumberFormat="0" applyFill="0" applyBorder="0" applyAlignment="0" applyProtection="0"/>
    <xf numFmtId="164" fontId="23" fillId="0" borderId="0">
      <alignment horizontal="center"/>
    </xf>
    <xf numFmtId="0" fontId="30" fillId="7" borderId="0" applyNumberFormat="0" applyFont="0" applyBorder="0" applyAlignment="0" applyProtection="0"/>
    <xf numFmtId="0" fontId="87" fillId="0" borderId="28"/>
    <xf numFmtId="2" fontId="88" fillId="36" borderId="8">
      <alignment horizontal="left"/>
    </xf>
    <xf numFmtId="0" fontId="89" fillId="12" borderId="29" applyNumberFormat="0" applyAlignment="0" applyProtection="0"/>
    <xf numFmtId="0" fontId="90" fillId="14" borderId="29" applyNumberFormat="0" applyAlignment="0" applyProtection="0"/>
    <xf numFmtId="0" fontId="91" fillId="16" borderId="29" applyNumberFormat="0" applyAlignment="0" applyProtection="0"/>
    <xf numFmtId="40" fontId="9" fillId="36" borderId="0">
      <alignment horizontal="right"/>
    </xf>
    <xf numFmtId="0" fontId="92" fillId="44" borderId="0">
      <alignment horizontal="center"/>
    </xf>
    <xf numFmtId="0" fontId="35" fillId="45" borderId="8"/>
    <xf numFmtId="0" fontId="93" fillId="0" borderId="0" applyBorder="0">
      <alignment horizontal="centerContinuous"/>
    </xf>
    <xf numFmtId="0" fontId="94" fillId="0" borderId="0" applyBorder="0">
      <alignment horizontal="centerContinuous"/>
    </xf>
    <xf numFmtId="0" fontId="57" fillId="0" borderId="0"/>
    <xf numFmtId="0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0" fontId="95" fillId="0" borderId="0" applyFont="0" applyFill="0" applyBorder="0" applyAlignment="0" applyProtection="0"/>
    <xf numFmtId="185" fontId="24" fillId="0" borderId="0" applyFont="0" applyFill="0" applyBorder="0" applyAlignment="0" applyProtection="0"/>
    <xf numFmtId="10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7" fillId="0" borderId="0"/>
    <xf numFmtId="0" fontId="23" fillId="0" borderId="0" applyFill="0" applyBorder="0" applyAlignment="0"/>
    <xf numFmtId="168" fontId="6" fillId="0" borderId="0" applyFill="0" applyBorder="0" applyAlignment="0"/>
    <xf numFmtId="0" fontId="23" fillId="0" borderId="0" applyFill="0" applyBorder="0" applyAlignment="0"/>
    <xf numFmtId="169" fontId="6" fillId="0" borderId="0" applyFill="0" applyBorder="0" applyAlignment="0"/>
    <xf numFmtId="0" fontId="23" fillId="0" borderId="0" applyFill="0" applyBorder="0" applyAlignment="0"/>
    <xf numFmtId="168" fontId="6" fillId="0" borderId="0" applyFill="0" applyBorder="0" applyAlignment="0"/>
    <xf numFmtId="0" fontId="23" fillId="0" borderId="0" applyFill="0" applyBorder="0" applyAlignment="0"/>
    <xf numFmtId="168" fontId="6" fillId="0" borderId="0" applyFill="0" applyBorder="0" applyAlignment="0"/>
    <xf numFmtId="0" fontId="23" fillId="0" borderId="0" applyFill="0" applyBorder="0" applyAlignment="0"/>
    <xf numFmtId="169" fontId="6" fillId="0" borderId="0" applyFill="0" applyBorder="0" applyAlignment="0"/>
    <xf numFmtId="186" fontId="23" fillId="0" borderId="0">
      <alignment horizontal="center"/>
    </xf>
    <xf numFmtId="187" fontId="23" fillId="0" borderId="6">
      <alignment horizontal="center"/>
    </xf>
    <xf numFmtId="0" fontId="96" fillId="0" borderId="30" applyAlignment="0">
      <alignment horizontal="center"/>
    </xf>
    <xf numFmtId="0" fontId="97" fillId="43" borderId="0"/>
    <xf numFmtId="0" fontId="47" fillId="0" borderId="0" applyNumberFormat="0" applyFont="0" applyFill="0" applyBorder="0" applyAlignment="0" applyProtection="0">
      <alignment horizontal="left"/>
    </xf>
    <xf numFmtId="0" fontId="98" fillId="0" borderId="5">
      <alignment horizontal="center"/>
    </xf>
    <xf numFmtId="0" fontId="44" fillId="0" borderId="0">
      <alignment vertical="top"/>
    </xf>
    <xf numFmtId="188" fontId="44" fillId="0" borderId="0">
      <alignment vertical="top"/>
    </xf>
    <xf numFmtId="0" fontId="96" fillId="0" borderId="0">
      <alignment horizontal="left"/>
    </xf>
    <xf numFmtId="0" fontId="96" fillId="0" borderId="0">
      <alignment horizontal="right"/>
    </xf>
    <xf numFmtId="0" fontId="9" fillId="0" borderId="8" applyNumberFormat="0" applyBorder="0" applyAlignment="0"/>
    <xf numFmtId="189" fontId="99" fillId="0" borderId="0" applyNumberFormat="0" applyFill="0" applyBorder="0" applyAlignment="0" applyProtection="0">
      <alignment horizontal="left"/>
    </xf>
    <xf numFmtId="0" fontId="45" fillId="33" borderId="0">
      <alignment horizontal="left"/>
    </xf>
    <xf numFmtId="0" fontId="100" fillId="0" borderId="31"/>
    <xf numFmtId="187" fontId="20" fillId="10" borderId="0">
      <alignment horizontal="center"/>
    </xf>
    <xf numFmtId="187" fontId="101" fillId="10" borderId="0">
      <alignment horizontal="center"/>
    </xf>
    <xf numFmtId="187" fontId="20" fillId="11" borderId="0">
      <alignment horizontal="center"/>
    </xf>
    <xf numFmtId="0" fontId="20" fillId="10" borderId="0">
      <alignment horizontal="left"/>
    </xf>
    <xf numFmtId="0" fontId="102" fillId="0" borderId="0" applyFont="0" applyFill="0" applyBorder="0" applyAlignment="0" applyProtection="0"/>
    <xf numFmtId="190" fontId="24" fillId="0" borderId="0" applyFont="0" applyFill="0" applyBorder="0" applyAlignment="0" applyProtection="0"/>
    <xf numFmtId="191" fontId="6" fillId="0" borderId="0"/>
    <xf numFmtId="0" fontId="6" fillId="0" borderId="0"/>
    <xf numFmtId="0" fontId="6" fillId="0" borderId="0">
      <alignment horizontal="left" wrapText="1"/>
    </xf>
    <xf numFmtId="0" fontId="20" fillId="10" borderId="0">
      <alignment horizontal="center"/>
    </xf>
    <xf numFmtId="0" fontId="96" fillId="0" borderId="0"/>
    <xf numFmtId="0" fontId="103" fillId="0" borderId="0"/>
    <xf numFmtId="40" fontId="104" fillId="0" borderId="0" applyBorder="0">
      <alignment horizontal="right"/>
    </xf>
    <xf numFmtId="0" fontId="6" fillId="36" borderId="27"/>
    <xf numFmtId="0" fontId="23" fillId="0" borderId="0">
      <alignment horizontal="center"/>
    </xf>
    <xf numFmtId="15" fontId="23" fillId="0" borderId="0">
      <alignment horizontal="center"/>
    </xf>
    <xf numFmtId="0" fontId="105" fillId="0" borderId="0">
      <alignment horizontal="center"/>
    </xf>
    <xf numFmtId="3" fontId="23" fillId="0" borderId="0">
      <alignment horizontal="center"/>
    </xf>
    <xf numFmtId="192" fontId="23" fillId="0" borderId="0">
      <alignment horizontal="center"/>
    </xf>
    <xf numFmtId="187" fontId="23" fillId="0" borderId="0">
      <alignment horizontal="center"/>
    </xf>
    <xf numFmtId="0" fontId="106" fillId="46" borderId="0"/>
    <xf numFmtId="193" fontId="23" fillId="0" borderId="0">
      <alignment horizontal="center"/>
    </xf>
    <xf numFmtId="193" fontId="23" fillId="0" borderId="32">
      <alignment horizontal="center"/>
    </xf>
    <xf numFmtId="0" fontId="23" fillId="0" borderId="0">
      <alignment horizontal="left"/>
    </xf>
    <xf numFmtId="0" fontId="107" fillId="0" borderId="0">
      <alignment horizontal="center"/>
    </xf>
    <xf numFmtId="0" fontId="108" fillId="0" borderId="0" applyNumberFormat="0" applyFill="0" applyBorder="0"/>
    <xf numFmtId="0" fontId="9" fillId="12" borderId="0"/>
    <xf numFmtId="49" fontId="9" fillId="0" borderId="0" applyFill="0" applyBorder="0" applyAlignment="0"/>
    <xf numFmtId="0" fontId="23" fillId="0" borderId="0" applyFill="0" applyBorder="0" applyAlignment="0"/>
    <xf numFmtId="169" fontId="6" fillId="0" borderId="0" applyFill="0" applyBorder="0" applyAlignment="0"/>
    <xf numFmtId="0" fontId="6" fillId="0" borderId="0" applyFill="0" applyBorder="0" applyAlignment="0"/>
    <xf numFmtId="171" fontId="6" fillId="0" borderId="0" applyFill="0" applyBorder="0" applyAlignment="0"/>
    <xf numFmtId="49" fontId="6" fillId="0" borderId="0"/>
    <xf numFmtId="0" fontId="109" fillId="0" borderId="0">
      <alignment horizontal="right"/>
    </xf>
    <xf numFmtId="0" fontId="110" fillId="0" borderId="0">
      <alignment horizontal="right"/>
      <protection locked="0"/>
    </xf>
    <xf numFmtId="0" fontId="111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7" fillId="12" borderId="0"/>
    <xf numFmtId="0" fontId="30" fillId="47" borderId="33" applyBorder="0">
      <alignment horizontal="center" wrapText="1"/>
    </xf>
    <xf numFmtId="0" fontId="29" fillId="39" borderId="11" applyBorder="0">
      <alignment horizontal="center" wrapText="1"/>
    </xf>
    <xf numFmtId="0" fontId="30" fillId="48" borderId="11" applyBorder="0">
      <alignment horizontal="center" wrapText="1"/>
    </xf>
    <xf numFmtId="0" fontId="29" fillId="5" borderId="11" applyBorder="0">
      <alignment horizontal="center" wrapText="1"/>
    </xf>
    <xf numFmtId="0" fontId="5" fillId="49" borderId="11" applyBorder="0">
      <alignment horizontal="center" wrapText="1"/>
    </xf>
    <xf numFmtId="0" fontId="29" fillId="50" borderId="11" applyBorder="0">
      <alignment horizontal="center" wrapText="1"/>
    </xf>
    <xf numFmtId="0" fontId="29" fillId="50" borderId="11" applyBorder="0">
      <alignment horizontal="center" wrapText="1"/>
    </xf>
    <xf numFmtId="0" fontId="5" fillId="49" borderId="11" applyBorder="0">
      <alignment horizontal="center" wrapText="1"/>
    </xf>
    <xf numFmtId="0" fontId="5" fillId="49" borderId="11" applyBorder="0">
      <alignment horizontal="center" wrapText="1"/>
    </xf>
    <xf numFmtId="0" fontId="5" fillId="49" borderId="11" applyBorder="0">
      <alignment horizontal="center" wrapText="1"/>
    </xf>
    <xf numFmtId="0" fontId="5" fillId="49" borderId="11" applyBorder="0">
      <alignment horizontal="center" wrapText="1"/>
    </xf>
    <xf numFmtId="0" fontId="96" fillId="0" borderId="0" applyNumberFormat="0" applyFill="0" applyBorder="0" applyAlignment="0" applyProtection="0"/>
    <xf numFmtId="0" fontId="114" fillId="0" borderId="34" applyNumberFormat="0" applyFill="0" applyAlignment="0" applyProtection="0"/>
    <xf numFmtId="0" fontId="17" fillId="0" borderId="35" applyNumberFormat="0" applyFill="0" applyAlignment="0" applyProtection="0"/>
    <xf numFmtId="0" fontId="6" fillId="0" borderId="36" applyNumberFormat="0" applyFill="0" applyAlignment="0" applyProtection="0"/>
    <xf numFmtId="0" fontId="115" fillId="0" borderId="37" applyNumberFormat="0" applyFill="0" applyAlignment="0" applyProtection="0"/>
    <xf numFmtId="0" fontId="116" fillId="12" borderId="0"/>
    <xf numFmtId="0" fontId="117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1" fontId="120" fillId="40" borderId="12"/>
    <xf numFmtId="1" fontId="120" fillId="41" borderId="12"/>
    <xf numFmtId="2" fontId="121" fillId="41" borderId="12"/>
    <xf numFmtId="0" fontId="122" fillId="40" borderId="7" applyNumberFormat="0" applyAlignment="0"/>
    <xf numFmtId="0" fontId="123" fillId="41" borderId="7" applyNumberFormat="0" applyAlignment="0"/>
    <xf numFmtId="1" fontId="124" fillId="41" borderId="12" applyNumberFormat="0"/>
    <xf numFmtId="177" fontId="125" fillId="41" borderId="12" applyNumberFormat="0"/>
    <xf numFmtId="0" fontId="6" fillId="0" borderId="0"/>
    <xf numFmtId="0" fontId="6" fillId="36" borderId="51"/>
    <xf numFmtId="187" fontId="23" fillId="0" borderId="45">
      <alignment horizontal="center"/>
    </xf>
    <xf numFmtId="0" fontId="91" fillId="16" borderId="52" applyNumberFormat="0" applyAlignment="0" applyProtection="0"/>
    <xf numFmtId="0" fontId="90" fillId="14" borderId="52" applyNumberFormat="0" applyAlignment="0" applyProtection="0"/>
    <xf numFmtId="0" fontId="89" fillId="12" borderId="52" applyNumberFormat="0" applyAlignment="0" applyProtection="0"/>
    <xf numFmtId="19" fontId="6" fillId="0" borderId="0" applyFont="0" applyFill="0" applyBorder="0" applyProtection="0">
      <alignment horizontal="left"/>
    </xf>
    <xf numFmtId="0" fontId="17" fillId="12" borderId="0"/>
    <xf numFmtId="0" fontId="10" fillId="10" borderId="51" applyNumberFormat="0" applyFont="0" applyAlignment="0" applyProtection="0"/>
    <xf numFmtId="0" fontId="85" fillId="10" borderId="51" applyNumberFormat="0" applyFont="0" applyAlignment="0" applyProtection="0"/>
    <xf numFmtId="0" fontId="9" fillId="10" borderId="51" applyNumberFormat="0" applyFont="0" applyAlignment="0" applyProtection="0"/>
    <xf numFmtId="16" fontId="32" fillId="40" borderId="12" applyNumberFormat="0" applyAlignment="0"/>
    <xf numFmtId="16" fontId="32" fillId="41" borderId="12" applyNumberFormat="0" applyAlignment="0"/>
    <xf numFmtId="16" fontId="33" fillId="41" borderId="12" applyNumberFormat="0" applyAlignment="0"/>
    <xf numFmtId="0" fontId="73" fillId="8" borderId="48" applyNumberFormat="0" applyAlignment="0" applyProtection="0"/>
    <xf numFmtId="0" fontId="73" fillId="8" borderId="48" applyNumberFormat="0" applyAlignment="0" applyProtection="0"/>
    <xf numFmtId="0" fontId="73" fillId="8" borderId="48" applyNumberFormat="0" applyAlignment="0" applyProtection="0"/>
    <xf numFmtId="0" fontId="73" fillId="8" borderId="48" applyNumberFormat="0" applyAlignment="0" applyProtection="0"/>
    <xf numFmtId="2" fontId="72" fillId="0" borderId="50" applyNumberFormat="0" applyFill="0" applyBorder="0" applyAlignment="0">
      <alignment horizontal="center"/>
      <protection locked="0"/>
    </xf>
    <xf numFmtId="2" fontId="72" fillId="0" borderId="50" applyNumberFormat="0" applyFill="0" applyBorder="0" applyAlignment="0">
      <alignment horizontal="center"/>
      <protection locked="0"/>
    </xf>
    <xf numFmtId="10" fontId="37" fillId="44" borderId="45" applyNumberFormat="0" applyBorder="0" applyAlignment="0" applyProtection="0"/>
    <xf numFmtId="17" fontId="44" fillId="0" borderId="0" applyFont="0" applyFill="0" applyBorder="0" applyAlignment="0" applyProtection="0"/>
    <xf numFmtId="17" fontId="9" fillId="12" borderId="0"/>
    <xf numFmtId="16" fontId="9" fillId="0" borderId="0" applyFill="0" applyBorder="0" applyAlignment="0"/>
    <xf numFmtId="16" fontId="6" fillId="0" borderId="0"/>
    <xf numFmtId="0" fontId="47" fillId="0" borderId="15">
      <alignment vertical="center"/>
    </xf>
    <xf numFmtId="0" fontId="58" fillId="16" borderId="45">
      <alignment horizontal="centerContinuous"/>
    </xf>
    <xf numFmtId="0" fontId="57" fillId="0" borderId="47">
      <alignment horizontal="left" vertical="center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right"/>
    </xf>
    <xf numFmtId="16" fontId="6" fillId="0" borderId="0">
      <alignment horizontal="left"/>
    </xf>
    <xf numFmtId="9" fontId="49" fillId="0" borderId="45" applyNumberFormat="0" applyBorder="0" applyAlignment="0">
      <protection locked="0"/>
    </xf>
    <xf numFmtId="0" fontId="37" fillId="43" borderId="0" applyNumberFormat="0" applyBorder="0" applyAlignment="0" applyProtection="0"/>
    <xf numFmtId="0" fontId="57" fillId="0" borderId="38">
      <alignment horizontal="left" vertical="center"/>
    </xf>
    <xf numFmtId="2" fontId="72" fillId="0" borderId="39" applyNumberFormat="0" applyFill="0" applyBorder="0" applyAlignment="0">
      <alignment horizontal="center"/>
      <protection locked="0"/>
    </xf>
    <xf numFmtId="2" fontId="72" fillId="0" borderId="39" applyNumberFormat="0" applyFill="0" applyBorder="0" applyAlignment="0">
      <alignment horizontal="center"/>
      <protection locked="0"/>
    </xf>
    <xf numFmtId="17" fontId="44" fillId="0" borderId="0" applyFont="0" applyFill="0" applyBorder="0" applyAlignment="0" applyProtection="0"/>
    <xf numFmtId="0" fontId="74" fillId="0" borderId="0" applyNumberFormat="0" applyAlignment="0">
      <protection locked="0"/>
    </xf>
    <xf numFmtId="8" fontId="43" fillId="0" borderId="49">
      <protection locked="0"/>
    </xf>
    <xf numFmtId="0" fontId="9" fillId="12" borderId="0"/>
    <xf numFmtId="0" fontId="82" fillId="0" borderId="0"/>
    <xf numFmtId="0" fontId="27" fillId="16" borderId="48" applyNumberFormat="0" applyAlignment="0" applyProtection="0"/>
    <xf numFmtId="0" fontId="26" fillId="14" borderId="48" applyNumberFormat="0" applyAlignment="0" applyProtection="0"/>
    <xf numFmtId="0" fontId="25" fillId="12" borderId="48" applyNumberFormat="0" applyAlignment="0" applyProtection="0"/>
    <xf numFmtId="0" fontId="9" fillId="10" borderId="40" applyNumberFormat="0" applyFont="0" applyAlignment="0" applyProtection="0"/>
    <xf numFmtId="0" fontId="85" fillId="10" borderId="40" applyNumberFormat="0" applyFont="0" applyAlignment="0" applyProtection="0"/>
    <xf numFmtId="0" fontId="10" fillId="10" borderId="40" applyNumberFormat="0" applyFont="0" applyAlignment="0" applyProtection="0"/>
    <xf numFmtId="0" fontId="6" fillId="0" borderId="0"/>
    <xf numFmtId="0" fontId="89" fillId="12" borderId="41" applyNumberFormat="0" applyAlignment="0" applyProtection="0"/>
    <xf numFmtId="0" fontId="90" fillId="14" borderId="41" applyNumberFormat="0" applyAlignment="0" applyProtection="0"/>
    <xf numFmtId="0" fontId="91" fillId="16" borderId="41" applyNumberFormat="0" applyAlignment="0" applyProtection="0"/>
    <xf numFmtId="0" fontId="9" fillId="36" borderId="0">
      <alignment horizontal="right"/>
    </xf>
    <xf numFmtId="0" fontId="104" fillId="0" borderId="0" applyBorder="0">
      <alignment horizontal="right"/>
    </xf>
    <xf numFmtId="0" fontId="6" fillId="36" borderId="40"/>
    <xf numFmtId="17" fontId="23" fillId="0" borderId="0">
      <alignment horizontal="center"/>
    </xf>
    <xf numFmtId="0" fontId="9" fillId="0" borderId="0" applyFill="0" applyBorder="0" applyAlignment="0"/>
    <xf numFmtId="0" fontId="6" fillId="0" borderId="0"/>
    <xf numFmtId="0" fontId="114" fillId="0" borderId="42" applyNumberFormat="0" applyFill="0" applyAlignment="0" applyProtection="0"/>
    <xf numFmtId="0" fontId="17" fillId="0" borderId="43" applyNumberFormat="0" applyFill="0" applyAlignment="0" applyProtection="0"/>
    <xf numFmtId="0" fontId="115" fillId="0" borderId="44" applyNumberFormat="0" applyFill="0" applyAlignment="0" applyProtection="0"/>
    <xf numFmtId="0" fontId="30" fillId="47" borderId="46" applyBorder="0">
      <alignment horizontal="center" wrapText="1"/>
    </xf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NumberFormat="1"/>
    <xf numFmtId="0" fontId="0" fillId="0" borderId="0" xfId="0"/>
    <xf numFmtId="0" fontId="30" fillId="40" borderId="0" xfId="349" applyFont="1"/>
    <xf numFmtId="0" fontId="5" fillId="0" borderId="0" xfId="0" applyFont="1"/>
    <xf numFmtId="0" fontId="30" fillId="40" borderId="0" xfId="349" applyNumberFormat="1" applyFont="1"/>
    <xf numFmtId="0" fontId="0" fillId="0" borderId="0" xfId="0"/>
    <xf numFmtId="16" fontId="30" fillId="40" borderId="0" xfId="349" applyNumberFormat="1" applyFont="1"/>
    <xf numFmtId="194" fontId="0" fillId="0" borderId="0" xfId="0" applyNumberFormat="1"/>
    <xf numFmtId="195" fontId="0" fillId="0" borderId="0" xfId="0" applyNumberFormat="1"/>
    <xf numFmtId="198" fontId="0" fillId="0" borderId="0" xfId="586" applyNumberFormat="1" applyFont="1"/>
    <xf numFmtId="14" fontId="0" fillId="0" borderId="0" xfId="0" applyNumberFormat="1"/>
  </cellXfs>
  <cellStyles count="587">
    <cellStyle name="_Bonds" xfId="2"/>
    <cellStyle name="_Bonds 2" xfId="3"/>
    <cellStyle name="_Offering" xfId="4"/>
    <cellStyle name="_Offering 2" xfId="5"/>
    <cellStyle name="£ BP" xfId="6"/>
    <cellStyle name="¥ JY" xfId="7"/>
    <cellStyle name="20% - Accent1 2" xfId="8"/>
    <cellStyle name="20% - Accent1 2 2" xfId="9"/>
    <cellStyle name="20% - Accent1 2 3" xfId="10"/>
    <cellStyle name="20% - Accent1 3" xfId="11"/>
    <cellStyle name="20% - Accent1 3 2" xfId="12"/>
    <cellStyle name="20% - Accent1 3 3" xfId="13"/>
    <cellStyle name="20% - Accent1 4" xfId="14"/>
    <cellStyle name="20% - Accent1 5" xfId="15"/>
    <cellStyle name="20% - Accent2 2" xfId="16"/>
    <cellStyle name="20% - Accent2 3" xfId="17"/>
    <cellStyle name="20% - Accent2 4" xfId="18"/>
    <cellStyle name="20% - Accent3 2" xfId="19"/>
    <cellStyle name="20% - Accent3 3" xfId="20"/>
    <cellStyle name="20% - Accent3 4" xfId="21"/>
    <cellStyle name="20% - Accent4 2" xfId="22"/>
    <cellStyle name="20% - Accent4 3" xfId="23"/>
    <cellStyle name="20% - Accent4 4" xfId="24"/>
    <cellStyle name="20% - Accent5 2" xfId="25"/>
    <cellStyle name="20% - Accent5 3" xfId="26"/>
    <cellStyle name="20% - Accent5 4" xfId="27"/>
    <cellStyle name="20% - Accent6 2" xfId="28"/>
    <cellStyle name="20% - Accent6 3" xfId="29"/>
    <cellStyle name="20% - Accent6 4" xfId="30"/>
    <cellStyle name="40% - Accent1 2" xfId="31"/>
    <cellStyle name="40% - Accent1 3" xfId="32"/>
    <cellStyle name="40% - Accent1 4" xfId="33"/>
    <cellStyle name="40% - Accent2 2" xfId="34"/>
    <cellStyle name="40% - Accent2 3" xfId="35"/>
    <cellStyle name="40% - Accent2 4" xfId="36"/>
    <cellStyle name="40% - Accent3 2" xfId="37"/>
    <cellStyle name="40% - Accent3 3" xfId="38"/>
    <cellStyle name="40% - Accent3 4" xfId="39"/>
    <cellStyle name="40% - Accent4 2" xfId="40"/>
    <cellStyle name="40% - Accent4 3" xfId="41"/>
    <cellStyle name="40% - Accent4 4" xfId="42"/>
    <cellStyle name="40% - Accent5 2" xfId="43"/>
    <cellStyle name="40% - Accent5 3" xfId="44"/>
    <cellStyle name="40% - Accent5 4" xfId="45"/>
    <cellStyle name="40% - Accent6 2" xfId="46"/>
    <cellStyle name="40% - Accent6 3" xfId="47"/>
    <cellStyle name="40% - Accent6 4" xfId="48"/>
    <cellStyle name="60% - Accent1 2" xfId="49"/>
    <cellStyle name="60% - Accent1 3" xfId="50"/>
    <cellStyle name="60% - Accent1 4" xfId="51"/>
    <cellStyle name="60% - Accent2 2" xfId="52"/>
    <cellStyle name="60% - Accent2 3" xfId="53"/>
    <cellStyle name="60% - Accent2 4" xfId="54"/>
    <cellStyle name="60% - Accent3 2" xfId="55"/>
    <cellStyle name="60% - Accent3 3" xfId="56"/>
    <cellStyle name="60% - Accent3 4" xfId="57"/>
    <cellStyle name="60% - Accent4 2" xfId="58"/>
    <cellStyle name="60% - Accent4 3" xfId="59"/>
    <cellStyle name="60% - Accent4 4" xfId="60"/>
    <cellStyle name="60% - Accent5 2" xfId="61"/>
    <cellStyle name="60% - Accent5 3" xfId="62"/>
    <cellStyle name="60% - Accent5 4" xfId="63"/>
    <cellStyle name="60% - Accent6 2" xfId="64"/>
    <cellStyle name="60% - Accent6 3" xfId="65"/>
    <cellStyle name="60% - Accent6 4" xfId="66"/>
    <cellStyle name="Accent1 2" xfId="67"/>
    <cellStyle name="Accent1 3" xfId="68"/>
    <cellStyle name="Accent1 4" xfId="69"/>
    <cellStyle name="Accent2 2" xfId="70"/>
    <cellStyle name="Accent2 3" xfId="71"/>
    <cellStyle name="Accent2 4" xfId="72"/>
    <cellStyle name="Accent3 2" xfId="73"/>
    <cellStyle name="Accent3 3" xfId="74"/>
    <cellStyle name="Accent3 4" xfId="75"/>
    <cellStyle name="Accent4 2" xfId="76"/>
    <cellStyle name="Accent4 3" xfId="77"/>
    <cellStyle name="Accent4 4" xfId="78"/>
    <cellStyle name="Accent5 2" xfId="79"/>
    <cellStyle name="Accent5 3" xfId="80"/>
    <cellStyle name="Accent5 4" xfId="81"/>
    <cellStyle name="Accent6 2" xfId="82"/>
    <cellStyle name="Accent6 3" xfId="83"/>
    <cellStyle name="Accent6 4" xfId="84"/>
    <cellStyle name="Auto_OpenAuto_CloseExtractD_Sheet1" xfId="85"/>
    <cellStyle name="Axis.EffectiveDate" xfId="86"/>
    <cellStyle name="Axis.EffectiveDate 2" xfId="530"/>
    <cellStyle name="Axis.Seasoning" xfId="87"/>
    <cellStyle name="Bad 2" xfId="88"/>
    <cellStyle name="Bad 3" xfId="89"/>
    <cellStyle name="Bad 4" xfId="90"/>
    <cellStyle name="Big Money" xfId="91"/>
    <cellStyle name="Big Money 2" xfId="531"/>
    <cellStyle name="Blue" xfId="92"/>
    <cellStyle name="blue axis cells" xfId="93"/>
    <cellStyle name="blue text cells" xfId="94"/>
    <cellStyle name="Body" xfId="95"/>
    <cellStyle name="Bold/Border" xfId="96"/>
    <cellStyle name="Border" xfId="97"/>
    <cellStyle name="Bullet" xfId="98"/>
    <cellStyle name="Calc Currency (0)" xfId="99"/>
    <cellStyle name="Calc Currency (0) 2" xfId="100"/>
    <cellStyle name="Calc Currency (2)" xfId="101"/>
    <cellStyle name="Calc Currency (2) 2" xfId="102"/>
    <cellStyle name="Calc Percent (0)" xfId="103"/>
    <cellStyle name="Calc Percent (0) 2" xfId="104"/>
    <cellStyle name="Calc Percent (1)" xfId="105"/>
    <cellStyle name="Calc Percent (1) 2" xfId="106"/>
    <cellStyle name="Calc Percent (2)" xfId="107"/>
    <cellStyle name="Calc Percent (2) 2" xfId="108"/>
    <cellStyle name="Calc Units (0)" xfId="109"/>
    <cellStyle name="Calc Units (0) 2" xfId="110"/>
    <cellStyle name="Calc Units (1)" xfId="111"/>
    <cellStyle name="Calc Units (1) 2" xfId="112"/>
    <cellStyle name="Calc Units (2)" xfId="113"/>
    <cellStyle name="Calc Units (2) 2" xfId="114"/>
    <cellStyle name="Calculation 2" xfId="115"/>
    <cellStyle name="Calculation 2 2" xfId="568"/>
    <cellStyle name="Calculation 3" xfId="116"/>
    <cellStyle name="Calculation 3 2" xfId="567"/>
    <cellStyle name="Calculation 4" xfId="117"/>
    <cellStyle name="Calculation 4 2" xfId="566"/>
    <cellStyle name="CCM Input" xfId="118"/>
    <cellStyle name="CCM Title Calculations" xfId="119"/>
    <cellStyle name="CCM Title Indicative" xfId="120"/>
    <cellStyle name="Cello Calculation" xfId="121"/>
    <cellStyle name="Cello Calculation 2" xfId="122"/>
    <cellStyle name="Cello Calculation 2 2" xfId="123"/>
    <cellStyle name="Cello Calculation 3" xfId="124"/>
    <cellStyle name="Cello Calculation 4" xfId="125"/>
    <cellStyle name="Cello Input" xfId="1"/>
    <cellStyle name="Cello Input 2" xfId="126"/>
    <cellStyle name="Cello Input 2 2" xfId="127"/>
    <cellStyle name="Cello Input 2 3" xfId="128"/>
    <cellStyle name="Cello Input 2 5" xfId="129"/>
    <cellStyle name="Cello Input 3" xfId="130"/>
    <cellStyle name="Cello Input 4" xfId="131"/>
    <cellStyle name="Cello Linked Cell" xfId="132"/>
    <cellStyle name="Cello Linked Cell 2" xfId="133"/>
    <cellStyle name="Cello Linked Cell 2 2" xfId="134"/>
    <cellStyle name="Cello Linked Cell 2 2 2" xfId="537"/>
    <cellStyle name="Cello Linked Cell 2 3" xfId="536"/>
    <cellStyle name="Cello Linked Cell 3" xfId="535"/>
    <cellStyle name="Check Cell 2" xfId="135"/>
    <cellStyle name="Check Cell 3" xfId="136"/>
    <cellStyle name="Check Cell 4" xfId="137"/>
    <cellStyle name="Co. Names" xfId="138"/>
    <cellStyle name="Comma" xfId="586" builtinId="3"/>
    <cellStyle name="Comma  - Style1" xfId="139"/>
    <cellStyle name="Comma  - Style1 2" xfId="140"/>
    <cellStyle name="Comma  - Style2" xfId="141"/>
    <cellStyle name="Comma  - Style2 2" xfId="142"/>
    <cellStyle name="Comma  - Style3" xfId="143"/>
    <cellStyle name="Comma  - Style3 2" xfId="144"/>
    <cellStyle name="Comma  - Style4" xfId="145"/>
    <cellStyle name="Comma  - Style4 2" xfId="146"/>
    <cellStyle name="Comma  - Style5" xfId="147"/>
    <cellStyle name="Comma  - Style5 2" xfId="148"/>
    <cellStyle name="Comma  - Style6" xfId="149"/>
    <cellStyle name="Comma  - Style6 2" xfId="150"/>
    <cellStyle name="Comma  - Style7" xfId="151"/>
    <cellStyle name="Comma  - Style7 2" xfId="152"/>
    <cellStyle name="Comma  - Style8" xfId="153"/>
    <cellStyle name="Comma  - Style8 2" xfId="154"/>
    <cellStyle name="Comma [00]" xfId="155"/>
    <cellStyle name="Comma [00] 2" xfId="156"/>
    <cellStyle name="Comma 10" xfId="157"/>
    <cellStyle name="Comma 11" xfId="158"/>
    <cellStyle name="Comma 12" xfId="159"/>
    <cellStyle name="Comma 13" xfId="160"/>
    <cellStyle name="Comma 14" xfId="161"/>
    <cellStyle name="Comma 15" xfId="162"/>
    <cellStyle name="Comma 16" xfId="163"/>
    <cellStyle name="Comma 16 2" xfId="164"/>
    <cellStyle name="Comma 17" xfId="165"/>
    <cellStyle name="Comma 18" xfId="166"/>
    <cellStyle name="Comma 19" xfId="167"/>
    <cellStyle name="Comma 2" xfId="168"/>
    <cellStyle name="Comma 20" xfId="169"/>
    <cellStyle name="Comma 21" xfId="170"/>
    <cellStyle name="Comma 22" xfId="171"/>
    <cellStyle name="Comma 23" xfId="172"/>
    <cellStyle name="Comma 24" xfId="173"/>
    <cellStyle name="Comma 25" xfId="174"/>
    <cellStyle name="Comma 26" xfId="175"/>
    <cellStyle name="Comma 27" xfId="176"/>
    <cellStyle name="Comma 28" xfId="177"/>
    <cellStyle name="Comma 29" xfId="178"/>
    <cellStyle name="Comma 29 2" xfId="179"/>
    <cellStyle name="Comma 3" xfId="180"/>
    <cellStyle name="Comma 30" xfId="181"/>
    <cellStyle name="Comma 4" xfId="182"/>
    <cellStyle name="Comma 4 2" xfId="183"/>
    <cellStyle name="Comma 5" xfId="184"/>
    <cellStyle name="Comma 6" xfId="185"/>
    <cellStyle name="Comma 7" xfId="186"/>
    <cellStyle name="Comma 8" xfId="187"/>
    <cellStyle name="Comma 9" xfId="188"/>
    <cellStyle name="Comma0" xfId="189"/>
    <cellStyle name="Comma1 - Style1" xfId="190"/>
    <cellStyle name="Copied" xfId="191"/>
    <cellStyle name="CTDSwitchAnalysisHeader" xfId="192"/>
    <cellStyle name="Curren - Style2" xfId="193"/>
    <cellStyle name="Currency [00]" xfId="194"/>
    <cellStyle name="Currency [00] 2" xfId="195"/>
    <cellStyle name="Currency [2]" xfId="196"/>
    <cellStyle name="Currency [2] 2" xfId="563"/>
    <cellStyle name="Currency 10" xfId="197"/>
    <cellStyle name="Currency 11" xfId="198"/>
    <cellStyle name="Currency 12" xfId="199"/>
    <cellStyle name="Currency 13" xfId="200"/>
    <cellStyle name="Currency 14" xfId="201"/>
    <cellStyle name="Currency 15" xfId="202"/>
    <cellStyle name="Currency 2" xfId="203"/>
    <cellStyle name="Currency 3" xfId="204"/>
    <cellStyle name="Currency 4" xfId="205"/>
    <cellStyle name="Currency 5" xfId="206"/>
    <cellStyle name="Currency 6" xfId="207"/>
    <cellStyle name="Currency 7" xfId="208"/>
    <cellStyle name="Currency 8" xfId="209"/>
    <cellStyle name="Currency 9" xfId="210"/>
    <cellStyle name="Currency0" xfId="211"/>
    <cellStyle name="Dash" xfId="212"/>
    <cellStyle name="Data.LongPercent" xfId="213"/>
    <cellStyle name="Data.NumPercent" xfId="214"/>
    <cellStyle name="Data.NumShortPercent" xfId="215"/>
    <cellStyle name="date" xfId="216"/>
    <cellStyle name="Date - Style3" xfId="217"/>
    <cellStyle name="Date 2" xfId="218"/>
    <cellStyle name="Date 3" xfId="219"/>
    <cellStyle name="Date 4" xfId="220"/>
    <cellStyle name="Date 5" xfId="221"/>
    <cellStyle name="Date 6" xfId="222"/>
    <cellStyle name="Date 7" xfId="223"/>
    <cellStyle name="Date 7 2" xfId="546"/>
    <cellStyle name="date 8" xfId="545"/>
    <cellStyle name="date 9" xfId="561"/>
    <cellStyle name="Date Short" xfId="224"/>
    <cellStyle name="Date Short 2" xfId="547"/>
    <cellStyle name="date title" xfId="225"/>
    <cellStyle name="Date_DV01" xfId="226"/>
    <cellStyle name="DateFormat" xfId="227"/>
    <cellStyle name="DateFormat 2" xfId="548"/>
    <cellStyle name="DBAHandle" xfId="228"/>
    <cellStyle name="DBAParameter" xfId="229"/>
    <cellStyle name="DELTA" xfId="230"/>
    <cellStyle name="DELTA 2" xfId="549"/>
    <cellStyle name="DS 0" xfId="231"/>
    <cellStyle name="DS 1" xfId="232"/>
    <cellStyle name="DS 2" xfId="233"/>
    <cellStyle name="DS 3" xfId="234"/>
    <cellStyle name="DS 4" xfId="235"/>
    <cellStyle name="DS 4 2" xfId="552"/>
    <cellStyle name="DS 5" xfId="236"/>
    <cellStyle name="DS 5 2" xfId="237"/>
    <cellStyle name="DS 5 2 2" xfId="554"/>
    <cellStyle name="DS 5 3" xfId="553"/>
    <cellStyle name="DS 6" xfId="238"/>
    <cellStyle name="DS 6 2" xfId="555"/>
    <cellStyle name="Enter Currency (0)" xfId="239"/>
    <cellStyle name="Enter Currency (0) 2" xfId="240"/>
    <cellStyle name="Enter Currency (2)" xfId="241"/>
    <cellStyle name="Enter Currency (2) 2" xfId="242"/>
    <cellStyle name="Enter Units (0)" xfId="243"/>
    <cellStyle name="Enter Units (0) 2" xfId="244"/>
    <cellStyle name="Enter Units (1)" xfId="245"/>
    <cellStyle name="Enter Units (1) 2" xfId="246"/>
    <cellStyle name="Enter Units (2)" xfId="247"/>
    <cellStyle name="Enter Units (2) 2" xfId="248"/>
    <cellStyle name="Entered" xfId="249"/>
    <cellStyle name="Entries" xfId="250"/>
    <cellStyle name="Entries 2" xfId="556"/>
    <cellStyle name="Euro" xfId="251"/>
    <cellStyle name="Explanatory Text 2" xfId="252"/>
    <cellStyle name="Explanatory Text 3" xfId="253"/>
    <cellStyle name="Explanatory Text 4" xfId="254"/>
    <cellStyle name="Fixed" xfId="255"/>
    <cellStyle name="FullTime" xfId="256"/>
    <cellStyle name="General" xfId="257"/>
    <cellStyle name="Good 2" xfId="258"/>
    <cellStyle name="Good 3" xfId="259"/>
    <cellStyle name="Good 4" xfId="260"/>
    <cellStyle name="gray text cells" xfId="261"/>
    <cellStyle name="Grey" xfId="262"/>
    <cellStyle name="Grey 2" xfId="557"/>
    <cellStyle name="Header1" xfId="263"/>
    <cellStyle name="Header2" xfId="264"/>
    <cellStyle name="Header2 2" xfId="558"/>
    <cellStyle name="Header2 3" xfId="551"/>
    <cellStyle name="Heading" xfId="265"/>
    <cellStyle name="Heading 1 2" xfId="266"/>
    <cellStyle name="Heading 1 2 2" xfId="267"/>
    <cellStyle name="Heading 1 3" xfId="268"/>
    <cellStyle name="Heading 1 4" xfId="269"/>
    <cellStyle name="Heading 1 5" xfId="270"/>
    <cellStyle name="Heading 2 2" xfId="271"/>
    <cellStyle name="Heading 2 2 2" xfId="272"/>
    <cellStyle name="Heading 2 3" xfId="273"/>
    <cellStyle name="Heading 2 4" xfId="274"/>
    <cellStyle name="Heading 2 5" xfId="275"/>
    <cellStyle name="Heading 3 2" xfId="276"/>
    <cellStyle name="Heading 3 3" xfId="277"/>
    <cellStyle name="Heading 3 4" xfId="278"/>
    <cellStyle name="Heading 4 2" xfId="279"/>
    <cellStyle name="Heading 4 3" xfId="280"/>
    <cellStyle name="Heading 4 4" xfId="281"/>
    <cellStyle name="Heading 5" xfId="282"/>
    <cellStyle name="Heading 6" xfId="550"/>
    <cellStyle name="HEADING1" xfId="283"/>
    <cellStyle name="HEADING2" xfId="284"/>
    <cellStyle name="Hyperlink 2" xfId="285"/>
    <cellStyle name="Input [yellow]" xfId="286"/>
    <cellStyle name="Input [yellow] 2" xfId="544"/>
    <cellStyle name="Input 2" xfId="287"/>
    <cellStyle name="Input 2 2" xfId="288"/>
    <cellStyle name="Input 2 2 2" xfId="560"/>
    <cellStyle name="Input 2 2 3" xfId="542"/>
    <cellStyle name="Input 2 3" xfId="289"/>
    <cellStyle name="Input 2 4" xfId="559"/>
    <cellStyle name="Input 2 5" xfId="543"/>
    <cellStyle name="Input 3" xfId="290"/>
    <cellStyle name="Input 3 2" xfId="541"/>
    <cellStyle name="Input 4" xfId="291"/>
    <cellStyle name="Input 4 2" xfId="540"/>
    <cellStyle name="Input 5" xfId="292"/>
    <cellStyle name="Input 5 2" xfId="539"/>
    <cellStyle name="Input 6" xfId="293"/>
    <cellStyle name="Input 6 2" xfId="538"/>
    <cellStyle name="Input 7" xfId="294"/>
    <cellStyle name="Input 7 2" xfId="562"/>
    <cellStyle name="Item" xfId="295"/>
    <cellStyle name="Link Currency (0)" xfId="296"/>
    <cellStyle name="Link Currency (0) 2" xfId="297"/>
    <cellStyle name="Link Currency (2)" xfId="298"/>
    <cellStyle name="Link Currency (2) 2" xfId="299"/>
    <cellStyle name="Link Units (0)" xfId="300"/>
    <cellStyle name="Link Units (0) 2" xfId="301"/>
    <cellStyle name="Link Units (1)" xfId="302"/>
    <cellStyle name="Link Units (1) 2" xfId="303"/>
    <cellStyle name="Link Units (2)" xfId="304"/>
    <cellStyle name="Link Units (2) 2" xfId="305"/>
    <cellStyle name="Linked Cell 2" xfId="306"/>
    <cellStyle name="Linked Cell 3" xfId="307"/>
    <cellStyle name="Linked Cell 4" xfId="308"/>
    <cellStyle name="Lookup" xfId="309"/>
    <cellStyle name="Milliers [0]_Basis" xfId="310"/>
    <cellStyle name="Milliers_Basis" xfId="311"/>
    <cellStyle name="Monétaire [0]_Basis" xfId="312"/>
    <cellStyle name="Monétaire_Basis" xfId="313"/>
    <cellStyle name="Money" xfId="314"/>
    <cellStyle name="Money 2" xfId="564"/>
    <cellStyle name="Neutral 2" xfId="315"/>
    <cellStyle name="Neutral 3" xfId="316"/>
    <cellStyle name="Neutral 4" xfId="317"/>
    <cellStyle name="no dec" xfId="318"/>
    <cellStyle name="no dec 2" xfId="565"/>
    <cellStyle name="NoChange" xfId="319"/>
    <cellStyle name="Non Zero" xfId="320"/>
    <cellStyle name="Normal" xfId="0" builtinId="0"/>
    <cellStyle name="Normal - Style1" xfId="321"/>
    <cellStyle name="Normal 10" xfId="322"/>
    <cellStyle name="Normal 10 2" xfId="323"/>
    <cellStyle name="Normal 107" xfId="324"/>
    <cellStyle name="Normal 11" xfId="325"/>
    <cellStyle name="Normal 11 2" xfId="326"/>
    <cellStyle name="Normal 12" xfId="327"/>
    <cellStyle name="Normal 13" xfId="328"/>
    <cellStyle name="Normal 14" xfId="329"/>
    <cellStyle name="Normal 15" xfId="330"/>
    <cellStyle name="Normal 16" xfId="331"/>
    <cellStyle name="Normal 17" xfId="332"/>
    <cellStyle name="Normal 18" xfId="333"/>
    <cellStyle name="Normal 19" xfId="334"/>
    <cellStyle name="Normal 2" xfId="335"/>
    <cellStyle name="Normal 2 2" xfId="336"/>
    <cellStyle name="Normal 2 2 2" xfId="337"/>
    <cellStyle name="Normal 2 3" xfId="338"/>
    <cellStyle name="Normal 2 3 2" xfId="339"/>
    <cellStyle name="Normal 2 3 2 2" xfId="340"/>
    <cellStyle name="Normal 2 3 3" xfId="341"/>
    <cellStyle name="Normal 2 4" xfId="342"/>
    <cellStyle name="Normal 2 4 2" xfId="343"/>
    <cellStyle name="Normal 2 4 2 2" xfId="344"/>
    <cellStyle name="Normal 2 4 3" xfId="345"/>
    <cellStyle name="Normal 2 5" xfId="346"/>
    <cellStyle name="Normal 2 5 2" xfId="347"/>
    <cellStyle name="Normal 2 6" xfId="348"/>
    <cellStyle name="Normal 2 7" xfId="349"/>
    <cellStyle name="Normal 20" xfId="350"/>
    <cellStyle name="Normal 21" xfId="351"/>
    <cellStyle name="Normal 22" xfId="352"/>
    <cellStyle name="Normal 23" xfId="353"/>
    <cellStyle name="Normal 24" xfId="354"/>
    <cellStyle name="Normal 25" xfId="355"/>
    <cellStyle name="Normal 26" xfId="356"/>
    <cellStyle name="Normal 27" xfId="357"/>
    <cellStyle name="Normal 28" xfId="358"/>
    <cellStyle name="Normal 28 2" xfId="359"/>
    <cellStyle name="Normal 29" xfId="360"/>
    <cellStyle name="Normal 3" xfId="361"/>
    <cellStyle name="Normal 3 2" xfId="362"/>
    <cellStyle name="Normal 30" xfId="363"/>
    <cellStyle name="Normal 31" xfId="364"/>
    <cellStyle name="Normal 32" xfId="365"/>
    <cellStyle name="Normal 33" xfId="366"/>
    <cellStyle name="Normal 34" xfId="367"/>
    <cellStyle name="Normal 35" xfId="368"/>
    <cellStyle name="Normal 36" xfId="369"/>
    <cellStyle name="Normal 37" xfId="370"/>
    <cellStyle name="Normal 38" xfId="371"/>
    <cellStyle name="Normal 38 2" xfId="372"/>
    <cellStyle name="Normal 38 2 2" xfId="373"/>
    <cellStyle name="Normal 38 3" xfId="374"/>
    <cellStyle name="Normal 39" xfId="375"/>
    <cellStyle name="Normal 4" xfId="376"/>
    <cellStyle name="Normal 4 2" xfId="377"/>
    <cellStyle name="Normal 4 3" xfId="378"/>
    <cellStyle name="Normal 4 4" xfId="379"/>
    <cellStyle name="Normal 40" xfId="380"/>
    <cellStyle name="Normal 41" xfId="381"/>
    <cellStyle name="Normal 42" xfId="382"/>
    <cellStyle name="Normal 42 2" xfId="383"/>
    <cellStyle name="Normal 5" xfId="384"/>
    <cellStyle name="Normal 6" xfId="385"/>
    <cellStyle name="Normal 6 2" xfId="386"/>
    <cellStyle name="Normal 7" xfId="387"/>
    <cellStyle name="Normal 7 2" xfId="388"/>
    <cellStyle name="Normal 8" xfId="389"/>
    <cellStyle name="Normal 88" xfId="390"/>
    <cellStyle name="Normal 9" xfId="391"/>
    <cellStyle name="Normal 9 2" xfId="392"/>
    <cellStyle name="Note 2" xfId="393"/>
    <cellStyle name="Note 2 2" xfId="394"/>
    <cellStyle name="Note 2 2 2" xfId="569"/>
    <cellStyle name="Note 2 2 3" xfId="534"/>
    <cellStyle name="Note 2 3" xfId="395"/>
    <cellStyle name="Note 2 3 2" xfId="570"/>
    <cellStyle name="Note 2 3 3" xfId="533"/>
    <cellStyle name="Note 2 4" xfId="396"/>
    <cellStyle name="Note 3" xfId="397"/>
    <cellStyle name="Note 4" xfId="398"/>
    <cellStyle name="Note 4 2" xfId="571"/>
    <cellStyle name="Note 4 3" xfId="532"/>
    <cellStyle name="Note 5" xfId="399"/>
    <cellStyle name="Note 6" xfId="400"/>
    <cellStyle name="Note 7" xfId="401"/>
    <cellStyle name="Note 7 2" xfId="402"/>
    <cellStyle name="Note 8" xfId="403"/>
    <cellStyle name="NumberAsPercent" xfId="404"/>
    <cellStyle name="NumberFormat" xfId="405"/>
    <cellStyle name="NumberFormat 2" xfId="572"/>
    <cellStyle name="Numbers" xfId="406"/>
    <cellStyle name="Numbers - Bold" xfId="407"/>
    <cellStyle name="Numbers_increm pf" xfId="408"/>
    <cellStyle name="NumberTo1DecPlace" xfId="409"/>
    <cellStyle name="OffWhite" xfId="410"/>
    <cellStyle name="Option" xfId="411"/>
    <cellStyle name="orange text cell" xfId="412"/>
    <cellStyle name="Output 2" xfId="413"/>
    <cellStyle name="Output 2 2" xfId="573"/>
    <cellStyle name="Output 2 3" xfId="529"/>
    <cellStyle name="Output 3" xfId="414"/>
    <cellStyle name="Output 3 2" xfId="574"/>
    <cellStyle name="Output 3 3" xfId="528"/>
    <cellStyle name="Output 4" xfId="415"/>
    <cellStyle name="Output 4 2" xfId="575"/>
    <cellStyle name="Output 4 3" xfId="527"/>
    <cellStyle name="Output Amounts" xfId="416"/>
    <cellStyle name="Output Amounts 2" xfId="576"/>
    <cellStyle name="Output Column Headings" xfId="417"/>
    <cellStyle name="Output Line Items" xfId="418"/>
    <cellStyle name="Output Report Heading" xfId="419"/>
    <cellStyle name="Output Report Title" xfId="420"/>
    <cellStyle name="Pageheading" xfId="421"/>
    <cellStyle name="Percent [0]" xfId="422"/>
    <cellStyle name="Percent [0] 2" xfId="423"/>
    <cellStyle name="Percent [00]" xfId="424"/>
    <cellStyle name="Percent [00] 2" xfId="425"/>
    <cellStyle name="Percent [2]" xfId="426"/>
    <cellStyle name="Percent 2" xfId="427"/>
    <cellStyle name="Percent 2 2" xfId="428"/>
    <cellStyle name="Percent 3" xfId="429"/>
    <cellStyle name="Percentage" xfId="430"/>
    <cellStyle name="PrePop Currency (0)" xfId="431"/>
    <cellStyle name="PrePop Currency (0) 2" xfId="432"/>
    <cellStyle name="PrePop Currency (2)" xfId="433"/>
    <cellStyle name="PrePop Currency (2) 2" xfId="434"/>
    <cellStyle name="PrePop Units (0)" xfId="435"/>
    <cellStyle name="PrePop Units (0) 2" xfId="436"/>
    <cellStyle name="PrePop Units (1)" xfId="437"/>
    <cellStyle name="PrePop Units (1) 2" xfId="438"/>
    <cellStyle name="PrePop Units (2)" xfId="439"/>
    <cellStyle name="PrePop Units (2) 2" xfId="440"/>
    <cellStyle name="PriceTo3DecPlaces" xfId="441"/>
    <cellStyle name="PriceWithBorderAround" xfId="442"/>
    <cellStyle name="PriceWithBorderAround 2" xfId="526"/>
    <cellStyle name="PRICING" xfId="443"/>
    <cellStyle name="Product Header" xfId="444"/>
    <cellStyle name="PSChar" xfId="445"/>
    <cellStyle name="PSHeading" xfId="446"/>
    <cellStyle name="r" xfId="447"/>
    <cellStyle name="r_pldt" xfId="448"/>
    <cellStyle name="ReportLeftHeader" xfId="449"/>
    <cellStyle name="ReportRightHeader" xfId="450"/>
    <cellStyle name="results" xfId="451"/>
    <cellStyle name="RevList" xfId="452"/>
    <cellStyle name="RVRQueryHandle" xfId="453"/>
    <cellStyle name="Section" xfId="454"/>
    <cellStyle name="SecuritiesPricingTable" xfId="455"/>
    <cellStyle name="SecuritiesPricingTableFinalData" xfId="456"/>
    <cellStyle name="SecuritiesPricingTableManualData" xfId="457"/>
    <cellStyle name="SecuritiesPricingTableText" xfId="458"/>
    <cellStyle name="Short $" xfId="459"/>
    <cellStyle name="Short $ 2" xfId="460"/>
    <cellStyle name="SIZE" xfId="461"/>
    <cellStyle name="Standard_Swaps-Bonds-Blending" xfId="462"/>
    <cellStyle name="Style 1" xfId="463"/>
    <cellStyle name="StyleSecuritiesPricingTableInteger" xfId="464"/>
    <cellStyle name="Subheading" xfId="465"/>
    <cellStyle name="subtitle" xfId="466"/>
    <cellStyle name="Subtotal" xfId="467"/>
    <cellStyle name="Subtotal 2" xfId="577"/>
    <cellStyle name="Table" xfId="468"/>
    <cellStyle name="Table 2" xfId="578"/>
    <cellStyle name="Table 3" xfId="525"/>
    <cellStyle name="Tablebody" xfId="469"/>
    <cellStyle name="TablebodyDate" xfId="470"/>
    <cellStyle name="TablebodyDate 2" xfId="579"/>
    <cellStyle name="TablebodyHeading" xfId="471"/>
    <cellStyle name="TablebodyOutstandingAmount" xfId="472"/>
    <cellStyle name="TablebodyPercent" xfId="473"/>
    <cellStyle name="TablebodyPrice" xfId="474"/>
    <cellStyle name="TablebodyReverse" xfId="475"/>
    <cellStyle name="TablebodySpread" xfId="476"/>
    <cellStyle name="TablebodySpreadBorder" xfId="477"/>
    <cellStyle name="TablebodyText" xfId="478"/>
    <cellStyle name="Tableheading" xfId="479"/>
    <cellStyle name="Text" xfId="480"/>
    <cellStyle name="Text 2" xfId="481"/>
    <cellStyle name="Text Indent A" xfId="482"/>
    <cellStyle name="Text Indent A 2" xfId="580"/>
    <cellStyle name="Text Indent B" xfId="483"/>
    <cellStyle name="Text Indent B 2" xfId="484"/>
    <cellStyle name="Text Indent C" xfId="485"/>
    <cellStyle name="Text Indent C 2" xfId="486"/>
    <cellStyle name="TextStyle" xfId="487"/>
    <cellStyle name="TextStyle 2" xfId="581"/>
    <cellStyle name="tic display" xfId="488"/>
    <cellStyle name="tic input" xfId="489"/>
    <cellStyle name="Title - Underline" xfId="490"/>
    <cellStyle name="Title 2" xfId="491"/>
    <cellStyle name="Title 3" xfId="492"/>
    <cellStyle name="Title 4" xfId="493"/>
    <cellStyle name="Title 5" xfId="494"/>
    <cellStyle name="Title 6" xfId="495"/>
    <cellStyle name="Title 7" xfId="496"/>
    <cellStyle name="Title Calculations" xfId="497"/>
    <cellStyle name="Title Calculations 2" xfId="498"/>
    <cellStyle name="Title Calculations 3" xfId="585"/>
    <cellStyle name="Title Indicative" xfId="499"/>
    <cellStyle name="Title Indicative 2" xfId="500"/>
    <cellStyle name="Title Pricing Assumptions" xfId="501"/>
    <cellStyle name="Title Pricing Assumptions 2" xfId="502"/>
    <cellStyle name="Title Pricing Assumptions 2 2" xfId="503"/>
    <cellStyle name="Title Pricing Assumptions 2 3" xfId="504"/>
    <cellStyle name="Title Pricing Assumptions 3" xfId="505"/>
    <cellStyle name="Title Pricing Assumptions 3 12 8" xfId="506"/>
    <cellStyle name="Title Pricing Assumptions 3 6 4 2 8" xfId="507"/>
    <cellStyle name="Titles - Other" xfId="508"/>
    <cellStyle name="Total 2" xfId="509"/>
    <cellStyle name="Total 2 2" xfId="510"/>
    <cellStyle name="Total 2 2 2" xfId="583"/>
    <cellStyle name="Total 2 3" xfId="582"/>
    <cellStyle name="Total 3" xfId="511"/>
    <cellStyle name="Total 4" xfId="512"/>
    <cellStyle name="Total 4 2" xfId="584"/>
    <cellStyle name="Warning" xfId="513"/>
    <cellStyle name="Warning Text 2" xfId="514"/>
    <cellStyle name="Warning Text 3" xfId="515"/>
    <cellStyle name="Warning Text 4" xfId="516"/>
    <cellStyle name="YB Calculations" xfId="517"/>
    <cellStyle name="YB Calculations 2" xfId="518"/>
    <cellStyle name="YB Curve" xfId="519"/>
    <cellStyle name="YB Indicative" xfId="520"/>
    <cellStyle name="YBINDIC" xfId="521"/>
    <cellStyle name="YBIOPOBE" xfId="522"/>
    <cellStyle name="YBPRICE" xfId="523"/>
    <cellStyle name="一般_原始檔案" xfId="52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Sheet1!$M$7</c:f>
              <c:strCache>
                <c:ptCount val="1"/>
                <c:pt idx="0">
                  <c:v>CAI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Sheet1!$L$10:$L$50</c:f>
              <c:strCache>
                <c:ptCount val="41"/>
                <c:pt idx="0">
                  <c:v>2015-05-01</c:v>
                </c:pt>
                <c:pt idx="1">
                  <c:v>2015-04-01</c:v>
                </c:pt>
                <c:pt idx="2">
                  <c:v>2015-03-01</c:v>
                </c:pt>
                <c:pt idx="3">
                  <c:v>2015-02-01</c:v>
                </c:pt>
                <c:pt idx="4">
                  <c:v>2015-01-01</c:v>
                </c:pt>
                <c:pt idx="5">
                  <c:v>2014-12-01</c:v>
                </c:pt>
                <c:pt idx="6">
                  <c:v>2014-11-01</c:v>
                </c:pt>
                <c:pt idx="7">
                  <c:v>2014-10-01</c:v>
                </c:pt>
                <c:pt idx="8">
                  <c:v>2014-09-01</c:v>
                </c:pt>
                <c:pt idx="9">
                  <c:v>2014-08-01</c:v>
                </c:pt>
                <c:pt idx="10">
                  <c:v>2014-07-01</c:v>
                </c:pt>
                <c:pt idx="11">
                  <c:v>2014-06-01</c:v>
                </c:pt>
                <c:pt idx="12">
                  <c:v>2014-05-01</c:v>
                </c:pt>
                <c:pt idx="13">
                  <c:v>2014-04-01</c:v>
                </c:pt>
                <c:pt idx="14">
                  <c:v>2014-03-01</c:v>
                </c:pt>
                <c:pt idx="15">
                  <c:v>2014-02-01</c:v>
                </c:pt>
                <c:pt idx="16">
                  <c:v>2014-01-01</c:v>
                </c:pt>
                <c:pt idx="17">
                  <c:v>2013-12-01</c:v>
                </c:pt>
                <c:pt idx="18">
                  <c:v>2013-11-01</c:v>
                </c:pt>
                <c:pt idx="19">
                  <c:v>2013-10-01</c:v>
                </c:pt>
                <c:pt idx="20">
                  <c:v>2013-09-01</c:v>
                </c:pt>
                <c:pt idx="21">
                  <c:v>2013-08-01</c:v>
                </c:pt>
                <c:pt idx="22">
                  <c:v>2013-07-01</c:v>
                </c:pt>
                <c:pt idx="23">
                  <c:v>2013-06-01</c:v>
                </c:pt>
                <c:pt idx="24">
                  <c:v>2013-05-01</c:v>
                </c:pt>
                <c:pt idx="25">
                  <c:v>2013-04-01</c:v>
                </c:pt>
                <c:pt idx="26">
                  <c:v>2013-03-01</c:v>
                </c:pt>
                <c:pt idx="27">
                  <c:v>2013-02-01</c:v>
                </c:pt>
                <c:pt idx="28">
                  <c:v>2013-01-01</c:v>
                </c:pt>
                <c:pt idx="29">
                  <c:v>2012-12-01</c:v>
                </c:pt>
                <c:pt idx="30">
                  <c:v>2012-11-01</c:v>
                </c:pt>
                <c:pt idx="31">
                  <c:v>2012-10-01</c:v>
                </c:pt>
                <c:pt idx="32">
                  <c:v>2012-09-01</c:v>
                </c:pt>
                <c:pt idx="33">
                  <c:v>2012-08-01</c:v>
                </c:pt>
                <c:pt idx="34">
                  <c:v>2012-07-01</c:v>
                </c:pt>
                <c:pt idx="35">
                  <c:v>2012-06-01</c:v>
                </c:pt>
                <c:pt idx="36">
                  <c:v>2012-05-01</c:v>
                </c:pt>
                <c:pt idx="37">
                  <c:v>2012-04-01</c:v>
                </c:pt>
                <c:pt idx="38">
                  <c:v>2012-03-01</c:v>
                </c:pt>
                <c:pt idx="39">
                  <c:v>2012-02-01</c:v>
                </c:pt>
                <c:pt idx="40">
                  <c:v>2012-01-01</c:v>
                </c:pt>
              </c:strCache>
            </c:strRef>
          </c:cat>
          <c:val>
            <c:numRef>
              <c:f>Sheet1!$M$10:$M$50</c:f>
              <c:numCache>
                <c:formatCode>General</c:formatCode>
                <c:ptCount val="41"/>
                <c:pt idx="0">
                  <c:v>119.40015808680199</c:v>
                </c:pt>
                <c:pt idx="1">
                  <c:v>118.20146866043932</c:v>
                </c:pt>
                <c:pt idx="2">
                  <c:v>129.02062894963532</c:v>
                </c:pt>
                <c:pt idx="3">
                  <c:v>130.01612137025401</c:v>
                </c:pt>
                <c:pt idx="4">
                  <c:v>124.43843247079067</c:v>
                </c:pt>
                <c:pt idx="5">
                  <c:v>125.65339912101734</c:v>
                </c:pt>
                <c:pt idx="6">
                  <c:v>123.00335064196068</c:v>
                </c:pt>
                <c:pt idx="7">
                  <c:v>119.21321872111734</c:v>
                </c:pt>
                <c:pt idx="8">
                  <c:v>118.72124305055667</c:v>
                </c:pt>
                <c:pt idx="9">
                  <c:v>118.83447141920401</c:v>
                </c:pt>
                <c:pt idx="10">
                  <c:v>123.90837721749735</c:v>
                </c:pt>
                <c:pt idx="11">
                  <c:v>120.550482038596</c:v>
                </c:pt>
                <c:pt idx="12">
                  <c:v>114.0551020892207</c:v>
                </c:pt>
                <c:pt idx="13">
                  <c:v>115.83966956351601</c:v>
                </c:pt>
                <c:pt idx="14">
                  <c:v>112.56509487375732</c:v>
                </c:pt>
                <c:pt idx="15">
                  <c:v>103.443008255088</c:v>
                </c:pt>
                <c:pt idx="16">
                  <c:v>104.65457152151936</c:v>
                </c:pt>
                <c:pt idx="17">
                  <c:v>116.03520622914067</c:v>
                </c:pt>
                <c:pt idx="18">
                  <c:v>110.67964213365467</c:v>
                </c:pt>
                <c:pt idx="19">
                  <c:v>101.0422697317</c:v>
                </c:pt>
                <c:pt idx="20">
                  <c:v>91.789744827140012</c:v>
                </c:pt>
                <c:pt idx="21">
                  <c:v>83.132801566099346</c:v>
                </c:pt>
                <c:pt idx="22">
                  <c:v>90.983751261809999</c:v>
                </c:pt>
                <c:pt idx="23">
                  <c:v>102.75804387825733</c:v>
                </c:pt>
                <c:pt idx="24">
                  <c:v>98.911323556058008</c:v>
                </c:pt>
                <c:pt idx="25">
                  <c:v>93.875643929005335</c:v>
                </c:pt>
                <c:pt idx="26">
                  <c:v>93.249310528408017</c:v>
                </c:pt>
                <c:pt idx="27">
                  <c:v>94.209298256365997</c:v>
                </c:pt>
                <c:pt idx="28">
                  <c:v>95.567684397638004</c:v>
                </c:pt>
                <c:pt idx="29">
                  <c:v>96.944795637633348</c:v>
                </c:pt>
                <c:pt idx="30">
                  <c:v>97.733261398078</c:v>
                </c:pt>
                <c:pt idx="31">
                  <c:v>92.793325419672001</c:v>
                </c:pt>
                <c:pt idx="32">
                  <c:v>95.541241237618678</c:v>
                </c:pt>
                <c:pt idx="33">
                  <c:v>95.017316705703337</c:v>
                </c:pt>
                <c:pt idx="34">
                  <c:v>94.605522683989335</c:v>
                </c:pt>
                <c:pt idx="35">
                  <c:v>91.214547254206664</c:v>
                </c:pt>
                <c:pt idx="36">
                  <c:v>86.395526369552684</c:v>
                </c:pt>
                <c:pt idx="37">
                  <c:v>88.207712612866004</c:v>
                </c:pt>
                <c:pt idx="38">
                  <c:v>89.588055605596679</c:v>
                </c:pt>
                <c:pt idx="39">
                  <c:v>89.821262032243325</c:v>
                </c:pt>
                <c:pt idx="40">
                  <c:v>91.006815130531322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2232816"/>
        <c:axId val="402229288"/>
      </c:lineChart>
      <c:lineChart>
        <c:grouping val="standard"/>
        <c:varyColors val="0"/>
        <c:ser>
          <c:idx val="2"/>
          <c:order val="1"/>
          <c:tx>
            <c:strRef>
              <c:f>Sheet1!$O$7</c:f>
              <c:strCache>
                <c:ptCount val="1"/>
                <c:pt idx="0">
                  <c:v>Closing 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Sheet1!$L$10:$L$50</c:f>
              <c:strCache>
                <c:ptCount val="41"/>
                <c:pt idx="0">
                  <c:v>2015-05-01</c:v>
                </c:pt>
                <c:pt idx="1">
                  <c:v>2015-04-01</c:v>
                </c:pt>
                <c:pt idx="2">
                  <c:v>2015-03-01</c:v>
                </c:pt>
                <c:pt idx="3">
                  <c:v>2015-02-01</c:v>
                </c:pt>
                <c:pt idx="4">
                  <c:v>2015-01-01</c:v>
                </c:pt>
                <c:pt idx="5">
                  <c:v>2014-12-01</c:v>
                </c:pt>
                <c:pt idx="6">
                  <c:v>2014-11-01</c:v>
                </c:pt>
                <c:pt idx="7">
                  <c:v>2014-10-01</c:v>
                </c:pt>
                <c:pt idx="8">
                  <c:v>2014-09-01</c:v>
                </c:pt>
                <c:pt idx="9">
                  <c:v>2014-08-01</c:v>
                </c:pt>
                <c:pt idx="10">
                  <c:v>2014-07-01</c:v>
                </c:pt>
                <c:pt idx="11">
                  <c:v>2014-06-01</c:v>
                </c:pt>
                <c:pt idx="12">
                  <c:v>2014-05-01</c:v>
                </c:pt>
                <c:pt idx="13">
                  <c:v>2014-04-01</c:v>
                </c:pt>
                <c:pt idx="14">
                  <c:v>2014-03-01</c:v>
                </c:pt>
                <c:pt idx="15">
                  <c:v>2014-02-01</c:v>
                </c:pt>
                <c:pt idx="16">
                  <c:v>2014-01-01</c:v>
                </c:pt>
                <c:pt idx="17">
                  <c:v>2013-12-01</c:v>
                </c:pt>
                <c:pt idx="18">
                  <c:v>2013-11-01</c:v>
                </c:pt>
                <c:pt idx="19">
                  <c:v>2013-10-01</c:v>
                </c:pt>
                <c:pt idx="20">
                  <c:v>2013-09-01</c:v>
                </c:pt>
                <c:pt idx="21">
                  <c:v>2013-08-01</c:v>
                </c:pt>
                <c:pt idx="22">
                  <c:v>2013-07-01</c:v>
                </c:pt>
                <c:pt idx="23">
                  <c:v>2013-06-01</c:v>
                </c:pt>
                <c:pt idx="24">
                  <c:v>2013-05-01</c:v>
                </c:pt>
                <c:pt idx="25">
                  <c:v>2013-04-01</c:v>
                </c:pt>
                <c:pt idx="26">
                  <c:v>2013-03-01</c:v>
                </c:pt>
                <c:pt idx="27">
                  <c:v>2013-02-01</c:v>
                </c:pt>
                <c:pt idx="28">
                  <c:v>2013-01-01</c:v>
                </c:pt>
                <c:pt idx="29">
                  <c:v>2012-12-01</c:v>
                </c:pt>
                <c:pt idx="30">
                  <c:v>2012-11-01</c:v>
                </c:pt>
                <c:pt idx="31">
                  <c:v>2012-10-01</c:v>
                </c:pt>
                <c:pt idx="32">
                  <c:v>2012-09-01</c:v>
                </c:pt>
                <c:pt idx="33">
                  <c:v>2012-08-01</c:v>
                </c:pt>
                <c:pt idx="34">
                  <c:v>2012-07-01</c:v>
                </c:pt>
                <c:pt idx="35">
                  <c:v>2012-06-01</c:v>
                </c:pt>
                <c:pt idx="36">
                  <c:v>2012-05-01</c:v>
                </c:pt>
                <c:pt idx="37">
                  <c:v>2012-04-01</c:v>
                </c:pt>
                <c:pt idx="38">
                  <c:v>2012-03-01</c:v>
                </c:pt>
                <c:pt idx="39">
                  <c:v>2012-02-01</c:v>
                </c:pt>
                <c:pt idx="40">
                  <c:v>2012-01-01</c:v>
                </c:pt>
              </c:strCache>
            </c:strRef>
          </c:cat>
          <c:val>
            <c:numRef>
              <c:f>Sheet1!$O$10:$O$50</c:f>
              <c:numCache>
                <c:formatCode>General</c:formatCode>
                <c:ptCount val="41"/>
                <c:pt idx="0">
                  <c:v>70.7</c:v>
                </c:pt>
                <c:pt idx="1">
                  <c:v>69</c:v>
                </c:pt>
                <c:pt idx="2">
                  <c:v>68.2</c:v>
                </c:pt>
                <c:pt idx="3">
                  <c:v>66.5</c:v>
                </c:pt>
                <c:pt idx="4">
                  <c:v>67.5</c:v>
                </c:pt>
                <c:pt idx="5">
                  <c:v>67.2</c:v>
                </c:pt>
                <c:pt idx="6">
                  <c:v>68.3</c:v>
                </c:pt>
                <c:pt idx="7">
                  <c:v>67.099999999999994</c:v>
                </c:pt>
                <c:pt idx="8">
                  <c:v>66.5</c:v>
                </c:pt>
                <c:pt idx="9">
                  <c:v>66.099999999999994</c:v>
                </c:pt>
                <c:pt idx="10">
                  <c:v>64.3</c:v>
                </c:pt>
                <c:pt idx="11">
                  <c:v>65.099999999999994</c:v>
                </c:pt>
                <c:pt idx="12">
                  <c:v>61.7</c:v>
                </c:pt>
                <c:pt idx="13">
                  <c:v>63.6</c:v>
                </c:pt>
                <c:pt idx="14">
                  <c:v>61.6</c:v>
                </c:pt>
                <c:pt idx="15">
                  <c:v>58.8</c:v>
                </c:pt>
                <c:pt idx="16">
                  <c:v>60.7</c:v>
                </c:pt>
                <c:pt idx="17">
                  <c:v>62</c:v>
                </c:pt>
                <c:pt idx="18">
                  <c:v>61.6</c:v>
                </c:pt>
                <c:pt idx="19">
                  <c:v>60.7</c:v>
                </c:pt>
                <c:pt idx="20">
                  <c:v>59.1</c:v>
                </c:pt>
                <c:pt idx="21">
                  <c:v>56.9</c:v>
                </c:pt>
                <c:pt idx="22">
                  <c:v>59.6</c:v>
                </c:pt>
                <c:pt idx="23">
                  <c:v>61.5</c:v>
                </c:pt>
                <c:pt idx="24">
                  <c:v>61.4</c:v>
                </c:pt>
                <c:pt idx="25">
                  <c:v>60.4</c:v>
                </c:pt>
                <c:pt idx="26">
                  <c:v>60.7</c:v>
                </c:pt>
                <c:pt idx="27">
                  <c:v>58.2</c:v>
                </c:pt>
                <c:pt idx="28">
                  <c:v>59.7</c:v>
                </c:pt>
                <c:pt idx="29">
                  <c:v>61.7</c:v>
                </c:pt>
                <c:pt idx="30">
                  <c:v>60.8</c:v>
                </c:pt>
                <c:pt idx="31">
                  <c:v>61.3</c:v>
                </c:pt>
                <c:pt idx="32">
                  <c:v>60.8</c:v>
                </c:pt>
                <c:pt idx="33">
                  <c:v>61.199999999999996</c:v>
                </c:pt>
                <c:pt idx="34">
                  <c:v>61</c:v>
                </c:pt>
                <c:pt idx="35">
                  <c:v>60.099999999999994</c:v>
                </c:pt>
                <c:pt idx="36">
                  <c:v>58.699999999999996</c:v>
                </c:pt>
                <c:pt idx="37">
                  <c:v>57.8</c:v>
                </c:pt>
                <c:pt idx="38">
                  <c:v>56.8</c:v>
                </c:pt>
                <c:pt idx="39">
                  <c:v>55.2</c:v>
                </c:pt>
                <c:pt idx="40">
                  <c:v>56.399999999999991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945368"/>
        <c:axId val="155947328"/>
      </c:lineChart>
      <c:catAx>
        <c:axId val="402232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229288"/>
        <c:crosses val="autoZero"/>
        <c:auto val="1"/>
        <c:lblAlgn val="ctr"/>
        <c:lblOffset val="100"/>
        <c:noMultiLvlLbl val="0"/>
      </c:catAx>
      <c:valAx>
        <c:axId val="402229288"/>
        <c:scaling>
          <c:orientation val="minMax"/>
          <c:max val="130"/>
          <c:min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232816"/>
        <c:crosses val="autoZero"/>
        <c:crossBetween val="between"/>
      </c:valAx>
      <c:valAx>
        <c:axId val="155947328"/>
        <c:scaling>
          <c:orientation val="minMax"/>
          <c:max val="70"/>
          <c:min val="55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45368"/>
        <c:crosses val="max"/>
        <c:crossBetween val="between"/>
      </c:valAx>
      <c:catAx>
        <c:axId val="15594536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5947328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Sheet1!$S$9</c:f>
              <c:strCache>
                <c:ptCount val="1"/>
                <c:pt idx="0">
                  <c:v>CAI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67011971895404809"/>
                  <c:y val="0.1330130636325326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Sheet1!$R$10:$R$50</c:f>
              <c:numCache>
                <c:formatCode>General</c:formatCode>
                <c:ptCount val="41"/>
                <c:pt idx="0">
                  <c:v>70.7</c:v>
                </c:pt>
                <c:pt idx="1">
                  <c:v>69</c:v>
                </c:pt>
                <c:pt idx="2">
                  <c:v>68.2</c:v>
                </c:pt>
                <c:pt idx="3">
                  <c:v>66.5</c:v>
                </c:pt>
                <c:pt idx="4">
                  <c:v>67.5</c:v>
                </c:pt>
                <c:pt idx="5">
                  <c:v>67.2</c:v>
                </c:pt>
                <c:pt idx="6">
                  <c:v>68.3</c:v>
                </c:pt>
                <c:pt idx="7">
                  <c:v>67.099999999999994</c:v>
                </c:pt>
                <c:pt idx="8">
                  <c:v>66.5</c:v>
                </c:pt>
                <c:pt idx="9">
                  <c:v>66.099999999999994</c:v>
                </c:pt>
                <c:pt idx="10">
                  <c:v>64.3</c:v>
                </c:pt>
                <c:pt idx="11">
                  <c:v>65.099999999999994</c:v>
                </c:pt>
                <c:pt idx="12">
                  <c:v>61.7</c:v>
                </c:pt>
                <c:pt idx="13">
                  <c:v>63.6</c:v>
                </c:pt>
                <c:pt idx="14">
                  <c:v>61.6</c:v>
                </c:pt>
                <c:pt idx="15">
                  <c:v>58.8</c:v>
                </c:pt>
                <c:pt idx="16">
                  <c:v>60.7</c:v>
                </c:pt>
                <c:pt idx="17">
                  <c:v>62</c:v>
                </c:pt>
                <c:pt idx="18">
                  <c:v>61.6</c:v>
                </c:pt>
                <c:pt idx="19">
                  <c:v>60.7</c:v>
                </c:pt>
                <c:pt idx="20">
                  <c:v>59.1</c:v>
                </c:pt>
                <c:pt idx="21">
                  <c:v>56.9</c:v>
                </c:pt>
                <c:pt idx="22">
                  <c:v>59.6</c:v>
                </c:pt>
                <c:pt idx="23">
                  <c:v>61.5</c:v>
                </c:pt>
                <c:pt idx="24">
                  <c:v>61.4</c:v>
                </c:pt>
                <c:pt idx="25">
                  <c:v>60.4</c:v>
                </c:pt>
                <c:pt idx="26">
                  <c:v>60.7</c:v>
                </c:pt>
                <c:pt idx="27">
                  <c:v>58.2</c:v>
                </c:pt>
                <c:pt idx="28">
                  <c:v>59.7</c:v>
                </c:pt>
                <c:pt idx="29">
                  <c:v>61.7</c:v>
                </c:pt>
                <c:pt idx="30">
                  <c:v>60.8</c:v>
                </c:pt>
                <c:pt idx="31">
                  <c:v>61.3</c:v>
                </c:pt>
                <c:pt idx="32">
                  <c:v>60.8</c:v>
                </c:pt>
                <c:pt idx="33">
                  <c:v>61.199999999999996</c:v>
                </c:pt>
                <c:pt idx="34">
                  <c:v>61</c:v>
                </c:pt>
                <c:pt idx="35">
                  <c:v>60.099999999999994</c:v>
                </c:pt>
                <c:pt idx="36">
                  <c:v>58.699999999999996</c:v>
                </c:pt>
                <c:pt idx="37">
                  <c:v>57.8</c:v>
                </c:pt>
                <c:pt idx="38">
                  <c:v>56.8</c:v>
                </c:pt>
                <c:pt idx="39">
                  <c:v>55.2</c:v>
                </c:pt>
                <c:pt idx="40">
                  <c:v>56.399999999999991</c:v>
                </c:pt>
              </c:numCache>
            </c:numRef>
          </c:xVal>
          <c:yVal>
            <c:numRef>
              <c:f>Sheet1!$S$10:$S$50</c:f>
              <c:numCache>
                <c:formatCode>General</c:formatCode>
                <c:ptCount val="41"/>
                <c:pt idx="0">
                  <c:v>119.40015808680199</c:v>
                </c:pt>
                <c:pt idx="1">
                  <c:v>118.20146866043932</c:v>
                </c:pt>
                <c:pt idx="2">
                  <c:v>129.02062894963532</c:v>
                </c:pt>
                <c:pt idx="3">
                  <c:v>130.01612137025401</c:v>
                </c:pt>
                <c:pt idx="4">
                  <c:v>124.43843247079067</c:v>
                </c:pt>
                <c:pt idx="5">
                  <c:v>125.65339912101734</c:v>
                </c:pt>
                <c:pt idx="6">
                  <c:v>123.00335064196068</c:v>
                </c:pt>
                <c:pt idx="7">
                  <c:v>119.21321872111734</c:v>
                </c:pt>
                <c:pt idx="8">
                  <c:v>118.72124305055667</c:v>
                </c:pt>
                <c:pt idx="9">
                  <c:v>118.83447141920401</c:v>
                </c:pt>
                <c:pt idx="10">
                  <c:v>123.90837721749735</c:v>
                </c:pt>
                <c:pt idx="11">
                  <c:v>120.550482038596</c:v>
                </c:pt>
                <c:pt idx="12">
                  <c:v>114.0551020892207</c:v>
                </c:pt>
                <c:pt idx="13">
                  <c:v>115.83966956351601</c:v>
                </c:pt>
                <c:pt idx="14">
                  <c:v>112.56509487375732</c:v>
                </c:pt>
                <c:pt idx="15">
                  <c:v>103.443008255088</c:v>
                </c:pt>
                <c:pt idx="16">
                  <c:v>104.65457152151936</c:v>
                </c:pt>
                <c:pt idx="17">
                  <c:v>116.03520622914067</c:v>
                </c:pt>
                <c:pt idx="18">
                  <c:v>110.67964213365467</c:v>
                </c:pt>
                <c:pt idx="19">
                  <c:v>101.0422697317</c:v>
                </c:pt>
                <c:pt idx="20">
                  <c:v>91.789744827140012</c:v>
                </c:pt>
                <c:pt idx="21">
                  <c:v>83.132801566099346</c:v>
                </c:pt>
                <c:pt idx="22">
                  <c:v>90.983751261809999</c:v>
                </c:pt>
                <c:pt idx="23">
                  <c:v>102.75804387825733</c:v>
                </c:pt>
                <c:pt idx="24">
                  <c:v>98.911323556058008</c:v>
                </c:pt>
                <c:pt idx="25">
                  <c:v>93.875643929005335</c:v>
                </c:pt>
                <c:pt idx="26">
                  <c:v>93.249310528408017</c:v>
                </c:pt>
                <c:pt idx="27">
                  <c:v>94.209298256365997</c:v>
                </c:pt>
                <c:pt idx="28">
                  <c:v>95.567684397638004</c:v>
                </c:pt>
                <c:pt idx="29">
                  <c:v>96.944795637633348</c:v>
                </c:pt>
                <c:pt idx="30">
                  <c:v>97.733261398078</c:v>
                </c:pt>
                <c:pt idx="31">
                  <c:v>92.793325419672001</c:v>
                </c:pt>
                <c:pt idx="32">
                  <c:v>95.541241237618678</c:v>
                </c:pt>
                <c:pt idx="33">
                  <c:v>95.017316705703337</c:v>
                </c:pt>
                <c:pt idx="34">
                  <c:v>94.605522683989335</c:v>
                </c:pt>
                <c:pt idx="35">
                  <c:v>91.214547254206664</c:v>
                </c:pt>
                <c:pt idx="36">
                  <c:v>86.395526369552684</c:v>
                </c:pt>
                <c:pt idx="37">
                  <c:v>88.207712612866004</c:v>
                </c:pt>
                <c:pt idx="38">
                  <c:v>89.588055605596679</c:v>
                </c:pt>
                <c:pt idx="39">
                  <c:v>89.821262032243325</c:v>
                </c:pt>
                <c:pt idx="40">
                  <c:v>91.006815130531322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6234400"/>
        <c:axId val="606232048"/>
      </c:scatterChart>
      <c:valAx>
        <c:axId val="606234400"/>
        <c:scaling>
          <c:orientation val="minMax"/>
          <c:max val="71"/>
          <c:min val="5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232048"/>
        <c:crosses val="autoZero"/>
        <c:crossBetween val="midCat"/>
      </c:valAx>
      <c:valAx>
        <c:axId val="606232048"/>
        <c:scaling>
          <c:orientation val="minMax"/>
          <c:max val="130"/>
          <c:min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234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1"/>
          <c:tx>
            <c:strRef>
              <c:f>Sheet1!$U$9</c:f>
              <c:strCache>
                <c:ptCount val="1"/>
                <c:pt idx="0">
                  <c:v>CAI2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Sheet1!$Q$10:$Q$50</c:f>
              <c:strCache>
                <c:ptCount val="41"/>
                <c:pt idx="0">
                  <c:v>2015-05-01</c:v>
                </c:pt>
                <c:pt idx="1">
                  <c:v>2015-04-01</c:v>
                </c:pt>
                <c:pt idx="2">
                  <c:v>2015-03-01</c:v>
                </c:pt>
                <c:pt idx="3">
                  <c:v>2015-02-01</c:v>
                </c:pt>
                <c:pt idx="4">
                  <c:v>2015-01-01</c:v>
                </c:pt>
                <c:pt idx="5">
                  <c:v>2014-12-01</c:v>
                </c:pt>
                <c:pt idx="6">
                  <c:v>2014-11-01</c:v>
                </c:pt>
                <c:pt idx="7">
                  <c:v>2014-10-01</c:v>
                </c:pt>
                <c:pt idx="8">
                  <c:v>2014-09-01</c:v>
                </c:pt>
                <c:pt idx="9">
                  <c:v>2014-08-01</c:v>
                </c:pt>
                <c:pt idx="10">
                  <c:v>2014-07-01</c:v>
                </c:pt>
                <c:pt idx="11">
                  <c:v>2014-06-01</c:v>
                </c:pt>
                <c:pt idx="12">
                  <c:v>2014-05-01</c:v>
                </c:pt>
                <c:pt idx="13">
                  <c:v>2014-04-01</c:v>
                </c:pt>
                <c:pt idx="14">
                  <c:v>2014-03-01</c:v>
                </c:pt>
                <c:pt idx="15">
                  <c:v>2014-02-01</c:v>
                </c:pt>
                <c:pt idx="16">
                  <c:v>2014-01-01</c:v>
                </c:pt>
                <c:pt idx="17">
                  <c:v>2013-12-01</c:v>
                </c:pt>
                <c:pt idx="18">
                  <c:v>2013-11-01</c:v>
                </c:pt>
                <c:pt idx="19">
                  <c:v>2013-10-01</c:v>
                </c:pt>
                <c:pt idx="20">
                  <c:v>2013-09-01</c:v>
                </c:pt>
                <c:pt idx="21">
                  <c:v>2013-08-01</c:v>
                </c:pt>
                <c:pt idx="22">
                  <c:v>2013-07-01</c:v>
                </c:pt>
                <c:pt idx="23">
                  <c:v>2013-06-01</c:v>
                </c:pt>
                <c:pt idx="24">
                  <c:v>2013-05-01</c:v>
                </c:pt>
                <c:pt idx="25">
                  <c:v>2013-04-01</c:v>
                </c:pt>
                <c:pt idx="26">
                  <c:v>2013-03-01</c:v>
                </c:pt>
                <c:pt idx="27">
                  <c:v>2013-02-01</c:v>
                </c:pt>
                <c:pt idx="28">
                  <c:v>2013-01-01</c:v>
                </c:pt>
                <c:pt idx="29">
                  <c:v>2012-12-01</c:v>
                </c:pt>
                <c:pt idx="30">
                  <c:v>2012-11-01</c:v>
                </c:pt>
                <c:pt idx="31">
                  <c:v>2012-10-01</c:v>
                </c:pt>
                <c:pt idx="32">
                  <c:v>2012-09-01</c:v>
                </c:pt>
                <c:pt idx="33">
                  <c:v>2012-08-01</c:v>
                </c:pt>
                <c:pt idx="34">
                  <c:v>2012-07-01</c:v>
                </c:pt>
                <c:pt idx="35">
                  <c:v>2012-06-01</c:v>
                </c:pt>
                <c:pt idx="36">
                  <c:v>2012-05-01</c:v>
                </c:pt>
                <c:pt idx="37">
                  <c:v>2012-04-01</c:v>
                </c:pt>
                <c:pt idx="38">
                  <c:v>2012-03-01</c:v>
                </c:pt>
                <c:pt idx="39">
                  <c:v>2012-02-01</c:v>
                </c:pt>
                <c:pt idx="40">
                  <c:v>2012-01-01</c:v>
                </c:pt>
              </c:strCache>
            </c:strRef>
          </c:cat>
          <c:val>
            <c:numRef>
              <c:f>Sheet1!$U$10:$U$50</c:f>
              <c:numCache>
                <c:formatCode>General</c:formatCode>
                <c:ptCount val="41"/>
                <c:pt idx="0">
                  <c:v>109.07644033108701</c:v>
                </c:pt>
                <c:pt idx="1">
                  <c:v>108.51562876423242</c:v>
                </c:pt>
                <c:pt idx="2">
                  <c:v>113.57741549596834</c:v>
                </c:pt>
                <c:pt idx="3">
                  <c:v>114.04316054378533</c:v>
                </c:pt>
                <c:pt idx="4">
                  <c:v>111.43361683518091</c:v>
                </c:pt>
                <c:pt idx="5">
                  <c:v>112.00204376529676</c:v>
                </c:pt>
                <c:pt idx="6">
                  <c:v>110.76220815225561</c:v>
                </c:pt>
                <c:pt idx="7">
                  <c:v>108.98898001295061</c:v>
                </c:pt>
                <c:pt idx="8">
                  <c:v>108.75880725877968</c:v>
                </c:pt>
                <c:pt idx="9">
                  <c:v>108.81178159678331</c:v>
                </c:pt>
                <c:pt idx="10">
                  <c:v>111.18562839832539</c:v>
                </c:pt>
                <c:pt idx="11">
                  <c:v>109.6146239202703</c:v>
                </c:pt>
                <c:pt idx="12">
                  <c:v>106.57573484140495</c:v>
                </c:pt>
                <c:pt idx="13">
                  <c:v>107.41065175933767</c:v>
                </c:pt>
                <c:pt idx="14">
                  <c:v>105.87862910012531</c:v>
                </c:pt>
                <c:pt idx="15">
                  <c:v>101.61082496580303</c:v>
                </c:pt>
                <c:pt idx="16">
                  <c:v>102.17765960941256</c:v>
                </c:pt>
                <c:pt idx="17">
                  <c:v>107.50213435809491</c:v>
                </c:pt>
                <c:pt idx="18">
                  <c:v>104.99651261344223</c:v>
                </c:pt>
                <c:pt idx="19">
                  <c:v>100.48762999694878</c:v>
                </c:pt>
                <c:pt idx="20">
                  <c:v>96.15879979709247</c:v>
                </c:pt>
                <c:pt idx="21">
                  <c:v>92.108614813708456</c:v>
                </c:pt>
                <c:pt idx="22">
                  <c:v>95.781712534698741</c:v>
                </c:pt>
                <c:pt idx="23">
                  <c:v>101.29036168568916</c:v>
                </c:pt>
                <c:pt idx="24">
                  <c:v>99.490658440045294</c:v>
                </c:pt>
                <c:pt idx="25">
                  <c:v>97.134695903198349</c:v>
                </c:pt>
                <c:pt idx="26">
                  <c:v>96.841663356120506</c:v>
                </c:pt>
                <c:pt idx="27">
                  <c:v>97.290797393709312</c:v>
                </c:pt>
                <c:pt idx="28">
                  <c:v>97.92632369729229</c:v>
                </c:pt>
                <c:pt idx="29">
                  <c:v>98.57061061202576</c:v>
                </c:pt>
                <c:pt idx="30">
                  <c:v>98.939497421904349</c:v>
                </c:pt>
                <c:pt idx="31">
                  <c:v>96.628328927978785</c:v>
                </c:pt>
                <c:pt idx="32">
                  <c:v>97.913952160781776</c:v>
                </c:pt>
                <c:pt idx="33">
                  <c:v>97.668832006056988</c:v>
                </c:pt>
                <c:pt idx="34">
                  <c:v>97.476172551940053</c:v>
                </c:pt>
                <c:pt idx="35">
                  <c:v>95.889691348287243</c:v>
                </c:pt>
                <c:pt idx="36">
                  <c:v>93.635093456964896</c:v>
                </c:pt>
                <c:pt idx="37">
                  <c:v>94.482931924706037</c:v>
                </c:pt>
                <c:pt idx="38">
                  <c:v>95.128730827678751</c:v>
                </c:pt>
                <c:pt idx="39">
                  <c:v>95.237837372419961</c:v>
                </c:pt>
                <c:pt idx="40">
                  <c:v>95.79250305647264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8392264"/>
        <c:axId val="608392656"/>
      </c:lineChart>
      <c:lineChart>
        <c:grouping val="standard"/>
        <c:varyColors val="0"/>
        <c:ser>
          <c:idx val="0"/>
          <c:order val="0"/>
          <c:tx>
            <c:strRef>
              <c:f>Sheet1!$R$9</c:f>
              <c:strCache>
                <c:ptCount val="1"/>
                <c:pt idx="0">
                  <c:v>Close 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Sheet1!$Q$10:$Q$50</c:f>
              <c:strCache>
                <c:ptCount val="41"/>
                <c:pt idx="0">
                  <c:v>2015-05-01</c:v>
                </c:pt>
                <c:pt idx="1">
                  <c:v>2015-04-01</c:v>
                </c:pt>
                <c:pt idx="2">
                  <c:v>2015-03-01</c:v>
                </c:pt>
                <c:pt idx="3">
                  <c:v>2015-02-01</c:v>
                </c:pt>
                <c:pt idx="4">
                  <c:v>2015-01-01</c:v>
                </c:pt>
                <c:pt idx="5">
                  <c:v>2014-12-01</c:v>
                </c:pt>
                <c:pt idx="6">
                  <c:v>2014-11-01</c:v>
                </c:pt>
                <c:pt idx="7">
                  <c:v>2014-10-01</c:v>
                </c:pt>
                <c:pt idx="8">
                  <c:v>2014-09-01</c:v>
                </c:pt>
                <c:pt idx="9">
                  <c:v>2014-08-01</c:v>
                </c:pt>
                <c:pt idx="10">
                  <c:v>2014-07-01</c:v>
                </c:pt>
                <c:pt idx="11">
                  <c:v>2014-06-01</c:v>
                </c:pt>
                <c:pt idx="12">
                  <c:v>2014-05-01</c:v>
                </c:pt>
                <c:pt idx="13">
                  <c:v>2014-04-01</c:v>
                </c:pt>
                <c:pt idx="14">
                  <c:v>2014-03-01</c:v>
                </c:pt>
                <c:pt idx="15">
                  <c:v>2014-02-01</c:v>
                </c:pt>
                <c:pt idx="16">
                  <c:v>2014-01-01</c:v>
                </c:pt>
                <c:pt idx="17">
                  <c:v>2013-12-01</c:v>
                </c:pt>
                <c:pt idx="18">
                  <c:v>2013-11-01</c:v>
                </c:pt>
                <c:pt idx="19">
                  <c:v>2013-10-01</c:v>
                </c:pt>
                <c:pt idx="20">
                  <c:v>2013-09-01</c:v>
                </c:pt>
                <c:pt idx="21">
                  <c:v>2013-08-01</c:v>
                </c:pt>
                <c:pt idx="22">
                  <c:v>2013-07-01</c:v>
                </c:pt>
                <c:pt idx="23">
                  <c:v>2013-06-01</c:v>
                </c:pt>
                <c:pt idx="24">
                  <c:v>2013-05-01</c:v>
                </c:pt>
                <c:pt idx="25">
                  <c:v>2013-04-01</c:v>
                </c:pt>
                <c:pt idx="26">
                  <c:v>2013-03-01</c:v>
                </c:pt>
                <c:pt idx="27">
                  <c:v>2013-02-01</c:v>
                </c:pt>
                <c:pt idx="28">
                  <c:v>2013-01-01</c:v>
                </c:pt>
                <c:pt idx="29">
                  <c:v>2012-12-01</c:v>
                </c:pt>
                <c:pt idx="30">
                  <c:v>2012-11-01</c:v>
                </c:pt>
                <c:pt idx="31">
                  <c:v>2012-10-01</c:v>
                </c:pt>
                <c:pt idx="32">
                  <c:v>2012-09-01</c:v>
                </c:pt>
                <c:pt idx="33">
                  <c:v>2012-08-01</c:v>
                </c:pt>
                <c:pt idx="34">
                  <c:v>2012-07-01</c:v>
                </c:pt>
                <c:pt idx="35">
                  <c:v>2012-06-01</c:v>
                </c:pt>
                <c:pt idx="36">
                  <c:v>2012-05-01</c:v>
                </c:pt>
                <c:pt idx="37">
                  <c:v>2012-04-01</c:v>
                </c:pt>
                <c:pt idx="38">
                  <c:v>2012-03-01</c:v>
                </c:pt>
                <c:pt idx="39">
                  <c:v>2012-02-01</c:v>
                </c:pt>
                <c:pt idx="40">
                  <c:v>2012-01-01</c:v>
                </c:pt>
              </c:strCache>
            </c:strRef>
          </c:cat>
          <c:val>
            <c:numRef>
              <c:f>Sheet1!$R$10:$R$50</c:f>
              <c:numCache>
                <c:formatCode>General</c:formatCode>
                <c:ptCount val="41"/>
                <c:pt idx="0">
                  <c:v>70.7</c:v>
                </c:pt>
                <c:pt idx="1">
                  <c:v>69</c:v>
                </c:pt>
                <c:pt idx="2">
                  <c:v>68.2</c:v>
                </c:pt>
                <c:pt idx="3">
                  <c:v>66.5</c:v>
                </c:pt>
                <c:pt idx="4">
                  <c:v>67.5</c:v>
                </c:pt>
                <c:pt idx="5">
                  <c:v>67.2</c:v>
                </c:pt>
                <c:pt idx="6">
                  <c:v>68.3</c:v>
                </c:pt>
                <c:pt idx="7">
                  <c:v>67.099999999999994</c:v>
                </c:pt>
                <c:pt idx="8">
                  <c:v>66.5</c:v>
                </c:pt>
                <c:pt idx="9">
                  <c:v>66.099999999999994</c:v>
                </c:pt>
                <c:pt idx="10">
                  <c:v>64.3</c:v>
                </c:pt>
                <c:pt idx="11">
                  <c:v>65.099999999999994</c:v>
                </c:pt>
                <c:pt idx="12">
                  <c:v>61.7</c:v>
                </c:pt>
                <c:pt idx="13">
                  <c:v>63.6</c:v>
                </c:pt>
                <c:pt idx="14">
                  <c:v>61.6</c:v>
                </c:pt>
                <c:pt idx="15">
                  <c:v>58.8</c:v>
                </c:pt>
                <c:pt idx="16">
                  <c:v>60.7</c:v>
                </c:pt>
                <c:pt idx="17">
                  <c:v>62</c:v>
                </c:pt>
                <c:pt idx="18">
                  <c:v>61.6</c:v>
                </c:pt>
                <c:pt idx="19">
                  <c:v>60.7</c:v>
                </c:pt>
                <c:pt idx="20">
                  <c:v>59.1</c:v>
                </c:pt>
                <c:pt idx="21">
                  <c:v>56.9</c:v>
                </c:pt>
                <c:pt idx="22">
                  <c:v>59.6</c:v>
                </c:pt>
                <c:pt idx="23">
                  <c:v>61.5</c:v>
                </c:pt>
                <c:pt idx="24">
                  <c:v>61.4</c:v>
                </c:pt>
                <c:pt idx="25">
                  <c:v>60.4</c:v>
                </c:pt>
                <c:pt idx="26">
                  <c:v>60.7</c:v>
                </c:pt>
                <c:pt idx="27">
                  <c:v>58.2</c:v>
                </c:pt>
                <c:pt idx="28">
                  <c:v>59.7</c:v>
                </c:pt>
                <c:pt idx="29">
                  <c:v>61.7</c:v>
                </c:pt>
                <c:pt idx="30">
                  <c:v>60.8</c:v>
                </c:pt>
                <c:pt idx="31">
                  <c:v>61.3</c:v>
                </c:pt>
                <c:pt idx="32">
                  <c:v>60.8</c:v>
                </c:pt>
                <c:pt idx="33">
                  <c:v>61.199999999999996</c:v>
                </c:pt>
                <c:pt idx="34">
                  <c:v>61</c:v>
                </c:pt>
                <c:pt idx="35">
                  <c:v>60.099999999999994</c:v>
                </c:pt>
                <c:pt idx="36">
                  <c:v>58.699999999999996</c:v>
                </c:pt>
                <c:pt idx="37">
                  <c:v>57.8</c:v>
                </c:pt>
                <c:pt idx="38">
                  <c:v>56.8</c:v>
                </c:pt>
                <c:pt idx="39">
                  <c:v>55.2</c:v>
                </c:pt>
                <c:pt idx="40">
                  <c:v>56.399999999999991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7193968"/>
        <c:axId val="607194360"/>
      </c:lineChart>
      <c:catAx>
        <c:axId val="608392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8392656"/>
        <c:crosses val="autoZero"/>
        <c:auto val="1"/>
        <c:lblAlgn val="ctr"/>
        <c:lblOffset val="100"/>
        <c:noMultiLvlLbl val="0"/>
      </c:catAx>
      <c:valAx>
        <c:axId val="608392656"/>
        <c:scaling>
          <c:orientation val="minMax"/>
          <c:max val="115"/>
          <c:min val="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8392264"/>
        <c:crosses val="autoZero"/>
        <c:crossBetween val="between"/>
      </c:valAx>
      <c:valAx>
        <c:axId val="607194360"/>
        <c:scaling>
          <c:orientation val="minMax"/>
          <c:max val="71"/>
          <c:min val="55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7193968"/>
        <c:crosses val="max"/>
        <c:crossBetween val="between"/>
      </c:valAx>
      <c:catAx>
        <c:axId val="60719396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0719436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Sheet2!$C$2</c:f>
              <c:strCache>
                <c:ptCount val="1"/>
                <c:pt idx="0">
                  <c:v>Credit Availability Index</c:v>
                </c:pt>
              </c:strCache>
            </c:strRef>
          </c:tx>
          <c:marker>
            <c:symbol val="none"/>
          </c:marker>
          <c:cat>
            <c:strRef>
              <c:f>Sheet2!$B$3:$B$43</c:f>
              <c:strCache>
                <c:ptCount val="41"/>
                <c:pt idx="0">
                  <c:v>2012-01-01</c:v>
                </c:pt>
                <c:pt idx="1">
                  <c:v>2012-02-01</c:v>
                </c:pt>
                <c:pt idx="2">
                  <c:v>2012-03-01</c:v>
                </c:pt>
                <c:pt idx="3">
                  <c:v>2012-04-01</c:v>
                </c:pt>
                <c:pt idx="4">
                  <c:v>2012-05-01</c:v>
                </c:pt>
                <c:pt idx="5">
                  <c:v>2012-06-01</c:v>
                </c:pt>
                <c:pt idx="6">
                  <c:v>2012-07-01</c:v>
                </c:pt>
                <c:pt idx="7">
                  <c:v>2012-08-01</c:v>
                </c:pt>
                <c:pt idx="8">
                  <c:v>2012-09-01</c:v>
                </c:pt>
                <c:pt idx="9">
                  <c:v>2012-10-01</c:v>
                </c:pt>
                <c:pt idx="10">
                  <c:v>2012-11-01</c:v>
                </c:pt>
                <c:pt idx="11">
                  <c:v>2012-12-01</c:v>
                </c:pt>
                <c:pt idx="12">
                  <c:v>2013-01-01</c:v>
                </c:pt>
                <c:pt idx="13">
                  <c:v>2013-02-01</c:v>
                </c:pt>
                <c:pt idx="14">
                  <c:v>2013-03-01</c:v>
                </c:pt>
                <c:pt idx="15">
                  <c:v>2013-04-01</c:v>
                </c:pt>
                <c:pt idx="16">
                  <c:v>2013-05-01</c:v>
                </c:pt>
                <c:pt idx="17">
                  <c:v>2013-06-01</c:v>
                </c:pt>
                <c:pt idx="18">
                  <c:v>2013-07-01</c:v>
                </c:pt>
                <c:pt idx="19">
                  <c:v>2013-08-01</c:v>
                </c:pt>
                <c:pt idx="20">
                  <c:v>2013-09-01</c:v>
                </c:pt>
                <c:pt idx="21">
                  <c:v>2013-10-01</c:v>
                </c:pt>
                <c:pt idx="22">
                  <c:v>2013-11-01</c:v>
                </c:pt>
                <c:pt idx="23">
                  <c:v>2013-12-01</c:v>
                </c:pt>
                <c:pt idx="24">
                  <c:v>2014-01-01</c:v>
                </c:pt>
                <c:pt idx="25">
                  <c:v>2014-02-01</c:v>
                </c:pt>
                <c:pt idx="26">
                  <c:v>2014-03-01</c:v>
                </c:pt>
                <c:pt idx="27">
                  <c:v>2014-04-01</c:v>
                </c:pt>
                <c:pt idx="28">
                  <c:v>2014-05-01</c:v>
                </c:pt>
                <c:pt idx="29">
                  <c:v>2014-06-01</c:v>
                </c:pt>
                <c:pt idx="30">
                  <c:v>2014-07-01</c:v>
                </c:pt>
                <c:pt idx="31">
                  <c:v>2014-08-01</c:v>
                </c:pt>
                <c:pt idx="32">
                  <c:v>2014-09-01</c:v>
                </c:pt>
                <c:pt idx="33">
                  <c:v>2014-10-01</c:v>
                </c:pt>
                <c:pt idx="34">
                  <c:v>2014-11-01</c:v>
                </c:pt>
                <c:pt idx="35">
                  <c:v>2014-12-01</c:v>
                </c:pt>
                <c:pt idx="36">
                  <c:v>2015-01-01</c:v>
                </c:pt>
                <c:pt idx="37">
                  <c:v>2015-02-01</c:v>
                </c:pt>
                <c:pt idx="38">
                  <c:v>2015-03-01</c:v>
                </c:pt>
                <c:pt idx="39">
                  <c:v>2015-04-01</c:v>
                </c:pt>
                <c:pt idx="40">
                  <c:v>2015-05-01</c:v>
                </c:pt>
              </c:strCache>
            </c:strRef>
          </c:cat>
          <c:val>
            <c:numRef>
              <c:f>Sheet2!$C$3:$C$43</c:f>
              <c:numCache>
                <c:formatCode>General</c:formatCode>
                <c:ptCount val="41"/>
                <c:pt idx="0">
                  <c:v>91.006815130531322</c:v>
                </c:pt>
                <c:pt idx="1">
                  <c:v>89.821262032243325</c:v>
                </c:pt>
                <c:pt idx="2">
                  <c:v>89.588055605596679</c:v>
                </c:pt>
                <c:pt idx="3">
                  <c:v>88.207712612866004</c:v>
                </c:pt>
                <c:pt idx="4">
                  <c:v>86.395526369552684</c:v>
                </c:pt>
                <c:pt idx="5">
                  <c:v>91.214547254206664</c:v>
                </c:pt>
                <c:pt idx="6">
                  <c:v>94.605522683989335</c:v>
                </c:pt>
                <c:pt idx="7">
                  <c:v>95.017316705703337</c:v>
                </c:pt>
                <c:pt idx="8">
                  <c:v>95.541241237618678</c:v>
                </c:pt>
                <c:pt idx="9">
                  <c:v>92.793325419672001</c:v>
                </c:pt>
                <c:pt idx="10">
                  <c:v>97.733261398078</c:v>
                </c:pt>
                <c:pt idx="11">
                  <c:v>96.944795637633348</c:v>
                </c:pt>
                <c:pt idx="12">
                  <c:v>95.567684397638004</c:v>
                </c:pt>
                <c:pt idx="13">
                  <c:v>94.209298256365997</c:v>
                </c:pt>
                <c:pt idx="14">
                  <c:v>93.249310528408017</c:v>
                </c:pt>
                <c:pt idx="15">
                  <c:v>93.875643929005335</c:v>
                </c:pt>
                <c:pt idx="16">
                  <c:v>98.911323556058008</c:v>
                </c:pt>
                <c:pt idx="17">
                  <c:v>102.75804387825733</c:v>
                </c:pt>
                <c:pt idx="18">
                  <c:v>90.983751261809999</c:v>
                </c:pt>
                <c:pt idx="19">
                  <c:v>83.132801566099346</c:v>
                </c:pt>
                <c:pt idx="20">
                  <c:v>91.789744827140012</c:v>
                </c:pt>
                <c:pt idx="21">
                  <c:v>101.0422697317</c:v>
                </c:pt>
                <c:pt idx="22">
                  <c:v>110.67964213365467</c:v>
                </c:pt>
                <c:pt idx="23">
                  <c:v>116.03520622914067</c:v>
                </c:pt>
                <c:pt idx="24">
                  <c:v>104.65457152151936</c:v>
                </c:pt>
                <c:pt idx="25">
                  <c:v>103.443008255088</c:v>
                </c:pt>
                <c:pt idx="26">
                  <c:v>112.56509487375732</c:v>
                </c:pt>
                <c:pt idx="27">
                  <c:v>115.83966956351601</c:v>
                </c:pt>
                <c:pt idx="28">
                  <c:v>114.0551020892207</c:v>
                </c:pt>
                <c:pt idx="29">
                  <c:v>120.550482038596</c:v>
                </c:pt>
                <c:pt idx="30">
                  <c:v>123.90837721749735</c:v>
                </c:pt>
                <c:pt idx="31">
                  <c:v>118.83447141920401</c:v>
                </c:pt>
                <c:pt idx="32">
                  <c:v>118.72124305055667</c:v>
                </c:pt>
                <c:pt idx="33">
                  <c:v>119.21321872111734</c:v>
                </c:pt>
                <c:pt idx="34">
                  <c:v>123.00335064196068</c:v>
                </c:pt>
                <c:pt idx="35">
                  <c:v>125.65339912101734</c:v>
                </c:pt>
                <c:pt idx="36">
                  <c:v>124.43843247079067</c:v>
                </c:pt>
                <c:pt idx="37">
                  <c:v>130.01612137025401</c:v>
                </c:pt>
                <c:pt idx="38">
                  <c:v>129.02062894963532</c:v>
                </c:pt>
                <c:pt idx="39">
                  <c:v>118.20146866043932</c:v>
                </c:pt>
                <c:pt idx="40">
                  <c:v>119.40015808680199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2282208"/>
        <c:axId val="402282600"/>
      </c:lineChart>
      <c:lineChart>
        <c:grouping val="standard"/>
        <c:varyColors val="0"/>
        <c:ser>
          <c:idx val="1"/>
          <c:order val="1"/>
          <c:tx>
            <c:strRef>
              <c:f>Sheet2!$D$2</c:f>
              <c:strCache>
                <c:ptCount val="1"/>
                <c:pt idx="0">
                  <c:v>Closing Rate %</c:v>
                </c:pt>
              </c:strCache>
            </c:strRef>
          </c:tx>
          <c:marker>
            <c:symbol val="none"/>
          </c:marker>
          <c:cat>
            <c:strRef>
              <c:f>Sheet2!$B$3:$B$43</c:f>
              <c:strCache>
                <c:ptCount val="41"/>
                <c:pt idx="0">
                  <c:v>2012-01-01</c:v>
                </c:pt>
                <c:pt idx="1">
                  <c:v>2012-02-01</c:v>
                </c:pt>
                <c:pt idx="2">
                  <c:v>2012-03-01</c:v>
                </c:pt>
                <c:pt idx="3">
                  <c:v>2012-04-01</c:v>
                </c:pt>
                <c:pt idx="4">
                  <c:v>2012-05-01</c:v>
                </c:pt>
                <c:pt idx="5">
                  <c:v>2012-06-01</c:v>
                </c:pt>
                <c:pt idx="6">
                  <c:v>2012-07-01</c:v>
                </c:pt>
                <c:pt idx="7">
                  <c:v>2012-08-01</c:v>
                </c:pt>
                <c:pt idx="8">
                  <c:v>2012-09-01</c:v>
                </c:pt>
                <c:pt idx="9">
                  <c:v>2012-10-01</c:v>
                </c:pt>
                <c:pt idx="10">
                  <c:v>2012-11-01</c:v>
                </c:pt>
                <c:pt idx="11">
                  <c:v>2012-12-01</c:v>
                </c:pt>
                <c:pt idx="12">
                  <c:v>2013-01-01</c:v>
                </c:pt>
                <c:pt idx="13">
                  <c:v>2013-02-01</c:v>
                </c:pt>
                <c:pt idx="14">
                  <c:v>2013-03-01</c:v>
                </c:pt>
                <c:pt idx="15">
                  <c:v>2013-04-01</c:v>
                </c:pt>
                <c:pt idx="16">
                  <c:v>2013-05-01</c:v>
                </c:pt>
                <c:pt idx="17">
                  <c:v>2013-06-01</c:v>
                </c:pt>
                <c:pt idx="18">
                  <c:v>2013-07-01</c:v>
                </c:pt>
                <c:pt idx="19">
                  <c:v>2013-08-01</c:v>
                </c:pt>
                <c:pt idx="20">
                  <c:v>2013-09-01</c:v>
                </c:pt>
                <c:pt idx="21">
                  <c:v>2013-10-01</c:v>
                </c:pt>
                <c:pt idx="22">
                  <c:v>2013-11-01</c:v>
                </c:pt>
                <c:pt idx="23">
                  <c:v>2013-12-01</c:v>
                </c:pt>
                <c:pt idx="24">
                  <c:v>2014-01-01</c:v>
                </c:pt>
                <c:pt idx="25">
                  <c:v>2014-02-01</c:v>
                </c:pt>
                <c:pt idx="26">
                  <c:v>2014-03-01</c:v>
                </c:pt>
                <c:pt idx="27">
                  <c:v>2014-04-01</c:v>
                </c:pt>
                <c:pt idx="28">
                  <c:v>2014-05-01</c:v>
                </c:pt>
                <c:pt idx="29">
                  <c:v>2014-06-01</c:v>
                </c:pt>
                <c:pt idx="30">
                  <c:v>2014-07-01</c:v>
                </c:pt>
                <c:pt idx="31">
                  <c:v>2014-08-01</c:v>
                </c:pt>
                <c:pt idx="32">
                  <c:v>2014-09-01</c:v>
                </c:pt>
                <c:pt idx="33">
                  <c:v>2014-10-01</c:v>
                </c:pt>
                <c:pt idx="34">
                  <c:v>2014-11-01</c:v>
                </c:pt>
                <c:pt idx="35">
                  <c:v>2014-12-01</c:v>
                </c:pt>
                <c:pt idx="36">
                  <c:v>2015-01-01</c:v>
                </c:pt>
                <c:pt idx="37">
                  <c:v>2015-02-01</c:v>
                </c:pt>
                <c:pt idx="38">
                  <c:v>2015-03-01</c:v>
                </c:pt>
                <c:pt idx="39">
                  <c:v>2015-04-01</c:v>
                </c:pt>
                <c:pt idx="40">
                  <c:v>2015-05-01</c:v>
                </c:pt>
              </c:strCache>
            </c:strRef>
          </c:cat>
          <c:val>
            <c:numRef>
              <c:f>Sheet2!$D$3:$D$43</c:f>
              <c:numCache>
                <c:formatCode>General</c:formatCode>
                <c:ptCount val="41"/>
                <c:pt idx="0">
                  <c:v>56.399999999999991</c:v>
                </c:pt>
                <c:pt idx="1">
                  <c:v>55.2</c:v>
                </c:pt>
                <c:pt idx="2">
                  <c:v>56.8</c:v>
                </c:pt>
                <c:pt idx="3">
                  <c:v>57.8</c:v>
                </c:pt>
                <c:pt idx="4">
                  <c:v>58.699999999999996</c:v>
                </c:pt>
                <c:pt idx="5">
                  <c:v>60.099999999999994</c:v>
                </c:pt>
                <c:pt idx="6">
                  <c:v>61</c:v>
                </c:pt>
                <c:pt idx="7">
                  <c:v>61.199999999999996</c:v>
                </c:pt>
                <c:pt idx="8">
                  <c:v>60.8</c:v>
                </c:pt>
                <c:pt idx="9">
                  <c:v>61.3</c:v>
                </c:pt>
                <c:pt idx="10">
                  <c:v>60.8</c:v>
                </c:pt>
                <c:pt idx="11">
                  <c:v>61.7</c:v>
                </c:pt>
                <c:pt idx="12">
                  <c:v>59.7</c:v>
                </c:pt>
                <c:pt idx="13">
                  <c:v>58.2</c:v>
                </c:pt>
                <c:pt idx="14">
                  <c:v>60.7</c:v>
                </c:pt>
                <c:pt idx="15">
                  <c:v>60.4</c:v>
                </c:pt>
                <c:pt idx="16">
                  <c:v>61.4</c:v>
                </c:pt>
                <c:pt idx="17">
                  <c:v>61.5</c:v>
                </c:pt>
                <c:pt idx="18">
                  <c:v>59.6</c:v>
                </c:pt>
                <c:pt idx="19">
                  <c:v>56.9</c:v>
                </c:pt>
                <c:pt idx="20">
                  <c:v>59.1</c:v>
                </c:pt>
                <c:pt idx="21">
                  <c:v>60.7</c:v>
                </c:pt>
                <c:pt idx="22">
                  <c:v>61.6</c:v>
                </c:pt>
                <c:pt idx="23">
                  <c:v>62</c:v>
                </c:pt>
                <c:pt idx="24">
                  <c:v>60.7</c:v>
                </c:pt>
                <c:pt idx="25">
                  <c:v>58.8</c:v>
                </c:pt>
                <c:pt idx="26">
                  <c:v>61.6</c:v>
                </c:pt>
                <c:pt idx="27">
                  <c:v>63.6</c:v>
                </c:pt>
                <c:pt idx="28">
                  <c:v>61.7</c:v>
                </c:pt>
                <c:pt idx="29">
                  <c:v>65.099999999999994</c:v>
                </c:pt>
                <c:pt idx="30">
                  <c:v>64.3</c:v>
                </c:pt>
                <c:pt idx="31">
                  <c:v>66.099999999999994</c:v>
                </c:pt>
                <c:pt idx="32">
                  <c:v>66.5</c:v>
                </c:pt>
                <c:pt idx="33">
                  <c:v>67.099999999999994</c:v>
                </c:pt>
                <c:pt idx="34">
                  <c:v>68.3</c:v>
                </c:pt>
                <c:pt idx="35">
                  <c:v>67.2</c:v>
                </c:pt>
                <c:pt idx="36">
                  <c:v>67.5</c:v>
                </c:pt>
                <c:pt idx="37">
                  <c:v>66.5</c:v>
                </c:pt>
                <c:pt idx="38">
                  <c:v>68.2</c:v>
                </c:pt>
                <c:pt idx="39">
                  <c:v>69</c:v>
                </c:pt>
                <c:pt idx="40">
                  <c:v>70.7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2283384"/>
        <c:axId val="402282992"/>
      </c:lineChart>
      <c:catAx>
        <c:axId val="4022822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402282600"/>
        <c:crosses val="autoZero"/>
        <c:auto val="1"/>
        <c:lblAlgn val="ctr"/>
        <c:lblOffset val="100"/>
        <c:tickLblSkip val="6"/>
        <c:tickMarkSkip val="6"/>
        <c:noMultiLvlLbl val="0"/>
      </c:catAx>
      <c:valAx>
        <c:axId val="402282600"/>
        <c:scaling>
          <c:orientation val="minMax"/>
          <c:min val="5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Credit Availability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402282208"/>
        <c:crosses val="autoZero"/>
        <c:crossBetween val="between"/>
      </c:valAx>
      <c:valAx>
        <c:axId val="402282992"/>
        <c:scaling>
          <c:orientation val="minMax"/>
          <c:min val="40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Closing Rate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402283384"/>
        <c:crosses val="max"/>
        <c:crossBetween val="between"/>
      </c:valAx>
      <c:catAx>
        <c:axId val="4022833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02282992"/>
        <c:crosses val="autoZero"/>
        <c:auto val="1"/>
        <c:lblAlgn val="ctr"/>
        <c:lblOffset val="100"/>
        <c:noMultiLvlLbl val="0"/>
      </c:cat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landscape" horizontalDpi="1200" verticalDpi="120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Sheet3!$F$1</c:f>
              <c:strCache>
                <c:ptCount val="1"/>
                <c:pt idx="0">
                  <c:v>Balance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movingAvg"/>
            <c:period val="4"/>
            <c:dispRSqr val="0"/>
            <c:dispEq val="0"/>
          </c:trendline>
          <c:cat>
            <c:numRef>
              <c:f>Sheet3!$E$2:$E$106</c:f>
              <c:numCache>
                <c:formatCode>m/d/yyyy</c:formatCode>
                <c:ptCount val="105"/>
                <c:pt idx="0">
                  <c:v>40909</c:v>
                </c:pt>
                <c:pt idx="1">
                  <c:v>40878</c:v>
                </c:pt>
                <c:pt idx="2">
                  <c:v>40848</c:v>
                </c:pt>
                <c:pt idx="3">
                  <c:v>40817</c:v>
                </c:pt>
                <c:pt idx="4">
                  <c:v>40787</c:v>
                </c:pt>
                <c:pt idx="5">
                  <c:v>40756</c:v>
                </c:pt>
                <c:pt idx="6">
                  <c:v>40725</c:v>
                </c:pt>
                <c:pt idx="7">
                  <c:v>40695</c:v>
                </c:pt>
                <c:pt idx="8">
                  <c:v>40664</c:v>
                </c:pt>
                <c:pt idx="9">
                  <c:v>40634</c:v>
                </c:pt>
                <c:pt idx="10">
                  <c:v>40603</c:v>
                </c:pt>
                <c:pt idx="11">
                  <c:v>40575</c:v>
                </c:pt>
                <c:pt idx="12">
                  <c:v>40544</c:v>
                </c:pt>
                <c:pt idx="13">
                  <c:v>40513</c:v>
                </c:pt>
                <c:pt idx="14">
                  <c:v>40483</c:v>
                </c:pt>
                <c:pt idx="15">
                  <c:v>40452</c:v>
                </c:pt>
                <c:pt idx="16">
                  <c:v>40422</c:v>
                </c:pt>
                <c:pt idx="17">
                  <c:v>40391</c:v>
                </c:pt>
                <c:pt idx="18">
                  <c:v>40360</c:v>
                </c:pt>
                <c:pt idx="19">
                  <c:v>40330</c:v>
                </c:pt>
                <c:pt idx="20">
                  <c:v>40299</c:v>
                </c:pt>
                <c:pt idx="21">
                  <c:v>40269</c:v>
                </c:pt>
                <c:pt idx="22">
                  <c:v>40238</c:v>
                </c:pt>
                <c:pt idx="23">
                  <c:v>40210</c:v>
                </c:pt>
                <c:pt idx="24">
                  <c:v>40179</c:v>
                </c:pt>
                <c:pt idx="25">
                  <c:v>40148</c:v>
                </c:pt>
                <c:pt idx="26">
                  <c:v>40118</c:v>
                </c:pt>
                <c:pt idx="27">
                  <c:v>40087</c:v>
                </c:pt>
                <c:pt idx="28">
                  <c:v>40057</c:v>
                </c:pt>
                <c:pt idx="29">
                  <c:v>40026</c:v>
                </c:pt>
                <c:pt idx="30">
                  <c:v>39995</c:v>
                </c:pt>
                <c:pt idx="31">
                  <c:v>39965</c:v>
                </c:pt>
                <c:pt idx="32">
                  <c:v>39934</c:v>
                </c:pt>
                <c:pt idx="33">
                  <c:v>39904</c:v>
                </c:pt>
                <c:pt idx="34">
                  <c:v>39873</c:v>
                </c:pt>
                <c:pt idx="35">
                  <c:v>39845</c:v>
                </c:pt>
                <c:pt idx="36">
                  <c:v>39814</c:v>
                </c:pt>
                <c:pt idx="37">
                  <c:v>39783</c:v>
                </c:pt>
                <c:pt idx="38">
                  <c:v>39753</c:v>
                </c:pt>
                <c:pt idx="39">
                  <c:v>39722</c:v>
                </c:pt>
                <c:pt idx="40">
                  <c:v>39692</c:v>
                </c:pt>
                <c:pt idx="41">
                  <c:v>39661</c:v>
                </c:pt>
                <c:pt idx="42">
                  <c:v>39630</c:v>
                </c:pt>
                <c:pt idx="43">
                  <c:v>39600</c:v>
                </c:pt>
                <c:pt idx="44">
                  <c:v>39569</c:v>
                </c:pt>
                <c:pt idx="45">
                  <c:v>39539</c:v>
                </c:pt>
                <c:pt idx="46">
                  <c:v>39508</c:v>
                </c:pt>
                <c:pt idx="47">
                  <c:v>39479</c:v>
                </c:pt>
                <c:pt idx="48">
                  <c:v>39448</c:v>
                </c:pt>
                <c:pt idx="49">
                  <c:v>39417</c:v>
                </c:pt>
                <c:pt idx="50">
                  <c:v>39387</c:v>
                </c:pt>
                <c:pt idx="51">
                  <c:v>39356</c:v>
                </c:pt>
                <c:pt idx="52">
                  <c:v>39326</c:v>
                </c:pt>
                <c:pt idx="53">
                  <c:v>39295</c:v>
                </c:pt>
                <c:pt idx="54">
                  <c:v>39264</c:v>
                </c:pt>
                <c:pt idx="55">
                  <c:v>39234</c:v>
                </c:pt>
                <c:pt idx="56">
                  <c:v>39203</c:v>
                </c:pt>
                <c:pt idx="57">
                  <c:v>39173</c:v>
                </c:pt>
                <c:pt idx="58">
                  <c:v>39142</c:v>
                </c:pt>
                <c:pt idx="59">
                  <c:v>39114</c:v>
                </c:pt>
                <c:pt idx="60">
                  <c:v>39083</c:v>
                </c:pt>
                <c:pt idx="61">
                  <c:v>39052</c:v>
                </c:pt>
                <c:pt idx="62">
                  <c:v>39022</c:v>
                </c:pt>
                <c:pt idx="63">
                  <c:v>38991</c:v>
                </c:pt>
                <c:pt idx="64">
                  <c:v>38961</c:v>
                </c:pt>
                <c:pt idx="65">
                  <c:v>38930</c:v>
                </c:pt>
                <c:pt idx="66">
                  <c:v>38899</c:v>
                </c:pt>
                <c:pt idx="67">
                  <c:v>38869</c:v>
                </c:pt>
                <c:pt idx="68">
                  <c:v>38838</c:v>
                </c:pt>
                <c:pt idx="69">
                  <c:v>38808</c:v>
                </c:pt>
                <c:pt idx="70">
                  <c:v>38777</c:v>
                </c:pt>
                <c:pt idx="71">
                  <c:v>38749</c:v>
                </c:pt>
                <c:pt idx="72">
                  <c:v>38718</c:v>
                </c:pt>
                <c:pt idx="73">
                  <c:v>38687</c:v>
                </c:pt>
                <c:pt idx="74">
                  <c:v>38657</c:v>
                </c:pt>
                <c:pt idx="75">
                  <c:v>38626</c:v>
                </c:pt>
                <c:pt idx="76">
                  <c:v>38596</c:v>
                </c:pt>
                <c:pt idx="77">
                  <c:v>38565</c:v>
                </c:pt>
                <c:pt idx="78">
                  <c:v>38534</c:v>
                </c:pt>
                <c:pt idx="79">
                  <c:v>38504</c:v>
                </c:pt>
                <c:pt idx="80">
                  <c:v>38473</c:v>
                </c:pt>
                <c:pt idx="81">
                  <c:v>38443</c:v>
                </c:pt>
                <c:pt idx="82">
                  <c:v>38412</c:v>
                </c:pt>
                <c:pt idx="83">
                  <c:v>38384</c:v>
                </c:pt>
                <c:pt idx="84">
                  <c:v>38353</c:v>
                </c:pt>
                <c:pt idx="85">
                  <c:v>38322</c:v>
                </c:pt>
                <c:pt idx="86">
                  <c:v>38292</c:v>
                </c:pt>
                <c:pt idx="87">
                  <c:v>38261</c:v>
                </c:pt>
                <c:pt idx="88">
                  <c:v>38231</c:v>
                </c:pt>
                <c:pt idx="89">
                  <c:v>38200</c:v>
                </c:pt>
                <c:pt idx="90">
                  <c:v>38169</c:v>
                </c:pt>
                <c:pt idx="91">
                  <c:v>38139</c:v>
                </c:pt>
                <c:pt idx="92">
                  <c:v>38108</c:v>
                </c:pt>
                <c:pt idx="93">
                  <c:v>38078</c:v>
                </c:pt>
                <c:pt idx="94">
                  <c:v>38047</c:v>
                </c:pt>
                <c:pt idx="95">
                  <c:v>38018</c:v>
                </c:pt>
                <c:pt idx="96">
                  <c:v>37987</c:v>
                </c:pt>
                <c:pt idx="97">
                  <c:v>37956</c:v>
                </c:pt>
                <c:pt idx="98">
                  <c:v>37926</c:v>
                </c:pt>
                <c:pt idx="99">
                  <c:v>37895</c:v>
                </c:pt>
                <c:pt idx="100">
                  <c:v>37865</c:v>
                </c:pt>
                <c:pt idx="101">
                  <c:v>37834</c:v>
                </c:pt>
                <c:pt idx="102">
                  <c:v>37803</c:v>
                </c:pt>
                <c:pt idx="103">
                  <c:v>37773</c:v>
                </c:pt>
                <c:pt idx="104">
                  <c:v>37742</c:v>
                </c:pt>
              </c:numCache>
            </c:numRef>
          </c:cat>
          <c:val>
            <c:numRef>
              <c:f>Sheet3!$F$2:$F$106</c:f>
              <c:numCache>
                <c:formatCode>_(* #,##0_);_(* \(#,##0\);_(* "-"??_);_(@_)</c:formatCode>
                <c:ptCount val="105"/>
                <c:pt idx="0">
                  <c:v>21634291320.59</c:v>
                </c:pt>
                <c:pt idx="1">
                  <c:v>21813664361.48</c:v>
                </c:pt>
                <c:pt idx="2">
                  <c:v>22063440657.23</c:v>
                </c:pt>
                <c:pt idx="3">
                  <c:v>23348020211.02</c:v>
                </c:pt>
                <c:pt idx="4">
                  <c:v>21651222384.169998</c:v>
                </c:pt>
                <c:pt idx="5">
                  <c:v>23478300195.93</c:v>
                </c:pt>
                <c:pt idx="6">
                  <c:v>19200996692.759998</c:v>
                </c:pt>
                <c:pt idx="7">
                  <c:v>17029511603.32</c:v>
                </c:pt>
                <c:pt idx="8">
                  <c:v>16128105234.540001</c:v>
                </c:pt>
                <c:pt idx="9">
                  <c:v>11968693481.92</c:v>
                </c:pt>
                <c:pt idx="10">
                  <c:v>12517854062.799999</c:v>
                </c:pt>
                <c:pt idx="11">
                  <c:v>19595722018.380001</c:v>
                </c:pt>
                <c:pt idx="12">
                  <c:v>18606514902.029999</c:v>
                </c:pt>
                <c:pt idx="13">
                  <c:v>19327443127.73</c:v>
                </c:pt>
                <c:pt idx="14">
                  <c:v>20824544242.75</c:v>
                </c:pt>
                <c:pt idx="15">
                  <c:v>21149620177.060001</c:v>
                </c:pt>
                <c:pt idx="16">
                  <c:v>18971719558.360001</c:v>
                </c:pt>
                <c:pt idx="17">
                  <c:v>29569308347.779999</c:v>
                </c:pt>
                <c:pt idx="18">
                  <c:v>24879975718.720001</c:v>
                </c:pt>
                <c:pt idx="19">
                  <c:v>22513554772.990002</c:v>
                </c:pt>
                <c:pt idx="20">
                  <c:v>19740280619.880001</c:v>
                </c:pt>
                <c:pt idx="21">
                  <c:v>13588645038.32</c:v>
                </c:pt>
                <c:pt idx="22">
                  <c:v>12729941372.379999</c:v>
                </c:pt>
                <c:pt idx="23">
                  <c:v>14878861003.209999</c:v>
                </c:pt>
                <c:pt idx="24">
                  <c:v>14284627990.09</c:v>
                </c:pt>
                <c:pt idx="25">
                  <c:v>14055645207.799999</c:v>
                </c:pt>
                <c:pt idx="26">
                  <c:v>12690846042.559999</c:v>
                </c:pt>
                <c:pt idx="27">
                  <c:v>13528722032.889999</c:v>
                </c:pt>
                <c:pt idx="28">
                  <c:v>15939928257.370001</c:v>
                </c:pt>
                <c:pt idx="29">
                  <c:v>16706553284.77</c:v>
                </c:pt>
                <c:pt idx="30">
                  <c:v>14867477660.629999</c:v>
                </c:pt>
                <c:pt idx="31">
                  <c:v>12474284900.35</c:v>
                </c:pt>
                <c:pt idx="32">
                  <c:v>11466280323.84</c:v>
                </c:pt>
                <c:pt idx="33">
                  <c:v>8754719640.6599998</c:v>
                </c:pt>
                <c:pt idx="34">
                  <c:v>7649530609.0799999</c:v>
                </c:pt>
                <c:pt idx="35">
                  <c:v>9577071168.3700008</c:v>
                </c:pt>
                <c:pt idx="36">
                  <c:v>6760565628.5100002</c:v>
                </c:pt>
                <c:pt idx="37">
                  <c:v>9613885455.2399998</c:v>
                </c:pt>
                <c:pt idx="38">
                  <c:v>9734828322.3099995</c:v>
                </c:pt>
                <c:pt idx="39">
                  <c:v>9130461207.7099991</c:v>
                </c:pt>
                <c:pt idx="40">
                  <c:v>12653045190.209999</c:v>
                </c:pt>
                <c:pt idx="41">
                  <c:v>14884989554.790001</c:v>
                </c:pt>
                <c:pt idx="42">
                  <c:v>14197334880.99</c:v>
                </c:pt>
                <c:pt idx="43">
                  <c:v>14563854951.780001</c:v>
                </c:pt>
                <c:pt idx="44">
                  <c:v>14529429316.049999</c:v>
                </c:pt>
                <c:pt idx="45">
                  <c:v>13130616566.99</c:v>
                </c:pt>
                <c:pt idx="46">
                  <c:v>11775489098.950001</c:v>
                </c:pt>
                <c:pt idx="47">
                  <c:v>14543110815.07</c:v>
                </c:pt>
                <c:pt idx="48">
                  <c:v>14305152731.549999</c:v>
                </c:pt>
                <c:pt idx="49">
                  <c:v>15447076849.469999</c:v>
                </c:pt>
                <c:pt idx="50">
                  <c:v>15581397562.370001</c:v>
                </c:pt>
                <c:pt idx="51">
                  <c:v>17392305752.5</c:v>
                </c:pt>
                <c:pt idx="52">
                  <c:v>17687708238.220001</c:v>
                </c:pt>
                <c:pt idx="53">
                  <c:v>18782818648.16</c:v>
                </c:pt>
                <c:pt idx="54">
                  <c:v>18742639435.759998</c:v>
                </c:pt>
                <c:pt idx="55">
                  <c:v>17193197055.080002</c:v>
                </c:pt>
                <c:pt idx="56">
                  <c:v>16261292046.35</c:v>
                </c:pt>
                <c:pt idx="57">
                  <c:v>12274867240.42</c:v>
                </c:pt>
                <c:pt idx="58">
                  <c:v>10625968730.68</c:v>
                </c:pt>
                <c:pt idx="59">
                  <c:v>13124578315.92</c:v>
                </c:pt>
                <c:pt idx="60">
                  <c:v>13498222133.4</c:v>
                </c:pt>
                <c:pt idx="61">
                  <c:v>14217507735.809999</c:v>
                </c:pt>
                <c:pt idx="62">
                  <c:v>13752962281.889999</c:v>
                </c:pt>
                <c:pt idx="63">
                  <c:v>15254610832.889999</c:v>
                </c:pt>
                <c:pt idx="64">
                  <c:v>15093745589.51</c:v>
                </c:pt>
                <c:pt idx="65">
                  <c:v>17321146878.52</c:v>
                </c:pt>
                <c:pt idx="66">
                  <c:v>15345415496.129999</c:v>
                </c:pt>
                <c:pt idx="67">
                  <c:v>13208560782.91</c:v>
                </c:pt>
                <c:pt idx="68">
                  <c:v>13232342261.450001</c:v>
                </c:pt>
                <c:pt idx="69">
                  <c:v>10533508526.41</c:v>
                </c:pt>
                <c:pt idx="70">
                  <c:v>9229412352.2800007</c:v>
                </c:pt>
                <c:pt idx="71">
                  <c:v>11923563518.219999</c:v>
                </c:pt>
                <c:pt idx="72">
                  <c:v>12136303772.01</c:v>
                </c:pt>
                <c:pt idx="73">
                  <c:v>8789285117.5699997</c:v>
                </c:pt>
                <c:pt idx="74">
                  <c:v>5425801851.6700001</c:v>
                </c:pt>
                <c:pt idx="75">
                  <c:v>5323357137.1700001</c:v>
                </c:pt>
                <c:pt idx="76">
                  <c:v>4998945666.0500002</c:v>
                </c:pt>
                <c:pt idx="77">
                  <c:v>5295177663.5200005</c:v>
                </c:pt>
                <c:pt idx="78">
                  <c:v>4017517837.4099998</c:v>
                </c:pt>
                <c:pt idx="79">
                  <c:v>3272606324.4499998</c:v>
                </c:pt>
                <c:pt idx="80">
                  <c:v>3379652014.46</c:v>
                </c:pt>
                <c:pt idx="81">
                  <c:v>2596024130.0700002</c:v>
                </c:pt>
                <c:pt idx="82">
                  <c:v>2252434329.1100001</c:v>
                </c:pt>
                <c:pt idx="83">
                  <c:v>2767593588.27</c:v>
                </c:pt>
                <c:pt idx="84">
                  <c:v>2800069561.1900001</c:v>
                </c:pt>
                <c:pt idx="85">
                  <c:v>3011468730.9099998</c:v>
                </c:pt>
                <c:pt idx="86">
                  <c:v>2838671852.71</c:v>
                </c:pt>
                <c:pt idx="87">
                  <c:v>2895188458.04</c:v>
                </c:pt>
                <c:pt idx="88">
                  <c:v>2501128882.71</c:v>
                </c:pt>
                <c:pt idx="89">
                  <c:v>2488610613.04</c:v>
                </c:pt>
                <c:pt idx="90">
                  <c:v>2747560879.1900001</c:v>
                </c:pt>
                <c:pt idx="91">
                  <c:v>3327289540.4099998</c:v>
                </c:pt>
                <c:pt idx="92">
                  <c:v>3122723942.98</c:v>
                </c:pt>
                <c:pt idx="93">
                  <c:v>2247482214.3499999</c:v>
                </c:pt>
                <c:pt idx="94">
                  <c:v>1997909919.6700001</c:v>
                </c:pt>
                <c:pt idx="95">
                  <c:v>2485253534.2600002</c:v>
                </c:pt>
                <c:pt idx="96">
                  <c:v>2182102190.5999999</c:v>
                </c:pt>
                <c:pt idx="97">
                  <c:v>2482247302.0700002</c:v>
                </c:pt>
                <c:pt idx="98">
                  <c:v>2323781186.5599999</c:v>
                </c:pt>
                <c:pt idx="99">
                  <c:v>3366345364.3299999</c:v>
                </c:pt>
                <c:pt idx="100">
                  <c:v>4793848935.9399996</c:v>
                </c:pt>
                <c:pt idx="101">
                  <c:v>4809370938.4499998</c:v>
                </c:pt>
                <c:pt idx="102">
                  <c:v>3651588513.8000002</c:v>
                </c:pt>
                <c:pt idx="103">
                  <c:v>3014884433.79</c:v>
                </c:pt>
                <c:pt idx="104">
                  <c:v>2625285436.02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3174728"/>
        <c:axId val="693175512"/>
      </c:lineChart>
      <c:dateAx>
        <c:axId val="693174728"/>
        <c:scaling>
          <c:orientation val="maxMin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175512"/>
        <c:crosses val="autoZero"/>
        <c:auto val="1"/>
        <c:lblOffset val="100"/>
        <c:baseTimeUnit val="months"/>
      </c:dateAx>
      <c:valAx>
        <c:axId val="693175512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174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58</xdr:col>
      <xdr:colOff>28574</xdr:colOff>
      <xdr:row>6</xdr:row>
      <xdr:rowOff>133350</xdr:rowOff>
    </xdr:from>
    <xdr:to>
      <xdr:col>79</xdr:col>
      <xdr:colOff>581024</xdr:colOff>
      <xdr:row>44</xdr:row>
      <xdr:rowOff>9525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71436</xdr:colOff>
      <xdr:row>14</xdr:row>
      <xdr:rowOff>19049</xdr:rowOff>
    </xdr:from>
    <xdr:to>
      <xdr:col>16</xdr:col>
      <xdr:colOff>333374</xdr:colOff>
      <xdr:row>53</xdr:row>
      <xdr:rowOff>123824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504824</xdr:colOff>
      <xdr:row>12</xdr:row>
      <xdr:rowOff>38099</xdr:rowOff>
    </xdr:from>
    <xdr:to>
      <xdr:col>48</xdr:col>
      <xdr:colOff>47624</xdr:colOff>
      <xdr:row>44</xdr:row>
      <xdr:rowOff>28574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409575</xdr:colOff>
      <xdr:row>17</xdr:row>
      <xdr:rowOff>100011</xdr:rowOff>
    </xdr:from>
    <xdr:to>
      <xdr:col>18</xdr:col>
      <xdr:colOff>180975</xdr:colOff>
      <xdr:row>36</xdr:row>
      <xdr:rowOff>28574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542926</xdr:colOff>
      <xdr:row>31</xdr:row>
      <xdr:rowOff>19050</xdr:rowOff>
    </xdr:from>
    <xdr:to>
      <xdr:col>17</xdr:col>
      <xdr:colOff>314326</xdr:colOff>
      <xdr:row>33</xdr:row>
      <xdr:rowOff>57150</xdr:rowOff>
    </xdr:to>
    <xdr:sp macro="" textlink="">
      <xdr:nvSpPr>
        <xdr:cNvPr id="3" name="TextBox 2"/>
        <xdr:cNvSpPr txBox="1"/>
      </xdr:nvSpPr>
      <xdr:spPr>
        <a:xfrm>
          <a:off x="9077326" y="5924550"/>
          <a:ext cx="1600200" cy="419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50"/>
            <a:t>With</a:t>
          </a:r>
          <a:r>
            <a:rPr lang="en-US" sz="1050" baseline="0"/>
            <a:t> a slop of  3.21</a:t>
          </a:r>
          <a:endParaRPr lang="en-US" sz="105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390525</xdr:colOff>
      <xdr:row>4</xdr:row>
      <xdr:rowOff>95250</xdr:rowOff>
    </xdr:from>
    <xdr:to>
      <xdr:col>23</xdr:col>
      <xdr:colOff>333375</xdr:colOff>
      <xdr:row>49</xdr:row>
      <xdr:rowOff>57150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54"/>
  <sheetViews>
    <sheetView workbookViewId="0">
      <selection activeCell="BA11" sqref="BA11"/>
    </sheetView>
  </sheetViews>
  <sheetFormatPr defaultRowHeight="15"/>
  <cols>
    <col min="1" max="1" width="4.5703125" bestFit="1" customWidth="1"/>
    <col min="2" max="2" width="5" bestFit="1" customWidth="1"/>
    <col min="3" max="3" width="5.140625" bestFit="1" customWidth="1"/>
    <col min="4" max="4" width="5" bestFit="1" customWidth="1"/>
    <col min="5" max="5" width="7.5703125" bestFit="1" customWidth="1"/>
    <col min="6" max="6" width="12" bestFit="1" customWidth="1"/>
    <col min="7" max="7" width="11.85546875" bestFit="1" customWidth="1"/>
    <col min="8" max="8" width="13.7109375" bestFit="1" customWidth="1"/>
    <col min="9" max="9" width="7.5703125" bestFit="1" customWidth="1"/>
    <col min="10" max="11" width="5" bestFit="1" customWidth="1"/>
    <col min="12" max="12" width="10.140625" bestFit="1" customWidth="1"/>
    <col min="13" max="13" width="12" bestFit="1" customWidth="1"/>
    <col min="14" max="15" width="11.85546875" bestFit="1" customWidth="1"/>
    <col min="16" max="16" width="5" bestFit="1" customWidth="1"/>
    <col min="17" max="17" width="10.42578125" bestFit="1" customWidth="1"/>
    <col min="18" max="18" width="12" bestFit="1" customWidth="1"/>
    <col min="19" max="19" width="10.28515625" bestFit="1" customWidth="1"/>
    <col min="20" max="20" width="5" bestFit="1" customWidth="1"/>
    <col min="21" max="21" width="5" style="6" customWidth="1"/>
    <col min="22" max="23" width="5" bestFit="1" customWidth="1"/>
    <col min="24" max="24" width="7.5703125" bestFit="1" customWidth="1"/>
    <col min="25" max="26" width="6.5703125" bestFit="1" customWidth="1"/>
    <col min="27" max="36" width="5" bestFit="1" customWidth="1"/>
    <col min="37" max="37" width="4.28515625" bestFit="1" customWidth="1"/>
    <col min="38" max="45" width="5" bestFit="1" customWidth="1"/>
    <col min="54" max="54" width="12" bestFit="1" customWidth="1"/>
  </cols>
  <sheetData>
    <row r="1" spans="1:57">
      <c r="B1">
        <v>2015</v>
      </c>
      <c r="I1">
        <v>2014</v>
      </c>
      <c r="V1">
        <v>2013</v>
      </c>
      <c r="AH1" s="2">
        <v>2012</v>
      </c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</row>
    <row r="2" spans="1:57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2</v>
      </c>
      <c r="Q2" t="s">
        <v>3</v>
      </c>
      <c r="R2" t="s">
        <v>4</v>
      </c>
      <c r="S2" t="s">
        <v>5</v>
      </c>
      <c r="T2" t="s">
        <v>6</v>
      </c>
      <c r="V2" t="s">
        <v>7</v>
      </c>
      <c r="W2" t="s">
        <v>8</v>
      </c>
      <c r="X2" t="s">
        <v>9</v>
      </c>
      <c r="Y2" t="s">
        <v>10</v>
      </c>
      <c r="Z2" t="s">
        <v>11</v>
      </c>
      <c r="AA2" t="s">
        <v>12</v>
      </c>
      <c r="AB2" t="s">
        <v>13</v>
      </c>
      <c r="AC2" t="s">
        <v>2</v>
      </c>
      <c r="AD2" t="s">
        <v>3</v>
      </c>
      <c r="AE2" t="s">
        <v>4</v>
      </c>
      <c r="AF2" t="s">
        <v>5</v>
      </c>
      <c r="AG2" t="s">
        <v>6</v>
      </c>
      <c r="AH2" s="2" t="s">
        <v>7</v>
      </c>
      <c r="AI2" s="2" t="s">
        <v>8</v>
      </c>
      <c r="AJ2" s="2" t="s">
        <v>9</v>
      </c>
      <c r="AK2" s="2" t="s">
        <v>10</v>
      </c>
      <c r="AL2" s="2" t="s">
        <v>11</v>
      </c>
      <c r="AM2" s="2" t="s">
        <v>12</v>
      </c>
      <c r="AN2" s="2" t="s">
        <v>13</v>
      </c>
      <c r="AO2" s="2" t="s">
        <v>2</v>
      </c>
      <c r="AP2" s="2" t="s">
        <v>3</v>
      </c>
      <c r="AQ2" s="2" t="s">
        <v>4</v>
      </c>
      <c r="AR2" s="2" t="s">
        <v>5</v>
      </c>
      <c r="AS2" s="2" t="s">
        <v>6</v>
      </c>
    </row>
    <row r="3" spans="1:57">
      <c r="A3" t="s">
        <v>14</v>
      </c>
      <c r="B3" s="1">
        <v>70.099999999999994</v>
      </c>
      <c r="C3">
        <v>68</v>
      </c>
      <c r="D3">
        <v>67.7</v>
      </c>
      <c r="E3">
        <v>65.7</v>
      </c>
      <c r="F3">
        <v>67.099999999999994</v>
      </c>
      <c r="G3">
        <v>68.8</v>
      </c>
      <c r="H3">
        <v>69.8</v>
      </c>
      <c r="I3">
        <v>65.8</v>
      </c>
      <c r="J3">
        <v>68</v>
      </c>
      <c r="K3">
        <v>67.900000000000006</v>
      </c>
      <c r="L3">
        <v>66.3</v>
      </c>
      <c r="M3">
        <v>67.599999999999994</v>
      </c>
      <c r="N3">
        <v>63.9</v>
      </c>
      <c r="O3">
        <v>65.3</v>
      </c>
      <c r="P3">
        <v>63.3</v>
      </c>
      <c r="Q3">
        <v>61.5</v>
      </c>
      <c r="R3">
        <v>64.5</v>
      </c>
      <c r="S3">
        <v>65.3</v>
      </c>
      <c r="T3">
        <v>67.2</v>
      </c>
      <c r="V3">
        <v>66.5</v>
      </c>
      <c r="W3">
        <v>65.2</v>
      </c>
      <c r="X3">
        <v>65.400000000000006</v>
      </c>
      <c r="Y3">
        <v>67.099999999999994</v>
      </c>
      <c r="Z3">
        <v>68.099999999999994</v>
      </c>
      <c r="AA3">
        <v>68</v>
      </c>
      <c r="AB3">
        <v>67.7</v>
      </c>
      <c r="AC3">
        <v>67.3</v>
      </c>
      <c r="AD3">
        <v>65.099999999999994</v>
      </c>
      <c r="AE3">
        <v>66.7</v>
      </c>
      <c r="AF3">
        <v>67.7</v>
      </c>
      <c r="AG3">
        <v>67</v>
      </c>
    </row>
    <row r="4" spans="1:57">
      <c r="B4" s="1">
        <v>70.7</v>
      </c>
      <c r="C4">
        <v>69</v>
      </c>
      <c r="D4">
        <v>68.2</v>
      </c>
      <c r="E4">
        <v>66.5</v>
      </c>
      <c r="F4">
        <v>67.5</v>
      </c>
      <c r="G4">
        <v>67.2</v>
      </c>
      <c r="H4">
        <v>68.3</v>
      </c>
      <c r="I4">
        <v>67.099999999999994</v>
      </c>
      <c r="J4">
        <v>66.5</v>
      </c>
      <c r="K4">
        <v>66.099999999999994</v>
      </c>
      <c r="L4">
        <v>64.3</v>
      </c>
      <c r="M4">
        <v>65.099999999999994</v>
      </c>
      <c r="N4">
        <v>61.7</v>
      </c>
      <c r="O4">
        <v>63.6</v>
      </c>
      <c r="P4">
        <v>61.6</v>
      </c>
      <c r="Q4">
        <v>58.8</v>
      </c>
      <c r="R4">
        <v>60.7</v>
      </c>
      <c r="S4">
        <v>62</v>
      </c>
      <c r="T4">
        <v>61.6</v>
      </c>
      <c r="V4">
        <v>60.7</v>
      </c>
      <c r="W4">
        <v>59.1</v>
      </c>
      <c r="X4">
        <v>56.9</v>
      </c>
      <c r="Y4">
        <v>59.6</v>
      </c>
      <c r="Z4">
        <v>61.5</v>
      </c>
      <c r="AA4">
        <v>61.4</v>
      </c>
      <c r="AB4">
        <v>60.4</v>
      </c>
      <c r="AC4">
        <v>60.7</v>
      </c>
      <c r="AD4">
        <v>58.2</v>
      </c>
      <c r="AE4">
        <v>59.7</v>
      </c>
      <c r="AF4">
        <v>61.7</v>
      </c>
      <c r="AG4">
        <v>60.8</v>
      </c>
      <c r="AH4" s="1">
        <v>61.3</v>
      </c>
      <c r="AI4" s="1">
        <v>60.8</v>
      </c>
      <c r="AJ4" s="1">
        <v>61.199999999999996</v>
      </c>
      <c r="AK4" s="1">
        <v>61</v>
      </c>
      <c r="AL4" s="1">
        <v>60.099999999999994</v>
      </c>
      <c r="AM4" s="1">
        <v>58.699999999999996</v>
      </c>
      <c r="AN4" s="1">
        <v>57.8</v>
      </c>
      <c r="AO4" s="1">
        <v>56.8</v>
      </c>
      <c r="AP4" s="1">
        <v>55.2</v>
      </c>
      <c r="AQ4" s="1">
        <v>56.399999999999991</v>
      </c>
      <c r="AR4" s="1">
        <v>60.099999999999994</v>
      </c>
      <c r="AS4" s="1">
        <v>55.800000000000004</v>
      </c>
      <c r="AT4" s="1"/>
      <c r="AU4" s="1"/>
    </row>
    <row r="5" spans="1:57"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</row>
    <row r="7" spans="1:57">
      <c r="F7" t="s">
        <v>46</v>
      </c>
      <c r="G7" t="s">
        <v>47</v>
      </c>
      <c r="H7" s="2" t="s">
        <v>48</v>
      </c>
      <c r="I7" t="s">
        <v>49</v>
      </c>
      <c r="L7" s="2"/>
      <c r="M7" s="2" t="s">
        <v>46</v>
      </c>
      <c r="N7" s="2" t="s">
        <v>47</v>
      </c>
      <c r="O7" t="s">
        <v>47</v>
      </c>
    </row>
    <row r="8" spans="1:57">
      <c r="E8" s="5" t="s">
        <v>15</v>
      </c>
      <c r="F8" s="3">
        <v>109.72039931324066</v>
      </c>
      <c r="G8" s="1">
        <v>70.099999999999994</v>
      </c>
      <c r="H8" s="2"/>
      <c r="I8" s="1">
        <v>70.7</v>
      </c>
      <c r="L8" s="7" t="s">
        <v>50</v>
      </c>
      <c r="M8" s="3">
        <v>109.72039931324066</v>
      </c>
      <c r="N8" s="1">
        <v>70.7</v>
      </c>
    </row>
    <row r="9" spans="1:57">
      <c r="E9" s="4" t="s">
        <v>16</v>
      </c>
      <c r="F9" s="3">
        <v>118.95755900986333</v>
      </c>
      <c r="G9">
        <v>68</v>
      </c>
      <c r="H9" s="2"/>
      <c r="I9" s="2">
        <v>69</v>
      </c>
      <c r="L9" s="7" t="s">
        <v>51</v>
      </c>
      <c r="M9" s="3">
        <v>118.95755900986333</v>
      </c>
      <c r="N9" s="2">
        <v>69</v>
      </c>
      <c r="O9" s="6"/>
      <c r="Q9" t="s">
        <v>95</v>
      </c>
      <c r="R9" t="s">
        <v>96</v>
      </c>
      <c r="S9" t="s">
        <v>46</v>
      </c>
      <c r="U9" s="6" t="s">
        <v>99</v>
      </c>
      <c r="V9" t="s">
        <v>98</v>
      </c>
      <c r="W9" t="s">
        <v>98</v>
      </c>
      <c r="Y9" t="s">
        <v>97</v>
      </c>
      <c r="Z9" s="6" t="s">
        <v>97</v>
      </c>
      <c r="AZ9" t="s">
        <v>101</v>
      </c>
      <c r="BA9" t="s">
        <v>46</v>
      </c>
      <c r="BB9" t="s">
        <v>100</v>
      </c>
      <c r="BC9" t="s">
        <v>102</v>
      </c>
    </row>
    <row r="10" spans="1:57">
      <c r="E10" s="4" t="s">
        <v>17</v>
      </c>
      <c r="F10" s="3">
        <v>119.40015808680199</v>
      </c>
      <c r="G10">
        <v>67.7</v>
      </c>
      <c r="H10" s="2"/>
      <c r="I10" s="2">
        <v>68.2</v>
      </c>
      <c r="L10" s="7" t="s">
        <v>52</v>
      </c>
      <c r="M10" s="3">
        <v>119.40015808680199</v>
      </c>
      <c r="N10" s="2">
        <v>68.2</v>
      </c>
      <c r="O10" s="6">
        <f>N8</f>
        <v>70.7</v>
      </c>
      <c r="Q10" t="s">
        <v>52</v>
      </c>
      <c r="R10">
        <v>70.7</v>
      </c>
      <c r="S10">
        <v>119.40015808680199</v>
      </c>
      <c r="T10">
        <f>1.5*S10/100</f>
        <v>1.79100237130203</v>
      </c>
      <c r="U10" s="6">
        <f>100*(1+(T10-1.5)/$V$10)</f>
        <v>109.07644033108701</v>
      </c>
      <c r="V10">
        <f>SLOPE(S10:S50,R10:R50)</f>
        <v>3.2061288422217764</v>
      </c>
      <c r="W10" s="6">
        <f>SLOPE(U10:U50,R10:R50)</f>
        <v>1.4999999999999996</v>
      </c>
      <c r="X10" s="9"/>
      <c r="Y10" s="8">
        <f>CORREL(S10:S50,R10:R50)</f>
        <v>0.87920624103308775</v>
      </c>
      <c r="Z10" s="8">
        <f>CORREL(U10:U50,R10:R50)</f>
        <v>0.87920624103308742</v>
      </c>
      <c r="AZ10" s="6">
        <f t="shared" ref="AZ10:AZ13" si="0">1.5*BA10/100</f>
        <v>1.29</v>
      </c>
      <c r="BA10" s="6">
        <v>86</v>
      </c>
      <c r="BB10" s="6">
        <f t="shared" ref="BB10:BB13" si="1">(BA10+94.19)/$V$10</f>
        <v>56.20173388762889</v>
      </c>
      <c r="BC10" s="6">
        <f t="shared" ref="BC10:BC13" si="2">100*(1+(AZ10-1.5)/($V$10-$V$11))</f>
        <v>92.99095562778686</v>
      </c>
      <c r="BD10" s="6">
        <f t="shared" ref="BD10:BD13" si="3">(BB11-BB10)/BB10</f>
        <v>5.5496975414840478E-3</v>
      </c>
      <c r="BE10" s="6">
        <f t="shared" ref="BE10:BE13" si="4">(BC11-BC10)/BC10</f>
        <v>5.3838141914637075E-3</v>
      </c>
    </row>
    <row r="11" spans="1:57">
      <c r="E11" s="4" t="s">
        <v>18</v>
      </c>
      <c r="F11" s="3">
        <v>118.20146866043932</v>
      </c>
      <c r="G11">
        <v>65.7</v>
      </c>
      <c r="H11" s="2"/>
      <c r="I11" s="2">
        <v>66.5</v>
      </c>
      <c r="L11" s="7" t="s">
        <v>53</v>
      </c>
      <c r="M11" s="3">
        <v>118.20146866043932</v>
      </c>
      <c r="N11" s="2">
        <v>66.5</v>
      </c>
      <c r="O11" s="6">
        <f t="shared" ref="O11:O50" si="5">N9</f>
        <v>69</v>
      </c>
      <c r="Q11" t="s">
        <v>53</v>
      </c>
      <c r="R11">
        <v>69</v>
      </c>
      <c r="S11">
        <v>118.20146866043932</v>
      </c>
      <c r="T11" s="6">
        <f t="shared" ref="T11:T50" si="6">1.5*S11/100</f>
        <v>1.7730220299065897</v>
      </c>
      <c r="U11" s="6">
        <f t="shared" ref="U11:U50" si="7">100*(1+(T11-1.5)/$V$10)</f>
        <v>108.51562876423242</v>
      </c>
      <c r="V11">
        <v>0.21</v>
      </c>
      <c r="AZ11" s="6">
        <f t="shared" si="0"/>
        <v>1.3049999999999999</v>
      </c>
      <c r="BA11" s="6">
        <v>87</v>
      </c>
      <c r="BB11" s="6">
        <f t="shared" si="1"/>
        <v>56.513636512012205</v>
      </c>
      <c r="BC11" s="6">
        <f t="shared" si="2"/>
        <v>93.491601654373511</v>
      </c>
      <c r="BD11" s="6">
        <f t="shared" si="3"/>
        <v>5.5190683812571754E-3</v>
      </c>
      <c r="BE11" s="6">
        <f t="shared" si="4"/>
        <v>5.3549839528633739E-3</v>
      </c>
    </row>
    <row r="12" spans="1:57">
      <c r="E12" s="4" t="s">
        <v>19</v>
      </c>
      <c r="F12" s="3">
        <v>129.02062894963532</v>
      </c>
      <c r="G12">
        <v>67.099999999999994</v>
      </c>
      <c r="H12" s="2">
        <f t="shared" ref="H12:H38" si="8">F8</f>
        <v>109.72039931324066</v>
      </c>
      <c r="I12" s="2">
        <v>67.5</v>
      </c>
      <c r="L12" s="7" t="s">
        <v>54</v>
      </c>
      <c r="M12" s="3">
        <v>129.02062894963532</v>
      </c>
      <c r="N12" s="2">
        <v>67.5</v>
      </c>
      <c r="O12" s="6">
        <f t="shared" si="5"/>
        <v>68.2</v>
      </c>
      <c r="Q12" t="s">
        <v>54</v>
      </c>
      <c r="R12">
        <v>68.2</v>
      </c>
      <c r="S12">
        <v>129.02062894963532</v>
      </c>
      <c r="T12" s="6">
        <f t="shared" si="6"/>
        <v>1.9353094342445296</v>
      </c>
      <c r="U12" s="6">
        <f t="shared" si="7"/>
        <v>113.57741549596834</v>
      </c>
      <c r="V12">
        <f>V10-V11</f>
        <v>2.9961288422217764</v>
      </c>
      <c r="AZ12" s="6">
        <f t="shared" si="0"/>
        <v>1.32</v>
      </c>
      <c r="BA12" s="6">
        <v>88</v>
      </c>
      <c r="BB12" s="6">
        <f t="shared" si="1"/>
        <v>56.825539136395513</v>
      </c>
      <c r="BC12" s="6">
        <f t="shared" si="2"/>
        <v>93.992247680960176</v>
      </c>
      <c r="BD12" s="6">
        <f t="shared" si="3"/>
        <v>5.4887754541962262E-3</v>
      </c>
      <c r="BE12" s="6">
        <f t="shared" si="4"/>
        <v>5.3264608405365933E-3</v>
      </c>
    </row>
    <row r="13" spans="1:57">
      <c r="E13" s="4" t="s">
        <v>20</v>
      </c>
      <c r="F13" s="3">
        <v>130.01612137025401</v>
      </c>
      <c r="G13">
        <v>68.8</v>
      </c>
      <c r="H13" s="2">
        <f t="shared" si="8"/>
        <v>118.95755900986333</v>
      </c>
      <c r="I13" s="2">
        <v>67.2</v>
      </c>
      <c r="L13" s="7" t="s">
        <v>55</v>
      </c>
      <c r="M13" s="3">
        <v>130.01612137025401</v>
      </c>
      <c r="N13" s="2">
        <v>67.2</v>
      </c>
      <c r="O13" s="6">
        <f t="shared" si="5"/>
        <v>66.5</v>
      </c>
      <c r="Q13" t="s">
        <v>55</v>
      </c>
      <c r="R13">
        <v>66.5</v>
      </c>
      <c r="S13">
        <v>130.01612137025401</v>
      </c>
      <c r="T13" s="6">
        <f t="shared" si="6"/>
        <v>1.9502418205538101</v>
      </c>
      <c r="U13" s="6">
        <f t="shared" si="7"/>
        <v>114.04316054378533</v>
      </c>
      <c r="AZ13" s="6">
        <f t="shared" si="0"/>
        <v>1.335</v>
      </c>
      <c r="BA13" s="6">
        <v>89</v>
      </c>
      <c r="BB13" s="6">
        <f t="shared" si="1"/>
        <v>57.137441760778827</v>
      </c>
      <c r="BC13" s="6">
        <f t="shared" si="2"/>
        <v>94.492893707546827</v>
      </c>
      <c r="BD13" s="6">
        <f t="shared" si="3"/>
        <v>5.4588132539985139E-3</v>
      </c>
      <c r="BE13" s="6">
        <f t="shared" si="4"/>
        <v>5.2982399727977206E-3</v>
      </c>
    </row>
    <row r="14" spans="1:57">
      <c r="E14" s="4" t="s">
        <v>21</v>
      </c>
      <c r="F14" s="3">
        <v>124.43843247079067</v>
      </c>
      <c r="G14">
        <v>69.8</v>
      </c>
      <c r="H14" s="2">
        <f t="shared" si="8"/>
        <v>119.40015808680199</v>
      </c>
      <c r="I14" s="2">
        <v>68.3</v>
      </c>
      <c r="L14" s="7" t="s">
        <v>56</v>
      </c>
      <c r="M14" s="3">
        <v>124.43843247079067</v>
      </c>
      <c r="N14" s="2">
        <v>68.3</v>
      </c>
      <c r="O14" s="6">
        <f t="shared" si="5"/>
        <v>67.5</v>
      </c>
      <c r="Q14" t="s">
        <v>56</v>
      </c>
      <c r="R14">
        <v>67.5</v>
      </c>
      <c r="S14">
        <v>124.43843247079067</v>
      </c>
      <c r="T14" s="6">
        <f t="shared" si="6"/>
        <v>1.8665764870618602</v>
      </c>
      <c r="U14" s="6">
        <f t="shared" si="7"/>
        <v>111.43361683518091</v>
      </c>
      <c r="AZ14">
        <f>1.5*BA14/100</f>
        <v>1.35</v>
      </c>
      <c r="BA14">
        <v>90</v>
      </c>
      <c r="BB14">
        <f>(BA14+94.19)/$V$10</f>
        <v>57.449344385162135</v>
      </c>
      <c r="BC14">
        <f>100*(1+(AZ14-1.5)/($V$10-$V$11))</f>
        <v>94.993539734133478</v>
      </c>
      <c r="BD14">
        <f>(BB15-BB14)/BB14</f>
        <v>5.4291763939410967E-3</v>
      </c>
      <c r="BE14">
        <f>(BC15-BC14)/BC14</f>
        <v>5.2703165708726249E-3</v>
      </c>
    </row>
    <row r="15" spans="1:57">
      <c r="E15" s="4" t="s">
        <v>22</v>
      </c>
      <c r="F15" s="3">
        <v>125.65339912101734</v>
      </c>
      <c r="G15">
        <v>65.8</v>
      </c>
      <c r="H15" s="2">
        <f t="shared" si="8"/>
        <v>118.20146866043932</v>
      </c>
      <c r="I15" s="2">
        <v>67.099999999999994</v>
      </c>
      <c r="L15" s="7" t="s">
        <v>57</v>
      </c>
      <c r="M15" s="3">
        <v>125.65339912101734</v>
      </c>
      <c r="N15" s="2">
        <v>67.099999999999994</v>
      </c>
      <c r="O15" s="6">
        <f t="shared" si="5"/>
        <v>67.2</v>
      </c>
      <c r="Q15" t="s">
        <v>57</v>
      </c>
      <c r="R15">
        <v>67.2</v>
      </c>
      <c r="S15">
        <v>125.65339912101734</v>
      </c>
      <c r="T15" s="6">
        <f t="shared" si="6"/>
        <v>1.8848009868152602</v>
      </c>
      <c r="U15" s="6">
        <f t="shared" si="7"/>
        <v>112.00204376529676</v>
      </c>
      <c r="AZ15" s="6">
        <f t="shared" ref="AZ15:AZ54" si="9">1.5*BA15/100</f>
        <v>1.365</v>
      </c>
      <c r="BA15">
        <v>91</v>
      </c>
      <c r="BB15" s="6">
        <f t="shared" ref="BB15:BB54" si="10">(BA15+94.19)/$V$10</f>
        <v>57.76124700954545</v>
      </c>
      <c r="BC15" s="6">
        <f t="shared" ref="BC15:BC54" si="11">100*(1+(AZ15-1.5)/($V$10-$V$11))</f>
        <v>95.494185760720129</v>
      </c>
      <c r="BD15" s="6">
        <f>(BB16-BB15)/BB15</f>
        <v>5.3998596036503614E-3</v>
      </c>
      <c r="BE15" s="6">
        <f>(BC16-BC15)/BC15</f>
        <v>5.2426859562017735E-3</v>
      </c>
    </row>
    <row r="16" spans="1:57">
      <c r="E16" s="4" t="s">
        <v>23</v>
      </c>
      <c r="F16" s="3">
        <v>123.00335064196068</v>
      </c>
      <c r="G16">
        <v>68</v>
      </c>
      <c r="H16" s="2">
        <f t="shared" si="8"/>
        <v>129.02062894963532</v>
      </c>
      <c r="I16" s="2">
        <v>66.5</v>
      </c>
      <c r="L16" s="7" t="s">
        <v>58</v>
      </c>
      <c r="M16" s="3">
        <v>123.00335064196068</v>
      </c>
      <c r="N16" s="2">
        <v>66.5</v>
      </c>
      <c r="O16" s="6">
        <f t="shared" si="5"/>
        <v>68.3</v>
      </c>
      <c r="Q16" t="s">
        <v>58</v>
      </c>
      <c r="R16">
        <v>68.3</v>
      </c>
      <c r="S16">
        <v>123.00335064196068</v>
      </c>
      <c r="T16" s="6">
        <f t="shared" si="6"/>
        <v>1.8450502596294103</v>
      </c>
      <c r="U16" s="6">
        <f t="shared" si="7"/>
        <v>110.76220815225561</v>
      </c>
      <c r="AZ16" s="6">
        <f t="shared" si="9"/>
        <v>1.38</v>
      </c>
      <c r="BA16">
        <v>92</v>
      </c>
      <c r="BB16" s="6">
        <f t="shared" si="10"/>
        <v>58.073149633928765</v>
      </c>
      <c r="BC16" s="6">
        <f t="shared" si="11"/>
        <v>95.994831787306779</v>
      </c>
      <c r="BD16" s="6">
        <f>(BB17-BB16)/BB16</f>
        <v>5.3708577259787725E-3</v>
      </c>
      <c r="BE16" s="6">
        <f>(BC17-BC16)/BC16</f>
        <v>5.2153435478269625E-3</v>
      </c>
    </row>
    <row r="17" spans="5:57">
      <c r="E17" s="4" t="s">
        <v>24</v>
      </c>
      <c r="F17" s="3">
        <v>119.21321872111734</v>
      </c>
      <c r="G17">
        <v>67.900000000000006</v>
      </c>
      <c r="H17" s="2">
        <f t="shared" si="8"/>
        <v>130.01612137025401</v>
      </c>
      <c r="I17" s="2">
        <v>66.099999999999994</v>
      </c>
      <c r="L17" s="7" t="s">
        <v>59</v>
      </c>
      <c r="M17" s="3">
        <v>119.21321872111734</v>
      </c>
      <c r="N17" s="2">
        <v>66.099999999999994</v>
      </c>
      <c r="O17" s="6">
        <f t="shared" si="5"/>
        <v>67.099999999999994</v>
      </c>
      <c r="Q17" t="s">
        <v>59</v>
      </c>
      <c r="R17">
        <v>67.099999999999994</v>
      </c>
      <c r="S17">
        <v>119.21321872111734</v>
      </c>
      <c r="T17" s="6">
        <f t="shared" si="6"/>
        <v>1.78819828081676</v>
      </c>
      <c r="U17" s="6">
        <f t="shared" si="7"/>
        <v>108.98898001295061</v>
      </c>
      <c r="AZ17" s="6">
        <f t="shared" si="9"/>
        <v>1.395</v>
      </c>
      <c r="BA17" s="6">
        <v>93</v>
      </c>
      <c r="BB17" s="6">
        <f t="shared" si="10"/>
        <v>58.385052258312072</v>
      </c>
      <c r="BC17" s="6">
        <f t="shared" si="11"/>
        <v>96.495477813893444</v>
      </c>
      <c r="BD17" s="6">
        <f>(BB18-BB17)/BB17</f>
        <v>5.3421657139805035E-3</v>
      </c>
      <c r="BE17" s="6">
        <f>(BC18-BC17)/BC17</f>
        <v>5.1882848598585147E-3</v>
      </c>
    </row>
    <row r="18" spans="5:57">
      <c r="E18" s="4" t="s">
        <v>25</v>
      </c>
      <c r="F18" s="3">
        <v>118.72124305055667</v>
      </c>
      <c r="G18">
        <v>66.3</v>
      </c>
      <c r="H18" s="2">
        <f t="shared" si="8"/>
        <v>124.43843247079067</v>
      </c>
      <c r="I18" s="2">
        <v>64.3</v>
      </c>
      <c r="L18" s="7" t="s">
        <v>60</v>
      </c>
      <c r="M18" s="3">
        <v>118.72124305055667</v>
      </c>
      <c r="N18" s="2">
        <v>64.3</v>
      </c>
      <c r="O18" s="6">
        <f t="shared" si="5"/>
        <v>66.5</v>
      </c>
      <c r="Q18" t="s">
        <v>60</v>
      </c>
      <c r="R18">
        <v>66.5</v>
      </c>
      <c r="S18">
        <v>118.72124305055667</v>
      </c>
      <c r="T18" s="6">
        <f t="shared" si="6"/>
        <v>1.7808186457583499</v>
      </c>
      <c r="U18" s="6">
        <f t="shared" si="7"/>
        <v>108.75880725877968</v>
      </c>
      <c r="AZ18" s="6">
        <f t="shared" si="9"/>
        <v>1.41</v>
      </c>
      <c r="BA18" s="6">
        <v>94</v>
      </c>
      <c r="BB18" s="6">
        <f t="shared" si="10"/>
        <v>58.696954882695387</v>
      </c>
      <c r="BC18" s="6">
        <f t="shared" si="11"/>
        <v>96.996123840480081</v>
      </c>
      <c r="BD18" s="6">
        <f>(BB19-BB18)/BB18</f>
        <v>5.3137786279822928E-3</v>
      </c>
      <c r="BE18" s="6">
        <f>(BC19-BC18)/BC18</f>
        <v>5.1615054990239995E-3</v>
      </c>
    </row>
    <row r="19" spans="5:57">
      <c r="E19" s="4" t="s">
        <v>26</v>
      </c>
      <c r="F19" s="3">
        <v>118.83447141920401</v>
      </c>
      <c r="G19">
        <v>67.599999999999994</v>
      </c>
      <c r="H19" s="2">
        <f t="shared" si="8"/>
        <v>125.65339912101734</v>
      </c>
      <c r="I19" s="2">
        <v>65.099999999999994</v>
      </c>
      <c r="L19" s="7" t="s">
        <v>61</v>
      </c>
      <c r="M19" s="3">
        <v>118.83447141920401</v>
      </c>
      <c r="N19" s="2">
        <v>65.099999999999994</v>
      </c>
      <c r="O19" s="6">
        <f t="shared" si="5"/>
        <v>66.099999999999994</v>
      </c>
      <c r="Q19" t="s">
        <v>61</v>
      </c>
      <c r="R19">
        <v>66.099999999999994</v>
      </c>
      <c r="S19">
        <v>118.83447141920401</v>
      </c>
      <c r="T19" s="6">
        <f t="shared" si="6"/>
        <v>1.78251707128806</v>
      </c>
      <c r="U19" s="6">
        <f t="shared" si="7"/>
        <v>108.81178159678331</v>
      </c>
      <c r="AZ19" s="6">
        <f t="shared" si="9"/>
        <v>1.425</v>
      </c>
      <c r="BA19" s="6">
        <v>95</v>
      </c>
      <c r="BB19" s="6">
        <f t="shared" si="10"/>
        <v>59.008857507078694</v>
      </c>
      <c r="BC19" s="6">
        <f t="shared" si="11"/>
        <v>97.496769867066732</v>
      </c>
      <c r="BD19" s="6">
        <f>(BB20-BB19)/BB19</f>
        <v>5.2856916327502007E-3</v>
      </c>
      <c r="BE19" s="6">
        <f>(BC20-BC19)/BC19</f>
        <v>5.135001162287359E-3</v>
      </c>
    </row>
    <row r="20" spans="5:57">
      <c r="E20" s="4" t="s">
        <v>27</v>
      </c>
      <c r="F20" s="3">
        <v>123.90837721749735</v>
      </c>
      <c r="G20">
        <v>63.9</v>
      </c>
      <c r="H20" s="2">
        <f t="shared" si="8"/>
        <v>123.00335064196068</v>
      </c>
      <c r="I20" s="2">
        <v>61.7</v>
      </c>
      <c r="L20" s="7" t="s">
        <v>62</v>
      </c>
      <c r="M20" s="3">
        <v>123.90837721749735</v>
      </c>
      <c r="N20" s="2">
        <v>61.7</v>
      </c>
      <c r="O20" s="6">
        <f t="shared" si="5"/>
        <v>64.3</v>
      </c>
      <c r="Q20" t="s">
        <v>62</v>
      </c>
      <c r="R20">
        <v>64.3</v>
      </c>
      <c r="S20">
        <v>123.90837721749735</v>
      </c>
      <c r="T20" s="6">
        <f t="shared" si="6"/>
        <v>1.8586256582624603</v>
      </c>
      <c r="U20" s="6">
        <f t="shared" si="7"/>
        <v>111.18562839832539</v>
      </c>
      <c r="AZ20" s="6">
        <f t="shared" si="9"/>
        <v>1.44</v>
      </c>
      <c r="BA20" s="6">
        <v>96</v>
      </c>
      <c r="BB20" s="6">
        <f t="shared" si="10"/>
        <v>59.320760131462009</v>
      </c>
      <c r="BC20" s="6">
        <f t="shared" si="11"/>
        <v>97.997415893653383</v>
      </c>
      <c r="BD20" s="6">
        <f>(BB21-BB20)/BB20</f>
        <v>5.2578999947420352E-3</v>
      </c>
      <c r="BE20" s="6">
        <f>(BC21-BC20)/BC20</f>
        <v>5.1087676345462534E-3</v>
      </c>
    </row>
    <row r="21" spans="5:57">
      <c r="E21" s="4" t="s">
        <v>28</v>
      </c>
      <c r="F21" s="3">
        <v>120.550482038596</v>
      </c>
      <c r="G21">
        <v>65.3</v>
      </c>
      <c r="H21" s="2">
        <f t="shared" si="8"/>
        <v>119.21321872111734</v>
      </c>
      <c r="I21" s="2">
        <v>63.6</v>
      </c>
      <c r="L21" s="7" t="s">
        <v>63</v>
      </c>
      <c r="M21" s="3">
        <v>120.550482038596</v>
      </c>
      <c r="N21" s="2">
        <v>63.6</v>
      </c>
      <c r="O21" s="6">
        <f t="shared" si="5"/>
        <v>65.099999999999994</v>
      </c>
      <c r="Q21" t="s">
        <v>63</v>
      </c>
      <c r="R21">
        <v>65.099999999999994</v>
      </c>
      <c r="S21">
        <v>120.550482038596</v>
      </c>
      <c r="T21" s="6">
        <f t="shared" si="6"/>
        <v>1.8082572305789402</v>
      </c>
      <c r="U21" s="6">
        <f t="shared" si="7"/>
        <v>109.6146239202703</v>
      </c>
      <c r="AZ21" s="6">
        <f t="shared" si="9"/>
        <v>1.4550000000000001</v>
      </c>
      <c r="BA21" s="6">
        <v>97</v>
      </c>
      <c r="BB21" s="6">
        <f t="shared" si="10"/>
        <v>59.632662755845317</v>
      </c>
      <c r="BC21" s="6">
        <f t="shared" si="11"/>
        <v>98.498061920240048</v>
      </c>
      <c r="BD21" s="6">
        <f>(BB22-BB21)/BB21</f>
        <v>5.2303990794498167E-3</v>
      </c>
      <c r="BE21" s="6">
        <f>(BC22-BC21)/BC21</f>
        <v>5.0828007863957239E-3</v>
      </c>
    </row>
    <row r="22" spans="5:57">
      <c r="E22" s="4" t="s">
        <v>29</v>
      </c>
      <c r="F22" s="3">
        <v>114.0551020892207</v>
      </c>
      <c r="G22">
        <v>63.3</v>
      </c>
      <c r="H22" s="2">
        <f t="shared" si="8"/>
        <v>118.72124305055667</v>
      </c>
      <c r="I22" s="2">
        <v>61.6</v>
      </c>
      <c r="L22" s="7" t="s">
        <v>64</v>
      </c>
      <c r="M22" s="3">
        <v>114.0551020892207</v>
      </c>
      <c r="N22" s="2">
        <v>61.6</v>
      </c>
      <c r="O22" s="6">
        <f t="shared" si="5"/>
        <v>61.7</v>
      </c>
      <c r="Q22" t="s">
        <v>64</v>
      </c>
      <c r="R22">
        <v>61.7</v>
      </c>
      <c r="S22">
        <v>114.0551020892207</v>
      </c>
      <c r="T22" s="6">
        <f t="shared" si="6"/>
        <v>1.7108265313383106</v>
      </c>
      <c r="U22" s="6">
        <f t="shared" si="7"/>
        <v>106.57573484140495</v>
      </c>
      <c r="AZ22" s="6">
        <f t="shared" si="9"/>
        <v>1.47</v>
      </c>
      <c r="BA22" s="6">
        <v>98</v>
      </c>
      <c r="BB22" s="6">
        <f t="shared" si="10"/>
        <v>59.944565380228632</v>
      </c>
      <c r="BC22" s="6">
        <f t="shared" si="11"/>
        <v>98.998707946826698</v>
      </c>
      <c r="BD22" s="6">
        <f>(BB23-BB22)/BB22</f>
        <v>5.2031843488214149E-3</v>
      </c>
      <c r="BE22" s="6">
        <f>(BC23-BC22)/BC22</f>
        <v>5.0570965719628717E-3</v>
      </c>
    </row>
    <row r="23" spans="5:57">
      <c r="E23" s="4" t="s">
        <v>30</v>
      </c>
      <c r="F23" s="3">
        <v>115.83966956351601</v>
      </c>
      <c r="G23">
        <v>61.5</v>
      </c>
      <c r="H23" s="2">
        <f t="shared" si="8"/>
        <v>118.83447141920401</v>
      </c>
      <c r="I23" s="2">
        <v>58.8</v>
      </c>
      <c r="L23" s="7" t="s">
        <v>65</v>
      </c>
      <c r="M23" s="3">
        <v>115.83966956351601</v>
      </c>
      <c r="N23" s="2">
        <v>58.8</v>
      </c>
      <c r="O23" s="6">
        <f t="shared" si="5"/>
        <v>63.6</v>
      </c>
      <c r="Q23" t="s">
        <v>65</v>
      </c>
      <c r="R23">
        <v>63.6</v>
      </c>
      <c r="S23">
        <v>115.83966956351601</v>
      </c>
      <c r="T23" s="6">
        <f t="shared" si="6"/>
        <v>1.7375950434527403</v>
      </c>
      <c r="U23" s="6">
        <f t="shared" si="7"/>
        <v>107.41065175933767</v>
      </c>
      <c r="AZ23" s="6">
        <f t="shared" si="9"/>
        <v>1.4850000000000001</v>
      </c>
      <c r="BA23" s="6">
        <v>99</v>
      </c>
      <c r="BB23" s="6">
        <f t="shared" si="10"/>
        <v>60.256468004611939</v>
      </c>
      <c r="BC23" s="6">
        <f t="shared" si="11"/>
        <v>99.499353973413349</v>
      </c>
      <c r="BD23" s="6">
        <f>(BB24-BB23)/BB23</f>
        <v>5.1762513587660357E-3</v>
      </c>
      <c r="BE23" s="6">
        <f>(BC24-BC23)/BC23</f>
        <v>5.0316510268039079E-3</v>
      </c>
    </row>
    <row r="24" spans="5:57">
      <c r="E24" s="4" t="s">
        <v>31</v>
      </c>
      <c r="F24" s="3">
        <v>112.56509487375732</v>
      </c>
      <c r="G24">
        <v>64.5</v>
      </c>
      <c r="H24" s="2">
        <f t="shared" si="8"/>
        <v>123.90837721749735</v>
      </c>
      <c r="I24" s="2">
        <v>60.7</v>
      </c>
      <c r="L24" s="7" t="s">
        <v>66</v>
      </c>
      <c r="M24" s="3">
        <v>112.56509487375732</v>
      </c>
      <c r="N24" s="2">
        <v>60.7</v>
      </c>
      <c r="O24" s="6">
        <f t="shared" si="5"/>
        <v>61.6</v>
      </c>
      <c r="Q24" t="s">
        <v>66</v>
      </c>
      <c r="R24">
        <v>61.6</v>
      </c>
      <c r="S24">
        <v>112.56509487375732</v>
      </c>
      <c r="T24" s="6">
        <f t="shared" si="6"/>
        <v>1.6884764231063598</v>
      </c>
      <c r="U24" s="6">
        <f t="shared" si="7"/>
        <v>105.87862910012531</v>
      </c>
      <c r="AZ24" s="6">
        <f t="shared" si="9"/>
        <v>1.5</v>
      </c>
      <c r="BA24" s="6">
        <v>100</v>
      </c>
      <c r="BB24" s="6">
        <f t="shared" si="10"/>
        <v>60.568370628995254</v>
      </c>
      <c r="BC24" s="6">
        <f t="shared" si="11"/>
        <v>100</v>
      </c>
      <c r="BD24" s="6">
        <f>(BB25-BB24)/BB24</f>
        <v>5.1495957567330329E-3</v>
      </c>
      <c r="BE24" s="6">
        <f>(BC25-BC24)/BC24</f>
        <v>5.0064602658666498E-3</v>
      </c>
    </row>
    <row r="25" spans="5:57">
      <c r="E25" s="4" t="s">
        <v>32</v>
      </c>
      <c r="F25" s="3">
        <v>103.443008255088</v>
      </c>
      <c r="G25">
        <v>65.3</v>
      </c>
      <c r="H25" s="2">
        <f t="shared" si="8"/>
        <v>120.550482038596</v>
      </c>
      <c r="I25" s="2">
        <v>62</v>
      </c>
      <c r="L25" s="7" t="s">
        <v>67</v>
      </c>
      <c r="M25" s="3">
        <v>103.443008255088</v>
      </c>
      <c r="N25" s="2">
        <v>62</v>
      </c>
      <c r="O25" s="6">
        <f t="shared" si="5"/>
        <v>58.8</v>
      </c>
      <c r="Q25" t="s">
        <v>67</v>
      </c>
      <c r="R25">
        <v>58.8</v>
      </c>
      <c r="S25">
        <v>103.443008255088</v>
      </c>
      <c r="T25" s="6">
        <f t="shared" si="6"/>
        <v>1.55164512382632</v>
      </c>
      <c r="U25" s="6">
        <f t="shared" si="7"/>
        <v>101.61082496580303</v>
      </c>
      <c r="AZ25" s="6">
        <f t="shared" si="9"/>
        <v>1.5149999999999999</v>
      </c>
      <c r="BA25" s="6">
        <v>101</v>
      </c>
      <c r="BB25" s="6">
        <f t="shared" si="10"/>
        <v>60.880273253378562</v>
      </c>
      <c r="BC25" s="6">
        <f t="shared" si="11"/>
        <v>100.50064602658667</v>
      </c>
      <c r="BD25" s="6">
        <f>(BB26-BB25)/BB25</f>
        <v>5.1232132793688741E-3</v>
      </c>
      <c r="BE25" s="6">
        <f>(BC26-BC25)/BC25</f>
        <v>4.9815204815120747E-3</v>
      </c>
    </row>
    <row r="26" spans="5:57">
      <c r="E26" s="4" t="s">
        <v>33</v>
      </c>
      <c r="F26" s="3">
        <v>104.65457152151936</v>
      </c>
      <c r="G26">
        <v>67.2</v>
      </c>
      <c r="H26" s="2">
        <f t="shared" si="8"/>
        <v>114.0551020892207</v>
      </c>
      <c r="I26" s="2">
        <v>61.6</v>
      </c>
      <c r="L26" s="7" t="s">
        <v>68</v>
      </c>
      <c r="M26" s="3">
        <v>104.65457152151936</v>
      </c>
      <c r="N26" s="2">
        <v>61.6</v>
      </c>
      <c r="O26" s="6">
        <f t="shared" si="5"/>
        <v>60.7</v>
      </c>
      <c r="Q26" t="s">
        <v>68</v>
      </c>
      <c r="R26">
        <v>60.7</v>
      </c>
      <c r="S26">
        <v>104.65457152151936</v>
      </c>
      <c r="T26" s="6">
        <f t="shared" si="6"/>
        <v>1.5698185728227905</v>
      </c>
      <c r="U26" s="6">
        <f t="shared" si="7"/>
        <v>102.17765960941256</v>
      </c>
      <c r="AZ26" s="6">
        <f t="shared" si="9"/>
        <v>1.53</v>
      </c>
      <c r="BA26" s="6">
        <v>102</v>
      </c>
      <c r="BB26" s="6">
        <f t="shared" si="10"/>
        <v>61.192175877761876</v>
      </c>
      <c r="BC26" s="6">
        <f t="shared" si="11"/>
        <v>101.0012920531733</v>
      </c>
      <c r="BD26" s="6">
        <f>(BB27-BB26)/BB26</f>
        <v>5.0970997502420498E-3</v>
      </c>
      <c r="BE26" s="6">
        <f>(BC27-BC26)/BC26</f>
        <v>4.9568279415978158E-3</v>
      </c>
    </row>
    <row r="27" spans="5:57">
      <c r="E27" s="4" t="s">
        <v>34</v>
      </c>
      <c r="F27" s="3">
        <v>116.03520622914067</v>
      </c>
      <c r="G27">
        <v>66.5</v>
      </c>
      <c r="H27" s="2">
        <f t="shared" si="8"/>
        <v>115.83966956351601</v>
      </c>
      <c r="I27" s="2">
        <v>60.7</v>
      </c>
      <c r="L27" s="7" t="s">
        <v>69</v>
      </c>
      <c r="M27" s="3">
        <v>116.03520622914067</v>
      </c>
      <c r="N27" s="2">
        <v>60.7</v>
      </c>
      <c r="O27" s="6">
        <f t="shared" si="5"/>
        <v>62</v>
      </c>
      <c r="Q27" t="s">
        <v>69</v>
      </c>
      <c r="R27">
        <v>62</v>
      </c>
      <c r="S27">
        <v>116.03520622914067</v>
      </c>
      <c r="T27" s="6">
        <f t="shared" si="6"/>
        <v>1.7405280934371101</v>
      </c>
      <c r="U27" s="6">
        <f t="shared" si="7"/>
        <v>107.50213435809491</v>
      </c>
      <c r="AZ27" s="6">
        <f t="shared" si="9"/>
        <v>1.5449999999999999</v>
      </c>
      <c r="BA27" s="6">
        <v>103</v>
      </c>
      <c r="BB27" s="6">
        <f t="shared" si="10"/>
        <v>61.504078502145184</v>
      </c>
      <c r="BC27" s="6">
        <f t="shared" si="11"/>
        <v>101.50193807975995</v>
      </c>
      <c r="BD27" s="6">
        <f>(BB28-BB27)/BB27</f>
        <v>5.0712510776409073E-3</v>
      </c>
      <c r="BE27" s="6">
        <f>(BC28-BC27)/BC27</f>
        <v>4.9323789876136032E-3</v>
      </c>
    </row>
    <row r="28" spans="5:57">
      <c r="E28" s="4" t="s">
        <v>35</v>
      </c>
      <c r="F28" s="3">
        <v>110.67964213365467</v>
      </c>
      <c r="G28">
        <v>65.2</v>
      </c>
      <c r="H28" s="2">
        <f t="shared" si="8"/>
        <v>112.56509487375732</v>
      </c>
      <c r="I28" s="2">
        <v>59.1</v>
      </c>
      <c r="L28" s="7" t="s">
        <v>70</v>
      </c>
      <c r="M28" s="3">
        <v>110.67964213365467</v>
      </c>
      <c r="N28" s="2">
        <v>59.1</v>
      </c>
      <c r="O28" s="6">
        <f t="shared" si="5"/>
        <v>61.6</v>
      </c>
      <c r="Q28" t="s">
        <v>70</v>
      </c>
      <c r="R28">
        <v>61.6</v>
      </c>
      <c r="S28">
        <v>110.67964213365467</v>
      </c>
      <c r="T28" s="6">
        <f t="shared" si="6"/>
        <v>1.66019463200482</v>
      </c>
      <c r="U28" s="6">
        <f t="shared" si="7"/>
        <v>104.99651261344223</v>
      </c>
      <c r="AZ28" s="6">
        <f t="shared" si="9"/>
        <v>1.56</v>
      </c>
      <c r="BA28" s="6">
        <v>104</v>
      </c>
      <c r="BB28" s="6">
        <f t="shared" si="10"/>
        <v>61.815981126528499</v>
      </c>
      <c r="BC28" s="6">
        <f t="shared" si="11"/>
        <v>102.00258410634662</v>
      </c>
      <c r="BD28" s="6">
        <f>(BB29-BB28)/BB28</f>
        <v>5.0456632524345851E-3</v>
      </c>
      <c r="BE28" s="6">
        <f>(BC29-BC28)/BC28</f>
        <v>4.9081700328755329E-3</v>
      </c>
    </row>
    <row r="29" spans="5:57">
      <c r="E29" s="4" t="s">
        <v>36</v>
      </c>
      <c r="F29" s="3">
        <v>101.0422697317</v>
      </c>
      <c r="G29">
        <v>65.400000000000006</v>
      </c>
      <c r="H29" s="2">
        <f t="shared" si="8"/>
        <v>103.443008255088</v>
      </c>
      <c r="I29" s="2">
        <v>56.9</v>
      </c>
      <c r="L29" s="7" t="s">
        <v>71</v>
      </c>
      <c r="M29" s="3">
        <v>101.0422697317</v>
      </c>
      <c r="N29" s="2">
        <v>56.9</v>
      </c>
      <c r="O29" s="6">
        <f t="shared" si="5"/>
        <v>60.7</v>
      </c>
      <c r="Q29" t="s">
        <v>71</v>
      </c>
      <c r="R29">
        <v>60.7</v>
      </c>
      <c r="S29">
        <v>101.0422697317</v>
      </c>
      <c r="T29" s="6">
        <f t="shared" si="6"/>
        <v>1.5156340459755</v>
      </c>
      <c r="U29" s="6">
        <f t="shared" si="7"/>
        <v>100.48762999694878</v>
      </c>
      <c r="AZ29" s="6">
        <f t="shared" si="9"/>
        <v>1.575</v>
      </c>
      <c r="BA29" s="6">
        <v>105</v>
      </c>
      <c r="BB29" s="6">
        <f t="shared" si="10"/>
        <v>62.127883750911813</v>
      </c>
      <c r="BC29" s="6">
        <f t="shared" si="11"/>
        <v>102.50323013293325</v>
      </c>
      <c r="BD29" s="6">
        <f>(BB30-BB29)/BB29</f>
        <v>5.020332346001243E-3</v>
      </c>
      <c r="BE29" s="6">
        <f>(BC30-BC29)/BC29</f>
        <v>4.8841975607733798E-3</v>
      </c>
    </row>
    <row r="30" spans="5:57">
      <c r="E30" s="4" t="s">
        <v>37</v>
      </c>
      <c r="F30" s="3">
        <v>91.789744827140012</v>
      </c>
      <c r="G30">
        <v>67.099999999999994</v>
      </c>
      <c r="H30" s="2">
        <f t="shared" si="8"/>
        <v>104.65457152151936</v>
      </c>
      <c r="I30" s="2">
        <v>59.6</v>
      </c>
      <c r="L30" s="7" t="s">
        <v>72</v>
      </c>
      <c r="M30" s="3">
        <v>91.789744827140012</v>
      </c>
      <c r="N30" s="2">
        <v>59.6</v>
      </c>
      <c r="O30" s="6">
        <f t="shared" si="5"/>
        <v>59.1</v>
      </c>
      <c r="Q30" t="s">
        <v>72</v>
      </c>
      <c r="R30">
        <v>59.1</v>
      </c>
      <c r="S30">
        <v>91.789744827140012</v>
      </c>
      <c r="T30" s="6">
        <f t="shared" si="6"/>
        <v>1.3768461724071002</v>
      </c>
      <c r="U30" s="6">
        <f t="shared" si="7"/>
        <v>96.15879979709247</v>
      </c>
      <c r="AZ30" s="6">
        <f t="shared" si="9"/>
        <v>1.59</v>
      </c>
      <c r="BA30" s="6">
        <v>106</v>
      </c>
      <c r="BB30" s="6">
        <f t="shared" si="10"/>
        <v>62.439786375295121</v>
      </c>
      <c r="BC30" s="6">
        <f t="shared" si="11"/>
        <v>103.00387615951992</v>
      </c>
      <c r="BD30" s="6">
        <f>(BB31-BB30)/BB30</f>
        <v>4.9952545082172463E-3</v>
      </c>
      <c r="BE30" s="6">
        <f>(BC31-BC30)/BC30</f>
        <v>4.8604581230643294E-3</v>
      </c>
    </row>
    <row r="31" spans="5:57">
      <c r="E31" s="4" t="s">
        <v>38</v>
      </c>
      <c r="F31" s="3">
        <v>83.132801566099346</v>
      </c>
      <c r="G31">
        <v>68.099999999999994</v>
      </c>
      <c r="H31" s="2">
        <f t="shared" si="8"/>
        <v>116.03520622914067</v>
      </c>
      <c r="I31" s="2">
        <v>61.5</v>
      </c>
      <c r="L31" s="7" t="s">
        <v>73</v>
      </c>
      <c r="M31" s="3">
        <v>83.132801566099346</v>
      </c>
      <c r="N31" s="2">
        <v>61.5</v>
      </c>
      <c r="O31" s="6">
        <f t="shared" si="5"/>
        <v>56.9</v>
      </c>
      <c r="Q31" t="s">
        <v>73</v>
      </c>
      <c r="R31">
        <v>56.9</v>
      </c>
      <c r="S31">
        <v>83.132801566099346</v>
      </c>
      <c r="T31" s="6">
        <f t="shared" si="6"/>
        <v>1.2469920234914902</v>
      </c>
      <c r="U31" s="6">
        <f t="shared" si="7"/>
        <v>92.108614813708456</v>
      </c>
      <c r="AZ31" s="6">
        <f t="shared" si="9"/>
        <v>1.605</v>
      </c>
      <c r="BA31" s="6">
        <v>107</v>
      </c>
      <c r="BB31" s="6">
        <f t="shared" si="10"/>
        <v>62.751688999678436</v>
      </c>
      <c r="BC31" s="6">
        <f t="shared" si="11"/>
        <v>103.50452218610657</v>
      </c>
      <c r="BD31" s="6">
        <f>(BB32-BB31)/BB31</f>
        <v>4.9704259655051824E-3</v>
      </c>
      <c r="BE31" s="6">
        <f>(BC32-BC31)/BC31</f>
        <v>4.8369483382231081E-3</v>
      </c>
    </row>
    <row r="32" spans="5:57">
      <c r="E32" s="4" t="s">
        <v>39</v>
      </c>
      <c r="F32" s="3">
        <v>90.983751261809999</v>
      </c>
      <c r="G32">
        <v>68</v>
      </c>
      <c r="H32" s="2">
        <f t="shared" si="8"/>
        <v>110.67964213365467</v>
      </c>
      <c r="I32" s="2">
        <v>61.4</v>
      </c>
      <c r="L32" s="7" t="s">
        <v>74</v>
      </c>
      <c r="M32" s="3">
        <v>90.983751261809999</v>
      </c>
      <c r="N32" s="2">
        <v>61.4</v>
      </c>
      <c r="O32" s="6">
        <f t="shared" si="5"/>
        <v>59.6</v>
      </c>
      <c r="Q32" t="s">
        <v>74</v>
      </c>
      <c r="R32">
        <v>59.6</v>
      </c>
      <c r="S32">
        <v>90.983751261809999</v>
      </c>
      <c r="T32" s="6">
        <f t="shared" si="6"/>
        <v>1.3647562689271502</v>
      </c>
      <c r="U32" s="6">
        <f t="shared" si="7"/>
        <v>95.781712534698741</v>
      </c>
      <c r="AZ32" s="6">
        <f t="shared" si="9"/>
        <v>1.62</v>
      </c>
      <c r="BA32" s="6">
        <v>108</v>
      </c>
      <c r="BB32" s="6">
        <f t="shared" si="10"/>
        <v>63.063591624061743</v>
      </c>
      <c r="BC32" s="6">
        <f t="shared" si="11"/>
        <v>104.00516821269323</v>
      </c>
      <c r="BD32" s="6">
        <f>(BB33-BB32)/BB32</f>
        <v>4.9458430189426306E-3</v>
      </c>
      <c r="BE32" s="6">
        <f>(BC33-BC32)/BC32</f>
        <v>4.813664889833192E-3</v>
      </c>
    </row>
    <row r="33" spans="5:57">
      <c r="E33" s="4" t="s">
        <v>40</v>
      </c>
      <c r="F33" s="3">
        <v>102.75804387825733</v>
      </c>
      <c r="G33">
        <v>67.7</v>
      </c>
      <c r="H33" s="2">
        <f t="shared" si="8"/>
        <v>101.0422697317</v>
      </c>
      <c r="I33" s="2">
        <v>60.4</v>
      </c>
      <c r="L33" s="7" t="s">
        <v>75</v>
      </c>
      <c r="M33" s="3">
        <v>102.75804387825733</v>
      </c>
      <c r="N33" s="2">
        <v>60.4</v>
      </c>
      <c r="O33" s="6">
        <f t="shared" si="5"/>
        <v>61.5</v>
      </c>
      <c r="Q33" t="s">
        <v>75</v>
      </c>
      <c r="R33">
        <v>61.5</v>
      </c>
      <c r="S33">
        <v>102.75804387825733</v>
      </c>
      <c r="T33" s="6">
        <f t="shared" si="6"/>
        <v>1.5413706581738598</v>
      </c>
      <c r="U33" s="6">
        <f t="shared" si="7"/>
        <v>101.29036168568916</v>
      </c>
      <c r="AZ33" s="6">
        <f t="shared" si="9"/>
        <v>1.635</v>
      </c>
      <c r="BA33" s="6">
        <v>109</v>
      </c>
      <c r="BB33" s="6">
        <f t="shared" si="10"/>
        <v>63.375494248445058</v>
      </c>
      <c r="BC33" s="6">
        <f t="shared" si="11"/>
        <v>104.50581423927987</v>
      </c>
      <c r="BD33" s="6">
        <f>(BB34-BB33)/BB33</f>
        <v>4.9215020424232866E-3</v>
      </c>
      <c r="BE33" s="6">
        <f>(BC34-BC33)/BC33</f>
        <v>4.7906045250302514E-3</v>
      </c>
    </row>
    <row r="34" spans="5:57">
      <c r="E34" s="4" t="s">
        <v>41</v>
      </c>
      <c r="F34" s="3">
        <v>98.911323556058008</v>
      </c>
      <c r="G34">
        <v>67.3</v>
      </c>
      <c r="H34" s="2">
        <f t="shared" si="8"/>
        <v>91.789744827140012</v>
      </c>
      <c r="I34" s="2">
        <v>60.7</v>
      </c>
      <c r="L34" s="7" t="s">
        <v>76</v>
      </c>
      <c r="M34" s="3">
        <v>98.911323556058008</v>
      </c>
      <c r="N34" s="2">
        <v>60.7</v>
      </c>
      <c r="O34" s="6">
        <f t="shared" si="5"/>
        <v>61.4</v>
      </c>
      <c r="Q34" t="s">
        <v>76</v>
      </c>
      <c r="R34">
        <v>61.4</v>
      </c>
      <c r="S34">
        <v>98.911323556058008</v>
      </c>
      <c r="T34" s="6">
        <f t="shared" si="6"/>
        <v>1.4836698533408701</v>
      </c>
      <c r="U34" s="6">
        <f t="shared" si="7"/>
        <v>99.490658440045294</v>
      </c>
      <c r="AZ34" s="6">
        <f t="shared" si="9"/>
        <v>1.65</v>
      </c>
      <c r="BA34" s="6">
        <v>110</v>
      </c>
      <c r="BB34" s="6">
        <f t="shared" si="10"/>
        <v>63.687396872828366</v>
      </c>
      <c r="BC34" s="6">
        <f t="shared" si="11"/>
        <v>105.00646026586654</v>
      </c>
      <c r="BD34" s="6">
        <f>(BB35-BB34)/BB34</f>
        <v>4.8973994808757066E-3</v>
      </c>
      <c r="BE34" s="6">
        <f>(BC35-BC34)/BC34</f>
        <v>4.7677640529834803E-3</v>
      </c>
    </row>
    <row r="35" spans="5:57">
      <c r="E35" s="4" t="s">
        <v>42</v>
      </c>
      <c r="F35" s="3">
        <v>93.875643929005335</v>
      </c>
      <c r="G35">
        <v>65.099999999999994</v>
      </c>
      <c r="H35" s="2">
        <f>F31</f>
        <v>83.132801566099346</v>
      </c>
      <c r="I35" s="2">
        <v>58.2</v>
      </c>
      <c r="L35" s="7" t="s">
        <v>77</v>
      </c>
      <c r="M35" s="3">
        <v>93.875643929005335</v>
      </c>
      <c r="N35" s="2">
        <v>58.2</v>
      </c>
      <c r="O35" s="6">
        <f t="shared" si="5"/>
        <v>60.4</v>
      </c>
      <c r="Q35" t="s">
        <v>77</v>
      </c>
      <c r="R35">
        <v>60.4</v>
      </c>
      <c r="S35">
        <v>93.875643929005335</v>
      </c>
      <c r="T35" s="6">
        <f t="shared" si="6"/>
        <v>1.4081346589350801</v>
      </c>
      <c r="U35" s="6">
        <f t="shared" si="7"/>
        <v>97.134695903198349</v>
      </c>
      <c r="AZ35" s="6">
        <f t="shared" si="9"/>
        <v>1.665</v>
      </c>
      <c r="BA35" s="6">
        <v>111</v>
      </c>
      <c r="BB35" s="6">
        <f t="shared" si="10"/>
        <v>63.99929949721168</v>
      </c>
      <c r="BC35" s="6">
        <f t="shared" si="11"/>
        <v>105.50710629245317</v>
      </c>
      <c r="BD35" s="6">
        <f>(BB36-BB35)/BB35</f>
        <v>4.87353184853057E-3</v>
      </c>
      <c r="BE35" s="6">
        <f>(BC36-BC35)/BC35</f>
        <v>4.7451403434278583E-3</v>
      </c>
    </row>
    <row r="36" spans="5:57">
      <c r="E36" s="4" t="s">
        <v>43</v>
      </c>
      <c r="F36" s="3">
        <v>93.249310528408017</v>
      </c>
      <c r="G36">
        <v>66.7</v>
      </c>
      <c r="H36" s="2">
        <f t="shared" si="8"/>
        <v>90.983751261809999</v>
      </c>
      <c r="I36" s="2">
        <v>59.7</v>
      </c>
      <c r="L36" s="7" t="s">
        <v>78</v>
      </c>
      <c r="M36" s="3">
        <v>93.249310528408017</v>
      </c>
      <c r="N36" s="2">
        <v>59.7</v>
      </c>
      <c r="O36" s="6">
        <f t="shared" si="5"/>
        <v>60.7</v>
      </c>
      <c r="Q36" t="s">
        <v>78</v>
      </c>
      <c r="R36">
        <v>60.7</v>
      </c>
      <c r="S36">
        <v>93.249310528408017</v>
      </c>
      <c r="T36" s="6">
        <f t="shared" si="6"/>
        <v>1.3987396579261202</v>
      </c>
      <c r="U36" s="6">
        <f t="shared" si="7"/>
        <v>96.841663356120506</v>
      </c>
      <c r="AZ36" s="6">
        <f t="shared" si="9"/>
        <v>1.68</v>
      </c>
      <c r="BA36" s="6">
        <v>112</v>
      </c>
      <c r="BB36" s="6">
        <f t="shared" si="10"/>
        <v>64.311202121594988</v>
      </c>
      <c r="BC36" s="6">
        <f t="shared" si="11"/>
        <v>106.00775231903982</v>
      </c>
      <c r="BD36" s="6">
        <f>(BB37-BB36)/BB36</f>
        <v>4.8498957272418049E-3</v>
      </c>
      <c r="BE36" s="6">
        <f>(BC37-BC36)/BC36</f>
        <v>4.7227303252306112E-3</v>
      </c>
    </row>
    <row r="37" spans="5:57">
      <c r="E37" s="4" t="s">
        <v>44</v>
      </c>
      <c r="F37" s="3">
        <v>94.209298256365997</v>
      </c>
      <c r="G37">
        <v>67.7</v>
      </c>
      <c r="H37" s="2">
        <f t="shared" si="8"/>
        <v>102.75804387825733</v>
      </c>
      <c r="I37" s="2">
        <v>61.7</v>
      </c>
      <c r="L37" s="7" t="s">
        <v>79</v>
      </c>
      <c r="M37" s="3">
        <v>94.209298256365997</v>
      </c>
      <c r="N37" s="2">
        <v>61.7</v>
      </c>
      <c r="O37" s="6">
        <f t="shared" si="5"/>
        <v>58.2</v>
      </c>
      <c r="Q37" t="s">
        <v>79</v>
      </c>
      <c r="R37">
        <v>58.2</v>
      </c>
      <c r="S37">
        <v>94.209298256365997</v>
      </c>
      <c r="T37" s="6">
        <f t="shared" si="6"/>
        <v>1.4131394738454901</v>
      </c>
      <c r="U37" s="6">
        <f t="shared" si="7"/>
        <v>97.290797393709312</v>
      </c>
      <c r="AZ37" s="6">
        <f t="shared" si="9"/>
        <v>1.6950000000000001</v>
      </c>
      <c r="BA37" s="6">
        <v>113</v>
      </c>
      <c r="BB37" s="6">
        <f t="shared" si="10"/>
        <v>64.623104745978296</v>
      </c>
      <c r="BC37" s="6">
        <f t="shared" si="11"/>
        <v>106.50839834562649</v>
      </c>
      <c r="BD37" s="6">
        <f>(BB38-BB37)/BB37</f>
        <v>4.8264877648536769E-3</v>
      </c>
      <c r="BE37" s="6">
        <f>(BC38-BC37)/BC37</f>
        <v>4.7005309850027838E-3</v>
      </c>
    </row>
    <row r="38" spans="5:57">
      <c r="E38" s="4" t="s">
        <v>45</v>
      </c>
      <c r="F38" s="3">
        <v>95.567684397638004</v>
      </c>
      <c r="G38">
        <v>67</v>
      </c>
      <c r="H38" s="2">
        <f t="shared" si="8"/>
        <v>98.911323556058008</v>
      </c>
      <c r="I38" s="2">
        <v>60.8</v>
      </c>
      <c r="L38" s="7" t="s">
        <v>80</v>
      </c>
      <c r="M38" s="3">
        <v>95.567684397638004</v>
      </c>
      <c r="N38" s="2">
        <v>60.8</v>
      </c>
      <c r="O38" s="6">
        <f t="shared" si="5"/>
        <v>59.7</v>
      </c>
      <c r="Q38" t="s">
        <v>80</v>
      </c>
      <c r="R38">
        <v>59.7</v>
      </c>
      <c r="S38">
        <v>95.567684397638004</v>
      </c>
      <c r="T38" s="6">
        <f t="shared" si="6"/>
        <v>1.43351526596457</v>
      </c>
      <c r="U38" s="6">
        <f t="shared" si="7"/>
        <v>97.92632369729229</v>
      </c>
      <c r="AZ38" s="6">
        <f t="shared" si="9"/>
        <v>1.71</v>
      </c>
      <c r="BA38" s="6">
        <v>114</v>
      </c>
      <c r="BB38" s="6">
        <f t="shared" si="10"/>
        <v>64.935007370361618</v>
      </c>
      <c r="BC38" s="6">
        <f t="shared" si="11"/>
        <v>107.00904437221313</v>
      </c>
      <c r="BD38" s="6">
        <f>(BB39-BB38)/BB38</f>
        <v>4.8033046736153879E-3</v>
      </c>
      <c r="BE38" s="6">
        <f>(BC39-BC38)/BC38</f>
        <v>4.6785393657497888E-3</v>
      </c>
    </row>
    <row r="39" spans="5:57">
      <c r="I39" s="1">
        <v>61.3</v>
      </c>
      <c r="L39" s="7" t="s">
        <v>81</v>
      </c>
      <c r="M39" s="3">
        <v>96.944795637633348</v>
      </c>
      <c r="N39" s="1">
        <v>61.3</v>
      </c>
      <c r="O39" s="6">
        <f t="shared" si="5"/>
        <v>61.7</v>
      </c>
      <c r="Q39" t="s">
        <v>81</v>
      </c>
      <c r="R39">
        <v>61.7</v>
      </c>
      <c r="S39">
        <v>96.944795637633348</v>
      </c>
      <c r="T39" s="6">
        <f t="shared" si="6"/>
        <v>1.4541719345645003</v>
      </c>
      <c r="U39" s="6">
        <f t="shared" si="7"/>
        <v>98.57061061202576</v>
      </c>
      <c r="AZ39" s="6">
        <f t="shared" si="9"/>
        <v>1.7250000000000001</v>
      </c>
      <c r="BA39" s="6">
        <v>115</v>
      </c>
      <c r="BB39" s="6">
        <f t="shared" si="10"/>
        <v>65.246909994744925</v>
      </c>
      <c r="BC39" s="6">
        <f t="shared" si="11"/>
        <v>107.50969039879979</v>
      </c>
      <c r="BD39" s="6">
        <f>(BB40-BB39)/BB39</f>
        <v>4.7803432286437578E-3</v>
      </c>
      <c r="BE39" s="6">
        <f>(BC40-BC39)/BC39</f>
        <v>4.6567525655551497E-3</v>
      </c>
    </row>
    <row r="40" spans="5:57">
      <c r="I40" s="1">
        <v>60.8</v>
      </c>
      <c r="L40" s="7" t="s">
        <v>82</v>
      </c>
      <c r="M40" s="3">
        <v>97.733261398078</v>
      </c>
      <c r="N40" s="1">
        <v>60.8</v>
      </c>
      <c r="O40" s="6">
        <f t="shared" si="5"/>
        <v>60.8</v>
      </c>
      <c r="Q40" t="s">
        <v>82</v>
      </c>
      <c r="R40">
        <v>60.8</v>
      </c>
      <c r="S40">
        <v>97.733261398078</v>
      </c>
      <c r="T40" s="6">
        <f t="shared" si="6"/>
        <v>1.4659989209711699</v>
      </c>
      <c r="U40" s="6">
        <f t="shared" si="7"/>
        <v>98.939497421904349</v>
      </c>
      <c r="AZ40" s="6">
        <f t="shared" si="9"/>
        <v>1.74</v>
      </c>
      <c r="BA40" s="6">
        <v>116</v>
      </c>
      <c r="BB40" s="6">
        <f t="shared" si="10"/>
        <v>65.558812619128233</v>
      </c>
      <c r="BC40" s="6">
        <f t="shared" si="11"/>
        <v>108.01033642538644</v>
      </c>
      <c r="BD40" s="6">
        <f>(BB41-BB40)/BB40</f>
        <v>4.7576002664257737E-3</v>
      </c>
      <c r="BE40" s="6">
        <f>(BC41-BC40)/BC40</f>
        <v>4.6351677363071905E-3</v>
      </c>
    </row>
    <row r="41" spans="5:57">
      <c r="I41" s="1">
        <v>61.199999999999996</v>
      </c>
      <c r="L41" s="7" t="s">
        <v>83</v>
      </c>
      <c r="M41" s="3">
        <v>92.793325419672001</v>
      </c>
      <c r="N41" s="1">
        <v>61.199999999999996</v>
      </c>
      <c r="O41" s="6">
        <f t="shared" si="5"/>
        <v>61.3</v>
      </c>
      <c r="Q41" t="s">
        <v>83</v>
      </c>
      <c r="R41">
        <v>61.3</v>
      </c>
      <c r="S41">
        <v>92.793325419672001</v>
      </c>
      <c r="T41" s="6">
        <f t="shared" si="6"/>
        <v>1.39189988129508</v>
      </c>
      <c r="U41" s="6">
        <f t="shared" si="7"/>
        <v>96.628328927978785</v>
      </c>
      <c r="AZ41" s="6">
        <f t="shared" si="9"/>
        <v>1.7549999999999999</v>
      </c>
      <c r="BA41" s="6">
        <v>117</v>
      </c>
      <c r="BB41" s="6">
        <f t="shared" si="10"/>
        <v>65.870715243511555</v>
      </c>
      <c r="BC41" s="6">
        <f t="shared" si="11"/>
        <v>108.51098245197308</v>
      </c>
      <c r="BD41" s="6">
        <f>(BB42-BB41)/BB41</f>
        <v>4.7350726833656313E-3</v>
      </c>
      <c r="BE41" s="6">
        <f>(BC42-BC41)/BC41</f>
        <v>4.6137820824564994E-3</v>
      </c>
    </row>
    <row r="42" spans="5:57">
      <c r="I42" s="1">
        <v>61</v>
      </c>
      <c r="L42" s="7" t="s">
        <v>84</v>
      </c>
      <c r="M42" s="3">
        <v>95.541241237618678</v>
      </c>
      <c r="N42" s="1">
        <v>61</v>
      </c>
      <c r="O42" s="6">
        <f t="shared" si="5"/>
        <v>60.8</v>
      </c>
      <c r="Q42" t="s">
        <v>84</v>
      </c>
      <c r="R42">
        <v>60.8</v>
      </c>
      <c r="S42">
        <v>95.541241237618678</v>
      </c>
      <c r="T42" s="6">
        <f t="shared" si="6"/>
        <v>1.4331186185642801</v>
      </c>
      <c r="U42" s="6">
        <f t="shared" si="7"/>
        <v>97.913952160781776</v>
      </c>
      <c r="AZ42" s="6">
        <f t="shared" si="9"/>
        <v>1.77</v>
      </c>
      <c r="BA42" s="6">
        <v>118</v>
      </c>
      <c r="BB42" s="6">
        <f t="shared" si="10"/>
        <v>66.182617867894862</v>
      </c>
      <c r="BC42" s="6">
        <f t="shared" si="11"/>
        <v>109.01162847855974</v>
      </c>
      <c r="BD42" s="6">
        <f>(BB43-BB42)/BB42</f>
        <v>4.7127574343747945E-3</v>
      </c>
      <c r="BE42" s="6">
        <f>(BC43-BC42)/BC42</f>
        <v>4.5925928598077696E-3</v>
      </c>
    </row>
    <row r="43" spans="5:57">
      <c r="I43" s="1">
        <v>60.099999999999994</v>
      </c>
      <c r="L43" s="7" t="s">
        <v>85</v>
      </c>
      <c r="M43" s="3">
        <v>95.017316705703337</v>
      </c>
      <c r="N43" s="1">
        <v>60.099999999999994</v>
      </c>
      <c r="O43" s="6">
        <f t="shared" si="5"/>
        <v>61.199999999999996</v>
      </c>
      <c r="Q43" t="s">
        <v>85</v>
      </c>
      <c r="R43">
        <v>61.199999999999996</v>
      </c>
      <c r="S43">
        <v>95.017316705703337</v>
      </c>
      <c r="T43" s="6">
        <f t="shared" si="6"/>
        <v>1.42525975058555</v>
      </c>
      <c r="U43" s="6">
        <f t="shared" si="7"/>
        <v>97.668832006056988</v>
      </c>
      <c r="AZ43" s="6">
        <f t="shared" si="9"/>
        <v>1.7849999999999999</v>
      </c>
      <c r="BA43" s="6">
        <v>119</v>
      </c>
      <c r="BB43" s="6">
        <f t="shared" si="10"/>
        <v>66.49452049227817</v>
      </c>
      <c r="BC43" s="6">
        <f t="shared" si="11"/>
        <v>109.51227450514639</v>
      </c>
      <c r="BD43" s="6">
        <f>(BB44-BB43)/BB43</f>
        <v>4.6906515314976676E-3</v>
      </c>
      <c r="BE43" s="6">
        <f>(BC44-BC43)/BC43</f>
        <v>4.5715973743485506E-3</v>
      </c>
    </row>
    <row r="44" spans="5:57">
      <c r="I44" s="1">
        <v>58.699999999999996</v>
      </c>
      <c r="L44" s="7" t="s">
        <v>86</v>
      </c>
      <c r="M44" s="3">
        <v>94.605522683989335</v>
      </c>
      <c r="N44" s="1">
        <v>58.699999999999996</v>
      </c>
      <c r="O44" s="6">
        <f t="shared" si="5"/>
        <v>61</v>
      </c>
      <c r="Q44" t="s">
        <v>86</v>
      </c>
      <c r="R44">
        <v>61</v>
      </c>
      <c r="S44">
        <v>94.605522683989335</v>
      </c>
      <c r="T44" s="6">
        <f t="shared" si="6"/>
        <v>1.4190828402598401</v>
      </c>
      <c r="U44" s="6">
        <f t="shared" si="7"/>
        <v>97.476172551940053</v>
      </c>
      <c r="AZ44" s="6">
        <f t="shared" si="9"/>
        <v>1.8</v>
      </c>
      <c r="BA44" s="6">
        <v>120</v>
      </c>
      <c r="BB44" s="6">
        <f t="shared" si="10"/>
        <v>66.806423116661477</v>
      </c>
      <c r="BC44" s="6">
        <f t="shared" si="11"/>
        <v>110.01292053173306</v>
      </c>
      <c r="BD44" s="6">
        <f>(BB45-BB44)/BB44</f>
        <v>4.6687520425791745E-3</v>
      </c>
      <c r="BE44" s="6">
        <f>(BC45-BC44)/BC44</f>
        <v>4.5507929811046694E-3</v>
      </c>
    </row>
    <row r="45" spans="5:57">
      <c r="I45" s="1">
        <v>57.8</v>
      </c>
      <c r="L45" s="7" t="s">
        <v>87</v>
      </c>
      <c r="M45" s="3">
        <v>91.214547254206664</v>
      </c>
      <c r="N45" s="1">
        <v>57.8</v>
      </c>
      <c r="O45" s="6">
        <f t="shared" si="5"/>
        <v>60.099999999999994</v>
      </c>
      <c r="Q45" t="s">
        <v>87</v>
      </c>
      <c r="R45">
        <v>60.099999999999994</v>
      </c>
      <c r="S45">
        <v>91.214547254206664</v>
      </c>
      <c r="T45" s="6">
        <f t="shared" si="6"/>
        <v>1.3682182088131001</v>
      </c>
      <c r="U45" s="6">
        <f t="shared" si="7"/>
        <v>95.889691348287243</v>
      </c>
      <c r="AZ45" s="6">
        <f t="shared" si="9"/>
        <v>1.8149999999999999</v>
      </c>
      <c r="BA45" s="6">
        <v>121</v>
      </c>
      <c r="BB45" s="6">
        <f t="shared" si="10"/>
        <v>67.118325741044799</v>
      </c>
      <c r="BC45" s="6">
        <f t="shared" si="11"/>
        <v>110.5135665583197</v>
      </c>
      <c r="BD45" s="6">
        <f>(BB46-BB45)/BB45</f>
        <v>4.6470560899669481E-3</v>
      </c>
      <c r="BE45" s="6">
        <f>(BC46-BC45)/BC45</f>
        <v>4.5301770830323031E-3</v>
      </c>
    </row>
    <row r="46" spans="5:57">
      <c r="I46" s="1">
        <v>56.8</v>
      </c>
      <c r="L46" s="7" t="s">
        <v>88</v>
      </c>
      <c r="M46" s="3">
        <v>86.395526369552684</v>
      </c>
      <c r="N46" s="1">
        <v>56.8</v>
      </c>
      <c r="O46" s="6">
        <f t="shared" si="5"/>
        <v>58.699999999999996</v>
      </c>
      <c r="Q46" t="s">
        <v>88</v>
      </c>
      <c r="R46">
        <v>58.699999999999996</v>
      </c>
      <c r="S46">
        <v>86.395526369552684</v>
      </c>
      <c r="T46" s="6">
        <f t="shared" si="6"/>
        <v>1.2959328955432903</v>
      </c>
      <c r="U46" s="6">
        <f t="shared" si="7"/>
        <v>93.635093456964896</v>
      </c>
      <c r="AZ46" s="6">
        <f t="shared" si="9"/>
        <v>1.83</v>
      </c>
      <c r="BA46" s="6">
        <v>122</v>
      </c>
      <c r="BB46" s="6">
        <f t="shared" si="10"/>
        <v>67.430228365428107</v>
      </c>
      <c r="BC46" s="6">
        <f t="shared" si="11"/>
        <v>111.01421258490636</v>
      </c>
      <c r="BD46" s="6">
        <f>(BB47-BB46)/BB46</f>
        <v>4.6255608492529153E-3</v>
      </c>
      <c r="BE46" s="6">
        <f>(BC47-BC46)/BC46</f>
        <v>4.5097471299338776E-3</v>
      </c>
    </row>
    <row r="47" spans="5:57">
      <c r="I47" s="1">
        <v>55.2</v>
      </c>
      <c r="L47" s="7" t="s">
        <v>89</v>
      </c>
      <c r="M47" s="3">
        <v>88.207712612866004</v>
      </c>
      <c r="N47" s="1">
        <v>55.2</v>
      </c>
      <c r="O47" s="6">
        <f t="shared" si="5"/>
        <v>57.8</v>
      </c>
      <c r="Q47" t="s">
        <v>89</v>
      </c>
      <c r="R47">
        <v>57.8</v>
      </c>
      <c r="S47">
        <v>88.207712612866004</v>
      </c>
      <c r="T47" s="6">
        <f t="shared" si="6"/>
        <v>1.3231156891929903</v>
      </c>
      <c r="U47" s="6">
        <f t="shared" si="7"/>
        <v>94.482931924706037</v>
      </c>
      <c r="AZ47" s="6">
        <f t="shared" si="9"/>
        <v>1.845</v>
      </c>
      <c r="BA47" s="6">
        <v>123</v>
      </c>
      <c r="BB47" s="6">
        <f t="shared" si="10"/>
        <v>67.742130989811415</v>
      </c>
      <c r="BC47" s="6">
        <f t="shared" si="11"/>
        <v>111.51485861149301</v>
      </c>
      <c r="BD47" s="6">
        <f>(BB48-BB47)/BB47</f>
        <v>4.6042635480454336E-3</v>
      </c>
      <c r="BE47" s="6">
        <f>(BC48-BC47)/BC47</f>
        <v>4.4895006174095501E-3</v>
      </c>
    </row>
    <row r="48" spans="5:57">
      <c r="I48" s="1">
        <v>56.399999999999991</v>
      </c>
      <c r="L48" s="7" t="s">
        <v>90</v>
      </c>
      <c r="M48" s="3">
        <v>89.588055605596679</v>
      </c>
      <c r="N48" s="1">
        <v>56.399999999999991</v>
      </c>
      <c r="O48" s="6">
        <f t="shared" si="5"/>
        <v>56.8</v>
      </c>
      <c r="Q48" t="s">
        <v>90</v>
      </c>
      <c r="R48">
        <v>56.8</v>
      </c>
      <c r="S48">
        <v>89.588055605596679</v>
      </c>
      <c r="T48" s="6">
        <f t="shared" si="6"/>
        <v>1.3438208340839504</v>
      </c>
      <c r="U48" s="6">
        <f t="shared" si="7"/>
        <v>95.128730827678751</v>
      </c>
      <c r="AZ48" s="6">
        <f t="shared" si="9"/>
        <v>1.86</v>
      </c>
      <c r="BA48" s="6">
        <v>124</v>
      </c>
      <c r="BB48" s="6">
        <f t="shared" si="10"/>
        <v>68.054033614194722</v>
      </c>
      <c r="BC48" s="6">
        <f t="shared" si="11"/>
        <v>112.01550463807965</v>
      </c>
      <c r="BD48" s="6">
        <f>(BB49-BB48)/BB48</f>
        <v>4.5831614647785573E-3</v>
      </c>
      <c r="BE48" s="6">
        <f>(BC49-BC48)/BC48</f>
        <v>4.4694350858324886E-3</v>
      </c>
    </row>
    <row r="49" spans="9:57">
      <c r="I49" s="1">
        <v>60.099999999999994</v>
      </c>
      <c r="L49" s="7" t="s">
        <v>91</v>
      </c>
      <c r="M49" s="3">
        <v>89.821262032243325</v>
      </c>
      <c r="N49" s="1">
        <v>60.099999999999994</v>
      </c>
      <c r="O49" s="6">
        <f t="shared" si="5"/>
        <v>55.2</v>
      </c>
      <c r="Q49" t="s">
        <v>91</v>
      </c>
      <c r="R49">
        <v>55.2</v>
      </c>
      <c r="S49">
        <v>89.821262032243325</v>
      </c>
      <c r="T49" s="6">
        <f t="shared" si="6"/>
        <v>1.3473189304836497</v>
      </c>
      <c r="U49" s="6">
        <f t="shared" si="7"/>
        <v>95.237837372419961</v>
      </c>
      <c r="AZ49" s="6">
        <f t="shared" si="9"/>
        <v>1.875</v>
      </c>
      <c r="BA49" s="6">
        <v>125</v>
      </c>
      <c r="BB49" s="6">
        <f t="shared" si="10"/>
        <v>68.365936238578044</v>
      </c>
      <c r="BC49" s="6">
        <f t="shared" si="11"/>
        <v>112.51615066466631</v>
      </c>
      <c r="BD49" s="6">
        <f>(BB50-BB49)/BB49</f>
        <v>4.5622519275513827E-3</v>
      </c>
      <c r="BE49" s="6">
        <f>(BC50-BC49)/BC49</f>
        <v>4.4495481193517579E-3</v>
      </c>
    </row>
    <row r="50" spans="9:57">
      <c r="I50" s="1">
        <v>55.800000000000004</v>
      </c>
      <c r="L50" s="7" t="s">
        <v>92</v>
      </c>
      <c r="M50" s="3">
        <v>91.006815130531322</v>
      </c>
      <c r="N50" s="1">
        <v>55.800000000000004</v>
      </c>
      <c r="O50" s="6">
        <f t="shared" si="5"/>
        <v>56.399999999999991</v>
      </c>
      <c r="Q50" t="s">
        <v>92</v>
      </c>
      <c r="R50">
        <v>56.399999999999991</v>
      </c>
      <c r="S50">
        <v>91.006815130531322</v>
      </c>
      <c r="T50" s="6">
        <f t="shared" si="6"/>
        <v>1.3651022269579698</v>
      </c>
      <c r="U50" s="6">
        <f t="shared" si="7"/>
        <v>95.79250305647264</v>
      </c>
      <c r="AZ50" s="6">
        <f t="shared" si="9"/>
        <v>1.89</v>
      </c>
      <c r="BA50" s="6">
        <v>126</v>
      </c>
      <c r="BB50" s="6">
        <f t="shared" si="10"/>
        <v>68.677838862961352</v>
      </c>
      <c r="BC50" s="6">
        <f t="shared" si="11"/>
        <v>113.01679669125298</v>
      </c>
      <c r="BD50" s="6">
        <f>(BB51-BB50)/BB50</f>
        <v>4.5415323130023515E-3</v>
      </c>
      <c r="BE50" s="6">
        <f>(BC51-BC50)/BC50</f>
        <v>4.4298373449243623E-3</v>
      </c>
    </row>
    <row r="51" spans="9:57">
      <c r="AZ51" s="6">
        <f t="shared" si="9"/>
        <v>1.905</v>
      </c>
      <c r="BA51" s="6">
        <v>127</v>
      </c>
      <c r="BB51" s="6">
        <f t="shared" si="10"/>
        <v>68.989741487344659</v>
      </c>
      <c r="BC51" s="6">
        <f t="shared" si="11"/>
        <v>113.51744271783961</v>
      </c>
      <c r="BD51" s="6">
        <f>(BB52-BB51)/BB51</f>
        <v>4.5210000452101514E-3</v>
      </c>
      <c r="BE51" s="6">
        <f>(BC52-BC51)/BC51</f>
        <v>4.410300431371264E-3</v>
      </c>
    </row>
    <row r="52" spans="9:57">
      <c r="AZ52" s="6">
        <f t="shared" si="9"/>
        <v>1.92</v>
      </c>
      <c r="BA52" s="6">
        <v>128</v>
      </c>
      <c r="BB52" s="6">
        <f t="shared" si="10"/>
        <v>69.301644111727981</v>
      </c>
      <c r="BC52" s="6">
        <f t="shared" si="11"/>
        <v>114.01808874442627</v>
      </c>
      <c r="BD52" s="6">
        <f>(BB53-BB52)/BB52</f>
        <v>4.5006525946261651E-3</v>
      </c>
      <c r="BE52" s="6">
        <f>(BC53-BC52)/BC52</f>
        <v>4.390935088456646E-3</v>
      </c>
    </row>
    <row r="53" spans="9:57">
      <c r="AZ53" s="6">
        <f t="shared" si="9"/>
        <v>1.9350000000000001</v>
      </c>
      <c r="BA53" s="6">
        <v>129</v>
      </c>
      <c r="BB53" s="6">
        <f t="shared" si="10"/>
        <v>69.613546736111289</v>
      </c>
      <c r="BC53" s="6">
        <f t="shared" si="11"/>
        <v>114.51873477101293</v>
      </c>
      <c r="BD53" s="6">
        <f>(BB54-BB53)/BB53</f>
        <v>4.480487477037446E-3</v>
      </c>
      <c r="BE53" s="6">
        <f>(BC54-BC53)/BC53</f>
        <v>4.3717390659939468E-3</v>
      </c>
    </row>
    <row r="54" spans="9:57">
      <c r="AZ54" s="6">
        <f t="shared" si="9"/>
        <v>1.95</v>
      </c>
      <c r="BA54" s="6">
        <v>130</v>
      </c>
      <c r="BB54" s="6">
        <f t="shared" si="10"/>
        <v>69.925449360494596</v>
      </c>
      <c r="BC54" s="6">
        <f t="shared" si="11"/>
        <v>115.01938079759957</v>
      </c>
      <c r="BD54" s="6"/>
      <c r="BE54" s="6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X44"/>
  <sheetViews>
    <sheetView workbookViewId="0">
      <selection activeCell="T31" sqref="T31"/>
    </sheetView>
  </sheetViews>
  <sheetFormatPr defaultRowHeight="15"/>
  <sheetData>
    <row r="2" spans="2:24">
      <c r="C2" s="6" t="s">
        <v>93</v>
      </c>
      <c r="D2" s="6" t="s">
        <v>94</v>
      </c>
    </row>
    <row r="3" spans="2:24">
      <c r="B3" t="s">
        <v>92</v>
      </c>
      <c r="C3">
        <v>91.006815130531322</v>
      </c>
      <c r="D3">
        <v>56.399999999999991</v>
      </c>
    </row>
    <row r="4" spans="2:24">
      <c r="B4" t="s">
        <v>91</v>
      </c>
      <c r="C4">
        <v>89.821262032243325</v>
      </c>
      <c r="D4">
        <v>55.2</v>
      </c>
      <c r="X4" s="6">
        <v>55.800000000000004</v>
      </c>
    </row>
    <row r="5" spans="2:24">
      <c r="B5" t="s">
        <v>90</v>
      </c>
      <c r="C5">
        <v>89.588055605596679</v>
      </c>
      <c r="D5">
        <v>56.8</v>
      </c>
      <c r="X5" s="6">
        <v>60.099999999999994</v>
      </c>
    </row>
    <row r="6" spans="2:24">
      <c r="B6" t="s">
        <v>89</v>
      </c>
      <c r="C6">
        <v>88.207712612866004</v>
      </c>
      <c r="D6">
        <v>57.8</v>
      </c>
      <c r="X6" s="6">
        <v>56.399999999999991</v>
      </c>
    </row>
    <row r="7" spans="2:24">
      <c r="B7" t="s">
        <v>88</v>
      </c>
      <c r="C7">
        <v>86.395526369552684</v>
      </c>
      <c r="D7">
        <v>58.699999999999996</v>
      </c>
      <c r="X7" s="6">
        <v>55.2</v>
      </c>
    </row>
    <row r="8" spans="2:24">
      <c r="B8" t="s">
        <v>87</v>
      </c>
      <c r="C8">
        <v>91.214547254206664</v>
      </c>
      <c r="D8">
        <v>60.099999999999994</v>
      </c>
      <c r="X8" s="6">
        <v>56.8</v>
      </c>
    </row>
    <row r="9" spans="2:24">
      <c r="B9" t="s">
        <v>86</v>
      </c>
      <c r="C9">
        <v>94.605522683989335</v>
      </c>
      <c r="D9">
        <v>61</v>
      </c>
      <c r="X9" s="6">
        <v>57.8</v>
      </c>
    </row>
    <row r="10" spans="2:24">
      <c r="B10" t="s">
        <v>85</v>
      </c>
      <c r="C10">
        <v>95.017316705703337</v>
      </c>
      <c r="D10">
        <v>61.199999999999996</v>
      </c>
      <c r="X10" s="6">
        <v>58.699999999999996</v>
      </c>
    </row>
    <row r="11" spans="2:24">
      <c r="B11" t="s">
        <v>84</v>
      </c>
      <c r="C11">
        <v>95.541241237618678</v>
      </c>
      <c r="D11">
        <v>60.8</v>
      </c>
      <c r="X11" s="6">
        <v>60.099999999999994</v>
      </c>
    </row>
    <row r="12" spans="2:24">
      <c r="B12" t="s">
        <v>83</v>
      </c>
      <c r="C12">
        <v>92.793325419672001</v>
      </c>
      <c r="D12">
        <v>61.3</v>
      </c>
      <c r="X12" s="6">
        <v>61</v>
      </c>
    </row>
    <row r="13" spans="2:24">
      <c r="B13" t="s">
        <v>82</v>
      </c>
      <c r="C13">
        <v>97.733261398078</v>
      </c>
      <c r="D13">
        <v>60.8</v>
      </c>
      <c r="X13" s="6">
        <v>61.199999999999996</v>
      </c>
    </row>
    <row r="14" spans="2:24">
      <c r="B14" t="s">
        <v>81</v>
      </c>
      <c r="C14">
        <v>96.944795637633348</v>
      </c>
      <c r="D14">
        <v>61.7</v>
      </c>
      <c r="X14" s="6">
        <v>60.8</v>
      </c>
    </row>
    <row r="15" spans="2:24">
      <c r="B15" t="s">
        <v>80</v>
      </c>
      <c r="C15">
        <v>95.567684397638004</v>
      </c>
      <c r="D15">
        <v>59.7</v>
      </c>
      <c r="X15" s="6">
        <v>61.3</v>
      </c>
    </row>
    <row r="16" spans="2:24">
      <c r="B16" t="s">
        <v>79</v>
      </c>
      <c r="C16">
        <v>94.209298256365997</v>
      </c>
      <c r="D16">
        <v>58.2</v>
      </c>
      <c r="X16" s="6">
        <v>60.8</v>
      </c>
    </row>
    <row r="17" spans="2:24">
      <c r="B17" t="s">
        <v>78</v>
      </c>
      <c r="C17">
        <v>93.249310528408017</v>
      </c>
      <c r="D17">
        <v>60.7</v>
      </c>
      <c r="X17" s="6">
        <v>61.7</v>
      </c>
    </row>
    <row r="18" spans="2:24">
      <c r="B18" t="s">
        <v>77</v>
      </c>
      <c r="C18">
        <v>93.875643929005335</v>
      </c>
      <c r="D18">
        <v>60.4</v>
      </c>
      <c r="X18" s="6">
        <v>59.7</v>
      </c>
    </row>
    <row r="19" spans="2:24">
      <c r="B19" t="s">
        <v>76</v>
      </c>
      <c r="C19">
        <v>98.911323556058008</v>
      </c>
      <c r="D19">
        <v>61.4</v>
      </c>
      <c r="X19" s="6">
        <v>58.2</v>
      </c>
    </row>
    <row r="20" spans="2:24">
      <c r="B20" t="s">
        <v>75</v>
      </c>
      <c r="C20">
        <v>102.75804387825733</v>
      </c>
      <c r="D20">
        <v>61.5</v>
      </c>
      <c r="X20" s="6">
        <v>60.7</v>
      </c>
    </row>
    <row r="21" spans="2:24">
      <c r="B21" t="s">
        <v>74</v>
      </c>
      <c r="C21">
        <v>90.983751261809999</v>
      </c>
      <c r="D21">
        <v>59.6</v>
      </c>
      <c r="X21" s="6">
        <v>60.4</v>
      </c>
    </row>
    <row r="22" spans="2:24">
      <c r="B22" t="s">
        <v>73</v>
      </c>
      <c r="C22">
        <v>83.132801566099346</v>
      </c>
      <c r="D22">
        <v>56.9</v>
      </c>
      <c r="X22" s="6">
        <v>61.4</v>
      </c>
    </row>
    <row r="23" spans="2:24">
      <c r="B23" t="s">
        <v>72</v>
      </c>
      <c r="C23">
        <v>91.789744827140012</v>
      </c>
      <c r="D23">
        <v>59.1</v>
      </c>
      <c r="X23" s="6">
        <v>61.5</v>
      </c>
    </row>
    <row r="24" spans="2:24">
      <c r="B24" t="s">
        <v>71</v>
      </c>
      <c r="C24">
        <v>101.0422697317</v>
      </c>
      <c r="D24">
        <v>60.7</v>
      </c>
      <c r="X24" s="6">
        <v>59.6</v>
      </c>
    </row>
    <row r="25" spans="2:24">
      <c r="B25" t="s">
        <v>70</v>
      </c>
      <c r="C25">
        <v>110.67964213365467</v>
      </c>
      <c r="D25">
        <v>61.6</v>
      </c>
      <c r="X25" s="6">
        <v>56.9</v>
      </c>
    </row>
    <row r="26" spans="2:24">
      <c r="B26" t="s">
        <v>69</v>
      </c>
      <c r="C26">
        <v>116.03520622914067</v>
      </c>
      <c r="D26">
        <v>62</v>
      </c>
      <c r="X26" s="6">
        <v>59.1</v>
      </c>
    </row>
    <row r="27" spans="2:24">
      <c r="B27" t="s">
        <v>68</v>
      </c>
      <c r="C27">
        <v>104.65457152151936</v>
      </c>
      <c r="D27">
        <v>60.7</v>
      </c>
      <c r="X27" s="6">
        <v>60.7</v>
      </c>
    </row>
    <row r="28" spans="2:24">
      <c r="B28" t="s">
        <v>67</v>
      </c>
      <c r="C28">
        <v>103.443008255088</v>
      </c>
      <c r="D28">
        <v>58.8</v>
      </c>
      <c r="X28" s="6">
        <v>61.6</v>
      </c>
    </row>
    <row r="29" spans="2:24">
      <c r="B29" t="s">
        <v>66</v>
      </c>
      <c r="C29">
        <v>112.56509487375732</v>
      </c>
      <c r="D29">
        <v>61.6</v>
      </c>
      <c r="X29" s="6">
        <v>62</v>
      </c>
    </row>
    <row r="30" spans="2:24">
      <c r="B30" t="s">
        <v>65</v>
      </c>
      <c r="C30">
        <v>115.83966956351601</v>
      </c>
      <c r="D30">
        <v>63.6</v>
      </c>
      <c r="X30" s="6">
        <v>60.7</v>
      </c>
    </row>
    <row r="31" spans="2:24">
      <c r="B31" t="s">
        <v>64</v>
      </c>
      <c r="C31">
        <v>114.0551020892207</v>
      </c>
      <c r="D31">
        <v>61.7</v>
      </c>
      <c r="X31" s="6">
        <v>58.8</v>
      </c>
    </row>
    <row r="32" spans="2:24">
      <c r="B32" t="s">
        <v>63</v>
      </c>
      <c r="C32">
        <v>120.550482038596</v>
      </c>
      <c r="D32">
        <v>65.099999999999994</v>
      </c>
      <c r="X32" s="6">
        <v>61.6</v>
      </c>
    </row>
    <row r="33" spans="2:24">
      <c r="B33" t="s">
        <v>62</v>
      </c>
      <c r="C33">
        <v>123.90837721749735</v>
      </c>
      <c r="D33">
        <v>64.3</v>
      </c>
      <c r="X33" s="6">
        <v>63.6</v>
      </c>
    </row>
    <row r="34" spans="2:24">
      <c r="B34" t="s">
        <v>61</v>
      </c>
      <c r="C34">
        <v>118.83447141920401</v>
      </c>
      <c r="D34">
        <v>66.099999999999994</v>
      </c>
      <c r="X34" s="6">
        <v>61.7</v>
      </c>
    </row>
    <row r="35" spans="2:24">
      <c r="B35" t="s">
        <v>60</v>
      </c>
      <c r="C35">
        <v>118.72124305055667</v>
      </c>
      <c r="D35">
        <v>66.5</v>
      </c>
      <c r="X35" s="6">
        <v>65.099999999999994</v>
      </c>
    </row>
    <row r="36" spans="2:24">
      <c r="B36" t="s">
        <v>59</v>
      </c>
      <c r="C36">
        <v>119.21321872111734</v>
      </c>
      <c r="D36">
        <v>67.099999999999994</v>
      </c>
      <c r="X36" s="6">
        <v>64.3</v>
      </c>
    </row>
    <row r="37" spans="2:24">
      <c r="B37" t="s">
        <v>58</v>
      </c>
      <c r="C37">
        <v>123.00335064196068</v>
      </c>
      <c r="D37">
        <v>68.3</v>
      </c>
      <c r="X37" s="6">
        <v>66.099999999999994</v>
      </c>
    </row>
    <row r="38" spans="2:24">
      <c r="B38" t="s">
        <v>57</v>
      </c>
      <c r="C38">
        <v>125.65339912101734</v>
      </c>
      <c r="D38">
        <v>67.2</v>
      </c>
      <c r="X38" s="6">
        <v>66.5</v>
      </c>
    </row>
    <row r="39" spans="2:24">
      <c r="B39" t="s">
        <v>56</v>
      </c>
      <c r="C39">
        <v>124.43843247079067</v>
      </c>
      <c r="D39">
        <v>67.5</v>
      </c>
      <c r="X39" s="6">
        <v>67.099999999999994</v>
      </c>
    </row>
    <row r="40" spans="2:24">
      <c r="B40" t="s">
        <v>55</v>
      </c>
      <c r="C40">
        <v>130.01612137025401</v>
      </c>
      <c r="D40">
        <v>66.5</v>
      </c>
      <c r="X40" s="6">
        <v>68.3</v>
      </c>
    </row>
    <row r="41" spans="2:24">
      <c r="B41" t="s">
        <v>54</v>
      </c>
      <c r="C41">
        <v>129.02062894963532</v>
      </c>
      <c r="D41">
        <v>68.2</v>
      </c>
      <c r="X41" s="6">
        <v>67.2</v>
      </c>
    </row>
    <row r="42" spans="2:24">
      <c r="B42" t="s">
        <v>53</v>
      </c>
      <c r="C42">
        <v>118.20146866043932</v>
      </c>
      <c r="D42">
        <v>69</v>
      </c>
      <c r="X42" s="6">
        <v>67.5</v>
      </c>
    </row>
    <row r="43" spans="2:24">
      <c r="B43" t="s">
        <v>52</v>
      </c>
      <c r="C43">
        <v>119.40015808680199</v>
      </c>
      <c r="D43">
        <v>70.7</v>
      </c>
      <c r="X43" s="6">
        <v>66.5</v>
      </c>
    </row>
    <row r="44" spans="2:24">
      <c r="X44" s="6">
        <v>70.7</v>
      </c>
    </row>
  </sheetData>
  <sortState ref="B3:D45">
    <sortCondition ref="B3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6"/>
  <sheetViews>
    <sheetView tabSelected="1" workbookViewId="0">
      <selection activeCell="E2" sqref="E2"/>
    </sheetView>
  </sheetViews>
  <sheetFormatPr defaultRowHeight="15"/>
  <cols>
    <col min="1" max="1" width="18" bestFit="1" customWidth="1"/>
    <col min="5" max="5" width="9.7109375" bestFit="1" customWidth="1"/>
    <col min="6" max="6" width="18" style="10" bestFit="1" customWidth="1"/>
  </cols>
  <sheetData>
    <row r="1" spans="1:6" s="6" customFormat="1">
      <c r="E1" s="6" t="s">
        <v>95</v>
      </c>
      <c r="F1" s="10" t="s">
        <v>103</v>
      </c>
    </row>
    <row r="2" spans="1:6">
      <c r="A2" s="10">
        <v>17193197055.080002</v>
      </c>
      <c r="E2" s="11">
        <v>40909</v>
      </c>
      <c r="F2" s="10">
        <v>21634291320.59</v>
      </c>
    </row>
    <row r="3" spans="1:6">
      <c r="E3" s="11">
        <v>40878</v>
      </c>
      <c r="F3" s="10">
        <v>21813664361.48</v>
      </c>
    </row>
    <row r="4" spans="1:6">
      <c r="E4" s="11">
        <v>40848</v>
      </c>
      <c r="F4" s="10">
        <v>22063440657.23</v>
      </c>
    </row>
    <row r="5" spans="1:6">
      <c r="E5" s="11">
        <v>40817</v>
      </c>
      <c r="F5" s="10">
        <v>23348020211.02</v>
      </c>
    </row>
    <row r="6" spans="1:6">
      <c r="E6" s="11">
        <v>40787</v>
      </c>
      <c r="F6" s="10">
        <v>21651222384.169998</v>
      </c>
    </row>
    <row r="7" spans="1:6">
      <c r="E7" s="11">
        <v>40756</v>
      </c>
      <c r="F7" s="10">
        <v>23478300195.93</v>
      </c>
    </row>
    <row r="8" spans="1:6">
      <c r="E8" s="11">
        <v>40725</v>
      </c>
      <c r="F8" s="10">
        <v>19200996692.759998</v>
      </c>
    </row>
    <row r="9" spans="1:6">
      <c r="E9" s="11">
        <v>40695</v>
      </c>
      <c r="F9" s="10">
        <v>17029511603.32</v>
      </c>
    </row>
    <row r="10" spans="1:6">
      <c r="E10" s="11">
        <v>40664</v>
      </c>
      <c r="F10" s="10">
        <v>16128105234.540001</v>
      </c>
    </row>
    <row r="11" spans="1:6">
      <c r="E11" s="11">
        <v>40634</v>
      </c>
      <c r="F11" s="10">
        <v>11968693481.92</v>
      </c>
    </row>
    <row r="12" spans="1:6">
      <c r="E12" s="11">
        <v>40603</v>
      </c>
      <c r="F12" s="10">
        <v>12517854062.799999</v>
      </c>
    </row>
    <row r="13" spans="1:6">
      <c r="E13" s="11">
        <v>40575</v>
      </c>
      <c r="F13" s="10">
        <v>19595722018.380001</v>
      </c>
    </row>
    <row r="14" spans="1:6">
      <c r="E14" s="11">
        <v>40544</v>
      </c>
      <c r="F14" s="10">
        <v>18606514902.029999</v>
      </c>
    </row>
    <row r="15" spans="1:6">
      <c r="E15" s="11">
        <v>40513</v>
      </c>
      <c r="F15" s="10">
        <v>19327443127.73</v>
      </c>
    </row>
    <row r="16" spans="1:6">
      <c r="E16" s="11">
        <v>40483</v>
      </c>
      <c r="F16" s="10">
        <v>20824544242.75</v>
      </c>
    </row>
    <row r="17" spans="5:6">
      <c r="E17" s="11">
        <v>40452</v>
      </c>
      <c r="F17" s="10">
        <v>21149620177.060001</v>
      </c>
    </row>
    <row r="18" spans="5:6">
      <c r="E18" s="11">
        <v>40422</v>
      </c>
      <c r="F18" s="10">
        <v>18971719558.360001</v>
      </c>
    </row>
    <row r="19" spans="5:6">
      <c r="E19" s="11">
        <v>40391</v>
      </c>
      <c r="F19" s="10">
        <v>29569308347.779999</v>
      </c>
    </row>
    <row r="20" spans="5:6">
      <c r="E20" s="11">
        <v>40360</v>
      </c>
      <c r="F20" s="10">
        <v>24879975718.720001</v>
      </c>
    </row>
    <row r="21" spans="5:6">
      <c r="E21" s="11">
        <v>40330</v>
      </c>
      <c r="F21" s="10">
        <v>22513554772.990002</v>
      </c>
    </row>
    <row r="22" spans="5:6">
      <c r="E22" s="11">
        <v>40299</v>
      </c>
      <c r="F22" s="10">
        <v>19740280619.880001</v>
      </c>
    </row>
    <row r="23" spans="5:6">
      <c r="E23" s="11">
        <v>40269</v>
      </c>
      <c r="F23" s="10">
        <v>13588645038.32</v>
      </c>
    </row>
    <row r="24" spans="5:6">
      <c r="E24" s="11">
        <v>40238</v>
      </c>
      <c r="F24" s="10">
        <v>12729941372.379999</v>
      </c>
    </row>
    <row r="25" spans="5:6">
      <c r="E25" s="11">
        <v>40210</v>
      </c>
      <c r="F25" s="10">
        <v>14878861003.209999</v>
      </c>
    </row>
    <row r="26" spans="5:6">
      <c r="E26" s="11">
        <v>40179</v>
      </c>
      <c r="F26" s="10">
        <v>14284627990.09</v>
      </c>
    </row>
    <row r="27" spans="5:6">
      <c r="E27" s="11">
        <v>40148</v>
      </c>
      <c r="F27" s="10">
        <v>14055645207.799999</v>
      </c>
    </row>
    <row r="28" spans="5:6">
      <c r="E28" s="11">
        <v>40118</v>
      </c>
      <c r="F28" s="10">
        <v>12690846042.559999</v>
      </c>
    </row>
    <row r="29" spans="5:6">
      <c r="E29" s="11">
        <v>40087</v>
      </c>
      <c r="F29" s="10">
        <v>13528722032.889999</v>
      </c>
    </row>
    <row r="30" spans="5:6">
      <c r="E30" s="11">
        <v>40057</v>
      </c>
      <c r="F30" s="10">
        <v>15939928257.370001</v>
      </c>
    </row>
    <row r="31" spans="5:6">
      <c r="E31" s="11">
        <v>40026</v>
      </c>
      <c r="F31" s="10">
        <v>16706553284.77</v>
      </c>
    </row>
    <row r="32" spans="5:6">
      <c r="E32" s="11">
        <v>39995</v>
      </c>
      <c r="F32" s="10">
        <v>14867477660.629999</v>
      </c>
    </row>
    <row r="33" spans="5:6">
      <c r="E33" s="11">
        <v>39965</v>
      </c>
      <c r="F33" s="10">
        <v>12474284900.35</v>
      </c>
    </row>
    <row r="34" spans="5:6">
      <c r="E34" s="11">
        <v>39934</v>
      </c>
      <c r="F34" s="10">
        <v>11466280323.84</v>
      </c>
    </row>
    <row r="35" spans="5:6">
      <c r="E35" s="11">
        <v>39904</v>
      </c>
      <c r="F35" s="10">
        <v>8754719640.6599998</v>
      </c>
    </row>
    <row r="36" spans="5:6">
      <c r="E36" s="11">
        <v>39873</v>
      </c>
      <c r="F36" s="10">
        <v>7649530609.0799999</v>
      </c>
    </row>
    <row r="37" spans="5:6">
      <c r="E37" s="11">
        <v>39845</v>
      </c>
      <c r="F37" s="10">
        <v>9577071168.3700008</v>
      </c>
    </row>
    <row r="38" spans="5:6">
      <c r="E38" s="11">
        <v>39814</v>
      </c>
      <c r="F38" s="10">
        <v>6760565628.5100002</v>
      </c>
    </row>
    <row r="39" spans="5:6">
      <c r="E39" s="11">
        <v>39783</v>
      </c>
      <c r="F39" s="10">
        <v>9613885455.2399998</v>
      </c>
    </row>
    <row r="40" spans="5:6">
      <c r="E40" s="11">
        <v>39753</v>
      </c>
      <c r="F40" s="10">
        <v>9734828322.3099995</v>
      </c>
    </row>
    <row r="41" spans="5:6">
      <c r="E41" s="11">
        <v>39722</v>
      </c>
      <c r="F41" s="10">
        <v>9130461207.7099991</v>
      </c>
    </row>
    <row r="42" spans="5:6">
      <c r="E42" s="11">
        <v>39692</v>
      </c>
      <c r="F42" s="10">
        <v>12653045190.209999</v>
      </c>
    </row>
    <row r="43" spans="5:6">
      <c r="E43" s="11">
        <v>39661</v>
      </c>
      <c r="F43" s="10">
        <v>14884989554.790001</v>
      </c>
    </row>
    <row r="44" spans="5:6">
      <c r="E44" s="11">
        <v>39630</v>
      </c>
      <c r="F44" s="10">
        <v>14197334880.99</v>
      </c>
    </row>
    <row r="45" spans="5:6">
      <c r="E45" s="11">
        <v>39600</v>
      </c>
      <c r="F45" s="10">
        <v>14563854951.780001</v>
      </c>
    </row>
    <row r="46" spans="5:6">
      <c r="E46" s="11">
        <v>39569</v>
      </c>
      <c r="F46" s="10">
        <v>14529429316.049999</v>
      </c>
    </row>
    <row r="47" spans="5:6">
      <c r="E47" s="11">
        <v>39539</v>
      </c>
      <c r="F47" s="10">
        <v>13130616566.99</v>
      </c>
    </row>
    <row r="48" spans="5:6">
      <c r="E48" s="11">
        <v>39508</v>
      </c>
      <c r="F48" s="10">
        <v>11775489098.950001</v>
      </c>
    </row>
    <row r="49" spans="5:6">
      <c r="E49" s="11">
        <v>39479</v>
      </c>
      <c r="F49" s="10">
        <v>14543110815.07</v>
      </c>
    </row>
    <row r="50" spans="5:6">
      <c r="E50" s="11">
        <v>39448</v>
      </c>
      <c r="F50" s="10">
        <v>14305152731.549999</v>
      </c>
    </row>
    <row r="51" spans="5:6">
      <c r="E51" s="11">
        <v>39417</v>
      </c>
      <c r="F51" s="10">
        <v>15447076849.469999</v>
      </c>
    </row>
    <row r="52" spans="5:6">
      <c r="E52" s="11">
        <v>39387</v>
      </c>
      <c r="F52" s="10">
        <v>15581397562.370001</v>
      </c>
    </row>
    <row r="53" spans="5:6">
      <c r="E53" s="11">
        <v>39356</v>
      </c>
      <c r="F53" s="10">
        <v>17392305752.5</v>
      </c>
    </row>
    <row r="54" spans="5:6">
      <c r="E54" s="11">
        <v>39326</v>
      </c>
      <c r="F54" s="10">
        <v>17687708238.220001</v>
      </c>
    </row>
    <row r="55" spans="5:6">
      <c r="E55" s="11">
        <v>39295</v>
      </c>
      <c r="F55" s="10">
        <v>18782818648.16</v>
      </c>
    </row>
    <row r="56" spans="5:6">
      <c r="E56" s="11">
        <v>39264</v>
      </c>
      <c r="F56" s="10">
        <v>18742639435.759998</v>
      </c>
    </row>
    <row r="57" spans="5:6">
      <c r="E57" s="11">
        <v>39234</v>
      </c>
      <c r="F57" s="10">
        <v>17193197055.080002</v>
      </c>
    </row>
    <row r="58" spans="5:6">
      <c r="E58" s="11">
        <v>39203</v>
      </c>
      <c r="F58" s="10">
        <v>16261292046.35</v>
      </c>
    </row>
    <row r="59" spans="5:6">
      <c r="E59" s="11">
        <v>39173</v>
      </c>
      <c r="F59" s="10">
        <v>12274867240.42</v>
      </c>
    </row>
    <row r="60" spans="5:6">
      <c r="E60" s="11">
        <v>39142</v>
      </c>
      <c r="F60" s="10">
        <v>10625968730.68</v>
      </c>
    </row>
    <row r="61" spans="5:6">
      <c r="E61" s="11">
        <v>39114</v>
      </c>
      <c r="F61" s="10">
        <v>13124578315.92</v>
      </c>
    </row>
    <row r="62" spans="5:6">
      <c r="E62" s="11">
        <v>39083</v>
      </c>
      <c r="F62" s="10">
        <v>13498222133.4</v>
      </c>
    </row>
    <row r="63" spans="5:6">
      <c r="E63" s="11">
        <v>39052</v>
      </c>
      <c r="F63" s="10">
        <v>14217507735.809999</v>
      </c>
    </row>
    <row r="64" spans="5:6">
      <c r="E64" s="11">
        <v>39022</v>
      </c>
      <c r="F64" s="10">
        <v>13752962281.889999</v>
      </c>
    </row>
    <row r="65" spans="5:6">
      <c r="E65" s="11">
        <v>38991</v>
      </c>
      <c r="F65" s="10">
        <v>15254610832.889999</v>
      </c>
    </row>
    <row r="66" spans="5:6">
      <c r="E66" s="11">
        <v>38961</v>
      </c>
      <c r="F66" s="10">
        <v>15093745589.51</v>
      </c>
    </row>
    <row r="67" spans="5:6">
      <c r="E67" s="11">
        <v>38930</v>
      </c>
      <c r="F67" s="10">
        <v>17321146878.52</v>
      </c>
    </row>
    <row r="68" spans="5:6">
      <c r="E68" s="11">
        <v>38899</v>
      </c>
      <c r="F68" s="10">
        <v>15345415496.129999</v>
      </c>
    </row>
    <row r="69" spans="5:6">
      <c r="E69" s="11">
        <v>38869</v>
      </c>
      <c r="F69" s="10">
        <v>13208560782.91</v>
      </c>
    </row>
    <row r="70" spans="5:6">
      <c r="E70" s="11">
        <v>38838</v>
      </c>
      <c r="F70" s="10">
        <v>13232342261.450001</v>
      </c>
    </row>
    <row r="71" spans="5:6">
      <c r="E71" s="11">
        <v>38808</v>
      </c>
      <c r="F71" s="10">
        <v>10533508526.41</v>
      </c>
    </row>
    <row r="72" spans="5:6">
      <c r="E72" s="11">
        <v>38777</v>
      </c>
      <c r="F72" s="10">
        <v>9229412352.2800007</v>
      </c>
    </row>
    <row r="73" spans="5:6">
      <c r="E73" s="11">
        <v>38749</v>
      </c>
      <c r="F73" s="10">
        <v>11923563518.219999</v>
      </c>
    </row>
    <row r="74" spans="5:6">
      <c r="E74" s="11">
        <v>38718</v>
      </c>
      <c r="F74" s="10">
        <v>12136303772.01</v>
      </c>
    </row>
    <row r="75" spans="5:6">
      <c r="E75" s="11">
        <v>38687</v>
      </c>
      <c r="F75" s="10">
        <v>8789285117.5699997</v>
      </c>
    </row>
    <row r="76" spans="5:6">
      <c r="E76" s="11">
        <v>38657</v>
      </c>
      <c r="F76" s="10">
        <v>5425801851.6700001</v>
      </c>
    </row>
    <row r="77" spans="5:6">
      <c r="E77" s="11">
        <v>38626</v>
      </c>
      <c r="F77" s="10">
        <v>5323357137.1700001</v>
      </c>
    </row>
    <row r="78" spans="5:6">
      <c r="E78" s="11">
        <v>38596</v>
      </c>
      <c r="F78" s="10">
        <v>4998945666.0500002</v>
      </c>
    </row>
    <row r="79" spans="5:6">
      <c r="E79" s="11">
        <v>38565</v>
      </c>
      <c r="F79" s="10">
        <v>5295177663.5200005</v>
      </c>
    </row>
    <row r="80" spans="5:6">
      <c r="E80" s="11">
        <v>38534</v>
      </c>
      <c r="F80" s="10">
        <v>4017517837.4099998</v>
      </c>
    </row>
    <row r="81" spans="5:6">
      <c r="E81" s="11">
        <v>38504</v>
      </c>
      <c r="F81" s="10">
        <v>3272606324.4499998</v>
      </c>
    </row>
    <row r="82" spans="5:6">
      <c r="E82" s="11">
        <v>38473</v>
      </c>
      <c r="F82" s="10">
        <v>3379652014.46</v>
      </c>
    </row>
    <row r="83" spans="5:6">
      <c r="E83" s="11">
        <v>38443</v>
      </c>
      <c r="F83" s="10">
        <v>2596024130.0700002</v>
      </c>
    </row>
    <row r="84" spans="5:6">
      <c r="E84" s="11">
        <v>38412</v>
      </c>
      <c r="F84" s="10">
        <v>2252434329.1100001</v>
      </c>
    </row>
    <row r="85" spans="5:6">
      <c r="E85" s="11">
        <v>38384</v>
      </c>
      <c r="F85" s="10">
        <v>2767593588.27</v>
      </c>
    </row>
    <row r="86" spans="5:6">
      <c r="E86" s="11">
        <v>38353</v>
      </c>
      <c r="F86" s="10">
        <v>2800069561.1900001</v>
      </c>
    </row>
    <row r="87" spans="5:6">
      <c r="E87" s="11">
        <v>38322</v>
      </c>
      <c r="F87" s="10">
        <v>3011468730.9099998</v>
      </c>
    </row>
    <row r="88" spans="5:6">
      <c r="E88" s="11">
        <v>38292</v>
      </c>
      <c r="F88" s="10">
        <v>2838671852.71</v>
      </c>
    </row>
    <row r="89" spans="5:6">
      <c r="E89" s="11">
        <v>38261</v>
      </c>
      <c r="F89" s="10">
        <v>2895188458.04</v>
      </c>
    </row>
    <row r="90" spans="5:6">
      <c r="E90" s="11">
        <v>38231</v>
      </c>
      <c r="F90" s="10">
        <v>2501128882.71</v>
      </c>
    </row>
    <row r="91" spans="5:6">
      <c r="E91" s="11">
        <v>38200</v>
      </c>
      <c r="F91" s="10">
        <v>2488610613.04</v>
      </c>
    </row>
    <row r="92" spans="5:6">
      <c r="E92" s="11">
        <v>38169</v>
      </c>
      <c r="F92" s="10">
        <v>2747560879.1900001</v>
      </c>
    </row>
    <row r="93" spans="5:6">
      <c r="E93" s="11">
        <v>38139</v>
      </c>
      <c r="F93" s="10">
        <v>3327289540.4099998</v>
      </c>
    </row>
    <row r="94" spans="5:6">
      <c r="E94" s="11">
        <v>38108</v>
      </c>
      <c r="F94" s="10">
        <v>3122723942.98</v>
      </c>
    </row>
    <row r="95" spans="5:6">
      <c r="E95" s="11">
        <v>38078</v>
      </c>
      <c r="F95" s="10">
        <v>2247482214.3499999</v>
      </c>
    </row>
    <row r="96" spans="5:6">
      <c r="E96" s="11">
        <v>38047</v>
      </c>
      <c r="F96" s="10">
        <v>1997909919.6700001</v>
      </c>
    </row>
    <row r="97" spans="5:6">
      <c r="E97" s="11">
        <v>38018</v>
      </c>
      <c r="F97" s="10">
        <v>2485253534.2600002</v>
      </c>
    </row>
    <row r="98" spans="5:6">
      <c r="E98" s="11">
        <v>37987</v>
      </c>
      <c r="F98" s="10">
        <v>2182102190.5999999</v>
      </c>
    </row>
    <row r="99" spans="5:6">
      <c r="E99" s="11">
        <v>37956</v>
      </c>
      <c r="F99" s="10">
        <v>2482247302.0700002</v>
      </c>
    </row>
    <row r="100" spans="5:6">
      <c r="E100" s="11">
        <v>37926</v>
      </c>
      <c r="F100" s="10">
        <v>2323781186.5599999</v>
      </c>
    </row>
    <row r="101" spans="5:6">
      <c r="E101" s="11">
        <v>37895</v>
      </c>
      <c r="F101" s="10">
        <v>3366345364.3299999</v>
      </c>
    </row>
    <row r="102" spans="5:6">
      <c r="E102" s="11">
        <v>37865</v>
      </c>
      <c r="F102" s="10">
        <v>4793848935.9399996</v>
      </c>
    </row>
    <row r="103" spans="5:6">
      <c r="E103" s="11">
        <v>37834</v>
      </c>
      <c r="F103" s="10">
        <v>4809370938.4499998</v>
      </c>
    </row>
    <row r="104" spans="5:6">
      <c r="E104" s="11">
        <v>37803</v>
      </c>
      <c r="F104" s="10">
        <v>3651588513.8000002</v>
      </c>
    </row>
    <row r="105" spans="5:6">
      <c r="E105" s="11">
        <v>37773</v>
      </c>
      <c r="F105" s="10">
        <v>3014884433.79</v>
      </c>
    </row>
    <row r="106" spans="5:6">
      <c r="E106" s="11">
        <v>37742</v>
      </c>
      <c r="F106" s="10">
        <v>2625285436.02</v>
      </c>
    </row>
  </sheetData>
  <sortState ref="E2:F106">
    <sortCondition descending="1" ref="E2:E106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Robert Morris</cp:lastModifiedBy>
  <cp:lastPrinted>2015-08-20T18:39:24Z</cp:lastPrinted>
  <dcterms:created xsi:type="dcterms:W3CDTF">2015-08-20T14:21:26Z</dcterms:created>
  <dcterms:modified xsi:type="dcterms:W3CDTF">2015-09-03T19:52:52Z</dcterms:modified>
</cp:coreProperties>
</file>