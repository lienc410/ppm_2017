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60" windowWidth="11730" windowHeight="5295"/>
  </bookViews>
  <sheets>
    <sheet name="Report" sheetId="4" r:id="rId1"/>
    <sheet name="Report (2)" sheetId="14" r:id="rId2"/>
    <sheet name="Time Series Query" sheetId="5" r:id="rId3"/>
    <sheet name="OriginationVolume" sheetId="15" r:id="rId4"/>
    <sheet name="Default Assumptions" sheetId="16" r:id="rId5"/>
  </sheets>
  <functionGroups builtInGroupCount="17"/>
  <definedNames>
    <definedName name="CurrentCloseDate" localSheetId="1">'Report (2)'!$T$2</definedName>
    <definedName name="CurrentCloseDate">Report!$X$2</definedName>
    <definedName name="DatabaseEnv" localSheetId="1">'Report (2)'!$T$1</definedName>
    <definedName name="DatabaseEnv">Report!$X$1</definedName>
    <definedName name="LastAvailableDate" localSheetId="1">'Report (2)'!$T$9</definedName>
    <definedName name="LastAvailableDate">Report!$X$9</definedName>
    <definedName name="LastMonth" localSheetId="1">'Report (2)'!$T$11</definedName>
    <definedName name="LastMonth">Report!$X$11</definedName>
    <definedName name="LastSurveyDate" localSheetId="1">'Report (2)'!$T$8</definedName>
    <definedName name="LastSurveyDate">Report!$X$8</definedName>
    <definedName name="newDataPoint" localSheetId="1">#REF!</definedName>
    <definedName name="newDataPoint">#REF!</definedName>
    <definedName name="PDFReportDir" localSheetId="1">'Report (2)'!$T$3</definedName>
    <definedName name="PDFReportDir">Report!$X$3</definedName>
    <definedName name="PDFReportName" localSheetId="1">'Report (2)'!$T$4</definedName>
    <definedName name="PDFReportName">Report!$X$4</definedName>
    <definedName name="_xlnm.Print_Area" localSheetId="0">Report!$B$7:$T$73</definedName>
    <definedName name="_xlnm.Print_Area" localSheetId="1">'Report (2)'!$D$7:$Q$66</definedName>
    <definedName name="Query_from_Agency" localSheetId="2" hidden="1">'Time Series Query'!#REF!</definedName>
    <definedName name="Query_from_Agency_1" localSheetId="2" hidden="1">'Time Series Query'!#REF!</definedName>
    <definedName name="Query_from_Agency_10" localSheetId="2" hidden="1">'Time Series Query'!$S$4:$T$151</definedName>
    <definedName name="Query_from_Agency_11" localSheetId="2" hidden="1">'Time Series Query'!$W$4:$X$151</definedName>
    <definedName name="Query_from_Agency_12" localSheetId="2" hidden="1">'Time Series Query'!$AA$4:$AB$151</definedName>
    <definedName name="Query_from_Agency_13" localSheetId="2" hidden="1">'Time Series Query'!$AE$4:$AF$151</definedName>
    <definedName name="Query_from_Agency_14" localSheetId="2" hidden="1">'Time Series Query'!#REF!</definedName>
    <definedName name="Query_from_Agency_15" localSheetId="2" hidden="1">'Time Series Query'!$AR$4:$AS$151</definedName>
    <definedName name="Query_from_Agency_16" localSheetId="2" hidden="1">'Time Series Query'!$AW$4:$AX$151</definedName>
    <definedName name="Query_from_Agency_17" localSheetId="2" hidden="1">'Time Series Query'!$BB$4:$BC$151</definedName>
    <definedName name="Query_from_Agency_18" localSheetId="2" hidden="1">'Time Series Query'!$BG$4:$BH$151</definedName>
    <definedName name="Query_from_Agency_19" localSheetId="2" hidden="1">'Time Series Query'!$CK$4:$CL$151</definedName>
    <definedName name="Query_from_Agency_2" localSheetId="2" hidden="1">'Time Series Query'!#REF!</definedName>
    <definedName name="Query_from_Agency_20" localSheetId="2" hidden="1">'Time Series Query'!$CG$4:$CH$151</definedName>
    <definedName name="Query_from_Agency_21" localSheetId="2" hidden="1">'Time Series Query'!$CC$4:$CD$151</definedName>
    <definedName name="Query_from_Agency_22" localSheetId="2" hidden="1">'Time Series Query'!$BY$4:$BZ$151</definedName>
    <definedName name="Query_from_Agency_3" localSheetId="2" hidden="1">'Time Series Query'!#REF!</definedName>
    <definedName name="Query_from_Agency_4" localSheetId="2" hidden="1">'Time Series Query'!#REF!</definedName>
    <definedName name="Query_from_Agency_5" localSheetId="2" hidden="1">'Time Series Query'!#REF!</definedName>
    <definedName name="Query_from_Agency_6" localSheetId="2" hidden="1">'Time Series Query'!$A$4:$B$151</definedName>
    <definedName name="Query_from_Agency_7" localSheetId="2" hidden="1">'Time Series Query'!$G$4:$H$151</definedName>
    <definedName name="Query_from_Agency_8" localSheetId="2" hidden="1">'Time Series Query'!$K$4:$L$151</definedName>
    <definedName name="Query_from_Agency_9" localSheetId="2" hidden="1">'Time Series Query'!$O$4:$P$151</definedName>
    <definedName name="SaveRatesToDB" localSheetId="1">'Report (2)'!$V$1</definedName>
    <definedName name="SaveRatesToDB">Report!$Z$1</definedName>
  </definedNames>
  <calcPr calcId="145621"/>
</workbook>
</file>

<file path=xl/calcChain.xml><?xml version="1.0" encoding="utf-8"?>
<calcChain xmlns="http://schemas.openxmlformats.org/spreadsheetml/2006/main">
  <c r="BW5" i="5" l="1"/>
  <c r="BW6" i="5"/>
  <c r="BW7" i="5"/>
  <c r="BW8" i="5"/>
  <c r="BW9" i="5"/>
  <c r="BW10" i="5"/>
  <c r="BW11" i="5"/>
  <c r="BW12" i="5"/>
  <c r="BW13" i="5"/>
  <c r="BW14" i="5"/>
  <c r="BW15" i="5"/>
  <c r="BW16" i="5"/>
  <c r="BW17" i="5"/>
  <c r="BW18" i="5"/>
  <c r="BW19" i="5"/>
  <c r="BW20" i="5"/>
  <c r="BW21" i="5"/>
  <c r="BW22" i="5"/>
  <c r="BW23" i="5"/>
  <c r="BW24" i="5"/>
  <c r="BW25" i="5"/>
  <c r="BW26" i="5"/>
  <c r="BW27" i="5"/>
  <c r="BW28" i="5"/>
  <c r="BW29" i="5"/>
  <c r="BW30" i="5"/>
  <c r="BW31" i="5"/>
  <c r="BW32" i="5"/>
  <c r="BW33" i="5"/>
  <c r="BW34" i="5"/>
  <c r="BW35" i="5"/>
  <c r="BW36" i="5"/>
  <c r="BW37" i="5"/>
  <c r="BW38" i="5"/>
  <c r="BW39" i="5"/>
  <c r="BW40" i="5"/>
  <c r="BW41" i="5"/>
  <c r="BW42" i="5"/>
  <c r="BW43" i="5"/>
  <c r="BW44" i="5"/>
  <c r="BW45" i="5"/>
  <c r="BW46" i="5"/>
  <c r="BW47" i="5"/>
  <c r="BW48" i="5"/>
  <c r="BW49" i="5"/>
  <c r="BW50" i="5"/>
  <c r="BW51" i="5"/>
  <c r="BW52" i="5"/>
  <c r="BW53" i="5"/>
  <c r="BW54" i="5"/>
  <c r="BW55" i="5"/>
  <c r="BW56" i="5"/>
  <c r="BW57" i="5"/>
  <c r="BW58" i="5"/>
  <c r="BW59" i="5"/>
  <c r="BW60" i="5"/>
  <c r="BW61" i="5"/>
  <c r="BW62" i="5"/>
  <c r="BW63" i="5"/>
  <c r="BW64" i="5"/>
  <c r="BW65" i="5"/>
  <c r="BW66" i="5"/>
  <c r="BW67" i="5"/>
  <c r="BW68" i="5"/>
  <c r="BW69" i="5"/>
  <c r="BW70" i="5"/>
  <c r="BW71" i="5"/>
  <c r="BW72" i="5"/>
  <c r="BW73" i="5"/>
  <c r="BW74" i="5"/>
  <c r="BW75" i="5"/>
  <c r="BW76" i="5"/>
  <c r="BW77" i="5"/>
  <c r="BW78" i="5"/>
  <c r="BW79" i="5"/>
  <c r="BW80" i="5"/>
  <c r="BW81" i="5"/>
  <c r="BW82" i="5"/>
  <c r="BW83" i="5"/>
  <c r="BW84" i="5"/>
  <c r="BW85" i="5"/>
  <c r="BW86" i="5"/>
  <c r="BW87" i="5"/>
  <c r="BW88" i="5"/>
  <c r="BW89" i="5"/>
  <c r="BW90" i="5"/>
  <c r="BW91" i="5"/>
  <c r="BW92" i="5"/>
  <c r="BW93" i="5"/>
  <c r="BW94" i="5"/>
  <c r="BW95" i="5"/>
  <c r="BW96" i="5"/>
  <c r="BW97" i="5"/>
  <c r="BW98" i="5"/>
  <c r="BW99" i="5"/>
  <c r="BW100" i="5"/>
  <c r="BW101" i="5"/>
  <c r="BW102" i="5"/>
  <c r="BW103" i="5"/>
  <c r="BW104" i="5"/>
  <c r="BW105" i="5"/>
  <c r="BW106" i="5"/>
  <c r="BW107" i="5"/>
  <c r="BW108" i="5"/>
  <c r="BW109" i="5"/>
  <c r="BW110" i="5"/>
  <c r="BW111" i="5"/>
  <c r="BW112" i="5"/>
  <c r="BW113" i="5"/>
  <c r="BW114" i="5"/>
  <c r="BW115" i="5"/>
  <c r="BW116" i="5"/>
  <c r="BW117" i="5"/>
  <c r="BW118" i="5"/>
  <c r="BW119" i="5"/>
  <c r="BW120" i="5"/>
  <c r="BW121" i="5"/>
  <c r="BW122" i="5"/>
  <c r="BW123" i="5"/>
  <c r="BW124" i="5"/>
  <c r="BW125" i="5"/>
  <c r="BW126" i="5"/>
  <c r="BW127" i="5"/>
  <c r="BW128" i="5"/>
  <c r="BW129" i="5"/>
  <c r="BW130" i="5"/>
  <c r="BW131" i="5"/>
  <c r="BW132" i="5"/>
  <c r="BW133" i="5"/>
  <c r="BW134" i="5"/>
  <c r="BW135" i="5"/>
  <c r="BW136" i="5"/>
  <c r="BW137" i="5"/>
  <c r="BW138" i="5"/>
  <c r="BW139" i="5"/>
  <c r="BW140" i="5"/>
  <c r="BW141" i="5"/>
  <c r="BW142" i="5"/>
  <c r="BW143" i="5"/>
  <c r="BW144" i="5"/>
  <c r="BW145" i="5"/>
  <c r="BW146" i="5"/>
  <c r="BW147" i="5"/>
  <c r="BW148" i="5"/>
  <c r="BW149" i="5"/>
  <c r="BW150" i="5"/>
  <c r="BW151" i="5"/>
  <c r="BV5" i="5"/>
  <c r="BV6" i="5"/>
  <c r="BV7" i="5"/>
  <c r="BV8" i="5"/>
  <c r="BV9" i="5"/>
  <c r="BV10" i="5"/>
  <c r="BV11" i="5"/>
  <c r="BV12" i="5"/>
  <c r="BV13" i="5"/>
  <c r="BV14" i="5"/>
  <c r="BV15" i="5"/>
  <c r="BV16" i="5"/>
  <c r="BV17" i="5"/>
  <c r="BV18" i="5"/>
  <c r="BV19" i="5"/>
  <c r="BV20" i="5"/>
  <c r="BV21" i="5"/>
  <c r="BV22" i="5"/>
  <c r="BV23" i="5"/>
  <c r="BV24" i="5"/>
  <c r="BV25" i="5"/>
  <c r="BV26" i="5"/>
  <c r="BV27" i="5"/>
  <c r="BV28" i="5"/>
  <c r="BV29" i="5"/>
  <c r="BV30" i="5"/>
  <c r="BV31" i="5"/>
  <c r="BV32" i="5"/>
  <c r="BV33" i="5"/>
  <c r="BV34" i="5"/>
  <c r="BV35" i="5"/>
  <c r="BV36" i="5"/>
  <c r="BV37" i="5"/>
  <c r="BV38" i="5"/>
  <c r="BV39" i="5"/>
  <c r="BV40" i="5"/>
  <c r="BV41" i="5"/>
  <c r="BV42" i="5"/>
  <c r="BV43" i="5"/>
  <c r="BV44" i="5"/>
  <c r="BV45" i="5"/>
  <c r="BV46" i="5"/>
  <c r="BV47" i="5"/>
  <c r="BV48" i="5"/>
  <c r="BV49" i="5"/>
  <c r="BV50" i="5"/>
  <c r="BV51" i="5"/>
  <c r="BV52" i="5"/>
  <c r="BV53" i="5"/>
  <c r="BV54" i="5"/>
  <c r="BV55" i="5"/>
  <c r="BV56" i="5"/>
  <c r="BV57" i="5"/>
  <c r="BV58" i="5"/>
  <c r="BV59" i="5"/>
  <c r="BV60" i="5"/>
  <c r="BV61" i="5"/>
  <c r="BV62" i="5"/>
  <c r="BV63" i="5"/>
  <c r="BV64" i="5"/>
  <c r="BV65" i="5"/>
  <c r="BV66" i="5"/>
  <c r="BV67" i="5"/>
  <c r="BV68" i="5"/>
  <c r="BV69" i="5"/>
  <c r="BV70" i="5"/>
  <c r="BV71" i="5"/>
  <c r="BV72" i="5"/>
  <c r="BV73" i="5"/>
  <c r="BV74" i="5"/>
  <c r="BV75" i="5"/>
  <c r="BV76" i="5"/>
  <c r="BV77" i="5"/>
  <c r="BV78" i="5"/>
  <c r="BV79" i="5"/>
  <c r="BV80" i="5"/>
  <c r="BV81" i="5"/>
  <c r="BV82" i="5"/>
  <c r="BV83" i="5"/>
  <c r="BV84" i="5"/>
  <c r="BV85" i="5"/>
  <c r="BV86" i="5"/>
  <c r="BV87" i="5"/>
  <c r="BV88" i="5"/>
  <c r="BV89" i="5"/>
  <c r="BV90" i="5"/>
  <c r="BV91" i="5"/>
  <c r="BV92" i="5"/>
  <c r="BV93" i="5"/>
  <c r="BV94" i="5"/>
  <c r="BV95" i="5"/>
  <c r="BV96" i="5"/>
  <c r="BV97" i="5"/>
  <c r="BV98" i="5"/>
  <c r="BV99" i="5"/>
  <c r="BV100" i="5"/>
  <c r="BV101" i="5"/>
  <c r="BV102" i="5"/>
  <c r="BV103" i="5"/>
  <c r="BV104" i="5"/>
  <c r="BV105" i="5"/>
  <c r="BV106" i="5"/>
  <c r="BV107" i="5"/>
  <c r="BV108" i="5"/>
  <c r="BV109" i="5"/>
  <c r="BV110" i="5"/>
  <c r="BV111" i="5"/>
  <c r="BV112" i="5"/>
  <c r="BV113" i="5"/>
  <c r="BV114" i="5"/>
  <c r="BV115" i="5"/>
  <c r="BV116" i="5"/>
  <c r="BV117" i="5"/>
  <c r="BV118" i="5"/>
  <c r="BV119" i="5"/>
  <c r="BV120" i="5"/>
  <c r="BV121" i="5"/>
  <c r="BV122" i="5"/>
  <c r="BV123" i="5"/>
  <c r="BV124" i="5"/>
  <c r="BV125" i="5"/>
  <c r="BV126" i="5"/>
  <c r="BV127" i="5"/>
  <c r="BV128" i="5"/>
  <c r="BV129" i="5"/>
  <c r="BV130" i="5"/>
  <c r="BV131" i="5"/>
  <c r="BV132" i="5"/>
  <c r="BV133" i="5"/>
  <c r="BV134" i="5"/>
  <c r="BV135" i="5"/>
  <c r="BV136" i="5"/>
  <c r="BV137" i="5"/>
  <c r="BV138" i="5"/>
  <c r="BV139" i="5"/>
  <c r="BV140" i="5"/>
  <c r="BV141" i="5"/>
  <c r="BV142" i="5"/>
  <c r="BV143" i="5"/>
  <c r="BV144" i="5"/>
  <c r="BV145" i="5"/>
  <c r="BV146" i="5"/>
  <c r="BV147" i="5"/>
  <c r="BV148" i="5"/>
  <c r="BV149" i="5"/>
  <c r="BV150" i="5"/>
  <c r="BV151" i="5"/>
  <c r="BU5" i="5"/>
  <c r="BU6" i="5"/>
  <c r="BU7" i="5"/>
  <c r="BU8" i="5"/>
  <c r="BU9" i="5"/>
  <c r="BU10" i="5"/>
  <c r="BU11" i="5"/>
  <c r="BU12" i="5"/>
  <c r="BU13" i="5"/>
  <c r="BU14" i="5"/>
  <c r="BU15" i="5"/>
  <c r="BU16" i="5"/>
  <c r="BU17" i="5"/>
  <c r="BU18" i="5"/>
  <c r="BU19" i="5"/>
  <c r="BU20" i="5"/>
  <c r="BU21" i="5"/>
  <c r="BU22" i="5"/>
  <c r="BU23" i="5"/>
  <c r="BU24" i="5"/>
  <c r="BU25" i="5"/>
  <c r="BU26" i="5"/>
  <c r="BU27" i="5"/>
  <c r="BU28" i="5"/>
  <c r="BU29" i="5"/>
  <c r="BU30" i="5"/>
  <c r="BU31" i="5"/>
  <c r="BU32" i="5"/>
  <c r="BU33" i="5"/>
  <c r="BU34" i="5"/>
  <c r="BU35" i="5"/>
  <c r="BU36" i="5"/>
  <c r="BU37" i="5"/>
  <c r="BU38" i="5"/>
  <c r="BU39" i="5"/>
  <c r="BU40" i="5"/>
  <c r="BU41" i="5"/>
  <c r="BU42" i="5"/>
  <c r="BU43" i="5"/>
  <c r="BU44" i="5"/>
  <c r="BU45" i="5"/>
  <c r="BU46" i="5"/>
  <c r="BU47" i="5"/>
  <c r="BU48" i="5"/>
  <c r="BU49" i="5"/>
  <c r="BU50" i="5"/>
  <c r="BU51" i="5"/>
  <c r="BU52" i="5"/>
  <c r="BU53" i="5"/>
  <c r="BU54" i="5"/>
  <c r="BU55" i="5"/>
  <c r="BU56" i="5"/>
  <c r="BU57" i="5"/>
  <c r="BU58" i="5"/>
  <c r="BU59" i="5"/>
  <c r="BU60" i="5"/>
  <c r="BU61" i="5"/>
  <c r="BU62" i="5"/>
  <c r="BU63" i="5"/>
  <c r="BU64" i="5"/>
  <c r="BU65" i="5"/>
  <c r="BU66" i="5"/>
  <c r="BU67" i="5"/>
  <c r="BU68" i="5"/>
  <c r="BU69" i="5"/>
  <c r="BU70" i="5"/>
  <c r="BU71" i="5"/>
  <c r="BU72" i="5"/>
  <c r="BU73" i="5"/>
  <c r="BU74" i="5"/>
  <c r="BU75" i="5"/>
  <c r="BU76" i="5"/>
  <c r="BU77" i="5"/>
  <c r="BU78" i="5"/>
  <c r="BU79" i="5"/>
  <c r="BU80" i="5"/>
  <c r="BU81" i="5"/>
  <c r="BU82" i="5"/>
  <c r="BU83" i="5"/>
  <c r="BU84" i="5"/>
  <c r="BU85" i="5"/>
  <c r="BU86" i="5"/>
  <c r="BU87" i="5"/>
  <c r="BU88" i="5"/>
  <c r="BU89" i="5"/>
  <c r="BU90" i="5"/>
  <c r="BU91" i="5"/>
  <c r="BU92" i="5"/>
  <c r="BU93" i="5"/>
  <c r="BU94" i="5"/>
  <c r="BU95" i="5"/>
  <c r="BU96" i="5"/>
  <c r="BU97" i="5"/>
  <c r="BU98" i="5"/>
  <c r="BU99" i="5"/>
  <c r="BU100" i="5"/>
  <c r="BU101" i="5"/>
  <c r="BU102" i="5"/>
  <c r="BU103" i="5"/>
  <c r="BU104" i="5"/>
  <c r="BU105" i="5"/>
  <c r="BU106" i="5"/>
  <c r="BU107" i="5"/>
  <c r="BU108" i="5"/>
  <c r="BU109" i="5"/>
  <c r="BU110" i="5"/>
  <c r="BU111" i="5"/>
  <c r="BU112" i="5"/>
  <c r="BU113" i="5"/>
  <c r="BU114" i="5"/>
  <c r="BU115" i="5"/>
  <c r="BU116" i="5"/>
  <c r="BU117" i="5"/>
  <c r="BU118" i="5"/>
  <c r="BU119" i="5"/>
  <c r="BU120" i="5"/>
  <c r="BU121" i="5"/>
  <c r="BU122" i="5"/>
  <c r="BU123" i="5"/>
  <c r="BU124" i="5"/>
  <c r="BU125" i="5"/>
  <c r="BU126" i="5"/>
  <c r="BU127" i="5"/>
  <c r="BU128" i="5"/>
  <c r="BU129" i="5"/>
  <c r="BU130" i="5"/>
  <c r="BU131" i="5"/>
  <c r="BU132" i="5"/>
  <c r="BU133" i="5"/>
  <c r="BU134" i="5"/>
  <c r="BU135" i="5"/>
  <c r="BU136" i="5"/>
  <c r="BU137" i="5"/>
  <c r="BU138" i="5"/>
  <c r="BU139" i="5"/>
  <c r="BU140" i="5"/>
  <c r="BU141" i="5"/>
  <c r="BU142" i="5"/>
  <c r="BU143" i="5"/>
  <c r="BU144" i="5"/>
  <c r="BU145" i="5"/>
  <c r="BU146" i="5"/>
  <c r="BU147" i="5"/>
  <c r="BU148" i="5"/>
  <c r="BU149" i="5"/>
  <c r="BU150" i="5"/>
  <c r="BU151" i="5"/>
  <c r="BT5" i="5"/>
  <c r="BT6" i="5"/>
  <c r="BT7" i="5"/>
  <c r="BT8" i="5"/>
  <c r="BT9" i="5"/>
  <c r="BT10" i="5"/>
  <c r="BT11" i="5"/>
  <c r="BT12" i="5"/>
  <c r="BT13" i="5"/>
  <c r="BT14" i="5"/>
  <c r="BT15" i="5"/>
  <c r="BT16" i="5"/>
  <c r="BT17" i="5"/>
  <c r="BT18" i="5"/>
  <c r="BT19" i="5"/>
  <c r="BT20" i="5"/>
  <c r="BT21" i="5"/>
  <c r="BT22" i="5"/>
  <c r="BT23" i="5"/>
  <c r="BT24" i="5"/>
  <c r="BT25" i="5"/>
  <c r="BT26" i="5"/>
  <c r="BT27" i="5"/>
  <c r="BT28" i="5"/>
  <c r="BT29" i="5"/>
  <c r="BT30" i="5"/>
  <c r="BT31" i="5"/>
  <c r="BT32" i="5"/>
  <c r="BT33" i="5"/>
  <c r="BT34" i="5"/>
  <c r="BT35" i="5"/>
  <c r="BT36" i="5"/>
  <c r="BT37" i="5"/>
  <c r="BT38" i="5"/>
  <c r="BT39" i="5"/>
  <c r="BT40" i="5"/>
  <c r="BT41" i="5"/>
  <c r="BT42" i="5"/>
  <c r="BT43" i="5"/>
  <c r="BT44" i="5"/>
  <c r="BT45" i="5"/>
  <c r="BT46" i="5"/>
  <c r="BT47" i="5"/>
  <c r="BT48" i="5"/>
  <c r="BT49" i="5"/>
  <c r="BT50" i="5"/>
  <c r="BT51" i="5"/>
  <c r="BT52" i="5"/>
  <c r="BT53" i="5"/>
  <c r="BT54" i="5"/>
  <c r="BT55" i="5"/>
  <c r="BT56" i="5"/>
  <c r="BT57" i="5"/>
  <c r="BT58" i="5"/>
  <c r="BT59" i="5"/>
  <c r="BT60" i="5"/>
  <c r="BT61" i="5"/>
  <c r="BT62" i="5"/>
  <c r="BT63" i="5"/>
  <c r="BT64" i="5"/>
  <c r="BT65" i="5"/>
  <c r="BT66" i="5"/>
  <c r="BT67" i="5"/>
  <c r="BT68" i="5"/>
  <c r="BT69" i="5"/>
  <c r="BT70" i="5"/>
  <c r="BT71" i="5"/>
  <c r="BT72" i="5"/>
  <c r="BT73" i="5"/>
  <c r="BT74" i="5"/>
  <c r="BT75" i="5"/>
  <c r="BT76" i="5"/>
  <c r="BT77" i="5"/>
  <c r="BT78" i="5"/>
  <c r="BT79" i="5"/>
  <c r="BT80" i="5"/>
  <c r="BT81" i="5"/>
  <c r="BT82" i="5"/>
  <c r="BT83" i="5"/>
  <c r="BT84" i="5"/>
  <c r="BT85" i="5"/>
  <c r="BT86" i="5"/>
  <c r="BT87" i="5"/>
  <c r="BT88" i="5"/>
  <c r="BT89" i="5"/>
  <c r="BT90" i="5"/>
  <c r="BT91" i="5"/>
  <c r="BT92" i="5"/>
  <c r="BT93" i="5"/>
  <c r="BT94" i="5"/>
  <c r="BT95" i="5"/>
  <c r="BT96" i="5"/>
  <c r="BT97" i="5"/>
  <c r="BT98" i="5"/>
  <c r="BT99" i="5"/>
  <c r="BT100" i="5"/>
  <c r="BT101" i="5"/>
  <c r="BT102" i="5"/>
  <c r="BT103" i="5"/>
  <c r="BT104" i="5"/>
  <c r="BT105" i="5"/>
  <c r="BT106" i="5"/>
  <c r="BT107" i="5"/>
  <c r="BT108" i="5"/>
  <c r="BT109" i="5"/>
  <c r="BT110" i="5"/>
  <c r="BT111" i="5"/>
  <c r="BT112" i="5"/>
  <c r="BT113" i="5"/>
  <c r="BT114" i="5"/>
  <c r="BT115" i="5"/>
  <c r="BT116" i="5"/>
  <c r="BT117" i="5"/>
  <c r="BT118" i="5"/>
  <c r="BT119" i="5"/>
  <c r="BT120" i="5"/>
  <c r="BT121" i="5"/>
  <c r="BT122" i="5"/>
  <c r="BT123" i="5"/>
  <c r="BT124" i="5"/>
  <c r="BT125" i="5"/>
  <c r="BT126" i="5"/>
  <c r="BT127" i="5"/>
  <c r="BT128" i="5"/>
  <c r="BT129" i="5"/>
  <c r="BT130" i="5"/>
  <c r="BT131" i="5"/>
  <c r="BT132" i="5"/>
  <c r="BT133" i="5"/>
  <c r="BT134" i="5"/>
  <c r="BT135" i="5"/>
  <c r="BT136" i="5"/>
  <c r="BT137" i="5"/>
  <c r="BT138" i="5"/>
  <c r="BT139" i="5"/>
  <c r="BT140" i="5"/>
  <c r="BT141" i="5"/>
  <c r="BT142" i="5"/>
  <c r="BT143" i="5"/>
  <c r="BT144" i="5"/>
  <c r="BT145" i="5"/>
  <c r="BT146" i="5"/>
  <c r="BT147" i="5"/>
  <c r="BT148" i="5"/>
  <c r="BT149" i="5"/>
  <c r="BT150" i="5"/>
  <c r="BT151" i="5"/>
  <c r="BR5" i="5"/>
  <c r="BR6" i="5"/>
  <c r="BR7" i="5"/>
  <c r="BR8" i="5"/>
  <c r="BR9" i="5"/>
  <c r="BR10" i="5"/>
  <c r="BR11" i="5"/>
  <c r="BR12" i="5"/>
  <c r="BR13" i="5"/>
  <c r="BR14" i="5"/>
  <c r="BR15" i="5"/>
  <c r="BR16" i="5"/>
  <c r="BR17" i="5"/>
  <c r="BR18" i="5"/>
  <c r="BR19" i="5"/>
  <c r="BR20" i="5"/>
  <c r="BR21" i="5"/>
  <c r="BR22" i="5"/>
  <c r="BR23" i="5"/>
  <c r="BR24" i="5"/>
  <c r="BR25" i="5"/>
  <c r="BR26" i="5"/>
  <c r="BR27" i="5"/>
  <c r="BR28" i="5"/>
  <c r="BR29" i="5"/>
  <c r="BR30" i="5"/>
  <c r="BR31" i="5"/>
  <c r="BR32" i="5"/>
  <c r="BR33" i="5"/>
  <c r="BR34" i="5"/>
  <c r="BR35" i="5"/>
  <c r="BR36" i="5"/>
  <c r="BR37" i="5"/>
  <c r="BR38" i="5"/>
  <c r="BR39" i="5"/>
  <c r="BR40" i="5"/>
  <c r="BR41" i="5"/>
  <c r="BR42" i="5"/>
  <c r="BR43" i="5"/>
  <c r="BR44" i="5"/>
  <c r="BR45" i="5"/>
  <c r="BR46" i="5"/>
  <c r="BR47" i="5"/>
  <c r="BR48" i="5"/>
  <c r="BR49" i="5"/>
  <c r="BR50" i="5"/>
  <c r="BR51" i="5"/>
  <c r="BR52" i="5"/>
  <c r="BR53" i="5"/>
  <c r="BR54" i="5"/>
  <c r="BR55" i="5"/>
  <c r="BR56" i="5"/>
  <c r="BR57" i="5"/>
  <c r="BR58" i="5"/>
  <c r="BR59" i="5"/>
  <c r="BR60" i="5"/>
  <c r="BR61" i="5"/>
  <c r="BR62" i="5"/>
  <c r="BR63" i="5"/>
  <c r="BR64" i="5"/>
  <c r="BR65" i="5"/>
  <c r="BR66" i="5"/>
  <c r="BR67" i="5"/>
  <c r="BR68" i="5"/>
  <c r="BR69" i="5"/>
  <c r="BR70" i="5"/>
  <c r="BR71" i="5"/>
  <c r="BR72" i="5"/>
  <c r="BR73" i="5"/>
  <c r="BR74" i="5"/>
  <c r="BR75" i="5"/>
  <c r="BR76" i="5"/>
  <c r="BR77" i="5"/>
  <c r="BR78" i="5"/>
  <c r="BR79" i="5"/>
  <c r="BR80" i="5"/>
  <c r="BR81" i="5"/>
  <c r="BR82" i="5"/>
  <c r="BR83" i="5"/>
  <c r="BR84" i="5"/>
  <c r="BR85" i="5"/>
  <c r="BR86" i="5"/>
  <c r="BR87" i="5"/>
  <c r="BR88" i="5"/>
  <c r="BR89" i="5"/>
  <c r="BR90" i="5"/>
  <c r="BR91" i="5"/>
  <c r="BR92" i="5"/>
  <c r="BR93" i="5"/>
  <c r="BR94" i="5"/>
  <c r="BR95" i="5"/>
  <c r="BR96" i="5"/>
  <c r="BR97" i="5"/>
  <c r="BR98" i="5"/>
  <c r="BR99" i="5"/>
  <c r="BR100" i="5"/>
  <c r="BR101" i="5"/>
  <c r="BR102" i="5"/>
  <c r="BR103" i="5"/>
  <c r="BR104" i="5"/>
  <c r="BR105" i="5"/>
  <c r="BR106" i="5"/>
  <c r="BR107" i="5"/>
  <c r="BR108" i="5"/>
  <c r="BR109" i="5"/>
  <c r="BR110" i="5"/>
  <c r="BR111" i="5"/>
  <c r="BR112" i="5"/>
  <c r="BR113" i="5"/>
  <c r="BR114" i="5"/>
  <c r="BR115" i="5"/>
  <c r="BR116" i="5"/>
  <c r="BR117" i="5"/>
  <c r="BR118" i="5"/>
  <c r="BR119" i="5"/>
  <c r="BR120" i="5"/>
  <c r="BR121" i="5"/>
  <c r="BR122" i="5"/>
  <c r="BR123" i="5"/>
  <c r="BR124" i="5"/>
  <c r="BR125" i="5"/>
  <c r="BR126" i="5"/>
  <c r="BR127" i="5"/>
  <c r="BR128" i="5"/>
  <c r="BR129" i="5"/>
  <c r="BR130" i="5"/>
  <c r="BR131" i="5"/>
  <c r="BR132" i="5"/>
  <c r="BR133" i="5"/>
  <c r="BR134" i="5"/>
  <c r="BR135" i="5"/>
  <c r="BR136" i="5"/>
  <c r="BR137" i="5"/>
  <c r="BR138" i="5"/>
  <c r="BR139" i="5"/>
  <c r="BR140" i="5"/>
  <c r="BR141" i="5"/>
  <c r="BR142" i="5"/>
  <c r="BR143" i="5"/>
  <c r="BR144" i="5"/>
  <c r="BR145" i="5"/>
  <c r="BR146" i="5"/>
  <c r="BR147" i="5"/>
  <c r="BR148" i="5"/>
  <c r="BR149" i="5"/>
  <c r="BR150" i="5"/>
  <c r="BR151" i="5"/>
  <c r="BQ5" i="5"/>
  <c r="BQ6" i="5"/>
  <c r="BQ7" i="5"/>
  <c r="BQ8" i="5"/>
  <c r="BQ9" i="5"/>
  <c r="BQ10" i="5"/>
  <c r="BQ11" i="5"/>
  <c r="BQ12" i="5"/>
  <c r="BQ13" i="5"/>
  <c r="BQ14" i="5"/>
  <c r="BQ15" i="5"/>
  <c r="BQ16" i="5"/>
  <c r="BQ17" i="5"/>
  <c r="BQ18" i="5"/>
  <c r="BQ19" i="5"/>
  <c r="BQ20" i="5"/>
  <c r="BQ21" i="5"/>
  <c r="BQ22" i="5"/>
  <c r="BQ23" i="5"/>
  <c r="BQ24" i="5"/>
  <c r="BQ25" i="5"/>
  <c r="BQ26" i="5"/>
  <c r="BQ27" i="5"/>
  <c r="BQ28" i="5"/>
  <c r="BQ29" i="5"/>
  <c r="BQ30" i="5"/>
  <c r="BQ31" i="5"/>
  <c r="BQ32" i="5"/>
  <c r="BQ33" i="5"/>
  <c r="BQ34" i="5"/>
  <c r="BQ35" i="5"/>
  <c r="BQ36" i="5"/>
  <c r="BQ37" i="5"/>
  <c r="BQ38" i="5"/>
  <c r="BQ39" i="5"/>
  <c r="BQ40" i="5"/>
  <c r="BQ41" i="5"/>
  <c r="BQ42" i="5"/>
  <c r="BQ43" i="5"/>
  <c r="BQ44" i="5"/>
  <c r="BQ45" i="5"/>
  <c r="BQ46" i="5"/>
  <c r="BQ47" i="5"/>
  <c r="BQ48" i="5"/>
  <c r="BQ49" i="5"/>
  <c r="BQ50" i="5"/>
  <c r="BQ51" i="5"/>
  <c r="BQ52" i="5"/>
  <c r="BQ53" i="5"/>
  <c r="BQ54" i="5"/>
  <c r="BQ55" i="5"/>
  <c r="BQ56" i="5"/>
  <c r="BQ57" i="5"/>
  <c r="BQ58" i="5"/>
  <c r="BQ59" i="5"/>
  <c r="BQ60" i="5"/>
  <c r="BQ61" i="5"/>
  <c r="BQ62" i="5"/>
  <c r="BQ63" i="5"/>
  <c r="BQ64" i="5"/>
  <c r="BQ65" i="5"/>
  <c r="BQ66" i="5"/>
  <c r="BQ67" i="5"/>
  <c r="BQ68" i="5"/>
  <c r="BQ69" i="5"/>
  <c r="BQ70" i="5"/>
  <c r="BQ71" i="5"/>
  <c r="BQ72" i="5"/>
  <c r="BQ73" i="5"/>
  <c r="BQ74" i="5"/>
  <c r="BQ75" i="5"/>
  <c r="BQ76" i="5"/>
  <c r="BQ77" i="5"/>
  <c r="BQ78" i="5"/>
  <c r="BQ79" i="5"/>
  <c r="BQ80" i="5"/>
  <c r="BQ81" i="5"/>
  <c r="BQ82" i="5"/>
  <c r="BQ83" i="5"/>
  <c r="BQ84" i="5"/>
  <c r="BQ85" i="5"/>
  <c r="BQ86" i="5"/>
  <c r="BQ87" i="5"/>
  <c r="BQ88" i="5"/>
  <c r="BQ89" i="5"/>
  <c r="BQ90" i="5"/>
  <c r="BQ91" i="5"/>
  <c r="BQ92" i="5"/>
  <c r="BQ93" i="5"/>
  <c r="BQ94" i="5"/>
  <c r="BQ95" i="5"/>
  <c r="BQ96" i="5"/>
  <c r="BQ97" i="5"/>
  <c r="BQ98" i="5"/>
  <c r="BQ99" i="5"/>
  <c r="BQ100" i="5"/>
  <c r="BQ101" i="5"/>
  <c r="BQ102" i="5"/>
  <c r="BQ103" i="5"/>
  <c r="BQ104" i="5"/>
  <c r="BQ105" i="5"/>
  <c r="BQ106" i="5"/>
  <c r="BQ107" i="5"/>
  <c r="BQ108" i="5"/>
  <c r="BQ109" i="5"/>
  <c r="BQ110" i="5"/>
  <c r="BQ111" i="5"/>
  <c r="BQ112" i="5"/>
  <c r="BQ113" i="5"/>
  <c r="BQ114" i="5"/>
  <c r="BQ115" i="5"/>
  <c r="BQ116" i="5"/>
  <c r="BQ117" i="5"/>
  <c r="BQ118" i="5"/>
  <c r="BQ119" i="5"/>
  <c r="BQ120" i="5"/>
  <c r="BQ121" i="5"/>
  <c r="BQ122" i="5"/>
  <c r="BQ123" i="5"/>
  <c r="BQ124" i="5"/>
  <c r="BQ125" i="5"/>
  <c r="BQ126" i="5"/>
  <c r="BQ127" i="5"/>
  <c r="BQ128" i="5"/>
  <c r="BQ129" i="5"/>
  <c r="BQ130" i="5"/>
  <c r="BQ131" i="5"/>
  <c r="BQ132" i="5"/>
  <c r="BQ133" i="5"/>
  <c r="BQ134" i="5"/>
  <c r="BQ135" i="5"/>
  <c r="BQ136" i="5"/>
  <c r="BQ137" i="5"/>
  <c r="BQ138" i="5"/>
  <c r="BQ139" i="5"/>
  <c r="BQ140" i="5"/>
  <c r="BQ141" i="5"/>
  <c r="BQ142" i="5"/>
  <c r="BQ143" i="5"/>
  <c r="BQ144" i="5"/>
  <c r="BQ145" i="5"/>
  <c r="BQ146" i="5"/>
  <c r="BQ147" i="5"/>
  <c r="BQ148" i="5"/>
  <c r="BQ149" i="5"/>
  <c r="BQ150" i="5"/>
  <c r="BQ151" i="5"/>
  <c r="N5" i="15"/>
  <c r="N6" i="15"/>
  <c r="N7" i="15"/>
  <c r="N8" i="15"/>
  <c r="N9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22" i="15"/>
  <c r="N23" i="15"/>
  <c r="N24" i="15"/>
  <c r="N4" i="15"/>
  <c r="M4" i="15"/>
  <c r="L4" i="15"/>
  <c r="K4" i="15"/>
  <c r="J4" i="15"/>
  <c r="G5" i="15"/>
  <c r="G6" i="15"/>
  <c r="G7" i="15"/>
  <c r="G8" i="15"/>
  <c r="G9" i="15"/>
  <c r="H9" i="15" s="1"/>
  <c r="G10" i="15"/>
  <c r="J10" i="15" s="1"/>
  <c r="G11" i="15"/>
  <c r="G12" i="15"/>
  <c r="H12" i="15" s="1"/>
  <c r="G13" i="15"/>
  <c r="G14" i="15"/>
  <c r="G15" i="15"/>
  <c r="G16" i="15"/>
  <c r="G17" i="15"/>
  <c r="G18" i="15"/>
  <c r="G19" i="15"/>
  <c r="G20" i="15"/>
  <c r="K20" i="15" s="1"/>
  <c r="G21" i="15"/>
  <c r="G22" i="15"/>
  <c r="G23" i="15"/>
  <c r="G24" i="15"/>
  <c r="G4" i="15"/>
  <c r="I8" i="15"/>
  <c r="J8" i="15"/>
  <c r="L9" i="15"/>
  <c r="H16" i="15"/>
  <c r="K16" i="15"/>
  <c r="M16" i="15"/>
  <c r="I17" i="15"/>
  <c r="K17" i="15"/>
  <c r="M21" i="15"/>
  <c r="I4" i="15"/>
  <c r="J17" i="15"/>
  <c r="H5" i="15"/>
  <c r="H6" i="15"/>
  <c r="H7" i="15"/>
  <c r="K8" i="15"/>
  <c r="I11" i="15"/>
  <c r="I13" i="15"/>
  <c r="J14" i="15"/>
  <c r="M15" i="15"/>
  <c r="I16" i="15"/>
  <c r="J21" i="15"/>
  <c r="M22" i="15"/>
  <c r="D24" i="15"/>
  <c r="M24" i="15" s="1"/>
  <c r="B24" i="15"/>
  <c r="H24" i="15" s="1"/>
  <c r="D23" i="15"/>
  <c r="B23" i="15"/>
  <c r="B22" i="15"/>
  <c r="B21" i="15"/>
  <c r="H21" i="15" s="1"/>
  <c r="B20" i="15"/>
  <c r="D19" i="15"/>
  <c r="B19" i="15"/>
  <c r="D18" i="15"/>
  <c r="M12" i="15" l="1"/>
  <c r="M19" i="15"/>
  <c r="L12" i="15"/>
  <c r="K12" i="15"/>
  <c r="H22" i="15"/>
  <c r="L21" i="15"/>
  <c r="J15" i="15"/>
  <c r="BS11" i="5"/>
  <c r="L7" i="15"/>
  <c r="K21" i="15"/>
  <c r="L16" i="15"/>
  <c r="I15" i="15"/>
  <c r="J12" i="15"/>
  <c r="K7" i="15"/>
  <c r="M14" i="15"/>
  <c r="L6" i="15"/>
  <c r="K19" i="15"/>
  <c r="BS114" i="5"/>
  <c r="M17" i="15"/>
  <c r="J16" i="15"/>
  <c r="L13" i="15"/>
  <c r="L8" i="15"/>
  <c r="I6" i="15"/>
  <c r="K15" i="15"/>
  <c r="H15" i="15"/>
  <c r="I21" i="15"/>
  <c r="BS55" i="5"/>
  <c r="H4" i="15"/>
  <c r="L17" i="15"/>
  <c r="L15" i="15"/>
  <c r="K13" i="15"/>
  <c r="H8" i="15"/>
  <c r="BS124" i="5"/>
  <c r="BS132" i="5"/>
  <c r="BS128" i="5"/>
  <c r="M23" i="15"/>
  <c r="L23" i="15"/>
  <c r="I23" i="15"/>
  <c r="J23" i="15"/>
  <c r="K23" i="15"/>
  <c r="J19" i="15"/>
  <c r="J11" i="15"/>
  <c r="J9" i="15"/>
  <c r="M9" i="15"/>
  <c r="I9" i="15"/>
  <c r="I19" i="15"/>
  <c r="K5" i="15"/>
  <c r="H19" i="15"/>
  <c r="M20" i="15"/>
  <c r="H10" i="15"/>
  <c r="L20" i="15"/>
  <c r="I20" i="15"/>
  <c r="H11" i="15"/>
  <c r="M11" i="15"/>
  <c r="K11" i="15"/>
  <c r="K18" i="15"/>
  <c r="L24" i="15"/>
  <c r="I24" i="15"/>
  <c r="M10" i="15"/>
  <c r="I14" i="15"/>
  <c r="K14" i="15"/>
  <c r="L14" i="15"/>
  <c r="K6" i="15"/>
  <c r="J6" i="15"/>
  <c r="M6" i="15"/>
  <c r="K24" i="15"/>
  <c r="H20" i="15"/>
  <c r="BS52" i="5"/>
  <c r="H14" i="15"/>
  <c r="BS12" i="5"/>
  <c r="BS5" i="5"/>
  <c r="BS6" i="5"/>
  <c r="BS7" i="5"/>
  <c r="BS8" i="5"/>
  <c r="BS9" i="5"/>
  <c r="BS10" i="5"/>
  <c r="H23" i="15"/>
  <c r="I10" i="15"/>
  <c r="K10" i="15"/>
  <c r="L10" i="15"/>
  <c r="BS116" i="5"/>
  <c r="BS109" i="5"/>
  <c r="BS117" i="5"/>
  <c r="BS110" i="5"/>
  <c r="BS118" i="5"/>
  <c r="BS115" i="5"/>
  <c r="BS111" i="5"/>
  <c r="BS120" i="5"/>
  <c r="BS113" i="5"/>
  <c r="BS112" i="5"/>
  <c r="I22" i="15"/>
  <c r="K22" i="15"/>
  <c r="L22" i="15"/>
  <c r="J13" i="15"/>
  <c r="H13" i="15"/>
  <c r="J5" i="15"/>
  <c r="L5" i="15"/>
  <c r="M5" i="15"/>
  <c r="I5" i="15"/>
  <c r="J22" i="15"/>
  <c r="J20" i="15"/>
  <c r="J24" i="15"/>
  <c r="BS145" i="5" s="1"/>
  <c r="L19" i="15"/>
  <c r="M13" i="15"/>
  <c r="L11" i="15"/>
  <c r="K9" i="15"/>
  <c r="BS119" i="5"/>
  <c r="H17" i="15"/>
  <c r="I12" i="15"/>
  <c r="M7" i="15"/>
  <c r="I7" i="15"/>
  <c r="J7" i="15"/>
  <c r="M8" i="15"/>
  <c r="CM5" i="5"/>
  <c r="CM6" i="5"/>
  <c r="CM7" i="5"/>
  <c r="CM8" i="5"/>
  <c r="CM9" i="5"/>
  <c r="CM10" i="5"/>
  <c r="CM11" i="5"/>
  <c r="CM12" i="5"/>
  <c r="CM13" i="5"/>
  <c r="CM14" i="5"/>
  <c r="CM15" i="5"/>
  <c r="CM16" i="5"/>
  <c r="CM17" i="5"/>
  <c r="CM18" i="5"/>
  <c r="CM19" i="5"/>
  <c r="CM20" i="5"/>
  <c r="CM21" i="5"/>
  <c r="CM22" i="5"/>
  <c r="CM23" i="5"/>
  <c r="CM24" i="5"/>
  <c r="CM25" i="5"/>
  <c r="CM26" i="5"/>
  <c r="CM27" i="5"/>
  <c r="CM28" i="5"/>
  <c r="CM29" i="5"/>
  <c r="CM30" i="5"/>
  <c r="CM31" i="5"/>
  <c r="CM32" i="5"/>
  <c r="CM33" i="5"/>
  <c r="CM34" i="5"/>
  <c r="CM35" i="5"/>
  <c r="CM36" i="5"/>
  <c r="CM37" i="5"/>
  <c r="CM38" i="5"/>
  <c r="CM39" i="5"/>
  <c r="CM40" i="5"/>
  <c r="CM41" i="5"/>
  <c r="CM42" i="5"/>
  <c r="CM43" i="5"/>
  <c r="CM44" i="5"/>
  <c r="CM45" i="5"/>
  <c r="CM46" i="5"/>
  <c r="CM47" i="5"/>
  <c r="CM48" i="5"/>
  <c r="CM49" i="5"/>
  <c r="CM50" i="5"/>
  <c r="CM51" i="5"/>
  <c r="CM52" i="5"/>
  <c r="CM53" i="5"/>
  <c r="CM54" i="5"/>
  <c r="CM55" i="5"/>
  <c r="CM56" i="5"/>
  <c r="CM57" i="5"/>
  <c r="CM58" i="5"/>
  <c r="CM59" i="5"/>
  <c r="CM60" i="5"/>
  <c r="CM61" i="5"/>
  <c r="CM62" i="5"/>
  <c r="CM63" i="5"/>
  <c r="CM64" i="5"/>
  <c r="CM65" i="5"/>
  <c r="CM66" i="5"/>
  <c r="CM67" i="5"/>
  <c r="CM68" i="5"/>
  <c r="CM69" i="5"/>
  <c r="CM70" i="5"/>
  <c r="CM71" i="5"/>
  <c r="CM72" i="5"/>
  <c r="CM73" i="5"/>
  <c r="CM74" i="5"/>
  <c r="CM75" i="5"/>
  <c r="CM76" i="5"/>
  <c r="CM77" i="5"/>
  <c r="CM78" i="5"/>
  <c r="CM79" i="5"/>
  <c r="CM80" i="5"/>
  <c r="CM81" i="5"/>
  <c r="CM82" i="5"/>
  <c r="CM83" i="5"/>
  <c r="CM84" i="5"/>
  <c r="CM85" i="5"/>
  <c r="CM86" i="5"/>
  <c r="CM87" i="5"/>
  <c r="CM88" i="5"/>
  <c r="CM89" i="5"/>
  <c r="CM90" i="5"/>
  <c r="CM91" i="5"/>
  <c r="CM92" i="5"/>
  <c r="CM93" i="5"/>
  <c r="CM94" i="5"/>
  <c r="CM95" i="5"/>
  <c r="CM96" i="5"/>
  <c r="CM97" i="5"/>
  <c r="CM98" i="5"/>
  <c r="CM99" i="5"/>
  <c r="CM100" i="5"/>
  <c r="CM101" i="5"/>
  <c r="CM102" i="5"/>
  <c r="CM103" i="5"/>
  <c r="CM104" i="5"/>
  <c r="CM105" i="5"/>
  <c r="CM106" i="5"/>
  <c r="CM107" i="5"/>
  <c r="CM108" i="5"/>
  <c r="CM109" i="5"/>
  <c r="CM110" i="5"/>
  <c r="CM111" i="5"/>
  <c r="CM112" i="5"/>
  <c r="CM113" i="5"/>
  <c r="CM114" i="5"/>
  <c r="CM115" i="5"/>
  <c r="CM116" i="5"/>
  <c r="CM117" i="5"/>
  <c r="CM118" i="5"/>
  <c r="CM119" i="5"/>
  <c r="CM120" i="5"/>
  <c r="CM121" i="5"/>
  <c r="CM122" i="5"/>
  <c r="CM123" i="5"/>
  <c r="CM124" i="5"/>
  <c r="CM125" i="5"/>
  <c r="CM126" i="5"/>
  <c r="CM127" i="5"/>
  <c r="CM128" i="5"/>
  <c r="CM129" i="5"/>
  <c r="CM130" i="5"/>
  <c r="CM131" i="5"/>
  <c r="CM132" i="5"/>
  <c r="CM133" i="5"/>
  <c r="CM134" i="5"/>
  <c r="CM135" i="5"/>
  <c r="CM136" i="5"/>
  <c r="CM137" i="5"/>
  <c r="CM138" i="5"/>
  <c r="CM139" i="5"/>
  <c r="CM140" i="5"/>
  <c r="CM141" i="5"/>
  <c r="CM142" i="5"/>
  <c r="CM143" i="5"/>
  <c r="CM144" i="5"/>
  <c r="CM145" i="5"/>
  <c r="CM146" i="5"/>
  <c r="CM147" i="5"/>
  <c r="CM148" i="5"/>
  <c r="CM149" i="5"/>
  <c r="CM150" i="5"/>
  <c r="CM151" i="5"/>
  <c r="CN5" i="5"/>
  <c r="CN6" i="5"/>
  <c r="CN7" i="5"/>
  <c r="CN8" i="5"/>
  <c r="CN9" i="5"/>
  <c r="CN10" i="5"/>
  <c r="CN11" i="5"/>
  <c r="CN12" i="5"/>
  <c r="CN13" i="5"/>
  <c r="CN14" i="5"/>
  <c r="CN15" i="5"/>
  <c r="CN16" i="5"/>
  <c r="CN17" i="5"/>
  <c r="CN18" i="5"/>
  <c r="CN19" i="5"/>
  <c r="CN20" i="5"/>
  <c r="CN21" i="5"/>
  <c r="CN22" i="5"/>
  <c r="CN23" i="5"/>
  <c r="CN24" i="5"/>
  <c r="CN25" i="5"/>
  <c r="CN26" i="5"/>
  <c r="CN27" i="5"/>
  <c r="CN28" i="5"/>
  <c r="CN29" i="5"/>
  <c r="CN30" i="5"/>
  <c r="CN31" i="5"/>
  <c r="CN32" i="5"/>
  <c r="CN33" i="5"/>
  <c r="CN34" i="5"/>
  <c r="CN35" i="5"/>
  <c r="CN36" i="5"/>
  <c r="CN37" i="5"/>
  <c r="CN38" i="5"/>
  <c r="CN39" i="5"/>
  <c r="CN40" i="5"/>
  <c r="CN41" i="5"/>
  <c r="CN42" i="5"/>
  <c r="CN43" i="5"/>
  <c r="CN44" i="5"/>
  <c r="CN45" i="5"/>
  <c r="CN46" i="5"/>
  <c r="CN47" i="5"/>
  <c r="CN48" i="5"/>
  <c r="CN49" i="5"/>
  <c r="CN50" i="5"/>
  <c r="CN51" i="5"/>
  <c r="CN52" i="5"/>
  <c r="CN53" i="5"/>
  <c r="CN54" i="5"/>
  <c r="CN55" i="5"/>
  <c r="CN56" i="5"/>
  <c r="CN57" i="5"/>
  <c r="CN58" i="5"/>
  <c r="CN59" i="5"/>
  <c r="CN60" i="5"/>
  <c r="CN61" i="5"/>
  <c r="CN62" i="5"/>
  <c r="CN63" i="5"/>
  <c r="CN64" i="5"/>
  <c r="CN65" i="5"/>
  <c r="CN66" i="5"/>
  <c r="CN67" i="5"/>
  <c r="CN68" i="5"/>
  <c r="CN69" i="5"/>
  <c r="CN70" i="5"/>
  <c r="CN71" i="5"/>
  <c r="CN72" i="5"/>
  <c r="CN73" i="5"/>
  <c r="CN74" i="5"/>
  <c r="CN75" i="5"/>
  <c r="CN76" i="5"/>
  <c r="CN77" i="5"/>
  <c r="CN78" i="5"/>
  <c r="CN79" i="5"/>
  <c r="CN80" i="5"/>
  <c r="CN81" i="5"/>
  <c r="CN82" i="5"/>
  <c r="CN83" i="5"/>
  <c r="CN84" i="5"/>
  <c r="CN85" i="5"/>
  <c r="CN86" i="5"/>
  <c r="CN87" i="5"/>
  <c r="CN88" i="5"/>
  <c r="CN89" i="5"/>
  <c r="CN90" i="5"/>
  <c r="CN91" i="5"/>
  <c r="CN92" i="5"/>
  <c r="CN93" i="5"/>
  <c r="CN94" i="5"/>
  <c r="CN95" i="5"/>
  <c r="CN96" i="5"/>
  <c r="CN97" i="5"/>
  <c r="CN98" i="5"/>
  <c r="CN99" i="5"/>
  <c r="CN100" i="5"/>
  <c r="CN101" i="5"/>
  <c r="CN102" i="5"/>
  <c r="CN103" i="5"/>
  <c r="CN104" i="5"/>
  <c r="CN105" i="5"/>
  <c r="CN106" i="5"/>
  <c r="CN107" i="5"/>
  <c r="CN108" i="5"/>
  <c r="CN109" i="5"/>
  <c r="CN110" i="5"/>
  <c r="CN111" i="5"/>
  <c r="CN112" i="5"/>
  <c r="CN113" i="5"/>
  <c r="CN114" i="5"/>
  <c r="CN115" i="5"/>
  <c r="CN116" i="5"/>
  <c r="CN117" i="5"/>
  <c r="CN118" i="5"/>
  <c r="CN119" i="5"/>
  <c r="CN120" i="5"/>
  <c r="CN121" i="5"/>
  <c r="CN122" i="5"/>
  <c r="CN123" i="5"/>
  <c r="CN124" i="5"/>
  <c r="CN125" i="5"/>
  <c r="CN126" i="5"/>
  <c r="CN127" i="5"/>
  <c r="CN128" i="5"/>
  <c r="CN129" i="5"/>
  <c r="CN130" i="5"/>
  <c r="CN131" i="5"/>
  <c r="CN132" i="5"/>
  <c r="CN133" i="5"/>
  <c r="CN134" i="5"/>
  <c r="CN135" i="5"/>
  <c r="CN136" i="5"/>
  <c r="CN137" i="5"/>
  <c r="CN138" i="5"/>
  <c r="CN139" i="5"/>
  <c r="CN140" i="5"/>
  <c r="CN141" i="5"/>
  <c r="CN142" i="5"/>
  <c r="CN143" i="5"/>
  <c r="CN144" i="5"/>
  <c r="CN145" i="5"/>
  <c r="CN146" i="5"/>
  <c r="CN147" i="5"/>
  <c r="CN148" i="5"/>
  <c r="CN149" i="5"/>
  <c r="CN150" i="5"/>
  <c r="CN151" i="5"/>
  <c r="CO5" i="5"/>
  <c r="CO6" i="5"/>
  <c r="CO7" i="5"/>
  <c r="CO8" i="5"/>
  <c r="CO9" i="5"/>
  <c r="CO10" i="5"/>
  <c r="CO11" i="5"/>
  <c r="CO12" i="5"/>
  <c r="CO13" i="5"/>
  <c r="CO14" i="5"/>
  <c r="CO15" i="5"/>
  <c r="CO16" i="5"/>
  <c r="CO17" i="5"/>
  <c r="CO18" i="5"/>
  <c r="CO19" i="5"/>
  <c r="CO20" i="5"/>
  <c r="CO21" i="5"/>
  <c r="CO22" i="5"/>
  <c r="CO23" i="5"/>
  <c r="CO24" i="5"/>
  <c r="CO25" i="5"/>
  <c r="CO26" i="5"/>
  <c r="CO27" i="5"/>
  <c r="CO28" i="5"/>
  <c r="CO29" i="5"/>
  <c r="CO30" i="5"/>
  <c r="CO31" i="5"/>
  <c r="CO32" i="5"/>
  <c r="CO33" i="5"/>
  <c r="CO34" i="5"/>
  <c r="CO35" i="5"/>
  <c r="CO36" i="5"/>
  <c r="CO37" i="5"/>
  <c r="CO38" i="5"/>
  <c r="CO39" i="5"/>
  <c r="CO40" i="5"/>
  <c r="CO41" i="5"/>
  <c r="CO42" i="5"/>
  <c r="CO43" i="5"/>
  <c r="CO44" i="5"/>
  <c r="CO45" i="5"/>
  <c r="CO46" i="5"/>
  <c r="CO47" i="5"/>
  <c r="CO48" i="5"/>
  <c r="CO49" i="5"/>
  <c r="CO50" i="5"/>
  <c r="CO51" i="5"/>
  <c r="CO52" i="5"/>
  <c r="CO53" i="5"/>
  <c r="CO54" i="5"/>
  <c r="CO55" i="5"/>
  <c r="CO56" i="5"/>
  <c r="CO57" i="5"/>
  <c r="CO58" i="5"/>
  <c r="CO59" i="5"/>
  <c r="CO60" i="5"/>
  <c r="CO61" i="5"/>
  <c r="CO62" i="5"/>
  <c r="CO63" i="5"/>
  <c r="CO64" i="5"/>
  <c r="CO65" i="5"/>
  <c r="CO66" i="5"/>
  <c r="CO67" i="5"/>
  <c r="CO68" i="5"/>
  <c r="CO69" i="5"/>
  <c r="CO70" i="5"/>
  <c r="CO71" i="5"/>
  <c r="CO72" i="5"/>
  <c r="CO73" i="5"/>
  <c r="CO74" i="5"/>
  <c r="CO75" i="5"/>
  <c r="CO76" i="5"/>
  <c r="CO77" i="5"/>
  <c r="CO78" i="5"/>
  <c r="CO79" i="5"/>
  <c r="CO80" i="5"/>
  <c r="CO81" i="5"/>
  <c r="CO82" i="5"/>
  <c r="CO83" i="5"/>
  <c r="CO84" i="5"/>
  <c r="CO85" i="5"/>
  <c r="CO86" i="5"/>
  <c r="CO87" i="5"/>
  <c r="CO88" i="5"/>
  <c r="CO89" i="5"/>
  <c r="CO90" i="5"/>
  <c r="CO91" i="5"/>
  <c r="CO92" i="5"/>
  <c r="CO93" i="5"/>
  <c r="CO94" i="5"/>
  <c r="CO95" i="5"/>
  <c r="CO96" i="5"/>
  <c r="CO97" i="5"/>
  <c r="CO98" i="5"/>
  <c r="CO99" i="5"/>
  <c r="CO100" i="5"/>
  <c r="CO101" i="5"/>
  <c r="CO102" i="5"/>
  <c r="CO103" i="5"/>
  <c r="CO104" i="5"/>
  <c r="CO105" i="5"/>
  <c r="CO106" i="5"/>
  <c r="CO107" i="5"/>
  <c r="CO108" i="5"/>
  <c r="CO109" i="5"/>
  <c r="CO110" i="5"/>
  <c r="CO111" i="5"/>
  <c r="CO112" i="5"/>
  <c r="CO113" i="5"/>
  <c r="CO114" i="5"/>
  <c r="CO115" i="5"/>
  <c r="CO116" i="5"/>
  <c r="CO117" i="5"/>
  <c r="CO118" i="5"/>
  <c r="CO119" i="5"/>
  <c r="CO120" i="5"/>
  <c r="CO121" i="5"/>
  <c r="CO122" i="5"/>
  <c r="CO123" i="5"/>
  <c r="CO124" i="5"/>
  <c r="CO125" i="5"/>
  <c r="CO126" i="5"/>
  <c r="CO127" i="5"/>
  <c r="CO128" i="5"/>
  <c r="CO129" i="5"/>
  <c r="CO130" i="5"/>
  <c r="CO131" i="5"/>
  <c r="CO132" i="5"/>
  <c r="CO133" i="5"/>
  <c r="CO134" i="5"/>
  <c r="CO135" i="5"/>
  <c r="CO136" i="5"/>
  <c r="CO137" i="5"/>
  <c r="CO138" i="5"/>
  <c r="CO139" i="5"/>
  <c r="CO140" i="5"/>
  <c r="CO141" i="5"/>
  <c r="CO142" i="5"/>
  <c r="CO143" i="5"/>
  <c r="CO144" i="5"/>
  <c r="CO145" i="5"/>
  <c r="CO146" i="5"/>
  <c r="CO147" i="5"/>
  <c r="CO148" i="5"/>
  <c r="CO149" i="5"/>
  <c r="CO150" i="5"/>
  <c r="CO151" i="5"/>
  <c r="CP5" i="5"/>
  <c r="CP6" i="5"/>
  <c r="CP7" i="5"/>
  <c r="CP8" i="5"/>
  <c r="CP9" i="5"/>
  <c r="CP10" i="5"/>
  <c r="CP11" i="5"/>
  <c r="CP12" i="5"/>
  <c r="CP13" i="5"/>
  <c r="CP14" i="5"/>
  <c r="CP15" i="5"/>
  <c r="CP16" i="5"/>
  <c r="CP17" i="5"/>
  <c r="CP18" i="5"/>
  <c r="CP19" i="5"/>
  <c r="CP20" i="5"/>
  <c r="CP21" i="5"/>
  <c r="CP22" i="5"/>
  <c r="CP23" i="5"/>
  <c r="CP24" i="5"/>
  <c r="CP25" i="5"/>
  <c r="CP26" i="5"/>
  <c r="CP27" i="5"/>
  <c r="CP28" i="5"/>
  <c r="CP29" i="5"/>
  <c r="CP30" i="5"/>
  <c r="CP31" i="5"/>
  <c r="CP32" i="5"/>
  <c r="CP33" i="5"/>
  <c r="CP34" i="5"/>
  <c r="CP35" i="5"/>
  <c r="CP36" i="5"/>
  <c r="CP37" i="5"/>
  <c r="CP38" i="5"/>
  <c r="CP39" i="5"/>
  <c r="CP40" i="5"/>
  <c r="CP41" i="5"/>
  <c r="CP42" i="5"/>
  <c r="CP43" i="5"/>
  <c r="CP44" i="5"/>
  <c r="CP45" i="5"/>
  <c r="CP46" i="5"/>
  <c r="CP47" i="5"/>
  <c r="CP48" i="5"/>
  <c r="CP49" i="5"/>
  <c r="CP50" i="5"/>
  <c r="CP51" i="5"/>
  <c r="CP52" i="5"/>
  <c r="CP53" i="5"/>
  <c r="CP54" i="5"/>
  <c r="CP55" i="5"/>
  <c r="CP56" i="5"/>
  <c r="CP57" i="5"/>
  <c r="CP58" i="5"/>
  <c r="CP59" i="5"/>
  <c r="CP60" i="5"/>
  <c r="CP61" i="5"/>
  <c r="CP62" i="5"/>
  <c r="CP63" i="5"/>
  <c r="CP64" i="5"/>
  <c r="CP65" i="5"/>
  <c r="CP66" i="5"/>
  <c r="CP67" i="5"/>
  <c r="CP68" i="5"/>
  <c r="CP69" i="5"/>
  <c r="CP70" i="5"/>
  <c r="CP71" i="5"/>
  <c r="CP72" i="5"/>
  <c r="CP73" i="5"/>
  <c r="CP74" i="5"/>
  <c r="CP75" i="5"/>
  <c r="CP76" i="5"/>
  <c r="CP77" i="5"/>
  <c r="CP78" i="5"/>
  <c r="CP79" i="5"/>
  <c r="CP80" i="5"/>
  <c r="CP81" i="5"/>
  <c r="CP82" i="5"/>
  <c r="CP83" i="5"/>
  <c r="CP84" i="5"/>
  <c r="CP85" i="5"/>
  <c r="CP86" i="5"/>
  <c r="CP87" i="5"/>
  <c r="CP88" i="5"/>
  <c r="CP89" i="5"/>
  <c r="CP90" i="5"/>
  <c r="CP91" i="5"/>
  <c r="CP92" i="5"/>
  <c r="CP93" i="5"/>
  <c r="CP94" i="5"/>
  <c r="CP95" i="5"/>
  <c r="CP96" i="5"/>
  <c r="CP97" i="5"/>
  <c r="CP98" i="5"/>
  <c r="CP99" i="5"/>
  <c r="CP100" i="5"/>
  <c r="CP101" i="5"/>
  <c r="CP102" i="5"/>
  <c r="CP103" i="5"/>
  <c r="CP104" i="5"/>
  <c r="CP105" i="5"/>
  <c r="CP106" i="5"/>
  <c r="CP107" i="5"/>
  <c r="CP108" i="5"/>
  <c r="CP109" i="5"/>
  <c r="CP110" i="5"/>
  <c r="CP111" i="5"/>
  <c r="CP112" i="5"/>
  <c r="CP113" i="5"/>
  <c r="CP114" i="5"/>
  <c r="CP115" i="5"/>
  <c r="CP116" i="5"/>
  <c r="CP117" i="5"/>
  <c r="CP118" i="5"/>
  <c r="CP119" i="5"/>
  <c r="CP120" i="5"/>
  <c r="CP121" i="5"/>
  <c r="CP122" i="5"/>
  <c r="CP123" i="5"/>
  <c r="CP124" i="5"/>
  <c r="CP125" i="5"/>
  <c r="CP126" i="5"/>
  <c r="CP127" i="5"/>
  <c r="CP128" i="5"/>
  <c r="CP129" i="5"/>
  <c r="CP130" i="5"/>
  <c r="CP131" i="5"/>
  <c r="CP132" i="5"/>
  <c r="CP133" i="5"/>
  <c r="CP134" i="5"/>
  <c r="CP135" i="5"/>
  <c r="CP136" i="5"/>
  <c r="CP137" i="5"/>
  <c r="CP138" i="5"/>
  <c r="CP139" i="5"/>
  <c r="CP140" i="5"/>
  <c r="CP141" i="5"/>
  <c r="CP142" i="5"/>
  <c r="CP143" i="5"/>
  <c r="CP144" i="5"/>
  <c r="CP145" i="5"/>
  <c r="CP146" i="5"/>
  <c r="CP147" i="5"/>
  <c r="CP148" i="5"/>
  <c r="CP149" i="5"/>
  <c r="CP150" i="5"/>
  <c r="CP151" i="5"/>
  <c r="CQ5" i="5"/>
  <c r="CQ6" i="5"/>
  <c r="CQ7" i="5"/>
  <c r="CQ8" i="5"/>
  <c r="CQ9" i="5"/>
  <c r="CQ10" i="5"/>
  <c r="CQ11" i="5"/>
  <c r="CQ12" i="5"/>
  <c r="CQ13" i="5"/>
  <c r="CQ14" i="5"/>
  <c r="CQ15" i="5"/>
  <c r="CQ16" i="5"/>
  <c r="CQ17" i="5"/>
  <c r="CQ18" i="5"/>
  <c r="CQ19" i="5"/>
  <c r="CQ20" i="5"/>
  <c r="CQ21" i="5"/>
  <c r="CQ22" i="5"/>
  <c r="CQ23" i="5"/>
  <c r="CQ24" i="5"/>
  <c r="CQ25" i="5"/>
  <c r="CQ26" i="5"/>
  <c r="CQ27" i="5"/>
  <c r="CQ28" i="5"/>
  <c r="CQ29" i="5"/>
  <c r="CQ30" i="5"/>
  <c r="CQ31" i="5"/>
  <c r="CQ32" i="5"/>
  <c r="CQ33" i="5"/>
  <c r="CQ34" i="5"/>
  <c r="CQ35" i="5"/>
  <c r="CQ36" i="5"/>
  <c r="CQ37" i="5"/>
  <c r="CQ38" i="5"/>
  <c r="CQ39" i="5"/>
  <c r="CQ40" i="5"/>
  <c r="CQ41" i="5"/>
  <c r="CQ42" i="5"/>
  <c r="CQ43" i="5"/>
  <c r="CQ44" i="5"/>
  <c r="CQ45" i="5"/>
  <c r="CQ46" i="5"/>
  <c r="CQ47" i="5"/>
  <c r="CQ48" i="5"/>
  <c r="CQ49" i="5"/>
  <c r="CQ50" i="5"/>
  <c r="CQ51" i="5"/>
  <c r="CQ52" i="5"/>
  <c r="CQ53" i="5"/>
  <c r="CQ54" i="5"/>
  <c r="CQ55" i="5"/>
  <c r="CQ56" i="5"/>
  <c r="CQ57" i="5"/>
  <c r="CQ58" i="5"/>
  <c r="CQ59" i="5"/>
  <c r="CQ60" i="5"/>
  <c r="CQ61" i="5"/>
  <c r="CQ62" i="5"/>
  <c r="CQ63" i="5"/>
  <c r="CQ64" i="5"/>
  <c r="CQ65" i="5"/>
  <c r="CQ66" i="5"/>
  <c r="CQ67" i="5"/>
  <c r="CQ68" i="5"/>
  <c r="CQ69" i="5"/>
  <c r="CQ70" i="5"/>
  <c r="CQ71" i="5"/>
  <c r="CQ72" i="5"/>
  <c r="CQ73" i="5"/>
  <c r="CQ74" i="5"/>
  <c r="CQ75" i="5"/>
  <c r="CQ76" i="5"/>
  <c r="CQ77" i="5"/>
  <c r="CQ78" i="5"/>
  <c r="CQ79" i="5"/>
  <c r="CQ80" i="5"/>
  <c r="CQ81" i="5"/>
  <c r="CQ82" i="5"/>
  <c r="CQ83" i="5"/>
  <c r="CQ84" i="5"/>
  <c r="CQ85" i="5"/>
  <c r="CQ86" i="5"/>
  <c r="CQ87" i="5"/>
  <c r="CQ88" i="5"/>
  <c r="CQ89" i="5"/>
  <c r="CQ90" i="5"/>
  <c r="CQ91" i="5"/>
  <c r="CQ92" i="5"/>
  <c r="CQ93" i="5"/>
  <c r="CQ94" i="5"/>
  <c r="CQ95" i="5"/>
  <c r="CQ96" i="5"/>
  <c r="CQ97" i="5"/>
  <c r="CQ98" i="5"/>
  <c r="CQ99" i="5"/>
  <c r="CQ100" i="5"/>
  <c r="CQ101" i="5"/>
  <c r="CQ102" i="5"/>
  <c r="CQ103" i="5"/>
  <c r="CQ104" i="5"/>
  <c r="CQ105" i="5"/>
  <c r="CQ106" i="5"/>
  <c r="CQ107" i="5"/>
  <c r="CQ108" i="5"/>
  <c r="CQ109" i="5"/>
  <c r="CQ110" i="5"/>
  <c r="CQ111" i="5"/>
  <c r="CQ112" i="5"/>
  <c r="CQ113" i="5"/>
  <c r="CQ114" i="5"/>
  <c r="CQ115" i="5"/>
  <c r="CQ116" i="5"/>
  <c r="CQ117" i="5"/>
  <c r="CQ118" i="5"/>
  <c r="CQ119" i="5"/>
  <c r="CQ120" i="5"/>
  <c r="CQ121" i="5"/>
  <c r="CQ122" i="5"/>
  <c r="CQ123" i="5"/>
  <c r="CQ124" i="5"/>
  <c r="CQ125" i="5"/>
  <c r="CQ126" i="5"/>
  <c r="CQ127" i="5"/>
  <c r="CQ128" i="5"/>
  <c r="CQ129" i="5"/>
  <c r="CQ130" i="5"/>
  <c r="CQ131" i="5"/>
  <c r="CQ132" i="5"/>
  <c r="CQ133" i="5"/>
  <c r="CQ134" i="5"/>
  <c r="CQ135" i="5"/>
  <c r="CQ136" i="5"/>
  <c r="CQ137" i="5"/>
  <c r="CQ138" i="5"/>
  <c r="CQ139" i="5"/>
  <c r="CQ140" i="5"/>
  <c r="CQ141" i="5"/>
  <c r="CQ142" i="5"/>
  <c r="CQ143" i="5"/>
  <c r="CQ144" i="5"/>
  <c r="CQ145" i="5"/>
  <c r="CQ146" i="5"/>
  <c r="CQ147" i="5"/>
  <c r="CQ148" i="5"/>
  <c r="CQ149" i="5"/>
  <c r="CQ150" i="5"/>
  <c r="CQ151" i="5"/>
  <c r="BS46" i="5" l="1"/>
  <c r="BS151" i="5"/>
  <c r="BS43" i="5"/>
  <c r="BS38" i="5"/>
  <c r="BS150" i="5"/>
  <c r="BS53" i="5"/>
  <c r="BS127" i="5"/>
  <c r="BS48" i="5"/>
  <c r="BS147" i="5"/>
  <c r="BS149" i="5"/>
  <c r="BS57" i="5"/>
  <c r="BS54" i="5"/>
  <c r="BS131" i="5"/>
  <c r="BS129" i="5"/>
  <c r="BS47" i="5"/>
  <c r="BS37" i="5"/>
  <c r="BS49" i="5"/>
  <c r="BS60" i="5"/>
  <c r="BS123" i="5"/>
  <c r="BS45" i="5"/>
  <c r="BS44" i="5"/>
  <c r="BS146" i="5"/>
  <c r="BS58" i="5"/>
  <c r="BS125" i="5"/>
  <c r="BS130" i="5"/>
  <c r="BS122" i="5"/>
  <c r="BS126" i="5"/>
  <c r="BS42" i="5"/>
  <c r="BS41" i="5"/>
  <c r="BS39" i="5"/>
  <c r="BS59" i="5"/>
  <c r="BS121" i="5"/>
  <c r="BS56" i="5"/>
  <c r="BS40" i="5"/>
  <c r="BS148" i="5"/>
  <c r="BS50" i="5"/>
  <c r="BS51" i="5"/>
  <c r="BS20" i="5"/>
  <c r="BS13" i="5"/>
  <c r="BS21" i="5"/>
  <c r="BS14" i="5"/>
  <c r="BS22" i="5"/>
  <c r="BS15" i="5"/>
  <c r="BS18" i="5"/>
  <c r="BS19" i="5"/>
  <c r="BS17" i="5"/>
  <c r="BS16" i="5"/>
  <c r="BS23" i="5"/>
  <c r="BS24" i="5"/>
  <c r="BS68" i="5"/>
  <c r="BS61" i="5"/>
  <c r="BS69" i="5"/>
  <c r="BS62" i="5"/>
  <c r="BS70" i="5"/>
  <c r="BS65" i="5"/>
  <c r="BS71" i="5"/>
  <c r="BS72" i="5"/>
  <c r="BS66" i="5"/>
  <c r="BS67" i="5"/>
  <c r="BS63" i="5"/>
  <c r="BS64" i="5"/>
  <c r="BS28" i="5"/>
  <c r="BS36" i="5"/>
  <c r="BS29" i="5"/>
  <c r="BS30" i="5"/>
  <c r="BS26" i="5"/>
  <c r="BS32" i="5"/>
  <c r="BS33" i="5"/>
  <c r="BS25" i="5"/>
  <c r="BS31" i="5"/>
  <c r="BS27" i="5"/>
  <c r="BS35" i="5"/>
  <c r="BS34" i="5"/>
  <c r="I18" i="15"/>
  <c r="L18" i="15"/>
  <c r="J18" i="15"/>
  <c r="H18" i="15"/>
  <c r="M18" i="15"/>
  <c r="BS140" i="5"/>
  <c r="BS133" i="5"/>
  <c r="BS141" i="5"/>
  <c r="BS134" i="5"/>
  <c r="BS142" i="5"/>
  <c r="BS143" i="5"/>
  <c r="BS135" i="5"/>
  <c r="BS136" i="5"/>
  <c r="BS139" i="5"/>
  <c r="BS137" i="5"/>
  <c r="BS138" i="5"/>
  <c r="BS144" i="5"/>
  <c r="BS92" i="5"/>
  <c r="BS85" i="5"/>
  <c r="BS93" i="5"/>
  <c r="BS86" i="5"/>
  <c r="BS94" i="5"/>
  <c r="BS90" i="5"/>
  <c r="BS96" i="5"/>
  <c r="BS88" i="5"/>
  <c r="BS89" i="5"/>
  <c r="BS91" i="5"/>
  <c r="BS87" i="5"/>
  <c r="BS95" i="5"/>
  <c r="BS100" i="5"/>
  <c r="BS108" i="5"/>
  <c r="BS101" i="5"/>
  <c r="BS102" i="5"/>
  <c r="BS104" i="5"/>
  <c r="BS107" i="5"/>
  <c r="BS97" i="5"/>
  <c r="BS99" i="5"/>
  <c r="BS106" i="5"/>
  <c r="BS98" i="5"/>
  <c r="BS103" i="5"/>
  <c r="BS105" i="5"/>
  <c r="BN5" i="5"/>
  <c r="BN6" i="5"/>
  <c r="BN7" i="5"/>
  <c r="BN8" i="5"/>
  <c r="BN9" i="5"/>
  <c r="BN10" i="5"/>
  <c r="BN11" i="5"/>
  <c r="BN12" i="5"/>
  <c r="BN13" i="5"/>
  <c r="BN14" i="5"/>
  <c r="BN15" i="5"/>
  <c r="BN16" i="5"/>
  <c r="BN17" i="5"/>
  <c r="BN18" i="5"/>
  <c r="BN19" i="5"/>
  <c r="BN20" i="5"/>
  <c r="BN21" i="5"/>
  <c r="BN22" i="5"/>
  <c r="BN23" i="5"/>
  <c r="BN24" i="5"/>
  <c r="BN25" i="5"/>
  <c r="BN26" i="5"/>
  <c r="BN27" i="5"/>
  <c r="BN28" i="5"/>
  <c r="BN29" i="5"/>
  <c r="BN30" i="5"/>
  <c r="BN31" i="5"/>
  <c r="BN32" i="5"/>
  <c r="BN33" i="5"/>
  <c r="BN34" i="5"/>
  <c r="BN35" i="5"/>
  <c r="BN36" i="5"/>
  <c r="BN37" i="5"/>
  <c r="BN38" i="5"/>
  <c r="BN39" i="5"/>
  <c r="BN40" i="5"/>
  <c r="BN41" i="5"/>
  <c r="BN42" i="5"/>
  <c r="BN43" i="5"/>
  <c r="BN44" i="5"/>
  <c r="BN45" i="5"/>
  <c r="BN46" i="5"/>
  <c r="BN47" i="5"/>
  <c r="BN48" i="5"/>
  <c r="BN49" i="5"/>
  <c r="BN50" i="5"/>
  <c r="BN51" i="5"/>
  <c r="BN52" i="5"/>
  <c r="BN53" i="5"/>
  <c r="BN54" i="5"/>
  <c r="BN55" i="5"/>
  <c r="BN56" i="5"/>
  <c r="BN57" i="5"/>
  <c r="BN58" i="5"/>
  <c r="BN59" i="5"/>
  <c r="BN60" i="5"/>
  <c r="BN61" i="5"/>
  <c r="BN62" i="5"/>
  <c r="BN63" i="5"/>
  <c r="BN64" i="5"/>
  <c r="BN65" i="5"/>
  <c r="BN66" i="5"/>
  <c r="BN67" i="5"/>
  <c r="BN68" i="5"/>
  <c r="BN69" i="5"/>
  <c r="BN70" i="5"/>
  <c r="BN71" i="5"/>
  <c r="BN72" i="5"/>
  <c r="BN73" i="5"/>
  <c r="BN74" i="5"/>
  <c r="BN75" i="5"/>
  <c r="BN76" i="5"/>
  <c r="BN77" i="5"/>
  <c r="BN78" i="5"/>
  <c r="BN79" i="5"/>
  <c r="BN80" i="5"/>
  <c r="BN81" i="5"/>
  <c r="BN82" i="5"/>
  <c r="BN83" i="5"/>
  <c r="BN84" i="5"/>
  <c r="BN85" i="5"/>
  <c r="BN86" i="5"/>
  <c r="BN87" i="5"/>
  <c r="BN88" i="5"/>
  <c r="BN89" i="5"/>
  <c r="BN90" i="5"/>
  <c r="BN91" i="5"/>
  <c r="BN92" i="5"/>
  <c r="BN93" i="5"/>
  <c r="BN94" i="5"/>
  <c r="BN95" i="5"/>
  <c r="BN96" i="5"/>
  <c r="BN97" i="5"/>
  <c r="BN98" i="5"/>
  <c r="BN99" i="5"/>
  <c r="BN100" i="5"/>
  <c r="BN101" i="5"/>
  <c r="BN102" i="5"/>
  <c r="BN103" i="5"/>
  <c r="BN104" i="5"/>
  <c r="BN105" i="5"/>
  <c r="BN106" i="5"/>
  <c r="BN107" i="5"/>
  <c r="BN108" i="5"/>
  <c r="BN109" i="5"/>
  <c r="BN110" i="5"/>
  <c r="BN111" i="5"/>
  <c r="BN112" i="5"/>
  <c r="BN113" i="5"/>
  <c r="BN114" i="5"/>
  <c r="BN115" i="5"/>
  <c r="BN116" i="5"/>
  <c r="BN117" i="5"/>
  <c r="BN118" i="5"/>
  <c r="BN119" i="5"/>
  <c r="BN120" i="5"/>
  <c r="BN121" i="5"/>
  <c r="BN122" i="5"/>
  <c r="BN123" i="5"/>
  <c r="BN124" i="5"/>
  <c r="BN125" i="5"/>
  <c r="BN126" i="5"/>
  <c r="BN127" i="5"/>
  <c r="BN128" i="5"/>
  <c r="BN129" i="5"/>
  <c r="BN130" i="5"/>
  <c r="BN131" i="5"/>
  <c r="BN132" i="5"/>
  <c r="BN133" i="5"/>
  <c r="BN134" i="5"/>
  <c r="BN135" i="5"/>
  <c r="BN136" i="5"/>
  <c r="BN137" i="5"/>
  <c r="BN138" i="5"/>
  <c r="BN139" i="5"/>
  <c r="BN140" i="5"/>
  <c r="BN141" i="5"/>
  <c r="BN142" i="5"/>
  <c r="BN143" i="5"/>
  <c r="BN144" i="5"/>
  <c r="BN145" i="5"/>
  <c r="BN146" i="5"/>
  <c r="BN147" i="5"/>
  <c r="BN148" i="5"/>
  <c r="BN149" i="5"/>
  <c r="BN150" i="5"/>
  <c r="BN151" i="5"/>
  <c r="BM5" i="5"/>
  <c r="BM6" i="5"/>
  <c r="BM7" i="5"/>
  <c r="BM8" i="5"/>
  <c r="BM9" i="5"/>
  <c r="BM10" i="5"/>
  <c r="BM11" i="5"/>
  <c r="BM12" i="5"/>
  <c r="BM13" i="5"/>
  <c r="BM14" i="5"/>
  <c r="BM15" i="5"/>
  <c r="BM16" i="5"/>
  <c r="BM17" i="5"/>
  <c r="BM18" i="5"/>
  <c r="BM19" i="5"/>
  <c r="BM20" i="5"/>
  <c r="BM21" i="5"/>
  <c r="BM22" i="5"/>
  <c r="BM23" i="5"/>
  <c r="BM24" i="5"/>
  <c r="BM25" i="5"/>
  <c r="BM26" i="5"/>
  <c r="BM27" i="5"/>
  <c r="BM28" i="5"/>
  <c r="BM29" i="5"/>
  <c r="BM30" i="5"/>
  <c r="BM31" i="5"/>
  <c r="BM32" i="5"/>
  <c r="BM33" i="5"/>
  <c r="BM34" i="5"/>
  <c r="BM35" i="5"/>
  <c r="BM36" i="5"/>
  <c r="BM37" i="5"/>
  <c r="BM38" i="5"/>
  <c r="BM39" i="5"/>
  <c r="BM40" i="5"/>
  <c r="BM41" i="5"/>
  <c r="BM42" i="5"/>
  <c r="BM43" i="5"/>
  <c r="BM44" i="5"/>
  <c r="BM45" i="5" s="1"/>
  <c r="BM46" i="5"/>
  <c r="BM47" i="5"/>
  <c r="BM48" i="5"/>
  <c r="BM49" i="5"/>
  <c r="BM50" i="5"/>
  <c r="BM51" i="5" s="1"/>
  <c r="BM52" i="5"/>
  <c r="BM53" i="5"/>
  <c r="BM54" i="5"/>
  <c r="BM55" i="5"/>
  <c r="BM56" i="5"/>
  <c r="BM57" i="5" s="1"/>
  <c r="BM58" i="5"/>
  <c r="BM59" i="5" s="1"/>
  <c r="BM60" i="5"/>
  <c r="BM61" i="5"/>
  <c r="BM62" i="5"/>
  <c r="BM63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M77" i="5"/>
  <c r="BM78" i="5"/>
  <c r="BM79" i="5"/>
  <c r="BM80" i="5"/>
  <c r="BM81" i="5"/>
  <c r="BM82" i="5"/>
  <c r="BM83" i="5"/>
  <c r="BM84" i="5"/>
  <c r="BM85" i="5"/>
  <c r="BM86" i="5"/>
  <c r="BM87" i="5"/>
  <c r="BM88" i="5"/>
  <c r="BM89" i="5"/>
  <c r="BM90" i="5"/>
  <c r="BM91" i="5"/>
  <c r="BM92" i="5"/>
  <c r="BM93" i="5"/>
  <c r="BM94" i="5"/>
  <c r="BM95" i="5"/>
  <c r="BM96" i="5"/>
  <c r="BM97" i="5"/>
  <c r="BM98" i="5"/>
  <c r="BM99" i="5"/>
  <c r="BM100" i="5"/>
  <c r="BM101" i="5"/>
  <c r="BM102" i="5"/>
  <c r="BM103" i="5"/>
  <c r="BM104" i="5"/>
  <c r="BM105" i="5"/>
  <c r="BM106" i="5"/>
  <c r="BM107" i="5"/>
  <c r="BM108" i="5"/>
  <c r="BM109" i="5"/>
  <c r="BM110" i="5"/>
  <c r="BM111" i="5"/>
  <c r="BM112" i="5"/>
  <c r="BM113" i="5"/>
  <c r="BM114" i="5"/>
  <c r="BM115" i="5"/>
  <c r="BM116" i="5"/>
  <c r="BM117" i="5"/>
  <c r="BM118" i="5"/>
  <c r="BM119" i="5"/>
  <c r="BM120" i="5"/>
  <c r="BM121" i="5"/>
  <c r="BM122" i="5"/>
  <c r="BM123" i="5"/>
  <c r="BM124" i="5"/>
  <c r="BM125" i="5"/>
  <c r="BM126" i="5"/>
  <c r="BM127" i="5"/>
  <c r="BM128" i="5"/>
  <c r="BM129" i="5"/>
  <c r="BM130" i="5"/>
  <c r="BM131" i="5"/>
  <c r="BM132" i="5"/>
  <c r="BM133" i="5"/>
  <c r="BM134" i="5"/>
  <c r="BM135" i="5"/>
  <c r="BM136" i="5"/>
  <c r="BM137" i="5"/>
  <c r="BM138" i="5"/>
  <c r="BM139" i="5"/>
  <c r="BM140" i="5"/>
  <c r="BM141" i="5"/>
  <c r="BM142" i="5"/>
  <c r="BM143" i="5"/>
  <c r="BM144" i="5"/>
  <c r="BM145" i="5"/>
  <c r="BM146" i="5"/>
  <c r="BM147" i="5"/>
  <c r="BM148" i="5"/>
  <c r="BM149" i="5"/>
  <c r="BM150" i="5"/>
  <c r="BM151" i="5"/>
  <c r="BL5" i="5"/>
  <c r="BL6" i="5"/>
  <c r="BL7" i="5"/>
  <c r="BL8" i="5"/>
  <c r="BL9" i="5"/>
  <c r="BL10" i="5"/>
  <c r="BL11" i="5"/>
  <c r="BL12" i="5"/>
  <c r="BL13" i="5"/>
  <c r="BL14" i="5"/>
  <c r="BL15" i="5"/>
  <c r="BL16" i="5"/>
  <c r="BL17" i="5"/>
  <c r="BL18" i="5"/>
  <c r="BL19" i="5"/>
  <c r="BL20" i="5"/>
  <c r="BL21" i="5"/>
  <c r="BL22" i="5"/>
  <c r="BL23" i="5"/>
  <c r="BL24" i="5"/>
  <c r="BL25" i="5"/>
  <c r="BL26" i="5"/>
  <c r="BL27" i="5"/>
  <c r="BL28" i="5"/>
  <c r="BL29" i="5"/>
  <c r="BL30" i="5"/>
  <c r="BL31" i="5"/>
  <c r="BL32" i="5"/>
  <c r="BL33" i="5"/>
  <c r="BL34" i="5"/>
  <c r="BL35" i="5"/>
  <c r="BL36" i="5"/>
  <c r="BL37" i="5"/>
  <c r="BL38" i="5"/>
  <c r="BL39" i="5"/>
  <c r="BL40" i="5"/>
  <c r="BL41" i="5"/>
  <c r="BL42" i="5"/>
  <c r="BL43" i="5"/>
  <c r="BL44" i="5"/>
  <c r="BL45" i="5"/>
  <c r="BL46" i="5"/>
  <c r="BL47" i="5"/>
  <c r="BL48" i="5"/>
  <c r="BL49" i="5"/>
  <c r="BL50" i="5"/>
  <c r="BL51" i="5"/>
  <c r="BL52" i="5"/>
  <c r="BL53" i="5"/>
  <c r="BL54" i="5"/>
  <c r="BL55" i="5"/>
  <c r="BL56" i="5"/>
  <c r="BL57" i="5"/>
  <c r="BL58" i="5"/>
  <c r="BL59" i="5"/>
  <c r="BL60" i="5"/>
  <c r="BL61" i="5"/>
  <c r="BL62" i="5"/>
  <c r="BL63" i="5"/>
  <c r="BL64" i="5"/>
  <c r="BL65" i="5"/>
  <c r="BL66" i="5"/>
  <c r="BL67" i="5"/>
  <c r="BL68" i="5"/>
  <c r="BL69" i="5"/>
  <c r="BL70" i="5"/>
  <c r="BL71" i="5"/>
  <c r="BL72" i="5"/>
  <c r="BL73" i="5"/>
  <c r="BL74" i="5"/>
  <c r="BL75" i="5"/>
  <c r="BL76" i="5"/>
  <c r="BL77" i="5"/>
  <c r="BL78" i="5"/>
  <c r="BL79" i="5"/>
  <c r="BL80" i="5"/>
  <c r="BL81" i="5"/>
  <c r="BL82" i="5"/>
  <c r="BL83" i="5"/>
  <c r="BL84" i="5"/>
  <c r="BL85" i="5"/>
  <c r="BL86" i="5"/>
  <c r="BL87" i="5"/>
  <c r="BL88" i="5"/>
  <c r="BL89" i="5"/>
  <c r="BL90" i="5"/>
  <c r="BL91" i="5"/>
  <c r="BL92" i="5"/>
  <c r="BL93" i="5"/>
  <c r="BL94" i="5"/>
  <c r="BL95" i="5"/>
  <c r="BL96" i="5"/>
  <c r="BL97" i="5"/>
  <c r="BL98" i="5"/>
  <c r="BL99" i="5"/>
  <c r="BL100" i="5"/>
  <c r="BL101" i="5"/>
  <c r="BL102" i="5"/>
  <c r="BL103" i="5"/>
  <c r="BL104" i="5"/>
  <c r="BL105" i="5"/>
  <c r="BL106" i="5"/>
  <c r="BL107" i="5"/>
  <c r="BL108" i="5"/>
  <c r="BL109" i="5"/>
  <c r="BL110" i="5"/>
  <c r="BL111" i="5"/>
  <c r="BL112" i="5"/>
  <c r="BL113" i="5"/>
  <c r="BL114" i="5"/>
  <c r="BL115" i="5"/>
  <c r="BL116" i="5"/>
  <c r="BL117" i="5"/>
  <c r="BL118" i="5"/>
  <c r="BL119" i="5"/>
  <c r="BL120" i="5"/>
  <c r="BL121" i="5"/>
  <c r="BL122" i="5"/>
  <c r="BL123" i="5"/>
  <c r="BL124" i="5"/>
  <c r="BL125" i="5"/>
  <c r="BL126" i="5"/>
  <c r="BL127" i="5"/>
  <c r="BL128" i="5"/>
  <c r="BL129" i="5"/>
  <c r="BL130" i="5"/>
  <c r="BL131" i="5"/>
  <c r="BL132" i="5"/>
  <c r="BL133" i="5"/>
  <c r="BL134" i="5"/>
  <c r="BL135" i="5"/>
  <c r="BL136" i="5"/>
  <c r="BL137" i="5"/>
  <c r="BL138" i="5"/>
  <c r="BL139" i="5"/>
  <c r="BL140" i="5"/>
  <c r="BL141" i="5"/>
  <c r="BL142" i="5"/>
  <c r="BL143" i="5"/>
  <c r="BL144" i="5"/>
  <c r="BL145" i="5"/>
  <c r="BL146" i="5"/>
  <c r="BL147" i="5"/>
  <c r="BL148" i="5"/>
  <c r="BL149" i="5"/>
  <c r="BL150" i="5"/>
  <c r="BL151" i="5"/>
  <c r="BK5" i="5"/>
  <c r="BK6" i="5"/>
  <c r="BK7" i="5"/>
  <c r="BK8" i="5"/>
  <c r="BK9" i="5"/>
  <c r="BK10" i="5"/>
  <c r="BK11" i="5"/>
  <c r="BK12" i="5"/>
  <c r="BK13" i="5"/>
  <c r="BK14" i="5"/>
  <c r="BK15" i="5"/>
  <c r="BK16" i="5"/>
  <c r="BK17" i="5"/>
  <c r="BK18" i="5"/>
  <c r="BK19" i="5"/>
  <c r="BK20" i="5"/>
  <c r="BK21" i="5"/>
  <c r="BK22" i="5"/>
  <c r="BK23" i="5"/>
  <c r="BK24" i="5"/>
  <c r="BK25" i="5"/>
  <c r="BK26" i="5"/>
  <c r="BK27" i="5"/>
  <c r="BK28" i="5"/>
  <c r="BK29" i="5"/>
  <c r="BK30" i="5"/>
  <c r="BK31" i="5"/>
  <c r="BK32" i="5"/>
  <c r="BK33" i="5"/>
  <c r="BK34" i="5"/>
  <c r="BK35" i="5"/>
  <c r="BK36" i="5"/>
  <c r="BK37" i="5"/>
  <c r="BK38" i="5"/>
  <c r="BK39" i="5"/>
  <c r="BK40" i="5"/>
  <c r="BK41" i="5"/>
  <c r="BK42" i="5"/>
  <c r="BK43" i="5"/>
  <c r="BK44" i="5"/>
  <c r="BK45" i="5"/>
  <c r="BK46" i="5"/>
  <c r="BK47" i="5"/>
  <c r="BK48" i="5"/>
  <c r="BK49" i="5"/>
  <c r="BK50" i="5"/>
  <c r="BK51" i="5"/>
  <c r="BK52" i="5"/>
  <c r="BK53" i="5"/>
  <c r="BK54" i="5"/>
  <c r="BK55" i="5"/>
  <c r="BK56" i="5"/>
  <c r="BK57" i="5"/>
  <c r="BK58" i="5"/>
  <c r="BK59" i="5"/>
  <c r="BK60" i="5"/>
  <c r="BK61" i="5"/>
  <c r="BK62" i="5"/>
  <c r="BK63" i="5"/>
  <c r="BK64" i="5"/>
  <c r="BK65" i="5"/>
  <c r="BK66" i="5"/>
  <c r="BK67" i="5"/>
  <c r="BK68" i="5"/>
  <c r="BK69" i="5"/>
  <c r="BK70" i="5"/>
  <c r="BK71" i="5"/>
  <c r="BK72" i="5"/>
  <c r="BK73" i="5"/>
  <c r="BK74" i="5"/>
  <c r="BK75" i="5"/>
  <c r="BK76" i="5"/>
  <c r="BK77" i="5"/>
  <c r="BK78" i="5"/>
  <c r="BK79" i="5"/>
  <c r="BK80" i="5"/>
  <c r="BK81" i="5"/>
  <c r="BK82" i="5"/>
  <c r="BK83" i="5"/>
  <c r="BK84" i="5"/>
  <c r="BK85" i="5"/>
  <c r="BK86" i="5"/>
  <c r="BK87" i="5"/>
  <c r="BK88" i="5"/>
  <c r="BK89" i="5"/>
  <c r="BK90" i="5"/>
  <c r="BK91" i="5"/>
  <c r="BK92" i="5"/>
  <c r="BK93" i="5"/>
  <c r="BK94" i="5"/>
  <c r="BK95" i="5"/>
  <c r="BK96" i="5"/>
  <c r="BK97" i="5"/>
  <c r="BK98" i="5"/>
  <c r="BK99" i="5"/>
  <c r="BK100" i="5"/>
  <c r="BK101" i="5"/>
  <c r="BK102" i="5"/>
  <c r="BK103" i="5"/>
  <c r="BK104" i="5"/>
  <c r="BK105" i="5"/>
  <c r="BK106" i="5"/>
  <c r="BK107" i="5"/>
  <c r="BK108" i="5"/>
  <c r="BK109" i="5"/>
  <c r="BK110" i="5"/>
  <c r="BK111" i="5"/>
  <c r="BK112" i="5"/>
  <c r="BK113" i="5"/>
  <c r="BK114" i="5"/>
  <c r="BK115" i="5"/>
  <c r="BK116" i="5"/>
  <c r="BK117" i="5"/>
  <c r="BK118" i="5"/>
  <c r="BK119" i="5"/>
  <c r="BK120" i="5"/>
  <c r="BK121" i="5"/>
  <c r="BK122" i="5"/>
  <c r="BK123" i="5"/>
  <c r="BK124" i="5"/>
  <c r="BK125" i="5"/>
  <c r="BK126" i="5"/>
  <c r="BK127" i="5"/>
  <c r="BK128" i="5"/>
  <c r="BK129" i="5"/>
  <c r="BK130" i="5"/>
  <c r="BK131" i="5"/>
  <c r="BK132" i="5"/>
  <c r="BK133" i="5"/>
  <c r="BK134" i="5"/>
  <c r="BK135" i="5"/>
  <c r="BK136" i="5"/>
  <c r="BK137" i="5"/>
  <c r="BK138" i="5"/>
  <c r="BK139" i="5"/>
  <c r="BK140" i="5"/>
  <c r="BK141" i="5"/>
  <c r="BK142" i="5"/>
  <c r="BK143" i="5"/>
  <c r="BK144" i="5"/>
  <c r="BK145" i="5"/>
  <c r="BK146" i="5"/>
  <c r="BK147" i="5"/>
  <c r="BK148" i="5"/>
  <c r="BK149" i="5"/>
  <c r="BK150" i="5"/>
  <c r="BK151" i="5"/>
  <c r="BJ5" i="5"/>
  <c r="BJ6" i="5"/>
  <c r="BJ7" i="5"/>
  <c r="BJ8" i="5"/>
  <c r="BJ9" i="5"/>
  <c r="BJ10" i="5"/>
  <c r="BJ11" i="5"/>
  <c r="BJ12" i="5"/>
  <c r="BJ13" i="5"/>
  <c r="BJ14" i="5"/>
  <c r="BJ15" i="5"/>
  <c r="BJ16" i="5"/>
  <c r="BJ17" i="5"/>
  <c r="BJ18" i="5"/>
  <c r="BJ19" i="5"/>
  <c r="BJ20" i="5"/>
  <c r="BJ21" i="5"/>
  <c r="BJ22" i="5"/>
  <c r="BJ23" i="5"/>
  <c r="BJ24" i="5"/>
  <c r="BJ25" i="5"/>
  <c r="BJ26" i="5"/>
  <c r="BJ27" i="5"/>
  <c r="BJ28" i="5"/>
  <c r="BJ29" i="5"/>
  <c r="BJ30" i="5"/>
  <c r="BJ31" i="5"/>
  <c r="BJ32" i="5"/>
  <c r="BJ33" i="5"/>
  <c r="BJ34" i="5"/>
  <c r="BJ35" i="5"/>
  <c r="BJ36" i="5"/>
  <c r="BJ37" i="5"/>
  <c r="BJ38" i="5"/>
  <c r="BJ39" i="5"/>
  <c r="BJ40" i="5"/>
  <c r="BJ41" i="5"/>
  <c r="BJ42" i="5"/>
  <c r="BJ43" i="5"/>
  <c r="BJ44" i="5"/>
  <c r="BJ45" i="5"/>
  <c r="BJ46" i="5"/>
  <c r="BJ47" i="5"/>
  <c r="BJ48" i="5"/>
  <c r="BJ49" i="5"/>
  <c r="BJ50" i="5"/>
  <c r="BJ51" i="5"/>
  <c r="BJ52" i="5"/>
  <c r="BJ53" i="5"/>
  <c r="BJ54" i="5"/>
  <c r="BJ55" i="5"/>
  <c r="BJ56" i="5"/>
  <c r="BJ57" i="5"/>
  <c r="BJ58" i="5"/>
  <c r="BJ59" i="5"/>
  <c r="BJ60" i="5"/>
  <c r="BJ61" i="5"/>
  <c r="BJ62" i="5"/>
  <c r="BJ63" i="5"/>
  <c r="BJ64" i="5"/>
  <c r="BJ65" i="5"/>
  <c r="BJ66" i="5"/>
  <c r="BJ67" i="5"/>
  <c r="BJ68" i="5"/>
  <c r="BJ69" i="5"/>
  <c r="BJ70" i="5"/>
  <c r="BJ71" i="5"/>
  <c r="BJ72" i="5"/>
  <c r="BJ73" i="5"/>
  <c r="BJ74" i="5"/>
  <c r="BJ75" i="5"/>
  <c r="BJ76" i="5"/>
  <c r="BJ77" i="5"/>
  <c r="BJ78" i="5"/>
  <c r="BJ79" i="5"/>
  <c r="BJ80" i="5"/>
  <c r="BJ81" i="5"/>
  <c r="BJ82" i="5"/>
  <c r="BJ83" i="5"/>
  <c r="BJ84" i="5"/>
  <c r="BJ85" i="5"/>
  <c r="BJ86" i="5"/>
  <c r="BJ87" i="5"/>
  <c r="BJ88" i="5"/>
  <c r="BJ89" i="5"/>
  <c r="BJ90" i="5"/>
  <c r="BJ91" i="5"/>
  <c r="BJ92" i="5"/>
  <c r="BJ93" i="5"/>
  <c r="BJ94" i="5"/>
  <c r="BJ95" i="5"/>
  <c r="BJ96" i="5"/>
  <c r="BJ97" i="5"/>
  <c r="BJ98" i="5"/>
  <c r="BJ99" i="5"/>
  <c r="BJ100" i="5"/>
  <c r="BJ101" i="5"/>
  <c r="BJ102" i="5"/>
  <c r="BJ103" i="5"/>
  <c r="BJ104" i="5"/>
  <c r="BJ105" i="5"/>
  <c r="BJ106" i="5"/>
  <c r="BJ107" i="5"/>
  <c r="BJ108" i="5"/>
  <c r="BJ109" i="5"/>
  <c r="BJ110" i="5"/>
  <c r="BJ111" i="5"/>
  <c r="BJ112" i="5"/>
  <c r="BJ113" i="5"/>
  <c r="BJ114" i="5"/>
  <c r="BJ115" i="5"/>
  <c r="BJ116" i="5"/>
  <c r="BJ117" i="5"/>
  <c r="BJ118" i="5"/>
  <c r="BJ119" i="5"/>
  <c r="BJ120" i="5"/>
  <c r="BJ121" i="5"/>
  <c r="BJ122" i="5"/>
  <c r="BJ123" i="5"/>
  <c r="BJ124" i="5"/>
  <c r="BJ125" i="5"/>
  <c r="BJ126" i="5"/>
  <c r="BJ127" i="5"/>
  <c r="BJ128" i="5"/>
  <c r="BJ129" i="5"/>
  <c r="BJ130" i="5"/>
  <c r="BJ131" i="5"/>
  <c r="BJ132" i="5"/>
  <c r="BJ133" i="5"/>
  <c r="BJ134" i="5"/>
  <c r="BJ135" i="5"/>
  <c r="BJ136" i="5"/>
  <c r="BJ137" i="5"/>
  <c r="BJ138" i="5"/>
  <c r="BJ139" i="5"/>
  <c r="BJ140" i="5"/>
  <c r="BJ141" i="5"/>
  <c r="BJ142" i="5"/>
  <c r="BJ143" i="5"/>
  <c r="BJ144" i="5"/>
  <c r="BJ145" i="5"/>
  <c r="BJ146" i="5"/>
  <c r="BJ147" i="5"/>
  <c r="BJ148" i="5"/>
  <c r="BJ149" i="5"/>
  <c r="BJ150" i="5"/>
  <c r="BJ151" i="5"/>
  <c r="BI5" i="5"/>
  <c r="BI6" i="5"/>
  <c r="BI7" i="5"/>
  <c r="BI8" i="5"/>
  <c r="BI9" i="5"/>
  <c r="BI10" i="5"/>
  <c r="BI11" i="5"/>
  <c r="BI12" i="5"/>
  <c r="BI13" i="5"/>
  <c r="BI14" i="5"/>
  <c r="BI15" i="5"/>
  <c r="BI16" i="5"/>
  <c r="BI17" i="5"/>
  <c r="BI18" i="5"/>
  <c r="BI19" i="5"/>
  <c r="BI20" i="5"/>
  <c r="BI21" i="5"/>
  <c r="BI22" i="5"/>
  <c r="BI23" i="5"/>
  <c r="BI24" i="5"/>
  <c r="BI25" i="5"/>
  <c r="BI26" i="5"/>
  <c r="BI27" i="5"/>
  <c r="BI28" i="5"/>
  <c r="BI29" i="5"/>
  <c r="BI30" i="5"/>
  <c r="BI31" i="5"/>
  <c r="BI32" i="5"/>
  <c r="BI33" i="5"/>
  <c r="BI34" i="5"/>
  <c r="BI35" i="5"/>
  <c r="BI36" i="5"/>
  <c r="BI37" i="5"/>
  <c r="BI38" i="5"/>
  <c r="BI39" i="5"/>
  <c r="BI40" i="5"/>
  <c r="BI41" i="5"/>
  <c r="BI42" i="5"/>
  <c r="BI43" i="5"/>
  <c r="BI44" i="5"/>
  <c r="BI45" i="5"/>
  <c r="BI46" i="5"/>
  <c r="BI47" i="5"/>
  <c r="BI48" i="5"/>
  <c r="BI49" i="5"/>
  <c r="BI50" i="5"/>
  <c r="BI51" i="5"/>
  <c r="BI52" i="5"/>
  <c r="BI53" i="5"/>
  <c r="BI54" i="5"/>
  <c r="BI55" i="5"/>
  <c r="BI56" i="5"/>
  <c r="BI57" i="5"/>
  <c r="BI58" i="5"/>
  <c r="BI59" i="5"/>
  <c r="BI60" i="5"/>
  <c r="BI61" i="5"/>
  <c r="BI62" i="5"/>
  <c r="BI63" i="5"/>
  <c r="BI64" i="5"/>
  <c r="BI65" i="5"/>
  <c r="BI66" i="5"/>
  <c r="BI67" i="5"/>
  <c r="BI68" i="5"/>
  <c r="BI69" i="5"/>
  <c r="BI70" i="5"/>
  <c r="BI71" i="5"/>
  <c r="BI72" i="5"/>
  <c r="BI73" i="5"/>
  <c r="BI74" i="5"/>
  <c r="BI75" i="5"/>
  <c r="BI76" i="5"/>
  <c r="BI77" i="5"/>
  <c r="BI78" i="5"/>
  <c r="BI79" i="5"/>
  <c r="BI80" i="5"/>
  <c r="BI81" i="5"/>
  <c r="BI82" i="5"/>
  <c r="BI83" i="5"/>
  <c r="BI84" i="5"/>
  <c r="BI85" i="5"/>
  <c r="BI86" i="5"/>
  <c r="BI87" i="5"/>
  <c r="BI88" i="5"/>
  <c r="BI89" i="5"/>
  <c r="BI90" i="5"/>
  <c r="BI91" i="5"/>
  <c r="BI92" i="5"/>
  <c r="BI93" i="5"/>
  <c r="BI94" i="5"/>
  <c r="BI95" i="5"/>
  <c r="BI96" i="5"/>
  <c r="BI97" i="5"/>
  <c r="BI98" i="5"/>
  <c r="BI99" i="5"/>
  <c r="BI100" i="5"/>
  <c r="BI101" i="5"/>
  <c r="BI102" i="5"/>
  <c r="BI103" i="5"/>
  <c r="BI104" i="5"/>
  <c r="BI105" i="5"/>
  <c r="BI106" i="5"/>
  <c r="BI107" i="5"/>
  <c r="BI108" i="5"/>
  <c r="BI109" i="5"/>
  <c r="BI110" i="5"/>
  <c r="BI111" i="5"/>
  <c r="BI112" i="5"/>
  <c r="BI113" i="5"/>
  <c r="BI114" i="5"/>
  <c r="BI115" i="5"/>
  <c r="BI116" i="5"/>
  <c r="BI117" i="5"/>
  <c r="BI118" i="5"/>
  <c r="BI119" i="5"/>
  <c r="BI120" i="5"/>
  <c r="BI121" i="5"/>
  <c r="BI122" i="5"/>
  <c r="BI123" i="5"/>
  <c r="BI124" i="5"/>
  <c r="BI125" i="5"/>
  <c r="BI126" i="5"/>
  <c r="BI127" i="5"/>
  <c r="BI128" i="5"/>
  <c r="BI129" i="5"/>
  <c r="BI130" i="5"/>
  <c r="BI131" i="5"/>
  <c r="BI132" i="5"/>
  <c r="BI133" i="5"/>
  <c r="BI134" i="5"/>
  <c r="BI135" i="5"/>
  <c r="BI136" i="5"/>
  <c r="BI137" i="5"/>
  <c r="BI138" i="5"/>
  <c r="BI139" i="5"/>
  <c r="BI140" i="5"/>
  <c r="BI141" i="5"/>
  <c r="BI142" i="5"/>
  <c r="BI143" i="5"/>
  <c r="BI144" i="5"/>
  <c r="BI145" i="5"/>
  <c r="BI146" i="5"/>
  <c r="BI147" i="5"/>
  <c r="BI148" i="5"/>
  <c r="BI149" i="5"/>
  <c r="BI150" i="5"/>
  <c r="BI151" i="5"/>
  <c r="BD5" i="5"/>
  <c r="BD6" i="5"/>
  <c r="BD7" i="5"/>
  <c r="BD8" i="5"/>
  <c r="BD9" i="5"/>
  <c r="BD10" i="5"/>
  <c r="BD11" i="5"/>
  <c r="BD12" i="5"/>
  <c r="BD13" i="5"/>
  <c r="BD14" i="5"/>
  <c r="BD15" i="5"/>
  <c r="BD16" i="5"/>
  <c r="BD17" i="5"/>
  <c r="BD18" i="5"/>
  <c r="BD19" i="5"/>
  <c r="BD20" i="5"/>
  <c r="BD21" i="5"/>
  <c r="BD22" i="5"/>
  <c r="BD23" i="5"/>
  <c r="BD24" i="5"/>
  <c r="BD25" i="5"/>
  <c r="BD26" i="5"/>
  <c r="BD27" i="5"/>
  <c r="BD28" i="5"/>
  <c r="BD29" i="5"/>
  <c r="BD30" i="5"/>
  <c r="BD31" i="5"/>
  <c r="BD32" i="5"/>
  <c r="BD33" i="5"/>
  <c r="BD34" i="5"/>
  <c r="BD35" i="5"/>
  <c r="BD36" i="5"/>
  <c r="BD37" i="5"/>
  <c r="BD38" i="5"/>
  <c r="BD39" i="5"/>
  <c r="BD40" i="5"/>
  <c r="BD41" i="5"/>
  <c r="BD42" i="5"/>
  <c r="BD43" i="5"/>
  <c r="BD44" i="5"/>
  <c r="BD45" i="5"/>
  <c r="BD46" i="5"/>
  <c r="BD47" i="5"/>
  <c r="BD48" i="5"/>
  <c r="BD49" i="5"/>
  <c r="BD50" i="5"/>
  <c r="BD51" i="5"/>
  <c r="BD52" i="5"/>
  <c r="BD53" i="5"/>
  <c r="BD54" i="5"/>
  <c r="BD55" i="5"/>
  <c r="BD56" i="5"/>
  <c r="BD57" i="5"/>
  <c r="BD58" i="5"/>
  <c r="BD59" i="5"/>
  <c r="BD60" i="5"/>
  <c r="BD61" i="5"/>
  <c r="BD62" i="5"/>
  <c r="BD63" i="5"/>
  <c r="BD64" i="5"/>
  <c r="BD65" i="5"/>
  <c r="BD66" i="5"/>
  <c r="BD67" i="5"/>
  <c r="BD68" i="5"/>
  <c r="BD69" i="5"/>
  <c r="BD70" i="5"/>
  <c r="BD71" i="5"/>
  <c r="BD72" i="5"/>
  <c r="BD73" i="5"/>
  <c r="BD74" i="5"/>
  <c r="BD75" i="5"/>
  <c r="BD76" i="5"/>
  <c r="BD77" i="5"/>
  <c r="BD78" i="5"/>
  <c r="BD79" i="5"/>
  <c r="BD80" i="5"/>
  <c r="BD81" i="5"/>
  <c r="BD82" i="5"/>
  <c r="BD83" i="5"/>
  <c r="BD84" i="5"/>
  <c r="BD85" i="5"/>
  <c r="BD86" i="5"/>
  <c r="BD87" i="5"/>
  <c r="BD88" i="5"/>
  <c r="BD89" i="5"/>
  <c r="BD90" i="5"/>
  <c r="BD91" i="5"/>
  <c r="BD92" i="5"/>
  <c r="BD93" i="5"/>
  <c r="BD94" i="5"/>
  <c r="BD95" i="5"/>
  <c r="BD96" i="5"/>
  <c r="BD97" i="5"/>
  <c r="BD98" i="5"/>
  <c r="BD99" i="5"/>
  <c r="BD100" i="5"/>
  <c r="BD101" i="5"/>
  <c r="BD102" i="5"/>
  <c r="BD103" i="5"/>
  <c r="BD104" i="5"/>
  <c r="BD105" i="5"/>
  <c r="BD106" i="5"/>
  <c r="BD107" i="5"/>
  <c r="BD108" i="5"/>
  <c r="BD109" i="5"/>
  <c r="BD110" i="5"/>
  <c r="BD111" i="5"/>
  <c r="BD112" i="5"/>
  <c r="BD113" i="5"/>
  <c r="BD114" i="5"/>
  <c r="BD115" i="5"/>
  <c r="BD116" i="5"/>
  <c r="BD117" i="5"/>
  <c r="BD118" i="5"/>
  <c r="BD119" i="5"/>
  <c r="BD120" i="5"/>
  <c r="BD121" i="5"/>
  <c r="BD122" i="5"/>
  <c r="BD123" i="5"/>
  <c r="BD124" i="5"/>
  <c r="BD125" i="5"/>
  <c r="BD126" i="5"/>
  <c r="BD127" i="5"/>
  <c r="BD128" i="5"/>
  <c r="BD129" i="5"/>
  <c r="BD130" i="5"/>
  <c r="BD131" i="5"/>
  <c r="BD132" i="5"/>
  <c r="BD133" i="5"/>
  <c r="BD134" i="5"/>
  <c r="BD135" i="5"/>
  <c r="BD136" i="5"/>
  <c r="BD137" i="5"/>
  <c r="BD138" i="5"/>
  <c r="BD139" i="5"/>
  <c r="BD140" i="5"/>
  <c r="BD141" i="5"/>
  <c r="BD142" i="5"/>
  <c r="BD143" i="5"/>
  <c r="BD144" i="5"/>
  <c r="BD145" i="5"/>
  <c r="BD146" i="5"/>
  <c r="BD147" i="5"/>
  <c r="BD148" i="5"/>
  <c r="BD149" i="5"/>
  <c r="BD150" i="5"/>
  <c r="BD151" i="5"/>
  <c r="AY5" i="5"/>
  <c r="AY6" i="5"/>
  <c r="AY7" i="5"/>
  <c r="AY8" i="5"/>
  <c r="AY9" i="5"/>
  <c r="AY10" i="5"/>
  <c r="AY11" i="5"/>
  <c r="AY12" i="5"/>
  <c r="AY13" i="5"/>
  <c r="AY14" i="5"/>
  <c r="AY15" i="5"/>
  <c r="AY16" i="5"/>
  <c r="AY17" i="5"/>
  <c r="AY18" i="5"/>
  <c r="AY19" i="5"/>
  <c r="AY20" i="5"/>
  <c r="AY21" i="5"/>
  <c r="AY22" i="5"/>
  <c r="AY23" i="5"/>
  <c r="AY24" i="5"/>
  <c r="AY25" i="5"/>
  <c r="AY26" i="5"/>
  <c r="AY27" i="5"/>
  <c r="AY28" i="5"/>
  <c r="AY29" i="5"/>
  <c r="AY30" i="5"/>
  <c r="AY31" i="5"/>
  <c r="AY32" i="5"/>
  <c r="AY33" i="5"/>
  <c r="AY34" i="5"/>
  <c r="AY35" i="5"/>
  <c r="AY36" i="5"/>
  <c r="AY37" i="5"/>
  <c r="AY38" i="5"/>
  <c r="AY39" i="5"/>
  <c r="AY40" i="5"/>
  <c r="AY41" i="5"/>
  <c r="AY42" i="5"/>
  <c r="AY43" i="5"/>
  <c r="AY44" i="5"/>
  <c r="AY45" i="5"/>
  <c r="AY46" i="5"/>
  <c r="AY47" i="5"/>
  <c r="AY48" i="5"/>
  <c r="AY49" i="5"/>
  <c r="AY50" i="5"/>
  <c r="AY51" i="5"/>
  <c r="AY52" i="5"/>
  <c r="AY53" i="5"/>
  <c r="AY54" i="5"/>
  <c r="AY55" i="5"/>
  <c r="AY56" i="5"/>
  <c r="AY57" i="5"/>
  <c r="AY58" i="5"/>
  <c r="AY59" i="5"/>
  <c r="AY60" i="5"/>
  <c r="AY61" i="5"/>
  <c r="AY62" i="5"/>
  <c r="AY63" i="5"/>
  <c r="AY64" i="5"/>
  <c r="AY65" i="5"/>
  <c r="AY66" i="5"/>
  <c r="AY67" i="5"/>
  <c r="AY68" i="5"/>
  <c r="AY69" i="5"/>
  <c r="AY70" i="5"/>
  <c r="AY71" i="5"/>
  <c r="AY72" i="5"/>
  <c r="AY73" i="5"/>
  <c r="AY74" i="5"/>
  <c r="AY75" i="5"/>
  <c r="AY76" i="5"/>
  <c r="AY77" i="5"/>
  <c r="AY78" i="5"/>
  <c r="AY79" i="5"/>
  <c r="AY80" i="5"/>
  <c r="AY81" i="5"/>
  <c r="AY82" i="5"/>
  <c r="AY83" i="5"/>
  <c r="AY84" i="5"/>
  <c r="AY85" i="5"/>
  <c r="AY86" i="5"/>
  <c r="AY87" i="5"/>
  <c r="AY88" i="5"/>
  <c r="AY89" i="5"/>
  <c r="AY90" i="5"/>
  <c r="AY91" i="5"/>
  <c r="AY92" i="5"/>
  <c r="AY93" i="5"/>
  <c r="AY94" i="5"/>
  <c r="AY95" i="5"/>
  <c r="AY96" i="5"/>
  <c r="AY97" i="5"/>
  <c r="AY98" i="5"/>
  <c r="AY99" i="5"/>
  <c r="AY100" i="5"/>
  <c r="AY101" i="5"/>
  <c r="AY102" i="5"/>
  <c r="AY103" i="5"/>
  <c r="AY104" i="5"/>
  <c r="AY105" i="5"/>
  <c r="AY106" i="5"/>
  <c r="AY107" i="5"/>
  <c r="AY108" i="5"/>
  <c r="AY109" i="5"/>
  <c r="AY110" i="5"/>
  <c r="AY111" i="5"/>
  <c r="AY112" i="5"/>
  <c r="AY113" i="5"/>
  <c r="AY114" i="5"/>
  <c r="AY115" i="5"/>
  <c r="AY116" i="5"/>
  <c r="AY117" i="5"/>
  <c r="AY118" i="5"/>
  <c r="AY119" i="5"/>
  <c r="AY120" i="5"/>
  <c r="AY121" i="5"/>
  <c r="AY122" i="5"/>
  <c r="AY123" i="5"/>
  <c r="AY124" i="5"/>
  <c r="AY125" i="5"/>
  <c r="AY126" i="5"/>
  <c r="AY127" i="5"/>
  <c r="AY128" i="5"/>
  <c r="AY129" i="5"/>
  <c r="AY130" i="5"/>
  <c r="AY131" i="5"/>
  <c r="AY132" i="5"/>
  <c r="AY133" i="5"/>
  <c r="AY134" i="5"/>
  <c r="AY135" i="5"/>
  <c r="AY136" i="5"/>
  <c r="AY137" i="5"/>
  <c r="AY138" i="5"/>
  <c r="AY139" i="5"/>
  <c r="AY140" i="5"/>
  <c r="AY141" i="5"/>
  <c r="AY142" i="5"/>
  <c r="AY143" i="5"/>
  <c r="AY144" i="5"/>
  <c r="AY145" i="5"/>
  <c r="AY146" i="5"/>
  <c r="AY147" i="5"/>
  <c r="AY148" i="5"/>
  <c r="AY149" i="5"/>
  <c r="AY150" i="5"/>
  <c r="AY151" i="5"/>
  <c r="AT5" i="5"/>
  <c r="AT6" i="5"/>
  <c r="AT7" i="5"/>
  <c r="AT8" i="5"/>
  <c r="AT9" i="5"/>
  <c r="AT10" i="5"/>
  <c r="AT11" i="5"/>
  <c r="AT12" i="5"/>
  <c r="AT13" i="5"/>
  <c r="AT14" i="5"/>
  <c r="AT15" i="5"/>
  <c r="AT16" i="5"/>
  <c r="AT17" i="5"/>
  <c r="AT18" i="5"/>
  <c r="AT19" i="5"/>
  <c r="AT20" i="5"/>
  <c r="AT21" i="5"/>
  <c r="AT22" i="5"/>
  <c r="AT23" i="5"/>
  <c r="AT24" i="5"/>
  <c r="AT25" i="5"/>
  <c r="AT26" i="5"/>
  <c r="AT27" i="5"/>
  <c r="AT28" i="5"/>
  <c r="AT29" i="5"/>
  <c r="AT30" i="5"/>
  <c r="AT31" i="5"/>
  <c r="AT32" i="5"/>
  <c r="AT33" i="5"/>
  <c r="AT34" i="5"/>
  <c r="AT35" i="5"/>
  <c r="AT36" i="5"/>
  <c r="AT37" i="5"/>
  <c r="AT38" i="5"/>
  <c r="AT39" i="5"/>
  <c r="AT40" i="5"/>
  <c r="AT41" i="5"/>
  <c r="AT42" i="5"/>
  <c r="AT43" i="5"/>
  <c r="AT44" i="5"/>
  <c r="AT45" i="5"/>
  <c r="AT46" i="5"/>
  <c r="AT47" i="5"/>
  <c r="AT48" i="5"/>
  <c r="AT49" i="5"/>
  <c r="AT50" i="5"/>
  <c r="AT51" i="5"/>
  <c r="AT52" i="5"/>
  <c r="AT53" i="5"/>
  <c r="AT54" i="5"/>
  <c r="AT55" i="5"/>
  <c r="AT56" i="5"/>
  <c r="AT57" i="5"/>
  <c r="AT58" i="5"/>
  <c r="AT59" i="5"/>
  <c r="AT60" i="5"/>
  <c r="AT61" i="5"/>
  <c r="AT62" i="5"/>
  <c r="AT63" i="5"/>
  <c r="AT64" i="5"/>
  <c r="AT65" i="5"/>
  <c r="AT66" i="5"/>
  <c r="AT67" i="5"/>
  <c r="AT68" i="5"/>
  <c r="AT69" i="5"/>
  <c r="AT70" i="5"/>
  <c r="AT71" i="5"/>
  <c r="AT72" i="5"/>
  <c r="AT73" i="5"/>
  <c r="AT74" i="5"/>
  <c r="AT75" i="5"/>
  <c r="AT76" i="5"/>
  <c r="AT77" i="5"/>
  <c r="AT78" i="5"/>
  <c r="AT79" i="5"/>
  <c r="AT80" i="5"/>
  <c r="AT81" i="5"/>
  <c r="AT82" i="5"/>
  <c r="AT83" i="5"/>
  <c r="AT84" i="5"/>
  <c r="AT85" i="5"/>
  <c r="AT86" i="5"/>
  <c r="AT87" i="5"/>
  <c r="AT88" i="5"/>
  <c r="AT89" i="5"/>
  <c r="AT90" i="5"/>
  <c r="AT91" i="5"/>
  <c r="AT92" i="5"/>
  <c r="AT93" i="5"/>
  <c r="AT94" i="5"/>
  <c r="AT95" i="5"/>
  <c r="AT96" i="5"/>
  <c r="AT97" i="5"/>
  <c r="AT98" i="5"/>
  <c r="AT99" i="5"/>
  <c r="AT100" i="5"/>
  <c r="AT101" i="5"/>
  <c r="AT102" i="5"/>
  <c r="AT103" i="5"/>
  <c r="AT104" i="5"/>
  <c r="AT105" i="5"/>
  <c r="AT106" i="5"/>
  <c r="AT107" i="5"/>
  <c r="AT108" i="5"/>
  <c r="AT109" i="5"/>
  <c r="AT110" i="5"/>
  <c r="AT111" i="5"/>
  <c r="AT112" i="5"/>
  <c r="AT113" i="5"/>
  <c r="AT114" i="5"/>
  <c r="AT115" i="5"/>
  <c r="AT116" i="5"/>
  <c r="AT117" i="5"/>
  <c r="AT118" i="5"/>
  <c r="AT119" i="5"/>
  <c r="AT120" i="5"/>
  <c r="AT121" i="5"/>
  <c r="AT122" i="5"/>
  <c r="AT123" i="5"/>
  <c r="AT124" i="5"/>
  <c r="AT125" i="5"/>
  <c r="AT126" i="5"/>
  <c r="AT127" i="5"/>
  <c r="AT128" i="5"/>
  <c r="AT129" i="5"/>
  <c r="AT130" i="5"/>
  <c r="AT131" i="5"/>
  <c r="AT132" i="5"/>
  <c r="AT133" i="5"/>
  <c r="AT134" i="5"/>
  <c r="AT135" i="5"/>
  <c r="AT136" i="5"/>
  <c r="AT137" i="5"/>
  <c r="AT138" i="5"/>
  <c r="AT139" i="5"/>
  <c r="AT140" i="5"/>
  <c r="AT141" i="5"/>
  <c r="AT142" i="5"/>
  <c r="AT143" i="5"/>
  <c r="AT144" i="5"/>
  <c r="AT145" i="5"/>
  <c r="AT146" i="5"/>
  <c r="AT147" i="5"/>
  <c r="AT148" i="5"/>
  <c r="AT149" i="5"/>
  <c r="AT150" i="5"/>
  <c r="AT151" i="5"/>
  <c r="BO144" i="5" l="1"/>
  <c r="BP144" i="5"/>
  <c r="BO120" i="5"/>
  <c r="BP120" i="5"/>
  <c r="BO96" i="5"/>
  <c r="BP96" i="5"/>
  <c r="BO72" i="5"/>
  <c r="BP72" i="5"/>
  <c r="BO48" i="5"/>
  <c r="BP48" i="5"/>
  <c r="BO32" i="5"/>
  <c r="BP32" i="5"/>
  <c r="BO16" i="5"/>
  <c r="BP16" i="5"/>
  <c r="BO8" i="5"/>
  <c r="BP8" i="5"/>
  <c r="BO151" i="5"/>
  <c r="BP151" i="5"/>
  <c r="BO127" i="5"/>
  <c r="BP127" i="5"/>
  <c r="BO103" i="5"/>
  <c r="BP103" i="5"/>
  <c r="BO79" i="5"/>
  <c r="BP79" i="5"/>
  <c r="BP55" i="5"/>
  <c r="BO55" i="5"/>
  <c r="BP31" i="5"/>
  <c r="BO31" i="5"/>
  <c r="BO150" i="5"/>
  <c r="BP150" i="5"/>
  <c r="BO142" i="5"/>
  <c r="BP142" i="5"/>
  <c r="BP134" i="5"/>
  <c r="BO134" i="5"/>
  <c r="BO126" i="5"/>
  <c r="BP126" i="5"/>
  <c r="BO118" i="5"/>
  <c r="BP118" i="5"/>
  <c r="BP110" i="5"/>
  <c r="BO110" i="5"/>
  <c r="BO102" i="5"/>
  <c r="BP102" i="5"/>
  <c r="BO94" i="5"/>
  <c r="BP94" i="5"/>
  <c r="BP86" i="5"/>
  <c r="BO86" i="5"/>
  <c r="BO78" i="5"/>
  <c r="BP78" i="5"/>
  <c r="BO70" i="5"/>
  <c r="BP70" i="5"/>
  <c r="BP62" i="5"/>
  <c r="BO62" i="5"/>
  <c r="BO54" i="5"/>
  <c r="BP54" i="5"/>
  <c r="BO46" i="5"/>
  <c r="BP46" i="5"/>
  <c r="BP38" i="5"/>
  <c r="BO38" i="5"/>
  <c r="BO30" i="5"/>
  <c r="BP30" i="5"/>
  <c r="BO22" i="5"/>
  <c r="BP22" i="5"/>
  <c r="BP14" i="5"/>
  <c r="BO14" i="5"/>
  <c r="BO6" i="5"/>
  <c r="BP6" i="5"/>
  <c r="BO149" i="5"/>
  <c r="BP149" i="5"/>
  <c r="BO141" i="5"/>
  <c r="BP141" i="5"/>
  <c r="BO133" i="5"/>
  <c r="BP133" i="5"/>
  <c r="BO125" i="5"/>
  <c r="BP125" i="5"/>
  <c r="BO117" i="5"/>
  <c r="BP117" i="5"/>
  <c r="BO109" i="5"/>
  <c r="BP109" i="5"/>
  <c r="BO101" i="5"/>
  <c r="BP101" i="5"/>
  <c r="BO93" i="5"/>
  <c r="BP93" i="5"/>
  <c r="BO85" i="5"/>
  <c r="BP85" i="5"/>
  <c r="BO77" i="5"/>
  <c r="BP77" i="5"/>
  <c r="BO69" i="5"/>
  <c r="BP69" i="5"/>
  <c r="BO61" i="5"/>
  <c r="BP61" i="5"/>
  <c r="BO53" i="5"/>
  <c r="BP53" i="5"/>
  <c r="BO45" i="5"/>
  <c r="BP45" i="5"/>
  <c r="BO37" i="5"/>
  <c r="BP37" i="5"/>
  <c r="BO29" i="5"/>
  <c r="BP29" i="5"/>
  <c r="BO21" i="5"/>
  <c r="BP21" i="5"/>
  <c r="BO13" i="5"/>
  <c r="BP13" i="5"/>
  <c r="BO5" i="5"/>
  <c r="BP5" i="5"/>
  <c r="BO136" i="5"/>
  <c r="BP136" i="5"/>
  <c r="BO112" i="5"/>
  <c r="BP112" i="5"/>
  <c r="BO88" i="5"/>
  <c r="BP88" i="5"/>
  <c r="BO64" i="5"/>
  <c r="BP64" i="5"/>
  <c r="BO40" i="5"/>
  <c r="BP40" i="5"/>
  <c r="BO24" i="5"/>
  <c r="BP24" i="5"/>
  <c r="BO135" i="5"/>
  <c r="BP135" i="5"/>
  <c r="BO111" i="5"/>
  <c r="BP111" i="5"/>
  <c r="BO87" i="5"/>
  <c r="BP87" i="5"/>
  <c r="BO63" i="5"/>
  <c r="BP63" i="5"/>
  <c r="BP39" i="5"/>
  <c r="BO39" i="5"/>
  <c r="BP23" i="5"/>
  <c r="BO23" i="5"/>
  <c r="BP15" i="5"/>
  <c r="BO15" i="5"/>
  <c r="BO7" i="5"/>
  <c r="BP7" i="5"/>
  <c r="BP140" i="5"/>
  <c r="BO140" i="5"/>
  <c r="BP124" i="5"/>
  <c r="BO124" i="5"/>
  <c r="BP108" i="5"/>
  <c r="BO108" i="5"/>
  <c r="BP92" i="5"/>
  <c r="BO92" i="5"/>
  <c r="BP76" i="5"/>
  <c r="BO76" i="5"/>
  <c r="BP60" i="5"/>
  <c r="BO60" i="5"/>
  <c r="BP44" i="5"/>
  <c r="BO44" i="5"/>
  <c r="BP36" i="5"/>
  <c r="BO36" i="5"/>
  <c r="BP28" i="5"/>
  <c r="BO28" i="5"/>
  <c r="BP20" i="5"/>
  <c r="BO20" i="5"/>
  <c r="BP12" i="5"/>
  <c r="BO12" i="5"/>
  <c r="BP139" i="5"/>
  <c r="BO139" i="5"/>
  <c r="BP123" i="5"/>
  <c r="BO123" i="5"/>
  <c r="BP107" i="5"/>
  <c r="BO107" i="5"/>
  <c r="BP91" i="5"/>
  <c r="BO91" i="5"/>
  <c r="BP75" i="5"/>
  <c r="BO75" i="5"/>
  <c r="BP59" i="5"/>
  <c r="BO59" i="5"/>
  <c r="BP43" i="5"/>
  <c r="BO43" i="5"/>
  <c r="BP146" i="5"/>
  <c r="BO146" i="5"/>
  <c r="BP138" i="5"/>
  <c r="BO138" i="5"/>
  <c r="BP130" i="5"/>
  <c r="BO130" i="5"/>
  <c r="BP122" i="5"/>
  <c r="BO122" i="5"/>
  <c r="BP114" i="5"/>
  <c r="BO114" i="5"/>
  <c r="BP106" i="5"/>
  <c r="BO106" i="5"/>
  <c r="BP98" i="5"/>
  <c r="BO98" i="5"/>
  <c r="BP90" i="5"/>
  <c r="BO90" i="5"/>
  <c r="BP82" i="5"/>
  <c r="BO82" i="5"/>
  <c r="BP74" i="5"/>
  <c r="BO74" i="5"/>
  <c r="BP66" i="5"/>
  <c r="BO66" i="5"/>
  <c r="BP58" i="5"/>
  <c r="BO58" i="5"/>
  <c r="BP50" i="5"/>
  <c r="BO50" i="5"/>
  <c r="BP42" i="5"/>
  <c r="BO42" i="5"/>
  <c r="BP34" i="5"/>
  <c r="BO34" i="5"/>
  <c r="BP26" i="5"/>
  <c r="BO26" i="5"/>
  <c r="BP18" i="5"/>
  <c r="BO18" i="5"/>
  <c r="BP10" i="5"/>
  <c r="BO10" i="5"/>
  <c r="BO128" i="5"/>
  <c r="BP128" i="5"/>
  <c r="BO104" i="5"/>
  <c r="BP104" i="5"/>
  <c r="BO80" i="5"/>
  <c r="BP80" i="5"/>
  <c r="BO56" i="5"/>
  <c r="BP56" i="5"/>
  <c r="BO143" i="5"/>
  <c r="BP143" i="5"/>
  <c r="BO119" i="5"/>
  <c r="BP119" i="5"/>
  <c r="BO95" i="5"/>
  <c r="BP95" i="5"/>
  <c r="BO71" i="5"/>
  <c r="BP71" i="5"/>
  <c r="BO47" i="5"/>
  <c r="BP47" i="5"/>
  <c r="BP148" i="5"/>
  <c r="BO148" i="5"/>
  <c r="BP132" i="5"/>
  <c r="BO132" i="5"/>
  <c r="BP116" i="5"/>
  <c r="BO116" i="5"/>
  <c r="BP100" i="5"/>
  <c r="BO100" i="5"/>
  <c r="BP84" i="5"/>
  <c r="BO84" i="5"/>
  <c r="BP68" i="5"/>
  <c r="BO68" i="5"/>
  <c r="BP52" i="5"/>
  <c r="BO52" i="5"/>
  <c r="BP147" i="5"/>
  <c r="BO147" i="5"/>
  <c r="BP131" i="5"/>
  <c r="BO131" i="5"/>
  <c r="BP115" i="5"/>
  <c r="BO115" i="5"/>
  <c r="BP99" i="5"/>
  <c r="BO99" i="5"/>
  <c r="BP83" i="5"/>
  <c r="BO83" i="5"/>
  <c r="BP67" i="5"/>
  <c r="BO67" i="5"/>
  <c r="BP51" i="5"/>
  <c r="BO51" i="5"/>
  <c r="BP35" i="5"/>
  <c r="BO35" i="5"/>
  <c r="BP27" i="5"/>
  <c r="BO27" i="5"/>
  <c r="BP19" i="5"/>
  <c r="BO19" i="5"/>
  <c r="BP11" i="5"/>
  <c r="BO11" i="5"/>
  <c r="BO145" i="5"/>
  <c r="BP145" i="5"/>
  <c r="BO137" i="5"/>
  <c r="BP137" i="5"/>
  <c r="BO129" i="5"/>
  <c r="BP129" i="5"/>
  <c r="BO121" i="5"/>
  <c r="BP121" i="5"/>
  <c r="BO113" i="5"/>
  <c r="BP113" i="5"/>
  <c r="BO105" i="5"/>
  <c r="BP105" i="5"/>
  <c r="BO97" i="5"/>
  <c r="BP97" i="5"/>
  <c r="BO89" i="5"/>
  <c r="BP89" i="5"/>
  <c r="BO81" i="5"/>
  <c r="BP81" i="5"/>
  <c r="BO73" i="5"/>
  <c r="BP73" i="5"/>
  <c r="BO65" i="5"/>
  <c r="BP65" i="5"/>
  <c r="BO57" i="5"/>
  <c r="BP57" i="5"/>
  <c r="BO49" i="5"/>
  <c r="BP49" i="5"/>
  <c r="BO41" i="5"/>
  <c r="BP41" i="5"/>
  <c r="BO33" i="5"/>
  <c r="BP33" i="5"/>
  <c r="BO25" i="5"/>
  <c r="BP25" i="5"/>
  <c r="BO17" i="5"/>
  <c r="BP17" i="5"/>
  <c r="BO9" i="5"/>
  <c r="BP9" i="5"/>
  <c r="BS76" i="5"/>
  <c r="BS84" i="5"/>
  <c r="BS77" i="5"/>
  <c r="BS78" i="5"/>
  <c r="BS79" i="5"/>
  <c r="BS82" i="5"/>
  <c r="BS83" i="5"/>
  <c r="BS80" i="5"/>
  <c r="BS73" i="5"/>
  <c r="BS75" i="5"/>
  <c r="BS81" i="5"/>
  <c r="BS74" i="5"/>
  <c r="AG5" i="5"/>
  <c r="AG6" i="5"/>
  <c r="AG7" i="5"/>
  <c r="AG8" i="5"/>
  <c r="AG9" i="5"/>
  <c r="AG10" i="5"/>
  <c r="AG11" i="5"/>
  <c r="AG12" i="5"/>
  <c r="AG13" i="5"/>
  <c r="AG14" i="5"/>
  <c r="AG15" i="5"/>
  <c r="AG16" i="5"/>
  <c r="AG17" i="5"/>
  <c r="AG18" i="5"/>
  <c r="AG19" i="5"/>
  <c r="AG20" i="5"/>
  <c r="AG21" i="5"/>
  <c r="AG22" i="5"/>
  <c r="AG23" i="5"/>
  <c r="AG24" i="5"/>
  <c r="AG25" i="5"/>
  <c r="AG26" i="5"/>
  <c r="AG27" i="5"/>
  <c r="AG28" i="5"/>
  <c r="AG29" i="5"/>
  <c r="AG30" i="5"/>
  <c r="AG31" i="5"/>
  <c r="AG32" i="5"/>
  <c r="AG33" i="5"/>
  <c r="AG34" i="5"/>
  <c r="AG35" i="5"/>
  <c r="AG36" i="5"/>
  <c r="AG37" i="5"/>
  <c r="AG38" i="5"/>
  <c r="AG39" i="5"/>
  <c r="AG40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6" i="5"/>
  <c r="AG57" i="5"/>
  <c r="AG58" i="5"/>
  <c r="AG59" i="5"/>
  <c r="AG60" i="5"/>
  <c r="AG61" i="5"/>
  <c r="AG62" i="5"/>
  <c r="AG63" i="5"/>
  <c r="AG64" i="5"/>
  <c r="AG65" i="5"/>
  <c r="AG66" i="5"/>
  <c r="AG67" i="5"/>
  <c r="AG68" i="5"/>
  <c r="AG69" i="5"/>
  <c r="AG70" i="5"/>
  <c r="AG71" i="5"/>
  <c r="AG72" i="5"/>
  <c r="AG73" i="5"/>
  <c r="AG74" i="5"/>
  <c r="AG75" i="5"/>
  <c r="AG76" i="5"/>
  <c r="AG77" i="5"/>
  <c r="AG78" i="5"/>
  <c r="AG79" i="5"/>
  <c r="AG80" i="5"/>
  <c r="AG81" i="5"/>
  <c r="AG82" i="5"/>
  <c r="AG83" i="5"/>
  <c r="AG84" i="5"/>
  <c r="AG85" i="5"/>
  <c r="AG86" i="5"/>
  <c r="AG87" i="5"/>
  <c r="AG88" i="5"/>
  <c r="AG89" i="5"/>
  <c r="AG90" i="5"/>
  <c r="AG91" i="5"/>
  <c r="AG92" i="5"/>
  <c r="AG93" i="5"/>
  <c r="AG94" i="5"/>
  <c r="AG95" i="5"/>
  <c r="AG96" i="5"/>
  <c r="AG97" i="5"/>
  <c r="AG98" i="5"/>
  <c r="AG99" i="5"/>
  <c r="AG100" i="5"/>
  <c r="AG101" i="5"/>
  <c r="AG102" i="5"/>
  <c r="AG103" i="5"/>
  <c r="AG104" i="5"/>
  <c r="AG105" i="5"/>
  <c r="AG106" i="5"/>
  <c r="AG107" i="5"/>
  <c r="AG108" i="5"/>
  <c r="AG109" i="5"/>
  <c r="AG110" i="5"/>
  <c r="AG111" i="5"/>
  <c r="AG112" i="5"/>
  <c r="AG113" i="5"/>
  <c r="AG114" i="5"/>
  <c r="AG115" i="5"/>
  <c r="AG116" i="5"/>
  <c r="AG117" i="5"/>
  <c r="AG118" i="5"/>
  <c r="AG119" i="5"/>
  <c r="AG120" i="5"/>
  <c r="AG121" i="5"/>
  <c r="AG122" i="5"/>
  <c r="AG123" i="5"/>
  <c r="AG124" i="5"/>
  <c r="AG125" i="5"/>
  <c r="AG126" i="5"/>
  <c r="AG127" i="5"/>
  <c r="AG128" i="5"/>
  <c r="AG129" i="5"/>
  <c r="AG130" i="5"/>
  <c r="AG131" i="5"/>
  <c r="AG132" i="5"/>
  <c r="AG133" i="5"/>
  <c r="AG134" i="5"/>
  <c r="AG135" i="5"/>
  <c r="AG136" i="5"/>
  <c r="AG137" i="5"/>
  <c r="AG138" i="5"/>
  <c r="AG139" i="5"/>
  <c r="AG140" i="5"/>
  <c r="AG141" i="5"/>
  <c r="AG142" i="5"/>
  <c r="AG143" i="5"/>
  <c r="AG144" i="5"/>
  <c r="AG145" i="5"/>
  <c r="AG146" i="5"/>
  <c r="AG147" i="5"/>
  <c r="AG148" i="5"/>
  <c r="AG149" i="5"/>
  <c r="AG150" i="5"/>
  <c r="AG151" i="5"/>
  <c r="AH5" i="5"/>
  <c r="AH6" i="5"/>
  <c r="AH7" i="5"/>
  <c r="AH8" i="5"/>
  <c r="AH9" i="5"/>
  <c r="AH10" i="5"/>
  <c r="AH11" i="5"/>
  <c r="AH12" i="5"/>
  <c r="AH13" i="5"/>
  <c r="AH14" i="5"/>
  <c r="AH15" i="5"/>
  <c r="AH16" i="5"/>
  <c r="AH17" i="5"/>
  <c r="AH18" i="5"/>
  <c r="AH19" i="5"/>
  <c r="AH20" i="5"/>
  <c r="AH21" i="5"/>
  <c r="AH22" i="5"/>
  <c r="AH23" i="5"/>
  <c r="AH24" i="5"/>
  <c r="AH25" i="5"/>
  <c r="AH26" i="5"/>
  <c r="AH27" i="5"/>
  <c r="AH28" i="5"/>
  <c r="AH29" i="5"/>
  <c r="AH30" i="5"/>
  <c r="AH31" i="5"/>
  <c r="AH32" i="5"/>
  <c r="AH33" i="5"/>
  <c r="AH34" i="5"/>
  <c r="AH35" i="5"/>
  <c r="AH36" i="5"/>
  <c r="AH37" i="5"/>
  <c r="AH38" i="5"/>
  <c r="AH39" i="5"/>
  <c r="AH40" i="5"/>
  <c r="AH41" i="5"/>
  <c r="AH42" i="5"/>
  <c r="AH43" i="5"/>
  <c r="AH44" i="5"/>
  <c r="AH45" i="5"/>
  <c r="AH46" i="5"/>
  <c r="AH47" i="5"/>
  <c r="AH48" i="5"/>
  <c r="AH49" i="5"/>
  <c r="AH50" i="5"/>
  <c r="AH51" i="5"/>
  <c r="AH52" i="5"/>
  <c r="AH53" i="5"/>
  <c r="AH54" i="5"/>
  <c r="AH55" i="5"/>
  <c r="AH56" i="5"/>
  <c r="AH57" i="5"/>
  <c r="AH58" i="5"/>
  <c r="AH59" i="5"/>
  <c r="AH60" i="5"/>
  <c r="AH61" i="5"/>
  <c r="AH62" i="5"/>
  <c r="AH63" i="5"/>
  <c r="AH64" i="5"/>
  <c r="AH65" i="5"/>
  <c r="AH66" i="5"/>
  <c r="AH67" i="5"/>
  <c r="AH68" i="5"/>
  <c r="AH69" i="5"/>
  <c r="AH70" i="5"/>
  <c r="AH71" i="5"/>
  <c r="AH72" i="5"/>
  <c r="AH73" i="5"/>
  <c r="AH74" i="5"/>
  <c r="AH75" i="5"/>
  <c r="AH76" i="5"/>
  <c r="AH77" i="5"/>
  <c r="AH78" i="5"/>
  <c r="AH79" i="5"/>
  <c r="AH80" i="5"/>
  <c r="AH81" i="5"/>
  <c r="AH82" i="5"/>
  <c r="AH83" i="5"/>
  <c r="AH84" i="5"/>
  <c r="AH85" i="5"/>
  <c r="AH86" i="5"/>
  <c r="AH87" i="5"/>
  <c r="AH88" i="5"/>
  <c r="AH89" i="5"/>
  <c r="AH90" i="5"/>
  <c r="AH91" i="5"/>
  <c r="AH92" i="5"/>
  <c r="AH93" i="5"/>
  <c r="AH94" i="5"/>
  <c r="AH95" i="5"/>
  <c r="AH96" i="5"/>
  <c r="AH97" i="5"/>
  <c r="AH98" i="5"/>
  <c r="AH99" i="5"/>
  <c r="AH100" i="5"/>
  <c r="AH101" i="5"/>
  <c r="AH102" i="5"/>
  <c r="AH103" i="5"/>
  <c r="AH104" i="5"/>
  <c r="AH105" i="5"/>
  <c r="AH106" i="5"/>
  <c r="AH107" i="5"/>
  <c r="AH108" i="5"/>
  <c r="AH109" i="5"/>
  <c r="AH110" i="5"/>
  <c r="AH111" i="5"/>
  <c r="AH112" i="5"/>
  <c r="AH113" i="5"/>
  <c r="AH114" i="5"/>
  <c r="AH115" i="5"/>
  <c r="AH116" i="5"/>
  <c r="AH117" i="5"/>
  <c r="AH118" i="5"/>
  <c r="AH119" i="5"/>
  <c r="AH120" i="5"/>
  <c r="AH121" i="5"/>
  <c r="AH122" i="5"/>
  <c r="AH123" i="5"/>
  <c r="AH124" i="5"/>
  <c r="AH125" i="5"/>
  <c r="AH126" i="5"/>
  <c r="AH127" i="5"/>
  <c r="AH128" i="5"/>
  <c r="AH129" i="5"/>
  <c r="AH130" i="5"/>
  <c r="AH131" i="5"/>
  <c r="AH132" i="5"/>
  <c r="AH133" i="5"/>
  <c r="AH134" i="5"/>
  <c r="AH135" i="5"/>
  <c r="AH136" i="5"/>
  <c r="AH137" i="5"/>
  <c r="AH138" i="5"/>
  <c r="AH139" i="5"/>
  <c r="AH140" i="5"/>
  <c r="AH141" i="5"/>
  <c r="AH142" i="5"/>
  <c r="AH143" i="5"/>
  <c r="AH144" i="5"/>
  <c r="AH145" i="5"/>
  <c r="AH146" i="5"/>
  <c r="AH147" i="5"/>
  <c r="AH148" i="5"/>
  <c r="AH149" i="5"/>
  <c r="AH150" i="5"/>
  <c r="AH151" i="5"/>
  <c r="AI151" i="5" s="1"/>
  <c r="AJ5" i="5"/>
  <c r="AJ6" i="5"/>
  <c r="AJ7" i="5"/>
  <c r="AJ8" i="5"/>
  <c r="AJ9" i="5"/>
  <c r="AJ10" i="5"/>
  <c r="AJ11" i="5"/>
  <c r="AJ12" i="5"/>
  <c r="AJ13" i="5"/>
  <c r="AJ14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0" i="5"/>
  <c r="AJ31" i="5"/>
  <c r="AJ32" i="5"/>
  <c r="AJ33" i="5"/>
  <c r="AJ34" i="5"/>
  <c r="AJ35" i="5"/>
  <c r="AJ36" i="5"/>
  <c r="AJ37" i="5"/>
  <c r="AJ38" i="5"/>
  <c r="AJ39" i="5"/>
  <c r="AJ40" i="5"/>
  <c r="AJ41" i="5"/>
  <c r="AJ42" i="5"/>
  <c r="AJ43" i="5"/>
  <c r="AJ44" i="5"/>
  <c r="AJ45" i="5"/>
  <c r="AJ46" i="5"/>
  <c r="AJ47" i="5"/>
  <c r="AJ48" i="5"/>
  <c r="AJ49" i="5"/>
  <c r="AJ50" i="5"/>
  <c r="AJ51" i="5"/>
  <c r="AJ52" i="5"/>
  <c r="AJ53" i="5"/>
  <c r="AJ54" i="5"/>
  <c r="AJ55" i="5"/>
  <c r="AJ56" i="5"/>
  <c r="AJ57" i="5"/>
  <c r="AJ58" i="5"/>
  <c r="AJ59" i="5"/>
  <c r="AJ60" i="5"/>
  <c r="AJ61" i="5"/>
  <c r="AJ62" i="5"/>
  <c r="AJ63" i="5"/>
  <c r="AJ64" i="5"/>
  <c r="AJ65" i="5"/>
  <c r="AJ66" i="5"/>
  <c r="AJ67" i="5"/>
  <c r="AJ68" i="5"/>
  <c r="AJ69" i="5"/>
  <c r="AJ70" i="5"/>
  <c r="AJ71" i="5"/>
  <c r="AJ72" i="5"/>
  <c r="AJ73" i="5"/>
  <c r="AJ74" i="5"/>
  <c r="AJ75" i="5"/>
  <c r="AJ76" i="5"/>
  <c r="AJ77" i="5"/>
  <c r="AJ78" i="5"/>
  <c r="AJ79" i="5"/>
  <c r="AJ80" i="5"/>
  <c r="AJ81" i="5"/>
  <c r="AJ82" i="5"/>
  <c r="AJ83" i="5"/>
  <c r="AJ84" i="5"/>
  <c r="AJ85" i="5"/>
  <c r="AJ86" i="5"/>
  <c r="AJ87" i="5"/>
  <c r="AJ88" i="5"/>
  <c r="AJ89" i="5"/>
  <c r="AJ90" i="5"/>
  <c r="AJ91" i="5"/>
  <c r="AJ92" i="5"/>
  <c r="AJ93" i="5"/>
  <c r="AJ94" i="5"/>
  <c r="AJ95" i="5"/>
  <c r="AJ96" i="5"/>
  <c r="AJ97" i="5"/>
  <c r="AJ98" i="5"/>
  <c r="AJ99" i="5"/>
  <c r="AJ100" i="5"/>
  <c r="AJ101" i="5"/>
  <c r="AJ102" i="5"/>
  <c r="AJ103" i="5"/>
  <c r="AJ104" i="5"/>
  <c r="AJ105" i="5"/>
  <c r="AJ106" i="5"/>
  <c r="AJ107" i="5"/>
  <c r="AJ108" i="5"/>
  <c r="AJ109" i="5"/>
  <c r="AJ110" i="5"/>
  <c r="AJ111" i="5"/>
  <c r="AJ112" i="5"/>
  <c r="AJ113" i="5"/>
  <c r="AJ114" i="5"/>
  <c r="AJ115" i="5"/>
  <c r="AJ116" i="5"/>
  <c r="AJ117" i="5"/>
  <c r="AJ118" i="5"/>
  <c r="AJ119" i="5"/>
  <c r="AJ120" i="5"/>
  <c r="AJ121" i="5"/>
  <c r="AJ122" i="5"/>
  <c r="AJ123" i="5"/>
  <c r="AJ124" i="5"/>
  <c r="AJ125" i="5"/>
  <c r="AJ126" i="5"/>
  <c r="AJ127" i="5"/>
  <c r="AJ128" i="5"/>
  <c r="AJ129" i="5"/>
  <c r="AJ130" i="5"/>
  <c r="AJ131" i="5"/>
  <c r="AJ132" i="5"/>
  <c r="AJ133" i="5"/>
  <c r="AJ134" i="5"/>
  <c r="AJ135" i="5"/>
  <c r="AJ136" i="5"/>
  <c r="AJ137" i="5"/>
  <c r="AJ138" i="5"/>
  <c r="AJ139" i="5"/>
  <c r="AJ140" i="5"/>
  <c r="AJ141" i="5"/>
  <c r="AJ142" i="5"/>
  <c r="AJ143" i="5"/>
  <c r="AJ144" i="5"/>
  <c r="AJ145" i="5"/>
  <c r="AJ146" i="5"/>
  <c r="AJ147" i="5"/>
  <c r="AJ148" i="5"/>
  <c r="AJ149" i="5"/>
  <c r="AJ150" i="5"/>
  <c r="AJ151" i="5"/>
  <c r="AK5" i="5"/>
  <c r="AK6" i="5"/>
  <c r="AK7" i="5"/>
  <c r="AK8" i="5"/>
  <c r="AK9" i="5"/>
  <c r="AK10" i="5"/>
  <c r="AK11" i="5"/>
  <c r="AK12" i="5"/>
  <c r="AK13" i="5"/>
  <c r="AK14" i="5"/>
  <c r="AK15" i="5"/>
  <c r="AK16" i="5"/>
  <c r="AK17" i="5"/>
  <c r="AK18" i="5"/>
  <c r="AK19" i="5"/>
  <c r="AK20" i="5"/>
  <c r="AK21" i="5"/>
  <c r="AK22" i="5"/>
  <c r="AK23" i="5"/>
  <c r="AK24" i="5"/>
  <c r="AK25" i="5"/>
  <c r="AK26" i="5"/>
  <c r="AK27" i="5"/>
  <c r="AK28" i="5"/>
  <c r="AK29" i="5"/>
  <c r="AK30" i="5"/>
  <c r="AK31" i="5"/>
  <c r="AK32" i="5"/>
  <c r="AK33" i="5"/>
  <c r="AK34" i="5"/>
  <c r="AK35" i="5"/>
  <c r="AK36" i="5"/>
  <c r="AK37" i="5"/>
  <c r="AK38" i="5"/>
  <c r="AK39" i="5"/>
  <c r="AK40" i="5"/>
  <c r="AK41" i="5"/>
  <c r="AK42" i="5"/>
  <c r="AK43" i="5"/>
  <c r="AK44" i="5"/>
  <c r="AK45" i="5"/>
  <c r="AK46" i="5"/>
  <c r="AK47" i="5"/>
  <c r="AK48" i="5"/>
  <c r="AK49" i="5"/>
  <c r="AK50" i="5"/>
  <c r="AK51" i="5"/>
  <c r="AK52" i="5"/>
  <c r="AK53" i="5"/>
  <c r="AK54" i="5"/>
  <c r="AK55" i="5"/>
  <c r="AK56" i="5"/>
  <c r="AK57" i="5"/>
  <c r="AK58" i="5"/>
  <c r="AK59" i="5"/>
  <c r="AK60" i="5"/>
  <c r="AK61" i="5"/>
  <c r="AK62" i="5"/>
  <c r="AK63" i="5"/>
  <c r="AK64" i="5"/>
  <c r="AK65" i="5"/>
  <c r="AK66" i="5"/>
  <c r="AK67" i="5"/>
  <c r="AK68" i="5"/>
  <c r="AK69" i="5"/>
  <c r="AK70" i="5"/>
  <c r="AK71" i="5"/>
  <c r="AK72" i="5"/>
  <c r="AK73" i="5"/>
  <c r="AK74" i="5"/>
  <c r="AK75" i="5"/>
  <c r="AK76" i="5"/>
  <c r="AK77" i="5"/>
  <c r="AK78" i="5"/>
  <c r="AK79" i="5"/>
  <c r="AK80" i="5"/>
  <c r="AK81" i="5"/>
  <c r="AK82" i="5"/>
  <c r="AK83" i="5"/>
  <c r="AK84" i="5"/>
  <c r="AK85" i="5"/>
  <c r="AK86" i="5"/>
  <c r="AK87" i="5"/>
  <c r="AK88" i="5"/>
  <c r="AK89" i="5"/>
  <c r="AK90" i="5"/>
  <c r="AK91" i="5"/>
  <c r="AK92" i="5"/>
  <c r="AK93" i="5"/>
  <c r="AK94" i="5"/>
  <c r="AK95" i="5"/>
  <c r="AK96" i="5"/>
  <c r="AK97" i="5"/>
  <c r="AK98" i="5"/>
  <c r="AK99" i="5"/>
  <c r="AK100" i="5"/>
  <c r="AK101" i="5"/>
  <c r="AK102" i="5"/>
  <c r="AK103" i="5"/>
  <c r="AK104" i="5"/>
  <c r="AK105" i="5"/>
  <c r="AK106" i="5"/>
  <c r="AK107" i="5"/>
  <c r="AK108" i="5"/>
  <c r="AK109" i="5"/>
  <c r="AK110" i="5"/>
  <c r="AK111" i="5"/>
  <c r="AK112" i="5"/>
  <c r="AK113" i="5"/>
  <c r="AK114" i="5"/>
  <c r="AK115" i="5"/>
  <c r="AK116" i="5"/>
  <c r="AK117" i="5"/>
  <c r="AK118" i="5"/>
  <c r="AK119" i="5"/>
  <c r="AK120" i="5"/>
  <c r="AK121" i="5"/>
  <c r="AK122" i="5"/>
  <c r="AK123" i="5"/>
  <c r="AK124" i="5"/>
  <c r="AK125" i="5"/>
  <c r="AK126" i="5"/>
  <c r="AK127" i="5"/>
  <c r="AK128" i="5"/>
  <c r="AK129" i="5"/>
  <c r="AK130" i="5"/>
  <c r="AK131" i="5"/>
  <c r="AK132" i="5"/>
  <c r="AK133" i="5"/>
  <c r="AK134" i="5"/>
  <c r="AK135" i="5"/>
  <c r="AK136" i="5"/>
  <c r="AK137" i="5"/>
  <c r="AK138" i="5"/>
  <c r="AK139" i="5"/>
  <c r="AK140" i="5"/>
  <c r="AK141" i="5"/>
  <c r="AK142" i="5"/>
  <c r="AK143" i="5"/>
  <c r="AK144" i="5"/>
  <c r="AK145" i="5"/>
  <c r="AK146" i="5"/>
  <c r="AK147" i="5"/>
  <c r="AK148" i="5"/>
  <c r="AK149" i="5"/>
  <c r="AK150" i="5"/>
  <c r="AK151" i="5"/>
  <c r="AL5" i="5"/>
  <c r="AL6" i="5"/>
  <c r="AL7" i="5"/>
  <c r="AL8" i="5"/>
  <c r="AL9" i="5"/>
  <c r="AL10" i="5"/>
  <c r="AL11" i="5"/>
  <c r="AL12" i="5"/>
  <c r="AL13" i="5"/>
  <c r="AL14" i="5"/>
  <c r="AL15" i="5"/>
  <c r="AL16" i="5"/>
  <c r="AL17" i="5"/>
  <c r="AL18" i="5"/>
  <c r="AL19" i="5"/>
  <c r="AL20" i="5"/>
  <c r="AL21" i="5"/>
  <c r="AL22" i="5"/>
  <c r="AL23" i="5"/>
  <c r="AL24" i="5"/>
  <c r="AL25" i="5"/>
  <c r="AL26" i="5"/>
  <c r="AL27" i="5"/>
  <c r="AL28" i="5"/>
  <c r="AL29" i="5"/>
  <c r="AL30" i="5"/>
  <c r="AL31" i="5"/>
  <c r="AL32" i="5"/>
  <c r="AL33" i="5"/>
  <c r="AL34" i="5"/>
  <c r="AL35" i="5"/>
  <c r="AL36" i="5"/>
  <c r="AL37" i="5"/>
  <c r="AL38" i="5"/>
  <c r="AL39" i="5"/>
  <c r="AL40" i="5"/>
  <c r="AL41" i="5"/>
  <c r="AL42" i="5"/>
  <c r="AL43" i="5"/>
  <c r="AL44" i="5"/>
  <c r="AL45" i="5"/>
  <c r="AL46" i="5"/>
  <c r="AL47" i="5"/>
  <c r="AL48" i="5"/>
  <c r="AL49" i="5"/>
  <c r="AL50" i="5"/>
  <c r="AL51" i="5"/>
  <c r="AL52" i="5"/>
  <c r="AL53" i="5"/>
  <c r="AL54" i="5"/>
  <c r="AL55" i="5"/>
  <c r="AL56" i="5"/>
  <c r="AL57" i="5"/>
  <c r="AL58" i="5"/>
  <c r="AL59" i="5"/>
  <c r="AL60" i="5"/>
  <c r="AL61" i="5"/>
  <c r="AL62" i="5"/>
  <c r="AL63" i="5"/>
  <c r="AL64" i="5"/>
  <c r="AL65" i="5"/>
  <c r="AL66" i="5"/>
  <c r="AL67" i="5"/>
  <c r="AL68" i="5"/>
  <c r="AL69" i="5"/>
  <c r="AL70" i="5"/>
  <c r="AL71" i="5"/>
  <c r="AL72" i="5"/>
  <c r="AL73" i="5"/>
  <c r="AL74" i="5"/>
  <c r="AL75" i="5"/>
  <c r="AL76" i="5"/>
  <c r="AL77" i="5"/>
  <c r="AL78" i="5"/>
  <c r="AL79" i="5"/>
  <c r="AL80" i="5"/>
  <c r="AL81" i="5"/>
  <c r="AL82" i="5"/>
  <c r="AL83" i="5"/>
  <c r="AL84" i="5"/>
  <c r="AL85" i="5"/>
  <c r="AL86" i="5"/>
  <c r="AL87" i="5"/>
  <c r="AL88" i="5"/>
  <c r="AL89" i="5"/>
  <c r="AL90" i="5"/>
  <c r="AL91" i="5"/>
  <c r="AL92" i="5"/>
  <c r="AL93" i="5"/>
  <c r="AL94" i="5"/>
  <c r="AL95" i="5"/>
  <c r="AL96" i="5"/>
  <c r="AL97" i="5"/>
  <c r="AL98" i="5"/>
  <c r="AL99" i="5"/>
  <c r="AL100" i="5"/>
  <c r="AL101" i="5"/>
  <c r="AL102" i="5"/>
  <c r="AL103" i="5"/>
  <c r="AL104" i="5"/>
  <c r="AL105" i="5"/>
  <c r="AL106" i="5"/>
  <c r="AL107" i="5"/>
  <c r="AL108" i="5"/>
  <c r="AL109" i="5"/>
  <c r="AL110" i="5"/>
  <c r="AL111" i="5"/>
  <c r="AL112" i="5"/>
  <c r="AL113" i="5"/>
  <c r="AL114" i="5"/>
  <c r="AL115" i="5"/>
  <c r="AL116" i="5"/>
  <c r="AL117" i="5"/>
  <c r="AL118" i="5"/>
  <c r="AL119" i="5"/>
  <c r="AL120" i="5"/>
  <c r="AL121" i="5"/>
  <c r="AL122" i="5"/>
  <c r="AL123" i="5"/>
  <c r="AL124" i="5"/>
  <c r="AL125" i="5"/>
  <c r="AL126" i="5"/>
  <c r="AL127" i="5"/>
  <c r="AL128" i="5"/>
  <c r="AL129" i="5"/>
  <c r="AL130" i="5"/>
  <c r="AL131" i="5"/>
  <c r="AL132" i="5"/>
  <c r="AL133" i="5"/>
  <c r="AL134" i="5"/>
  <c r="AL135" i="5"/>
  <c r="AL136" i="5"/>
  <c r="AL137" i="5"/>
  <c r="AL138" i="5"/>
  <c r="AL139" i="5"/>
  <c r="AL140" i="5"/>
  <c r="AL141" i="5"/>
  <c r="AL142" i="5"/>
  <c r="AL143" i="5"/>
  <c r="AL144" i="5"/>
  <c r="AL145" i="5"/>
  <c r="AL146" i="5"/>
  <c r="AL147" i="5"/>
  <c r="AL148" i="5"/>
  <c r="AL149" i="5"/>
  <c r="AL150" i="5"/>
  <c r="AL151" i="5"/>
  <c r="AM5" i="5"/>
  <c r="AM6" i="5"/>
  <c r="AM7" i="5"/>
  <c r="AM8" i="5"/>
  <c r="AM9" i="5"/>
  <c r="AM10" i="5"/>
  <c r="AM11" i="5"/>
  <c r="AM12" i="5"/>
  <c r="AM13" i="5"/>
  <c r="AM14" i="5"/>
  <c r="AM15" i="5"/>
  <c r="AM16" i="5"/>
  <c r="AM17" i="5"/>
  <c r="AM18" i="5"/>
  <c r="AM19" i="5"/>
  <c r="AM20" i="5"/>
  <c r="AM21" i="5"/>
  <c r="AM22" i="5"/>
  <c r="AM23" i="5"/>
  <c r="AM24" i="5"/>
  <c r="AM25" i="5"/>
  <c r="AM26" i="5"/>
  <c r="AM27" i="5"/>
  <c r="AM28" i="5"/>
  <c r="AM29" i="5"/>
  <c r="AM30" i="5"/>
  <c r="AM31" i="5"/>
  <c r="AM32" i="5"/>
  <c r="AM33" i="5"/>
  <c r="AM34" i="5"/>
  <c r="AM35" i="5"/>
  <c r="AM36" i="5"/>
  <c r="AM37" i="5"/>
  <c r="AM38" i="5"/>
  <c r="AM39" i="5"/>
  <c r="AM40" i="5"/>
  <c r="AM41" i="5"/>
  <c r="AM42" i="5"/>
  <c r="AM43" i="5"/>
  <c r="AM44" i="5"/>
  <c r="AM45" i="5"/>
  <c r="AM46" i="5"/>
  <c r="AM47" i="5"/>
  <c r="AM48" i="5"/>
  <c r="AM49" i="5"/>
  <c r="AM50" i="5"/>
  <c r="AM51" i="5"/>
  <c r="AM52" i="5"/>
  <c r="AM53" i="5"/>
  <c r="AM54" i="5"/>
  <c r="AM55" i="5"/>
  <c r="AM56" i="5"/>
  <c r="AM57" i="5"/>
  <c r="AM58" i="5"/>
  <c r="AM59" i="5"/>
  <c r="AM60" i="5"/>
  <c r="AM61" i="5"/>
  <c r="AM62" i="5"/>
  <c r="AM63" i="5"/>
  <c r="AM64" i="5"/>
  <c r="AM65" i="5"/>
  <c r="AM66" i="5"/>
  <c r="AM67" i="5"/>
  <c r="AM68" i="5"/>
  <c r="AM69" i="5"/>
  <c r="AM70" i="5"/>
  <c r="AM71" i="5"/>
  <c r="AM72" i="5"/>
  <c r="AM73" i="5"/>
  <c r="AM74" i="5"/>
  <c r="AM75" i="5"/>
  <c r="AM76" i="5"/>
  <c r="AM77" i="5"/>
  <c r="AM78" i="5"/>
  <c r="AM79" i="5"/>
  <c r="AM80" i="5"/>
  <c r="AM81" i="5"/>
  <c r="AM82" i="5"/>
  <c r="AM83" i="5"/>
  <c r="AM84" i="5"/>
  <c r="AM85" i="5"/>
  <c r="AM86" i="5"/>
  <c r="AM87" i="5"/>
  <c r="AM88" i="5"/>
  <c r="AM89" i="5"/>
  <c r="AM90" i="5"/>
  <c r="AM91" i="5"/>
  <c r="AM92" i="5"/>
  <c r="AM93" i="5"/>
  <c r="AM94" i="5"/>
  <c r="AM95" i="5"/>
  <c r="AM96" i="5"/>
  <c r="AM97" i="5"/>
  <c r="AM98" i="5"/>
  <c r="AM99" i="5"/>
  <c r="AM100" i="5"/>
  <c r="AM101" i="5"/>
  <c r="AM102" i="5"/>
  <c r="AM103" i="5"/>
  <c r="AM104" i="5"/>
  <c r="AM105" i="5"/>
  <c r="AM106" i="5"/>
  <c r="AM107" i="5"/>
  <c r="AM108" i="5"/>
  <c r="AM109" i="5"/>
  <c r="AM110" i="5"/>
  <c r="AM111" i="5"/>
  <c r="AM112" i="5"/>
  <c r="AM113" i="5"/>
  <c r="AM114" i="5"/>
  <c r="AM115" i="5"/>
  <c r="AM116" i="5"/>
  <c r="AM117" i="5"/>
  <c r="AM118" i="5"/>
  <c r="AM119" i="5"/>
  <c r="AM120" i="5"/>
  <c r="AM121" i="5"/>
  <c r="AM122" i="5"/>
  <c r="AM123" i="5"/>
  <c r="AM124" i="5"/>
  <c r="AM125" i="5"/>
  <c r="AM126" i="5"/>
  <c r="AM127" i="5"/>
  <c r="AM128" i="5"/>
  <c r="AM129" i="5"/>
  <c r="AM130" i="5"/>
  <c r="AM131" i="5"/>
  <c r="AM132" i="5"/>
  <c r="AM133" i="5"/>
  <c r="AM134" i="5"/>
  <c r="AM135" i="5"/>
  <c r="AM136" i="5"/>
  <c r="AM137" i="5"/>
  <c r="AM138" i="5"/>
  <c r="AM139" i="5"/>
  <c r="AM140" i="5"/>
  <c r="AM141" i="5"/>
  <c r="AM142" i="5"/>
  <c r="AM143" i="5"/>
  <c r="AM144" i="5"/>
  <c r="AM145" i="5"/>
  <c r="AM146" i="5"/>
  <c r="AM147" i="5"/>
  <c r="AM148" i="5"/>
  <c r="AM149" i="5"/>
  <c r="AM150" i="5"/>
  <c r="AM151" i="5"/>
  <c r="AN5" i="5"/>
  <c r="AN6" i="5"/>
  <c r="AN7" i="5"/>
  <c r="AN8" i="5"/>
  <c r="AN9" i="5"/>
  <c r="AN10" i="5"/>
  <c r="AN11" i="5"/>
  <c r="AN12" i="5"/>
  <c r="AN13" i="5"/>
  <c r="AN14" i="5"/>
  <c r="AN15" i="5"/>
  <c r="AN16" i="5"/>
  <c r="AN17" i="5"/>
  <c r="AN18" i="5"/>
  <c r="AN19" i="5"/>
  <c r="AN20" i="5"/>
  <c r="AN21" i="5"/>
  <c r="AN22" i="5"/>
  <c r="AN23" i="5"/>
  <c r="AN24" i="5"/>
  <c r="AN25" i="5"/>
  <c r="AN26" i="5"/>
  <c r="AN27" i="5"/>
  <c r="AN28" i="5"/>
  <c r="AN29" i="5"/>
  <c r="AN30" i="5"/>
  <c r="AN31" i="5"/>
  <c r="AN32" i="5"/>
  <c r="AN33" i="5"/>
  <c r="AN34" i="5"/>
  <c r="AN35" i="5"/>
  <c r="AN36" i="5"/>
  <c r="AN37" i="5"/>
  <c r="AN38" i="5"/>
  <c r="AN39" i="5"/>
  <c r="AN40" i="5"/>
  <c r="AN41" i="5"/>
  <c r="AN42" i="5"/>
  <c r="AN43" i="5"/>
  <c r="AN44" i="5"/>
  <c r="AN45" i="5"/>
  <c r="AN46" i="5"/>
  <c r="AN47" i="5"/>
  <c r="AN48" i="5"/>
  <c r="AN49" i="5"/>
  <c r="AN50" i="5"/>
  <c r="AN51" i="5"/>
  <c r="AN52" i="5"/>
  <c r="AN53" i="5"/>
  <c r="AN54" i="5"/>
  <c r="AN55" i="5"/>
  <c r="AN56" i="5"/>
  <c r="AN57" i="5"/>
  <c r="AN58" i="5"/>
  <c r="AN59" i="5"/>
  <c r="AN60" i="5"/>
  <c r="AN61" i="5"/>
  <c r="AN62" i="5"/>
  <c r="AN63" i="5"/>
  <c r="AN64" i="5"/>
  <c r="AN65" i="5"/>
  <c r="AN66" i="5"/>
  <c r="AN67" i="5"/>
  <c r="AN68" i="5"/>
  <c r="AN69" i="5"/>
  <c r="AN70" i="5"/>
  <c r="AN71" i="5"/>
  <c r="AN72" i="5"/>
  <c r="AN73" i="5"/>
  <c r="AN74" i="5"/>
  <c r="AN75" i="5"/>
  <c r="AN76" i="5"/>
  <c r="AN77" i="5"/>
  <c r="AN78" i="5"/>
  <c r="AN79" i="5"/>
  <c r="AN80" i="5"/>
  <c r="AN81" i="5"/>
  <c r="AN82" i="5"/>
  <c r="AN83" i="5"/>
  <c r="AN84" i="5"/>
  <c r="AN85" i="5"/>
  <c r="AN86" i="5"/>
  <c r="AN87" i="5"/>
  <c r="AN88" i="5"/>
  <c r="AN89" i="5"/>
  <c r="AN90" i="5"/>
  <c r="AN91" i="5"/>
  <c r="AN92" i="5"/>
  <c r="AN93" i="5"/>
  <c r="AN94" i="5"/>
  <c r="AN95" i="5"/>
  <c r="AN96" i="5"/>
  <c r="AN97" i="5"/>
  <c r="AN98" i="5"/>
  <c r="AN99" i="5"/>
  <c r="AN100" i="5"/>
  <c r="AN101" i="5"/>
  <c r="AN102" i="5"/>
  <c r="AN103" i="5"/>
  <c r="AN104" i="5"/>
  <c r="AN105" i="5"/>
  <c r="AN106" i="5"/>
  <c r="AN107" i="5"/>
  <c r="AN108" i="5"/>
  <c r="AN109" i="5"/>
  <c r="AN110" i="5"/>
  <c r="AN111" i="5"/>
  <c r="AN112" i="5"/>
  <c r="AN113" i="5"/>
  <c r="AN114" i="5"/>
  <c r="AN115" i="5"/>
  <c r="AN116" i="5"/>
  <c r="AN117" i="5"/>
  <c r="AN118" i="5"/>
  <c r="AN119" i="5"/>
  <c r="AN120" i="5"/>
  <c r="AN121" i="5"/>
  <c r="AN122" i="5"/>
  <c r="AN123" i="5"/>
  <c r="AN124" i="5"/>
  <c r="AN125" i="5"/>
  <c r="AN126" i="5"/>
  <c r="AN127" i="5"/>
  <c r="AN128" i="5"/>
  <c r="AN129" i="5"/>
  <c r="AN130" i="5"/>
  <c r="AN131" i="5"/>
  <c r="AN132" i="5"/>
  <c r="AN133" i="5"/>
  <c r="AN134" i="5"/>
  <c r="AN135" i="5"/>
  <c r="AN136" i="5"/>
  <c r="AN137" i="5"/>
  <c r="AN138" i="5"/>
  <c r="AN139" i="5"/>
  <c r="AN140" i="5"/>
  <c r="AN141" i="5"/>
  <c r="AN142" i="5"/>
  <c r="AN143" i="5"/>
  <c r="AN144" i="5"/>
  <c r="AN145" i="5"/>
  <c r="AN146" i="5"/>
  <c r="AN147" i="5"/>
  <c r="AN148" i="5"/>
  <c r="AN149" i="5"/>
  <c r="AN150" i="5"/>
  <c r="AN151" i="5"/>
  <c r="AO5" i="5"/>
  <c r="AO6" i="5"/>
  <c r="AO7" i="5"/>
  <c r="AO8" i="5"/>
  <c r="AO9" i="5"/>
  <c r="AO10" i="5"/>
  <c r="AO11" i="5"/>
  <c r="AO12" i="5"/>
  <c r="AO13" i="5"/>
  <c r="AO14" i="5"/>
  <c r="AO15" i="5"/>
  <c r="AO16" i="5"/>
  <c r="AO17" i="5"/>
  <c r="AO18" i="5"/>
  <c r="AO19" i="5"/>
  <c r="AO20" i="5"/>
  <c r="AO21" i="5"/>
  <c r="AO22" i="5"/>
  <c r="AO23" i="5"/>
  <c r="AO24" i="5"/>
  <c r="AO25" i="5"/>
  <c r="AO26" i="5"/>
  <c r="AO27" i="5"/>
  <c r="AO28" i="5"/>
  <c r="AO29" i="5"/>
  <c r="AO30" i="5"/>
  <c r="AO31" i="5"/>
  <c r="AO32" i="5"/>
  <c r="AO33" i="5"/>
  <c r="AO34" i="5"/>
  <c r="AO35" i="5"/>
  <c r="AO36" i="5"/>
  <c r="AO37" i="5"/>
  <c r="AO38" i="5"/>
  <c r="AO39" i="5"/>
  <c r="AO40" i="5"/>
  <c r="AO41" i="5"/>
  <c r="AO42" i="5"/>
  <c r="AO43" i="5"/>
  <c r="AO44" i="5"/>
  <c r="AO45" i="5"/>
  <c r="AO46" i="5"/>
  <c r="AO47" i="5"/>
  <c r="AO48" i="5"/>
  <c r="AO49" i="5"/>
  <c r="AO50" i="5"/>
  <c r="AO51" i="5"/>
  <c r="AO52" i="5"/>
  <c r="AO53" i="5"/>
  <c r="AO54" i="5"/>
  <c r="AO55" i="5"/>
  <c r="AO56" i="5"/>
  <c r="AO57" i="5"/>
  <c r="AO58" i="5"/>
  <c r="AO59" i="5"/>
  <c r="AO60" i="5"/>
  <c r="AO61" i="5"/>
  <c r="AO62" i="5"/>
  <c r="AO63" i="5"/>
  <c r="AO64" i="5"/>
  <c r="AO65" i="5"/>
  <c r="AO66" i="5"/>
  <c r="AO67" i="5"/>
  <c r="AO68" i="5"/>
  <c r="AO69" i="5"/>
  <c r="AO70" i="5"/>
  <c r="AO71" i="5"/>
  <c r="AO72" i="5"/>
  <c r="AO73" i="5"/>
  <c r="AO74" i="5"/>
  <c r="AO75" i="5"/>
  <c r="AO76" i="5"/>
  <c r="AO77" i="5"/>
  <c r="AO78" i="5"/>
  <c r="AO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92" i="5"/>
  <c r="AO93" i="5"/>
  <c r="AO94" i="5"/>
  <c r="AO95" i="5"/>
  <c r="AO96" i="5"/>
  <c r="AO97" i="5"/>
  <c r="AO98" i="5"/>
  <c r="AO99" i="5"/>
  <c r="AO100" i="5"/>
  <c r="AO101" i="5"/>
  <c r="AO102" i="5"/>
  <c r="AO103" i="5"/>
  <c r="AO104" i="5"/>
  <c r="AO105" i="5"/>
  <c r="AO106" i="5"/>
  <c r="AO107" i="5"/>
  <c r="AO108" i="5"/>
  <c r="AO109" i="5"/>
  <c r="AO110" i="5"/>
  <c r="AO111" i="5"/>
  <c r="AO112" i="5"/>
  <c r="AO113" i="5"/>
  <c r="AO114" i="5"/>
  <c r="AO115" i="5"/>
  <c r="AO116" i="5"/>
  <c r="AO117" i="5"/>
  <c r="AO118" i="5"/>
  <c r="AO119" i="5"/>
  <c r="AO120" i="5"/>
  <c r="AO121" i="5"/>
  <c r="AO122" i="5"/>
  <c r="AO123" i="5"/>
  <c r="AO124" i="5"/>
  <c r="AO125" i="5"/>
  <c r="AO126" i="5"/>
  <c r="AO127" i="5"/>
  <c r="AO128" i="5"/>
  <c r="AO129" i="5"/>
  <c r="AO130" i="5"/>
  <c r="AO131" i="5"/>
  <c r="AO132" i="5"/>
  <c r="AO133" i="5"/>
  <c r="AO134" i="5"/>
  <c r="AO135" i="5"/>
  <c r="AO136" i="5"/>
  <c r="AO137" i="5"/>
  <c r="AO138" i="5"/>
  <c r="AO139" i="5"/>
  <c r="AO140" i="5"/>
  <c r="AO141" i="5"/>
  <c r="AO142" i="5"/>
  <c r="AO143" i="5"/>
  <c r="AO144" i="5"/>
  <c r="AO145" i="5"/>
  <c r="AO146" i="5"/>
  <c r="AO147" i="5"/>
  <c r="AO148" i="5"/>
  <c r="AO149" i="5"/>
  <c r="AO150" i="5"/>
  <c r="AO151" i="5"/>
  <c r="Y5" i="5"/>
  <c r="Y6" i="5"/>
  <c r="Y7" i="5"/>
  <c r="Y8" i="5"/>
  <c r="Y9" i="5"/>
  <c r="Y10" i="5"/>
  <c r="Y11" i="5"/>
  <c r="Y12" i="5"/>
  <c r="Y13" i="5"/>
  <c r="Y14" i="5"/>
  <c r="Y15" i="5"/>
  <c r="Y16" i="5"/>
  <c r="Y17" i="5"/>
  <c r="Y18" i="5"/>
  <c r="Y19" i="5"/>
  <c r="Y20" i="5"/>
  <c r="Y21" i="5"/>
  <c r="Y22" i="5"/>
  <c r="Y23" i="5"/>
  <c r="Y24" i="5"/>
  <c r="Y25" i="5"/>
  <c r="Y26" i="5"/>
  <c r="Y27" i="5"/>
  <c r="Y28" i="5"/>
  <c r="Y29" i="5"/>
  <c r="Y30" i="5"/>
  <c r="Y31" i="5"/>
  <c r="Y32" i="5"/>
  <c r="Y33" i="5"/>
  <c r="Y34" i="5"/>
  <c r="Y35" i="5"/>
  <c r="Y36" i="5"/>
  <c r="Y37" i="5"/>
  <c r="Y38" i="5"/>
  <c r="Y39" i="5"/>
  <c r="Y40" i="5"/>
  <c r="Y41" i="5"/>
  <c r="Y42" i="5"/>
  <c r="Y43" i="5"/>
  <c r="Y44" i="5"/>
  <c r="Y45" i="5"/>
  <c r="Y46" i="5"/>
  <c r="Y47" i="5"/>
  <c r="Y48" i="5"/>
  <c r="Y49" i="5"/>
  <c r="Y50" i="5"/>
  <c r="Y51" i="5"/>
  <c r="Y52" i="5"/>
  <c r="Y53" i="5"/>
  <c r="Y54" i="5"/>
  <c r="Y55" i="5"/>
  <c r="Y56" i="5"/>
  <c r="Y57" i="5"/>
  <c r="Y58" i="5"/>
  <c r="Y59" i="5"/>
  <c r="Y60" i="5"/>
  <c r="Y61" i="5"/>
  <c r="Y62" i="5"/>
  <c r="Y63" i="5"/>
  <c r="Y64" i="5"/>
  <c r="Y65" i="5"/>
  <c r="Y66" i="5"/>
  <c r="Y67" i="5"/>
  <c r="Y68" i="5"/>
  <c r="Y69" i="5"/>
  <c r="Y70" i="5"/>
  <c r="Y71" i="5"/>
  <c r="Y72" i="5"/>
  <c r="Y73" i="5"/>
  <c r="Y74" i="5"/>
  <c r="Y75" i="5"/>
  <c r="Y76" i="5"/>
  <c r="Y77" i="5"/>
  <c r="Y78" i="5"/>
  <c r="Y79" i="5"/>
  <c r="Y80" i="5"/>
  <c r="Y81" i="5"/>
  <c r="Y82" i="5"/>
  <c r="Y83" i="5"/>
  <c r="Y84" i="5"/>
  <c r="Y85" i="5"/>
  <c r="Y86" i="5"/>
  <c r="Y87" i="5"/>
  <c r="Y88" i="5"/>
  <c r="Y89" i="5"/>
  <c r="Y90" i="5"/>
  <c r="Y91" i="5"/>
  <c r="Y92" i="5"/>
  <c r="Y93" i="5"/>
  <c r="Y94" i="5"/>
  <c r="Y95" i="5"/>
  <c r="Y96" i="5"/>
  <c r="Y97" i="5"/>
  <c r="Y98" i="5"/>
  <c r="Y99" i="5"/>
  <c r="Y100" i="5"/>
  <c r="Y101" i="5"/>
  <c r="Y102" i="5"/>
  <c r="Y103" i="5"/>
  <c r="Y104" i="5"/>
  <c r="Y105" i="5"/>
  <c r="Y106" i="5"/>
  <c r="Y107" i="5"/>
  <c r="Y108" i="5"/>
  <c r="Y109" i="5"/>
  <c r="Y110" i="5"/>
  <c r="Y111" i="5"/>
  <c r="Y112" i="5"/>
  <c r="Y113" i="5"/>
  <c r="Y114" i="5"/>
  <c r="Y115" i="5"/>
  <c r="Y116" i="5"/>
  <c r="Y117" i="5"/>
  <c r="Y118" i="5"/>
  <c r="Y119" i="5"/>
  <c r="Y120" i="5"/>
  <c r="Y121" i="5"/>
  <c r="Y122" i="5"/>
  <c r="Y123" i="5"/>
  <c r="Y124" i="5"/>
  <c r="Y125" i="5"/>
  <c r="Y126" i="5"/>
  <c r="Y127" i="5"/>
  <c r="Y128" i="5"/>
  <c r="Y129" i="5"/>
  <c r="Y130" i="5"/>
  <c r="Y131" i="5"/>
  <c r="Y132" i="5"/>
  <c r="Y133" i="5"/>
  <c r="Y134" i="5"/>
  <c r="Y135" i="5"/>
  <c r="Y136" i="5"/>
  <c r="Y137" i="5"/>
  <c r="Y138" i="5"/>
  <c r="Y139" i="5"/>
  <c r="Y140" i="5"/>
  <c r="Y141" i="5"/>
  <c r="Y142" i="5"/>
  <c r="Y143" i="5"/>
  <c r="Y144" i="5"/>
  <c r="Y145" i="5"/>
  <c r="Y146" i="5"/>
  <c r="Y147" i="5"/>
  <c r="Y148" i="5"/>
  <c r="Y149" i="5"/>
  <c r="Y150" i="5"/>
  <c r="Y151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X11" i="4"/>
  <c r="AI143" i="5" l="1"/>
  <c r="AI135" i="5"/>
  <c r="AI127" i="5"/>
  <c r="AI119" i="5"/>
  <c r="AI111" i="5"/>
  <c r="AI103" i="5"/>
  <c r="AI95" i="5"/>
  <c r="AI87" i="5"/>
  <c r="AI79" i="5"/>
  <c r="AI71" i="5"/>
  <c r="AI63" i="5"/>
  <c r="AI55" i="5"/>
  <c r="AI47" i="5"/>
  <c r="AI39" i="5"/>
  <c r="AI31" i="5"/>
  <c r="AI23" i="5"/>
  <c r="AI15" i="5"/>
  <c r="AI7" i="5"/>
  <c r="AI92" i="5"/>
  <c r="AI60" i="5"/>
  <c r="AI123" i="5"/>
  <c r="AI75" i="5"/>
  <c r="AI59" i="5"/>
  <c r="AI43" i="5"/>
  <c r="AI27" i="5"/>
  <c r="AI11" i="5"/>
  <c r="AI144" i="5"/>
  <c r="AI136" i="5"/>
  <c r="AI128" i="5"/>
  <c r="AI120" i="5"/>
  <c r="AI112" i="5"/>
  <c r="AI104" i="5"/>
  <c r="AI96" i="5"/>
  <c r="AI88" i="5"/>
  <c r="AI80" i="5"/>
  <c r="AI72" i="5"/>
  <c r="AI64" i="5"/>
  <c r="AI56" i="5"/>
  <c r="AI48" i="5"/>
  <c r="AI40" i="5"/>
  <c r="AI32" i="5"/>
  <c r="AI24" i="5"/>
  <c r="AI16" i="5"/>
  <c r="AI8" i="5"/>
  <c r="AI91" i="5"/>
  <c r="AI148" i="5"/>
  <c r="AI132" i="5"/>
  <c r="AI76" i="5"/>
  <c r="AI28" i="5"/>
  <c r="AI12" i="5"/>
  <c r="AI124" i="5"/>
  <c r="AI108" i="5"/>
  <c r="AI140" i="5"/>
  <c r="AI44" i="5"/>
  <c r="AI149" i="5"/>
  <c r="AI141" i="5"/>
  <c r="AI133" i="5"/>
  <c r="AI125" i="5"/>
  <c r="AI117" i="5"/>
  <c r="AI109" i="5"/>
  <c r="AI101" i="5"/>
  <c r="AI93" i="5"/>
  <c r="AI85" i="5"/>
  <c r="AI77" i="5"/>
  <c r="AI69" i="5"/>
  <c r="AI61" i="5"/>
  <c r="AI53" i="5"/>
  <c r="AI45" i="5"/>
  <c r="AI37" i="5"/>
  <c r="AI29" i="5"/>
  <c r="AI21" i="5"/>
  <c r="AI13" i="5"/>
  <c r="AI5" i="5"/>
  <c r="AI147" i="5"/>
  <c r="AI139" i="5"/>
  <c r="AI131" i="5"/>
  <c r="AI115" i="5"/>
  <c r="AI107" i="5"/>
  <c r="AI99" i="5"/>
  <c r="AI83" i="5"/>
  <c r="AI67" i="5"/>
  <c r="AI51" i="5"/>
  <c r="AI35" i="5"/>
  <c r="AI19" i="5"/>
  <c r="AI6" i="5"/>
  <c r="AI54" i="5"/>
  <c r="AI38" i="5"/>
  <c r="AI86" i="5"/>
  <c r="AI134" i="5"/>
  <c r="AI118" i="5"/>
  <c r="AI116" i="5"/>
  <c r="AI100" i="5"/>
  <c r="AI84" i="5"/>
  <c r="AI68" i="5"/>
  <c r="AI52" i="5"/>
  <c r="AI36" i="5"/>
  <c r="AI20" i="5"/>
  <c r="AI70" i="5"/>
  <c r="AI150" i="5"/>
  <c r="AI22" i="5"/>
  <c r="AI102" i="5"/>
  <c r="AI142" i="5"/>
  <c r="AI126" i="5"/>
  <c r="AI110" i="5"/>
  <c r="AI94" i="5"/>
  <c r="AI78" i="5"/>
  <c r="AI62" i="5"/>
  <c r="AI46" i="5"/>
  <c r="AI30" i="5"/>
  <c r="AI14" i="5"/>
  <c r="AI146" i="5"/>
  <c r="AI138" i="5"/>
  <c r="AI130" i="5"/>
  <c r="AI122" i="5"/>
  <c r="AI114" i="5"/>
  <c r="AI106" i="5"/>
  <c r="AI98" i="5"/>
  <c r="AI90" i="5"/>
  <c r="AI82" i="5"/>
  <c r="AI74" i="5"/>
  <c r="AI66" i="5"/>
  <c r="AI58" i="5"/>
  <c r="AI50" i="5"/>
  <c r="AI42" i="5"/>
  <c r="AI34" i="5"/>
  <c r="AI26" i="5"/>
  <c r="AI18" i="5"/>
  <c r="AI10" i="5"/>
  <c r="AI145" i="5"/>
  <c r="AI137" i="5"/>
  <c r="AI129" i="5"/>
  <c r="AI121" i="5"/>
  <c r="AI113" i="5"/>
  <c r="AI105" i="5"/>
  <c r="AI97" i="5"/>
  <c r="AI89" i="5"/>
  <c r="AI81" i="5"/>
  <c r="AI73" i="5"/>
  <c r="AI65" i="5"/>
  <c r="AI57" i="5"/>
  <c r="AI49" i="5"/>
  <c r="AI41" i="5"/>
  <c r="AI33" i="5"/>
  <c r="AI25" i="5"/>
  <c r="AI17" i="5"/>
  <c r="AI9" i="5"/>
  <c r="X13" i="4"/>
  <c r="X12" i="4" l="1"/>
  <c r="L64" i="4" l="1"/>
  <c r="C59" i="4"/>
  <c r="K59" i="4" s="1"/>
  <c r="C62" i="4"/>
  <c r="K62" i="4" s="1"/>
  <c r="C67" i="4"/>
  <c r="K67" i="4" s="1"/>
  <c r="C70" i="4"/>
  <c r="K70" i="4" s="1"/>
  <c r="L62" i="4"/>
  <c r="M61" i="4"/>
  <c r="D64" i="4"/>
  <c r="D69" i="4"/>
  <c r="E59" i="4"/>
  <c r="E63" i="4"/>
  <c r="E71" i="4"/>
  <c r="F60" i="4"/>
  <c r="F69" i="4"/>
  <c r="G61" i="4"/>
  <c r="G66" i="4"/>
  <c r="H59" i="4"/>
  <c r="Q61" i="4"/>
  <c r="H65" i="4"/>
  <c r="H67" i="4"/>
  <c r="Q69" i="4"/>
  <c r="Q71" i="4"/>
  <c r="I62" i="4"/>
  <c r="I63" i="4"/>
  <c r="R65" i="4"/>
  <c r="I67" i="4"/>
  <c r="I71" i="4"/>
  <c r="X4" i="4"/>
  <c r="R58" i="4"/>
  <c r="Q58" i="4"/>
  <c r="P58" i="4"/>
  <c r="O58" i="4"/>
  <c r="N58" i="4"/>
  <c r="M58" i="4"/>
  <c r="I58" i="4"/>
  <c r="H58" i="4"/>
  <c r="G58" i="4"/>
  <c r="F58" i="4"/>
  <c r="E58" i="4"/>
  <c r="D58" i="4"/>
  <c r="I60" i="4"/>
  <c r="I61" i="4"/>
  <c r="I64" i="4"/>
  <c r="I69" i="4"/>
  <c r="I70" i="4"/>
  <c r="Q63" i="4"/>
  <c r="H66" i="4"/>
  <c r="G59" i="4"/>
  <c r="P60" i="4"/>
  <c r="G64" i="4"/>
  <c r="G68" i="4"/>
  <c r="G69" i="4"/>
  <c r="F61" i="4"/>
  <c r="F62" i="4"/>
  <c r="F66" i="4"/>
  <c r="F68" i="4"/>
  <c r="F70" i="4"/>
  <c r="E60" i="4"/>
  <c r="E64" i="4"/>
  <c r="E66" i="4"/>
  <c r="E67" i="4"/>
  <c r="E68" i="4"/>
  <c r="D63" i="4"/>
  <c r="D67" i="4"/>
  <c r="D71" i="4"/>
  <c r="C60" i="4"/>
  <c r="K60" i="4" s="1"/>
  <c r="C61" i="4"/>
  <c r="K61" i="4" s="1"/>
  <c r="C63" i="4"/>
  <c r="K63" i="4" s="1"/>
  <c r="C64" i="4"/>
  <c r="K64" i="4" s="1"/>
  <c r="C65" i="4"/>
  <c r="K65" i="4" s="1"/>
  <c r="C66" i="4"/>
  <c r="K66" i="4" s="1"/>
  <c r="C68" i="4"/>
  <c r="K68" i="4" s="1"/>
  <c r="C69" i="4"/>
  <c r="K69" i="4" s="1"/>
  <c r="C71" i="4"/>
  <c r="K71" i="4" s="1"/>
  <c r="I66" i="4" l="1"/>
  <c r="I65" i="4"/>
  <c r="Q70" i="4"/>
  <c r="Q62" i="4"/>
  <c r="H62" i="4"/>
  <c r="P64" i="4"/>
  <c r="P67" i="4"/>
  <c r="O60" i="4"/>
  <c r="O65" i="4"/>
  <c r="N60" i="4"/>
  <c r="P70" i="4"/>
  <c r="P62" i="4"/>
  <c r="Q64" i="4"/>
  <c r="M65" i="4"/>
  <c r="P71" i="4"/>
  <c r="Q65" i="4"/>
  <c r="R59" i="4"/>
  <c r="N65" i="4"/>
  <c r="O67" i="4"/>
  <c r="O59" i="4"/>
  <c r="G70" i="4"/>
  <c r="E61" i="4"/>
  <c r="R69" i="4"/>
  <c r="N67" i="4"/>
  <c r="P63" i="4"/>
  <c r="P69" i="4"/>
  <c r="L63" i="4"/>
  <c r="M67" i="4"/>
  <c r="M64" i="4"/>
  <c r="N70" i="4"/>
  <c r="O64" i="4"/>
  <c r="M59" i="4"/>
  <c r="M66" i="4"/>
  <c r="O70" i="4"/>
  <c r="O62" i="4"/>
  <c r="R68" i="4"/>
  <c r="R60" i="4"/>
  <c r="I68" i="4"/>
  <c r="F64" i="4"/>
  <c r="G60" i="4"/>
  <c r="O68" i="4"/>
  <c r="M63" i="4"/>
  <c r="M60" i="4"/>
  <c r="Q60" i="4"/>
  <c r="O63" i="4"/>
  <c r="P68" i="4"/>
  <c r="F59" i="4"/>
  <c r="Q59" i="4"/>
  <c r="N62" i="4"/>
  <c r="Q68" i="4"/>
  <c r="N64" i="4"/>
  <c r="N69" i="4"/>
  <c r="O71" i="4"/>
  <c r="P65" i="4"/>
  <c r="E69" i="4"/>
  <c r="F67" i="4"/>
  <c r="H63" i="4"/>
  <c r="R66" i="4"/>
  <c r="R61" i="4"/>
  <c r="H71" i="4"/>
  <c r="M71" i="4"/>
  <c r="P61" i="4"/>
  <c r="M70" i="4"/>
  <c r="M62" i="4"/>
  <c r="R64" i="4"/>
  <c r="H70" i="4"/>
  <c r="G62" i="4"/>
  <c r="D61" i="4"/>
  <c r="G67" i="4"/>
  <c r="N71" i="4"/>
  <c r="D60" i="4"/>
  <c r="P59" i="4"/>
  <c r="G65" i="4"/>
  <c r="N68" i="4"/>
  <c r="D66" i="4"/>
  <c r="E70" i="4"/>
  <c r="F65" i="4"/>
  <c r="E62" i="4"/>
  <c r="N59" i="4"/>
  <c r="O69" i="4"/>
  <c r="M68" i="4"/>
  <c r="Q66" i="4"/>
  <c r="O61" i="4"/>
  <c r="D65" i="4"/>
  <c r="G71" i="4"/>
  <c r="E65" i="4"/>
  <c r="G63" i="4"/>
  <c r="R71" i="4"/>
  <c r="R67" i="4"/>
  <c r="P66" i="4"/>
  <c r="R63" i="4"/>
  <c r="N61" i="4"/>
  <c r="H68" i="4"/>
  <c r="H60" i="4"/>
  <c r="R70" i="4"/>
  <c r="D59" i="4"/>
  <c r="F71" i="4"/>
  <c r="H69" i="4"/>
  <c r="F63" i="4"/>
  <c r="H61" i="4"/>
  <c r="M69" i="4"/>
  <c r="Q67" i="4"/>
  <c r="O66" i="4"/>
  <c r="N63" i="4"/>
  <c r="D68" i="4"/>
  <c r="H64" i="4"/>
  <c r="I59" i="4"/>
  <c r="N66" i="4"/>
  <c r="R62" i="4"/>
  <c r="D70" i="4"/>
  <c r="D62" i="4"/>
  <c r="L69" i="4"/>
  <c r="L61" i="4"/>
  <c r="L66" i="4"/>
  <c r="L70" i="4"/>
  <c r="L71" i="4"/>
  <c r="L67" i="4"/>
  <c r="L59" i="4"/>
  <c r="L68" i="4"/>
  <c r="L60" i="4"/>
  <c r="L65" i="4"/>
  <c r="X8" i="4" l="1"/>
  <c r="X9" i="4" l="1"/>
</calcChain>
</file>

<file path=xl/connections.xml><?xml version="1.0" encoding="utf-8"?>
<connections xmlns="http://schemas.openxmlformats.org/spreadsheetml/2006/main">
  <connection id="1" name="CLTVDist90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CLTVDist90' and D.asofdate &lt;= '2015-07-01' order by d.AsOfDate"/>
  </connection>
  <connection id="2" name="CLTVMean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CLTVMean' and D.asofdate &lt;= '2015-07-01' order by d.AsOfDate"/>
  </connection>
  <connection id="3" name="DTIDist40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DTIDist40' and D.asofdate &lt;= '2015-07-01' order by d.AsOfDate"/>
  </connection>
  <connection id="4" name="DTIMean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DTIMean' and D.asofdate &lt;= '2015-07-01' order by d.AsOfDate"/>
  </connection>
  <connection id="5" name="FICODist700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FICODist700' and D.asofdate &lt;= '2015-07-01' order by d.AsOfDate"/>
  </connection>
  <connection id="6" name="FICODist700Query1" type="1" refreshedVersion="4" savePassword="1" saveData="1">
    <dbPr connection="DSN=Cello SQL Server;UID=report;PWD=gm4SJDw4;APP=Microsoft Office 2010;WSID=CELLO-PC4;DATABASE=Cello" command="select asofdate, SeriesNumValue from TimeSeries D, TimeSeriesMeta M where D.TimeSeriesMetaId = M.TimeSeriesMetaId and modeltype = 'Accordion_v1.0' _x000d__x000a_and SeriesType = 'index' and D.asofdate &lt;= '2015-07-01' and TickerName = 'FHAFixed30_CreditAvailability'"/>
  </connection>
  <connection id="7" name="FICODist700Query11" type="1" refreshedVersion="4" savePassword="1" saveData="1">
    <dbPr connection="DSN=Cello SQL Server;UID=report;PWD=gm4SJDw4;APP=Microsoft Office 2010;WSID=CELLO-PC4;DATABASE=Cello" command="select asofdate, SeriesNumValue from TimeSeries D, TimeSeriesMeta M where D.TimeSeriesMetaId = M.TimeSeriesMetaId and modeltype = 'Accordion_v1.0' _x000d__x000a_and SeriesType = 'index' and D.asofdate &lt;= '2015-07-01' and TickerName = 'VAFixed30_CreditAvailability'"/>
  </connection>
  <connection id="8" name="FICODist700Query111" type="1" refreshedVersion="4" savePassword="1" saveData="1">
    <dbPr connection="DSN=Cello SQL Server;UID=report;PWD=gm4SJDw4;APP=Microsoft Office 2010;WSID=CELLO-PC4;DATABASE=Cello" command="select asofdate, SeriesNumValue from TimeSeries D, TimeSeriesMeta M where D.TimeSeriesMetaId = M.TimeSeriesMetaId and modeltype = 'Accordion_v1.0' _x000d__x000a_and SeriesType = 'index' and D.asofdate &lt;= '2015-07-01' and TickerName = 'CombinedFixed30_CreditAvailability'"/>
  </connection>
  <connection id="9" name="FICODist700Query1111" type="1" refreshedVersion="4" savePassword="1" saveData="1">
    <dbPr connection="DSN=Cello SQL Server;UID=report;PWD=gm4SJDw4;APP=Microsoft Office 2010;WSID=CELLO-PC4;DATABASE=Cello" command="select asofdate, SeriesNumValue from TimeSeries D, TimeSeriesMeta M where D.TimeSeriesMetaId = M.TimeSeriesMetaId and modeltype = 'Accordion_v1.0' _x000d__x000a_and SeriesType = 'index' and D.asofdate &lt;= '2015-07-01' and TickerName = 'ConventionalFixed30_CreditAvailability'"/>
  </connection>
  <connection id="10" name="FICODist700Query11111" type="1" refreshedVersion="4" savePassword="1" saveData="1">
    <dbPr connection="DSN=Cello SQL Server;UID=report;PWD=gm4SJDw4;APP=Microsoft Office 2010;WSID=CELLO-PC4;DATABASE=Cello" command="select asofdate,SeriesNumValue from TimeSeries D, TimeSeriesMeta M where D.TimeSeriesMetaId = M.TimeSeriesMetaId and modeltype = 'Accordion_v1.0' _x000d__x000a_ and SeriesType = 'LoanBalance' and D.asofdate &lt;= '2015-07-01' and TickerName = 'ConventionalFixed30_CreditAvailability'"/>
  </connection>
  <connection id="11" name="FICODist700Query1112" type="1" refreshedVersion="4" savePassword="1" saveData="1">
    <dbPr connection="DSN=Cello SQL Server;UID=report;PWD=gm4SJDw4;APP=Microsoft Office 2010;WSID=CELLO-PC4;DATABASE=Cello" command="select asofdate,SeriesNumValue from TimeSeries D, TimeSeriesMeta M where D.TimeSeriesMetaId = M.TimeSeriesMetaId and modeltype = 'Accordion_v1.0' _x000d__x000a_ and SeriesType = 'LoanBalance' and D.asofdate &lt;= '2015-07-01' and TickerName = 'CombinedFixed30_CreditAvailability'"/>
  </connection>
  <connection id="12" name="FICODist700Query112" type="1" refreshedVersion="4" savePassword="1" saveData="1">
    <dbPr connection="DSN=Cello SQL Server;UID=report;PWD=gm4SJDw4;APP=Microsoft Office 2010;WSID=CELLO-PC4;DATABASE=Cello" command="select asofdate,SeriesNumValue from TimeSeries D, TimeSeriesMeta M where D.TimeSeriesMetaId = M.TimeSeriesMetaId and modeltype = 'Accordion_v1.0' _x000d__x000a_ and SeriesType = 'LoanBalance' and D.asofdate &lt;= '2015-07-01'  and TickerName = 'VAFixed30_CreditAvailability'"/>
  </connection>
  <connection id="13" name="FICODist700Query12" type="1" refreshedVersion="4" savePassword="1" saveData="1">
    <dbPr connection="DSN=Cello SQL Server;UID=report;PWD=gm4SJDw4;APP=Microsoft Office 2010;WSID=CELLO-PC4;DATABASE=Cello" command="select asofdate,SeriesNumValue from TimeSeries D, TimeSeriesMeta M where D.TimeSeriesMetaId = M.TimeSeriesMetaId and modeltype = 'Accordion_v1.0' _x000d__x000a_ and SeriesType = 'LoanBalance' and D.asofdate &lt;= '2015-07-01' and TickerName = 'FHAFixed30_CreditAvailability'"/>
  </connection>
  <connection id="14" name="FICOMean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FICOMean' and D.asofdate &lt;= '2015-07-01' order by d.AsOfDate"/>
  </connection>
  <connection id="15" name="Index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index' and D.asofdate &lt;= '2015-07-01' order by d.AsOfDate"/>
  </connection>
  <connection id="16" name="IndexQuery1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index' and D.asofdate &lt;= '2015-07-01' order by d.AsOfDate desc"/>
  </connection>
</connections>
</file>

<file path=xl/sharedStrings.xml><?xml version="1.0" encoding="utf-8"?>
<sst xmlns="http://schemas.openxmlformats.org/spreadsheetml/2006/main" count="2484" uniqueCount="208">
  <si>
    <t>Database Env</t>
  </si>
  <si>
    <t>Save Data to DB</t>
  </si>
  <si>
    <t>As of Date</t>
  </si>
  <si>
    <t>Report Name</t>
  </si>
  <si>
    <t>No</t>
  </si>
  <si>
    <t>SeriesNumValue</t>
  </si>
  <si>
    <t>2012-08-01</t>
  </si>
  <si>
    <t>2013-05-01</t>
  </si>
  <si>
    <t>2014-10-01</t>
  </si>
  <si>
    <t>2012-05-01</t>
  </si>
  <si>
    <t>2013-07-01</t>
  </si>
  <si>
    <t>2013-10-01</t>
  </si>
  <si>
    <t>2014-04-01</t>
  </si>
  <si>
    <t>2014-07-01</t>
  </si>
  <si>
    <t>2012-10-01</t>
  </si>
  <si>
    <t>2013-04-01</t>
  </si>
  <si>
    <t>2014-12-01</t>
  </si>
  <si>
    <t>2012-06-01</t>
  </si>
  <si>
    <t>2013-02-01</t>
  </si>
  <si>
    <t>2013-03-01</t>
  </si>
  <si>
    <t>2013-11-01</t>
  </si>
  <si>
    <t>2014-08-01</t>
  </si>
  <si>
    <t>2012-11-01</t>
  </si>
  <si>
    <t>2013-08-01</t>
  </si>
  <si>
    <t>2014-05-01</t>
  </si>
  <si>
    <t>Last Survey Date</t>
  </si>
  <si>
    <t>One Day Before Last Survey Date</t>
  </si>
  <si>
    <t>Report Folder</t>
  </si>
  <si>
    <t>S:\IT\Production\Daily Reports\Primary Market\tmp\</t>
  </si>
  <si>
    <t>2015-04-01</t>
  </si>
  <si>
    <t>2015-05-01</t>
  </si>
  <si>
    <t>2015-06-01</t>
  </si>
  <si>
    <t>asofdate</t>
  </si>
  <si>
    <t>2003-05-01</t>
  </si>
  <si>
    <t>30YrCreditAvailabilityIndex</t>
  </si>
  <si>
    <t>2003-06-01</t>
  </si>
  <si>
    <t>2003-07-01</t>
  </si>
  <si>
    <t>2003-08-01</t>
  </si>
  <si>
    <t>2003-09-01</t>
  </si>
  <si>
    <t>2003-10-01</t>
  </si>
  <si>
    <t>2003-11-01</t>
  </si>
  <si>
    <t>2003-12-01</t>
  </si>
  <si>
    <t>2004-01-01</t>
  </si>
  <si>
    <t>2004-02-01</t>
  </si>
  <si>
    <t>2004-03-01</t>
  </si>
  <si>
    <t>2004-04-01</t>
  </si>
  <si>
    <t>2004-05-01</t>
  </si>
  <si>
    <t>2004-06-01</t>
  </si>
  <si>
    <t>2004-07-01</t>
  </si>
  <si>
    <t>2004-08-01</t>
  </si>
  <si>
    <t>2004-09-01</t>
  </si>
  <si>
    <t>2004-10-01</t>
  </si>
  <si>
    <t>2004-11-01</t>
  </si>
  <si>
    <t>2004-12-01</t>
  </si>
  <si>
    <t>2005-01-01</t>
  </si>
  <si>
    <t>2005-02-01</t>
  </si>
  <si>
    <t>2005-03-01</t>
  </si>
  <si>
    <t>2005-04-01</t>
  </si>
  <si>
    <t>2005-05-01</t>
  </si>
  <si>
    <t>2005-06-01</t>
  </si>
  <si>
    <t>2005-07-01</t>
  </si>
  <si>
    <t>2005-08-01</t>
  </si>
  <si>
    <t>2005-09-01</t>
  </si>
  <si>
    <t>2005-10-01</t>
  </si>
  <si>
    <t>2005-11-01</t>
  </si>
  <si>
    <t>2005-12-01</t>
  </si>
  <si>
    <t>2006-01-01</t>
  </si>
  <si>
    <t>2006-02-01</t>
  </si>
  <si>
    <t>2006-03-01</t>
  </si>
  <si>
    <t>2006-04-01</t>
  </si>
  <si>
    <t>2006-05-01</t>
  </si>
  <si>
    <t>2006-06-01</t>
  </si>
  <si>
    <t>2006-07-01</t>
  </si>
  <si>
    <t>2006-08-01</t>
  </si>
  <si>
    <t>2006-09-01</t>
  </si>
  <si>
    <t>2006-10-01</t>
  </si>
  <si>
    <t>2006-11-01</t>
  </si>
  <si>
    <t>2006-12-01</t>
  </si>
  <si>
    <t>2007-01-01</t>
  </si>
  <si>
    <t>2007-02-01</t>
  </si>
  <si>
    <t>2007-03-01</t>
  </si>
  <si>
    <t>2007-04-01</t>
  </si>
  <si>
    <t>2007-05-01</t>
  </si>
  <si>
    <t>2007-06-01</t>
  </si>
  <si>
    <t>2007-07-01</t>
  </si>
  <si>
    <t>2007-08-01</t>
  </si>
  <si>
    <t>2007-09-01</t>
  </si>
  <si>
    <t>2007-10-01</t>
  </si>
  <si>
    <t>2007-11-01</t>
  </si>
  <si>
    <t>2007-12-01</t>
  </si>
  <si>
    <t>2008-01-01</t>
  </si>
  <si>
    <t>2008-02-01</t>
  </si>
  <si>
    <t>2008-03-01</t>
  </si>
  <si>
    <t>2008-04-01</t>
  </si>
  <si>
    <t>2008-05-01</t>
  </si>
  <si>
    <t>2008-06-01</t>
  </si>
  <si>
    <t>2008-07-01</t>
  </si>
  <si>
    <t>2008-08-01</t>
  </si>
  <si>
    <t>2008-09-01</t>
  </si>
  <si>
    <t>2008-10-01</t>
  </si>
  <si>
    <t>2008-11-01</t>
  </si>
  <si>
    <t>2008-12-01</t>
  </si>
  <si>
    <t>2009-01-01</t>
  </si>
  <si>
    <t>2009-02-01</t>
  </si>
  <si>
    <t>2009-03-01</t>
  </si>
  <si>
    <t>2009-04-01</t>
  </si>
  <si>
    <t>2009-05-01</t>
  </si>
  <si>
    <t>2009-06-01</t>
  </si>
  <si>
    <t>2009-07-01</t>
  </si>
  <si>
    <t>2009-08-01</t>
  </si>
  <si>
    <t>2009-09-01</t>
  </si>
  <si>
    <t>2009-10-01</t>
  </si>
  <si>
    <t>2009-11-01</t>
  </si>
  <si>
    <t>2009-12-01</t>
  </si>
  <si>
    <t>2010-01-01</t>
  </si>
  <si>
    <t>2010-02-01</t>
  </si>
  <si>
    <t>2010-03-01</t>
  </si>
  <si>
    <t>2010-04-01</t>
  </si>
  <si>
    <t>2010-05-01</t>
  </si>
  <si>
    <t>2010-06-01</t>
  </si>
  <si>
    <t>2010-07-01</t>
  </si>
  <si>
    <t>2010-08-01</t>
  </si>
  <si>
    <t>2010-09-01</t>
  </si>
  <si>
    <t>2010-10-01</t>
  </si>
  <si>
    <t>2010-11-01</t>
  </si>
  <si>
    <t>2010-12-01</t>
  </si>
  <si>
    <t>2011-01-01</t>
  </si>
  <si>
    <t>2011-02-01</t>
  </si>
  <si>
    <t>2011-03-01</t>
  </si>
  <si>
    <t>2011-04-01</t>
  </si>
  <si>
    <t>2011-05-01</t>
  </si>
  <si>
    <t>2011-06-01</t>
  </si>
  <si>
    <t>2011-07-01</t>
  </si>
  <si>
    <t>2011-08-01</t>
  </si>
  <si>
    <t>2011-09-01</t>
  </si>
  <si>
    <t>2011-10-01</t>
  </si>
  <si>
    <t>2011-11-01</t>
  </si>
  <si>
    <t>2011-12-01</t>
  </si>
  <si>
    <t>2012-01-01</t>
  </si>
  <si>
    <t>2012-02-01</t>
  </si>
  <si>
    <t>2012-03-01</t>
  </si>
  <si>
    <t>2012-04-01</t>
  </si>
  <si>
    <t>2012-07-01</t>
  </si>
  <si>
    <t>2012-09-01</t>
  </si>
  <si>
    <t>2012-12-01</t>
  </si>
  <si>
    <t>2013-01-01</t>
  </si>
  <si>
    <t>2013-06-01</t>
  </si>
  <si>
    <t>2013-09-01</t>
  </si>
  <si>
    <t>2013-12-01</t>
  </si>
  <si>
    <t>2014-01-01</t>
  </si>
  <si>
    <t>2014-02-01</t>
  </si>
  <si>
    <t>2014-03-01</t>
  </si>
  <si>
    <t>2014-06-01</t>
  </si>
  <si>
    <t>2014-09-01</t>
  </si>
  <si>
    <t>2014-11-01</t>
  </si>
  <si>
    <t>2015-01-01</t>
  </si>
  <si>
    <t>2015-02-01</t>
  </si>
  <si>
    <t>2015-03-01</t>
  </si>
  <si>
    <t>Index</t>
  </si>
  <si>
    <t>DTIMean</t>
  </si>
  <si>
    <t>DTIDist40</t>
  </si>
  <si>
    <t>FICOMean</t>
  </si>
  <si>
    <t>FICODist700</t>
  </si>
  <si>
    <t>Month</t>
  </si>
  <si>
    <t>CreditAvailabilityIndex Changes</t>
  </si>
  <si>
    <t>Changes</t>
  </si>
  <si>
    <t>Benchmanrk</t>
  </si>
  <si>
    <t>DTI Mean</t>
  </si>
  <si>
    <t>FICO Mean</t>
  </si>
  <si>
    <t>% FICO &lt; 700</t>
  </si>
  <si>
    <t>% DTI &gt; 40</t>
  </si>
  <si>
    <t>Dark color means looser Underwriting Criteria</t>
  </si>
  <si>
    <t>Value</t>
  </si>
  <si>
    <t>One Month Changes</t>
  </si>
  <si>
    <t>OLTVDist90</t>
  </si>
  <si>
    <t>OLTVMean</t>
  </si>
  <si>
    <t>% OLTV &gt; 90</t>
  </si>
  <si>
    <t>OLTV Mean</t>
  </si>
  <si>
    <t>PROD</t>
  </si>
  <si>
    <t>2015-07-01</t>
  </si>
  <si>
    <t>FHA</t>
  </si>
  <si>
    <t>VA</t>
  </si>
  <si>
    <t>Combined</t>
  </si>
  <si>
    <t>Column1</t>
  </si>
  <si>
    <t>Conventional</t>
  </si>
  <si>
    <t>Balance</t>
  </si>
  <si>
    <t>FHA/VA</t>
  </si>
  <si>
    <t>Conforming</t>
  </si>
  <si>
    <t>Jumbo</t>
  </si>
  <si>
    <t>Alt-A</t>
  </si>
  <si>
    <t>Subprime</t>
  </si>
  <si>
    <t>Total</t>
  </si>
  <si>
    <t>Year</t>
  </si>
  <si>
    <t>Pct VA</t>
  </si>
  <si>
    <t>Pct FHA</t>
  </si>
  <si>
    <t>Pct Conforming</t>
  </si>
  <si>
    <t>Pct Jumbo</t>
  </si>
  <si>
    <t>Pct Alt-A</t>
  </si>
  <si>
    <t>Pct Subprime</t>
  </si>
  <si>
    <t>Pct Total</t>
  </si>
  <si>
    <t>Product Type</t>
  </si>
  <si>
    <t>Source</t>
  </si>
  <si>
    <t>Accordion</t>
  </si>
  <si>
    <t>FHA + 0.5 Conforming</t>
  </si>
  <si>
    <t>2x FHA</t>
  </si>
  <si>
    <t>Pct Conventional</t>
  </si>
  <si>
    <t>2xFHA</t>
  </si>
  <si>
    <t>Universe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</si>
</sst>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6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0.0%"/>
    <numFmt numFmtId="195" formatCode="_(* #,##0_);_(* \(#,##0\);_(* &quot;-&quot;??_);_(@_)"/>
  </numFmts>
  <fonts count="1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AD275C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color rgb="FF000000"/>
      <name val="Calibri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27">
    <xf numFmtId="0" fontId="0" fillId="0" borderId="0"/>
    <xf numFmtId="9" fontId="1" fillId="0" borderId="0" applyFont="0" applyFill="0" applyBorder="0" applyAlignment="0" applyProtection="0"/>
    <xf numFmtId="0" fontId="5" fillId="6" borderId="7" applyNumberFormat="0"/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9" borderId="0" applyNumberFormat="0" applyBorder="0" applyAlignment="0" applyProtection="0"/>
    <xf numFmtId="0" fontId="9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11" borderId="0" applyNumberFormat="0" applyBorder="0" applyAlignment="0" applyProtection="0"/>
    <xf numFmtId="0" fontId="11" fillId="13" borderId="0" applyNumberFormat="0" applyBorder="0" applyAlignment="0" applyProtection="0"/>
    <xf numFmtId="0" fontId="9" fillId="14" borderId="0" applyNumberFormat="0" applyBorder="0" applyAlignment="0" applyProtection="0"/>
    <xf numFmtId="0" fontId="10" fillId="15" borderId="0" applyNumberFormat="0" applyBorder="0" applyAlignment="0" applyProtection="0"/>
    <xf numFmtId="0" fontId="11" fillId="14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8" borderId="0" applyNumberFormat="0" applyBorder="0" applyAlignment="0" applyProtection="0"/>
    <xf numFmtId="0" fontId="9" fillId="16" borderId="0" applyNumberFormat="0" applyBorder="0" applyAlignment="0" applyProtection="0"/>
    <xf numFmtId="0" fontId="10" fillId="17" borderId="0" applyNumberFormat="0" applyBorder="0" applyAlignment="0" applyProtection="0"/>
    <xf numFmtId="0" fontId="11" fillId="18" borderId="0" applyNumberFormat="0" applyBorder="0" applyAlignment="0" applyProtection="0"/>
    <xf numFmtId="0" fontId="9" fillId="19" borderId="0" applyNumberFormat="0" applyBorder="0" applyAlignment="0" applyProtection="0"/>
    <xf numFmtId="0" fontId="10" fillId="19" borderId="0" applyNumberFormat="0" applyBorder="0" applyAlignment="0" applyProtection="0"/>
    <xf numFmtId="0" fontId="11" fillId="19" borderId="0" applyNumberFormat="0" applyBorder="0" applyAlignment="0" applyProtection="0"/>
    <xf numFmtId="0" fontId="9" fillId="10" borderId="0" applyNumberFormat="0" applyBorder="0" applyAlignment="0" applyProtection="0"/>
    <xf numFmtId="0" fontId="10" fillId="13" borderId="0" applyNumberFormat="0" applyBorder="0" applyAlignment="0" applyProtection="0"/>
    <xf numFmtId="0" fontId="11" fillId="20" borderId="0" applyNumberFormat="0" applyBorder="0" applyAlignment="0" applyProtection="0"/>
    <xf numFmtId="0" fontId="9" fillId="16" borderId="0" applyNumberFormat="0" applyBorder="0" applyAlignment="0" applyProtection="0"/>
    <xf numFmtId="0" fontId="10" fillId="21" borderId="0" applyNumberFormat="0" applyBorder="0" applyAlignment="0" applyProtection="0"/>
    <xf numFmtId="0" fontId="11" fillId="13" borderId="0" applyNumberFormat="0" applyBorder="0" applyAlignment="0" applyProtection="0"/>
    <xf numFmtId="0" fontId="9" fillId="18" borderId="0" applyNumberFormat="0" applyBorder="0" applyAlignment="0" applyProtection="0"/>
    <xf numFmtId="0" fontId="10" fillId="15" borderId="0" applyNumberFormat="0" applyBorder="0" applyAlignment="0" applyProtection="0"/>
    <xf numFmtId="0" fontId="11" fillId="18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22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5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6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3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8" borderId="0" applyNumberFormat="0" applyBorder="0" applyAlignment="0" applyProtection="0"/>
    <xf numFmtId="0" fontId="12" fillId="23" borderId="0" applyNumberFormat="0" applyBorder="0" applyAlignment="0" applyProtection="0"/>
    <xf numFmtId="0" fontId="13" fillId="29" borderId="0" applyNumberFormat="0" applyBorder="0" applyAlignment="0" applyProtection="0"/>
    <xf numFmtId="0" fontId="14" fillId="30" borderId="0" applyNumberFormat="0" applyBorder="0" applyAlignment="0" applyProtection="0"/>
    <xf numFmtId="0" fontId="12" fillId="31" borderId="0" applyNumberFormat="0" applyBorder="0" applyAlignment="0" applyProtection="0"/>
    <xf numFmtId="0" fontId="13" fillId="32" borderId="0" applyNumberFormat="0" applyBorder="0" applyAlignment="0" applyProtection="0"/>
    <xf numFmtId="0" fontId="14" fillId="31" borderId="0" applyNumberFormat="0" applyBorder="0" applyAlignment="0" applyProtection="0"/>
    <xf numFmtId="0" fontId="12" fillId="33" borderId="0" applyNumberFormat="0" applyBorder="0" applyAlignment="0" applyProtection="0"/>
    <xf numFmtId="0" fontId="13" fillId="32" borderId="0" applyNumberFormat="0" applyBorder="0" applyAlignment="0" applyProtection="0"/>
    <xf numFmtId="0" fontId="14" fillId="33" borderId="0" applyNumberFormat="0" applyBorder="0" applyAlignment="0" applyProtection="0"/>
    <xf numFmtId="0" fontId="12" fillId="29" borderId="0" applyNumberFormat="0" applyBorder="0" applyAlignment="0" applyProtection="0"/>
    <xf numFmtId="0" fontId="13" fillId="29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33" borderId="0" applyNumberFormat="0" applyBorder="0" applyAlignment="0" applyProtection="0"/>
    <xf numFmtId="0" fontId="14" fillId="23" borderId="0" applyNumberFormat="0" applyBorder="0" applyAlignment="0" applyProtection="0"/>
    <xf numFmtId="0" fontId="12" fillId="34" borderId="0" applyNumberFormat="0" applyBorder="0" applyAlignment="0" applyProtection="0"/>
    <xf numFmtId="0" fontId="13" fillId="34" borderId="0" applyNumberFormat="0" applyBorder="0" applyAlignment="0" applyProtection="0"/>
    <xf numFmtId="0" fontId="14" fillId="34" borderId="0" applyNumberFormat="0" applyBorder="0" applyAlignment="0" applyProtection="0"/>
    <xf numFmtId="0" fontId="7" fillId="0" borderId="0"/>
    <xf numFmtId="17" fontId="7" fillId="0" borderId="0" applyFont="0" applyFill="0" applyBorder="0" applyProtection="0">
      <alignment horizontal="left"/>
    </xf>
    <xf numFmtId="0" fontId="7" fillId="0" borderId="0" applyFont="0" applyFill="0" applyBorder="0" applyProtection="0">
      <alignment horizontal="left"/>
    </xf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9" borderId="0" applyNumberFormat="0" applyBorder="0" applyAlignment="0" applyProtection="0"/>
    <xf numFmtId="38" fontId="18" fillId="12" borderId="0"/>
    <xf numFmtId="0" fontId="19" fillId="0" borderId="0" applyNumberFormat="0" applyFill="0" applyBorder="0" applyAlignment="0" applyProtection="0"/>
    <xf numFmtId="0" fontId="20" fillId="35" borderId="0">
      <alignment horizontal="left"/>
    </xf>
    <xf numFmtId="2" fontId="21" fillId="36" borderId="8" applyProtection="0">
      <alignment horizontal="left"/>
      <protection locked="0"/>
    </xf>
    <xf numFmtId="0" fontId="22" fillId="0" borderId="0" applyNumberFormat="0" applyFill="0" applyBorder="0" applyAlignment="0" applyProtection="0"/>
    <xf numFmtId="0" fontId="23" fillId="0" borderId="1" applyNumberFormat="0" applyFill="0" applyAlignment="0" applyProtection="0"/>
    <xf numFmtId="0" fontId="7" fillId="37" borderId="0"/>
    <xf numFmtId="167" fontId="8" fillId="0" borderId="0" applyFont="0" applyFill="0" applyBorder="0" applyAlignment="0" applyProtection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0" fontId="7" fillId="0" borderId="0" applyFill="0" applyBorder="0" applyAlignment="0"/>
    <xf numFmtId="0" fontId="7" fillId="0" borderId="0" applyFill="0" applyBorder="0" applyAlignment="0"/>
    <xf numFmtId="168" fontId="25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6" fillId="12" borderId="9" applyNumberFormat="0" applyAlignment="0" applyProtection="0"/>
    <xf numFmtId="0" fontId="27" fillId="14" borderId="9" applyNumberFormat="0" applyAlignment="0" applyProtection="0"/>
    <xf numFmtId="0" fontId="28" fillId="16" borderId="9" applyNumberFormat="0" applyAlignment="0" applyProtection="0"/>
    <xf numFmtId="0" fontId="29" fillId="38" borderId="10" applyNumberFormat="0"/>
    <xf numFmtId="0" fontId="30" fillId="39" borderId="11" applyBorder="0">
      <alignment horizontal="center" wrapText="1"/>
    </xf>
    <xf numFmtId="0" fontId="30" fillId="2" borderId="11" applyBorder="0">
      <alignment horizontal="center" wrapText="1"/>
    </xf>
    <xf numFmtId="0" fontId="31" fillId="40" borderId="10" applyNumberFormat="0"/>
    <xf numFmtId="0" fontId="32" fillId="41" borderId="10" applyNumberFormat="0"/>
    <xf numFmtId="0" fontId="3" fillId="41" borderId="10" applyNumberFormat="0"/>
    <xf numFmtId="0" fontId="31" fillId="40" borderId="10" applyNumberFormat="0"/>
    <xf numFmtId="0" fontId="32" fillId="40" borderId="10" applyNumberFormat="0"/>
    <xf numFmtId="0" fontId="31" fillId="38" borderId="10" applyNumberFormat="0"/>
    <xf numFmtId="0" fontId="29" fillId="38" borderId="10" applyNumberFormat="0"/>
    <xf numFmtId="0" fontId="5" fillId="6" borderId="7" applyNumberFormat="0" applyBorder="0"/>
    <xf numFmtId="0" fontId="5" fillId="6" borderId="7" applyNumberFormat="0" applyBorder="0"/>
    <xf numFmtId="0" fontId="5" fillId="6" borderId="7" applyNumberFormat="0"/>
    <xf numFmtId="0" fontId="5" fillId="6" borderId="7" applyNumberFormat="0" applyBorder="0"/>
    <xf numFmtId="14" fontId="33" fillId="40" borderId="12" applyNumberFormat="0" applyAlignment="0"/>
    <xf numFmtId="14" fontId="33" fillId="41" borderId="12" applyNumberFormat="0" applyAlignment="0"/>
    <xf numFmtId="14" fontId="34" fillId="41" borderId="12" applyNumberFormat="0" applyAlignment="0"/>
    <xf numFmtId="0" fontId="35" fillId="42" borderId="13" applyNumberFormat="0" applyAlignment="0" applyProtection="0"/>
    <xf numFmtId="0" fontId="36" fillId="42" borderId="13" applyNumberFormat="0" applyAlignment="0" applyProtection="0"/>
    <xf numFmtId="0" fontId="37" fillId="42" borderId="13" applyNumberFormat="0" applyAlignment="0" applyProtection="0"/>
    <xf numFmtId="0" fontId="38" fillId="0" borderId="0" applyNumberFormat="0" applyFill="0" applyBorder="0" applyAlignment="0" applyProtection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0" fontId="24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3" fontId="7" fillId="0" borderId="0" applyFill="0" applyBorder="0" applyAlignment="0" applyProtection="0"/>
    <xf numFmtId="0" fontId="41" fillId="0" borderId="0"/>
    <xf numFmtId="0" fontId="42" fillId="0" borderId="0" applyNumberFormat="0" applyAlignment="0">
      <alignment horizontal="left"/>
    </xf>
    <xf numFmtId="0" fontId="43" fillId="0" borderId="0">
      <alignment horizontal="center"/>
    </xf>
    <xf numFmtId="0" fontId="41" fillId="0" borderId="0"/>
    <xf numFmtId="0" fontId="24" fillId="0" borderId="0" applyFont="0" applyFill="0" applyBorder="0" applyAlignment="0" applyProtection="0"/>
    <xf numFmtId="169" fontId="7" fillId="0" borderId="0" applyFont="0" applyFill="0" applyBorder="0" applyAlignment="0" applyProtection="0"/>
    <xf numFmtId="8" fontId="44" fillId="0" borderId="14">
      <protection locked="0"/>
    </xf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5" fontId="7" fillId="0" borderId="0" applyFill="0" applyBorder="0" applyAlignment="0" applyProtection="0"/>
    <xf numFmtId="173" fontId="8" fillId="0" borderId="0" applyFont="0" applyFill="0" applyBorder="0" applyAlignment="0" applyProtection="0"/>
    <xf numFmtId="10" fontId="7" fillId="0" borderId="0" applyFont="0" applyFill="0" applyBorder="0" applyProtection="0">
      <alignment horizontal="center"/>
    </xf>
    <xf numFmtId="174" fontId="7" fillId="0" borderId="0" applyFont="0" applyFill="0" applyBorder="0" applyProtection="0"/>
    <xf numFmtId="175" fontId="7" fillId="0" borderId="0" applyFont="0" applyFill="0" applyBorder="0" applyProtection="0"/>
    <xf numFmtId="15" fontId="45" fillId="0" borderId="0" applyFont="0" applyFill="0" applyBorder="0" applyAlignment="0" applyProtection="0"/>
    <xf numFmtId="0" fontId="41" fillId="0" borderId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5" fontId="10" fillId="12" borderId="0"/>
    <xf numFmtId="14" fontId="10" fillId="0" borderId="0" applyFill="0" applyBorder="0" applyAlignment="0"/>
    <xf numFmtId="0" fontId="43" fillId="36" borderId="0">
      <alignment horizontal="left"/>
    </xf>
    <xf numFmtId="176" fontId="7" fillId="0" borderId="0" applyFill="0" applyBorder="0" applyAlignment="0" applyProtection="0"/>
    <xf numFmtId="14" fontId="7" fillId="0" borderId="0"/>
    <xf numFmtId="0" fontId="46" fillId="19" borderId="0">
      <alignment horizontal="left"/>
    </xf>
    <xf numFmtId="0" fontId="47" fillId="0" borderId="0">
      <alignment horizontal="left"/>
    </xf>
    <xf numFmtId="38" fontId="48" fillId="0" borderId="15">
      <alignment vertical="center"/>
    </xf>
    <xf numFmtId="177" fontId="7" fillId="0" borderId="0">
      <alignment horizontal="right"/>
    </xf>
    <xf numFmtId="1" fontId="7" fillId="0" borderId="0">
      <alignment horizontal="right"/>
    </xf>
    <xf numFmtId="1" fontId="7" fillId="0" borderId="0">
      <alignment horizontal="right"/>
    </xf>
    <xf numFmtId="178" fontId="7" fillId="0" borderId="0">
      <alignment horizontal="right"/>
    </xf>
    <xf numFmtId="49" fontId="7" fillId="0" borderId="0">
      <alignment horizontal="left"/>
    </xf>
    <xf numFmtId="49" fontId="7" fillId="0" borderId="0">
      <alignment horizontal="left"/>
    </xf>
    <xf numFmtId="49" fontId="7" fillId="0" borderId="0">
      <alignment horizontal="right"/>
    </xf>
    <xf numFmtId="14" fontId="7" fillId="0" borderId="0">
      <alignment horizontal="left"/>
    </xf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49" fillId="0" borderId="0" applyNumberFormat="0" applyAlignment="0">
      <alignment horizontal="left"/>
    </xf>
    <xf numFmtId="9" fontId="50" fillId="0" borderId="6" applyNumberFormat="0" applyBorder="0" applyAlignment="0">
      <protection locked="0"/>
    </xf>
    <xf numFmtId="179" fontId="7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2" fontId="7" fillId="0" borderId="0" applyFill="0" applyBorder="0" applyAlignment="0" applyProtection="0"/>
    <xf numFmtId="180" fontId="7" fillId="0" borderId="0" applyFont="0" applyFill="0" applyBorder="0" applyAlignment="0" applyProtection="0"/>
    <xf numFmtId="0" fontId="10" fillId="12" borderId="0"/>
    <xf numFmtId="0" fontId="54" fillId="11" borderId="0" applyNumberFormat="0" applyBorder="0" applyAlignment="0" applyProtection="0"/>
    <xf numFmtId="0" fontId="55" fillId="15" borderId="0" applyNumberFormat="0" applyBorder="0" applyAlignment="0" applyProtection="0"/>
    <xf numFmtId="0" fontId="56" fillId="11" borderId="0" applyNumberFormat="0" applyBorder="0" applyAlignment="0" applyProtection="0"/>
    <xf numFmtId="2" fontId="57" fillId="36" borderId="8" applyProtection="0">
      <alignment horizontal="left"/>
      <protection locked="0"/>
    </xf>
    <xf numFmtId="38" fontId="38" fillId="43" borderId="0" applyNumberFormat="0" applyBorder="0" applyAlignment="0" applyProtection="0"/>
    <xf numFmtId="0" fontId="58" fillId="0" borderId="16" applyNumberFormat="0" applyAlignment="0" applyProtection="0">
      <alignment horizontal="left" vertical="center"/>
    </xf>
    <xf numFmtId="0" fontId="58" fillId="0" borderId="2">
      <alignment horizontal="left" vertical="center"/>
    </xf>
    <xf numFmtId="0" fontId="59" fillId="16" borderId="6">
      <alignment horizontal="centerContinuous"/>
    </xf>
    <xf numFmtId="0" fontId="60" fillId="0" borderId="17" applyNumberFormat="0" applyFill="0" applyAlignment="0" applyProtection="0"/>
    <xf numFmtId="0" fontId="61" fillId="0" borderId="18" applyNumberFormat="0" applyFill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19" applyNumberFormat="0" applyFill="0" applyAlignment="0" applyProtection="0"/>
    <xf numFmtId="0" fontId="65" fillId="0" borderId="20" applyNumberFormat="0" applyFill="0" applyAlignment="0" applyProtection="0"/>
    <xf numFmtId="0" fontId="66" fillId="0" borderId="21" applyNumberFormat="0" applyFill="0" applyAlignment="0" applyProtection="0"/>
    <xf numFmtId="0" fontId="46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20" applyNumberFormat="0" applyFill="0" applyAlignment="0" applyProtection="0"/>
    <xf numFmtId="0" fontId="68" fillId="0" borderId="22" applyNumberFormat="0" applyFill="0" applyAlignment="0" applyProtection="0"/>
    <xf numFmtId="0" fontId="69" fillId="0" borderId="23" applyNumberFormat="0" applyFill="0" applyAlignment="0" applyProtection="0"/>
    <xf numFmtId="0" fontId="70" fillId="0" borderId="24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12" borderId="0"/>
    <xf numFmtId="0" fontId="63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72" fillId="0" borderId="0" applyNumberFormat="0" applyFill="0" applyBorder="0" applyAlignment="0" applyProtection="0">
      <alignment vertical="top"/>
      <protection locked="0"/>
    </xf>
    <xf numFmtId="10" fontId="38" fillId="44" borderId="6" applyNumberFormat="0" applyBorder="0" applyAlignment="0" applyProtection="0"/>
    <xf numFmtId="2" fontId="73" fillId="0" borderId="25" applyNumberFormat="0" applyFill="0" applyBorder="0" applyAlignment="0">
      <alignment horizontal="center"/>
      <protection locked="0"/>
    </xf>
    <xf numFmtId="2" fontId="73" fillId="0" borderId="25" applyNumberFormat="0" applyFill="0" applyBorder="0" applyAlignment="0">
      <alignment horizontal="center"/>
      <protection locked="0"/>
    </xf>
    <xf numFmtId="0" fontId="2" fillId="3" borderId="4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37" fontId="75" fillId="0" borderId="0" applyNumberFormat="0" applyAlignment="0">
      <protection locked="0"/>
    </xf>
    <xf numFmtId="0" fontId="76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7" fillId="0" borderId="26" applyNumberFormat="0" applyFill="0" applyAlignment="0" applyProtection="0"/>
    <xf numFmtId="0" fontId="78" fillId="0" borderId="26" applyNumberFormat="0" applyFill="0" applyAlignment="0" applyProtection="0"/>
    <xf numFmtId="0" fontId="79" fillId="0" borderId="26" applyNumberFormat="0" applyFill="0" applyAlignment="0" applyProtection="0"/>
    <xf numFmtId="0" fontId="7" fillId="43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38" fontId="10" fillId="12" borderId="0"/>
    <xf numFmtId="0" fontId="80" fillId="8" borderId="0" applyNumberFormat="0" applyBorder="0" applyAlignment="0" applyProtection="0"/>
    <xf numFmtId="0" fontId="81" fillId="13" borderId="0" applyNumberFormat="0" applyBorder="0" applyAlignment="0" applyProtection="0"/>
    <xf numFmtId="0" fontId="82" fillId="37" borderId="0" applyNumberFormat="0" applyBorder="0" applyAlignment="0" applyProtection="0"/>
    <xf numFmtId="37" fontId="83" fillId="0" borderId="0"/>
    <xf numFmtId="0" fontId="46" fillId="12" borderId="0" applyNumberFormat="0" applyFont="0" applyFill="0" applyBorder="0" applyAlignment="0"/>
    <xf numFmtId="10" fontId="10" fillId="12" borderId="0"/>
    <xf numFmtId="181" fontId="84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31" fillId="40" borderId="0"/>
    <xf numFmtId="0" fontId="31" fillId="40" borderId="0"/>
    <xf numFmtId="0" fontId="31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31" fillId="40" borderId="0"/>
    <xf numFmtId="0" fontId="1" fillId="0" borderId="0"/>
    <xf numFmtId="0" fontId="1" fillId="0" borderId="0"/>
    <xf numFmtId="0" fontId="7" fillId="0" borderId="0">
      <alignment vertical="top"/>
    </xf>
    <xf numFmtId="0" fontId="7" fillId="0" borderId="0">
      <alignment vertical="top"/>
    </xf>
    <xf numFmtId="0" fontId="1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5" fillId="0" borderId="0"/>
    <xf numFmtId="0" fontId="7" fillId="0" borderId="0"/>
    <xf numFmtId="0" fontId="7" fillId="0" borderId="0"/>
    <xf numFmtId="0" fontId="31" fillId="4" borderId="5" applyNumberFormat="0" applyFont="0" applyAlignment="0" applyProtection="0"/>
    <xf numFmtId="0" fontId="10" fillId="10" borderId="27" applyNumberFormat="0" applyFont="0" applyAlignment="0" applyProtection="0"/>
    <xf numFmtId="0" fontId="86" fillId="10" borderId="27" applyNumberFormat="0" applyFont="0" applyAlignment="0" applyProtection="0"/>
    <xf numFmtId="0" fontId="31" fillId="4" borderId="5" applyNumberFormat="0" applyFont="0" applyAlignment="0" applyProtection="0"/>
    <xf numFmtId="0" fontId="87" fillId="0" borderId="0"/>
    <xf numFmtId="0" fontId="11" fillId="10" borderId="27" applyNumberFormat="0" applyFont="0" applyAlignment="0" applyProtection="0"/>
    <xf numFmtId="0" fontId="31" fillId="4" borderId="5" applyNumberFormat="0" applyFont="0" applyAlignment="0" applyProtection="0"/>
    <xf numFmtId="0" fontId="3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182" fontId="24" fillId="0" borderId="0">
      <alignment horizontal="center"/>
    </xf>
    <xf numFmtId="37" fontId="7" fillId="0" borderId="0"/>
    <xf numFmtId="183" fontId="38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84" fontId="88" fillId="0" borderId="0" applyNumberFormat="0" applyFill="0" applyBorder="0" applyAlignment="0" applyProtection="0"/>
    <xf numFmtId="164" fontId="24" fillId="0" borderId="0">
      <alignment horizontal="center"/>
    </xf>
    <xf numFmtId="0" fontId="31" fillId="7" borderId="0" applyNumberFormat="0" applyFont="0" applyBorder="0" applyAlignment="0" applyProtection="0"/>
    <xf numFmtId="0" fontId="88" fillId="0" borderId="28"/>
    <xf numFmtId="2" fontId="89" fillId="36" borderId="8">
      <alignment horizontal="left"/>
    </xf>
    <xf numFmtId="0" fontId="90" fillId="12" borderId="29" applyNumberFormat="0" applyAlignment="0" applyProtection="0"/>
    <xf numFmtId="0" fontId="91" fillId="14" borderId="29" applyNumberFormat="0" applyAlignment="0" applyProtection="0"/>
    <xf numFmtId="0" fontId="92" fillId="16" borderId="29" applyNumberFormat="0" applyAlignment="0" applyProtection="0"/>
    <xf numFmtId="40" fontId="10" fillId="36" borderId="0">
      <alignment horizontal="right"/>
    </xf>
    <xf numFmtId="0" fontId="93" fillId="44" borderId="0">
      <alignment horizontal="center"/>
    </xf>
    <xf numFmtId="0" fontId="36" fillId="45" borderId="8"/>
    <xf numFmtId="0" fontId="94" fillId="0" borderId="0" applyBorder="0">
      <alignment horizontal="centerContinuous"/>
    </xf>
    <xf numFmtId="0" fontId="95" fillId="0" borderId="0" applyBorder="0">
      <alignment horizontal="centerContinuous"/>
    </xf>
    <xf numFmtId="0" fontId="58" fillId="0" borderId="0"/>
    <xf numFmtId="0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0" fontId="96" fillId="0" borderId="0" applyFont="0" applyFill="0" applyBorder="0" applyAlignment="0" applyProtection="0"/>
    <xf numFmtId="185" fontId="25" fillId="0" borderId="0" applyFont="0" applyFill="0" applyBorder="0" applyAlignment="0" applyProtection="0"/>
    <xf numFmtId="10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8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186" fontId="24" fillId="0" borderId="0">
      <alignment horizontal="center"/>
    </xf>
    <xf numFmtId="187" fontId="24" fillId="0" borderId="6">
      <alignment horizontal="center"/>
    </xf>
    <xf numFmtId="0" fontId="97" fillId="0" borderId="30" applyAlignment="0">
      <alignment horizontal="center"/>
    </xf>
    <xf numFmtId="0" fontId="98" fillId="43" borderId="0"/>
    <xf numFmtId="0" fontId="48" fillId="0" borderId="0" applyNumberFormat="0" applyFont="0" applyFill="0" applyBorder="0" applyAlignment="0" applyProtection="0">
      <alignment horizontal="left"/>
    </xf>
    <xf numFmtId="0" fontId="99" fillId="0" borderId="3">
      <alignment horizontal="center"/>
    </xf>
    <xf numFmtId="0" fontId="45" fillId="0" borderId="0">
      <alignment vertical="top"/>
    </xf>
    <xf numFmtId="188" fontId="45" fillId="0" borderId="0">
      <alignment vertical="top"/>
    </xf>
    <xf numFmtId="0" fontId="97" fillId="0" borderId="0">
      <alignment horizontal="left"/>
    </xf>
    <xf numFmtId="0" fontId="97" fillId="0" borderId="0">
      <alignment horizontal="right"/>
    </xf>
    <xf numFmtId="0" fontId="10" fillId="0" borderId="8" applyNumberFormat="0" applyBorder="0" applyAlignment="0"/>
    <xf numFmtId="189" fontId="100" fillId="0" borderId="0" applyNumberFormat="0" applyFill="0" applyBorder="0" applyAlignment="0" applyProtection="0">
      <alignment horizontal="left"/>
    </xf>
    <xf numFmtId="0" fontId="46" fillId="33" borderId="0">
      <alignment horizontal="left"/>
    </xf>
    <xf numFmtId="0" fontId="101" fillId="0" borderId="31"/>
    <xf numFmtId="187" fontId="21" fillId="10" borderId="0">
      <alignment horizontal="center"/>
    </xf>
    <xf numFmtId="187" fontId="102" fillId="10" borderId="0">
      <alignment horizontal="center"/>
    </xf>
    <xf numFmtId="187" fontId="21" fillId="11" borderId="0">
      <alignment horizontal="center"/>
    </xf>
    <xf numFmtId="0" fontId="21" fillId="10" borderId="0">
      <alignment horizontal="left"/>
    </xf>
    <xf numFmtId="0" fontId="103" fillId="0" borderId="0" applyFont="0" applyFill="0" applyBorder="0" applyAlignment="0" applyProtection="0"/>
    <xf numFmtId="190" fontId="25" fillId="0" borderId="0" applyFont="0" applyFill="0" applyBorder="0" applyAlignment="0" applyProtection="0"/>
    <xf numFmtId="191" fontId="7" fillId="0" borderId="0"/>
    <xf numFmtId="0" fontId="7" fillId="0" borderId="0"/>
    <xf numFmtId="0" fontId="7" fillId="0" borderId="0">
      <alignment horizontal="left" wrapText="1"/>
    </xf>
    <xf numFmtId="0" fontId="21" fillId="10" borderId="0">
      <alignment horizontal="center"/>
    </xf>
    <xf numFmtId="0" fontId="97" fillId="0" borderId="0"/>
    <xf numFmtId="0" fontId="104" fillId="0" borderId="0"/>
    <xf numFmtId="40" fontId="105" fillId="0" borderId="0" applyBorder="0">
      <alignment horizontal="right"/>
    </xf>
    <xf numFmtId="0" fontId="7" fillId="36" borderId="27"/>
    <xf numFmtId="0" fontId="24" fillId="0" borderId="0">
      <alignment horizontal="center"/>
    </xf>
    <xf numFmtId="15" fontId="24" fillId="0" borderId="0">
      <alignment horizontal="center"/>
    </xf>
    <xf numFmtId="0" fontId="106" fillId="0" borderId="0">
      <alignment horizontal="center"/>
    </xf>
    <xf numFmtId="3" fontId="24" fillId="0" borderId="0">
      <alignment horizontal="center"/>
    </xf>
    <xf numFmtId="192" fontId="24" fillId="0" borderId="0">
      <alignment horizontal="center"/>
    </xf>
    <xf numFmtId="187" fontId="24" fillId="0" borderId="0">
      <alignment horizontal="center"/>
    </xf>
    <xf numFmtId="0" fontId="107" fillId="46" borderId="0"/>
    <xf numFmtId="193" fontId="24" fillId="0" borderId="0">
      <alignment horizontal="center"/>
    </xf>
    <xf numFmtId="193" fontId="24" fillId="0" borderId="32">
      <alignment horizontal="center"/>
    </xf>
    <xf numFmtId="0" fontId="24" fillId="0" borderId="0">
      <alignment horizontal="left"/>
    </xf>
    <xf numFmtId="0" fontId="108" fillId="0" borderId="0">
      <alignment horizontal="center"/>
    </xf>
    <xf numFmtId="0" fontId="109" fillId="0" borderId="0" applyNumberFormat="0" applyFill="0" applyBorder="0"/>
    <xf numFmtId="0" fontId="10" fillId="12" borderId="0"/>
    <xf numFmtId="49" fontId="10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49" fontId="7" fillId="0" borderId="0"/>
    <xf numFmtId="0" fontId="110" fillId="0" borderId="0">
      <alignment horizontal="right"/>
    </xf>
    <xf numFmtId="0" fontId="111" fillId="0" borderId="0">
      <alignment horizontal="right"/>
      <protection locked="0"/>
    </xf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8" fillId="12" borderId="0"/>
    <xf numFmtId="0" fontId="31" fillId="47" borderId="33" applyBorder="0">
      <alignment horizontal="center" wrapText="1"/>
    </xf>
    <xf numFmtId="0" fontId="30" fillId="39" borderId="11" applyBorder="0">
      <alignment horizontal="center" wrapText="1"/>
    </xf>
    <xf numFmtId="0" fontId="31" fillId="48" borderId="11" applyBorder="0">
      <alignment horizontal="center" wrapText="1"/>
    </xf>
    <xf numFmtId="0" fontId="30" fillId="2" borderId="11" applyBorder="0">
      <alignment horizontal="center" wrapText="1"/>
    </xf>
    <xf numFmtId="0" fontId="6" fillId="49" borderId="11" applyBorder="0">
      <alignment horizontal="center" wrapText="1"/>
    </xf>
    <xf numFmtId="0" fontId="30" fillId="50" borderId="11" applyBorder="0">
      <alignment horizontal="center" wrapText="1"/>
    </xf>
    <xf numFmtId="0" fontId="30" fillId="50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97" fillId="0" borderId="0" applyNumberFormat="0" applyFill="0" applyBorder="0" applyAlignment="0" applyProtection="0"/>
    <xf numFmtId="0" fontId="115" fillId="0" borderId="34" applyNumberFormat="0" applyFill="0" applyAlignment="0" applyProtection="0"/>
    <xf numFmtId="0" fontId="18" fillId="0" borderId="35" applyNumberFormat="0" applyFill="0" applyAlignment="0" applyProtection="0"/>
    <xf numFmtId="0" fontId="7" fillId="0" borderId="36" applyNumberFormat="0" applyFill="0" applyAlignment="0" applyProtection="0"/>
    <xf numFmtId="0" fontId="116" fillId="0" borderId="37" applyNumberFormat="0" applyFill="0" applyAlignment="0" applyProtection="0"/>
    <xf numFmtId="0" fontId="117" fillId="12" borderId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1" fontId="121" fillId="40" borderId="12"/>
    <xf numFmtId="1" fontId="121" fillId="41" borderId="12"/>
    <xf numFmtId="2" fontId="122" fillId="41" borderId="12"/>
    <xf numFmtId="0" fontId="123" fillId="40" borderId="7" applyNumberFormat="0" applyAlignment="0"/>
    <xf numFmtId="0" fontId="124" fillId="41" borderId="7" applyNumberFormat="0" applyAlignment="0"/>
    <xf numFmtId="1" fontId="125" fillId="41" borderId="12" applyNumberFormat="0"/>
    <xf numFmtId="177" fontId="126" fillId="41" borderId="12" applyNumberFormat="0"/>
    <xf numFmtId="0" fontId="7" fillId="0" borderId="0"/>
    <xf numFmtId="43" fontId="1" fillId="0" borderId="0" applyFont="0" applyFill="0" applyBorder="0" applyAlignment="0" applyProtection="0"/>
  </cellStyleXfs>
  <cellXfs count="47">
    <xf numFmtId="0" fontId="0" fillId="0" borderId="0" xfId="0"/>
    <xf numFmtId="0" fontId="4" fillId="0" borderId="6" xfId="0" applyFont="1" applyBorder="1"/>
    <xf numFmtId="0" fontId="5" fillId="6" borderId="6" xfId="2" applyFont="1" applyBorder="1" applyAlignment="1">
      <alignment horizontal="center"/>
    </xf>
    <xf numFmtId="14" fontId="5" fillId="6" borderId="6" xfId="2" applyNumberFormat="1" applyFont="1" applyBorder="1"/>
    <xf numFmtId="0" fontId="5" fillId="6" borderId="6" xfId="2" applyFont="1" applyBorder="1" applyAlignment="1">
      <alignment horizontal="left"/>
    </xf>
    <xf numFmtId="0" fontId="31" fillId="40" borderId="0" xfId="350"/>
    <xf numFmtId="0" fontId="31" fillId="40" borderId="0" xfId="350" applyFont="1"/>
    <xf numFmtId="14" fontId="31" fillId="40" borderId="0" xfId="350" applyNumberFormat="1" applyFont="1"/>
    <xf numFmtId="0" fontId="127" fillId="40" borderId="0" xfId="350" applyFont="1"/>
    <xf numFmtId="14" fontId="0" fillId="0" borderId="0" xfId="0" applyNumberFormat="1"/>
    <xf numFmtId="0" fontId="6" fillId="0" borderId="0" xfId="0" applyFont="1"/>
    <xf numFmtId="0" fontId="31" fillId="40" borderId="0" xfId="350" applyNumberFormat="1" applyFont="1"/>
    <xf numFmtId="0" fontId="31" fillId="40" borderId="0" xfId="350" applyFont="1" applyAlignment="1">
      <alignment horizontal="center"/>
    </xf>
    <xf numFmtId="164" fontId="6" fillId="0" borderId="38" xfId="1" applyNumberFormat="1" applyFont="1" applyBorder="1" applyAlignment="1">
      <alignment horizontal="center"/>
    </xf>
    <xf numFmtId="164" fontId="0" fillId="0" borderId="39" xfId="0" applyNumberFormat="1" applyBorder="1" applyAlignment="1">
      <alignment horizontal="center"/>
    </xf>
    <xf numFmtId="0" fontId="128" fillId="0" borderId="0" xfId="0" applyFont="1"/>
    <xf numFmtId="0" fontId="31" fillId="52" borderId="0" xfId="350" applyFont="1" applyFill="1" applyAlignment="1">
      <alignment horizontal="center"/>
    </xf>
    <xf numFmtId="0" fontId="129" fillId="40" borderId="0" xfId="350" applyFont="1"/>
    <xf numFmtId="194" fontId="0" fillId="0" borderId="40" xfId="1" applyNumberFormat="1" applyFont="1" applyBorder="1" applyAlignment="1">
      <alignment horizontal="center"/>
    </xf>
    <xf numFmtId="164" fontId="130" fillId="51" borderId="38" xfId="0" applyNumberFormat="1" applyFont="1" applyFill="1" applyBorder="1" applyAlignment="1">
      <alignment horizontal="center" vertical="center"/>
    </xf>
    <xf numFmtId="164" fontId="130" fillId="51" borderId="40" xfId="0" applyNumberFormat="1" applyFont="1" applyFill="1" applyBorder="1" applyAlignment="1">
      <alignment horizontal="center" vertical="center"/>
    </xf>
    <xf numFmtId="164" fontId="130" fillId="51" borderId="39" xfId="0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6" fillId="0" borderId="39" xfId="1" applyNumberFormat="1" applyFont="1" applyBorder="1" applyAlignment="1">
      <alignment horizontal="center"/>
    </xf>
    <xf numFmtId="194" fontId="6" fillId="0" borderId="40" xfId="1" applyNumberFormat="1" applyFont="1" applyBorder="1" applyAlignment="1">
      <alignment horizontal="center"/>
    </xf>
    <xf numFmtId="9" fontId="31" fillId="40" borderId="0" xfId="1" applyFont="1" applyFill="1"/>
    <xf numFmtId="9" fontId="127" fillId="40" borderId="0" xfId="1" applyFont="1" applyFill="1"/>
    <xf numFmtId="9" fontId="31" fillId="40" borderId="0" xfId="1" applyFont="1" applyFill="1" applyAlignment="1">
      <alignment horizontal="center"/>
    </xf>
    <xf numFmtId="9" fontId="6" fillId="0" borderId="0" xfId="1" applyFont="1"/>
    <xf numFmtId="9" fontId="0" fillId="0" borderId="0" xfId="1" applyFont="1"/>
    <xf numFmtId="14" fontId="31" fillId="53" borderId="0" xfId="350" applyNumberFormat="1" applyFont="1" applyFill="1"/>
    <xf numFmtId="0" fontId="6" fillId="53" borderId="0" xfId="0" applyFont="1" applyFill="1"/>
    <xf numFmtId="0" fontId="6" fillId="0" borderId="0" xfId="0" applyNumberFormat="1" applyFont="1"/>
    <xf numFmtId="9" fontId="6" fillId="53" borderId="0" xfId="1" applyFont="1" applyFill="1"/>
    <xf numFmtId="0" fontId="131" fillId="40" borderId="0" xfId="350" applyNumberFormat="1" applyFont="1"/>
    <xf numFmtId="0" fontId="132" fillId="0" borderId="0" xfId="0" applyFont="1"/>
    <xf numFmtId="0" fontId="132" fillId="53" borderId="0" xfId="0" applyFont="1" applyFill="1"/>
    <xf numFmtId="0" fontId="131" fillId="40" borderId="0" xfId="350" applyFont="1" applyAlignment="1">
      <alignment horizontal="center"/>
    </xf>
    <xf numFmtId="0" fontId="131" fillId="40" borderId="0" xfId="350" applyFont="1"/>
    <xf numFmtId="195" fontId="133" fillId="0" borderId="0" xfId="526" applyNumberFormat="1" applyFont="1" applyAlignment="1">
      <alignment horizontal="center"/>
    </xf>
    <xf numFmtId="195" fontId="0" fillId="0" borderId="0" xfId="526" applyNumberFormat="1" applyFont="1" applyAlignment="1">
      <alignment horizontal="center"/>
    </xf>
    <xf numFmtId="195" fontId="0" fillId="0" borderId="0" xfId="0" applyNumberFormat="1"/>
    <xf numFmtId="0" fontId="133" fillId="0" borderId="0" xfId="0" applyFont="1"/>
    <xf numFmtId="9" fontId="0" fillId="0" borderId="0" xfId="0" applyNumberFormat="1"/>
    <xf numFmtId="194" fontId="0" fillId="0" borderId="0" xfId="1" applyNumberFormat="1" applyFont="1"/>
    <xf numFmtId="0" fontId="133" fillId="0" borderId="1" xfId="0" applyFont="1" applyBorder="1" applyAlignment="1">
      <alignment horizontal="center"/>
    </xf>
  </cellXfs>
  <cellStyles count="527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2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" xfId="526" builtinId="3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1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104">
    <dxf>
      <font>
        <color rgb="FFC00000"/>
      </font>
    </dxf>
    <dxf>
      <font>
        <color rgb="FFC00000"/>
      </font>
    </dxf>
    <dxf>
      <font>
        <color rgb="FFC00000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7732D"/>
      <color rgb="FF1B7A76"/>
      <color rgb="FFAD275C"/>
      <color rgb="FF2E398A"/>
      <color rgb="FF74B629"/>
      <color rgb="FFC8C4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One Month Changes - Recent 1 Year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'Time Series Query'!$AI$4</c:f>
              <c:strCache>
                <c:ptCount val="1"/>
                <c:pt idx="0">
                  <c:v>Changes</c:v>
                </c:pt>
              </c:strCache>
            </c:strRef>
          </c:tx>
          <c:spPr>
            <a:solidFill>
              <a:srgbClr val="AD275C"/>
            </a:solidFill>
            <a:ln>
              <a:noFill/>
            </a:ln>
          </c:spPr>
          <c:invertIfNegative val="0"/>
          <c:cat>
            <c:strRef>
              <c:f>'Time Series Query'!$AG$5:$AG$16</c:f>
              <c:strCache>
                <c:ptCount val="12"/>
                <c:pt idx="0">
                  <c:v>2015-7</c:v>
                </c:pt>
                <c:pt idx="1">
                  <c:v>2015-6</c:v>
                </c:pt>
                <c:pt idx="2">
                  <c:v>2015-5</c:v>
                </c:pt>
                <c:pt idx="3">
                  <c:v>2015-4</c:v>
                </c:pt>
                <c:pt idx="4">
                  <c:v>2015-3</c:v>
                </c:pt>
                <c:pt idx="5">
                  <c:v>2015-2</c:v>
                </c:pt>
                <c:pt idx="6">
                  <c:v>2015-1</c:v>
                </c:pt>
                <c:pt idx="7">
                  <c:v>2014-12</c:v>
                </c:pt>
                <c:pt idx="8">
                  <c:v>2014-11</c:v>
                </c:pt>
                <c:pt idx="9">
                  <c:v>2014-10</c:v>
                </c:pt>
                <c:pt idx="10">
                  <c:v>2014-9</c:v>
                </c:pt>
                <c:pt idx="11">
                  <c:v>2014-8</c:v>
                </c:pt>
              </c:strCache>
            </c:strRef>
          </c:cat>
          <c:val>
            <c:numRef>
              <c:f>'Time Series Query'!$AI$5:$AI$16</c:f>
              <c:numCache>
                <c:formatCode>General</c:formatCode>
                <c:ptCount val="12"/>
                <c:pt idx="0">
                  <c:v>-9.237159696622669</c:v>
                </c:pt>
                <c:pt idx="1">
                  <c:v>-0.44259907693866296</c:v>
                </c:pt>
                <c:pt idx="2">
                  <c:v>1.1986894263626766</c:v>
                </c:pt>
                <c:pt idx="3">
                  <c:v>-10.819160289196006</c:v>
                </c:pt>
                <c:pt idx="4">
                  <c:v>-0.99549242061868881</c:v>
                </c:pt>
                <c:pt idx="5">
                  <c:v>5.5776888994633396</c:v>
                </c:pt>
                <c:pt idx="6">
                  <c:v>-1.2149666502266712</c:v>
                </c:pt>
                <c:pt idx="7">
                  <c:v>2.6500484790566645</c:v>
                </c:pt>
                <c:pt idx="8">
                  <c:v>3.7901319208433364</c:v>
                </c:pt>
                <c:pt idx="9">
                  <c:v>0.49197567056067726</c:v>
                </c:pt>
                <c:pt idx="10">
                  <c:v>-0.11322836864734143</c:v>
                </c:pt>
                <c:pt idx="11">
                  <c:v>-5.0739057982933389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4196480"/>
        <c:axId val="184431744"/>
      </c:barChart>
      <c:catAx>
        <c:axId val="184196480"/>
        <c:scaling>
          <c:orientation val="maxMin"/>
        </c:scaling>
        <c:delete val="0"/>
        <c:axPos val="b"/>
        <c:numFmt formatCode="General" sourceLinked="0"/>
        <c:majorTickMark val="out"/>
        <c:minorTickMark val="none"/>
        <c:tickLblPos val="low"/>
        <c:crossAx val="18443174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84431744"/>
        <c:scaling>
          <c:orientation val="minMax"/>
        </c:scaling>
        <c:delete val="0"/>
        <c:axPos val="r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Cradit Availability Changes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84196480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strRef>
              <c:f>'Time Series Query'!$BK$4</c:f>
              <c:strCache>
                <c:ptCount val="1"/>
                <c:pt idx="0">
                  <c:v>Conventional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ymbol val="none"/>
          </c:marker>
          <c:cat>
            <c:strRef>
              <c:f>'Time Series Query'!$BJ$5:$BJ$151</c:f>
              <c:strCache>
                <c:ptCount val="147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</c:strCache>
            </c:strRef>
          </c:cat>
          <c:val>
            <c:numRef>
              <c:f>'Time Series Query'!$BK$5:$BK$151</c:f>
              <c:numCache>
                <c:formatCode>General</c:formatCode>
                <c:ptCount val="147"/>
                <c:pt idx="0">
                  <c:v>2.1450741055419598E-2</c:v>
                </c:pt>
                <c:pt idx="1">
                  <c:v>2.0777950043804699E-2</c:v>
                </c:pt>
                <c:pt idx="2">
                  <c:v>2.24205388581304E-2</c:v>
                </c:pt>
                <c:pt idx="3">
                  <c:v>2.1746038746394102E-2</c:v>
                </c:pt>
                <c:pt idx="4">
                  <c:v>1.7642684597579599E-2</c:v>
                </c:pt>
                <c:pt idx="5">
                  <c:v>1.64145800400433E-2</c:v>
                </c:pt>
                <c:pt idx="6">
                  <c:v>2.1358095033052499E-2</c:v>
                </c:pt>
                <c:pt idx="7">
                  <c:v>2.1730055868424501E-2</c:v>
                </c:pt>
                <c:pt idx="8">
                  <c:v>2.12987117078158E-2</c:v>
                </c:pt>
                <c:pt idx="9">
                  <c:v>2.04919210486827E-2</c:v>
                </c:pt>
                <c:pt idx="10">
                  <c:v>2.0715890182779199E-2</c:v>
                </c:pt>
                <c:pt idx="11">
                  <c:v>2.1443810366087699E-2</c:v>
                </c:pt>
                <c:pt idx="12">
                  <c:v>2.1497562705386799E-2</c:v>
                </c:pt>
                <c:pt idx="13">
                  <c:v>1.74296567987994E-2</c:v>
                </c:pt>
                <c:pt idx="14">
                  <c:v>1.71623636029434E-2</c:v>
                </c:pt>
                <c:pt idx="15">
                  <c:v>2.0583368674609099E-2</c:v>
                </c:pt>
                <c:pt idx="16">
                  <c:v>2.3047577050655299E-2</c:v>
                </c:pt>
                <c:pt idx="17">
                  <c:v>2.23860040024676E-2</c:v>
                </c:pt>
                <c:pt idx="18">
                  <c:v>2.1779564208262402E-2</c:v>
                </c:pt>
                <c:pt idx="19">
                  <c:v>2.1090668706571499E-2</c:v>
                </c:pt>
                <c:pt idx="20">
                  <c:v>2.09712423123837E-2</c:v>
                </c:pt>
                <c:pt idx="21">
                  <c:v>2.0659358627216601E-2</c:v>
                </c:pt>
                <c:pt idx="22">
                  <c:v>2.0417926363663502E-2</c:v>
                </c:pt>
                <c:pt idx="23">
                  <c:v>1.9984193341813401E-2</c:v>
                </c:pt>
                <c:pt idx="24">
                  <c:v>1.8157566395530299E-2</c:v>
                </c:pt>
                <c:pt idx="25">
                  <c:v>2.0661572747784799E-2</c:v>
                </c:pt>
                <c:pt idx="26">
                  <c:v>2.1131997562814898E-2</c:v>
                </c:pt>
                <c:pt idx="27">
                  <c:v>1.9632918587673898E-2</c:v>
                </c:pt>
                <c:pt idx="28">
                  <c:v>1.8331825804747001E-2</c:v>
                </c:pt>
                <c:pt idx="29">
                  <c:v>1.8906432407664899E-2</c:v>
                </c:pt>
                <c:pt idx="30">
                  <c:v>1.8669000371853501E-2</c:v>
                </c:pt>
                <c:pt idx="31">
                  <c:v>1.6050678316362098E-2</c:v>
                </c:pt>
                <c:pt idx="32">
                  <c:v>1.4831934780505301E-2</c:v>
                </c:pt>
                <c:pt idx="33">
                  <c:v>1.6058691183526201E-2</c:v>
                </c:pt>
                <c:pt idx="34">
                  <c:v>1.6697077694664299E-2</c:v>
                </c:pt>
                <c:pt idx="35">
                  <c:v>1.6176030883114801E-2</c:v>
                </c:pt>
                <c:pt idx="36">
                  <c:v>1.5849977078417201E-2</c:v>
                </c:pt>
                <c:pt idx="37">
                  <c:v>1.55432241290006E-2</c:v>
                </c:pt>
                <c:pt idx="38">
                  <c:v>1.5780549034031699E-2</c:v>
                </c:pt>
                <c:pt idx="39">
                  <c:v>1.5606632079750099E-2</c:v>
                </c:pt>
                <c:pt idx="40">
                  <c:v>1.6294352826003E-2</c:v>
                </c:pt>
                <c:pt idx="41">
                  <c:v>1.8174335500528001E-2</c:v>
                </c:pt>
                <c:pt idx="42">
                  <c:v>1.7975522842157501E-2</c:v>
                </c:pt>
                <c:pt idx="43">
                  <c:v>1.75274733531138E-2</c:v>
                </c:pt>
                <c:pt idx="44">
                  <c:v>1.8049062577908701E-2</c:v>
                </c:pt>
                <c:pt idx="45">
                  <c:v>1.8218072306683201E-2</c:v>
                </c:pt>
                <c:pt idx="46">
                  <c:v>1.8106452720528399E-2</c:v>
                </c:pt>
                <c:pt idx="47">
                  <c:v>1.9218681550226799E-2</c:v>
                </c:pt>
                <c:pt idx="48">
                  <c:v>2.0422342200062199E-2</c:v>
                </c:pt>
                <c:pt idx="49">
                  <c:v>2.1071832143085101E-2</c:v>
                </c:pt>
                <c:pt idx="50">
                  <c:v>2.2137845183631499E-2</c:v>
                </c:pt>
                <c:pt idx="51">
                  <c:v>2.07952481029351E-2</c:v>
                </c:pt>
                <c:pt idx="52">
                  <c:v>2.23409674352518E-2</c:v>
                </c:pt>
                <c:pt idx="53">
                  <c:v>2.4060060280724001E-2</c:v>
                </c:pt>
                <c:pt idx="54">
                  <c:v>2.5456936115817001E-2</c:v>
                </c:pt>
                <c:pt idx="55">
                  <c:v>2.48059395679785E-2</c:v>
                </c:pt>
                <c:pt idx="56">
                  <c:v>2.5406454290126099E-2</c:v>
                </c:pt>
                <c:pt idx="57">
                  <c:v>2.3507893875337998E-2</c:v>
                </c:pt>
                <c:pt idx="58">
                  <c:v>2.41539416329958E-2</c:v>
                </c:pt>
                <c:pt idx="59">
                  <c:v>1.9719070890697001E-2</c:v>
                </c:pt>
                <c:pt idx="60">
                  <c:v>1.9430117842498599E-2</c:v>
                </c:pt>
                <c:pt idx="61">
                  <c:v>1.65254347118865E-2</c:v>
                </c:pt>
                <c:pt idx="62">
                  <c:v>1.50068827988702E-2</c:v>
                </c:pt>
                <c:pt idx="63">
                  <c:v>1.3633996571414401E-2</c:v>
                </c:pt>
                <c:pt idx="64">
                  <c:v>1.35929357011554E-2</c:v>
                </c:pt>
                <c:pt idx="65">
                  <c:v>1.4091668990269699E-2</c:v>
                </c:pt>
                <c:pt idx="66">
                  <c:v>1.4663344961973499E-2</c:v>
                </c:pt>
                <c:pt idx="67">
                  <c:v>1.2793965938819299E-2</c:v>
                </c:pt>
                <c:pt idx="68">
                  <c:v>1.38638196736778E-2</c:v>
                </c:pt>
                <c:pt idx="69">
                  <c:v>1.39907857369967E-2</c:v>
                </c:pt>
                <c:pt idx="70">
                  <c:v>1.2143485589171599E-2</c:v>
                </c:pt>
                <c:pt idx="71">
                  <c:v>1.1109793158067399E-2</c:v>
                </c:pt>
                <c:pt idx="72">
                  <c:v>1.1418573341871499E-2</c:v>
                </c:pt>
                <c:pt idx="73">
                  <c:v>1.1449481001714499E-2</c:v>
                </c:pt>
                <c:pt idx="74">
                  <c:v>1.0724321486784E-2</c:v>
                </c:pt>
                <c:pt idx="75">
                  <c:v>9.1456582353529603E-3</c:v>
                </c:pt>
                <c:pt idx="76">
                  <c:v>1.08993077818714E-2</c:v>
                </c:pt>
                <c:pt idx="77">
                  <c:v>1.13315361956783E-2</c:v>
                </c:pt>
                <c:pt idx="78">
                  <c:v>1.17542416448183E-2</c:v>
                </c:pt>
                <c:pt idx="79">
                  <c:v>1.1259845690290701E-2</c:v>
                </c:pt>
                <c:pt idx="80">
                  <c:v>1.1614952330152899E-2</c:v>
                </c:pt>
                <c:pt idx="81">
                  <c:v>1.06424119489619E-2</c:v>
                </c:pt>
                <c:pt idx="82">
                  <c:v>1.05573524364265E-2</c:v>
                </c:pt>
                <c:pt idx="83">
                  <c:v>1.0941874131880001E-2</c:v>
                </c:pt>
                <c:pt idx="84">
                  <c:v>1.11922493066082E-2</c:v>
                </c:pt>
                <c:pt idx="85">
                  <c:v>1.08068737932689E-2</c:v>
                </c:pt>
                <c:pt idx="86">
                  <c:v>1.19301678722133E-2</c:v>
                </c:pt>
                <c:pt idx="87">
                  <c:v>1.1982081805722199E-2</c:v>
                </c:pt>
                <c:pt idx="88">
                  <c:v>1.16348044415624E-2</c:v>
                </c:pt>
                <c:pt idx="89">
                  <c:v>1.15064206683952E-2</c:v>
                </c:pt>
                <c:pt idx="90">
                  <c:v>1.14185357327672E-2</c:v>
                </c:pt>
                <c:pt idx="91">
                  <c:v>1.16788104740246E-2</c:v>
                </c:pt>
                <c:pt idx="92">
                  <c:v>1.09787728382045E-2</c:v>
                </c:pt>
                <c:pt idx="93">
                  <c:v>1.01283020433927E-2</c:v>
                </c:pt>
                <c:pt idx="94">
                  <c:v>1.13508512550948E-2</c:v>
                </c:pt>
                <c:pt idx="95">
                  <c:v>1.12627930078745E-2</c:v>
                </c:pt>
                <c:pt idx="96">
                  <c:v>1.23644975040067E-2</c:v>
                </c:pt>
                <c:pt idx="97">
                  <c:v>1.22665245776873E-2</c:v>
                </c:pt>
                <c:pt idx="98">
                  <c:v>1.3548661533222499E-2</c:v>
                </c:pt>
                <c:pt idx="99">
                  <c:v>1.35046347973401E-2</c:v>
                </c:pt>
                <c:pt idx="100">
                  <c:v>1.3295891282051799E-2</c:v>
                </c:pt>
                <c:pt idx="101">
                  <c:v>1.45289945276896E-2</c:v>
                </c:pt>
                <c:pt idx="102">
                  <c:v>1.41537331520687E-2</c:v>
                </c:pt>
                <c:pt idx="103">
                  <c:v>1.3330284117289501E-2</c:v>
                </c:pt>
                <c:pt idx="104">
                  <c:v>1.3541139321708799E-2</c:v>
                </c:pt>
                <c:pt idx="105">
                  <c:v>1.3375190108893801E-2</c:v>
                </c:pt>
                <c:pt idx="106">
                  <c:v>1.3368199117739499E-2</c:v>
                </c:pt>
                <c:pt idx="107">
                  <c:v>1.3247374772760801E-2</c:v>
                </c:pt>
                <c:pt idx="108">
                  <c:v>1.28225727158472E-2</c:v>
                </c:pt>
                <c:pt idx="109">
                  <c:v>1.34595905180787E-2</c:v>
                </c:pt>
                <c:pt idx="110">
                  <c:v>1.38760274451609E-2</c:v>
                </c:pt>
                <c:pt idx="111">
                  <c:v>1.4000643367963099E-2</c:v>
                </c:pt>
                <c:pt idx="112">
                  <c:v>1.4333792880612499E-2</c:v>
                </c:pt>
                <c:pt idx="113">
                  <c:v>1.36711529187892E-2</c:v>
                </c:pt>
                <c:pt idx="114">
                  <c:v>1.43868581919379E-2</c:v>
                </c:pt>
                <c:pt idx="115">
                  <c:v>1.44275123819479E-2</c:v>
                </c:pt>
                <c:pt idx="116">
                  <c:v>1.4271463873293099E-2</c:v>
                </c:pt>
                <c:pt idx="117">
                  <c:v>1.4186851428333201E-2</c:v>
                </c:pt>
                <c:pt idx="118">
                  <c:v>1.4205148918397199E-2</c:v>
                </c:pt>
                <c:pt idx="119">
                  <c:v>1.40763601235394E-2</c:v>
                </c:pt>
                <c:pt idx="120">
                  <c:v>1.4536398607508799E-2</c:v>
                </c:pt>
                <c:pt idx="121">
                  <c:v>1.5513831385549501E-2</c:v>
                </c:pt>
                <c:pt idx="122">
                  <c:v>1.4664753361722E-2</c:v>
                </c:pt>
                <c:pt idx="123">
                  <c:v>1.28803683488304E-2</c:v>
                </c:pt>
                <c:pt idx="124">
                  <c:v>1.3852929718571799E-2</c:v>
                </c:pt>
                <c:pt idx="125">
                  <c:v>1.51215279764365E-2</c:v>
                </c:pt>
                <c:pt idx="126">
                  <c:v>1.5960902616382399E-2</c:v>
                </c:pt>
                <c:pt idx="127">
                  <c:v>1.7515607394978299E-2</c:v>
                </c:pt>
                <c:pt idx="128">
                  <c:v>1.6092987998410201E-2</c:v>
                </c:pt>
                <c:pt idx="129">
                  <c:v>1.5423133326643799E-2</c:v>
                </c:pt>
                <c:pt idx="130">
                  <c:v>1.64709134882766E-2</c:v>
                </c:pt>
                <c:pt idx="131">
                  <c:v>1.73785950978117E-2</c:v>
                </c:pt>
                <c:pt idx="132">
                  <c:v>1.7042595501706601E-2</c:v>
                </c:pt>
                <c:pt idx="133">
                  <c:v>1.7496590906512201E-2</c:v>
                </c:pt>
                <c:pt idx="134">
                  <c:v>1.84803007349175E-2</c:v>
                </c:pt>
                <c:pt idx="135">
                  <c:v>1.7708516972218001E-2</c:v>
                </c:pt>
                <c:pt idx="136">
                  <c:v>1.7686077599562498E-2</c:v>
                </c:pt>
                <c:pt idx="137">
                  <c:v>1.7911224377334799E-2</c:v>
                </c:pt>
                <c:pt idx="138">
                  <c:v>1.7995520073933E-2</c:v>
                </c:pt>
                <c:pt idx="139">
                  <c:v>1.8702407855327199E-2</c:v>
                </c:pt>
                <c:pt idx="140">
                  <c:v>1.8273129064639401E-2</c:v>
                </c:pt>
                <c:pt idx="141">
                  <c:v>1.8941540337179898E-2</c:v>
                </c:pt>
                <c:pt idx="142">
                  <c:v>1.9426549529739E-2</c:v>
                </c:pt>
                <c:pt idx="143">
                  <c:v>1.7817477432637101E-2</c:v>
                </c:pt>
                <c:pt idx="144">
                  <c:v>1.75796444520223E-2</c:v>
                </c:pt>
                <c:pt idx="145">
                  <c:v>1.8308992119838299E-2</c:v>
                </c:pt>
                <c:pt idx="146">
                  <c:v>1.67906224223657E-2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'Time Series Query'!$BL$4</c:f>
              <c:strCache>
                <c:ptCount val="1"/>
                <c:pt idx="0">
                  <c:v>FHA</c:v>
                </c:pt>
              </c:strCache>
            </c:strRef>
          </c:tx>
          <c:spPr>
            <a:ln>
              <a:solidFill>
                <a:srgbClr val="AD275C"/>
              </a:solidFill>
            </a:ln>
          </c:spPr>
          <c:marker>
            <c:symbol val="none"/>
          </c:marker>
          <c:cat>
            <c:strRef>
              <c:f>'Time Series Query'!$BJ$5:$BJ$151</c:f>
              <c:strCache>
                <c:ptCount val="147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</c:strCache>
            </c:strRef>
          </c:cat>
          <c:val>
            <c:numRef>
              <c:f>'Time Series Query'!$BL$5:$BL$151</c:f>
              <c:numCache>
                <c:formatCode>General</c:formatCode>
                <c:ptCount val="147"/>
                <c:pt idx="0">
                  <c:v>9.4285995591371505E-2</c:v>
                </c:pt>
                <c:pt idx="1">
                  <c:v>8.5363662487838804E-2</c:v>
                </c:pt>
                <c:pt idx="2">
                  <c:v>9.1805440656946596E-2</c:v>
                </c:pt>
                <c:pt idx="3">
                  <c:v>9.2379201142605005E-2</c:v>
                </c:pt>
                <c:pt idx="4">
                  <c:v>7.25860078665896E-2</c:v>
                </c:pt>
                <c:pt idx="5">
                  <c:v>6.51072617401625E-2</c:v>
                </c:pt>
                <c:pt idx="6">
                  <c:v>8.6871460414936999E-2</c:v>
                </c:pt>
                <c:pt idx="7">
                  <c:v>9.0167160769596993E-2</c:v>
                </c:pt>
                <c:pt idx="8">
                  <c:v>9.1083275828594504E-2</c:v>
                </c:pt>
                <c:pt idx="9">
                  <c:v>8.9059484799799998E-2</c:v>
                </c:pt>
                <c:pt idx="10">
                  <c:v>9.1836813388869107E-2</c:v>
                </c:pt>
                <c:pt idx="11">
                  <c:v>9.4924068582742202E-2</c:v>
                </c:pt>
                <c:pt idx="12">
                  <c:v>9.9504059217308802E-2</c:v>
                </c:pt>
                <c:pt idx="13">
                  <c:v>8.4638727196081204E-2</c:v>
                </c:pt>
                <c:pt idx="14">
                  <c:v>7.7886223139598698E-2</c:v>
                </c:pt>
                <c:pt idx="15">
                  <c:v>9.0779477365927799E-2</c:v>
                </c:pt>
                <c:pt idx="16">
                  <c:v>9.7491194732257994E-2</c:v>
                </c:pt>
                <c:pt idx="17">
                  <c:v>9.4413817020581894E-2</c:v>
                </c:pt>
                <c:pt idx="18">
                  <c:v>9.8333062406187999E-2</c:v>
                </c:pt>
                <c:pt idx="19">
                  <c:v>9.2820204237606396E-2</c:v>
                </c:pt>
                <c:pt idx="20">
                  <c:v>9.4900478598202095E-2</c:v>
                </c:pt>
                <c:pt idx="21">
                  <c:v>9.1799771417411899E-2</c:v>
                </c:pt>
                <c:pt idx="22">
                  <c:v>9.1464698836870098E-2</c:v>
                </c:pt>
                <c:pt idx="23">
                  <c:v>9.2497341698870306E-2</c:v>
                </c:pt>
                <c:pt idx="24">
                  <c:v>8.1934200099123194E-2</c:v>
                </c:pt>
                <c:pt idx="25">
                  <c:v>9.0211093283241298E-2</c:v>
                </c:pt>
                <c:pt idx="26">
                  <c:v>9.2319504582030504E-2</c:v>
                </c:pt>
                <c:pt idx="27">
                  <c:v>9.6079655045307605E-2</c:v>
                </c:pt>
                <c:pt idx="28">
                  <c:v>8.5380791907585393E-2</c:v>
                </c:pt>
                <c:pt idx="29">
                  <c:v>9.0218440732812502E-2</c:v>
                </c:pt>
                <c:pt idx="30">
                  <c:v>9.2285525328509796E-2</c:v>
                </c:pt>
                <c:pt idx="31">
                  <c:v>8.2108794617635802E-2</c:v>
                </c:pt>
                <c:pt idx="32">
                  <c:v>8.7028492327789503E-2</c:v>
                </c:pt>
                <c:pt idx="33">
                  <c:v>8.9312436018572597E-2</c:v>
                </c:pt>
                <c:pt idx="34">
                  <c:v>9.2004736353106201E-2</c:v>
                </c:pt>
                <c:pt idx="35">
                  <c:v>9.0269691219839895E-2</c:v>
                </c:pt>
                <c:pt idx="36">
                  <c:v>9.0992959299858497E-2</c:v>
                </c:pt>
                <c:pt idx="37">
                  <c:v>8.7665901172641697E-2</c:v>
                </c:pt>
                <c:pt idx="38">
                  <c:v>9.4627360659875495E-2</c:v>
                </c:pt>
                <c:pt idx="39">
                  <c:v>9.7328657053947207E-2</c:v>
                </c:pt>
                <c:pt idx="40">
                  <c:v>0.106959828331922</c:v>
                </c:pt>
                <c:pt idx="41">
                  <c:v>0.111287570299785</c:v>
                </c:pt>
                <c:pt idx="42">
                  <c:v>0.10281303848291801</c:v>
                </c:pt>
                <c:pt idx="43">
                  <c:v>0.109423829061224</c:v>
                </c:pt>
                <c:pt idx="44">
                  <c:v>0.1093242256585</c:v>
                </c:pt>
                <c:pt idx="45">
                  <c:v>0.106621948942194</c:v>
                </c:pt>
                <c:pt idx="46">
                  <c:v>0.101950777887985</c:v>
                </c:pt>
                <c:pt idx="47">
                  <c:v>0.11322743894513</c:v>
                </c:pt>
                <c:pt idx="48">
                  <c:v>0.109331088924152</c:v>
                </c:pt>
                <c:pt idx="49">
                  <c:v>0.113390111014102</c:v>
                </c:pt>
                <c:pt idx="50">
                  <c:v>0.11526275108716</c:v>
                </c:pt>
                <c:pt idx="51">
                  <c:v>9.5228743774607896E-2</c:v>
                </c:pt>
                <c:pt idx="52">
                  <c:v>0.109100905383647</c:v>
                </c:pt>
                <c:pt idx="53">
                  <c:v>0.124191721531846</c:v>
                </c:pt>
                <c:pt idx="54">
                  <c:v>0.118620974906118</c:v>
                </c:pt>
                <c:pt idx="55">
                  <c:v>0.11454124774918099</c:v>
                </c:pt>
                <c:pt idx="56">
                  <c:v>0.118200880367063</c:v>
                </c:pt>
                <c:pt idx="57">
                  <c:v>0.116786543209285</c:v>
                </c:pt>
                <c:pt idx="58">
                  <c:v>0.128134201111163</c:v>
                </c:pt>
                <c:pt idx="59">
                  <c:v>0.112280776236066</c:v>
                </c:pt>
                <c:pt idx="60">
                  <c:v>0.10862820934442299</c:v>
                </c:pt>
                <c:pt idx="61">
                  <c:v>0.101027125337702</c:v>
                </c:pt>
                <c:pt idx="62">
                  <c:v>9.3804213372806602E-2</c:v>
                </c:pt>
                <c:pt idx="63">
                  <c:v>8.7395122950958998E-2</c:v>
                </c:pt>
                <c:pt idx="64">
                  <c:v>8.9057747301929793E-2</c:v>
                </c:pt>
                <c:pt idx="65">
                  <c:v>8.9562512546187495E-2</c:v>
                </c:pt>
                <c:pt idx="66">
                  <c:v>0.103351642697491</c:v>
                </c:pt>
                <c:pt idx="67">
                  <c:v>8.3829992538756004E-2</c:v>
                </c:pt>
                <c:pt idx="68">
                  <c:v>9.3076853520146705E-2</c:v>
                </c:pt>
                <c:pt idx="69">
                  <c:v>0.100196056372731</c:v>
                </c:pt>
                <c:pt idx="70">
                  <c:v>8.3237162808257104E-2</c:v>
                </c:pt>
                <c:pt idx="71">
                  <c:v>7.7152354316607705E-2</c:v>
                </c:pt>
                <c:pt idx="72">
                  <c:v>8.2111872443475398E-2</c:v>
                </c:pt>
                <c:pt idx="73">
                  <c:v>6.6489943042899999E-2</c:v>
                </c:pt>
                <c:pt idx="74">
                  <c:v>6.2301954306724798E-2</c:v>
                </c:pt>
                <c:pt idx="75">
                  <c:v>5.92673314950833E-2</c:v>
                </c:pt>
                <c:pt idx="76">
                  <c:v>6.8005277207944095E-2</c:v>
                </c:pt>
                <c:pt idx="77">
                  <c:v>7.0066056895199597E-2</c:v>
                </c:pt>
                <c:pt idx="78">
                  <c:v>7.18039593407441E-2</c:v>
                </c:pt>
                <c:pt idx="79">
                  <c:v>6.7916944669552101E-2</c:v>
                </c:pt>
                <c:pt idx="80">
                  <c:v>6.4104657785873306E-2</c:v>
                </c:pt>
                <c:pt idx="81">
                  <c:v>5.3141127900620498E-2</c:v>
                </c:pt>
                <c:pt idx="82">
                  <c:v>4.9614369155651102E-2</c:v>
                </c:pt>
                <c:pt idx="83">
                  <c:v>4.9938732237334402E-2</c:v>
                </c:pt>
                <c:pt idx="84">
                  <c:v>4.9433870902870103E-2</c:v>
                </c:pt>
                <c:pt idx="85">
                  <c:v>4.7935297916397397E-2</c:v>
                </c:pt>
                <c:pt idx="86">
                  <c:v>5.2223575477024303E-2</c:v>
                </c:pt>
                <c:pt idx="87">
                  <c:v>5.4351045253614699E-2</c:v>
                </c:pt>
                <c:pt idx="88">
                  <c:v>5.18039852039874E-2</c:v>
                </c:pt>
                <c:pt idx="89">
                  <c:v>4.9523196065882701E-2</c:v>
                </c:pt>
                <c:pt idx="90">
                  <c:v>4.8155285513132098E-2</c:v>
                </c:pt>
                <c:pt idx="91">
                  <c:v>4.8498782379219799E-2</c:v>
                </c:pt>
                <c:pt idx="92">
                  <c:v>4.5520286505032703E-2</c:v>
                </c:pt>
                <c:pt idx="93">
                  <c:v>4.0079471562488797E-2</c:v>
                </c:pt>
                <c:pt idx="94">
                  <c:v>4.3811617029674503E-2</c:v>
                </c:pt>
                <c:pt idx="95">
                  <c:v>4.3426562211492999E-2</c:v>
                </c:pt>
                <c:pt idx="96">
                  <c:v>4.7030864544221701E-2</c:v>
                </c:pt>
                <c:pt idx="97">
                  <c:v>4.7169554670103801E-2</c:v>
                </c:pt>
                <c:pt idx="98">
                  <c:v>5.01318953503316E-2</c:v>
                </c:pt>
                <c:pt idx="99">
                  <c:v>4.9767969979469202E-2</c:v>
                </c:pt>
                <c:pt idx="100">
                  <c:v>4.8609534038481103E-2</c:v>
                </c:pt>
                <c:pt idx="101">
                  <c:v>5.28969377612565E-2</c:v>
                </c:pt>
                <c:pt idx="102">
                  <c:v>5.2062657199863797E-2</c:v>
                </c:pt>
                <c:pt idx="103">
                  <c:v>4.88513891385828E-2</c:v>
                </c:pt>
                <c:pt idx="104">
                  <c:v>4.9178067070710603E-2</c:v>
                </c:pt>
                <c:pt idx="105">
                  <c:v>4.9578391995180202E-2</c:v>
                </c:pt>
                <c:pt idx="106">
                  <c:v>4.9470745177948798E-2</c:v>
                </c:pt>
                <c:pt idx="107">
                  <c:v>4.8345406248694399E-2</c:v>
                </c:pt>
                <c:pt idx="108">
                  <c:v>4.7200576073014297E-2</c:v>
                </c:pt>
                <c:pt idx="109">
                  <c:v>4.87455541273265E-2</c:v>
                </c:pt>
                <c:pt idx="110">
                  <c:v>5.01526295017918E-2</c:v>
                </c:pt>
                <c:pt idx="111">
                  <c:v>5.0920901691329901E-2</c:v>
                </c:pt>
                <c:pt idx="112">
                  <c:v>5.1164146729042799E-2</c:v>
                </c:pt>
                <c:pt idx="113">
                  <c:v>4.8689499032941203E-2</c:v>
                </c:pt>
                <c:pt idx="114">
                  <c:v>5.0126620688003297E-2</c:v>
                </c:pt>
                <c:pt idx="115">
                  <c:v>5.01747604460736E-2</c:v>
                </c:pt>
                <c:pt idx="116">
                  <c:v>4.9156981992146E-2</c:v>
                </c:pt>
                <c:pt idx="117">
                  <c:v>4.83999856771603E-2</c:v>
                </c:pt>
                <c:pt idx="118">
                  <c:v>4.8162877188679197E-2</c:v>
                </c:pt>
                <c:pt idx="119">
                  <c:v>4.7048443962686003E-2</c:v>
                </c:pt>
                <c:pt idx="120">
                  <c:v>4.8564626706116498E-2</c:v>
                </c:pt>
                <c:pt idx="121">
                  <c:v>5.0915054900666903E-2</c:v>
                </c:pt>
                <c:pt idx="122">
                  <c:v>4.8400476857025899E-2</c:v>
                </c:pt>
                <c:pt idx="123">
                  <c:v>4.3075210687433897E-2</c:v>
                </c:pt>
                <c:pt idx="124">
                  <c:v>4.59432838113287E-2</c:v>
                </c:pt>
                <c:pt idx="125">
                  <c:v>5.0301606990154298E-2</c:v>
                </c:pt>
                <c:pt idx="126">
                  <c:v>5.28326536481473E-2</c:v>
                </c:pt>
                <c:pt idx="127">
                  <c:v>5.8020706017923598E-2</c:v>
                </c:pt>
                <c:pt idx="128">
                  <c:v>5.3732575289805497E-2</c:v>
                </c:pt>
                <c:pt idx="129">
                  <c:v>5.0638509422985097E-2</c:v>
                </c:pt>
                <c:pt idx="130">
                  <c:v>5.3963745614458901E-2</c:v>
                </c:pt>
                <c:pt idx="131">
                  <c:v>5.64173982878792E-2</c:v>
                </c:pt>
                <c:pt idx="132">
                  <c:v>5.6079401787069001E-2</c:v>
                </c:pt>
                <c:pt idx="133">
                  <c:v>5.7150634619079502E-2</c:v>
                </c:pt>
                <c:pt idx="134">
                  <c:v>6.0279482404130599E-2</c:v>
                </c:pt>
                <c:pt idx="135">
                  <c:v>5.9039886698822097E-2</c:v>
                </c:pt>
                <c:pt idx="136">
                  <c:v>5.9232734324811201E-2</c:v>
                </c:pt>
                <c:pt idx="137">
                  <c:v>6.0455601405621499E-2</c:v>
                </c:pt>
                <c:pt idx="138">
                  <c:v>5.9874562188320497E-2</c:v>
                </c:pt>
                <c:pt idx="139">
                  <c:v>6.2400887079476899E-2</c:v>
                </c:pt>
                <c:pt idx="140">
                  <c:v>6.0841622906473401E-2</c:v>
                </c:pt>
                <c:pt idx="141">
                  <c:v>6.2622998242086406E-2</c:v>
                </c:pt>
                <c:pt idx="142">
                  <c:v>6.6263717165098004E-2</c:v>
                </c:pt>
                <c:pt idx="143">
                  <c:v>6.1486236715359202E-2</c:v>
                </c:pt>
                <c:pt idx="144">
                  <c:v>6.0306400919081203E-2</c:v>
                </c:pt>
                <c:pt idx="145">
                  <c:v>6.1448839793864403E-2</c:v>
                </c:pt>
                <c:pt idx="146">
                  <c:v>5.5814197233407602E-2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'Time Series Query'!$BM$4</c:f>
              <c:strCache>
                <c:ptCount val="1"/>
                <c:pt idx="0">
                  <c:v>VA</c:v>
                </c:pt>
              </c:strCache>
            </c:strRef>
          </c:tx>
          <c:spPr>
            <a:ln>
              <a:solidFill>
                <a:srgbClr val="1B7A76"/>
              </a:solidFill>
            </a:ln>
          </c:spPr>
          <c:marker>
            <c:symbol val="none"/>
          </c:marker>
          <c:cat>
            <c:strRef>
              <c:f>'Time Series Query'!$BJ$5:$BJ$151</c:f>
              <c:strCache>
                <c:ptCount val="147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</c:strCache>
            </c:strRef>
          </c:cat>
          <c:val>
            <c:numRef>
              <c:f>'Time Series Query'!$BM$5:$BM$151</c:f>
              <c:numCache>
                <c:formatCode>General</c:formatCode>
                <c:ptCount val="147"/>
                <c:pt idx="0">
                  <c:v>7.43698517370701E-2</c:v>
                </c:pt>
                <c:pt idx="1">
                  <c:v>7.30825171843862E-2</c:v>
                </c:pt>
                <c:pt idx="2">
                  <c:v>7.5057002809456902E-2</c:v>
                </c:pt>
                <c:pt idx="3">
                  <c:v>7.2909944145716804E-2</c:v>
                </c:pt>
                <c:pt idx="4">
                  <c:v>5.9572386776244698E-2</c:v>
                </c:pt>
                <c:pt idx="5">
                  <c:v>5.8551251558796702E-2</c:v>
                </c:pt>
                <c:pt idx="6">
                  <c:v>7.5610136798633196E-2</c:v>
                </c:pt>
                <c:pt idx="7">
                  <c:v>7.7229764557536801E-2</c:v>
                </c:pt>
                <c:pt idx="8">
                  <c:v>7.3919928128802895E-2</c:v>
                </c:pt>
                <c:pt idx="9">
                  <c:v>7.5837312969968707E-2</c:v>
                </c:pt>
                <c:pt idx="10">
                  <c:v>6.9937168914830303E-2</c:v>
                </c:pt>
                <c:pt idx="11">
                  <c:v>7.4150153276567904E-2</c:v>
                </c:pt>
                <c:pt idx="12">
                  <c:v>8.2929537204315798E-2</c:v>
                </c:pt>
                <c:pt idx="13">
                  <c:v>7.4392139597998494E-2</c:v>
                </c:pt>
                <c:pt idx="14">
                  <c:v>6.5266934728069798E-2</c:v>
                </c:pt>
                <c:pt idx="15">
                  <c:v>6.6895577239321505E-2</c:v>
                </c:pt>
                <c:pt idx="16">
                  <c:v>8.3094273500979796E-2</c:v>
                </c:pt>
                <c:pt idx="17">
                  <c:v>8.1387626202597499E-2</c:v>
                </c:pt>
                <c:pt idx="18">
                  <c:v>8.7159265808458106E-2</c:v>
                </c:pt>
                <c:pt idx="19">
                  <c:v>7.2886696269449006E-2</c:v>
                </c:pt>
                <c:pt idx="20">
                  <c:v>7.5690097036033105E-2</c:v>
                </c:pt>
                <c:pt idx="21">
                  <c:v>7.5038770054298307E-2</c:v>
                </c:pt>
                <c:pt idx="22">
                  <c:v>7.3859808783187805E-2</c:v>
                </c:pt>
                <c:pt idx="23">
                  <c:v>7.1507871154995101E-2</c:v>
                </c:pt>
                <c:pt idx="24">
                  <c:v>6.8831034977123506E-2</c:v>
                </c:pt>
                <c:pt idx="25">
                  <c:v>7.2760553043788298E-2</c:v>
                </c:pt>
                <c:pt idx="26">
                  <c:v>8.0514821186880595E-2</c:v>
                </c:pt>
                <c:pt idx="27">
                  <c:v>8.0042668586271001E-2</c:v>
                </c:pt>
                <c:pt idx="28">
                  <c:v>7.3908989895033E-2</c:v>
                </c:pt>
                <c:pt idx="29">
                  <c:v>7.7491922918333095E-2</c:v>
                </c:pt>
                <c:pt idx="30">
                  <c:v>7.1121707446048593E-2</c:v>
                </c:pt>
                <c:pt idx="31">
                  <c:v>7.8070969779932997E-2</c:v>
                </c:pt>
                <c:pt idx="32">
                  <c:v>6.7199163700533596E-2</c:v>
                </c:pt>
                <c:pt idx="33">
                  <c:v>7.3484219548732604E-2</c:v>
                </c:pt>
                <c:pt idx="34">
                  <c:v>7.29966124505744E-2</c:v>
                </c:pt>
                <c:pt idx="35">
                  <c:v>7.5604220137534706E-2</c:v>
                </c:pt>
                <c:pt idx="36">
                  <c:v>8.5117661602461606E-2</c:v>
                </c:pt>
                <c:pt idx="37">
                  <c:v>7.3721687246315296E-2</c:v>
                </c:pt>
                <c:pt idx="38">
                  <c:v>7.1097707040510896E-2</c:v>
                </c:pt>
                <c:pt idx="39">
                  <c:v>8.2438738787264404E-2</c:v>
                </c:pt>
                <c:pt idx="40">
                  <c:v>8.2438738787264404E-2</c:v>
                </c:pt>
                <c:pt idx="41">
                  <c:v>9.04030528968605E-2</c:v>
                </c:pt>
                <c:pt idx="42">
                  <c:v>0.101077691508849</c:v>
                </c:pt>
                <c:pt idx="43">
                  <c:v>8.2485989149712502E-2</c:v>
                </c:pt>
                <c:pt idx="44">
                  <c:v>8.7345811231672704E-2</c:v>
                </c:pt>
                <c:pt idx="45">
                  <c:v>8.8833892051242799E-2</c:v>
                </c:pt>
                <c:pt idx="46">
                  <c:v>8.8833892051242799E-2</c:v>
                </c:pt>
                <c:pt idx="47">
                  <c:v>8.5720663516440795E-2</c:v>
                </c:pt>
                <c:pt idx="48">
                  <c:v>9.4059593281205903E-2</c:v>
                </c:pt>
                <c:pt idx="49">
                  <c:v>7.6040970936058994E-2</c:v>
                </c:pt>
                <c:pt idx="50">
                  <c:v>9.0262087142296804E-2</c:v>
                </c:pt>
                <c:pt idx="51">
                  <c:v>7.3171463970122794E-2</c:v>
                </c:pt>
                <c:pt idx="52">
                  <c:v>7.3171463970122794E-2</c:v>
                </c:pt>
                <c:pt idx="53">
                  <c:v>9.9820189534489706E-2</c:v>
                </c:pt>
                <c:pt idx="54">
                  <c:v>9.9820189534489706E-2</c:v>
                </c:pt>
                <c:pt idx="55">
                  <c:v>0.103616622616662</c:v>
                </c:pt>
                <c:pt idx="56">
                  <c:v>8.5858970649299801E-2</c:v>
                </c:pt>
                <c:pt idx="57">
                  <c:v>9.1688117328369095E-2</c:v>
                </c:pt>
                <c:pt idx="58">
                  <c:v>0.11098315619719901</c:v>
                </c:pt>
                <c:pt idx="59">
                  <c:v>9.3530245327451605E-2</c:v>
                </c:pt>
                <c:pt idx="60">
                  <c:v>9.4390282645507598E-2</c:v>
                </c:pt>
                <c:pt idx="61">
                  <c:v>7.7078342061616595E-2</c:v>
                </c:pt>
                <c:pt idx="62">
                  <c:v>7.5508534809422503E-2</c:v>
                </c:pt>
                <c:pt idx="63">
                  <c:v>7.3574608785366299E-2</c:v>
                </c:pt>
                <c:pt idx="64">
                  <c:v>7.8305822025021996E-2</c:v>
                </c:pt>
                <c:pt idx="65">
                  <c:v>7.4692912532645095E-2</c:v>
                </c:pt>
                <c:pt idx="66">
                  <c:v>0.103441437654216</c:v>
                </c:pt>
                <c:pt idx="67">
                  <c:v>7.9089503798013702E-2</c:v>
                </c:pt>
                <c:pt idx="68">
                  <c:v>8.5495306297522E-2</c:v>
                </c:pt>
                <c:pt idx="69">
                  <c:v>8.9137877795202894E-2</c:v>
                </c:pt>
                <c:pt idx="70">
                  <c:v>6.4262861829081905E-2</c:v>
                </c:pt>
                <c:pt idx="71">
                  <c:v>5.8657409652671001E-2</c:v>
                </c:pt>
                <c:pt idx="72">
                  <c:v>6.7690700362425998E-2</c:v>
                </c:pt>
                <c:pt idx="73">
                  <c:v>6.2547871487745293E-2</c:v>
                </c:pt>
                <c:pt idx="74">
                  <c:v>6.3204319708041495E-2</c:v>
                </c:pt>
                <c:pt idx="75">
                  <c:v>4.9912524929129003E-2</c:v>
                </c:pt>
                <c:pt idx="76">
                  <c:v>6.14172208510139E-2</c:v>
                </c:pt>
                <c:pt idx="77">
                  <c:v>6.1390904287183197E-2</c:v>
                </c:pt>
                <c:pt idx="78">
                  <c:v>6.7723009407227197E-2</c:v>
                </c:pt>
                <c:pt idx="79">
                  <c:v>6.9173427498785203E-2</c:v>
                </c:pt>
                <c:pt idx="80">
                  <c:v>6.7441193636602101E-2</c:v>
                </c:pt>
                <c:pt idx="81">
                  <c:v>5.8153942835834402E-2</c:v>
                </c:pt>
                <c:pt idx="82">
                  <c:v>5.42370628751601E-2</c:v>
                </c:pt>
                <c:pt idx="83">
                  <c:v>5.7537915234067899E-2</c:v>
                </c:pt>
                <c:pt idx="84">
                  <c:v>5.5631148970286398E-2</c:v>
                </c:pt>
                <c:pt idx="85">
                  <c:v>5.4544830915257102E-2</c:v>
                </c:pt>
                <c:pt idx="86">
                  <c:v>5.9673922576363399E-2</c:v>
                </c:pt>
                <c:pt idx="87">
                  <c:v>6.0916811511753502E-2</c:v>
                </c:pt>
                <c:pt idx="88">
                  <c:v>5.5588128111664102E-2</c:v>
                </c:pt>
                <c:pt idx="89">
                  <c:v>5.3804484253040998E-2</c:v>
                </c:pt>
                <c:pt idx="90">
                  <c:v>5.1146297447306997E-2</c:v>
                </c:pt>
                <c:pt idx="91">
                  <c:v>5.3530082124945297E-2</c:v>
                </c:pt>
                <c:pt idx="92">
                  <c:v>4.8276735846155397E-2</c:v>
                </c:pt>
                <c:pt idx="93">
                  <c:v>4.2674310047092101E-2</c:v>
                </c:pt>
                <c:pt idx="94">
                  <c:v>4.7347657775073798E-2</c:v>
                </c:pt>
                <c:pt idx="95">
                  <c:v>4.6889622090334801E-2</c:v>
                </c:pt>
                <c:pt idx="96">
                  <c:v>5.1291471977601498E-2</c:v>
                </c:pt>
                <c:pt idx="97">
                  <c:v>5.1146663651552397E-2</c:v>
                </c:pt>
                <c:pt idx="98">
                  <c:v>5.2659002166967103E-2</c:v>
                </c:pt>
                <c:pt idx="99">
                  <c:v>5.0209840006234303E-2</c:v>
                </c:pt>
                <c:pt idx="100">
                  <c:v>4.7379612469321097E-2</c:v>
                </c:pt>
                <c:pt idx="101">
                  <c:v>5.1907866082719203E-2</c:v>
                </c:pt>
                <c:pt idx="102">
                  <c:v>5.1315061043071201E-2</c:v>
                </c:pt>
                <c:pt idx="103">
                  <c:v>4.6816733514231698E-2</c:v>
                </c:pt>
                <c:pt idx="104">
                  <c:v>4.6387119469580601E-2</c:v>
                </c:pt>
                <c:pt idx="105">
                  <c:v>4.71167468684561E-2</c:v>
                </c:pt>
                <c:pt idx="106">
                  <c:v>4.6752001158217198E-2</c:v>
                </c:pt>
                <c:pt idx="107">
                  <c:v>4.5729186390120899E-2</c:v>
                </c:pt>
                <c:pt idx="108">
                  <c:v>4.3987919201613497E-2</c:v>
                </c:pt>
                <c:pt idx="109">
                  <c:v>4.4928326738978099E-2</c:v>
                </c:pt>
                <c:pt idx="110">
                  <c:v>4.52225899073396E-2</c:v>
                </c:pt>
                <c:pt idx="111">
                  <c:v>4.48731934408561E-2</c:v>
                </c:pt>
                <c:pt idx="112">
                  <c:v>4.5942757786631101E-2</c:v>
                </c:pt>
                <c:pt idx="113">
                  <c:v>4.3904772572709201E-2</c:v>
                </c:pt>
                <c:pt idx="114">
                  <c:v>4.4982903840556802E-2</c:v>
                </c:pt>
                <c:pt idx="115">
                  <c:v>4.4889553215802097E-2</c:v>
                </c:pt>
                <c:pt idx="116">
                  <c:v>4.39098469008933E-2</c:v>
                </c:pt>
                <c:pt idx="117">
                  <c:v>4.4121631138438998E-2</c:v>
                </c:pt>
                <c:pt idx="118">
                  <c:v>4.3393988731490002E-2</c:v>
                </c:pt>
                <c:pt idx="119">
                  <c:v>4.2668851038634797E-2</c:v>
                </c:pt>
                <c:pt idx="120">
                  <c:v>4.2284506095958602E-2</c:v>
                </c:pt>
                <c:pt idx="121">
                  <c:v>4.3999613211472499E-2</c:v>
                </c:pt>
                <c:pt idx="122">
                  <c:v>4.0382987212321503E-2</c:v>
                </c:pt>
                <c:pt idx="123">
                  <c:v>3.4542716001929402E-2</c:v>
                </c:pt>
                <c:pt idx="124">
                  <c:v>3.6128492494755901E-2</c:v>
                </c:pt>
                <c:pt idx="125">
                  <c:v>3.97317518471954E-2</c:v>
                </c:pt>
                <c:pt idx="126">
                  <c:v>4.2534373017318799E-2</c:v>
                </c:pt>
                <c:pt idx="127">
                  <c:v>4.6547078626505201E-2</c:v>
                </c:pt>
                <c:pt idx="128">
                  <c:v>4.33860973163313E-2</c:v>
                </c:pt>
                <c:pt idx="129">
                  <c:v>3.9774229888142401E-2</c:v>
                </c:pt>
                <c:pt idx="130">
                  <c:v>4.1916679311245E-2</c:v>
                </c:pt>
                <c:pt idx="131">
                  <c:v>4.4487411594855697E-2</c:v>
                </c:pt>
                <c:pt idx="132">
                  <c:v>4.3190796110447502E-2</c:v>
                </c:pt>
                <c:pt idx="133">
                  <c:v>4.3374642953449401E-2</c:v>
                </c:pt>
                <c:pt idx="134">
                  <c:v>4.57339776962047E-2</c:v>
                </c:pt>
                <c:pt idx="135">
                  <c:v>4.34006018726504E-2</c:v>
                </c:pt>
                <c:pt idx="136">
                  <c:v>4.3732377941726401E-2</c:v>
                </c:pt>
                <c:pt idx="137">
                  <c:v>4.4866368406642501E-2</c:v>
                </c:pt>
                <c:pt idx="138">
                  <c:v>4.4860699739032402E-2</c:v>
                </c:pt>
                <c:pt idx="139">
                  <c:v>4.68738925155835E-2</c:v>
                </c:pt>
                <c:pt idx="140">
                  <c:v>4.65732522111236E-2</c:v>
                </c:pt>
                <c:pt idx="141">
                  <c:v>4.7552411446694302E-2</c:v>
                </c:pt>
                <c:pt idx="142">
                  <c:v>4.9418960876341803E-2</c:v>
                </c:pt>
                <c:pt idx="143">
                  <c:v>4.7615630618715099E-2</c:v>
                </c:pt>
                <c:pt idx="144">
                  <c:v>4.77608855292758E-2</c:v>
                </c:pt>
                <c:pt idx="145">
                  <c:v>4.8892254020369799E-2</c:v>
                </c:pt>
                <c:pt idx="146">
                  <c:v>4.4194488795020699E-2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'Time Series Query'!$BW$4</c:f>
              <c:strCache>
                <c:ptCount val="1"/>
                <c:pt idx="0">
                  <c:v>Universe</c:v>
                </c:pt>
              </c:strCache>
            </c:strRef>
          </c:tx>
          <c:spPr>
            <a:ln>
              <a:solidFill>
                <a:srgbClr val="C7732D"/>
              </a:solidFill>
            </a:ln>
          </c:spPr>
          <c:marker>
            <c:symbol val="none"/>
          </c:marker>
          <c:cat>
            <c:strRef>
              <c:f>'Time Series Query'!$BJ$5:$BJ$151</c:f>
              <c:strCache>
                <c:ptCount val="147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</c:strCache>
            </c:strRef>
          </c:cat>
          <c:val>
            <c:numRef>
              <c:f>'Time Series Query'!$BW$5:$BW$151</c:f>
              <c:numCache>
                <c:formatCode>General</c:formatCode>
                <c:ptCount val="147"/>
                <c:pt idx="0">
                  <c:v>4.1273186358991243E-2</c:v>
                </c:pt>
                <c:pt idx="1">
                  <c:v>3.8600916059773241E-2</c:v>
                </c:pt>
                <c:pt idx="2">
                  <c:v>4.1524729470152955E-2</c:v>
                </c:pt>
                <c:pt idx="3">
                  <c:v>4.1056198408077366E-2</c:v>
                </c:pt>
                <c:pt idx="4">
                  <c:v>3.2763723841743919E-2</c:v>
                </c:pt>
                <c:pt idx="5">
                  <c:v>2.9962577215009851E-2</c:v>
                </c:pt>
                <c:pt idx="6">
                  <c:v>3.9481375215199468E-2</c:v>
                </c:pt>
                <c:pt idx="7">
                  <c:v>4.0589816924945545E-2</c:v>
                </c:pt>
                <c:pt idx="8">
                  <c:v>6.4153048209471847E-2</c:v>
                </c:pt>
                <c:pt idx="9">
                  <c:v>6.2539623225121507E-2</c:v>
                </c:pt>
                <c:pt idx="10">
                  <c:v>6.4090552101552289E-2</c:v>
                </c:pt>
                <c:pt idx="11">
                  <c:v>6.6291479375849047E-2</c:v>
                </c:pt>
                <c:pt idx="12">
                  <c:v>6.8868485407793181E-2</c:v>
                </c:pt>
                <c:pt idx="13">
                  <c:v>5.8028403379487919E-2</c:v>
                </c:pt>
                <c:pt idx="14">
                  <c:v>5.4146619414905048E-2</c:v>
                </c:pt>
                <c:pt idx="15">
                  <c:v>6.3397998091754504E-2</c:v>
                </c:pt>
                <c:pt idx="16">
                  <c:v>6.8894140053845365E-2</c:v>
                </c:pt>
                <c:pt idx="17">
                  <c:v>6.6777724424054677E-2</c:v>
                </c:pt>
                <c:pt idx="18">
                  <c:v>6.8501793013342985E-2</c:v>
                </c:pt>
                <c:pt idx="19">
                  <c:v>6.4912991546668658E-2</c:v>
                </c:pt>
                <c:pt idx="20">
                  <c:v>7.317364351421729E-2</c:v>
                </c:pt>
                <c:pt idx="21">
                  <c:v>7.1048383944692969E-2</c:v>
                </c:pt>
                <c:pt idx="22">
                  <c:v>7.0670176314332561E-2</c:v>
                </c:pt>
                <c:pt idx="23">
                  <c:v>7.0995979062495287E-2</c:v>
                </c:pt>
                <c:pt idx="24">
                  <c:v>6.3239020249356792E-2</c:v>
                </c:pt>
                <c:pt idx="25">
                  <c:v>7.0052396687908969E-2</c:v>
                </c:pt>
                <c:pt idx="26">
                  <c:v>7.1730721595611308E-2</c:v>
                </c:pt>
                <c:pt idx="27">
                  <c:v>7.3037050406460066E-2</c:v>
                </c:pt>
                <c:pt idx="28">
                  <c:v>6.5521134037947876E-2</c:v>
                </c:pt>
                <c:pt idx="29">
                  <c:v>6.8916976901557819E-2</c:v>
                </c:pt>
                <c:pt idx="30">
                  <c:v>6.9979153666283281E-2</c:v>
                </c:pt>
                <c:pt idx="31">
                  <c:v>6.2007270623867565E-2</c:v>
                </c:pt>
                <c:pt idx="32">
                  <c:v>6.6894357498660822E-2</c:v>
                </c:pt>
                <c:pt idx="33">
                  <c:v>6.9233859787566243E-2</c:v>
                </c:pt>
                <c:pt idx="34">
                  <c:v>7.1400750723630252E-2</c:v>
                </c:pt>
                <c:pt idx="35">
                  <c:v>6.9950487608818293E-2</c:v>
                </c:pt>
                <c:pt idx="36">
                  <c:v>7.0282402898341589E-2</c:v>
                </c:pt>
                <c:pt idx="37">
                  <c:v>6.7826279994879418E-2</c:v>
                </c:pt>
                <c:pt idx="38">
                  <c:v>7.249289793060254E-2</c:v>
                </c:pt>
                <c:pt idx="39">
                  <c:v>7.4226439630776589E-2</c:v>
                </c:pt>
                <c:pt idx="40">
                  <c:v>8.0946532951435612E-2</c:v>
                </c:pt>
                <c:pt idx="41">
                  <c:v>8.5057477663318462E-2</c:v>
                </c:pt>
                <c:pt idx="42">
                  <c:v>7.9494243473813286E-2</c:v>
                </c:pt>
                <c:pt idx="43">
                  <c:v>8.3358492754637692E-2</c:v>
                </c:pt>
                <c:pt idx="44">
                  <c:v>5.4496657051605044E-2</c:v>
                </c:pt>
                <c:pt idx="45">
                  <c:v>5.3684184628719572E-2</c:v>
                </c:pt>
                <c:pt idx="46">
                  <c:v>5.1926367849731661E-2</c:v>
                </c:pt>
                <c:pt idx="47">
                  <c:v>5.6789277354204547E-2</c:v>
                </c:pt>
                <c:pt idx="48">
                  <c:v>5.6459020362866819E-2</c:v>
                </c:pt>
                <c:pt idx="49">
                  <c:v>5.8169862591925206E-2</c:v>
                </c:pt>
                <c:pt idx="50">
                  <c:v>5.987586303651446E-2</c:v>
                </c:pt>
                <c:pt idx="51">
                  <c:v>5.1419308670780942E-2</c:v>
                </c:pt>
                <c:pt idx="52">
                  <c:v>5.7594444626793126E-2</c:v>
                </c:pt>
                <c:pt idx="53">
                  <c:v>6.4712981723017038E-2</c:v>
                </c:pt>
                <c:pt idx="54">
                  <c:v>6.3819830264385646E-2</c:v>
                </c:pt>
                <c:pt idx="55">
                  <c:v>6.190220590306135E-2</c:v>
                </c:pt>
                <c:pt idx="56">
                  <c:v>5.0047722669643684E-2</c:v>
                </c:pt>
                <c:pt idx="57">
                  <c:v>4.8605475545115157E-2</c:v>
                </c:pt>
                <c:pt idx="58">
                  <c:v>5.2638723607768667E-2</c:v>
                </c:pt>
                <c:pt idx="59">
                  <c:v>4.4834802441795447E-2</c:v>
                </c:pt>
                <c:pt idx="60">
                  <c:v>4.3849532522128351E-2</c:v>
                </c:pt>
                <c:pt idx="61">
                  <c:v>3.9045676677771951E-2</c:v>
                </c:pt>
                <c:pt idx="62">
                  <c:v>3.620769734876339E-2</c:v>
                </c:pt>
                <c:pt idx="63">
                  <c:v>3.3641606641587128E-2</c:v>
                </c:pt>
                <c:pt idx="64">
                  <c:v>3.4230655256222153E-2</c:v>
                </c:pt>
                <c:pt idx="65">
                  <c:v>3.452897146814872E-2</c:v>
                </c:pt>
                <c:pt idx="66">
                  <c:v>3.95491875169873E-2</c:v>
                </c:pt>
                <c:pt idx="67">
                  <c:v>3.2505251947218546E-2</c:v>
                </c:pt>
                <c:pt idx="68">
                  <c:v>3.4373363748136501E-2</c:v>
                </c:pt>
                <c:pt idx="69">
                  <c:v>3.612641775016278E-2</c:v>
                </c:pt>
                <c:pt idx="70">
                  <c:v>2.9769529858982267E-2</c:v>
                </c:pt>
                <c:pt idx="71">
                  <c:v>2.7427163527577837E-2</c:v>
                </c:pt>
                <c:pt idx="72">
                  <c:v>2.9227741587181673E-2</c:v>
                </c:pt>
                <c:pt idx="73">
                  <c:v>2.579256948853631E-2</c:v>
                </c:pt>
                <c:pt idx="74">
                  <c:v>2.4459632010194129E-2</c:v>
                </c:pt>
                <c:pt idx="75">
                  <c:v>2.1832322950026486E-2</c:v>
                </c:pt>
                <c:pt idx="76">
                  <c:v>2.561662875023582E-2</c:v>
                </c:pt>
                <c:pt idx="77">
                  <c:v>2.6347311876231624E-2</c:v>
                </c:pt>
                <c:pt idx="78">
                  <c:v>2.7413861494230009E-2</c:v>
                </c:pt>
                <c:pt idx="79">
                  <c:v>2.6362766886529825E-2</c:v>
                </c:pt>
                <c:pt idx="80">
                  <c:v>2.477286102097348E-2</c:v>
                </c:pt>
                <c:pt idx="81">
                  <c:v>2.1438308713372326E-2</c:v>
                </c:pt>
                <c:pt idx="82">
                  <c:v>2.0482850539817174E-2</c:v>
                </c:pt>
                <c:pt idx="83">
                  <c:v>2.1031470618442415E-2</c:v>
                </c:pt>
                <c:pt idx="84">
                  <c:v>2.1013399056538318E-2</c:v>
                </c:pt>
                <c:pt idx="85">
                  <c:v>2.0377238569865435E-2</c:v>
                </c:pt>
                <c:pt idx="86">
                  <c:v>2.233365413383093E-2</c:v>
                </c:pt>
                <c:pt idx="87">
                  <c:v>2.2843715418558438E-2</c:v>
                </c:pt>
                <c:pt idx="88">
                  <c:v>2.1788046448065389E-2</c:v>
                </c:pt>
                <c:pt idx="89">
                  <c:v>2.1159219887416505E-2</c:v>
                </c:pt>
                <c:pt idx="90">
                  <c:v>2.0679136462529713E-2</c:v>
                </c:pt>
                <c:pt idx="91">
                  <c:v>2.1082505562575963E-2</c:v>
                </c:pt>
                <c:pt idx="92">
                  <c:v>1.8756270309838053E-2</c:v>
                </c:pt>
                <c:pt idx="93">
                  <c:v>1.6887265032410021E-2</c:v>
                </c:pt>
                <c:pt idx="94">
                  <c:v>1.8715806510015271E-2</c:v>
                </c:pt>
                <c:pt idx="95">
                  <c:v>1.8558417016542272E-2</c:v>
                </c:pt>
                <c:pt idx="96">
                  <c:v>2.0256356399235374E-2</c:v>
                </c:pt>
                <c:pt idx="97">
                  <c:v>2.0194972183012312E-2</c:v>
                </c:pt>
                <c:pt idx="98">
                  <c:v>2.1780550470312209E-2</c:v>
                </c:pt>
                <c:pt idx="99">
                  <c:v>2.1560165833527486E-2</c:v>
                </c:pt>
                <c:pt idx="100">
                  <c:v>2.1057113897831017E-2</c:v>
                </c:pt>
                <c:pt idx="101">
                  <c:v>2.2979785000519518E-2</c:v>
                </c:pt>
                <c:pt idx="102">
                  <c:v>2.2513568962623545E-2</c:v>
                </c:pt>
                <c:pt idx="103">
                  <c:v>2.1096204618070859E-2</c:v>
                </c:pt>
                <c:pt idx="104">
                  <c:v>2.0656402742261132E-2</c:v>
                </c:pt>
                <c:pt idx="105">
                  <c:v>2.0618585991936139E-2</c:v>
                </c:pt>
                <c:pt idx="106">
                  <c:v>2.0579256368834356E-2</c:v>
                </c:pt>
                <c:pt idx="107">
                  <c:v>2.0260687512975474E-2</c:v>
                </c:pt>
                <c:pt idx="108">
                  <c:v>1.9660481235423802E-2</c:v>
                </c:pt>
                <c:pt idx="109">
                  <c:v>2.0455626947118406E-2</c:v>
                </c:pt>
                <c:pt idx="110">
                  <c:v>2.1021494963304289E-2</c:v>
                </c:pt>
                <c:pt idx="111">
                  <c:v>2.1223718922823539E-2</c:v>
                </c:pt>
                <c:pt idx="112">
                  <c:v>2.1579784372326646E-2</c:v>
                </c:pt>
                <c:pt idx="113">
                  <c:v>2.0569370676078419E-2</c:v>
                </c:pt>
                <c:pt idx="114">
                  <c:v>2.1417778786265645E-2</c:v>
                </c:pt>
                <c:pt idx="115">
                  <c:v>2.1453555809185492E-2</c:v>
                </c:pt>
                <c:pt idx="116">
                  <c:v>2.149138424043601E-2</c:v>
                </c:pt>
                <c:pt idx="117">
                  <c:v>2.131214214634608E-2</c:v>
                </c:pt>
                <c:pt idx="118">
                  <c:v>2.125187127530374E-2</c:v>
                </c:pt>
                <c:pt idx="119">
                  <c:v>2.0932794953264607E-2</c:v>
                </c:pt>
                <c:pt idx="120">
                  <c:v>2.1524497979701664E-2</c:v>
                </c:pt>
                <c:pt idx="121">
                  <c:v>2.2767145021913057E-2</c:v>
                </c:pt>
                <c:pt idx="122">
                  <c:v>2.1504738444053366E-2</c:v>
                </c:pt>
                <c:pt idx="123">
                  <c:v>1.8933133166038937E-2</c:v>
                </c:pt>
                <c:pt idx="124">
                  <c:v>2.0249315625362811E-2</c:v>
                </c:pt>
                <c:pt idx="125">
                  <c:v>2.2142875364131891E-2</c:v>
                </c:pt>
                <c:pt idx="126">
                  <c:v>2.3359545595280855E-2</c:v>
                </c:pt>
                <c:pt idx="127">
                  <c:v>2.5635177362591827E-2</c:v>
                </c:pt>
                <c:pt idx="128">
                  <c:v>2.4867928165681903E-2</c:v>
                </c:pt>
                <c:pt idx="129">
                  <c:v>2.3564648411344088E-2</c:v>
                </c:pt>
                <c:pt idx="130">
                  <c:v>2.5110772020268714E-2</c:v>
                </c:pt>
                <c:pt idx="131">
                  <c:v>2.6412242757370724E-2</c:v>
                </c:pt>
                <c:pt idx="132">
                  <c:v>2.601723762863041E-2</c:v>
                </c:pt>
                <c:pt idx="133">
                  <c:v>2.6573588986517453E-2</c:v>
                </c:pt>
                <c:pt idx="134">
                  <c:v>2.8047083545685865E-2</c:v>
                </c:pt>
                <c:pt idx="135">
                  <c:v>2.709089206084888E-2</c:v>
                </c:pt>
                <c:pt idx="136">
                  <c:v>2.7129790670277321E-2</c:v>
                </c:pt>
                <c:pt idx="137">
                  <c:v>2.7597484362159065E-2</c:v>
                </c:pt>
                <c:pt idx="138">
                  <c:v>2.7551812902751119E-2</c:v>
                </c:pt>
                <c:pt idx="139">
                  <c:v>2.8681732551102741E-2</c:v>
                </c:pt>
                <c:pt idx="140">
                  <c:v>2.8154501709573867E-2</c:v>
                </c:pt>
                <c:pt idx="141">
                  <c:v>2.9055851349389143E-2</c:v>
                </c:pt>
                <c:pt idx="142">
                  <c:v>3.0226542638785808E-2</c:v>
                </c:pt>
                <c:pt idx="143">
                  <c:v>2.799745520738519E-2</c:v>
                </c:pt>
                <c:pt idx="144">
                  <c:v>2.7603015241589379E-2</c:v>
                </c:pt>
                <c:pt idx="145">
                  <c:v>2.8438064795132157E-2</c:v>
                </c:pt>
                <c:pt idx="146">
                  <c:v>2.5938160640522973E-2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360384"/>
        <c:axId val="185361920"/>
      </c:lineChart>
      <c:catAx>
        <c:axId val="18536038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85361920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185361920"/>
        <c:scaling>
          <c:orientation val="minMax"/>
        </c:scaling>
        <c:delete val="0"/>
        <c:axPos val="l"/>
        <c:majorGridlines>
          <c:spPr>
            <a:ln>
              <a:solidFill>
                <a:schemeClr val="tx1"/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200" b="1"/>
                </a:pPr>
                <a:r>
                  <a:rPr lang="en-US" sz="1200" b="1"/>
                  <a:t>Projected Default Rate</a:t>
                </a:r>
              </a:p>
            </c:rich>
          </c:tx>
          <c:layout/>
          <c:overlay val="0"/>
        </c:title>
        <c:numFmt formatCode="0.0%" sourceLinked="0"/>
        <c:majorTickMark val="out"/>
        <c:minorTickMark val="none"/>
        <c:tickLblPos val="nextTo"/>
        <c:crossAx val="185360384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'Time Series Query'!$BQ$4</c:f>
              <c:strCache>
                <c:ptCount val="1"/>
                <c:pt idx="0">
                  <c:v>Pct Conventional</c:v>
                </c:pt>
              </c:strCache>
            </c:strRef>
          </c:tx>
          <c:cat>
            <c:strRef>
              <c:f>'Time Series Query'!$BG$5:$BG$151</c:f>
              <c:strCache>
                <c:ptCount val="147"/>
                <c:pt idx="0">
                  <c:v>2003-05-01</c:v>
                </c:pt>
                <c:pt idx="1">
                  <c:v>2003-06-01</c:v>
                </c:pt>
                <c:pt idx="2">
                  <c:v>2003-07-01</c:v>
                </c:pt>
                <c:pt idx="3">
                  <c:v>2003-08-01</c:v>
                </c:pt>
                <c:pt idx="4">
                  <c:v>2003-09-01</c:v>
                </c:pt>
                <c:pt idx="5">
                  <c:v>2003-10-01</c:v>
                </c:pt>
                <c:pt idx="6">
                  <c:v>2003-11-01</c:v>
                </c:pt>
                <c:pt idx="7">
                  <c:v>2003-12-01</c:v>
                </c:pt>
                <c:pt idx="8">
                  <c:v>2004-01-01</c:v>
                </c:pt>
                <c:pt idx="9">
                  <c:v>2004-02-01</c:v>
                </c:pt>
                <c:pt idx="10">
                  <c:v>2004-03-01</c:v>
                </c:pt>
                <c:pt idx="11">
                  <c:v>2004-04-01</c:v>
                </c:pt>
                <c:pt idx="12">
                  <c:v>2004-05-01</c:v>
                </c:pt>
                <c:pt idx="13">
                  <c:v>2004-06-01</c:v>
                </c:pt>
                <c:pt idx="14">
                  <c:v>2004-07-01</c:v>
                </c:pt>
                <c:pt idx="15">
                  <c:v>2004-08-01</c:v>
                </c:pt>
                <c:pt idx="16">
                  <c:v>2004-09-01</c:v>
                </c:pt>
                <c:pt idx="17">
                  <c:v>2004-10-01</c:v>
                </c:pt>
                <c:pt idx="18">
                  <c:v>2004-11-01</c:v>
                </c:pt>
                <c:pt idx="19">
                  <c:v>2004-12-01</c:v>
                </c:pt>
                <c:pt idx="20">
                  <c:v>2005-01-01</c:v>
                </c:pt>
                <c:pt idx="21">
                  <c:v>2005-02-01</c:v>
                </c:pt>
                <c:pt idx="22">
                  <c:v>2005-03-01</c:v>
                </c:pt>
                <c:pt idx="23">
                  <c:v>2005-04-01</c:v>
                </c:pt>
                <c:pt idx="24">
                  <c:v>2005-05-01</c:v>
                </c:pt>
                <c:pt idx="25">
                  <c:v>2005-06-01</c:v>
                </c:pt>
                <c:pt idx="26">
                  <c:v>2005-07-01</c:v>
                </c:pt>
                <c:pt idx="27">
                  <c:v>2005-08-01</c:v>
                </c:pt>
                <c:pt idx="28">
                  <c:v>2005-09-01</c:v>
                </c:pt>
                <c:pt idx="29">
                  <c:v>2005-10-01</c:v>
                </c:pt>
                <c:pt idx="30">
                  <c:v>2005-11-01</c:v>
                </c:pt>
                <c:pt idx="31">
                  <c:v>2005-12-01</c:v>
                </c:pt>
                <c:pt idx="32">
                  <c:v>2006-01-01</c:v>
                </c:pt>
                <c:pt idx="33">
                  <c:v>2006-02-01</c:v>
                </c:pt>
                <c:pt idx="34">
                  <c:v>2006-03-01</c:v>
                </c:pt>
                <c:pt idx="35">
                  <c:v>2006-04-01</c:v>
                </c:pt>
                <c:pt idx="36">
                  <c:v>2006-05-01</c:v>
                </c:pt>
                <c:pt idx="37">
                  <c:v>2006-06-01</c:v>
                </c:pt>
                <c:pt idx="38">
                  <c:v>2006-07-01</c:v>
                </c:pt>
                <c:pt idx="39">
                  <c:v>2006-08-01</c:v>
                </c:pt>
                <c:pt idx="40">
                  <c:v>2006-09-01</c:v>
                </c:pt>
                <c:pt idx="41">
                  <c:v>2006-10-01</c:v>
                </c:pt>
                <c:pt idx="42">
                  <c:v>2006-11-01</c:v>
                </c:pt>
                <c:pt idx="43">
                  <c:v>2006-12-01</c:v>
                </c:pt>
                <c:pt idx="44">
                  <c:v>2007-01-01</c:v>
                </c:pt>
                <c:pt idx="45">
                  <c:v>2007-02-01</c:v>
                </c:pt>
                <c:pt idx="46">
                  <c:v>2007-03-01</c:v>
                </c:pt>
                <c:pt idx="47">
                  <c:v>2007-04-01</c:v>
                </c:pt>
                <c:pt idx="48">
                  <c:v>2007-05-01</c:v>
                </c:pt>
                <c:pt idx="49">
                  <c:v>2007-06-01</c:v>
                </c:pt>
                <c:pt idx="50">
                  <c:v>2007-07-01</c:v>
                </c:pt>
                <c:pt idx="51">
                  <c:v>2007-08-01</c:v>
                </c:pt>
                <c:pt idx="52">
                  <c:v>2007-09-01</c:v>
                </c:pt>
                <c:pt idx="53">
                  <c:v>2007-10-01</c:v>
                </c:pt>
                <c:pt idx="54">
                  <c:v>2007-11-01</c:v>
                </c:pt>
                <c:pt idx="55">
                  <c:v>2007-12-01</c:v>
                </c:pt>
                <c:pt idx="56">
                  <c:v>2008-01-01</c:v>
                </c:pt>
                <c:pt idx="57">
                  <c:v>2008-02-01</c:v>
                </c:pt>
                <c:pt idx="58">
                  <c:v>2008-03-01</c:v>
                </c:pt>
                <c:pt idx="59">
                  <c:v>2008-04-01</c:v>
                </c:pt>
                <c:pt idx="60">
                  <c:v>2008-05-01</c:v>
                </c:pt>
                <c:pt idx="61">
                  <c:v>2008-06-01</c:v>
                </c:pt>
                <c:pt idx="62">
                  <c:v>2008-07-01</c:v>
                </c:pt>
                <c:pt idx="63">
                  <c:v>2008-08-01</c:v>
                </c:pt>
                <c:pt idx="64">
                  <c:v>2008-09-01</c:v>
                </c:pt>
                <c:pt idx="65">
                  <c:v>2008-10-01</c:v>
                </c:pt>
                <c:pt idx="66">
                  <c:v>2008-11-01</c:v>
                </c:pt>
                <c:pt idx="67">
                  <c:v>2008-12-01</c:v>
                </c:pt>
                <c:pt idx="68">
                  <c:v>2009-01-01</c:v>
                </c:pt>
                <c:pt idx="69">
                  <c:v>2009-02-01</c:v>
                </c:pt>
                <c:pt idx="70">
                  <c:v>2009-03-01</c:v>
                </c:pt>
                <c:pt idx="71">
                  <c:v>2009-04-01</c:v>
                </c:pt>
                <c:pt idx="72">
                  <c:v>2009-05-01</c:v>
                </c:pt>
                <c:pt idx="73">
                  <c:v>2009-06-01</c:v>
                </c:pt>
                <c:pt idx="74">
                  <c:v>2009-07-01</c:v>
                </c:pt>
                <c:pt idx="75">
                  <c:v>2009-08-01</c:v>
                </c:pt>
                <c:pt idx="76">
                  <c:v>2009-09-01</c:v>
                </c:pt>
                <c:pt idx="77">
                  <c:v>2009-10-01</c:v>
                </c:pt>
                <c:pt idx="78">
                  <c:v>2009-11-01</c:v>
                </c:pt>
                <c:pt idx="79">
                  <c:v>2009-12-01</c:v>
                </c:pt>
                <c:pt idx="80">
                  <c:v>2010-01-01</c:v>
                </c:pt>
                <c:pt idx="81">
                  <c:v>2010-02-01</c:v>
                </c:pt>
                <c:pt idx="82">
                  <c:v>2010-03-01</c:v>
                </c:pt>
                <c:pt idx="83">
                  <c:v>2010-04-01</c:v>
                </c:pt>
                <c:pt idx="84">
                  <c:v>2010-05-01</c:v>
                </c:pt>
                <c:pt idx="85">
                  <c:v>2010-06-01</c:v>
                </c:pt>
                <c:pt idx="86">
                  <c:v>2010-07-01</c:v>
                </c:pt>
                <c:pt idx="87">
                  <c:v>2010-08-01</c:v>
                </c:pt>
                <c:pt idx="88">
                  <c:v>2010-09-01</c:v>
                </c:pt>
                <c:pt idx="89">
                  <c:v>2010-10-01</c:v>
                </c:pt>
                <c:pt idx="90">
                  <c:v>2010-11-01</c:v>
                </c:pt>
                <c:pt idx="91">
                  <c:v>2010-12-01</c:v>
                </c:pt>
                <c:pt idx="92">
                  <c:v>2011-01-01</c:v>
                </c:pt>
                <c:pt idx="93">
                  <c:v>2011-02-01</c:v>
                </c:pt>
                <c:pt idx="94">
                  <c:v>2011-03-01</c:v>
                </c:pt>
                <c:pt idx="95">
                  <c:v>2011-04-01</c:v>
                </c:pt>
                <c:pt idx="96">
                  <c:v>2011-05-01</c:v>
                </c:pt>
                <c:pt idx="97">
                  <c:v>2011-06-01</c:v>
                </c:pt>
                <c:pt idx="98">
                  <c:v>2011-07-01</c:v>
                </c:pt>
                <c:pt idx="99">
                  <c:v>2011-08-01</c:v>
                </c:pt>
                <c:pt idx="100">
                  <c:v>2011-09-01</c:v>
                </c:pt>
                <c:pt idx="101">
                  <c:v>2011-10-01</c:v>
                </c:pt>
                <c:pt idx="102">
                  <c:v>2011-11-01</c:v>
                </c:pt>
                <c:pt idx="103">
                  <c:v>2011-12-01</c:v>
                </c:pt>
                <c:pt idx="104">
                  <c:v>2012-01-01</c:v>
                </c:pt>
                <c:pt idx="105">
                  <c:v>2012-02-01</c:v>
                </c:pt>
                <c:pt idx="106">
                  <c:v>2012-03-01</c:v>
                </c:pt>
                <c:pt idx="107">
                  <c:v>2012-04-01</c:v>
                </c:pt>
                <c:pt idx="108">
                  <c:v>2012-05-01</c:v>
                </c:pt>
                <c:pt idx="109">
                  <c:v>2012-06-01</c:v>
                </c:pt>
                <c:pt idx="110">
                  <c:v>2012-07-01</c:v>
                </c:pt>
                <c:pt idx="111">
                  <c:v>2012-08-01</c:v>
                </c:pt>
                <c:pt idx="112">
                  <c:v>2012-09-01</c:v>
                </c:pt>
                <c:pt idx="113">
                  <c:v>2012-10-01</c:v>
                </c:pt>
                <c:pt idx="114">
                  <c:v>2012-11-01</c:v>
                </c:pt>
                <c:pt idx="115">
                  <c:v>2012-12-01</c:v>
                </c:pt>
                <c:pt idx="116">
                  <c:v>2013-01-01</c:v>
                </c:pt>
                <c:pt idx="117">
                  <c:v>2013-02-01</c:v>
                </c:pt>
                <c:pt idx="118">
                  <c:v>2013-03-01</c:v>
                </c:pt>
                <c:pt idx="119">
                  <c:v>2013-04-01</c:v>
                </c:pt>
                <c:pt idx="120">
                  <c:v>2013-05-01</c:v>
                </c:pt>
                <c:pt idx="121">
                  <c:v>2013-06-01</c:v>
                </c:pt>
                <c:pt idx="122">
                  <c:v>2013-07-01</c:v>
                </c:pt>
                <c:pt idx="123">
                  <c:v>2013-08-01</c:v>
                </c:pt>
                <c:pt idx="124">
                  <c:v>2013-09-01</c:v>
                </c:pt>
                <c:pt idx="125">
                  <c:v>2013-10-01</c:v>
                </c:pt>
                <c:pt idx="126">
                  <c:v>2013-11-01</c:v>
                </c:pt>
                <c:pt idx="127">
                  <c:v>2013-12-01</c:v>
                </c:pt>
                <c:pt idx="128">
                  <c:v>2014-01-01</c:v>
                </c:pt>
                <c:pt idx="129">
                  <c:v>2014-02-01</c:v>
                </c:pt>
                <c:pt idx="130">
                  <c:v>2014-03-01</c:v>
                </c:pt>
                <c:pt idx="131">
                  <c:v>2014-04-01</c:v>
                </c:pt>
                <c:pt idx="132">
                  <c:v>2014-05-01</c:v>
                </c:pt>
                <c:pt idx="133">
                  <c:v>2014-06-01</c:v>
                </c:pt>
                <c:pt idx="134">
                  <c:v>2014-07-01</c:v>
                </c:pt>
                <c:pt idx="135">
                  <c:v>2014-08-01</c:v>
                </c:pt>
                <c:pt idx="136">
                  <c:v>2014-09-01</c:v>
                </c:pt>
                <c:pt idx="137">
                  <c:v>2014-10-01</c:v>
                </c:pt>
                <c:pt idx="138">
                  <c:v>2014-11-01</c:v>
                </c:pt>
                <c:pt idx="139">
                  <c:v>2014-12-01</c:v>
                </c:pt>
                <c:pt idx="140">
                  <c:v>2015-01-01</c:v>
                </c:pt>
                <c:pt idx="141">
                  <c:v>2015-02-01</c:v>
                </c:pt>
                <c:pt idx="142">
                  <c:v>2015-03-01</c:v>
                </c:pt>
                <c:pt idx="143">
                  <c:v>2015-04-01</c:v>
                </c:pt>
                <c:pt idx="144">
                  <c:v>2015-05-01</c:v>
                </c:pt>
                <c:pt idx="145">
                  <c:v>2015-06-01</c:v>
                </c:pt>
                <c:pt idx="146">
                  <c:v>2015-07-01</c:v>
                </c:pt>
              </c:strCache>
            </c:strRef>
          </c:cat>
          <c:val>
            <c:numRef>
              <c:f>'Time Series Query'!$BQ$5:$BQ$151</c:f>
              <c:numCache>
                <c:formatCode>General</c:formatCode>
                <c:ptCount val="147"/>
                <c:pt idx="0">
                  <c:v>0.66040268456375839</c:v>
                </c:pt>
                <c:pt idx="1">
                  <c:v>0.66040268456375839</c:v>
                </c:pt>
                <c:pt idx="2">
                  <c:v>0.66040268456375839</c:v>
                </c:pt>
                <c:pt idx="3">
                  <c:v>0.66040268456375839</c:v>
                </c:pt>
                <c:pt idx="4">
                  <c:v>0.66040268456375839</c:v>
                </c:pt>
                <c:pt idx="5">
                  <c:v>0.66040268456375839</c:v>
                </c:pt>
                <c:pt idx="6">
                  <c:v>0.66040268456375839</c:v>
                </c:pt>
                <c:pt idx="7">
                  <c:v>0.66040268456375839</c:v>
                </c:pt>
                <c:pt idx="8">
                  <c:v>0.46718146718146719</c:v>
                </c:pt>
                <c:pt idx="9">
                  <c:v>0.46718146718146719</c:v>
                </c:pt>
                <c:pt idx="10">
                  <c:v>0.46718146718146719</c:v>
                </c:pt>
                <c:pt idx="11">
                  <c:v>0.46718146718146719</c:v>
                </c:pt>
                <c:pt idx="12">
                  <c:v>0.46718146718146719</c:v>
                </c:pt>
                <c:pt idx="13">
                  <c:v>0.46718146718146719</c:v>
                </c:pt>
                <c:pt idx="14">
                  <c:v>0.46718146718146719</c:v>
                </c:pt>
                <c:pt idx="15">
                  <c:v>0.46718146718146719</c:v>
                </c:pt>
                <c:pt idx="16">
                  <c:v>0.46718146718146719</c:v>
                </c:pt>
                <c:pt idx="17">
                  <c:v>0.46718146718146719</c:v>
                </c:pt>
                <c:pt idx="18">
                  <c:v>0.46718146718146719</c:v>
                </c:pt>
                <c:pt idx="19">
                  <c:v>0.46718146718146719</c:v>
                </c:pt>
                <c:pt idx="20">
                  <c:v>0.39564428312159711</c:v>
                </c:pt>
                <c:pt idx="21">
                  <c:v>0.39564428312159711</c:v>
                </c:pt>
                <c:pt idx="22">
                  <c:v>0.39564428312159711</c:v>
                </c:pt>
                <c:pt idx="23">
                  <c:v>0.39564428312159711</c:v>
                </c:pt>
                <c:pt idx="24">
                  <c:v>0.39564428312159711</c:v>
                </c:pt>
                <c:pt idx="25">
                  <c:v>0.39564428312159711</c:v>
                </c:pt>
                <c:pt idx="26">
                  <c:v>0.39564428312159711</c:v>
                </c:pt>
                <c:pt idx="27">
                  <c:v>0.39564428312159711</c:v>
                </c:pt>
                <c:pt idx="28">
                  <c:v>0.39564428312159711</c:v>
                </c:pt>
                <c:pt idx="29">
                  <c:v>0.39564428312159711</c:v>
                </c:pt>
                <c:pt idx="30">
                  <c:v>0.39564428312159711</c:v>
                </c:pt>
                <c:pt idx="31">
                  <c:v>0.39564428312159711</c:v>
                </c:pt>
                <c:pt idx="32">
                  <c:v>0.38823529411764707</c:v>
                </c:pt>
                <c:pt idx="33">
                  <c:v>0.38823529411764707</c:v>
                </c:pt>
                <c:pt idx="34">
                  <c:v>0.38823529411764707</c:v>
                </c:pt>
                <c:pt idx="35">
                  <c:v>0.38823529411764707</c:v>
                </c:pt>
                <c:pt idx="36">
                  <c:v>0.38823529411764707</c:v>
                </c:pt>
                <c:pt idx="37">
                  <c:v>0.38823529411764707</c:v>
                </c:pt>
                <c:pt idx="38">
                  <c:v>0.38823529411764707</c:v>
                </c:pt>
                <c:pt idx="39">
                  <c:v>0.38823529411764707</c:v>
                </c:pt>
                <c:pt idx="40">
                  <c:v>0.38823529411764707</c:v>
                </c:pt>
                <c:pt idx="41">
                  <c:v>0.38823529411764707</c:v>
                </c:pt>
                <c:pt idx="42">
                  <c:v>0.38823529411764707</c:v>
                </c:pt>
                <c:pt idx="43">
                  <c:v>0.38823529411764707</c:v>
                </c:pt>
                <c:pt idx="44">
                  <c:v>0.55309947140797688</c:v>
                </c:pt>
                <c:pt idx="45">
                  <c:v>0.55309947140797688</c:v>
                </c:pt>
                <c:pt idx="46">
                  <c:v>0.55309947140797688</c:v>
                </c:pt>
                <c:pt idx="47">
                  <c:v>0.55309947140797688</c:v>
                </c:pt>
                <c:pt idx="48">
                  <c:v>0.55309947140797688</c:v>
                </c:pt>
                <c:pt idx="49">
                  <c:v>0.55309947140797688</c:v>
                </c:pt>
                <c:pt idx="50">
                  <c:v>0.55309947140797688</c:v>
                </c:pt>
                <c:pt idx="51">
                  <c:v>0.55309947140797688</c:v>
                </c:pt>
                <c:pt idx="52">
                  <c:v>0.55309947140797688</c:v>
                </c:pt>
                <c:pt idx="53">
                  <c:v>0.55309947140797688</c:v>
                </c:pt>
                <c:pt idx="54">
                  <c:v>0.55309947140797688</c:v>
                </c:pt>
                <c:pt idx="55">
                  <c:v>0.55309947140797688</c:v>
                </c:pt>
                <c:pt idx="56">
                  <c:v>0.67052023121387283</c:v>
                </c:pt>
                <c:pt idx="57">
                  <c:v>0.67052023121387283</c:v>
                </c:pt>
                <c:pt idx="58">
                  <c:v>0.67052023121387283</c:v>
                </c:pt>
                <c:pt idx="59">
                  <c:v>0.67052023121387283</c:v>
                </c:pt>
                <c:pt idx="60">
                  <c:v>0.67052023121387283</c:v>
                </c:pt>
                <c:pt idx="61">
                  <c:v>0.67052023121387283</c:v>
                </c:pt>
                <c:pt idx="62">
                  <c:v>0.67052023121387283</c:v>
                </c:pt>
                <c:pt idx="63">
                  <c:v>0.67052023121387283</c:v>
                </c:pt>
                <c:pt idx="64">
                  <c:v>0.67052023121387283</c:v>
                </c:pt>
                <c:pt idx="65">
                  <c:v>0.67052023121387283</c:v>
                </c:pt>
                <c:pt idx="66">
                  <c:v>0.67052023121387283</c:v>
                </c:pt>
                <c:pt idx="67">
                  <c:v>0.67052023121387283</c:v>
                </c:pt>
                <c:pt idx="68">
                  <c:v>0.68277430358158042</c:v>
                </c:pt>
                <c:pt idx="69">
                  <c:v>0.68277430358158042</c:v>
                </c:pt>
                <c:pt idx="70">
                  <c:v>0.68277430358158042</c:v>
                </c:pt>
                <c:pt idx="71">
                  <c:v>0.68277430358158042</c:v>
                </c:pt>
                <c:pt idx="72">
                  <c:v>0.68277430358158042</c:v>
                </c:pt>
                <c:pt idx="73">
                  <c:v>0.68277430358158042</c:v>
                </c:pt>
                <c:pt idx="74">
                  <c:v>0.68277430358158042</c:v>
                </c:pt>
                <c:pt idx="75">
                  <c:v>0.68277430358158042</c:v>
                </c:pt>
                <c:pt idx="76">
                  <c:v>0.68277430358158042</c:v>
                </c:pt>
                <c:pt idx="77">
                  <c:v>0.68277430358158042</c:v>
                </c:pt>
                <c:pt idx="78">
                  <c:v>0.68277430358158042</c:v>
                </c:pt>
                <c:pt idx="79">
                  <c:v>0.68277430358158042</c:v>
                </c:pt>
                <c:pt idx="80">
                  <c:v>0.69070208728652749</c:v>
                </c:pt>
                <c:pt idx="81">
                  <c:v>0.69070208728652749</c:v>
                </c:pt>
                <c:pt idx="82">
                  <c:v>0.69070208728652749</c:v>
                </c:pt>
                <c:pt idx="83">
                  <c:v>0.69070208728652749</c:v>
                </c:pt>
                <c:pt idx="84">
                  <c:v>0.69070208728652749</c:v>
                </c:pt>
                <c:pt idx="85">
                  <c:v>0.69070208728652749</c:v>
                </c:pt>
                <c:pt idx="86">
                  <c:v>0.69070208728652749</c:v>
                </c:pt>
                <c:pt idx="87">
                  <c:v>0.69070208728652749</c:v>
                </c:pt>
                <c:pt idx="88">
                  <c:v>0.69070208728652749</c:v>
                </c:pt>
                <c:pt idx="89">
                  <c:v>0.69070208728652749</c:v>
                </c:pt>
                <c:pt idx="90">
                  <c:v>0.69070208728652749</c:v>
                </c:pt>
                <c:pt idx="91">
                  <c:v>0.69070208728652749</c:v>
                </c:pt>
                <c:pt idx="92">
                  <c:v>0.66643598615916955</c:v>
                </c:pt>
                <c:pt idx="93">
                  <c:v>0.66643598615916955</c:v>
                </c:pt>
                <c:pt idx="94">
                  <c:v>0.66643598615916955</c:v>
                </c:pt>
                <c:pt idx="95">
                  <c:v>0.66643598615916955</c:v>
                </c:pt>
                <c:pt idx="96">
                  <c:v>0.66643598615916955</c:v>
                </c:pt>
                <c:pt idx="97">
                  <c:v>0.66643598615916955</c:v>
                </c:pt>
                <c:pt idx="98">
                  <c:v>0.66643598615916955</c:v>
                </c:pt>
                <c:pt idx="99">
                  <c:v>0.66643598615916955</c:v>
                </c:pt>
                <c:pt idx="100">
                  <c:v>0.66643598615916955</c:v>
                </c:pt>
                <c:pt idx="101">
                  <c:v>0.66643598615916955</c:v>
                </c:pt>
                <c:pt idx="102">
                  <c:v>0.66643598615916955</c:v>
                </c:pt>
                <c:pt idx="103">
                  <c:v>0.66643598615916955</c:v>
                </c:pt>
                <c:pt idx="104">
                  <c:v>0.69267822736030826</c:v>
                </c:pt>
                <c:pt idx="105">
                  <c:v>0.69267822736030826</c:v>
                </c:pt>
                <c:pt idx="106">
                  <c:v>0.69267822736030826</c:v>
                </c:pt>
                <c:pt idx="107">
                  <c:v>0.69267822736030826</c:v>
                </c:pt>
                <c:pt idx="108">
                  <c:v>0.69267822736030826</c:v>
                </c:pt>
                <c:pt idx="109">
                  <c:v>0.69267822736030826</c:v>
                </c:pt>
                <c:pt idx="110">
                  <c:v>0.69267822736030826</c:v>
                </c:pt>
                <c:pt idx="111">
                  <c:v>0.69267822736030826</c:v>
                </c:pt>
                <c:pt idx="112">
                  <c:v>0.69267822736030826</c:v>
                </c:pt>
                <c:pt idx="113">
                  <c:v>0.69267822736030826</c:v>
                </c:pt>
                <c:pt idx="114">
                  <c:v>0.69267822736030826</c:v>
                </c:pt>
                <c:pt idx="115">
                  <c:v>0.69267822736030826</c:v>
                </c:pt>
                <c:pt idx="116">
                  <c:v>0.64153005464480872</c:v>
                </c:pt>
                <c:pt idx="117">
                  <c:v>0.64153005464480872</c:v>
                </c:pt>
                <c:pt idx="118">
                  <c:v>0.64153005464480872</c:v>
                </c:pt>
                <c:pt idx="119">
                  <c:v>0.64153005464480872</c:v>
                </c:pt>
                <c:pt idx="120">
                  <c:v>0.64153005464480872</c:v>
                </c:pt>
                <c:pt idx="121">
                  <c:v>0.64153005464480872</c:v>
                </c:pt>
                <c:pt idx="122">
                  <c:v>0.64153005464480872</c:v>
                </c:pt>
                <c:pt idx="123">
                  <c:v>0.64153005464480872</c:v>
                </c:pt>
                <c:pt idx="124">
                  <c:v>0.64153005464480872</c:v>
                </c:pt>
                <c:pt idx="125">
                  <c:v>0.64153005464480872</c:v>
                </c:pt>
                <c:pt idx="126">
                  <c:v>0.64153005464480872</c:v>
                </c:pt>
                <c:pt idx="127">
                  <c:v>0.64153005464480872</c:v>
                </c:pt>
                <c:pt idx="128">
                  <c:v>0.55517536355859709</c:v>
                </c:pt>
                <c:pt idx="129">
                  <c:v>0.55517536355859709</c:v>
                </c:pt>
                <c:pt idx="130">
                  <c:v>0.55517536355859709</c:v>
                </c:pt>
                <c:pt idx="131">
                  <c:v>0.55517536355859709</c:v>
                </c:pt>
                <c:pt idx="132">
                  <c:v>0.55517536355859709</c:v>
                </c:pt>
                <c:pt idx="133">
                  <c:v>0.55517536355859709</c:v>
                </c:pt>
                <c:pt idx="134">
                  <c:v>0.55517536355859709</c:v>
                </c:pt>
                <c:pt idx="135">
                  <c:v>0.55517536355859709</c:v>
                </c:pt>
                <c:pt idx="136">
                  <c:v>0.55517536355859709</c:v>
                </c:pt>
                <c:pt idx="137">
                  <c:v>0.55517536355859709</c:v>
                </c:pt>
                <c:pt idx="138">
                  <c:v>0.55517536355859709</c:v>
                </c:pt>
                <c:pt idx="139">
                  <c:v>0.55517536355859709</c:v>
                </c:pt>
                <c:pt idx="140">
                  <c:v>0.54906832298136643</c:v>
                </c:pt>
                <c:pt idx="141">
                  <c:v>0.54906832298136643</c:v>
                </c:pt>
                <c:pt idx="142">
                  <c:v>0.54906832298136643</c:v>
                </c:pt>
                <c:pt idx="143">
                  <c:v>0.54906832298136643</c:v>
                </c:pt>
                <c:pt idx="144">
                  <c:v>0.54906832298136643</c:v>
                </c:pt>
                <c:pt idx="145">
                  <c:v>0.54906832298136643</c:v>
                </c:pt>
                <c:pt idx="146">
                  <c:v>0.54906832298136643</c:v>
                </c:pt>
              </c:numCache>
            </c:numRef>
          </c:val>
        </c:ser>
        <c:ser>
          <c:idx val="1"/>
          <c:order val="1"/>
          <c:tx>
            <c:strRef>
              <c:f>'Time Series Query'!$BR$4</c:f>
              <c:strCache>
                <c:ptCount val="1"/>
                <c:pt idx="0">
                  <c:v>Pct VA</c:v>
                </c:pt>
              </c:strCache>
            </c:strRef>
          </c:tx>
          <c:cat>
            <c:strRef>
              <c:f>'Time Series Query'!$BG$5:$BG$151</c:f>
              <c:strCache>
                <c:ptCount val="147"/>
                <c:pt idx="0">
                  <c:v>2003-05-01</c:v>
                </c:pt>
                <c:pt idx="1">
                  <c:v>2003-06-01</c:v>
                </c:pt>
                <c:pt idx="2">
                  <c:v>2003-07-01</c:v>
                </c:pt>
                <c:pt idx="3">
                  <c:v>2003-08-01</c:v>
                </c:pt>
                <c:pt idx="4">
                  <c:v>2003-09-01</c:v>
                </c:pt>
                <c:pt idx="5">
                  <c:v>2003-10-01</c:v>
                </c:pt>
                <c:pt idx="6">
                  <c:v>2003-11-01</c:v>
                </c:pt>
                <c:pt idx="7">
                  <c:v>2003-12-01</c:v>
                </c:pt>
                <c:pt idx="8">
                  <c:v>2004-01-01</c:v>
                </c:pt>
                <c:pt idx="9">
                  <c:v>2004-02-01</c:v>
                </c:pt>
                <c:pt idx="10">
                  <c:v>2004-03-01</c:v>
                </c:pt>
                <c:pt idx="11">
                  <c:v>2004-04-01</c:v>
                </c:pt>
                <c:pt idx="12">
                  <c:v>2004-05-01</c:v>
                </c:pt>
                <c:pt idx="13">
                  <c:v>2004-06-01</c:v>
                </c:pt>
                <c:pt idx="14">
                  <c:v>2004-07-01</c:v>
                </c:pt>
                <c:pt idx="15">
                  <c:v>2004-08-01</c:v>
                </c:pt>
                <c:pt idx="16">
                  <c:v>2004-09-01</c:v>
                </c:pt>
                <c:pt idx="17">
                  <c:v>2004-10-01</c:v>
                </c:pt>
                <c:pt idx="18">
                  <c:v>2004-11-01</c:v>
                </c:pt>
                <c:pt idx="19">
                  <c:v>2004-12-01</c:v>
                </c:pt>
                <c:pt idx="20">
                  <c:v>2005-01-01</c:v>
                </c:pt>
                <c:pt idx="21">
                  <c:v>2005-02-01</c:v>
                </c:pt>
                <c:pt idx="22">
                  <c:v>2005-03-01</c:v>
                </c:pt>
                <c:pt idx="23">
                  <c:v>2005-04-01</c:v>
                </c:pt>
                <c:pt idx="24">
                  <c:v>2005-05-01</c:v>
                </c:pt>
                <c:pt idx="25">
                  <c:v>2005-06-01</c:v>
                </c:pt>
                <c:pt idx="26">
                  <c:v>2005-07-01</c:v>
                </c:pt>
                <c:pt idx="27">
                  <c:v>2005-08-01</c:v>
                </c:pt>
                <c:pt idx="28">
                  <c:v>2005-09-01</c:v>
                </c:pt>
                <c:pt idx="29">
                  <c:v>2005-10-01</c:v>
                </c:pt>
                <c:pt idx="30">
                  <c:v>2005-11-01</c:v>
                </c:pt>
                <c:pt idx="31">
                  <c:v>2005-12-01</c:v>
                </c:pt>
                <c:pt idx="32">
                  <c:v>2006-01-01</c:v>
                </c:pt>
                <c:pt idx="33">
                  <c:v>2006-02-01</c:v>
                </c:pt>
                <c:pt idx="34">
                  <c:v>2006-03-01</c:v>
                </c:pt>
                <c:pt idx="35">
                  <c:v>2006-04-01</c:v>
                </c:pt>
                <c:pt idx="36">
                  <c:v>2006-05-01</c:v>
                </c:pt>
                <c:pt idx="37">
                  <c:v>2006-06-01</c:v>
                </c:pt>
                <c:pt idx="38">
                  <c:v>2006-07-01</c:v>
                </c:pt>
                <c:pt idx="39">
                  <c:v>2006-08-01</c:v>
                </c:pt>
                <c:pt idx="40">
                  <c:v>2006-09-01</c:v>
                </c:pt>
                <c:pt idx="41">
                  <c:v>2006-10-01</c:v>
                </c:pt>
                <c:pt idx="42">
                  <c:v>2006-11-01</c:v>
                </c:pt>
                <c:pt idx="43">
                  <c:v>2006-12-01</c:v>
                </c:pt>
                <c:pt idx="44">
                  <c:v>2007-01-01</c:v>
                </c:pt>
                <c:pt idx="45">
                  <c:v>2007-02-01</c:v>
                </c:pt>
                <c:pt idx="46">
                  <c:v>2007-03-01</c:v>
                </c:pt>
                <c:pt idx="47">
                  <c:v>2007-04-01</c:v>
                </c:pt>
                <c:pt idx="48">
                  <c:v>2007-05-01</c:v>
                </c:pt>
                <c:pt idx="49">
                  <c:v>2007-06-01</c:v>
                </c:pt>
                <c:pt idx="50">
                  <c:v>2007-07-01</c:v>
                </c:pt>
                <c:pt idx="51">
                  <c:v>2007-08-01</c:v>
                </c:pt>
                <c:pt idx="52">
                  <c:v>2007-09-01</c:v>
                </c:pt>
                <c:pt idx="53">
                  <c:v>2007-10-01</c:v>
                </c:pt>
                <c:pt idx="54">
                  <c:v>2007-11-01</c:v>
                </c:pt>
                <c:pt idx="55">
                  <c:v>2007-12-01</c:v>
                </c:pt>
                <c:pt idx="56">
                  <c:v>2008-01-01</c:v>
                </c:pt>
                <c:pt idx="57">
                  <c:v>2008-02-01</c:v>
                </c:pt>
                <c:pt idx="58">
                  <c:v>2008-03-01</c:v>
                </c:pt>
                <c:pt idx="59">
                  <c:v>2008-04-01</c:v>
                </c:pt>
                <c:pt idx="60">
                  <c:v>2008-05-01</c:v>
                </c:pt>
                <c:pt idx="61">
                  <c:v>2008-06-01</c:v>
                </c:pt>
                <c:pt idx="62">
                  <c:v>2008-07-01</c:v>
                </c:pt>
                <c:pt idx="63">
                  <c:v>2008-08-01</c:v>
                </c:pt>
                <c:pt idx="64">
                  <c:v>2008-09-01</c:v>
                </c:pt>
                <c:pt idx="65">
                  <c:v>2008-10-01</c:v>
                </c:pt>
                <c:pt idx="66">
                  <c:v>2008-11-01</c:v>
                </c:pt>
                <c:pt idx="67">
                  <c:v>2008-12-01</c:v>
                </c:pt>
                <c:pt idx="68">
                  <c:v>2009-01-01</c:v>
                </c:pt>
                <c:pt idx="69">
                  <c:v>2009-02-01</c:v>
                </c:pt>
                <c:pt idx="70">
                  <c:v>2009-03-01</c:v>
                </c:pt>
                <c:pt idx="71">
                  <c:v>2009-04-01</c:v>
                </c:pt>
                <c:pt idx="72">
                  <c:v>2009-05-01</c:v>
                </c:pt>
                <c:pt idx="73">
                  <c:v>2009-06-01</c:v>
                </c:pt>
                <c:pt idx="74">
                  <c:v>2009-07-01</c:v>
                </c:pt>
                <c:pt idx="75">
                  <c:v>2009-08-01</c:v>
                </c:pt>
                <c:pt idx="76">
                  <c:v>2009-09-01</c:v>
                </c:pt>
                <c:pt idx="77">
                  <c:v>2009-10-01</c:v>
                </c:pt>
                <c:pt idx="78">
                  <c:v>2009-11-01</c:v>
                </c:pt>
                <c:pt idx="79">
                  <c:v>2009-12-01</c:v>
                </c:pt>
                <c:pt idx="80">
                  <c:v>2010-01-01</c:v>
                </c:pt>
                <c:pt idx="81">
                  <c:v>2010-02-01</c:v>
                </c:pt>
                <c:pt idx="82">
                  <c:v>2010-03-01</c:v>
                </c:pt>
                <c:pt idx="83">
                  <c:v>2010-04-01</c:v>
                </c:pt>
                <c:pt idx="84">
                  <c:v>2010-05-01</c:v>
                </c:pt>
                <c:pt idx="85">
                  <c:v>2010-06-01</c:v>
                </c:pt>
                <c:pt idx="86">
                  <c:v>2010-07-01</c:v>
                </c:pt>
                <c:pt idx="87">
                  <c:v>2010-08-01</c:v>
                </c:pt>
                <c:pt idx="88">
                  <c:v>2010-09-01</c:v>
                </c:pt>
                <c:pt idx="89">
                  <c:v>2010-10-01</c:v>
                </c:pt>
                <c:pt idx="90">
                  <c:v>2010-11-01</c:v>
                </c:pt>
                <c:pt idx="91">
                  <c:v>2010-12-01</c:v>
                </c:pt>
                <c:pt idx="92">
                  <c:v>2011-01-01</c:v>
                </c:pt>
                <c:pt idx="93">
                  <c:v>2011-02-01</c:v>
                </c:pt>
                <c:pt idx="94">
                  <c:v>2011-03-01</c:v>
                </c:pt>
                <c:pt idx="95">
                  <c:v>2011-04-01</c:v>
                </c:pt>
                <c:pt idx="96">
                  <c:v>2011-05-01</c:v>
                </c:pt>
                <c:pt idx="97">
                  <c:v>2011-06-01</c:v>
                </c:pt>
                <c:pt idx="98">
                  <c:v>2011-07-01</c:v>
                </c:pt>
                <c:pt idx="99">
                  <c:v>2011-08-01</c:v>
                </c:pt>
                <c:pt idx="100">
                  <c:v>2011-09-01</c:v>
                </c:pt>
                <c:pt idx="101">
                  <c:v>2011-10-01</c:v>
                </c:pt>
                <c:pt idx="102">
                  <c:v>2011-11-01</c:v>
                </c:pt>
                <c:pt idx="103">
                  <c:v>2011-12-01</c:v>
                </c:pt>
                <c:pt idx="104">
                  <c:v>2012-01-01</c:v>
                </c:pt>
                <c:pt idx="105">
                  <c:v>2012-02-01</c:v>
                </c:pt>
                <c:pt idx="106">
                  <c:v>2012-03-01</c:v>
                </c:pt>
                <c:pt idx="107">
                  <c:v>2012-04-01</c:v>
                </c:pt>
                <c:pt idx="108">
                  <c:v>2012-05-01</c:v>
                </c:pt>
                <c:pt idx="109">
                  <c:v>2012-06-01</c:v>
                </c:pt>
                <c:pt idx="110">
                  <c:v>2012-07-01</c:v>
                </c:pt>
                <c:pt idx="111">
                  <c:v>2012-08-01</c:v>
                </c:pt>
                <c:pt idx="112">
                  <c:v>2012-09-01</c:v>
                </c:pt>
                <c:pt idx="113">
                  <c:v>2012-10-01</c:v>
                </c:pt>
                <c:pt idx="114">
                  <c:v>2012-11-01</c:v>
                </c:pt>
                <c:pt idx="115">
                  <c:v>2012-12-01</c:v>
                </c:pt>
                <c:pt idx="116">
                  <c:v>2013-01-01</c:v>
                </c:pt>
                <c:pt idx="117">
                  <c:v>2013-02-01</c:v>
                </c:pt>
                <c:pt idx="118">
                  <c:v>2013-03-01</c:v>
                </c:pt>
                <c:pt idx="119">
                  <c:v>2013-04-01</c:v>
                </c:pt>
                <c:pt idx="120">
                  <c:v>2013-05-01</c:v>
                </c:pt>
                <c:pt idx="121">
                  <c:v>2013-06-01</c:v>
                </c:pt>
                <c:pt idx="122">
                  <c:v>2013-07-01</c:v>
                </c:pt>
                <c:pt idx="123">
                  <c:v>2013-08-01</c:v>
                </c:pt>
                <c:pt idx="124">
                  <c:v>2013-09-01</c:v>
                </c:pt>
                <c:pt idx="125">
                  <c:v>2013-10-01</c:v>
                </c:pt>
                <c:pt idx="126">
                  <c:v>2013-11-01</c:v>
                </c:pt>
                <c:pt idx="127">
                  <c:v>2013-12-01</c:v>
                </c:pt>
                <c:pt idx="128">
                  <c:v>2014-01-01</c:v>
                </c:pt>
                <c:pt idx="129">
                  <c:v>2014-02-01</c:v>
                </c:pt>
                <c:pt idx="130">
                  <c:v>2014-03-01</c:v>
                </c:pt>
                <c:pt idx="131">
                  <c:v>2014-04-01</c:v>
                </c:pt>
                <c:pt idx="132">
                  <c:v>2014-05-01</c:v>
                </c:pt>
                <c:pt idx="133">
                  <c:v>2014-06-01</c:v>
                </c:pt>
                <c:pt idx="134">
                  <c:v>2014-07-01</c:v>
                </c:pt>
                <c:pt idx="135">
                  <c:v>2014-08-01</c:v>
                </c:pt>
                <c:pt idx="136">
                  <c:v>2014-09-01</c:v>
                </c:pt>
                <c:pt idx="137">
                  <c:v>2014-10-01</c:v>
                </c:pt>
                <c:pt idx="138">
                  <c:v>2014-11-01</c:v>
                </c:pt>
                <c:pt idx="139">
                  <c:v>2014-12-01</c:v>
                </c:pt>
                <c:pt idx="140">
                  <c:v>2015-01-01</c:v>
                </c:pt>
                <c:pt idx="141">
                  <c:v>2015-02-01</c:v>
                </c:pt>
                <c:pt idx="142">
                  <c:v>2015-03-01</c:v>
                </c:pt>
                <c:pt idx="143">
                  <c:v>2015-04-01</c:v>
                </c:pt>
                <c:pt idx="144">
                  <c:v>2015-05-01</c:v>
                </c:pt>
                <c:pt idx="145">
                  <c:v>2015-06-01</c:v>
                </c:pt>
                <c:pt idx="146">
                  <c:v>2015-07-01</c:v>
                </c:pt>
              </c:strCache>
            </c:strRef>
          </c:cat>
          <c:val>
            <c:numRef>
              <c:f>'Time Series Query'!$BR$5:$BR$151</c:f>
              <c:numCache>
                <c:formatCode>General</c:formatCode>
                <c:ptCount val="147"/>
                <c:pt idx="0">
                  <c:v>1.4765100671140939E-2</c:v>
                </c:pt>
                <c:pt idx="1">
                  <c:v>1.4765100671140939E-2</c:v>
                </c:pt>
                <c:pt idx="2">
                  <c:v>1.4765100671140939E-2</c:v>
                </c:pt>
                <c:pt idx="3">
                  <c:v>1.4765100671140939E-2</c:v>
                </c:pt>
                <c:pt idx="4">
                  <c:v>1.4765100671140939E-2</c:v>
                </c:pt>
                <c:pt idx="5">
                  <c:v>1.4765100671140939E-2</c:v>
                </c:pt>
                <c:pt idx="6">
                  <c:v>1.4765100671140939E-2</c:v>
                </c:pt>
                <c:pt idx="7">
                  <c:v>1.4765100671140939E-2</c:v>
                </c:pt>
                <c:pt idx="8">
                  <c:v>1.3030888030888031E-2</c:v>
                </c:pt>
                <c:pt idx="9">
                  <c:v>1.3030888030888031E-2</c:v>
                </c:pt>
                <c:pt idx="10">
                  <c:v>1.3030888030888031E-2</c:v>
                </c:pt>
                <c:pt idx="11">
                  <c:v>1.3030888030888031E-2</c:v>
                </c:pt>
                <c:pt idx="12">
                  <c:v>1.3030888030888031E-2</c:v>
                </c:pt>
                <c:pt idx="13">
                  <c:v>1.3030888030888031E-2</c:v>
                </c:pt>
                <c:pt idx="14">
                  <c:v>1.3030888030888031E-2</c:v>
                </c:pt>
                <c:pt idx="15">
                  <c:v>1.3030888030888031E-2</c:v>
                </c:pt>
                <c:pt idx="16">
                  <c:v>1.3030888030888031E-2</c:v>
                </c:pt>
                <c:pt idx="17">
                  <c:v>1.3030888030888031E-2</c:v>
                </c:pt>
                <c:pt idx="18">
                  <c:v>1.3030888030888031E-2</c:v>
                </c:pt>
                <c:pt idx="19">
                  <c:v>1.3030888030888031E-2</c:v>
                </c:pt>
                <c:pt idx="20">
                  <c:v>8.1669691470054439E-3</c:v>
                </c:pt>
                <c:pt idx="21">
                  <c:v>8.1669691470054439E-3</c:v>
                </c:pt>
                <c:pt idx="22">
                  <c:v>8.1669691470054439E-3</c:v>
                </c:pt>
                <c:pt idx="23">
                  <c:v>8.1669691470054439E-3</c:v>
                </c:pt>
                <c:pt idx="24">
                  <c:v>8.1669691470054439E-3</c:v>
                </c:pt>
                <c:pt idx="25">
                  <c:v>8.1669691470054439E-3</c:v>
                </c:pt>
                <c:pt idx="26">
                  <c:v>8.1669691470054439E-3</c:v>
                </c:pt>
                <c:pt idx="27">
                  <c:v>8.1669691470054439E-3</c:v>
                </c:pt>
                <c:pt idx="28">
                  <c:v>8.1669691470054439E-3</c:v>
                </c:pt>
                <c:pt idx="29">
                  <c:v>8.1669691470054439E-3</c:v>
                </c:pt>
                <c:pt idx="30">
                  <c:v>8.1669691470054439E-3</c:v>
                </c:pt>
                <c:pt idx="31">
                  <c:v>8.1669691470054439E-3</c:v>
                </c:pt>
                <c:pt idx="32">
                  <c:v>7.8431372549019607E-3</c:v>
                </c:pt>
                <c:pt idx="33">
                  <c:v>7.8431372549019607E-3</c:v>
                </c:pt>
                <c:pt idx="34">
                  <c:v>7.8431372549019607E-3</c:v>
                </c:pt>
                <c:pt idx="35">
                  <c:v>7.8431372549019607E-3</c:v>
                </c:pt>
                <c:pt idx="36">
                  <c:v>7.8431372549019607E-3</c:v>
                </c:pt>
                <c:pt idx="37">
                  <c:v>7.8431372549019607E-3</c:v>
                </c:pt>
                <c:pt idx="38">
                  <c:v>7.8431372549019607E-3</c:v>
                </c:pt>
                <c:pt idx="39">
                  <c:v>7.8431372549019607E-3</c:v>
                </c:pt>
                <c:pt idx="40">
                  <c:v>7.8431372549019607E-3</c:v>
                </c:pt>
                <c:pt idx="41">
                  <c:v>7.8431372549019607E-3</c:v>
                </c:pt>
                <c:pt idx="42">
                  <c:v>7.8431372549019607E-3</c:v>
                </c:pt>
                <c:pt idx="43">
                  <c:v>7.8431372549019607E-3</c:v>
                </c:pt>
                <c:pt idx="44">
                  <c:v>1.3935607880826525E-2</c:v>
                </c:pt>
                <c:pt idx="45">
                  <c:v>1.3935607880826525E-2</c:v>
                </c:pt>
                <c:pt idx="46">
                  <c:v>1.3935607880826525E-2</c:v>
                </c:pt>
                <c:pt idx="47">
                  <c:v>1.3935607880826525E-2</c:v>
                </c:pt>
                <c:pt idx="48">
                  <c:v>1.3935607880826525E-2</c:v>
                </c:pt>
                <c:pt idx="49">
                  <c:v>1.3935607880826525E-2</c:v>
                </c:pt>
                <c:pt idx="50">
                  <c:v>1.3935607880826525E-2</c:v>
                </c:pt>
                <c:pt idx="51">
                  <c:v>1.3935607880826525E-2</c:v>
                </c:pt>
                <c:pt idx="52">
                  <c:v>1.3935607880826525E-2</c:v>
                </c:pt>
                <c:pt idx="53">
                  <c:v>1.3935607880826525E-2</c:v>
                </c:pt>
                <c:pt idx="54">
                  <c:v>1.3935607880826525E-2</c:v>
                </c:pt>
                <c:pt idx="55">
                  <c:v>1.3935607880826525E-2</c:v>
                </c:pt>
                <c:pt idx="56">
                  <c:v>5.2926300578034685E-2</c:v>
                </c:pt>
                <c:pt idx="57">
                  <c:v>5.2926300578034685E-2</c:v>
                </c:pt>
                <c:pt idx="58">
                  <c:v>5.2926300578034685E-2</c:v>
                </c:pt>
                <c:pt idx="59">
                  <c:v>5.2926300578034685E-2</c:v>
                </c:pt>
                <c:pt idx="60">
                  <c:v>5.2926300578034685E-2</c:v>
                </c:pt>
                <c:pt idx="61">
                  <c:v>5.2926300578034685E-2</c:v>
                </c:pt>
                <c:pt idx="62">
                  <c:v>5.2926300578034685E-2</c:v>
                </c:pt>
                <c:pt idx="63">
                  <c:v>5.2926300578034685E-2</c:v>
                </c:pt>
                <c:pt idx="64">
                  <c:v>5.2926300578034685E-2</c:v>
                </c:pt>
                <c:pt idx="65">
                  <c:v>5.2926300578034685E-2</c:v>
                </c:pt>
                <c:pt idx="66">
                  <c:v>5.2926300578034685E-2</c:v>
                </c:pt>
                <c:pt idx="67">
                  <c:v>5.2926300578034685E-2</c:v>
                </c:pt>
                <c:pt idx="68">
                  <c:v>6.4098919840818641E-2</c:v>
                </c:pt>
                <c:pt idx="69">
                  <c:v>6.4098919840818641E-2</c:v>
                </c:pt>
                <c:pt idx="70">
                  <c:v>6.4098919840818641E-2</c:v>
                </c:pt>
                <c:pt idx="71">
                  <c:v>6.4098919840818641E-2</c:v>
                </c:pt>
                <c:pt idx="72">
                  <c:v>6.4098919840818641E-2</c:v>
                </c:pt>
                <c:pt idx="73">
                  <c:v>6.4098919840818641E-2</c:v>
                </c:pt>
                <c:pt idx="74">
                  <c:v>6.4098919840818641E-2</c:v>
                </c:pt>
                <c:pt idx="75">
                  <c:v>6.4098919840818641E-2</c:v>
                </c:pt>
                <c:pt idx="76">
                  <c:v>6.4098919840818641E-2</c:v>
                </c:pt>
                <c:pt idx="77">
                  <c:v>6.4098919840818641E-2</c:v>
                </c:pt>
                <c:pt idx="78">
                  <c:v>6.4098919840818641E-2</c:v>
                </c:pt>
                <c:pt idx="79">
                  <c:v>6.4098919840818641E-2</c:v>
                </c:pt>
                <c:pt idx="80">
                  <c:v>5.9614168247944341E-2</c:v>
                </c:pt>
                <c:pt idx="81">
                  <c:v>5.9614168247944341E-2</c:v>
                </c:pt>
                <c:pt idx="82">
                  <c:v>5.9614168247944341E-2</c:v>
                </c:pt>
                <c:pt idx="83">
                  <c:v>5.9614168247944341E-2</c:v>
                </c:pt>
                <c:pt idx="84">
                  <c:v>5.9614168247944341E-2</c:v>
                </c:pt>
                <c:pt idx="85">
                  <c:v>5.9614168247944341E-2</c:v>
                </c:pt>
                <c:pt idx="86">
                  <c:v>5.9614168247944341E-2</c:v>
                </c:pt>
                <c:pt idx="87">
                  <c:v>5.9614168247944341E-2</c:v>
                </c:pt>
                <c:pt idx="88">
                  <c:v>5.9614168247944341E-2</c:v>
                </c:pt>
                <c:pt idx="89">
                  <c:v>5.9614168247944341E-2</c:v>
                </c:pt>
                <c:pt idx="90">
                  <c:v>5.9614168247944341E-2</c:v>
                </c:pt>
                <c:pt idx="91">
                  <c:v>5.9614168247944341E-2</c:v>
                </c:pt>
                <c:pt idx="92">
                  <c:v>5.0865051903114189E-2</c:v>
                </c:pt>
                <c:pt idx="93">
                  <c:v>5.0865051903114189E-2</c:v>
                </c:pt>
                <c:pt idx="94">
                  <c:v>5.0865051903114189E-2</c:v>
                </c:pt>
                <c:pt idx="95">
                  <c:v>5.0865051903114189E-2</c:v>
                </c:pt>
                <c:pt idx="96">
                  <c:v>5.0865051903114189E-2</c:v>
                </c:pt>
                <c:pt idx="97">
                  <c:v>5.0865051903114189E-2</c:v>
                </c:pt>
                <c:pt idx="98">
                  <c:v>5.0865051903114189E-2</c:v>
                </c:pt>
                <c:pt idx="99">
                  <c:v>5.0865051903114189E-2</c:v>
                </c:pt>
                <c:pt idx="100">
                  <c:v>5.0865051903114189E-2</c:v>
                </c:pt>
                <c:pt idx="101">
                  <c:v>5.0865051903114189E-2</c:v>
                </c:pt>
                <c:pt idx="102">
                  <c:v>5.0865051903114189E-2</c:v>
                </c:pt>
                <c:pt idx="103">
                  <c:v>5.0865051903114189E-2</c:v>
                </c:pt>
                <c:pt idx="104">
                  <c:v>4.6965317919075142E-2</c:v>
                </c:pt>
                <c:pt idx="105">
                  <c:v>4.6965317919075142E-2</c:v>
                </c:pt>
                <c:pt idx="106">
                  <c:v>4.6965317919075142E-2</c:v>
                </c:pt>
                <c:pt idx="107">
                  <c:v>4.6965317919075142E-2</c:v>
                </c:pt>
                <c:pt idx="108">
                  <c:v>4.6965317919075142E-2</c:v>
                </c:pt>
                <c:pt idx="109">
                  <c:v>4.6965317919075142E-2</c:v>
                </c:pt>
                <c:pt idx="110">
                  <c:v>4.6965317919075142E-2</c:v>
                </c:pt>
                <c:pt idx="111">
                  <c:v>4.6965317919075142E-2</c:v>
                </c:pt>
                <c:pt idx="112">
                  <c:v>4.6965317919075142E-2</c:v>
                </c:pt>
                <c:pt idx="113">
                  <c:v>4.6965317919075142E-2</c:v>
                </c:pt>
                <c:pt idx="114">
                  <c:v>4.6965317919075142E-2</c:v>
                </c:pt>
                <c:pt idx="115">
                  <c:v>4.6965317919075142E-2</c:v>
                </c:pt>
                <c:pt idx="116">
                  <c:v>0.05</c:v>
                </c:pt>
                <c:pt idx="117">
                  <c:v>0.05</c:v>
                </c:pt>
                <c:pt idx="118">
                  <c:v>0.05</c:v>
                </c:pt>
                <c:pt idx="119">
                  <c:v>0.05</c:v>
                </c:pt>
                <c:pt idx="120">
                  <c:v>0.05</c:v>
                </c:pt>
                <c:pt idx="121">
                  <c:v>0.05</c:v>
                </c:pt>
                <c:pt idx="122">
                  <c:v>0.05</c:v>
                </c:pt>
                <c:pt idx="123">
                  <c:v>0.05</c:v>
                </c:pt>
                <c:pt idx="124">
                  <c:v>0.05</c:v>
                </c:pt>
                <c:pt idx="125">
                  <c:v>0.05</c:v>
                </c:pt>
                <c:pt idx="126">
                  <c:v>0.05</c:v>
                </c:pt>
                <c:pt idx="127">
                  <c:v>0.05</c:v>
                </c:pt>
                <c:pt idx="128">
                  <c:v>5.9238665526090674E-2</c:v>
                </c:pt>
                <c:pt idx="129">
                  <c:v>5.9238665526090674E-2</c:v>
                </c:pt>
                <c:pt idx="130">
                  <c:v>5.9238665526090674E-2</c:v>
                </c:pt>
                <c:pt idx="131">
                  <c:v>5.9238665526090674E-2</c:v>
                </c:pt>
                <c:pt idx="132">
                  <c:v>5.9238665526090674E-2</c:v>
                </c:pt>
                <c:pt idx="133">
                  <c:v>5.9238665526090674E-2</c:v>
                </c:pt>
                <c:pt idx="134">
                  <c:v>5.9238665526090674E-2</c:v>
                </c:pt>
                <c:pt idx="135">
                  <c:v>5.9238665526090674E-2</c:v>
                </c:pt>
                <c:pt idx="136">
                  <c:v>5.9238665526090674E-2</c:v>
                </c:pt>
                <c:pt idx="137">
                  <c:v>5.9238665526090674E-2</c:v>
                </c:pt>
                <c:pt idx="138">
                  <c:v>5.9238665526090674E-2</c:v>
                </c:pt>
                <c:pt idx="139">
                  <c:v>5.9238665526090674E-2</c:v>
                </c:pt>
                <c:pt idx="140">
                  <c:v>6.0869565217391307E-2</c:v>
                </c:pt>
                <c:pt idx="141">
                  <c:v>6.0869565217391307E-2</c:v>
                </c:pt>
                <c:pt idx="142">
                  <c:v>6.0869565217391307E-2</c:v>
                </c:pt>
                <c:pt idx="143">
                  <c:v>6.0869565217391307E-2</c:v>
                </c:pt>
                <c:pt idx="144">
                  <c:v>6.0869565217391307E-2</c:v>
                </c:pt>
                <c:pt idx="145">
                  <c:v>6.0869565217391307E-2</c:v>
                </c:pt>
                <c:pt idx="146">
                  <c:v>6.0869565217391307E-2</c:v>
                </c:pt>
              </c:numCache>
            </c:numRef>
          </c:val>
        </c:ser>
        <c:ser>
          <c:idx val="2"/>
          <c:order val="2"/>
          <c:tx>
            <c:strRef>
              <c:f>'Time Series Query'!$BS$4</c:f>
              <c:strCache>
                <c:ptCount val="1"/>
                <c:pt idx="0">
                  <c:v>Pct FHA</c:v>
                </c:pt>
              </c:strCache>
            </c:strRef>
          </c:tx>
          <c:cat>
            <c:strRef>
              <c:f>'Time Series Query'!$BG$5:$BG$151</c:f>
              <c:strCache>
                <c:ptCount val="147"/>
                <c:pt idx="0">
                  <c:v>2003-05-01</c:v>
                </c:pt>
                <c:pt idx="1">
                  <c:v>2003-06-01</c:v>
                </c:pt>
                <c:pt idx="2">
                  <c:v>2003-07-01</c:v>
                </c:pt>
                <c:pt idx="3">
                  <c:v>2003-08-01</c:v>
                </c:pt>
                <c:pt idx="4">
                  <c:v>2003-09-01</c:v>
                </c:pt>
                <c:pt idx="5">
                  <c:v>2003-10-01</c:v>
                </c:pt>
                <c:pt idx="6">
                  <c:v>2003-11-01</c:v>
                </c:pt>
                <c:pt idx="7">
                  <c:v>2003-12-01</c:v>
                </c:pt>
                <c:pt idx="8">
                  <c:v>2004-01-01</c:v>
                </c:pt>
                <c:pt idx="9">
                  <c:v>2004-02-01</c:v>
                </c:pt>
                <c:pt idx="10">
                  <c:v>2004-03-01</c:v>
                </c:pt>
                <c:pt idx="11">
                  <c:v>2004-04-01</c:v>
                </c:pt>
                <c:pt idx="12">
                  <c:v>2004-05-01</c:v>
                </c:pt>
                <c:pt idx="13">
                  <c:v>2004-06-01</c:v>
                </c:pt>
                <c:pt idx="14">
                  <c:v>2004-07-01</c:v>
                </c:pt>
                <c:pt idx="15">
                  <c:v>2004-08-01</c:v>
                </c:pt>
                <c:pt idx="16">
                  <c:v>2004-09-01</c:v>
                </c:pt>
                <c:pt idx="17">
                  <c:v>2004-10-01</c:v>
                </c:pt>
                <c:pt idx="18">
                  <c:v>2004-11-01</c:v>
                </c:pt>
                <c:pt idx="19">
                  <c:v>2004-12-01</c:v>
                </c:pt>
                <c:pt idx="20">
                  <c:v>2005-01-01</c:v>
                </c:pt>
                <c:pt idx="21">
                  <c:v>2005-02-01</c:v>
                </c:pt>
                <c:pt idx="22">
                  <c:v>2005-03-01</c:v>
                </c:pt>
                <c:pt idx="23">
                  <c:v>2005-04-01</c:v>
                </c:pt>
                <c:pt idx="24">
                  <c:v>2005-05-01</c:v>
                </c:pt>
                <c:pt idx="25">
                  <c:v>2005-06-01</c:v>
                </c:pt>
                <c:pt idx="26">
                  <c:v>2005-07-01</c:v>
                </c:pt>
                <c:pt idx="27">
                  <c:v>2005-08-01</c:v>
                </c:pt>
                <c:pt idx="28">
                  <c:v>2005-09-01</c:v>
                </c:pt>
                <c:pt idx="29">
                  <c:v>2005-10-01</c:v>
                </c:pt>
                <c:pt idx="30">
                  <c:v>2005-11-01</c:v>
                </c:pt>
                <c:pt idx="31">
                  <c:v>2005-12-01</c:v>
                </c:pt>
                <c:pt idx="32">
                  <c:v>2006-01-01</c:v>
                </c:pt>
                <c:pt idx="33">
                  <c:v>2006-02-01</c:v>
                </c:pt>
                <c:pt idx="34">
                  <c:v>2006-03-01</c:v>
                </c:pt>
                <c:pt idx="35">
                  <c:v>2006-04-01</c:v>
                </c:pt>
                <c:pt idx="36">
                  <c:v>2006-05-01</c:v>
                </c:pt>
                <c:pt idx="37">
                  <c:v>2006-06-01</c:v>
                </c:pt>
                <c:pt idx="38">
                  <c:v>2006-07-01</c:v>
                </c:pt>
                <c:pt idx="39">
                  <c:v>2006-08-01</c:v>
                </c:pt>
                <c:pt idx="40">
                  <c:v>2006-09-01</c:v>
                </c:pt>
                <c:pt idx="41">
                  <c:v>2006-10-01</c:v>
                </c:pt>
                <c:pt idx="42">
                  <c:v>2006-11-01</c:v>
                </c:pt>
                <c:pt idx="43">
                  <c:v>2006-12-01</c:v>
                </c:pt>
                <c:pt idx="44">
                  <c:v>2007-01-01</c:v>
                </c:pt>
                <c:pt idx="45">
                  <c:v>2007-02-01</c:v>
                </c:pt>
                <c:pt idx="46">
                  <c:v>2007-03-01</c:v>
                </c:pt>
                <c:pt idx="47">
                  <c:v>2007-04-01</c:v>
                </c:pt>
                <c:pt idx="48">
                  <c:v>2007-05-01</c:v>
                </c:pt>
                <c:pt idx="49">
                  <c:v>2007-06-01</c:v>
                </c:pt>
                <c:pt idx="50">
                  <c:v>2007-07-01</c:v>
                </c:pt>
                <c:pt idx="51">
                  <c:v>2007-08-01</c:v>
                </c:pt>
                <c:pt idx="52">
                  <c:v>2007-09-01</c:v>
                </c:pt>
                <c:pt idx="53">
                  <c:v>2007-10-01</c:v>
                </c:pt>
                <c:pt idx="54">
                  <c:v>2007-11-01</c:v>
                </c:pt>
                <c:pt idx="55">
                  <c:v>2007-12-01</c:v>
                </c:pt>
                <c:pt idx="56">
                  <c:v>2008-01-01</c:v>
                </c:pt>
                <c:pt idx="57">
                  <c:v>2008-02-01</c:v>
                </c:pt>
                <c:pt idx="58">
                  <c:v>2008-03-01</c:v>
                </c:pt>
                <c:pt idx="59">
                  <c:v>2008-04-01</c:v>
                </c:pt>
                <c:pt idx="60">
                  <c:v>2008-05-01</c:v>
                </c:pt>
                <c:pt idx="61">
                  <c:v>2008-06-01</c:v>
                </c:pt>
                <c:pt idx="62">
                  <c:v>2008-07-01</c:v>
                </c:pt>
                <c:pt idx="63">
                  <c:v>2008-08-01</c:v>
                </c:pt>
                <c:pt idx="64">
                  <c:v>2008-09-01</c:v>
                </c:pt>
                <c:pt idx="65">
                  <c:v>2008-10-01</c:v>
                </c:pt>
                <c:pt idx="66">
                  <c:v>2008-11-01</c:v>
                </c:pt>
                <c:pt idx="67">
                  <c:v>2008-12-01</c:v>
                </c:pt>
                <c:pt idx="68">
                  <c:v>2009-01-01</c:v>
                </c:pt>
                <c:pt idx="69">
                  <c:v>2009-02-01</c:v>
                </c:pt>
                <c:pt idx="70">
                  <c:v>2009-03-01</c:v>
                </c:pt>
                <c:pt idx="71">
                  <c:v>2009-04-01</c:v>
                </c:pt>
                <c:pt idx="72">
                  <c:v>2009-05-01</c:v>
                </c:pt>
                <c:pt idx="73">
                  <c:v>2009-06-01</c:v>
                </c:pt>
                <c:pt idx="74">
                  <c:v>2009-07-01</c:v>
                </c:pt>
                <c:pt idx="75">
                  <c:v>2009-08-01</c:v>
                </c:pt>
                <c:pt idx="76">
                  <c:v>2009-09-01</c:v>
                </c:pt>
                <c:pt idx="77">
                  <c:v>2009-10-01</c:v>
                </c:pt>
                <c:pt idx="78">
                  <c:v>2009-11-01</c:v>
                </c:pt>
                <c:pt idx="79">
                  <c:v>2009-12-01</c:v>
                </c:pt>
                <c:pt idx="80">
                  <c:v>2010-01-01</c:v>
                </c:pt>
                <c:pt idx="81">
                  <c:v>2010-02-01</c:v>
                </c:pt>
                <c:pt idx="82">
                  <c:v>2010-03-01</c:v>
                </c:pt>
                <c:pt idx="83">
                  <c:v>2010-04-01</c:v>
                </c:pt>
                <c:pt idx="84">
                  <c:v>2010-05-01</c:v>
                </c:pt>
                <c:pt idx="85">
                  <c:v>2010-06-01</c:v>
                </c:pt>
                <c:pt idx="86">
                  <c:v>2010-07-01</c:v>
                </c:pt>
                <c:pt idx="87">
                  <c:v>2010-08-01</c:v>
                </c:pt>
                <c:pt idx="88">
                  <c:v>2010-09-01</c:v>
                </c:pt>
                <c:pt idx="89">
                  <c:v>2010-10-01</c:v>
                </c:pt>
                <c:pt idx="90">
                  <c:v>2010-11-01</c:v>
                </c:pt>
                <c:pt idx="91">
                  <c:v>2010-12-01</c:v>
                </c:pt>
                <c:pt idx="92">
                  <c:v>2011-01-01</c:v>
                </c:pt>
                <c:pt idx="93">
                  <c:v>2011-02-01</c:v>
                </c:pt>
                <c:pt idx="94">
                  <c:v>2011-03-01</c:v>
                </c:pt>
                <c:pt idx="95">
                  <c:v>2011-04-01</c:v>
                </c:pt>
                <c:pt idx="96">
                  <c:v>2011-05-01</c:v>
                </c:pt>
                <c:pt idx="97">
                  <c:v>2011-06-01</c:v>
                </c:pt>
                <c:pt idx="98">
                  <c:v>2011-07-01</c:v>
                </c:pt>
                <c:pt idx="99">
                  <c:v>2011-08-01</c:v>
                </c:pt>
                <c:pt idx="100">
                  <c:v>2011-09-01</c:v>
                </c:pt>
                <c:pt idx="101">
                  <c:v>2011-10-01</c:v>
                </c:pt>
                <c:pt idx="102">
                  <c:v>2011-11-01</c:v>
                </c:pt>
                <c:pt idx="103">
                  <c:v>2011-12-01</c:v>
                </c:pt>
                <c:pt idx="104">
                  <c:v>2012-01-01</c:v>
                </c:pt>
                <c:pt idx="105">
                  <c:v>2012-02-01</c:v>
                </c:pt>
                <c:pt idx="106">
                  <c:v>2012-03-01</c:v>
                </c:pt>
                <c:pt idx="107">
                  <c:v>2012-04-01</c:v>
                </c:pt>
                <c:pt idx="108">
                  <c:v>2012-05-01</c:v>
                </c:pt>
                <c:pt idx="109">
                  <c:v>2012-06-01</c:v>
                </c:pt>
                <c:pt idx="110">
                  <c:v>2012-07-01</c:v>
                </c:pt>
                <c:pt idx="111">
                  <c:v>2012-08-01</c:v>
                </c:pt>
                <c:pt idx="112">
                  <c:v>2012-09-01</c:v>
                </c:pt>
                <c:pt idx="113">
                  <c:v>2012-10-01</c:v>
                </c:pt>
                <c:pt idx="114">
                  <c:v>2012-11-01</c:v>
                </c:pt>
                <c:pt idx="115">
                  <c:v>2012-12-01</c:v>
                </c:pt>
                <c:pt idx="116">
                  <c:v>2013-01-01</c:v>
                </c:pt>
                <c:pt idx="117">
                  <c:v>2013-02-01</c:v>
                </c:pt>
                <c:pt idx="118">
                  <c:v>2013-03-01</c:v>
                </c:pt>
                <c:pt idx="119">
                  <c:v>2013-04-01</c:v>
                </c:pt>
                <c:pt idx="120">
                  <c:v>2013-05-01</c:v>
                </c:pt>
                <c:pt idx="121">
                  <c:v>2013-06-01</c:v>
                </c:pt>
                <c:pt idx="122">
                  <c:v>2013-07-01</c:v>
                </c:pt>
                <c:pt idx="123">
                  <c:v>2013-08-01</c:v>
                </c:pt>
                <c:pt idx="124">
                  <c:v>2013-09-01</c:v>
                </c:pt>
                <c:pt idx="125">
                  <c:v>2013-10-01</c:v>
                </c:pt>
                <c:pt idx="126">
                  <c:v>2013-11-01</c:v>
                </c:pt>
                <c:pt idx="127">
                  <c:v>2013-12-01</c:v>
                </c:pt>
                <c:pt idx="128">
                  <c:v>2014-01-01</c:v>
                </c:pt>
                <c:pt idx="129">
                  <c:v>2014-02-01</c:v>
                </c:pt>
                <c:pt idx="130">
                  <c:v>2014-03-01</c:v>
                </c:pt>
                <c:pt idx="131">
                  <c:v>2014-04-01</c:v>
                </c:pt>
                <c:pt idx="132">
                  <c:v>2014-05-01</c:v>
                </c:pt>
                <c:pt idx="133">
                  <c:v>2014-06-01</c:v>
                </c:pt>
                <c:pt idx="134">
                  <c:v>2014-07-01</c:v>
                </c:pt>
                <c:pt idx="135">
                  <c:v>2014-08-01</c:v>
                </c:pt>
                <c:pt idx="136">
                  <c:v>2014-09-01</c:v>
                </c:pt>
                <c:pt idx="137">
                  <c:v>2014-10-01</c:v>
                </c:pt>
                <c:pt idx="138">
                  <c:v>2014-11-01</c:v>
                </c:pt>
                <c:pt idx="139">
                  <c:v>2014-12-01</c:v>
                </c:pt>
                <c:pt idx="140">
                  <c:v>2015-01-01</c:v>
                </c:pt>
                <c:pt idx="141">
                  <c:v>2015-02-01</c:v>
                </c:pt>
                <c:pt idx="142">
                  <c:v>2015-03-01</c:v>
                </c:pt>
                <c:pt idx="143">
                  <c:v>2015-04-01</c:v>
                </c:pt>
                <c:pt idx="144">
                  <c:v>2015-05-01</c:v>
                </c:pt>
                <c:pt idx="145">
                  <c:v>2015-06-01</c:v>
                </c:pt>
                <c:pt idx="146">
                  <c:v>2015-07-01</c:v>
                </c:pt>
              </c:strCache>
            </c:strRef>
          </c:cat>
          <c:val>
            <c:numRef>
              <c:f>'Time Series Query'!$BS$5:$BS$151</c:f>
              <c:numCache>
                <c:formatCode>General</c:formatCode>
                <c:ptCount val="147"/>
                <c:pt idx="0">
                  <c:v>4.429530201342282E-2</c:v>
                </c:pt>
                <c:pt idx="1">
                  <c:v>4.429530201342282E-2</c:v>
                </c:pt>
                <c:pt idx="2">
                  <c:v>4.429530201342282E-2</c:v>
                </c:pt>
                <c:pt idx="3">
                  <c:v>4.429530201342282E-2</c:v>
                </c:pt>
                <c:pt idx="4">
                  <c:v>4.429530201342282E-2</c:v>
                </c:pt>
                <c:pt idx="5">
                  <c:v>4.429530201342282E-2</c:v>
                </c:pt>
                <c:pt idx="6">
                  <c:v>4.429530201342282E-2</c:v>
                </c:pt>
                <c:pt idx="7">
                  <c:v>4.429530201342282E-2</c:v>
                </c:pt>
                <c:pt idx="8">
                  <c:v>3.9092664092664091E-2</c:v>
                </c:pt>
                <c:pt idx="9">
                  <c:v>3.9092664092664091E-2</c:v>
                </c:pt>
                <c:pt idx="10">
                  <c:v>3.9092664092664091E-2</c:v>
                </c:pt>
                <c:pt idx="11">
                  <c:v>3.9092664092664091E-2</c:v>
                </c:pt>
                <c:pt idx="12">
                  <c:v>3.9092664092664091E-2</c:v>
                </c:pt>
                <c:pt idx="13">
                  <c:v>3.9092664092664091E-2</c:v>
                </c:pt>
                <c:pt idx="14">
                  <c:v>3.9092664092664091E-2</c:v>
                </c:pt>
                <c:pt idx="15">
                  <c:v>3.9092664092664091E-2</c:v>
                </c:pt>
                <c:pt idx="16">
                  <c:v>3.9092664092664091E-2</c:v>
                </c:pt>
                <c:pt idx="17">
                  <c:v>3.9092664092664091E-2</c:v>
                </c:pt>
                <c:pt idx="18">
                  <c:v>3.9092664092664091E-2</c:v>
                </c:pt>
                <c:pt idx="19">
                  <c:v>3.9092664092664091E-2</c:v>
                </c:pt>
                <c:pt idx="20">
                  <c:v>2.4500907441016333E-2</c:v>
                </c:pt>
                <c:pt idx="21">
                  <c:v>2.4500907441016333E-2</c:v>
                </c:pt>
                <c:pt idx="22">
                  <c:v>2.4500907441016333E-2</c:v>
                </c:pt>
                <c:pt idx="23">
                  <c:v>2.4500907441016333E-2</c:v>
                </c:pt>
                <c:pt idx="24">
                  <c:v>2.4500907441016333E-2</c:v>
                </c:pt>
                <c:pt idx="25">
                  <c:v>2.4500907441016333E-2</c:v>
                </c:pt>
                <c:pt idx="26">
                  <c:v>2.4500907441016333E-2</c:v>
                </c:pt>
                <c:pt idx="27">
                  <c:v>2.4500907441016333E-2</c:v>
                </c:pt>
                <c:pt idx="28">
                  <c:v>2.4500907441016333E-2</c:v>
                </c:pt>
                <c:pt idx="29">
                  <c:v>2.4500907441016333E-2</c:v>
                </c:pt>
                <c:pt idx="30">
                  <c:v>2.4500907441016333E-2</c:v>
                </c:pt>
                <c:pt idx="31">
                  <c:v>2.4500907441016333E-2</c:v>
                </c:pt>
                <c:pt idx="32">
                  <c:v>2.3529411764705882E-2</c:v>
                </c:pt>
                <c:pt idx="33">
                  <c:v>2.3529411764705882E-2</c:v>
                </c:pt>
                <c:pt idx="34">
                  <c:v>2.3529411764705882E-2</c:v>
                </c:pt>
                <c:pt idx="35">
                  <c:v>2.3529411764705882E-2</c:v>
                </c:pt>
                <c:pt idx="36">
                  <c:v>2.3529411764705882E-2</c:v>
                </c:pt>
                <c:pt idx="37">
                  <c:v>2.3529411764705882E-2</c:v>
                </c:pt>
                <c:pt idx="38">
                  <c:v>2.3529411764705882E-2</c:v>
                </c:pt>
                <c:pt idx="39">
                  <c:v>2.3529411764705882E-2</c:v>
                </c:pt>
                <c:pt idx="40">
                  <c:v>2.3529411764705882E-2</c:v>
                </c:pt>
                <c:pt idx="41">
                  <c:v>2.3529411764705882E-2</c:v>
                </c:pt>
                <c:pt idx="42">
                  <c:v>2.3529411764705882E-2</c:v>
                </c:pt>
                <c:pt idx="43">
                  <c:v>2.3529411764705882E-2</c:v>
                </c:pt>
                <c:pt idx="44">
                  <c:v>4.1806823642479576E-2</c:v>
                </c:pt>
                <c:pt idx="45">
                  <c:v>4.1806823642479576E-2</c:v>
                </c:pt>
                <c:pt idx="46">
                  <c:v>4.1806823642479576E-2</c:v>
                </c:pt>
                <c:pt idx="47">
                  <c:v>4.1806823642479576E-2</c:v>
                </c:pt>
                <c:pt idx="48">
                  <c:v>4.1806823642479576E-2</c:v>
                </c:pt>
                <c:pt idx="49">
                  <c:v>4.1806823642479576E-2</c:v>
                </c:pt>
                <c:pt idx="50">
                  <c:v>4.1806823642479576E-2</c:v>
                </c:pt>
                <c:pt idx="51">
                  <c:v>4.1806823642479576E-2</c:v>
                </c:pt>
                <c:pt idx="52">
                  <c:v>4.1806823642479576E-2</c:v>
                </c:pt>
                <c:pt idx="53">
                  <c:v>4.1806823642479576E-2</c:v>
                </c:pt>
                <c:pt idx="54">
                  <c:v>4.1806823642479576E-2</c:v>
                </c:pt>
                <c:pt idx="55">
                  <c:v>4.1806823642479576E-2</c:v>
                </c:pt>
                <c:pt idx="56">
                  <c:v>0.15877890173410406</c:v>
                </c:pt>
                <c:pt idx="57">
                  <c:v>0.15877890173410406</c:v>
                </c:pt>
                <c:pt idx="58">
                  <c:v>0.15877890173410406</c:v>
                </c:pt>
                <c:pt idx="59">
                  <c:v>0.15877890173410406</c:v>
                </c:pt>
                <c:pt idx="60">
                  <c:v>0.15877890173410406</c:v>
                </c:pt>
                <c:pt idx="61">
                  <c:v>0.15877890173410406</c:v>
                </c:pt>
                <c:pt idx="62">
                  <c:v>0.15877890173410406</c:v>
                </c:pt>
                <c:pt idx="63">
                  <c:v>0.15877890173410406</c:v>
                </c:pt>
                <c:pt idx="64">
                  <c:v>0.15877890173410406</c:v>
                </c:pt>
                <c:pt idx="65">
                  <c:v>0.15877890173410406</c:v>
                </c:pt>
                <c:pt idx="66">
                  <c:v>0.15877890173410406</c:v>
                </c:pt>
                <c:pt idx="67">
                  <c:v>0.15877890173410406</c:v>
                </c:pt>
                <c:pt idx="68">
                  <c:v>0.19229675952245595</c:v>
                </c:pt>
                <c:pt idx="69">
                  <c:v>0.19229675952245595</c:v>
                </c:pt>
                <c:pt idx="70">
                  <c:v>0.19229675952245595</c:v>
                </c:pt>
                <c:pt idx="71">
                  <c:v>0.19229675952245595</c:v>
                </c:pt>
                <c:pt idx="72">
                  <c:v>0.19229675952245595</c:v>
                </c:pt>
                <c:pt idx="73">
                  <c:v>0.19229675952245595</c:v>
                </c:pt>
                <c:pt idx="74">
                  <c:v>0.19229675952245595</c:v>
                </c:pt>
                <c:pt idx="75">
                  <c:v>0.19229675952245595</c:v>
                </c:pt>
                <c:pt idx="76">
                  <c:v>0.19229675952245595</c:v>
                </c:pt>
                <c:pt idx="77">
                  <c:v>0.19229675952245595</c:v>
                </c:pt>
                <c:pt idx="78">
                  <c:v>0.19229675952245595</c:v>
                </c:pt>
                <c:pt idx="79">
                  <c:v>0.19229675952245595</c:v>
                </c:pt>
                <c:pt idx="80">
                  <c:v>0.17884250474383301</c:v>
                </c:pt>
                <c:pt idx="81">
                  <c:v>0.17884250474383301</c:v>
                </c:pt>
                <c:pt idx="82">
                  <c:v>0.17884250474383301</c:v>
                </c:pt>
                <c:pt idx="83">
                  <c:v>0.17884250474383301</c:v>
                </c:pt>
                <c:pt idx="84">
                  <c:v>0.17884250474383301</c:v>
                </c:pt>
                <c:pt idx="85">
                  <c:v>0.17884250474383301</c:v>
                </c:pt>
                <c:pt idx="86">
                  <c:v>0.17884250474383301</c:v>
                </c:pt>
                <c:pt idx="87">
                  <c:v>0.17884250474383301</c:v>
                </c:pt>
                <c:pt idx="88">
                  <c:v>0.17884250474383301</c:v>
                </c:pt>
                <c:pt idx="89">
                  <c:v>0.17884250474383301</c:v>
                </c:pt>
                <c:pt idx="90">
                  <c:v>0.17884250474383301</c:v>
                </c:pt>
                <c:pt idx="91">
                  <c:v>0.17884250474383301</c:v>
                </c:pt>
                <c:pt idx="92">
                  <c:v>0.15259515570934257</c:v>
                </c:pt>
                <c:pt idx="93">
                  <c:v>0.15259515570934257</c:v>
                </c:pt>
                <c:pt idx="94">
                  <c:v>0.15259515570934257</c:v>
                </c:pt>
                <c:pt idx="95">
                  <c:v>0.15259515570934257</c:v>
                </c:pt>
                <c:pt idx="96">
                  <c:v>0.15259515570934257</c:v>
                </c:pt>
                <c:pt idx="97">
                  <c:v>0.15259515570934257</c:v>
                </c:pt>
                <c:pt idx="98">
                  <c:v>0.15259515570934257</c:v>
                </c:pt>
                <c:pt idx="99">
                  <c:v>0.15259515570934257</c:v>
                </c:pt>
                <c:pt idx="100">
                  <c:v>0.15259515570934257</c:v>
                </c:pt>
                <c:pt idx="101">
                  <c:v>0.15259515570934257</c:v>
                </c:pt>
                <c:pt idx="102">
                  <c:v>0.15259515570934257</c:v>
                </c:pt>
                <c:pt idx="103">
                  <c:v>0.15259515570934257</c:v>
                </c:pt>
                <c:pt idx="104">
                  <c:v>0.14089595375722544</c:v>
                </c:pt>
                <c:pt idx="105">
                  <c:v>0.14089595375722544</c:v>
                </c:pt>
                <c:pt idx="106">
                  <c:v>0.14089595375722544</c:v>
                </c:pt>
                <c:pt idx="107">
                  <c:v>0.14089595375722544</c:v>
                </c:pt>
                <c:pt idx="108">
                  <c:v>0.14089595375722544</c:v>
                </c:pt>
                <c:pt idx="109">
                  <c:v>0.14089595375722544</c:v>
                </c:pt>
                <c:pt idx="110">
                  <c:v>0.14089595375722544</c:v>
                </c:pt>
                <c:pt idx="111">
                  <c:v>0.14089595375722544</c:v>
                </c:pt>
                <c:pt idx="112">
                  <c:v>0.14089595375722544</c:v>
                </c:pt>
                <c:pt idx="113">
                  <c:v>0.14089595375722544</c:v>
                </c:pt>
                <c:pt idx="114">
                  <c:v>0.14089595375722544</c:v>
                </c:pt>
                <c:pt idx="115">
                  <c:v>0.14089595375722544</c:v>
                </c:pt>
                <c:pt idx="116">
                  <c:v>0.15</c:v>
                </c:pt>
                <c:pt idx="117">
                  <c:v>0.15</c:v>
                </c:pt>
                <c:pt idx="118">
                  <c:v>0.15</c:v>
                </c:pt>
                <c:pt idx="119">
                  <c:v>0.15</c:v>
                </c:pt>
                <c:pt idx="120">
                  <c:v>0.15</c:v>
                </c:pt>
                <c:pt idx="121">
                  <c:v>0.15</c:v>
                </c:pt>
                <c:pt idx="122">
                  <c:v>0.15</c:v>
                </c:pt>
                <c:pt idx="123">
                  <c:v>0.15</c:v>
                </c:pt>
                <c:pt idx="124">
                  <c:v>0.15</c:v>
                </c:pt>
                <c:pt idx="125">
                  <c:v>0.15</c:v>
                </c:pt>
                <c:pt idx="126">
                  <c:v>0.15</c:v>
                </c:pt>
                <c:pt idx="127">
                  <c:v>0.15</c:v>
                </c:pt>
                <c:pt idx="128">
                  <c:v>0.17771599657827203</c:v>
                </c:pt>
                <c:pt idx="129">
                  <c:v>0.17771599657827203</c:v>
                </c:pt>
                <c:pt idx="130">
                  <c:v>0.17771599657827203</c:v>
                </c:pt>
                <c:pt idx="131">
                  <c:v>0.17771599657827203</c:v>
                </c:pt>
                <c:pt idx="132">
                  <c:v>0.17771599657827203</c:v>
                </c:pt>
                <c:pt idx="133">
                  <c:v>0.17771599657827203</c:v>
                </c:pt>
                <c:pt idx="134">
                  <c:v>0.17771599657827203</c:v>
                </c:pt>
                <c:pt idx="135">
                  <c:v>0.17771599657827203</c:v>
                </c:pt>
                <c:pt idx="136">
                  <c:v>0.17771599657827203</c:v>
                </c:pt>
                <c:pt idx="137">
                  <c:v>0.17771599657827203</c:v>
                </c:pt>
                <c:pt idx="138">
                  <c:v>0.17771599657827203</c:v>
                </c:pt>
                <c:pt idx="139">
                  <c:v>0.17771599657827203</c:v>
                </c:pt>
                <c:pt idx="140">
                  <c:v>0.18260869565217391</c:v>
                </c:pt>
                <c:pt idx="141">
                  <c:v>0.18260869565217391</c:v>
                </c:pt>
                <c:pt idx="142">
                  <c:v>0.18260869565217391</c:v>
                </c:pt>
                <c:pt idx="143">
                  <c:v>0.18260869565217391</c:v>
                </c:pt>
                <c:pt idx="144">
                  <c:v>0.18260869565217391</c:v>
                </c:pt>
                <c:pt idx="145">
                  <c:v>0.18260869565217391</c:v>
                </c:pt>
                <c:pt idx="146">
                  <c:v>0.18260869565217391</c:v>
                </c:pt>
              </c:numCache>
            </c:numRef>
          </c:val>
        </c:ser>
        <c:ser>
          <c:idx val="3"/>
          <c:order val="3"/>
          <c:tx>
            <c:strRef>
              <c:f>'Time Series Query'!$BT$4</c:f>
              <c:strCache>
                <c:ptCount val="1"/>
                <c:pt idx="0">
                  <c:v>Pct Jumbo</c:v>
                </c:pt>
              </c:strCache>
            </c:strRef>
          </c:tx>
          <c:spPr>
            <a:ln w="25400">
              <a:noFill/>
            </a:ln>
          </c:spPr>
          <c:val>
            <c:numRef>
              <c:f>'Time Series Query'!$BT$5:$BT$151</c:f>
              <c:numCache>
                <c:formatCode>General</c:formatCode>
                <c:ptCount val="147"/>
                <c:pt idx="0">
                  <c:v>0.17449664429530201</c:v>
                </c:pt>
                <c:pt idx="1">
                  <c:v>0.17449664429530201</c:v>
                </c:pt>
                <c:pt idx="2">
                  <c:v>0.17449664429530201</c:v>
                </c:pt>
                <c:pt idx="3">
                  <c:v>0.17449664429530201</c:v>
                </c:pt>
                <c:pt idx="4">
                  <c:v>0.17449664429530201</c:v>
                </c:pt>
                <c:pt idx="5">
                  <c:v>0.17449664429530201</c:v>
                </c:pt>
                <c:pt idx="6">
                  <c:v>0.17449664429530201</c:v>
                </c:pt>
                <c:pt idx="7">
                  <c:v>0.17449664429530201</c:v>
                </c:pt>
                <c:pt idx="8">
                  <c:v>0.19884169884169883</c:v>
                </c:pt>
                <c:pt idx="9">
                  <c:v>0.19884169884169883</c:v>
                </c:pt>
                <c:pt idx="10">
                  <c:v>0.19884169884169883</c:v>
                </c:pt>
                <c:pt idx="11">
                  <c:v>0.19884169884169883</c:v>
                </c:pt>
                <c:pt idx="12">
                  <c:v>0.19884169884169883</c:v>
                </c:pt>
                <c:pt idx="13">
                  <c:v>0.19884169884169883</c:v>
                </c:pt>
                <c:pt idx="14">
                  <c:v>0.19884169884169883</c:v>
                </c:pt>
                <c:pt idx="15">
                  <c:v>0.19884169884169883</c:v>
                </c:pt>
                <c:pt idx="16">
                  <c:v>0.19884169884169883</c:v>
                </c:pt>
                <c:pt idx="17">
                  <c:v>0.19884169884169883</c:v>
                </c:pt>
                <c:pt idx="18">
                  <c:v>0.19884169884169883</c:v>
                </c:pt>
                <c:pt idx="19">
                  <c:v>0.19884169884169883</c:v>
                </c:pt>
                <c:pt idx="20">
                  <c:v>0.20689655172413793</c:v>
                </c:pt>
                <c:pt idx="21">
                  <c:v>0.20689655172413793</c:v>
                </c:pt>
                <c:pt idx="22">
                  <c:v>0.20689655172413793</c:v>
                </c:pt>
                <c:pt idx="23">
                  <c:v>0.20689655172413793</c:v>
                </c:pt>
                <c:pt idx="24">
                  <c:v>0.20689655172413793</c:v>
                </c:pt>
                <c:pt idx="25">
                  <c:v>0.20689655172413793</c:v>
                </c:pt>
                <c:pt idx="26">
                  <c:v>0.20689655172413793</c:v>
                </c:pt>
                <c:pt idx="27">
                  <c:v>0.20689655172413793</c:v>
                </c:pt>
                <c:pt idx="28">
                  <c:v>0.20689655172413793</c:v>
                </c:pt>
                <c:pt idx="29">
                  <c:v>0.20689655172413793</c:v>
                </c:pt>
                <c:pt idx="30">
                  <c:v>0.20689655172413793</c:v>
                </c:pt>
                <c:pt idx="31">
                  <c:v>0.20689655172413793</c:v>
                </c:pt>
                <c:pt idx="32">
                  <c:v>0.18823529411764706</c:v>
                </c:pt>
                <c:pt idx="33">
                  <c:v>0.18823529411764706</c:v>
                </c:pt>
                <c:pt idx="34">
                  <c:v>0.18823529411764706</c:v>
                </c:pt>
                <c:pt idx="35">
                  <c:v>0.18823529411764706</c:v>
                </c:pt>
                <c:pt idx="36">
                  <c:v>0.18823529411764706</c:v>
                </c:pt>
                <c:pt idx="37">
                  <c:v>0.18823529411764706</c:v>
                </c:pt>
                <c:pt idx="38">
                  <c:v>0.18823529411764706</c:v>
                </c:pt>
                <c:pt idx="39">
                  <c:v>0.18823529411764706</c:v>
                </c:pt>
                <c:pt idx="40">
                  <c:v>0.18823529411764706</c:v>
                </c:pt>
                <c:pt idx="41">
                  <c:v>0.18823529411764706</c:v>
                </c:pt>
                <c:pt idx="42">
                  <c:v>0.18823529411764706</c:v>
                </c:pt>
                <c:pt idx="43">
                  <c:v>0.18823529411764706</c:v>
                </c:pt>
                <c:pt idx="44">
                  <c:v>0.16722729456991831</c:v>
                </c:pt>
                <c:pt idx="45">
                  <c:v>0.16722729456991831</c:v>
                </c:pt>
                <c:pt idx="46">
                  <c:v>0.16722729456991831</c:v>
                </c:pt>
                <c:pt idx="47">
                  <c:v>0.16722729456991831</c:v>
                </c:pt>
                <c:pt idx="48">
                  <c:v>0.16722729456991831</c:v>
                </c:pt>
                <c:pt idx="49">
                  <c:v>0.16722729456991831</c:v>
                </c:pt>
                <c:pt idx="50">
                  <c:v>0.16722729456991831</c:v>
                </c:pt>
                <c:pt idx="51">
                  <c:v>0.16722729456991831</c:v>
                </c:pt>
                <c:pt idx="52">
                  <c:v>0.16722729456991831</c:v>
                </c:pt>
                <c:pt idx="53">
                  <c:v>0.16722729456991831</c:v>
                </c:pt>
                <c:pt idx="54">
                  <c:v>0.16722729456991831</c:v>
                </c:pt>
                <c:pt idx="55">
                  <c:v>0.16722729456991831</c:v>
                </c:pt>
                <c:pt idx="56">
                  <c:v>7.0809248554913301E-2</c:v>
                </c:pt>
                <c:pt idx="57">
                  <c:v>7.0809248554913301E-2</c:v>
                </c:pt>
                <c:pt idx="58">
                  <c:v>7.0809248554913301E-2</c:v>
                </c:pt>
                <c:pt idx="59">
                  <c:v>7.0809248554913301E-2</c:v>
                </c:pt>
                <c:pt idx="60">
                  <c:v>7.0809248554913301E-2</c:v>
                </c:pt>
                <c:pt idx="61">
                  <c:v>7.0809248554913301E-2</c:v>
                </c:pt>
                <c:pt idx="62">
                  <c:v>7.0809248554913301E-2</c:v>
                </c:pt>
                <c:pt idx="63">
                  <c:v>7.0809248554913301E-2</c:v>
                </c:pt>
                <c:pt idx="64">
                  <c:v>7.0809248554913301E-2</c:v>
                </c:pt>
                <c:pt idx="65">
                  <c:v>7.0809248554913301E-2</c:v>
                </c:pt>
                <c:pt idx="66">
                  <c:v>7.0809248554913301E-2</c:v>
                </c:pt>
                <c:pt idx="67">
                  <c:v>7.0809248554913301E-2</c:v>
                </c:pt>
                <c:pt idx="68">
                  <c:v>5.5144968732234227E-2</c:v>
                </c:pt>
                <c:pt idx="69">
                  <c:v>5.5144968732234227E-2</c:v>
                </c:pt>
                <c:pt idx="70">
                  <c:v>5.5144968732234227E-2</c:v>
                </c:pt>
                <c:pt idx="71">
                  <c:v>5.5144968732234227E-2</c:v>
                </c:pt>
                <c:pt idx="72">
                  <c:v>5.5144968732234227E-2</c:v>
                </c:pt>
                <c:pt idx="73">
                  <c:v>5.5144968732234227E-2</c:v>
                </c:pt>
                <c:pt idx="74">
                  <c:v>5.5144968732234227E-2</c:v>
                </c:pt>
                <c:pt idx="75">
                  <c:v>5.5144968732234227E-2</c:v>
                </c:pt>
                <c:pt idx="76">
                  <c:v>5.5144968732234227E-2</c:v>
                </c:pt>
                <c:pt idx="77">
                  <c:v>5.5144968732234227E-2</c:v>
                </c:pt>
                <c:pt idx="78">
                  <c:v>5.5144968732234227E-2</c:v>
                </c:pt>
                <c:pt idx="79">
                  <c:v>5.5144968732234227E-2</c:v>
                </c:pt>
                <c:pt idx="80">
                  <c:v>6.5781151170145477E-2</c:v>
                </c:pt>
                <c:pt idx="81">
                  <c:v>6.5781151170145477E-2</c:v>
                </c:pt>
                <c:pt idx="82">
                  <c:v>6.5781151170145477E-2</c:v>
                </c:pt>
                <c:pt idx="83">
                  <c:v>6.5781151170145477E-2</c:v>
                </c:pt>
                <c:pt idx="84">
                  <c:v>6.5781151170145477E-2</c:v>
                </c:pt>
                <c:pt idx="85">
                  <c:v>6.5781151170145477E-2</c:v>
                </c:pt>
                <c:pt idx="86">
                  <c:v>6.5781151170145477E-2</c:v>
                </c:pt>
                <c:pt idx="87">
                  <c:v>6.5781151170145477E-2</c:v>
                </c:pt>
                <c:pt idx="88">
                  <c:v>6.5781151170145477E-2</c:v>
                </c:pt>
                <c:pt idx="89">
                  <c:v>6.5781151170145477E-2</c:v>
                </c:pt>
                <c:pt idx="90">
                  <c:v>6.5781151170145477E-2</c:v>
                </c:pt>
                <c:pt idx="91">
                  <c:v>6.5781151170145477E-2</c:v>
                </c:pt>
                <c:pt idx="92">
                  <c:v>0.11764705882352941</c:v>
                </c:pt>
                <c:pt idx="93">
                  <c:v>0.11764705882352941</c:v>
                </c:pt>
                <c:pt idx="94">
                  <c:v>0.11764705882352941</c:v>
                </c:pt>
                <c:pt idx="95">
                  <c:v>0.11764705882352941</c:v>
                </c:pt>
                <c:pt idx="96">
                  <c:v>0.11764705882352941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0.11764705882352941</c:v>
                </c:pt>
                <c:pt idx="103">
                  <c:v>0.11764705882352941</c:v>
                </c:pt>
                <c:pt idx="104">
                  <c:v>0.10838150289017341</c:v>
                </c:pt>
                <c:pt idx="105">
                  <c:v>0.10838150289017341</c:v>
                </c:pt>
                <c:pt idx="106">
                  <c:v>0.10838150289017341</c:v>
                </c:pt>
                <c:pt idx="107">
                  <c:v>0.10838150289017341</c:v>
                </c:pt>
                <c:pt idx="108">
                  <c:v>0.10838150289017341</c:v>
                </c:pt>
                <c:pt idx="109">
                  <c:v>0.10838150289017341</c:v>
                </c:pt>
                <c:pt idx="110">
                  <c:v>0.10838150289017341</c:v>
                </c:pt>
                <c:pt idx="111">
                  <c:v>0.10838150289017341</c:v>
                </c:pt>
                <c:pt idx="112">
                  <c:v>0.10838150289017341</c:v>
                </c:pt>
                <c:pt idx="113">
                  <c:v>0.10838150289017341</c:v>
                </c:pt>
                <c:pt idx="114">
                  <c:v>0.10838150289017341</c:v>
                </c:pt>
                <c:pt idx="115">
                  <c:v>0.10838150289017341</c:v>
                </c:pt>
                <c:pt idx="116">
                  <c:v>0.14863387978142076</c:v>
                </c:pt>
                <c:pt idx="117">
                  <c:v>0.14863387978142076</c:v>
                </c:pt>
                <c:pt idx="118">
                  <c:v>0.14863387978142076</c:v>
                </c:pt>
                <c:pt idx="119">
                  <c:v>0.14863387978142076</c:v>
                </c:pt>
                <c:pt idx="120">
                  <c:v>0.14863387978142076</c:v>
                </c:pt>
                <c:pt idx="121">
                  <c:v>0.14863387978142076</c:v>
                </c:pt>
                <c:pt idx="122">
                  <c:v>0.14863387978142076</c:v>
                </c:pt>
                <c:pt idx="123">
                  <c:v>0.14863387978142076</c:v>
                </c:pt>
                <c:pt idx="124">
                  <c:v>0.14863387978142076</c:v>
                </c:pt>
                <c:pt idx="125">
                  <c:v>0.14863387978142076</c:v>
                </c:pt>
                <c:pt idx="126">
                  <c:v>0.14863387978142076</c:v>
                </c:pt>
                <c:pt idx="127">
                  <c:v>0.14863387978142076</c:v>
                </c:pt>
                <c:pt idx="128">
                  <c:v>0.20102651839178784</c:v>
                </c:pt>
                <c:pt idx="129">
                  <c:v>0.20102651839178784</c:v>
                </c:pt>
                <c:pt idx="130">
                  <c:v>0.20102651839178784</c:v>
                </c:pt>
                <c:pt idx="131">
                  <c:v>0.20102651839178784</c:v>
                </c:pt>
                <c:pt idx="132">
                  <c:v>0.20102651839178784</c:v>
                </c:pt>
                <c:pt idx="133">
                  <c:v>0.20102651839178784</c:v>
                </c:pt>
                <c:pt idx="134">
                  <c:v>0.20102651839178784</c:v>
                </c:pt>
                <c:pt idx="135">
                  <c:v>0.20102651839178784</c:v>
                </c:pt>
                <c:pt idx="136">
                  <c:v>0.20102651839178784</c:v>
                </c:pt>
                <c:pt idx="137">
                  <c:v>0.20102651839178784</c:v>
                </c:pt>
                <c:pt idx="138">
                  <c:v>0.20102651839178784</c:v>
                </c:pt>
                <c:pt idx="139">
                  <c:v>0.20102651839178784</c:v>
                </c:pt>
                <c:pt idx="140">
                  <c:v>0.20248447204968945</c:v>
                </c:pt>
                <c:pt idx="141">
                  <c:v>0.20248447204968945</c:v>
                </c:pt>
                <c:pt idx="142">
                  <c:v>0.20248447204968945</c:v>
                </c:pt>
                <c:pt idx="143">
                  <c:v>0.20248447204968945</c:v>
                </c:pt>
                <c:pt idx="144">
                  <c:v>0.20248447204968945</c:v>
                </c:pt>
                <c:pt idx="145">
                  <c:v>0.20248447204968945</c:v>
                </c:pt>
                <c:pt idx="146">
                  <c:v>0.20248447204968945</c:v>
                </c:pt>
              </c:numCache>
            </c:numRef>
          </c:val>
        </c:ser>
        <c:ser>
          <c:idx val="4"/>
          <c:order val="4"/>
          <c:tx>
            <c:strRef>
              <c:f>'Time Series Query'!$BU$4</c:f>
              <c:strCache>
                <c:ptCount val="1"/>
                <c:pt idx="0">
                  <c:v>Pct Alt-A</c:v>
                </c:pt>
              </c:strCache>
            </c:strRef>
          </c:tx>
          <c:spPr>
            <a:ln w="25400">
              <a:noFill/>
            </a:ln>
          </c:spPr>
          <c:val>
            <c:numRef>
              <c:f>'Time Series Query'!$BU$5:$BU$151</c:f>
              <c:numCache>
                <c:formatCode>General</c:formatCode>
                <c:ptCount val="147"/>
                <c:pt idx="0">
                  <c:v>2.2818791946308724E-2</c:v>
                </c:pt>
                <c:pt idx="1">
                  <c:v>2.2818791946308724E-2</c:v>
                </c:pt>
                <c:pt idx="2">
                  <c:v>2.2818791946308724E-2</c:v>
                </c:pt>
                <c:pt idx="3">
                  <c:v>2.2818791946308724E-2</c:v>
                </c:pt>
                <c:pt idx="4">
                  <c:v>2.2818791946308724E-2</c:v>
                </c:pt>
                <c:pt idx="5">
                  <c:v>2.2818791946308724E-2</c:v>
                </c:pt>
                <c:pt idx="6">
                  <c:v>2.2818791946308724E-2</c:v>
                </c:pt>
                <c:pt idx="7">
                  <c:v>2.2818791946308724E-2</c:v>
                </c:pt>
                <c:pt idx="8">
                  <c:v>7.3359073359073365E-2</c:v>
                </c:pt>
                <c:pt idx="9">
                  <c:v>7.3359073359073365E-2</c:v>
                </c:pt>
                <c:pt idx="10">
                  <c:v>7.3359073359073365E-2</c:v>
                </c:pt>
                <c:pt idx="11">
                  <c:v>7.3359073359073365E-2</c:v>
                </c:pt>
                <c:pt idx="12">
                  <c:v>7.3359073359073365E-2</c:v>
                </c:pt>
                <c:pt idx="13">
                  <c:v>7.3359073359073365E-2</c:v>
                </c:pt>
                <c:pt idx="14">
                  <c:v>7.3359073359073365E-2</c:v>
                </c:pt>
                <c:pt idx="15">
                  <c:v>7.3359073359073365E-2</c:v>
                </c:pt>
                <c:pt idx="16">
                  <c:v>7.3359073359073365E-2</c:v>
                </c:pt>
                <c:pt idx="17">
                  <c:v>7.3359073359073365E-2</c:v>
                </c:pt>
                <c:pt idx="18">
                  <c:v>7.3359073359073365E-2</c:v>
                </c:pt>
                <c:pt idx="19">
                  <c:v>7.3359073359073365E-2</c:v>
                </c:pt>
                <c:pt idx="20">
                  <c:v>0.13793103448275862</c:v>
                </c:pt>
                <c:pt idx="21">
                  <c:v>0.13793103448275862</c:v>
                </c:pt>
                <c:pt idx="22">
                  <c:v>0.13793103448275862</c:v>
                </c:pt>
                <c:pt idx="23">
                  <c:v>0.13793103448275862</c:v>
                </c:pt>
                <c:pt idx="24">
                  <c:v>0.13793103448275862</c:v>
                </c:pt>
                <c:pt idx="25">
                  <c:v>0.13793103448275862</c:v>
                </c:pt>
                <c:pt idx="26">
                  <c:v>0.13793103448275862</c:v>
                </c:pt>
                <c:pt idx="27">
                  <c:v>0.13793103448275862</c:v>
                </c:pt>
                <c:pt idx="28">
                  <c:v>0.13793103448275862</c:v>
                </c:pt>
                <c:pt idx="29">
                  <c:v>0.13793103448275862</c:v>
                </c:pt>
                <c:pt idx="30">
                  <c:v>0.13793103448275862</c:v>
                </c:pt>
                <c:pt idx="31">
                  <c:v>0.13793103448275862</c:v>
                </c:pt>
                <c:pt idx="32">
                  <c:v>0.15686274509803921</c:v>
                </c:pt>
                <c:pt idx="33">
                  <c:v>0.15686274509803921</c:v>
                </c:pt>
                <c:pt idx="34">
                  <c:v>0.15686274509803921</c:v>
                </c:pt>
                <c:pt idx="35">
                  <c:v>0.15686274509803921</c:v>
                </c:pt>
                <c:pt idx="36">
                  <c:v>0.15686274509803921</c:v>
                </c:pt>
                <c:pt idx="37">
                  <c:v>0.15686274509803921</c:v>
                </c:pt>
                <c:pt idx="38">
                  <c:v>0.15686274509803921</c:v>
                </c:pt>
                <c:pt idx="39">
                  <c:v>0.15686274509803921</c:v>
                </c:pt>
                <c:pt idx="40">
                  <c:v>0.15686274509803921</c:v>
                </c:pt>
                <c:pt idx="41">
                  <c:v>0.15686274509803921</c:v>
                </c:pt>
                <c:pt idx="42">
                  <c:v>0.15686274509803921</c:v>
                </c:pt>
                <c:pt idx="43">
                  <c:v>0.15686274509803921</c:v>
                </c:pt>
                <c:pt idx="44">
                  <c:v>0.13214800576645844</c:v>
                </c:pt>
                <c:pt idx="45">
                  <c:v>0.13214800576645844</c:v>
                </c:pt>
                <c:pt idx="46">
                  <c:v>0.13214800576645844</c:v>
                </c:pt>
                <c:pt idx="47">
                  <c:v>0.13214800576645844</c:v>
                </c:pt>
                <c:pt idx="48">
                  <c:v>0.13214800576645844</c:v>
                </c:pt>
                <c:pt idx="49">
                  <c:v>0.13214800576645844</c:v>
                </c:pt>
                <c:pt idx="50">
                  <c:v>0.13214800576645844</c:v>
                </c:pt>
                <c:pt idx="51">
                  <c:v>0.13214800576645844</c:v>
                </c:pt>
                <c:pt idx="52">
                  <c:v>0.13214800576645844</c:v>
                </c:pt>
                <c:pt idx="53">
                  <c:v>0.13214800576645844</c:v>
                </c:pt>
                <c:pt idx="54">
                  <c:v>0.13214800576645844</c:v>
                </c:pt>
                <c:pt idx="55">
                  <c:v>0.13214800576645844</c:v>
                </c:pt>
                <c:pt idx="56">
                  <c:v>3.0346820809248554E-2</c:v>
                </c:pt>
                <c:pt idx="57">
                  <c:v>3.0346820809248554E-2</c:v>
                </c:pt>
                <c:pt idx="58">
                  <c:v>3.0346820809248554E-2</c:v>
                </c:pt>
                <c:pt idx="59">
                  <c:v>3.0346820809248554E-2</c:v>
                </c:pt>
                <c:pt idx="60">
                  <c:v>3.0346820809248554E-2</c:v>
                </c:pt>
                <c:pt idx="61">
                  <c:v>3.0346820809248554E-2</c:v>
                </c:pt>
                <c:pt idx="62">
                  <c:v>3.0346820809248554E-2</c:v>
                </c:pt>
                <c:pt idx="63">
                  <c:v>3.0346820809248554E-2</c:v>
                </c:pt>
                <c:pt idx="64">
                  <c:v>3.0346820809248554E-2</c:v>
                </c:pt>
                <c:pt idx="65">
                  <c:v>3.0346820809248554E-2</c:v>
                </c:pt>
                <c:pt idx="66">
                  <c:v>3.0346820809248554E-2</c:v>
                </c:pt>
                <c:pt idx="67">
                  <c:v>3.0346820809248554E-2</c:v>
                </c:pt>
                <c:pt idx="68">
                  <c:v>3.4110289937464467E-3</c:v>
                </c:pt>
                <c:pt idx="69">
                  <c:v>3.4110289937464467E-3</c:v>
                </c:pt>
                <c:pt idx="70">
                  <c:v>3.4110289937464467E-3</c:v>
                </c:pt>
                <c:pt idx="71">
                  <c:v>3.4110289937464467E-3</c:v>
                </c:pt>
                <c:pt idx="72">
                  <c:v>3.4110289937464467E-3</c:v>
                </c:pt>
                <c:pt idx="73">
                  <c:v>3.4110289937464467E-3</c:v>
                </c:pt>
                <c:pt idx="74">
                  <c:v>3.4110289937464467E-3</c:v>
                </c:pt>
                <c:pt idx="75">
                  <c:v>3.4110289937464467E-3</c:v>
                </c:pt>
                <c:pt idx="76">
                  <c:v>3.4110289937464467E-3</c:v>
                </c:pt>
                <c:pt idx="77">
                  <c:v>3.4110289937464467E-3</c:v>
                </c:pt>
                <c:pt idx="78">
                  <c:v>3.4110289937464467E-3</c:v>
                </c:pt>
                <c:pt idx="79">
                  <c:v>3.4110289937464467E-3</c:v>
                </c:pt>
                <c:pt idx="80">
                  <c:v>2.5300442757748261E-3</c:v>
                </c:pt>
                <c:pt idx="81">
                  <c:v>2.5300442757748261E-3</c:v>
                </c:pt>
                <c:pt idx="82">
                  <c:v>2.5300442757748261E-3</c:v>
                </c:pt>
                <c:pt idx="83">
                  <c:v>2.5300442757748261E-3</c:v>
                </c:pt>
                <c:pt idx="84">
                  <c:v>2.5300442757748261E-3</c:v>
                </c:pt>
                <c:pt idx="85">
                  <c:v>2.5300442757748261E-3</c:v>
                </c:pt>
                <c:pt idx="86">
                  <c:v>2.5300442757748261E-3</c:v>
                </c:pt>
                <c:pt idx="87">
                  <c:v>2.5300442757748261E-3</c:v>
                </c:pt>
                <c:pt idx="88">
                  <c:v>2.5300442757748261E-3</c:v>
                </c:pt>
                <c:pt idx="89">
                  <c:v>2.5300442757748261E-3</c:v>
                </c:pt>
                <c:pt idx="90">
                  <c:v>2.5300442757748261E-3</c:v>
                </c:pt>
                <c:pt idx="91">
                  <c:v>2.5300442757748261E-3</c:v>
                </c:pt>
                <c:pt idx="92">
                  <c:v>9.688581314878892E-3</c:v>
                </c:pt>
                <c:pt idx="93">
                  <c:v>9.688581314878892E-3</c:v>
                </c:pt>
                <c:pt idx="94">
                  <c:v>9.688581314878892E-3</c:v>
                </c:pt>
                <c:pt idx="95">
                  <c:v>9.688581314878892E-3</c:v>
                </c:pt>
                <c:pt idx="96">
                  <c:v>9.688581314878892E-3</c:v>
                </c:pt>
                <c:pt idx="97">
                  <c:v>9.688581314878892E-3</c:v>
                </c:pt>
                <c:pt idx="98">
                  <c:v>9.688581314878892E-3</c:v>
                </c:pt>
                <c:pt idx="99">
                  <c:v>9.688581314878892E-3</c:v>
                </c:pt>
                <c:pt idx="100">
                  <c:v>9.688581314878892E-3</c:v>
                </c:pt>
                <c:pt idx="101">
                  <c:v>9.688581314878892E-3</c:v>
                </c:pt>
                <c:pt idx="102">
                  <c:v>9.688581314878892E-3</c:v>
                </c:pt>
                <c:pt idx="103">
                  <c:v>9.688581314878892E-3</c:v>
                </c:pt>
                <c:pt idx="104">
                  <c:v>9.1522157996146436E-3</c:v>
                </c:pt>
                <c:pt idx="105">
                  <c:v>9.1522157996146436E-3</c:v>
                </c:pt>
                <c:pt idx="106">
                  <c:v>9.1522157996146436E-3</c:v>
                </c:pt>
                <c:pt idx="107">
                  <c:v>9.1522157996146436E-3</c:v>
                </c:pt>
                <c:pt idx="108">
                  <c:v>9.1522157996146436E-3</c:v>
                </c:pt>
                <c:pt idx="109">
                  <c:v>9.1522157996146436E-3</c:v>
                </c:pt>
                <c:pt idx="110">
                  <c:v>9.1522157996146436E-3</c:v>
                </c:pt>
                <c:pt idx="111">
                  <c:v>9.1522157996146436E-3</c:v>
                </c:pt>
                <c:pt idx="112">
                  <c:v>9.1522157996146436E-3</c:v>
                </c:pt>
                <c:pt idx="113">
                  <c:v>9.1522157996146436E-3</c:v>
                </c:pt>
                <c:pt idx="114">
                  <c:v>9.1522157996146436E-3</c:v>
                </c:pt>
                <c:pt idx="115">
                  <c:v>9.1522157996146436E-3</c:v>
                </c:pt>
                <c:pt idx="116">
                  <c:v>7.6502732240437158E-3</c:v>
                </c:pt>
                <c:pt idx="117">
                  <c:v>7.6502732240437158E-3</c:v>
                </c:pt>
                <c:pt idx="118">
                  <c:v>7.6502732240437158E-3</c:v>
                </c:pt>
                <c:pt idx="119">
                  <c:v>7.6502732240437158E-3</c:v>
                </c:pt>
                <c:pt idx="120">
                  <c:v>7.6502732240437158E-3</c:v>
                </c:pt>
                <c:pt idx="121">
                  <c:v>7.6502732240437158E-3</c:v>
                </c:pt>
                <c:pt idx="122">
                  <c:v>7.6502732240437158E-3</c:v>
                </c:pt>
                <c:pt idx="123">
                  <c:v>7.6502732240437158E-3</c:v>
                </c:pt>
                <c:pt idx="124">
                  <c:v>7.6502732240437158E-3</c:v>
                </c:pt>
                <c:pt idx="125">
                  <c:v>7.6502732240437158E-3</c:v>
                </c:pt>
                <c:pt idx="126">
                  <c:v>7.6502732240437158E-3</c:v>
                </c:pt>
                <c:pt idx="127">
                  <c:v>7.6502732240437158E-3</c:v>
                </c:pt>
                <c:pt idx="128">
                  <c:v>3.4217279726261761E-3</c:v>
                </c:pt>
                <c:pt idx="129">
                  <c:v>3.4217279726261761E-3</c:v>
                </c:pt>
                <c:pt idx="130">
                  <c:v>3.4217279726261761E-3</c:v>
                </c:pt>
                <c:pt idx="131">
                  <c:v>3.4217279726261761E-3</c:v>
                </c:pt>
                <c:pt idx="132">
                  <c:v>3.4217279726261761E-3</c:v>
                </c:pt>
                <c:pt idx="133">
                  <c:v>3.4217279726261761E-3</c:v>
                </c:pt>
                <c:pt idx="134">
                  <c:v>3.4217279726261761E-3</c:v>
                </c:pt>
                <c:pt idx="135">
                  <c:v>3.4217279726261761E-3</c:v>
                </c:pt>
                <c:pt idx="136">
                  <c:v>3.4217279726261761E-3</c:v>
                </c:pt>
                <c:pt idx="137">
                  <c:v>3.4217279726261761E-3</c:v>
                </c:pt>
                <c:pt idx="138">
                  <c:v>3.4217279726261761E-3</c:v>
                </c:pt>
                <c:pt idx="139">
                  <c:v>3.4217279726261761E-3</c:v>
                </c:pt>
                <c:pt idx="140">
                  <c:v>2.4844720496894411E-3</c:v>
                </c:pt>
                <c:pt idx="141">
                  <c:v>2.4844720496894411E-3</c:v>
                </c:pt>
                <c:pt idx="142">
                  <c:v>2.4844720496894411E-3</c:v>
                </c:pt>
                <c:pt idx="143">
                  <c:v>2.4844720496894411E-3</c:v>
                </c:pt>
                <c:pt idx="144">
                  <c:v>2.4844720496894411E-3</c:v>
                </c:pt>
                <c:pt idx="145">
                  <c:v>2.4844720496894411E-3</c:v>
                </c:pt>
                <c:pt idx="146">
                  <c:v>2.4844720496894411E-3</c:v>
                </c:pt>
              </c:numCache>
            </c:numRef>
          </c:val>
        </c:ser>
        <c:ser>
          <c:idx val="5"/>
          <c:order val="5"/>
          <c:tx>
            <c:strRef>
              <c:f>'Time Series Query'!$BV$4</c:f>
              <c:strCache>
                <c:ptCount val="1"/>
                <c:pt idx="0">
                  <c:v>Pct Subprime</c:v>
                </c:pt>
              </c:strCache>
            </c:strRef>
          </c:tx>
          <c:spPr>
            <a:ln w="25400">
              <a:noFill/>
            </a:ln>
          </c:spPr>
          <c:val>
            <c:numRef>
              <c:f>'Time Series Query'!$BV$5:$BV$151</c:f>
              <c:numCache>
                <c:formatCode>General</c:formatCode>
                <c:ptCount val="147"/>
                <c:pt idx="0">
                  <c:v>8.3221476510067116E-2</c:v>
                </c:pt>
                <c:pt idx="1">
                  <c:v>8.3221476510067116E-2</c:v>
                </c:pt>
                <c:pt idx="2">
                  <c:v>8.3221476510067116E-2</c:v>
                </c:pt>
                <c:pt idx="3">
                  <c:v>8.3221476510067116E-2</c:v>
                </c:pt>
                <c:pt idx="4">
                  <c:v>8.3221476510067116E-2</c:v>
                </c:pt>
                <c:pt idx="5">
                  <c:v>8.3221476510067116E-2</c:v>
                </c:pt>
                <c:pt idx="6">
                  <c:v>8.3221476510067116E-2</c:v>
                </c:pt>
                <c:pt idx="7">
                  <c:v>8.3221476510067116E-2</c:v>
                </c:pt>
                <c:pt idx="8">
                  <c:v>0.20849420849420849</c:v>
                </c:pt>
                <c:pt idx="9">
                  <c:v>0.20849420849420849</c:v>
                </c:pt>
                <c:pt idx="10">
                  <c:v>0.20849420849420849</c:v>
                </c:pt>
                <c:pt idx="11">
                  <c:v>0.20849420849420849</c:v>
                </c:pt>
                <c:pt idx="12">
                  <c:v>0.20849420849420849</c:v>
                </c:pt>
                <c:pt idx="13">
                  <c:v>0.20849420849420849</c:v>
                </c:pt>
                <c:pt idx="14">
                  <c:v>0.20849420849420849</c:v>
                </c:pt>
                <c:pt idx="15">
                  <c:v>0.20849420849420849</c:v>
                </c:pt>
                <c:pt idx="16">
                  <c:v>0.20849420849420849</c:v>
                </c:pt>
                <c:pt idx="17">
                  <c:v>0.20849420849420849</c:v>
                </c:pt>
                <c:pt idx="18">
                  <c:v>0.20849420849420849</c:v>
                </c:pt>
                <c:pt idx="19">
                  <c:v>0.20849420849420849</c:v>
                </c:pt>
                <c:pt idx="20">
                  <c:v>0.22686025408348456</c:v>
                </c:pt>
                <c:pt idx="21">
                  <c:v>0.22686025408348456</c:v>
                </c:pt>
                <c:pt idx="22">
                  <c:v>0.22686025408348456</c:v>
                </c:pt>
                <c:pt idx="23">
                  <c:v>0.22686025408348456</c:v>
                </c:pt>
                <c:pt idx="24">
                  <c:v>0.22686025408348456</c:v>
                </c:pt>
                <c:pt idx="25">
                  <c:v>0.22686025408348456</c:v>
                </c:pt>
                <c:pt idx="26">
                  <c:v>0.22686025408348456</c:v>
                </c:pt>
                <c:pt idx="27">
                  <c:v>0.22686025408348456</c:v>
                </c:pt>
                <c:pt idx="28">
                  <c:v>0.22686025408348456</c:v>
                </c:pt>
                <c:pt idx="29">
                  <c:v>0.22686025408348456</c:v>
                </c:pt>
                <c:pt idx="30">
                  <c:v>0.22686025408348456</c:v>
                </c:pt>
                <c:pt idx="31">
                  <c:v>0.22686025408348456</c:v>
                </c:pt>
                <c:pt idx="32">
                  <c:v>0.23529411764705882</c:v>
                </c:pt>
                <c:pt idx="33">
                  <c:v>0.23529411764705882</c:v>
                </c:pt>
                <c:pt idx="34">
                  <c:v>0.23529411764705882</c:v>
                </c:pt>
                <c:pt idx="35">
                  <c:v>0.23529411764705882</c:v>
                </c:pt>
                <c:pt idx="36">
                  <c:v>0.23529411764705882</c:v>
                </c:pt>
                <c:pt idx="37">
                  <c:v>0.23529411764705882</c:v>
                </c:pt>
                <c:pt idx="38">
                  <c:v>0.23529411764705882</c:v>
                </c:pt>
                <c:pt idx="39">
                  <c:v>0.23529411764705882</c:v>
                </c:pt>
                <c:pt idx="40">
                  <c:v>0.23529411764705882</c:v>
                </c:pt>
                <c:pt idx="41">
                  <c:v>0.23529411764705882</c:v>
                </c:pt>
                <c:pt idx="42">
                  <c:v>0.23529411764705882</c:v>
                </c:pt>
                <c:pt idx="43">
                  <c:v>0.23529411764705882</c:v>
                </c:pt>
                <c:pt idx="44">
                  <c:v>9.1782796732340216E-2</c:v>
                </c:pt>
                <c:pt idx="45">
                  <c:v>9.1782796732340216E-2</c:v>
                </c:pt>
                <c:pt idx="46">
                  <c:v>9.1782796732340216E-2</c:v>
                </c:pt>
                <c:pt idx="47">
                  <c:v>9.1782796732340216E-2</c:v>
                </c:pt>
                <c:pt idx="48">
                  <c:v>9.1782796732340216E-2</c:v>
                </c:pt>
                <c:pt idx="49">
                  <c:v>9.1782796732340216E-2</c:v>
                </c:pt>
                <c:pt idx="50">
                  <c:v>9.1782796732340216E-2</c:v>
                </c:pt>
                <c:pt idx="51">
                  <c:v>9.1782796732340216E-2</c:v>
                </c:pt>
                <c:pt idx="52">
                  <c:v>9.1782796732340216E-2</c:v>
                </c:pt>
                <c:pt idx="53">
                  <c:v>9.1782796732340216E-2</c:v>
                </c:pt>
                <c:pt idx="54">
                  <c:v>9.1782796732340216E-2</c:v>
                </c:pt>
                <c:pt idx="55">
                  <c:v>9.1782796732340216E-2</c:v>
                </c:pt>
                <c:pt idx="56">
                  <c:v>1.6618497109826588E-2</c:v>
                </c:pt>
                <c:pt idx="57">
                  <c:v>1.6618497109826588E-2</c:v>
                </c:pt>
                <c:pt idx="58">
                  <c:v>1.6618497109826588E-2</c:v>
                </c:pt>
                <c:pt idx="59">
                  <c:v>1.6618497109826588E-2</c:v>
                </c:pt>
                <c:pt idx="60">
                  <c:v>1.6618497109826588E-2</c:v>
                </c:pt>
                <c:pt idx="61">
                  <c:v>1.6618497109826588E-2</c:v>
                </c:pt>
                <c:pt idx="62">
                  <c:v>1.6618497109826588E-2</c:v>
                </c:pt>
                <c:pt idx="63">
                  <c:v>1.6618497109826588E-2</c:v>
                </c:pt>
                <c:pt idx="64">
                  <c:v>1.6618497109826588E-2</c:v>
                </c:pt>
                <c:pt idx="65">
                  <c:v>1.6618497109826588E-2</c:v>
                </c:pt>
                <c:pt idx="66">
                  <c:v>1.6618497109826588E-2</c:v>
                </c:pt>
                <c:pt idx="67">
                  <c:v>1.6618497109826588E-2</c:v>
                </c:pt>
                <c:pt idx="68">
                  <c:v>2.2740193291642978E-3</c:v>
                </c:pt>
                <c:pt idx="69">
                  <c:v>2.2740193291642978E-3</c:v>
                </c:pt>
                <c:pt idx="70">
                  <c:v>2.2740193291642978E-3</c:v>
                </c:pt>
                <c:pt idx="71">
                  <c:v>2.2740193291642978E-3</c:v>
                </c:pt>
                <c:pt idx="72">
                  <c:v>2.2740193291642978E-3</c:v>
                </c:pt>
                <c:pt idx="73">
                  <c:v>2.2740193291642978E-3</c:v>
                </c:pt>
                <c:pt idx="74">
                  <c:v>2.2740193291642978E-3</c:v>
                </c:pt>
                <c:pt idx="75">
                  <c:v>2.2740193291642978E-3</c:v>
                </c:pt>
                <c:pt idx="76">
                  <c:v>2.2740193291642978E-3</c:v>
                </c:pt>
                <c:pt idx="77">
                  <c:v>2.2740193291642978E-3</c:v>
                </c:pt>
                <c:pt idx="78">
                  <c:v>2.2740193291642978E-3</c:v>
                </c:pt>
                <c:pt idx="79">
                  <c:v>2.2740193291642978E-3</c:v>
                </c:pt>
                <c:pt idx="80">
                  <c:v>2.5300442757748261E-3</c:v>
                </c:pt>
                <c:pt idx="81">
                  <c:v>2.5300442757748261E-3</c:v>
                </c:pt>
                <c:pt idx="82">
                  <c:v>2.5300442757748261E-3</c:v>
                </c:pt>
                <c:pt idx="83">
                  <c:v>2.5300442757748261E-3</c:v>
                </c:pt>
                <c:pt idx="84">
                  <c:v>2.5300442757748261E-3</c:v>
                </c:pt>
                <c:pt idx="85">
                  <c:v>2.5300442757748261E-3</c:v>
                </c:pt>
                <c:pt idx="86">
                  <c:v>2.5300442757748261E-3</c:v>
                </c:pt>
                <c:pt idx="87">
                  <c:v>2.5300442757748261E-3</c:v>
                </c:pt>
                <c:pt idx="88">
                  <c:v>2.5300442757748261E-3</c:v>
                </c:pt>
                <c:pt idx="89">
                  <c:v>2.5300442757748261E-3</c:v>
                </c:pt>
                <c:pt idx="90">
                  <c:v>2.5300442757748261E-3</c:v>
                </c:pt>
                <c:pt idx="91">
                  <c:v>2.5300442757748261E-3</c:v>
                </c:pt>
                <c:pt idx="92">
                  <c:v>2.7681660899653978E-3</c:v>
                </c:pt>
                <c:pt idx="93">
                  <c:v>2.7681660899653978E-3</c:v>
                </c:pt>
                <c:pt idx="94">
                  <c:v>2.7681660899653978E-3</c:v>
                </c:pt>
                <c:pt idx="95">
                  <c:v>2.7681660899653978E-3</c:v>
                </c:pt>
                <c:pt idx="96">
                  <c:v>2.7681660899653978E-3</c:v>
                </c:pt>
                <c:pt idx="97">
                  <c:v>2.7681660899653978E-3</c:v>
                </c:pt>
                <c:pt idx="98">
                  <c:v>2.7681660899653978E-3</c:v>
                </c:pt>
                <c:pt idx="99">
                  <c:v>2.7681660899653978E-3</c:v>
                </c:pt>
                <c:pt idx="100">
                  <c:v>2.7681660899653978E-3</c:v>
                </c:pt>
                <c:pt idx="101">
                  <c:v>2.7681660899653978E-3</c:v>
                </c:pt>
                <c:pt idx="102">
                  <c:v>2.7681660899653978E-3</c:v>
                </c:pt>
                <c:pt idx="103">
                  <c:v>2.7681660899653978E-3</c:v>
                </c:pt>
                <c:pt idx="104">
                  <c:v>1.9267822736030828E-3</c:v>
                </c:pt>
                <c:pt idx="105">
                  <c:v>1.9267822736030828E-3</c:v>
                </c:pt>
                <c:pt idx="106">
                  <c:v>1.9267822736030828E-3</c:v>
                </c:pt>
                <c:pt idx="107">
                  <c:v>1.9267822736030828E-3</c:v>
                </c:pt>
                <c:pt idx="108">
                  <c:v>1.9267822736030828E-3</c:v>
                </c:pt>
                <c:pt idx="109">
                  <c:v>1.9267822736030828E-3</c:v>
                </c:pt>
                <c:pt idx="110">
                  <c:v>1.9267822736030828E-3</c:v>
                </c:pt>
                <c:pt idx="111">
                  <c:v>1.9267822736030828E-3</c:v>
                </c:pt>
                <c:pt idx="112">
                  <c:v>1.9267822736030828E-3</c:v>
                </c:pt>
                <c:pt idx="113">
                  <c:v>1.9267822736030828E-3</c:v>
                </c:pt>
                <c:pt idx="114">
                  <c:v>1.9267822736030828E-3</c:v>
                </c:pt>
                <c:pt idx="115">
                  <c:v>1.9267822736030828E-3</c:v>
                </c:pt>
                <c:pt idx="116">
                  <c:v>2.185792349726776E-3</c:v>
                </c:pt>
                <c:pt idx="117">
                  <c:v>2.185792349726776E-3</c:v>
                </c:pt>
                <c:pt idx="118">
                  <c:v>2.185792349726776E-3</c:v>
                </c:pt>
                <c:pt idx="119">
                  <c:v>2.185792349726776E-3</c:v>
                </c:pt>
                <c:pt idx="120">
                  <c:v>2.185792349726776E-3</c:v>
                </c:pt>
                <c:pt idx="121">
                  <c:v>2.185792349726776E-3</c:v>
                </c:pt>
                <c:pt idx="122">
                  <c:v>2.185792349726776E-3</c:v>
                </c:pt>
                <c:pt idx="123">
                  <c:v>2.185792349726776E-3</c:v>
                </c:pt>
                <c:pt idx="124">
                  <c:v>2.185792349726776E-3</c:v>
                </c:pt>
                <c:pt idx="125">
                  <c:v>2.185792349726776E-3</c:v>
                </c:pt>
                <c:pt idx="126">
                  <c:v>2.185792349726776E-3</c:v>
                </c:pt>
                <c:pt idx="127">
                  <c:v>2.185792349726776E-3</c:v>
                </c:pt>
                <c:pt idx="128">
                  <c:v>3.4217279726261761E-3</c:v>
                </c:pt>
                <c:pt idx="129">
                  <c:v>3.4217279726261761E-3</c:v>
                </c:pt>
                <c:pt idx="130">
                  <c:v>3.4217279726261761E-3</c:v>
                </c:pt>
                <c:pt idx="131">
                  <c:v>3.4217279726261761E-3</c:v>
                </c:pt>
                <c:pt idx="132">
                  <c:v>3.4217279726261761E-3</c:v>
                </c:pt>
                <c:pt idx="133">
                  <c:v>3.4217279726261761E-3</c:v>
                </c:pt>
                <c:pt idx="134">
                  <c:v>3.4217279726261761E-3</c:v>
                </c:pt>
                <c:pt idx="135">
                  <c:v>3.4217279726261761E-3</c:v>
                </c:pt>
                <c:pt idx="136">
                  <c:v>3.4217279726261761E-3</c:v>
                </c:pt>
                <c:pt idx="137">
                  <c:v>3.4217279726261761E-3</c:v>
                </c:pt>
                <c:pt idx="138">
                  <c:v>3.4217279726261761E-3</c:v>
                </c:pt>
                <c:pt idx="139">
                  <c:v>3.4217279726261761E-3</c:v>
                </c:pt>
                <c:pt idx="140">
                  <c:v>2.4844720496894411E-3</c:v>
                </c:pt>
                <c:pt idx="141">
                  <c:v>2.4844720496894411E-3</c:v>
                </c:pt>
                <c:pt idx="142">
                  <c:v>2.4844720496894411E-3</c:v>
                </c:pt>
                <c:pt idx="143">
                  <c:v>2.4844720496894411E-3</c:v>
                </c:pt>
                <c:pt idx="144">
                  <c:v>2.4844720496894411E-3</c:v>
                </c:pt>
                <c:pt idx="145">
                  <c:v>2.4844720496894411E-3</c:v>
                </c:pt>
                <c:pt idx="146">
                  <c:v>2.4844720496894411E-3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746752"/>
        <c:axId val="186748288"/>
      </c:areaChart>
      <c:catAx>
        <c:axId val="1867467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86748288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1867482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86746752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'Time Series Query'!$I$4</c:f>
              <c:strCache>
                <c:ptCount val="1"/>
                <c:pt idx="0">
                  <c:v>% OLTV &gt; 90</c:v>
                </c:pt>
              </c:strCache>
            </c:strRef>
          </c:tx>
          <c:spPr>
            <a:solidFill>
              <a:srgbClr val="2E398A">
                <a:alpha val="20000"/>
              </a:srgbClr>
            </a:solidFill>
          </c:spPr>
          <c:invertIfNegative val="0"/>
          <c:cat>
            <c:strRef>
              <c:f>'Time Series Query'!$G$5:$G$151</c:f>
              <c:strCache>
                <c:ptCount val="147"/>
                <c:pt idx="0">
                  <c:v>2003-05-01</c:v>
                </c:pt>
                <c:pt idx="1">
                  <c:v>2003-06-01</c:v>
                </c:pt>
                <c:pt idx="2">
                  <c:v>2003-07-01</c:v>
                </c:pt>
                <c:pt idx="3">
                  <c:v>2003-08-01</c:v>
                </c:pt>
                <c:pt idx="4">
                  <c:v>2003-09-01</c:v>
                </c:pt>
                <c:pt idx="5">
                  <c:v>2003-10-01</c:v>
                </c:pt>
                <c:pt idx="6">
                  <c:v>2003-11-01</c:v>
                </c:pt>
                <c:pt idx="7">
                  <c:v>2003-12-01</c:v>
                </c:pt>
                <c:pt idx="8">
                  <c:v>2004-01-01</c:v>
                </c:pt>
                <c:pt idx="9">
                  <c:v>2004-02-01</c:v>
                </c:pt>
                <c:pt idx="10">
                  <c:v>2004-03-01</c:v>
                </c:pt>
                <c:pt idx="11">
                  <c:v>2004-04-01</c:v>
                </c:pt>
                <c:pt idx="12">
                  <c:v>2004-05-01</c:v>
                </c:pt>
                <c:pt idx="13">
                  <c:v>2004-06-01</c:v>
                </c:pt>
                <c:pt idx="14">
                  <c:v>2004-07-01</c:v>
                </c:pt>
                <c:pt idx="15">
                  <c:v>2004-08-01</c:v>
                </c:pt>
                <c:pt idx="16">
                  <c:v>2004-09-01</c:v>
                </c:pt>
                <c:pt idx="17">
                  <c:v>2004-10-01</c:v>
                </c:pt>
                <c:pt idx="18">
                  <c:v>2004-11-01</c:v>
                </c:pt>
                <c:pt idx="19">
                  <c:v>2004-12-01</c:v>
                </c:pt>
                <c:pt idx="20">
                  <c:v>2005-01-01</c:v>
                </c:pt>
                <c:pt idx="21">
                  <c:v>2005-02-01</c:v>
                </c:pt>
                <c:pt idx="22">
                  <c:v>2005-03-01</c:v>
                </c:pt>
                <c:pt idx="23">
                  <c:v>2005-04-01</c:v>
                </c:pt>
                <c:pt idx="24">
                  <c:v>2005-05-01</c:v>
                </c:pt>
                <c:pt idx="25">
                  <c:v>2005-06-01</c:v>
                </c:pt>
                <c:pt idx="26">
                  <c:v>2005-07-01</c:v>
                </c:pt>
                <c:pt idx="27">
                  <c:v>2005-08-01</c:v>
                </c:pt>
                <c:pt idx="28">
                  <c:v>2005-09-01</c:v>
                </c:pt>
                <c:pt idx="29">
                  <c:v>2005-10-01</c:v>
                </c:pt>
                <c:pt idx="30">
                  <c:v>2005-11-01</c:v>
                </c:pt>
                <c:pt idx="31">
                  <c:v>2005-12-01</c:v>
                </c:pt>
                <c:pt idx="32">
                  <c:v>2006-01-01</c:v>
                </c:pt>
                <c:pt idx="33">
                  <c:v>2006-02-01</c:v>
                </c:pt>
                <c:pt idx="34">
                  <c:v>2006-03-01</c:v>
                </c:pt>
                <c:pt idx="35">
                  <c:v>2006-04-01</c:v>
                </c:pt>
                <c:pt idx="36">
                  <c:v>2006-05-01</c:v>
                </c:pt>
                <c:pt idx="37">
                  <c:v>2006-06-01</c:v>
                </c:pt>
                <c:pt idx="38">
                  <c:v>2006-07-01</c:v>
                </c:pt>
                <c:pt idx="39">
                  <c:v>2006-08-01</c:v>
                </c:pt>
                <c:pt idx="40">
                  <c:v>2006-09-01</c:v>
                </c:pt>
                <c:pt idx="41">
                  <c:v>2006-10-01</c:v>
                </c:pt>
                <c:pt idx="42">
                  <c:v>2006-11-01</c:v>
                </c:pt>
                <c:pt idx="43">
                  <c:v>2006-12-01</c:v>
                </c:pt>
                <c:pt idx="44">
                  <c:v>2007-01-01</c:v>
                </c:pt>
                <c:pt idx="45">
                  <c:v>2007-02-01</c:v>
                </c:pt>
                <c:pt idx="46">
                  <c:v>2007-03-01</c:v>
                </c:pt>
                <c:pt idx="47">
                  <c:v>2007-04-01</c:v>
                </c:pt>
                <c:pt idx="48">
                  <c:v>2007-05-01</c:v>
                </c:pt>
                <c:pt idx="49">
                  <c:v>2007-06-01</c:v>
                </c:pt>
                <c:pt idx="50">
                  <c:v>2007-07-01</c:v>
                </c:pt>
                <c:pt idx="51">
                  <c:v>2007-08-01</c:v>
                </c:pt>
                <c:pt idx="52">
                  <c:v>2007-09-01</c:v>
                </c:pt>
                <c:pt idx="53">
                  <c:v>2007-10-01</c:v>
                </c:pt>
                <c:pt idx="54">
                  <c:v>2007-11-01</c:v>
                </c:pt>
                <c:pt idx="55">
                  <c:v>2007-12-01</c:v>
                </c:pt>
                <c:pt idx="56">
                  <c:v>2008-01-01</c:v>
                </c:pt>
                <c:pt idx="57">
                  <c:v>2008-02-01</c:v>
                </c:pt>
                <c:pt idx="58">
                  <c:v>2008-03-01</c:v>
                </c:pt>
                <c:pt idx="59">
                  <c:v>2008-04-01</c:v>
                </c:pt>
                <c:pt idx="60">
                  <c:v>2008-05-01</c:v>
                </c:pt>
                <c:pt idx="61">
                  <c:v>2008-06-01</c:v>
                </c:pt>
                <c:pt idx="62">
                  <c:v>2008-07-01</c:v>
                </c:pt>
                <c:pt idx="63">
                  <c:v>2008-08-01</c:v>
                </c:pt>
                <c:pt idx="64">
                  <c:v>2008-09-01</c:v>
                </c:pt>
                <c:pt idx="65">
                  <c:v>2008-10-01</c:v>
                </c:pt>
                <c:pt idx="66">
                  <c:v>2008-11-01</c:v>
                </c:pt>
                <c:pt idx="67">
                  <c:v>2008-12-01</c:v>
                </c:pt>
                <c:pt idx="68">
                  <c:v>2009-01-01</c:v>
                </c:pt>
                <c:pt idx="69">
                  <c:v>2009-02-01</c:v>
                </c:pt>
                <c:pt idx="70">
                  <c:v>2009-03-01</c:v>
                </c:pt>
                <c:pt idx="71">
                  <c:v>2009-04-01</c:v>
                </c:pt>
                <c:pt idx="72">
                  <c:v>2009-05-01</c:v>
                </c:pt>
                <c:pt idx="73">
                  <c:v>2009-06-01</c:v>
                </c:pt>
                <c:pt idx="74">
                  <c:v>2009-07-01</c:v>
                </c:pt>
                <c:pt idx="75">
                  <c:v>2009-08-01</c:v>
                </c:pt>
                <c:pt idx="76">
                  <c:v>2009-09-01</c:v>
                </c:pt>
                <c:pt idx="77">
                  <c:v>2009-10-01</c:v>
                </c:pt>
                <c:pt idx="78">
                  <c:v>2009-11-01</c:v>
                </c:pt>
                <c:pt idx="79">
                  <c:v>2009-12-01</c:v>
                </c:pt>
                <c:pt idx="80">
                  <c:v>2010-01-01</c:v>
                </c:pt>
                <c:pt idx="81">
                  <c:v>2010-02-01</c:v>
                </c:pt>
                <c:pt idx="82">
                  <c:v>2010-03-01</c:v>
                </c:pt>
                <c:pt idx="83">
                  <c:v>2010-04-01</c:v>
                </c:pt>
                <c:pt idx="84">
                  <c:v>2010-05-01</c:v>
                </c:pt>
                <c:pt idx="85">
                  <c:v>2010-06-01</c:v>
                </c:pt>
                <c:pt idx="86">
                  <c:v>2010-07-01</c:v>
                </c:pt>
                <c:pt idx="87">
                  <c:v>2010-08-01</c:v>
                </c:pt>
                <c:pt idx="88">
                  <c:v>2010-09-01</c:v>
                </c:pt>
                <c:pt idx="89">
                  <c:v>2010-10-01</c:v>
                </c:pt>
                <c:pt idx="90">
                  <c:v>2010-11-01</c:v>
                </c:pt>
                <c:pt idx="91">
                  <c:v>2010-12-01</c:v>
                </c:pt>
                <c:pt idx="92">
                  <c:v>2011-01-01</c:v>
                </c:pt>
                <c:pt idx="93">
                  <c:v>2011-02-01</c:v>
                </c:pt>
                <c:pt idx="94">
                  <c:v>2011-03-01</c:v>
                </c:pt>
                <c:pt idx="95">
                  <c:v>2011-04-01</c:v>
                </c:pt>
                <c:pt idx="96">
                  <c:v>2011-05-01</c:v>
                </c:pt>
                <c:pt idx="97">
                  <c:v>2011-06-01</c:v>
                </c:pt>
                <c:pt idx="98">
                  <c:v>2011-07-01</c:v>
                </c:pt>
                <c:pt idx="99">
                  <c:v>2011-08-01</c:v>
                </c:pt>
                <c:pt idx="100">
                  <c:v>2011-09-01</c:v>
                </c:pt>
                <c:pt idx="101">
                  <c:v>2011-10-01</c:v>
                </c:pt>
                <c:pt idx="102">
                  <c:v>2011-11-01</c:v>
                </c:pt>
                <c:pt idx="103">
                  <c:v>2011-12-01</c:v>
                </c:pt>
                <c:pt idx="104">
                  <c:v>2012-01-01</c:v>
                </c:pt>
                <c:pt idx="105">
                  <c:v>2012-02-01</c:v>
                </c:pt>
                <c:pt idx="106">
                  <c:v>2012-03-01</c:v>
                </c:pt>
                <c:pt idx="107">
                  <c:v>2012-04-01</c:v>
                </c:pt>
                <c:pt idx="108">
                  <c:v>2012-05-01</c:v>
                </c:pt>
                <c:pt idx="109">
                  <c:v>2012-06-01</c:v>
                </c:pt>
                <c:pt idx="110">
                  <c:v>2012-07-01</c:v>
                </c:pt>
                <c:pt idx="111">
                  <c:v>2012-08-01</c:v>
                </c:pt>
                <c:pt idx="112">
                  <c:v>2012-09-01</c:v>
                </c:pt>
                <c:pt idx="113">
                  <c:v>2012-10-01</c:v>
                </c:pt>
                <c:pt idx="114">
                  <c:v>2012-11-01</c:v>
                </c:pt>
                <c:pt idx="115">
                  <c:v>2012-12-01</c:v>
                </c:pt>
                <c:pt idx="116">
                  <c:v>2013-01-01</c:v>
                </c:pt>
                <c:pt idx="117">
                  <c:v>2013-02-01</c:v>
                </c:pt>
                <c:pt idx="118">
                  <c:v>2013-03-01</c:v>
                </c:pt>
                <c:pt idx="119">
                  <c:v>2013-04-01</c:v>
                </c:pt>
                <c:pt idx="120">
                  <c:v>2013-05-01</c:v>
                </c:pt>
                <c:pt idx="121">
                  <c:v>2013-06-01</c:v>
                </c:pt>
                <c:pt idx="122">
                  <c:v>2013-07-01</c:v>
                </c:pt>
                <c:pt idx="123">
                  <c:v>2013-08-01</c:v>
                </c:pt>
                <c:pt idx="124">
                  <c:v>2013-09-01</c:v>
                </c:pt>
                <c:pt idx="125">
                  <c:v>2013-10-01</c:v>
                </c:pt>
                <c:pt idx="126">
                  <c:v>2013-11-01</c:v>
                </c:pt>
                <c:pt idx="127">
                  <c:v>2013-12-01</c:v>
                </c:pt>
                <c:pt idx="128">
                  <c:v>2014-01-01</c:v>
                </c:pt>
                <c:pt idx="129">
                  <c:v>2014-02-01</c:v>
                </c:pt>
                <c:pt idx="130">
                  <c:v>2014-03-01</c:v>
                </c:pt>
                <c:pt idx="131">
                  <c:v>2014-04-01</c:v>
                </c:pt>
                <c:pt idx="132">
                  <c:v>2014-05-01</c:v>
                </c:pt>
                <c:pt idx="133">
                  <c:v>2014-06-01</c:v>
                </c:pt>
                <c:pt idx="134">
                  <c:v>2014-07-01</c:v>
                </c:pt>
                <c:pt idx="135">
                  <c:v>2014-08-01</c:v>
                </c:pt>
                <c:pt idx="136">
                  <c:v>2014-09-01</c:v>
                </c:pt>
                <c:pt idx="137">
                  <c:v>2014-10-01</c:v>
                </c:pt>
                <c:pt idx="138">
                  <c:v>2014-11-01</c:v>
                </c:pt>
                <c:pt idx="139">
                  <c:v>2014-12-01</c:v>
                </c:pt>
                <c:pt idx="140">
                  <c:v>2015-01-01</c:v>
                </c:pt>
                <c:pt idx="141">
                  <c:v>2015-02-01</c:v>
                </c:pt>
                <c:pt idx="142">
                  <c:v>2015-03-01</c:v>
                </c:pt>
                <c:pt idx="143">
                  <c:v>2015-04-01</c:v>
                </c:pt>
                <c:pt idx="144">
                  <c:v>2015-05-01</c:v>
                </c:pt>
                <c:pt idx="145">
                  <c:v>2015-06-01</c:v>
                </c:pt>
                <c:pt idx="146">
                  <c:v>2015-07-01</c:v>
                </c:pt>
              </c:strCache>
            </c:strRef>
          </c:cat>
          <c:val>
            <c:numRef>
              <c:f>'Time Series Query'!$I$5:$I$151</c:f>
              <c:numCache>
                <c:formatCode>0%</c:formatCode>
                <c:ptCount val="147"/>
                <c:pt idx="0">
                  <c:v>0.27376208038861399</c:v>
                </c:pt>
                <c:pt idx="1">
                  <c:v>0.26817431712256601</c:v>
                </c:pt>
                <c:pt idx="2">
                  <c:v>0.271915360199874</c:v>
                </c:pt>
                <c:pt idx="3">
                  <c:v>0.26159531298609601</c:v>
                </c:pt>
                <c:pt idx="4">
                  <c:v>0.26227784163185702</c:v>
                </c:pt>
                <c:pt idx="5">
                  <c:v>0.277259359255842</c:v>
                </c:pt>
                <c:pt idx="6">
                  <c:v>0.30202605452215497</c:v>
                </c:pt>
                <c:pt idx="7">
                  <c:v>0.29608287862933402</c:v>
                </c:pt>
                <c:pt idx="8">
                  <c:v>0.29070058027366003</c:v>
                </c:pt>
                <c:pt idx="9">
                  <c:v>0.279273746865356</c:v>
                </c:pt>
                <c:pt idx="10">
                  <c:v>0.26366024772207802</c:v>
                </c:pt>
                <c:pt idx="11">
                  <c:v>0.27539401933822999</c:v>
                </c:pt>
                <c:pt idx="12">
                  <c:v>0.27051249930375898</c:v>
                </c:pt>
                <c:pt idx="13">
                  <c:v>0.25982658462066799</c:v>
                </c:pt>
                <c:pt idx="14">
                  <c:v>0.26657924381296499</c:v>
                </c:pt>
                <c:pt idx="15">
                  <c:v>0.28323862382710902</c:v>
                </c:pt>
                <c:pt idx="16">
                  <c:v>0.28350793370687299</c:v>
                </c:pt>
                <c:pt idx="17">
                  <c:v>0.276682221848848</c:v>
                </c:pt>
                <c:pt idx="18">
                  <c:v>0.27010544272213999</c:v>
                </c:pt>
                <c:pt idx="19">
                  <c:v>0.25927423449241599</c:v>
                </c:pt>
                <c:pt idx="20">
                  <c:v>0.27546927529221299</c:v>
                </c:pt>
                <c:pt idx="21">
                  <c:v>0.26359078536765701</c:v>
                </c:pt>
                <c:pt idx="22">
                  <c:v>0.249163412035458</c:v>
                </c:pt>
                <c:pt idx="23">
                  <c:v>0.245931688961815</c:v>
                </c:pt>
                <c:pt idx="24">
                  <c:v>0.234305230431572</c:v>
                </c:pt>
                <c:pt idx="25">
                  <c:v>0.24199028870644701</c:v>
                </c:pt>
                <c:pt idx="26">
                  <c:v>0.234948394132272</c:v>
                </c:pt>
                <c:pt idx="27">
                  <c:v>0.214649589433586</c:v>
                </c:pt>
                <c:pt idx="28">
                  <c:v>0.20901707282761001</c:v>
                </c:pt>
                <c:pt idx="29">
                  <c:v>0.21644067259883701</c:v>
                </c:pt>
                <c:pt idx="30">
                  <c:v>0.20403530410173701</c:v>
                </c:pt>
                <c:pt idx="31">
                  <c:v>0.174025887847987</c:v>
                </c:pt>
                <c:pt idx="32">
                  <c:v>0.159637174596993</c:v>
                </c:pt>
                <c:pt idx="33">
                  <c:v>0.159607300246077</c:v>
                </c:pt>
                <c:pt idx="34">
                  <c:v>0.15991961797697701</c:v>
                </c:pt>
                <c:pt idx="35">
                  <c:v>0.163030939666403</c:v>
                </c:pt>
                <c:pt idx="36">
                  <c:v>0.16247581027591801</c:v>
                </c:pt>
                <c:pt idx="37">
                  <c:v>0.166487927243791</c:v>
                </c:pt>
                <c:pt idx="38">
                  <c:v>0.16509874727797</c:v>
                </c:pt>
                <c:pt idx="39">
                  <c:v>0.16483333011769599</c:v>
                </c:pt>
                <c:pt idx="40">
                  <c:v>0.17599985174605701</c:v>
                </c:pt>
                <c:pt idx="41">
                  <c:v>0.18540217986062499</c:v>
                </c:pt>
                <c:pt idx="42">
                  <c:v>0.19239457049420899</c:v>
                </c:pt>
                <c:pt idx="43">
                  <c:v>0.18937465803638501</c:v>
                </c:pt>
                <c:pt idx="44">
                  <c:v>0.19384333429729</c:v>
                </c:pt>
                <c:pt idx="45">
                  <c:v>0.20262390105173</c:v>
                </c:pt>
                <c:pt idx="46">
                  <c:v>0.21711470398919</c:v>
                </c:pt>
                <c:pt idx="47">
                  <c:v>0.23336175068755199</c:v>
                </c:pt>
                <c:pt idx="48">
                  <c:v>0.25075487270087099</c:v>
                </c:pt>
                <c:pt idx="49">
                  <c:v>0.27467745596276899</c:v>
                </c:pt>
                <c:pt idx="50">
                  <c:v>0.307488257472122</c:v>
                </c:pt>
                <c:pt idx="51">
                  <c:v>0.32255308239293201</c:v>
                </c:pt>
                <c:pt idx="52">
                  <c:v>0.33002145591068499</c:v>
                </c:pt>
                <c:pt idx="53">
                  <c:v>0.356078874246821</c:v>
                </c:pt>
                <c:pt idx="54">
                  <c:v>0.37325443173169698</c:v>
                </c:pt>
                <c:pt idx="55">
                  <c:v>0.37328154108915901</c:v>
                </c:pt>
                <c:pt idx="56">
                  <c:v>0.38124492460114701</c:v>
                </c:pt>
                <c:pt idx="57">
                  <c:v>0.36096554720004298</c:v>
                </c:pt>
                <c:pt idx="58">
                  <c:v>0.34182677466995598</c:v>
                </c:pt>
                <c:pt idx="59">
                  <c:v>0.32032869665397601</c:v>
                </c:pt>
                <c:pt idx="60">
                  <c:v>0.287291706181595</c:v>
                </c:pt>
                <c:pt idx="61">
                  <c:v>0.22889156479952499</c:v>
                </c:pt>
                <c:pt idx="62">
                  <c:v>0.20291547901804699</c:v>
                </c:pt>
                <c:pt idx="63">
                  <c:v>0.19158124136652299</c:v>
                </c:pt>
                <c:pt idx="64">
                  <c:v>0.16617522330031601</c:v>
                </c:pt>
                <c:pt idx="65">
                  <c:v>0.163296777165823</c:v>
                </c:pt>
                <c:pt idx="66">
                  <c:v>0.150953438870432</c:v>
                </c:pt>
                <c:pt idx="67">
                  <c:v>0.14334661911517199</c:v>
                </c:pt>
                <c:pt idx="68">
                  <c:v>0.13509696863435</c:v>
                </c:pt>
                <c:pt idx="69">
                  <c:v>0.12680743640067399</c:v>
                </c:pt>
                <c:pt idx="70">
                  <c:v>0.123219438030904</c:v>
                </c:pt>
                <c:pt idx="71">
                  <c:v>0.119470963956919</c:v>
                </c:pt>
                <c:pt idx="72">
                  <c:v>0.109113667052566</c:v>
                </c:pt>
                <c:pt idx="73">
                  <c:v>9.8068528914975306E-2</c:v>
                </c:pt>
                <c:pt idx="74">
                  <c:v>9.3108291880015001E-2</c:v>
                </c:pt>
                <c:pt idx="75">
                  <c:v>8.7512741345424597E-2</c:v>
                </c:pt>
                <c:pt idx="76">
                  <c:v>8.0808845487819705E-2</c:v>
                </c:pt>
                <c:pt idx="77">
                  <c:v>8.1590229627374694E-2</c:v>
                </c:pt>
                <c:pt idx="78">
                  <c:v>8.0716616689524998E-2</c:v>
                </c:pt>
                <c:pt idx="79">
                  <c:v>7.7684258479736798E-2</c:v>
                </c:pt>
                <c:pt idx="80">
                  <c:v>8.0692732250494503E-2</c:v>
                </c:pt>
                <c:pt idx="81">
                  <c:v>6.7321302893014606E-2</c:v>
                </c:pt>
                <c:pt idx="82">
                  <c:v>6.4960577538630798E-2</c:v>
                </c:pt>
                <c:pt idx="83">
                  <c:v>7.1784475002186002E-2</c:v>
                </c:pt>
                <c:pt idx="84">
                  <c:v>8.3302521575952804E-2</c:v>
                </c:pt>
                <c:pt idx="85">
                  <c:v>9.1166284450128102E-2</c:v>
                </c:pt>
                <c:pt idx="86">
                  <c:v>9.7919000165780895E-2</c:v>
                </c:pt>
                <c:pt idx="87">
                  <c:v>0.10134986605641599</c:v>
                </c:pt>
                <c:pt idx="88">
                  <c:v>9.8316403570714805E-2</c:v>
                </c:pt>
                <c:pt idx="89">
                  <c:v>0.103362864069172</c:v>
                </c:pt>
                <c:pt idx="90">
                  <c:v>0.109452054433236</c:v>
                </c:pt>
                <c:pt idx="91">
                  <c:v>0.110069099887995</c:v>
                </c:pt>
                <c:pt idx="92">
                  <c:v>0.11795265673854601</c:v>
                </c:pt>
                <c:pt idx="93">
                  <c:v>0.120694975345314</c:v>
                </c:pt>
                <c:pt idx="94">
                  <c:v>0.11718407456528999</c:v>
                </c:pt>
                <c:pt idx="95">
                  <c:v>0.122639368656911</c:v>
                </c:pt>
                <c:pt idx="96">
                  <c:v>0.12673005781397301</c:v>
                </c:pt>
                <c:pt idx="97">
                  <c:v>0.142076177959504</c:v>
                </c:pt>
                <c:pt idx="98">
                  <c:v>0.16308984472221</c:v>
                </c:pt>
                <c:pt idx="99">
                  <c:v>0.17186683030413899</c:v>
                </c:pt>
                <c:pt idx="100">
                  <c:v>0.182786101755845</c:v>
                </c:pt>
                <c:pt idx="101">
                  <c:v>0.19113361076392199</c:v>
                </c:pt>
                <c:pt idx="102">
                  <c:v>0.19682779655410601</c:v>
                </c:pt>
                <c:pt idx="103">
                  <c:v>0.19888714369615601</c:v>
                </c:pt>
                <c:pt idx="104">
                  <c:v>0.19475828223912001</c:v>
                </c:pt>
                <c:pt idx="105">
                  <c:v>0.189625458590022</c:v>
                </c:pt>
                <c:pt idx="106">
                  <c:v>0.188680020444463</c:v>
                </c:pt>
                <c:pt idx="107">
                  <c:v>0.19832864817753501</c:v>
                </c:pt>
                <c:pt idx="108">
                  <c:v>0.20659910837783499</c:v>
                </c:pt>
                <c:pt idx="109">
                  <c:v>0.21265774870120199</c:v>
                </c:pt>
                <c:pt idx="110">
                  <c:v>0.22455297260877299</c:v>
                </c:pt>
                <c:pt idx="111">
                  <c:v>0.230359293851325</c:v>
                </c:pt>
                <c:pt idx="112">
                  <c:v>0.241996859508816</c:v>
                </c:pt>
                <c:pt idx="113">
                  <c:v>0.238438717743543</c:v>
                </c:pt>
                <c:pt idx="114">
                  <c:v>0.24248385553367199</c:v>
                </c:pt>
                <c:pt idx="115">
                  <c:v>0.245636407958499</c:v>
                </c:pt>
                <c:pt idx="116">
                  <c:v>0.24750843494761501</c:v>
                </c:pt>
                <c:pt idx="117">
                  <c:v>0.248337726838911</c:v>
                </c:pt>
                <c:pt idx="118">
                  <c:v>0.24920567214137601</c:v>
                </c:pt>
                <c:pt idx="119">
                  <c:v>0.25702421178178703</c:v>
                </c:pt>
                <c:pt idx="120">
                  <c:v>0.262825288107358</c:v>
                </c:pt>
                <c:pt idx="121">
                  <c:v>0.27245016612395301</c:v>
                </c:pt>
                <c:pt idx="122">
                  <c:v>0.28535356918134203</c:v>
                </c:pt>
                <c:pt idx="123">
                  <c:v>0.28462114980755299</c:v>
                </c:pt>
                <c:pt idx="124">
                  <c:v>0.29030501171380202</c:v>
                </c:pt>
                <c:pt idx="125">
                  <c:v>0.29249498292353099</c:v>
                </c:pt>
                <c:pt idx="126">
                  <c:v>0.29852906705149401</c:v>
                </c:pt>
                <c:pt idx="127">
                  <c:v>0.29679403380057001</c:v>
                </c:pt>
                <c:pt idx="128">
                  <c:v>0.299194151155105</c:v>
                </c:pt>
                <c:pt idx="129">
                  <c:v>0.29731849479854999</c:v>
                </c:pt>
                <c:pt idx="130">
                  <c:v>0.29247281839506201</c:v>
                </c:pt>
                <c:pt idx="131">
                  <c:v>0.302228602571813</c:v>
                </c:pt>
                <c:pt idx="132">
                  <c:v>0.30811744878997599</c:v>
                </c:pt>
                <c:pt idx="133">
                  <c:v>0.31529051664060898</c:v>
                </c:pt>
                <c:pt idx="134">
                  <c:v>0.318890965784143</c:v>
                </c:pt>
                <c:pt idx="135">
                  <c:v>0.31712089095884999</c:v>
                </c:pt>
                <c:pt idx="136">
                  <c:v>0.31232376366550701</c:v>
                </c:pt>
                <c:pt idx="137">
                  <c:v>0.31567362475419602</c:v>
                </c:pt>
                <c:pt idx="138">
                  <c:v>0.32254787448740702</c:v>
                </c:pt>
                <c:pt idx="139">
                  <c:v>0.318264635028014</c:v>
                </c:pt>
                <c:pt idx="140">
                  <c:v>0.32029318763412001</c:v>
                </c:pt>
                <c:pt idx="141">
                  <c:v>0.32639568948507103</c:v>
                </c:pt>
                <c:pt idx="142">
                  <c:v>0.31944629098959199</c:v>
                </c:pt>
                <c:pt idx="143">
                  <c:v>0.32942245001412301</c:v>
                </c:pt>
                <c:pt idx="144">
                  <c:v>0.32905687634557701</c:v>
                </c:pt>
                <c:pt idx="145">
                  <c:v>0.32889571790605499</c:v>
                </c:pt>
                <c:pt idx="146">
                  <c:v>0.32916665260221001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6465664"/>
        <c:axId val="186464128"/>
      </c:barChart>
      <c:lineChart>
        <c:grouping val="standard"/>
        <c:varyColors val="0"/>
        <c:ser>
          <c:idx val="0"/>
          <c:order val="0"/>
          <c:tx>
            <c:v>OLTV Mean</c:v>
          </c:tx>
          <c:spPr>
            <a:ln>
              <a:solidFill>
                <a:srgbClr val="2E398A"/>
              </a:solidFill>
            </a:ln>
          </c:spPr>
          <c:marker>
            <c:symbol val="none"/>
          </c:marker>
          <c:cat>
            <c:strRef>
              <c:f>'Time Series Query'!$G$5:$G$151</c:f>
              <c:strCache>
                <c:ptCount val="147"/>
                <c:pt idx="0">
                  <c:v>2003-05-01</c:v>
                </c:pt>
                <c:pt idx="1">
                  <c:v>2003-06-01</c:v>
                </c:pt>
                <c:pt idx="2">
                  <c:v>2003-07-01</c:v>
                </c:pt>
                <c:pt idx="3">
                  <c:v>2003-08-01</c:v>
                </c:pt>
                <c:pt idx="4">
                  <c:v>2003-09-01</c:v>
                </c:pt>
                <c:pt idx="5">
                  <c:v>2003-10-01</c:v>
                </c:pt>
                <c:pt idx="6">
                  <c:v>2003-11-01</c:v>
                </c:pt>
                <c:pt idx="7">
                  <c:v>2003-12-01</c:v>
                </c:pt>
                <c:pt idx="8">
                  <c:v>2004-01-01</c:v>
                </c:pt>
                <c:pt idx="9">
                  <c:v>2004-02-01</c:v>
                </c:pt>
                <c:pt idx="10">
                  <c:v>2004-03-01</c:v>
                </c:pt>
                <c:pt idx="11">
                  <c:v>2004-04-01</c:v>
                </c:pt>
                <c:pt idx="12">
                  <c:v>2004-05-01</c:v>
                </c:pt>
                <c:pt idx="13">
                  <c:v>2004-06-01</c:v>
                </c:pt>
                <c:pt idx="14">
                  <c:v>2004-07-01</c:v>
                </c:pt>
                <c:pt idx="15">
                  <c:v>2004-08-01</c:v>
                </c:pt>
                <c:pt idx="16">
                  <c:v>2004-09-01</c:v>
                </c:pt>
                <c:pt idx="17">
                  <c:v>2004-10-01</c:v>
                </c:pt>
                <c:pt idx="18">
                  <c:v>2004-11-01</c:v>
                </c:pt>
                <c:pt idx="19">
                  <c:v>2004-12-01</c:v>
                </c:pt>
                <c:pt idx="20">
                  <c:v>2005-01-01</c:v>
                </c:pt>
                <c:pt idx="21">
                  <c:v>2005-02-01</c:v>
                </c:pt>
                <c:pt idx="22">
                  <c:v>2005-03-01</c:v>
                </c:pt>
                <c:pt idx="23">
                  <c:v>2005-04-01</c:v>
                </c:pt>
                <c:pt idx="24">
                  <c:v>2005-05-01</c:v>
                </c:pt>
                <c:pt idx="25">
                  <c:v>2005-06-01</c:v>
                </c:pt>
                <c:pt idx="26">
                  <c:v>2005-07-01</c:v>
                </c:pt>
                <c:pt idx="27">
                  <c:v>2005-08-01</c:v>
                </c:pt>
                <c:pt idx="28">
                  <c:v>2005-09-01</c:v>
                </c:pt>
                <c:pt idx="29">
                  <c:v>2005-10-01</c:v>
                </c:pt>
                <c:pt idx="30">
                  <c:v>2005-11-01</c:v>
                </c:pt>
                <c:pt idx="31">
                  <c:v>2005-12-01</c:v>
                </c:pt>
                <c:pt idx="32">
                  <c:v>2006-01-01</c:v>
                </c:pt>
                <c:pt idx="33">
                  <c:v>2006-02-01</c:v>
                </c:pt>
                <c:pt idx="34">
                  <c:v>2006-03-01</c:v>
                </c:pt>
                <c:pt idx="35">
                  <c:v>2006-04-01</c:v>
                </c:pt>
                <c:pt idx="36">
                  <c:v>2006-05-01</c:v>
                </c:pt>
                <c:pt idx="37">
                  <c:v>2006-06-01</c:v>
                </c:pt>
                <c:pt idx="38">
                  <c:v>2006-07-01</c:v>
                </c:pt>
                <c:pt idx="39">
                  <c:v>2006-08-01</c:v>
                </c:pt>
                <c:pt idx="40">
                  <c:v>2006-09-01</c:v>
                </c:pt>
                <c:pt idx="41">
                  <c:v>2006-10-01</c:v>
                </c:pt>
                <c:pt idx="42">
                  <c:v>2006-11-01</c:v>
                </c:pt>
                <c:pt idx="43">
                  <c:v>2006-12-01</c:v>
                </c:pt>
                <c:pt idx="44">
                  <c:v>2007-01-01</c:v>
                </c:pt>
                <c:pt idx="45">
                  <c:v>2007-02-01</c:v>
                </c:pt>
                <c:pt idx="46">
                  <c:v>2007-03-01</c:v>
                </c:pt>
                <c:pt idx="47">
                  <c:v>2007-04-01</c:v>
                </c:pt>
                <c:pt idx="48">
                  <c:v>2007-05-01</c:v>
                </c:pt>
                <c:pt idx="49">
                  <c:v>2007-06-01</c:v>
                </c:pt>
                <c:pt idx="50">
                  <c:v>2007-07-01</c:v>
                </c:pt>
                <c:pt idx="51">
                  <c:v>2007-08-01</c:v>
                </c:pt>
                <c:pt idx="52">
                  <c:v>2007-09-01</c:v>
                </c:pt>
                <c:pt idx="53">
                  <c:v>2007-10-01</c:v>
                </c:pt>
                <c:pt idx="54">
                  <c:v>2007-11-01</c:v>
                </c:pt>
                <c:pt idx="55">
                  <c:v>2007-12-01</c:v>
                </c:pt>
                <c:pt idx="56">
                  <c:v>2008-01-01</c:v>
                </c:pt>
                <c:pt idx="57">
                  <c:v>2008-02-01</c:v>
                </c:pt>
                <c:pt idx="58">
                  <c:v>2008-03-01</c:v>
                </c:pt>
                <c:pt idx="59">
                  <c:v>2008-04-01</c:v>
                </c:pt>
                <c:pt idx="60">
                  <c:v>2008-05-01</c:v>
                </c:pt>
                <c:pt idx="61">
                  <c:v>2008-06-01</c:v>
                </c:pt>
                <c:pt idx="62">
                  <c:v>2008-07-01</c:v>
                </c:pt>
                <c:pt idx="63">
                  <c:v>2008-08-01</c:v>
                </c:pt>
                <c:pt idx="64">
                  <c:v>2008-09-01</c:v>
                </c:pt>
                <c:pt idx="65">
                  <c:v>2008-10-01</c:v>
                </c:pt>
                <c:pt idx="66">
                  <c:v>2008-11-01</c:v>
                </c:pt>
                <c:pt idx="67">
                  <c:v>2008-12-01</c:v>
                </c:pt>
                <c:pt idx="68">
                  <c:v>2009-01-01</c:v>
                </c:pt>
                <c:pt idx="69">
                  <c:v>2009-02-01</c:v>
                </c:pt>
                <c:pt idx="70">
                  <c:v>2009-03-01</c:v>
                </c:pt>
                <c:pt idx="71">
                  <c:v>2009-04-01</c:v>
                </c:pt>
                <c:pt idx="72">
                  <c:v>2009-05-01</c:v>
                </c:pt>
                <c:pt idx="73">
                  <c:v>2009-06-01</c:v>
                </c:pt>
                <c:pt idx="74">
                  <c:v>2009-07-01</c:v>
                </c:pt>
                <c:pt idx="75">
                  <c:v>2009-08-01</c:v>
                </c:pt>
                <c:pt idx="76">
                  <c:v>2009-09-01</c:v>
                </c:pt>
                <c:pt idx="77">
                  <c:v>2009-10-01</c:v>
                </c:pt>
                <c:pt idx="78">
                  <c:v>2009-11-01</c:v>
                </c:pt>
                <c:pt idx="79">
                  <c:v>2009-12-01</c:v>
                </c:pt>
                <c:pt idx="80">
                  <c:v>2010-01-01</c:v>
                </c:pt>
                <c:pt idx="81">
                  <c:v>2010-02-01</c:v>
                </c:pt>
                <c:pt idx="82">
                  <c:v>2010-03-01</c:v>
                </c:pt>
                <c:pt idx="83">
                  <c:v>2010-04-01</c:v>
                </c:pt>
                <c:pt idx="84">
                  <c:v>2010-05-01</c:v>
                </c:pt>
                <c:pt idx="85">
                  <c:v>2010-06-01</c:v>
                </c:pt>
                <c:pt idx="86">
                  <c:v>2010-07-01</c:v>
                </c:pt>
                <c:pt idx="87">
                  <c:v>2010-08-01</c:v>
                </c:pt>
                <c:pt idx="88">
                  <c:v>2010-09-01</c:v>
                </c:pt>
                <c:pt idx="89">
                  <c:v>2010-10-01</c:v>
                </c:pt>
                <c:pt idx="90">
                  <c:v>2010-11-01</c:v>
                </c:pt>
                <c:pt idx="91">
                  <c:v>2010-12-01</c:v>
                </c:pt>
                <c:pt idx="92">
                  <c:v>2011-01-01</c:v>
                </c:pt>
                <c:pt idx="93">
                  <c:v>2011-02-01</c:v>
                </c:pt>
                <c:pt idx="94">
                  <c:v>2011-03-01</c:v>
                </c:pt>
                <c:pt idx="95">
                  <c:v>2011-04-01</c:v>
                </c:pt>
                <c:pt idx="96">
                  <c:v>2011-05-01</c:v>
                </c:pt>
                <c:pt idx="97">
                  <c:v>2011-06-01</c:v>
                </c:pt>
                <c:pt idx="98">
                  <c:v>2011-07-01</c:v>
                </c:pt>
                <c:pt idx="99">
                  <c:v>2011-08-01</c:v>
                </c:pt>
                <c:pt idx="100">
                  <c:v>2011-09-01</c:v>
                </c:pt>
                <c:pt idx="101">
                  <c:v>2011-10-01</c:v>
                </c:pt>
                <c:pt idx="102">
                  <c:v>2011-11-01</c:v>
                </c:pt>
                <c:pt idx="103">
                  <c:v>2011-12-01</c:v>
                </c:pt>
                <c:pt idx="104">
                  <c:v>2012-01-01</c:v>
                </c:pt>
                <c:pt idx="105">
                  <c:v>2012-02-01</c:v>
                </c:pt>
                <c:pt idx="106">
                  <c:v>2012-03-01</c:v>
                </c:pt>
                <c:pt idx="107">
                  <c:v>2012-04-01</c:v>
                </c:pt>
                <c:pt idx="108">
                  <c:v>2012-05-01</c:v>
                </c:pt>
                <c:pt idx="109">
                  <c:v>2012-06-01</c:v>
                </c:pt>
                <c:pt idx="110">
                  <c:v>2012-07-01</c:v>
                </c:pt>
                <c:pt idx="111">
                  <c:v>2012-08-01</c:v>
                </c:pt>
                <c:pt idx="112">
                  <c:v>2012-09-01</c:v>
                </c:pt>
                <c:pt idx="113">
                  <c:v>2012-10-01</c:v>
                </c:pt>
                <c:pt idx="114">
                  <c:v>2012-11-01</c:v>
                </c:pt>
                <c:pt idx="115">
                  <c:v>2012-12-01</c:v>
                </c:pt>
                <c:pt idx="116">
                  <c:v>2013-01-01</c:v>
                </c:pt>
                <c:pt idx="117">
                  <c:v>2013-02-01</c:v>
                </c:pt>
                <c:pt idx="118">
                  <c:v>2013-03-01</c:v>
                </c:pt>
                <c:pt idx="119">
                  <c:v>2013-04-01</c:v>
                </c:pt>
                <c:pt idx="120">
                  <c:v>2013-05-01</c:v>
                </c:pt>
                <c:pt idx="121">
                  <c:v>2013-06-01</c:v>
                </c:pt>
                <c:pt idx="122">
                  <c:v>2013-07-01</c:v>
                </c:pt>
                <c:pt idx="123">
                  <c:v>2013-08-01</c:v>
                </c:pt>
                <c:pt idx="124">
                  <c:v>2013-09-01</c:v>
                </c:pt>
                <c:pt idx="125">
                  <c:v>2013-10-01</c:v>
                </c:pt>
                <c:pt idx="126">
                  <c:v>2013-11-01</c:v>
                </c:pt>
                <c:pt idx="127">
                  <c:v>2013-12-01</c:v>
                </c:pt>
                <c:pt idx="128">
                  <c:v>2014-01-01</c:v>
                </c:pt>
                <c:pt idx="129">
                  <c:v>2014-02-01</c:v>
                </c:pt>
                <c:pt idx="130">
                  <c:v>2014-03-01</c:v>
                </c:pt>
                <c:pt idx="131">
                  <c:v>2014-04-01</c:v>
                </c:pt>
                <c:pt idx="132">
                  <c:v>2014-05-01</c:v>
                </c:pt>
                <c:pt idx="133">
                  <c:v>2014-06-01</c:v>
                </c:pt>
                <c:pt idx="134">
                  <c:v>2014-07-01</c:v>
                </c:pt>
                <c:pt idx="135">
                  <c:v>2014-08-01</c:v>
                </c:pt>
                <c:pt idx="136">
                  <c:v>2014-09-01</c:v>
                </c:pt>
                <c:pt idx="137">
                  <c:v>2014-10-01</c:v>
                </c:pt>
                <c:pt idx="138">
                  <c:v>2014-11-01</c:v>
                </c:pt>
                <c:pt idx="139">
                  <c:v>2014-12-01</c:v>
                </c:pt>
                <c:pt idx="140">
                  <c:v>2015-01-01</c:v>
                </c:pt>
                <c:pt idx="141">
                  <c:v>2015-02-01</c:v>
                </c:pt>
                <c:pt idx="142">
                  <c:v>2015-03-01</c:v>
                </c:pt>
                <c:pt idx="143">
                  <c:v>2015-04-01</c:v>
                </c:pt>
                <c:pt idx="144">
                  <c:v>2015-05-01</c:v>
                </c:pt>
                <c:pt idx="145">
                  <c:v>2015-06-01</c:v>
                </c:pt>
                <c:pt idx="146">
                  <c:v>2015-07-01</c:v>
                </c:pt>
              </c:strCache>
            </c:strRef>
          </c:cat>
          <c:val>
            <c:numRef>
              <c:f>'Time Series Query'!$H$5:$H$151</c:f>
              <c:numCache>
                <c:formatCode>General</c:formatCode>
                <c:ptCount val="147"/>
                <c:pt idx="0">
                  <c:v>81.538852649696196</c:v>
                </c:pt>
                <c:pt idx="1">
                  <c:v>81.618502130391803</c:v>
                </c:pt>
                <c:pt idx="2">
                  <c:v>81.557650650953207</c:v>
                </c:pt>
                <c:pt idx="3">
                  <c:v>81.296483519552396</c:v>
                </c:pt>
                <c:pt idx="4">
                  <c:v>81.227017736325195</c:v>
                </c:pt>
                <c:pt idx="5">
                  <c:v>81.320760062110907</c:v>
                </c:pt>
                <c:pt idx="6">
                  <c:v>81.964228940536998</c:v>
                </c:pt>
                <c:pt idx="7">
                  <c:v>81.864228322339997</c:v>
                </c:pt>
                <c:pt idx="8">
                  <c:v>81.566299959188299</c:v>
                </c:pt>
                <c:pt idx="9">
                  <c:v>81.113652198567294</c:v>
                </c:pt>
                <c:pt idx="10">
                  <c:v>80.826462677668502</c:v>
                </c:pt>
                <c:pt idx="11">
                  <c:v>81.281712793482995</c:v>
                </c:pt>
                <c:pt idx="12">
                  <c:v>81.176434819561706</c:v>
                </c:pt>
                <c:pt idx="13">
                  <c:v>80.961446646453098</c:v>
                </c:pt>
                <c:pt idx="14">
                  <c:v>80.928474194542702</c:v>
                </c:pt>
                <c:pt idx="15">
                  <c:v>81.370157030041597</c:v>
                </c:pt>
                <c:pt idx="16">
                  <c:v>81.575997037203607</c:v>
                </c:pt>
                <c:pt idx="17">
                  <c:v>81.278021286029201</c:v>
                </c:pt>
                <c:pt idx="18">
                  <c:v>81.059375355118405</c:v>
                </c:pt>
                <c:pt idx="19">
                  <c:v>80.785488014978796</c:v>
                </c:pt>
                <c:pt idx="20">
                  <c:v>81.184090206536396</c:v>
                </c:pt>
                <c:pt idx="21">
                  <c:v>80.988234268140602</c:v>
                </c:pt>
                <c:pt idx="22">
                  <c:v>80.932832463711193</c:v>
                </c:pt>
                <c:pt idx="23">
                  <c:v>80.895125662890706</c:v>
                </c:pt>
                <c:pt idx="24">
                  <c:v>80.691921534860796</c:v>
                </c:pt>
                <c:pt idx="25">
                  <c:v>80.948951507975195</c:v>
                </c:pt>
                <c:pt idx="26">
                  <c:v>80.924093980399604</c:v>
                </c:pt>
                <c:pt idx="27">
                  <c:v>79.8624128683972</c:v>
                </c:pt>
                <c:pt idx="28">
                  <c:v>79.800127622255999</c:v>
                </c:pt>
                <c:pt idx="29">
                  <c:v>79.923493325865195</c:v>
                </c:pt>
                <c:pt idx="30">
                  <c:v>79.707877334763694</c:v>
                </c:pt>
                <c:pt idx="31">
                  <c:v>78.7208769661856</c:v>
                </c:pt>
                <c:pt idx="32">
                  <c:v>78.128194732343104</c:v>
                </c:pt>
                <c:pt idx="33">
                  <c:v>78.311410497829897</c:v>
                </c:pt>
                <c:pt idx="34">
                  <c:v>78.229708672132205</c:v>
                </c:pt>
                <c:pt idx="35">
                  <c:v>78.671898299829707</c:v>
                </c:pt>
                <c:pt idx="36">
                  <c:v>78.594347051939593</c:v>
                </c:pt>
                <c:pt idx="37">
                  <c:v>78.735532502303599</c:v>
                </c:pt>
                <c:pt idx="38">
                  <c:v>78.765290924066704</c:v>
                </c:pt>
                <c:pt idx="39">
                  <c:v>78.636667015447799</c:v>
                </c:pt>
                <c:pt idx="40">
                  <c:v>78.908862181851305</c:v>
                </c:pt>
                <c:pt idx="41">
                  <c:v>79.136143909953105</c:v>
                </c:pt>
                <c:pt idx="42">
                  <c:v>79.427172495690101</c:v>
                </c:pt>
                <c:pt idx="43">
                  <c:v>79.313851596089094</c:v>
                </c:pt>
                <c:pt idx="44">
                  <c:v>79.416377830387304</c:v>
                </c:pt>
                <c:pt idx="45">
                  <c:v>79.719160694476898</c:v>
                </c:pt>
                <c:pt idx="46">
                  <c:v>80.020235794904707</c:v>
                </c:pt>
                <c:pt idx="47">
                  <c:v>80.627500828568799</c:v>
                </c:pt>
                <c:pt idx="48">
                  <c:v>81.029584931334</c:v>
                </c:pt>
                <c:pt idx="49">
                  <c:v>81.638859040765198</c:v>
                </c:pt>
                <c:pt idx="50">
                  <c:v>82.389980586884107</c:v>
                </c:pt>
                <c:pt idx="51">
                  <c:v>82.723748146625795</c:v>
                </c:pt>
                <c:pt idx="52">
                  <c:v>82.874350662137303</c:v>
                </c:pt>
                <c:pt idx="53">
                  <c:v>83.087861444974493</c:v>
                </c:pt>
                <c:pt idx="54">
                  <c:v>83.598180227379302</c:v>
                </c:pt>
                <c:pt idx="55">
                  <c:v>83.554435871280404</c:v>
                </c:pt>
                <c:pt idx="56">
                  <c:v>83.855010424455898</c:v>
                </c:pt>
                <c:pt idx="57">
                  <c:v>83.407523352475593</c:v>
                </c:pt>
                <c:pt idx="58">
                  <c:v>82.917978306429703</c:v>
                </c:pt>
                <c:pt idx="59">
                  <c:v>82.474909378130207</c:v>
                </c:pt>
                <c:pt idx="60">
                  <c:v>81.659946968196707</c:v>
                </c:pt>
                <c:pt idx="61">
                  <c:v>80.027867651152405</c:v>
                </c:pt>
                <c:pt idx="62">
                  <c:v>79.237585093986993</c:v>
                </c:pt>
                <c:pt idx="63">
                  <c:v>78.848097521187</c:v>
                </c:pt>
                <c:pt idx="64">
                  <c:v>78.2639911263947</c:v>
                </c:pt>
                <c:pt idx="65">
                  <c:v>78.3124646156392</c:v>
                </c:pt>
                <c:pt idx="66">
                  <c:v>78.157742768007694</c:v>
                </c:pt>
                <c:pt idx="67">
                  <c:v>78.085592748832795</c:v>
                </c:pt>
                <c:pt idx="68">
                  <c:v>78.387697357956398</c:v>
                </c:pt>
                <c:pt idx="69">
                  <c:v>77.790956229913803</c:v>
                </c:pt>
                <c:pt idx="70">
                  <c:v>77.523640105523498</c:v>
                </c:pt>
                <c:pt idx="71">
                  <c:v>77.7250496197925</c:v>
                </c:pt>
                <c:pt idx="72">
                  <c:v>77.621301810220103</c:v>
                </c:pt>
                <c:pt idx="73">
                  <c:v>77.489860981609993</c:v>
                </c:pt>
                <c:pt idx="74">
                  <c:v>77.2305024936758</c:v>
                </c:pt>
                <c:pt idx="75">
                  <c:v>76.939091357976594</c:v>
                </c:pt>
                <c:pt idx="76">
                  <c:v>76.886352068516302</c:v>
                </c:pt>
                <c:pt idx="77">
                  <c:v>77.093872022529993</c:v>
                </c:pt>
                <c:pt idx="78">
                  <c:v>76.953802685989899</c:v>
                </c:pt>
                <c:pt idx="79">
                  <c:v>76.821956068657499</c:v>
                </c:pt>
                <c:pt idx="80">
                  <c:v>77.043955927582999</c:v>
                </c:pt>
                <c:pt idx="81">
                  <c:v>76.298282025895006</c:v>
                </c:pt>
                <c:pt idx="82">
                  <c:v>76.134896970370804</c:v>
                </c:pt>
                <c:pt idx="83">
                  <c:v>76.502585993042302</c:v>
                </c:pt>
                <c:pt idx="84">
                  <c:v>77.057767341070999</c:v>
                </c:pt>
                <c:pt idx="85">
                  <c:v>77.252614942686094</c:v>
                </c:pt>
                <c:pt idx="86">
                  <c:v>77.571100038590899</c:v>
                </c:pt>
                <c:pt idx="87">
                  <c:v>77.233235343375298</c:v>
                </c:pt>
                <c:pt idx="88">
                  <c:v>76.947328417348899</c:v>
                </c:pt>
                <c:pt idx="89">
                  <c:v>77.151526909201294</c:v>
                </c:pt>
                <c:pt idx="90">
                  <c:v>77.504038849736304</c:v>
                </c:pt>
                <c:pt idx="91">
                  <c:v>77.836804343145602</c:v>
                </c:pt>
                <c:pt idx="92">
                  <c:v>77.940525422506795</c:v>
                </c:pt>
                <c:pt idx="93">
                  <c:v>77.808168115304795</c:v>
                </c:pt>
                <c:pt idx="94">
                  <c:v>77.637247427666907</c:v>
                </c:pt>
                <c:pt idx="95">
                  <c:v>77.552398679092306</c:v>
                </c:pt>
                <c:pt idx="96">
                  <c:v>77.980484209041606</c:v>
                </c:pt>
                <c:pt idx="97">
                  <c:v>78.409888883979804</c:v>
                </c:pt>
                <c:pt idx="98">
                  <c:v>79.088148482736102</c:v>
                </c:pt>
                <c:pt idx="99">
                  <c:v>79.406161699896799</c:v>
                </c:pt>
                <c:pt idx="100">
                  <c:v>79.891482431871296</c:v>
                </c:pt>
                <c:pt idx="101">
                  <c:v>79.994596225229003</c:v>
                </c:pt>
                <c:pt idx="102">
                  <c:v>79.992386273642197</c:v>
                </c:pt>
                <c:pt idx="103">
                  <c:v>79.981224078938595</c:v>
                </c:pt>
                <c:pt idx="104">
                  <c:v>79.742560564501602</c:v>
                </c:pt>
                <c:pt idx="105">
                  <c:v>79.576164154337704</c:v>
                </c:pt>
                <c:pt idx="106">
                  <c:v>79.620695860633106</c:v>
                </c:pt>
                <c:pt idx="107">
                  <c:v>79.927779566624807</c:v>
                </c:pt>
                <c:pt idx="108">
                  <c:v>80.039959057495395</c:v>
                </c:pt>
                <c:pt idx="109">
                  <c:v>80.204489012117605</c:v>
                </c:pt>
                <c:pt idx="110">
                  <c:v>80.424238430996297</c:v>
                </c:pt>
                <c:pt idx="111">
                  <c:v>80.519349568409496</c:v>
                </c:pt>
                <c:pt idx="112">
                  <c:v>80.773410645998595</c:v>
                </c:pt>
                <c:pt idx="113">
                  <c:v>80.704770486074295</c:v>
                </c:pt>
                <c:pt idx="114">
                  <c:v>80.842723933208603</c:v>
                </c:pt>
                <c:pt idx="115">
                  <c:v>80.865784595501793</c:v>
                </c:pt>
                <c:pt idx="116">
                  <c:v>80.9254459604293</c:v>
                </c:pt>
                <c:pt idx="117">
                  <c:v>80.800079255792397</c:v>
                </c:pt>
                <c:pt idx="118">
                  <c:v>81.043675117375997</c:v>
                </c:pt>
                <c:pt idx="119">
                  <c:v>81.199799681071894</c:v>
                </c:pt>
                <c:pt idx="120">
                  <c:v>81.325179322753797</c:v>
                </c:pt>
                <c:pt idx="121">
                  <c:v>81.560995062085496</c:v>
                </c:pt>
                <c:pt idx="122">
                  <c:v>81.788158152840097</c:v>
                </c:pt>
                <c:pt idx="123">
                  <c:v>81.827547469885204</c:v>
                </c:pt>
                <c:pt idx="124">
                  <c:v>81.917771600137101</c:v>
                </c:pt>
                <c:pt idx="125">
                  <c:v>81.926585922395802</c:v>
                </c:pt>
                <c:pt idx="126">
                  <c:v>81.996335409421604</c:v>
                </c:pt>
                <c:pt idx="127">
                  <c:v>81.889913557659895</c:v>
                </c:pt>
                <c:pt idx="128">
                  <c:v>81.982052928115394</c:v>
                </c:pt>
                <c:pt idx="129">
                  <c:v>82.054188818201595</c:v>
                </c:pt>
                <c:pt idx="130">
                  <c:v>81.851194537145602</c:v>
                </c:pt>
                <c:pt idx="131">
                  <c:v>82.221632922201394</c:v>
                </c:pt>
                <c:pt idx="132">
                  <c:v>82.444770178795594</c:v>
                </c:pt>
                <c:pt idx="133">
                  <c:v>82.674402698184494</c:v>
                </c:pt>
                <c:pt idx="134">
                  <c:v>82.820685947159305</c:v>
                </c:pt>
                <c:pt idx="135">
                  <c:v>82.756707604475196</c:v>
                </c:pt>
                <c:pt idx="136">
                  <c:v>82.692210236918498</c:v>
                </c:pt>
                <c:pt idx="137">
                  <c:v>82.721770883828398</c:v>
                </c:pt>
                <c:pt idx="138">
                  <c:v>82.803884256575003</c:v>
                </c:pt>
                <c:pt idx="139">
                  <c:v>82.648163721352205</c:v>
                </c:pt>
                <c:pt idx="140">
                  <c:v>82.726547150692298</c:v>
                </c:pt>
                <c:pt idx="141">
                  <c:v>82.797442291647002</c:v>
                </c:pt>
                <c:pt idx="142">
                  <c:v>82.670412455831396</c:v>
                </c:pt>
                <c:pt idx="143">
                  <c:v>82.944046147233095</c:v>
                </c:pt>
                <c:pt idx="144">
                  <c:v>82.914251622219993</c:v>
                </c:pt>
                <c:pt idx="145">
                  <c:v>82.9819085141187</c:v>
                </c:pt>
                <c:pt idx="146">
                  <c:v>83.002963149384598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452608"/>
        <c:axId val="186462592"/>
      </c:lineChart>
      <c:catAx>
        <c:axId val="1864526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86462592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186462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6452608"/>
        <c:crosses val="autoZero"/>
        <c:crossBetween val="between"/>
      </c:valAx>
      <c:valAx>
        <c:axId val="18646412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crossAx val="186465664"/>
        <c:crosses val="max"/>
        <c:crossBetween val="between"/>
      </c:valAx>
      <c:catAx>
        <c:axId val="1864656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6464128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'Time Series Query'!$Q$4</c:f>
              <c:strCache>
                <c:ptCount val="1"/>
                <c:pt idx="0">
                  <c:v>% DTI &gt; 40</c:v>
                </c:pt>
              </c:strCache>
            </c:strRef>
          </c:tx>
          <c:spPr>
            <a:solidFill>
              <a:srgbClr val="AD275C">
                <a:alpha val="20000"/>
              </a:srgbClr>
            </a:solidFill>
          </c:spPr>
          <c:invertIfNegative val="0"/>
          <c:cat>
            <c:strRef>
              <c:f>'Time Series Query'!$O$5:$O$151</c:f>
              <c:strCache>
                <c:ptCount val="147"/>
                <c:pt idx="0">
                  <c:v>2003-05-01</c:v>
                </c:pt>
                <c:pt idx="1">
                  <c:v>2003-06-01</c:v>
                </c:pt>
                <c:pt idx="2">
                  <c:v>2003-07-01</c:v>
                </c:pt>
                <c:pt idx="3">
                  <c:v>2003-08-01</c:v>
                </c:pt>
                <c:pt idx="4">
                  <c:v>2003-09-01</c:v>
                </c:pt>
                <c:pt idx="5">
                  <c:v>2003-10-01</c:v>
                </c:pt>
                <c:pt idx="6">
                  <c:v>2003-11-01</c:v>
                </c:pt>
                <c:pt idx="7">
                  <c:v>2003-12-01</c:v>
                </c:pt>
                <c:pt idx="8">
                  <c:v>2004-01-01</c:v>
                </c:pt>
                <c:pt idx="9">
                  <c:v>2004-02-01</c:v>
                </c:pt>
                <c:pt idx="10">
                  <c:v>2004-03-01</c:v>
                </c:pt>
                <c:pt idx="11">
                  <c:v>2004-04-01</c:v>
                </c:pt>
                <c:pt idx="12">
                  <c:v>2004-05-01</c:v>
                </c:pt>
                <c:pt idx="13">
                  <c:v>2004-06-01</c:v>
                </c:pt>
                <c:pt idx="14">
                  <c:v>2004-07-01</c:v>
                </c:pt>
                <c:pt idx="15">
                  <c:v>2004-08-01</c:v>
                </c:pt>
                <c:pt idx="16">
                  <c:v>2004-09-01</c:v>
                </c:pt>
                <c:pt idx="17">
                  <c:v>2004-10-01</c:v>
                </c:pt>
                <c:pt idx="18">
                  <c:v>2004-11-01</c:v>
                </c:pt>
                <c:pt idx="19">
                  <c:v>2004-12-01</c:v>
                </c:pt>
                <c:pt idx="20">
                  <c:v>2005-01-01</c:v>
                </c:pt>
                <c:pt idx="21">
                  <c:v>2005-02-01</c:v>
                </c:pt>
                <c:pt idx="22">
                  <c:v>2005-03-01</c:v>
                </c:pt>
                <c:pt idx="23">
                  <c:v>2005-04-01</c:v>
                </c:pt>
                <c:pt idx="24">
                  <c:v>2005-05-01</c:v>
                </c:pt>
                <c:pt idx="25">
                  <c:v>2005-06-01</c:v>
                </c:pt>
                <c:pt idx="26">
                  <c:v>2005-07-01</c:v>
                </c:pt>
                <c:pt idx="27">
                  <c:v>2005-08-01</c:v>
                </c:pt>
                <c:pt idx="28">
                  <c:v>2005-09-01</c:v>
                </c:pt>
                <c:pt idx="29">
                  <c:v>2005-10-01</c:v>
                </c:pt>
                <c:pt idx="30">
                  <c:v>2005-11-01</c:v>
                </c:pt>
                <c:pt idx="31">
                  <c:v>2005-12-01</c:v>
                </c:pt>
                <c:pt idx="32">
                  <c:v>2006-01-01</c:v>
                </c:pt>
                <c:pt idx="33">
                  <c:v>2006-02-01</c:v>
                </c:pt>
                <c:pt idx="34">
                  <c:v>2006-03-01</c:v>
                </c:pt>
                <c:pt idx="35">
                  <c:v>2006-04-01</c:v>
                </c:pt>
                <c:pt idx="36">
                  <c:v>2006-05-01</c:v>
                </c:pt>
                <c:pt idx="37">
                  <c:v>2006-06-01</c:v>
                </c:pt>
                <c:pt idx="38">
                  <c:v>2006-07-01</c:v>
                </c:pt>
                <c:pt idx="39">
                  <c:v>2006-08-01</c:v>
                </c:pt>
                <c:pt idx="40">
                  <c:v>2006-09-01</c:v>
                </c:pt>
                <c:pt idx="41">
                  <c:v>2006-10-01</c:v>
                </c:pt>
                <c:pt idx="42">
                  <c:v>2006-11-01</c:v>
                </c:pt>
                <c:pt idx="43">
                  <c:v>2006-12-01</c:v>
                </c:pt>
                <c:pt idx="44">
                  <c:v>2007-01-01</c:v>
                </c:pt>
                <c:pt idx="45">
                  <c:v>2007-02-01</c:v>
                </c:pt>
                <c:pt idx="46">
                  <c:v>2007-03-01</c:v>
                </c:pt>
                <c:pt idx="47">
                  <c:v>2007-04-01</c:v>
                </c:pt>
                <c:pt idx="48">
                  <c:v>2007-05-01</c:v>
                </c:pt>
                <c:pt idx="49">
                  <c:v>2007-06-01</c:v>
                </c:pt>
                <c:pt idx="50">
                  <c:v>2007-07-01</c:v>
                </c:pt>
                <c:pt idx="51">
                  <c:v>2007-08-01</c:v>
                </c:pt>
                <c:pt idx="52">
                  <c:v>2007-09-01</c:v>
                </c:pt>
                <c:pt idx="53">
                  <c:v>2007-10-01</c:v>
                </c:pt>
                <c:pt idx="54">
                  <c:v>2007-11-01</c:v>
                </c:pt>
                <c:pt idx="55">
                  <c:v>2007-12-01</c:v>
                </c:pt>
                <c:pt idx="56">
                  <c:v>2008-01-01</c:v>
                </c:pt>
                <c:pt idx="57">
                  <c:v>2008-02-01</c:v>
                </c:pt>
                <c:pt idx="58">
                  <c:v>2008-03-01</c:v>
                </c:pt>
                <c:pt idx="59">
                  <c:v>2008-04-01</c:v>
                </c:pt>
                <c:pt idx="60">
                  <c:v>2008-05-01</c:v>
                </c:pt>
                <c:pt idx="61">
                  <c:v>2008-06-01</c:v>
                </c:pt>
                <c:pt idx="62">
                  <c:v>2008-07-01</c:v>
                </c:pt>
                <c:pt idx="63">
                  <c:v>2008-08-01</c:v>
                </c:pt>
                <c:pt idx="64">
                  <c:v>2008-09-01</c:v>
                </c:pt>
                <c:pt idx="65">
                  <c:v>2008-10-01</c:v>
                </c:pt>
                <c:pt idx="66">
                  <c:v>2008-11-01</c:v>
                </c:pt>
                <c:pt idx="67">
                  <c:v>2008-12-01</c:v>
                </c:pt>
                <c:pt idx="68">
                  <c:v>2009-01-01</c:v>
                </c:pt>
                <c:pt idx="69">
                  <c:v>2009-02-01</c:v>
                </c:pt>
                <c:pt idx="70">
                  <c:v>2009-03-01</c:v>
                </c:pt>
                <c:pt idx="71">
                  <c:v>2009-04-01</c:v>
                </c:pt>
                <c:pt idx="72">
                  <c:v>2009-05-01</c:v>
                </c:pt>
                <c:pt idx="73">
                  <c:v>2009-06-01</c:v>
                </c:pt>
                <c:pt idx="74">
                  <c:v>2009-07-01</c:v>
                </c:pt>
                <c:pt idx="75">
                  <c:v>2009-08-01</c:v>
                </c:pt>
                <c:pt idx="76">
                  <c:v>2009-09-01</c:v>
                </c:pt>
                <c:pt idx="77">
                  <c:v>2009-10-01</c:v>
                </c:pt>
                <c:pt idx="78">
                  <c:v>2009-11-01</c:v>
                </c:pt>
                <c:pt idx="79">
                  <c:v>2009-12-01</c:v>
                </c:pt>
                <c:pt idx="80">
                  <c:v>2010-01-01</c:v>
                </c:pt>
                <c:pt idx="81">
                  <c:v>2010-02-01</c:v>
                </c:pt>
                <c:pt idx="82">
                  <c:v>2010-03-01</c:v>
                </c:pt>
                <c:pt idx="83">
                  <c:v>2010-04-01</c:v>
                </c:pt>
                <c:pt idx="84">
                  <c:v>2010-05-01</c:v>
                </c:pt>
                <c:pt idx="85">
                  <c:v>2010-06-01</c:v>
                </c:pt>
                <c:pt idx="86">
                  <c:v>2010-07-01</c:v>
                </c:pt>
                <c:pt idx="87">
                  <c:v>2010-08-01</c:v>
                </c:pt>
                <c:pt idx="88">
                  <c:v>2010-09-01</c:v>
                </c:pt>
                <c:pt idx="89">
                  <c:v>2010-10-01</c:v>
                </c:pt>
                <c:pt idx="90">
                  <c:v>2010-11-01</c:v>
                </c:pt>
                <c:pt idx="91">
                  <c:v>2010-12-01</c:v>
                </c:pt>
                <c:pt idx="92">
                  <c:v>2011-01-01</c:v>
                </c:pt>
                <c:pt idx="93">
                  <c:v>2011-02-01</c:v>
                </c:pt>
                <c:pt idx="94">
                  <c:v>2011-03-01</c:v>
                </c:pt>
                <c:pt idx="95">
                  <c:v>2011-04-01</c:v>
                </c:pt>
                <c:pt idx="96">
                  <c:v>2011-05-01</c:v>
                </c:pt>
                <c:pt idx="97">
                  <c:v>2011-06-01</c:v>
                </c:pt>
                <c:pt idx="98">
                  <c:v>2011-07-01</c:v>
                </c:pt>
                <c:pt idx="99">
                  <c:v>2011-08-01</c:v>
                </c:pt>
                <c:pt idx="100">
                  <c:v>2011-09-01</c:v>
                </c:pt>
                <c:pt idx="101">
                  <c:v>2011-10-01</c:v>
                </c:pt>
                <c:pt idx="102">
                  <c:v>2011-11-01</c:v>
                </c:pt>
                <c:pt idx="103">
                  <c:v>2011-12-01</c:v>
                </c:pt>
                <c:pt idx="104">
                  <c:v>2012-01-01</c:v>
                </c:pt>
                <c:pt idx="105">
                  <c:v>2012-02-01</c:v>
                </c:pt>
                <c:pt idx="106">
                  <c:v>2012-03-01</c:v>
                </c:pt>
                <c:pt idx="107">
                  <c:v>2012-04-01</c:v>
                </c:pt>
                <c:pt idx="108">
                  <c:v>2012-05-01</c:v>
                </c:pt>
                <c:pt idx="109">
                  <c:v>2012-06-01</c:v>
                </c:pt>
                <c:pt idx="110">
                  <c:v>2012-07-01</c:v>
                </c:pt>
                <c:pt idx="111">
                  <c:v>2012-08-01</c:v>
                </c:pt>
                <c:pt idx="112">
                  <c:v>2012-09-01</c:v>
                </c:pt>
                <c:pt idx="113">
                  <c:v>2012-10-01</c:v>
                </c:pt>
                <c:pt idx="114">
                  <c:v>2012-11-01</c:v>
                </c:pt>
                <c:pt idx="115">
                  <c:v>2012-12-01</c:v>
                </c:pt>
                <c:pt idx="116">
                  <c:v>2013-01-01</c:v>
                </c:pt>
                <c:pt idx="117">
                  <c:v>2013-02-01</c:v>
                </c:pt>
                <c:pt idx="118">
                  <c:v>2013-03-01</c:v>
                </c:pt>
                <c:pt idx="119">
                  <c:v>2013-04-01</c:v>
                </c:pt>
                <c:pt idx="120">
                  <c:v>2013-05-01</c:v>
                </c:pt>
                <c:pt idx="121">
                  <c:v>2013-06-01</c:v>
                </c:pt>
                <c:pt idx="122">
                  <c:v>2013-07-01</c:v>
                </c:pt>
                <c:pt idx="123">
                  <c:v>2013-08-01</c:v>
                </c:pt>
                <c:pt idx="124">
                  <c:v>2013-09-01</c:v>
                </c:pt>
                <c:pt idx="125">
                  <c:v>2013-10-01</c:v>
                </c:pt>
                <c:pt idx="126">
                  <c:v>2013-11-01</c:v>
                </c:pt>
                <c:pt idx="127">
                  <c:v>2013-12-01</c:v>
                </c:pt>
                <c:pt idx="128">
                  <c:v>2014-01-01</c:v>
                </c:pt>
                <c:pt idx="129">
                  <c:v>2014-02-01</c:v>
                </c:pt>
                <c:pt idx="130">
                  <c:v>2014-03-01</c:v>
                </c:pt>
                <c:pt idx="131">
                  <c:v>2014-04-01</c:v>
                </c:pt>
                <c:pt idx="132">
                  <c:v>2014-05-01</c:v>
                </c:pt>
                <c:pt idx="133">
                  <c:v>2014-06-01</c:v>
                </c:pt>
                <c:pt idx="134">
                  <c:v>2014-07-01</c:v>
                </c:pt>
                <c:pt idx="135">
                  <c:v>2014-08-01</c:v>
                </c:pt>
                <c:pt idx="136">
                  <c:v>2014-09-01</c:v>
                </c:pt>
                <c:pt idx="137">
                  <c:v>2014-10-01</c:v>
                </c:pt>
                <c:pt idx="138">
                  <c:v>2014-11-01</c:v>
                </c:pt>
                <c:pt idx="139">
                  <c:v>2014-12-01</c:v>
                </c:pt>
                <c:pt idx="140">
                  <c:v>2015-01-01</c:v>
                </c:pt>
                <c:pt idx="141">
                  <c:v>2015-02-01</c:v>
                </c:pt>
                <c:pt idx="142">
                  <c:v>2015-03-01</c:v>
                </c:pt>
                <c:pt idx="143">
                  <c:v>2015-04-01</c:v>
                </c:pt>
                <c:pt idx="144">
                  <c:v>2015-05-01</c:v>
                </c:pt>
                <c:pt idx="145">
                  <c:v>2015-06-01</c:v>
                </c:pt>
                <c:pt idx="146">
                  <c:v>2015-07-01</c:v>
                </c:pt>
              </c:strCache>
            </c:strRef>
          </c:cat>
          <c:val>
            <c:numRef>
              <c:f>'Time Series Query'!$Q$5:$Q$151</c:f>
              <c:numCache>
                <c:formatCode>0%</c:formatCode>
                <c:ptCount val="147"/>
                <c:pt idx="0">
                  <c:v>1.32135014796563E-2</c:v>
                </c:pt>
                <c:pt idx="1">
                  <c:v>1.1152224581714301E-2</c:v>
                </c:pt>
                <c:pt idx="2">
                  <c:v>1.2643328295785501E-2</c:v>
                </c:pt>
                <c:pt idx="3">
                  <c:v>1.3216576425238401E-2</c:v>
                </c:pt>
                <c:pt idx="4">
                  <c:v>1.3995634497627101E-2</c:v>
                </c:pt>
                <c:pt idx="5">
                  <c:v>1.60589800396303E-2</c:v>
                </c:pt>
                <c:pt idx="6">
                  <c:v>2.1167569446924599E-2</c:v>
                </c:pt>
                <c:pt idx="7">
                  <c:v>2.16589958788652E-2</c:v>
                </c:pt>
                <c:pt idx="8">
                  <c:v>2.07685482202341E-2</c:v>
                </c:pt>
                <c:pt idx="9">
                  <c:v>2.56930597823848E-2</c:v>
                </c:pt>
                <c:pt idx="10">
                  <c:v>2.4328764311436001E-2</c:v>
                </c:pt>
                <c:pt idx="11">
                  <c:v>2.1383212133889301E-2</c:v>
                </c:pt>
                <c:pt idx="12">
                  <c:v>2.0473067086164198E-2</c:v>
                </c:pt>
                <c:pt idx="13">
                  <c:v>1.8930552643063699E-2</c:v>
                </c:pt>
                <c:pt idx="14">
                  <c:v>1.9710786588140499E-2</c:v>
                </c:pt>
                <c:pt idx="15">
                  <c:v>2.66844067861104E-2</c:v>
                </c:pt>
                <c:pt idx="16">
                  <c:v>2.4399357804312901E-2</c:v>
                </c:pt>
                <c:pt idx="17">
                  <c:v>2.2700215079383398E-2</c:v>
                </c:pt>
                <c:pt idx="18">
                  <c:v>2.3836089043189498E-2</c:v>
                </c:pt>
                <c:pt idx="19">
                  <c:v>2.0322416607770299E-2</c:v>
                </c:pt>
                <c:pt idx="20">
                  <c:v>2.1384716547729901E-2</c:v>
                </c:pt>
                <c:pt idx="21">
                  <c:v>2.15048269951971E-2</c:v>
                </c:pt>
                <c:pt idx="22">
                  <c:v>2.2787597421070799E-2</c:v>
                </c:pt>
                <c:pt idx="23">
                  <c:v>2.0414171190781299E-2</c:v>
                </c:pt>
                <c:pt idx="24">
                  <c:v>2.02201237207651E-2</c:v>
                </c:pt>
                <c:pt idx="25">
                  <c:v>2.4888563661056001E-2</c:v>
                </c:pt>
                <c:pt idx="26">
                  <c:v>2.39749129907815E-2</c:v>
                </c:pt>
                <c:pt idx="27">
                  <c:v>2.0740391863012599E-2</c:v>
                </c:pt>
                <c:pt idx="28">
                  <c:v>2.68399820380428E-2</c:v>
                </c:pt>
                <c:pt idx="29">
                  <c:v>4.7987353312741503E-2</c:v>
                </c:pt>
                <c:pt idx="30">
                  <c:v>9.4940112137955404E-2</c:v>
                </c:pt>
                <c:pt idx="31">
                  <c:v>0.20745068367851</c:v>
                </c:pt>
                <c:pt idx="32">
                  <c:v>0.25185729465780399</c:v>
                </c:pt>
                <c:pt idx="33">
                  <c:v>0.25603886611316801</c:v>
                </c:pt>
                <c:pt idx="34">
                  <c:v>0.25876564659608398</c:v>
                </c:pt>
                <c:pt idx="35">
                  <c:v>0.25720646817190801</c:v>
                </c:pt>
                <c:pt idx="36">
                  <c:v>0.25530695689293598</c:v>
                </c:pt>
                <c:pt idx="37">
                  <c:v>0.250967229847814</c:v>
                </c:pt>
                <c:pt idx="38">
                  <c:v>0.25385801090037102</c:v>
                </c:pt>
                <c:pt idx="39">
                  <c:v>0.259163903970826</c:v>
                </c:pt>
                <c:pt idx="40">
                  <c:v>0.25572001484150397</c:v>
                </c:pt>
                <c:pt idx="41">
                  <c:v>0.25886862133549099</c:v>
                </c:pt>
                <c:pt idx="42">
                  <c:v>0.27141833470725502</c:v>
                </c:pt>
                <c:pt idx="43">
                  <c:v>0.28453423916155701</c:v>
                </c:pt>
                <c:pt idx="44">
                  <c:v>0.27954455441237602</c:v>
                </c:pt>
                <c:pt idx="45">
                  <c:v>0.28314346572504001</c:v>
                </c:pt>
                <c:pt idx="46">
                  <c:v>0.28268064836849399</c:v>
                </c:pt>
                <c:pt idx="47">
                  <c:v>0.27418324865767502</c:v>
                </c:pt>
                <c:pt idx="48">
                  <c:v>0.29044045878201202</c:v>
                </c:pt>
                <c:pt idx="49">
                  <c:v>0.29479740023241902</c:v>
                </c:pt>
                <c:pt idx="50">
                  <c:v>0.300185432523705</c:v>
                </c:pt>
                <c:pt idx="51">
                  <c:v>0.31732347013787598</c:v>
                </c:pt>
                <c:pt idx="52">
                  <c:v>0.31798180334842602</c:v>
                </c:pt>
                <c:pt idx="53">
                  <c:v>0.314858289438952</c:v>
                </c:pt>
                <c:pt idx="54">
                  <c:v>0.33257685736857001</c:v>
                </c:pt>
                <c:pt idx="55">
                  <c:v>0.32737388737458001</c:v>
                </c:pt>
                <c:pt idx="56">
                  <c:v>0.32345590393991103</c:v>
                </c:pt>
                <c:pt idx="57">
                  <c:v>0.32064750057136798</c:v>
                </c:pt>
                <c:pt idx="58">
                  <c:v>0.31717378018460402</c:v>
                </c:pt>
                <c:pt idx="59">
                  <c:v>0.300734170812334</c:v>
                </c:pt>
                <c:pt idx="60">
                  <c:v>0.33210271281010001</c:v>
                </c:pt>
                <c:pt idx="61">
                  <c:v>0.31965036017869303</c:v>
                </c:pt>
                <c:pt idx="62">
                  <c:v>0.30721083895763202</c:v>
                </c:pt>
                <c:pt idx="63">
                  <c:v>0.324853201159644</c:v>
                </c:pt>
                <c:pt idx="64">
                  <c:v>0.34039413439216898</c:v>
                </c:pt>
                <c:pt idx="65">
                  <c:v>0.32142274521264302</c:v>
                </c:pt>
                <c:pt idx="66">
                  <c:v>0.32847350810014198</c:v>
                </c:pt>
                <c:pt idx="67">
                  <c:v>0.31869933102218601</c:v>
                </c:pt>
                <c:pt idx="68">
                  <c:v>0.33607801513818097</c:v>
                </c:pt>
                <c:pt idx="69">
                  <c:v>0.37063372190416999</c:v>
                </c:pt>
                <c:pt idx="70">
                  <c:v>0.36778743990558699</c:v>
                </c:pt>
                <c:pt idx="71">
                  <c:v>0.35728737603095201</c:v>
                </c:pt>
                <c:pt idx="72">
                  <c:v>0.33881763844914597</c:v>
                </c:pt>
                <c:pt idx="73">
                  <c:v>0.30665074176726298</c:v>
                </c:pt>
                <c:pt idx="74">
                  <c:v>0.295070326807992</c:v>
                </c:pt>
                <c:pt idx="75">
                  <c:v>0.301359603259164</c:v>
                </c:pt>
                <c:pt idx="76">
                  <c:v>0.312424845490548</c:v>
                </c:pt>
                <c:pt idx="77">
                  <c:v>0.31818274376699701</c:v>
                </c:pt>
                <c:pt idx="78">
                  <c:v>0.31708660379937997</c:v>
                </c:pt>
                <c:pt idx="79">
                  <c:v>0.31475350404319502</c:v>
                </c:pt>
                <c:pt idx="80">
                  <c:v>0.30946149081216401</c:v>
                </c:pt>
                <c:pt idx="81">
                  <c:v>0.32605724396212699</c:v>
                </c:pt>
                <c:pt idx="82">
                  <c:v>0.32345397389146002</c:v>
                </c:pt>
                <c:pt idx="83">
                  <c:v>0.308692322041347</c:v>
                </c:pt>
                <c:pt idx="84">
                  <c:v>0.29885314640147098</c:v>
                </c:pt>
                <c:pt idx="85">
                  <c:v>0.29266486570866301</c:v>
                </c:pt>
                <c:pt idx="86">
                  <c:v>0.28834659004754098</c:v>
                </c:pt>
                <c:pt idx="87">
                  <c:v>0.28355778919539698</c:v>
                </c:pt>
                <c:pt idx="88">
                  <c:v>0.28514921794130899</c:v>
                </c:pt>
                <c:pt idx="89">
                  <c:v>0.27453440249608202</c:v>
                </c:pt>
                <c:pt idx="90">
                  <c:v>0.27125876006071098</c:v>
                </c:pt>
                <c:pt idx="91">
                  <c:v>0.27855563370943898</c:v>
                </c:pt>
                <c:pt idx="92">
                  <c:v>0.27245520416456698</c:v>
                </c:pt>
                <c:pt idx="93">
                  <c:v>0.28761132381048299</c:v>
                </c:pt>
                <c:pt idx="94">
                  <c:v>0.31323390844316201</c:v>
                </c:pt>
                <c:pt idx="95">
                  <c:v>0.31991524375353902</c:v>
                </c:pt>
                <c:pt idx="96">
                  <c:v>0.32153280838498299</c:v>
                </c:pt>
                <c:pt idx="97">
                  <c:v>0.29771300873224599</c:v>
                </c:pt>
                <c:pt idx="98">
                  <c:v>0.28753119304577202</c:v>
                </c:pt>
                <c:pt idx="99">
                  <c:v>0.27877098117541399</c:v>
                </c:pt>
                <c:pt idx="100">
                  <c:v>0.28109165813664899</c:v>
                </c:pt>
                <c:pt idx="101">
                  <c:v>0.28077167132175201</c:v>
                </c:pt>
                <c:pt idx="102">
                  <c:v>0.272868235888234</c:v>
                </c:pt>
                <c:pt idx="103">
                  <c:v>0.27520420343907298</c:v>
                </c:pt>
                <c:pt idx="104">
                  <c:v>0.27064704793311001</c:v>
                </c:pt>
                <c:pt idx="105">
                  <c:v>0.26106465585479299</c:v>
                </c:pt>
                <c:pt idx="106">
                  <c:v>0.267356946580733</c:v>
                </c:pt>
                <c:pt idx="107">
                  <c:v>0.26161336953345399</c:v>
                </c:pt>
                <c:pt idx="108">
                  <c:v>0.25395306698819098</c:v>
                </c:pt>
                <c:pt idx="109">
                  <c:v>0.25766810760182601</c:v>
                </c:pt>
                <c:pt idx="110">
                  <c:v>0.25450284175931598</c:v>
                </c:pt>
                <c:pt idx="111">
                  <c:v>0.24575163744130599</c:v>
                </c:pt>
                <c:pt idx="112">
                  <c:v>0.24307109211674099</c:v>
                </c:pt>
                <c:pt idx="113">
                  <c:v>0.245849111984763</c:v>
                </c:pt>
                <c:pt idx="114">
                  <c:v>0.253860792116615</c:v>
                </c:pt>
                <c:pt idx="115">
                  <c:v>0.25543495238191299</c:v>
                </c:pt>
                <c:pt idx="116">
                  <c:v>0.255612831060195</c:v>
                </c:pt>
                <c:pt idx="117">
                  <c:v>0.26462985808078898</c:v>
                </c:pt>
                <c:pt idx="118">
                  <c:v>0.26777968249987799</c:v>
                </c:pt>
                <c:pt idx="119">
                  <c:v>0.26708469414027702</c:v>
                </c:pt>
                <c:pt idx="120">
                  <c:v>0.26794335903761601</c:v>
                </c:pt>
                <c:pt idx="121">
                  <c:v>0.26164688930527003</c:v>
                </c:pt>
                <c:pt idx="122">
                  <c:v>0.25208629868176302</c:v>
                </c:pt>
                <c:pt idx="123">
                  <c:v>0.26111500363976398</c:v>
                </c:pt>
                <c:pt idx="124">
                  <c:v>0.28421617550554501</c:v>
                </c:pt>
                <c:pt idx="125">
                  <c:v>0.29325545251212798</c:v>
                </c:pt>
                <c:pt idx="126">
                  <c:v>0.30468729593251298</c:v>
                </c:pt>
                <c:pt idx="127">
                  <c:v>0.30500668615603299</c:v>
                </c:pt>
                <c:pt idx="128">
                  <c:v>0.30216401668491399</c:v>
                </c:pt>
                <c:pt idx="129">
                  <c:v>0.31113505275696202</c:v>
                </c:pt>
                <c:pt idx="130">
                  <c:v>0.32592044220524802</c:v>
                </c:pt>
                <c:pt idx="131">
                  <c:v>0.30845170445324599</c:v>
                </c:pt>
                <c:pt idx="132">
                  <c:v>0.29976463477048398</c:v>
                </c:pt>
                <c:pt idx="133">
                  <c:v>0.298833133468625</c:v>
                </c:pt>
                <c:pt idx="134">
                  <c:v>0.29227305708170098</c:v>
                </c:pt>
                <c:pt idx="135">
                  <c:v>0.28910327833000299</c:v>
                </c:pt>
                <c:pt idx="136">
                  <c:v>0.29253583430136998</c:v>
                </c:pt>
                <c:pt idx="137">
                  <c:v>0.30128149535438498</c:v>
                </c:pt>
                <c:pt idx="138">
                  <c:v>0.309418365078864</c:v>
                </c:pt>
                <c:pt idx="139">
                  <c:v>0.31245467786157399</c:v>
                </c:pt>
                <c:pt idx="140">
                  <c:v>0.31220120325231998</c:v>
                </c:pt>
                <c:pt idx="141">
                  <c:v>0.31891544150436202</c:v>
                </c:pt>
                <c:pt idx="142">
                  <c:v>0.32259034578546503</c:v>
                </c:pt>
                <c:pt idx="143">
                  <c:v>0.302200706894452</c:v>
                </c:pt>
                <c:pt idx="144">
                  <c:v>0.30210027734452</c:v>
                </c:pt>
                <c:pt idx="145">
                  <c:v>0.29706452342619799</c:v>
                </c:pt>
                <c:pt idx="146">
                  <c:v>0.28482112233552798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4031488"/>
        <c:axId val="184029952"/>
      </c:barChart>
      <c:lineChart>
        <c:grouping val="standard"/>
        <c:varyColors val="0"/>
        <c:ser>
          <c:idx val="0"/>
          <c:order val="0"/>
          <c:tx>
            <c:v>DTI Mean</c:v>
          </c:tx>
          <c:spPr>
            <a:ln>
              <a:solidFill>
                <a:srgbClr val="AD275C"/>
              </a:solidFill>
            </a:ln>
          </c:spPr>
          <c:marker>
            <c:symbol val="none"/>
          </c:marker>
          <c:cat>
            <c:strRef>
              <c:f>'Time Series Query'!$O$5:$O$151</c:f>
              <c:strCache>
                <c:ptCount val="147"/>
                <c:pt idx="0">
                  <c:v>2003-05-01</c:v>
                </c:pt>
                <c:pt idx="1">
                  <c:v>2003-06-01</c:v>
                </c:pt>
                <c:pt idx="2">
                  <c:v>2003-07-01</c:v>
                </c:pt>
                <c:pt idx="3">
                  <c:v>2003-08-01</c:v>
                </c:pt>
                <c:pt idx="4">
                  <c:v>2003-09-01</c:v>
                </c:pt>
                <c:pt idx="5">
                  <c:v>2003-10-01</c:v>
                </c:pt>
                <c:pt idx="6">
                  <c:v>2003-11-01</c:v>
                </c:pt>
                <c:pt idx="7">
                  <c:v>2003-12-01</c:v>
                </c:pt>
                <c:pt idx="8">
                  <c:v>2004-01-01</c:v>
                </c:pt>
                <c:pt idx="9">
                  <c:v>2004-02-01</c:v>
                </c:pt>
                <c:pt idx="10">
                  <c:v>2004-03-01</c:v>
                </c:pt>
                <c:pt idx="11">
                  <c:v>2004-04-01</c:v>
                </c:pt>
                <c:pt idx="12">
                  <c:v>2004-05-01</c:v>
                </c:pt>
                <c:pt idx="13">
                  <c:v>2004-06-01</c:v>
                </c:pt>
                <c:pt idx="14">
                  <c:v>2004-07-01</c:v>
                </c:pt>
                <c:pt idx="15">
                  <c:v>2004-08-01</c:v>
                </c:pt>
                <c:pt idx="16">
                  <c:v>2004-09-01</c:v>
                </c:pt>
                <c:pt idx="17">
                  <c:v>2004-10-01</c:v>
                </c:pt>
                <c:pt idx="18">
                  <c:v>2004-11-01</c:v>
                </c:pt>
                <c:pt idx="19">
                  <c:v>2004-12-01</c:v>
                </c:pt>
                <c:pt idx="20">
                  <c:v>2005-01-01</c:v>
                </c:pt>
                <c:pt idx="21">
                  <c:v>2005-02-01</c:v>
                </c:pt>
                <c:pt idx="22">
                  <c:v>2005-03-01</c:v>
                </c:pt>
                <c:pt idx="23">
                  <c:v>2005-04-01</c:v>
                </c:pt>
                <c:pt idx="24">
                  <c:v>2005-05-01</c:v>
                </c:pt>
                <c:pt idx="25">
                  <c:v>2005-06-01</c:v>
                </c:pt>
                <c:pt idx="26">
                  <c:v>2005-07-01</c:v>
                </c:pt>
                <c:pt idx="27">
                  <c:v>2005-08-01</c:v>
                </c:pt>
                <c:pt idx="28">
                  <c:v>2005-09-01</c:v>
                </c:pt>
                <c:pt idx="29">
                  <c:v>2005-10-01</c:v>
                </c:pt>
                <c:pt idx="30">
                  <c:v>2005-11-01</c:v>
                </c:pt>
                <c:pt idx="31">
                  <c:v>2005-12-01</c:v>
                </c:pt>
                <c:pt idx="32">
                  <c:v>2006-01-01</c:v>
                </c:pt>
                <c:pt idx="33">
                  <c:v>2006-02-01</c:v>
                </c:pt>
                <c:pt idx="34">
                  <c:v>2006-03-01</c:v>
                </c:pt>
                <c:pt idx="35">
                  <c:v>2006-04-01</c:v>
                </c:pt>
                <c:pt idx="36">
                  <c:v>2006-05-01</c:v>
                </c:pt>
                <c:pt idx="37">
                  <c:v>2006-06-01</c:v>
                </c:pt>
                <c:pt idx="38">
                  <c:v>2006-07-01</c:v>
                </c:pt>
                <c:pt idx="39">
                  <c:v>2006-08-01</c:v>
                </c:pt>
                <c:pt idx="40">
                  <c:v>2006-09-01</c:v>
                </c:pt>
                <c:pt idx="41">
                  <c:v>2006-10-01</c:v>
                </c:pt>
                <c:pt idx="42">
                  <c:v>2006-11-01</c:v>
                </c:pt>
                <c:pt idx="43">
                  <c:v>2006-12-01</c:v>
                </c:pt>
                <c:pt idx="44">
                  <c:v>2007-01-01</c:v>
                </c:pt>
                <c:pt idx="45">
                  <c:v>2007-02-01</c:v>
                </c:pt>
                <c:pt idx="46">
                  <c:v>2007-03-01</c:v>
                </c:pt>
                <c:pt idx="47">
                  <c:v>2007-04-01</c:v>
                </c:pt>
                <c:pt idx="48">
                  <c:v>2007-05-01</c:v>
                </c:pt>
                <c:pt idx="49">
                  <c:v>2007-06-01</c:v>
                </c:pt>
                <c:pt idx="50">
                  <c:v>2007-07-01</c:v>
                </c:pt>
                <c:pt idx="51">
                  <c:v>2007-08-01</c:v>
                </c:pt>
                <c:pt idx="52">
                  <c:v>2007-09-01</c:v>
                </c:pt>
                <c:pt idx="53">
                  <c:v>2007-10-01</c:v>
                </c:pt>
                <c:pt idx="54">
                  <c:v>2007-11-01</c:v>
                </c:pt>
                <c:pt idx="55">
                  <c:v>2007-12-01</c:v>
                </c:pt>
                <c:pt idx="56">
                  <c:v>2008-01-01</c:v>
                </c:pt>
                <c:pt idx="57">
                  <c:v>2008-02-01</c:v>
                </c:pt>
                <c:pt idx="58">
                  <c:v>2008-03-01</c:v>
                </c:pt>
                <c:pt idx="59">
                  <c:v>2008-04-01</c:v>
                </c:pt>
                <c:pt idx="60">
                  <c:v>2008-05-01</c:v>
                </c:pt>
                <c:pt idx="61">
                  <c:v>2008-06-01</c:v>
                </c:pt>
                <c:pt idx="62">
                  <c:v>2008-07-01</c:v>
                </c:pt>
                <c:pt idx="63">
                  <c:v>2008-08-01</c:v>
                </c:pt>
                <c:pt idx="64">
                  <c:v>2008-09-01</c:v>
                </c:pt>
                <c:pt idx="65">
                  <c:v>2008-10-01</c:v>
                </c:pt>
                <c:pt idx="66">
                  <c:v>2008-11-01</c:v>
                </c:pt>
                <c:pt idx="67">
                  <c:v>2008-12-01</c:v>
                </c:pt>
                <c:pt idx="68">
                  <c:v>2009-01-01</c:v>
                </c:pt>
                <c:pt idx="69">
                  <c:v>2009-02-01</c:v>
                </c:pt>
                <c:pt idx="70">
                  <c:v>2009-03-01</c:v>
                </c:pt>
                <c:pt idx="71">
                  <c:v>2009-04-01</c:v>
                </c:pt>
                <c:pt idx="72">
                  <c:v>2009-05-01</c:v>
                </c:pt>
                <c:pt idx="73">
                  <c:v>2009-06-01</c:v>
                </c:pt>
                <c:pt idx="74">
                  <c:v>2009-07-01</c:v>
                </c:pt>
                <c:pt idx="75">
                  <c:v>2009-08-01</c:v>
                </c:pt>
                <c:pt idx="76">
                  <c:v>2009-09-01</c:v>
                </c:pt>
                <c:pt idx="77">
                  <c:v>2009-10-01</c:v>
                </c:pt>
                <c:pt idx="78">
                  <c:v>2009-11-01</c:v>
                </c:pt>
                <c:pt idx="79">
                  <c:v>2009-12-01</c:v>
                </c:pt>
                <c:pt idx="80">
                  <c:v>2010-01-01</c:v>
                </c:pt>
                <c:pt idx="81">
                  <c:v>2010-02-01</c:v>
                </c:pt>
                <c:pt idx="82">
                  <c:v>2010-03-01</c:v>
                </c:pt>
                <c:pt idx="83">
                  <c:v>2010-04-01</c:v>
                </c:pt>
                <c:pt idx="84">
                  <c:v>2010-05-01</c:v>
                </c:pt>
                <c:pt idx="85">
                  <c:v>2010-06-01</c:v>
                </c:pt>
                <c:pt idx="86">
                  <c:v>2010-07-01</c:v>
                </c:pt>
                <c:pt idx="87">
                  <c:v>2010-08-01</c:v>
                </c:pt>
                <c:pt idx="88">
                  <c:v>2010-09-01</c:v>
                </c:pt>
                <c:pt idx="89">
                  <c:v>2010-10-01</c:v>
                </c:pt>
                <c:pt idx="90">
                  <c:v>2010-11-01</c:v>
                </c:pt>
                <c:pt idx="91">
                  <c:v>2010-12-01</c:v>
                </c:pt>
                <c:pt idx="92">
                  <c:v>2011-01-01</c:v>
                </c:pt>
                <c:pt idx="93">
                  <c:v>2011-02-01</c:v>
                </c:pt>
                <c:pt idx="94">
                  <c:v>2011-03-01</c:v>
                </c:pt>
                <c:pt idx="95">
                  <c:v>2011-04-01</c:v>
                </c:pt>
                <c:pt idx="96">
                  <c:v>2011-05-01</c:v>
                </c:pt>
                <c:pt idx="97">
                  <c:v>2011-06-01</c:v>
                </c:pt>
                <c:pt idx="98">
                  <c:v>2011-07-01</c:v>
                </c:pt>
                <c:pt idx="99">
                  <c:v>2011-08-01</c:v>
                </c:pt>
                <c:pt idx="100">
                  <c:v>2011-09-01</c:v>
                </c:pt>
                <c:pt idx="101">
                  <c:v>2011-10-01</c:v>
                </c:pt>
                <c:pt idx="102">
                  <c:v>2011-11-01</c:v>
                </c:pt>
                <c:pt idx="103">
                  <c:v>2011-12-01</c:v>
                </c:pt>
                <c:pt idx="104">
                  <c:v>2012-01-01</c:v>
                </c:pt>
                <c:pt idx="105">
                  <c:v>2012-02-01</c:v>
                </c:pt>
                <c:pt idx="106">
                  <c:v>2012-03-01</c:v>
                </c:pt>
                <c:pt idx="107">
                  <c:v>2012-04-01</c:v>
                </c:pt>
                <c:pt idx="108">
                  <c:v>2012-05-01</c:v>
                </c:pt>
                <c:pt idx="109">
                  <c:v>2012-06-01</c:v>
                </c:pt>
                <c:pt idx="110">
                  <c:v>2012-07-01</c:v>
                </c:pt>
                <c:pt idx="111">
                  <c:v>2012-08-01</c:v>
                </c:pt>
                <c:pt idx="112">
                  <c:v>2012-09-01</c:v>
                </c:pt>
                <c:pt idx="113">
                  <c:v>2012-10-01</c:v>
                </c:pt>
                <c:pt idx="114">
                  <c:v>2012-11-01</c:v>
                </c:pt>
                <c:pt idx="115">
                  <c:v>2012-12-01</c:v>
                </c:pt>
                <c:pt idx="116">
                  <c:v>2013-01-01</c:v>
                </c:pt>
                <c:pt idx="117">
                  <c:v>2013-02-01</c:v>
                </c:pt>
                <c:pt idx="118">
                  <c:v>2013-03-01</c:v>
                </c:pt>
                <c:pt idx="119">
                  <c:v>2013-04-01</c:v>
                </c:pt>
                <c:pt idx="120">
                  <c:v>2013-05-01</c:v>
                </c:pt>
                <c:pt idx="121">
                  <c:v>2013-06-01</c:v>
                </c:pt>
                <c:pt idx="122">
                  <c:v>2013-07-01</c:v>
                </c:pt>
                <c:pt idx="123">
                  <c:v>2013-08-01</c:v>
                </c:pt>
                <c:pt idx="124">
                  <c:v>2013-09-01</c:v>
                </c:pt>
                <c:pt idx="125">
                  <c:v>2013-10-01</c:v>
                </c:pt>
                <c:pt idx="126">
                  <c:v>2013-11-01</c:v>
                </c:pt>
                <c:pt idx="127">
                  <c:v>2013-12-01</c:v>
                </c:pt>
                <c:pt idx="128">
                  <c:v>2014-01-01</c:v>
                </c:pt>
                <c:pt idx="129">
                  <c:v>2014-02-01</c:v>
                </c:pt>
                <c:pt idx="130">
                  <c:v>2014-03-01</c:v>
                </c:pt>
                <c:pt idx="131">
                  <c:v>2014-04-01</c:v>
                </c:pt>
                <c:pt idx="132">
                  <c:v>2014-05-01</c:v>
                </c:pt>
                <c:pt idx="133">
                  <c:v>2014-06-01</c:v>
                </c:pt>
                <c:pt idx="134">
                  <c:v>2014-07-01</c:v>
                </c:pt>
                <c:pt idx="135">
                  <c:v>2014-08-01</c:v>
                </c:pt>
                <c:pt idx="136">
                  <c:v>2014-09-01</c:v>
                </c:pt>
                <c:pt idx="137">
                  <c:v>2014-10-01</c:v>
                </c:pt>
                <c:pt idx="138">
                  <c:v>2014-11-01</c:v>
                </c:pt>
                <c:pt idx="139">
                  <c:v>2014-12-01</c:v>
                </c:pt>
                <c:pt idx="140">
                  <c:v>2015-01-01</c:v>
                </c:pt>
                <c:pt idx="141">
                  <c:v>2015-02-01</c:v>
                </c:pt>
                <c:pt idx="142">
                  <c:v>2015-03-01</c:v>
                </c:pt>
                <c:pt idx="143">
                  <c:v>2015-04-01</c:v>
                </c:pt>
                <c:pt idx="144">
                  <c:v>2015-05-01</c:v>
                </c:pt>
                <c:pt idx="145">
                  <c:v>2015-06-01</c:v>
                </c:pt>
                <c:pt idx="146">
                  <c:v>2015-07-01</c:v>
                </c:pt>
              </c:strCache>
            </c:strRef>
          </c:cat>
          <c:val>
            <c:numRef>
              <c:f>'Time Series Query'!$P$5:$P$151</c:f>
              <c:numCache>
                <c:formatCode>General</c:formatCode>
                <c:ptCount val="147"/>
                <c:pt idx="0">
                  <c:v>33.491005416991001</c:v>
                </c:pt>
                <c:pt idx="1">
                  <c:v>33.725544414496198</c:v>
                </c:pt>
                <c:pt idx="2">
                  <c:v>34.144864022931102</c:v>
                </c:pt>
                <c:pt idx="3">
                  <c:v>33.501180220584502</c:v>
                </c:pt>
                <c:pt idx="4">
                  <c:v>33.486119352874702</c:v>
                </c:pt>
                <c:pt idx="5">
                  <c:v>34.340700588560999</c:v>
                </c:pt>
                <c:pt idx="6">
                  <c:v>35.411302149846499</c:v>
                </c:pt>
                <c:pt idx="7">
                  <c:v>36.5193753202172</c:v>
                </c:pt>
                <c:pt idx="8">
                  <c:v>36.105752730096498</c:v>
                </c:pt>
                <c:pt idx="9">
                  <c:v>34.270437676693597</c:v>
                </c:pt>
                <c:pt idx="10">
                  <c:v>33.128991607908802</c:v>
                </c:pt>
                <c:pt idx="11">
                  <c:v>35.641148466163102</c:v>
                </c:pt>
                <c:pt idx="12">
                  <c:v>35.983860754805796</c:v>
                </c:pt>
                <c:pt idx="13">
                  <c:v>35.515935884053597</c:v>
                </c:pt>
                <c:pt idx="14">
                  <c:v>34.997883140806501</c:v>
                </c:pt>
                <c:pt idx="15">
                  <c:v>36.203803583517697</c:v>
                </c:pt>
                <c:pt idx="16">
                  <c:v>36.725585962012303</c:v>
                </c:pt>
                <c:pt idx="17">
                  <c:v>36.140491978410601</c:v>
                </c:pt>
                <c:pt idx="18">
                  <c:v>36.037229832655903</c:v>
                </c:pt>
                <c:pt idx="19">
                  <c:v>36.111274732319899</c:v>
                </c:pt>
                <c:pt idx="20">
                  <c:v>36.113002367630003</c:v>
                </c:pt>
                <c:pt idx="21">
                  <c:v>36.021234313297398</c:v>
                </c:pt>
                <c:pt idx="22">
                  <c:v>36.536528015982903</c:v>
                </c:pt>
                <c:pt idx="23">
                  <c:v>36.597130219793101</c:v>
                </c:pt>
                <c:pt idx="24">
                  <c:v>36.327186002251203</c:v>
                </c:pt>
                <c:pt idx="25">
                  <c:v>36.1993382197549</c:v>
                </c:pt>
                <c:pt idx="26">
                  <c:v>35.622831536056303</c:v>
                </c:pt>
                <c:pt idx="27">
                  <c:v>35.077215179314997</c:v>
                </c:pt>
                <c:pt idx="28">
                  <c:v>35.1480749189747</c:v>
                </c:pt>
                <c:pt idx="29">
                  <c:v>36.383653975406801</c:v>
                </c:pt>
                <c:pt idx="30">
                  <c:v>37.292560707621398</c:v>
                </c:pt>
                <c:pt idx="31">
                  <c:v>37.331752401609997</c:v>
                </c:pt>
                <c:pt idx="32">
                  <c:v>37.352959429809502</c:v>
                </c:pt>
                <c:pt idx="33">
                  <c:v>37.5015329261158</c:v>
                </c:pt>
                <c:pt idx="34">
                  <c:v>37.377683504176403</c:v>
                </c:pt>
                <c:pt idx="35">
                  <c:v>37.352589752049496</c:v>
                </c:pt>
                <c:pt idx="36">
                  <c:v>37.455662044979697</c:v>
                </c:pt>
                <c:pt idx="37">
                  <c:v>37.284968784457597</c:v>
                </c:pt>
                <c:pt idx="38">
                  <c:v>37.630284650424002</c:v>
                </c:pt>
                <c:pt idx="39">
                  <c:v>37.652579877335498</c:v>
                </c:pt>
                <c:pt idx="40">
                  <c:v>37.944084729028397</c:v>
                </c:pt>
                <c:pt idx="41">
                  <c:v>38.014001892969098</c:v>
                </c:pt>
                <c:pt idx="42">
                  <c:v>37.885607199262502</c:v>
                </c:pt>
                <c:pt idx="43">
                  <c:v>37.784179381196402</c:v>
                </c:pt>
                <c:pt idx="44">
                  <c:v>37.718068546956403</c:v>
                </c:pt>
                <c:pt idx="45">
                  <c:v>37.816267865963702</c:v>
                </c:pt>
                <c:pt idx="46">
                  <c:v>37.728098878721802</c:v>
                </c:pt>
                <c:pt idx="47">
                  <c:v>37.946752928057499</c:v>
                </c:pt>
                <c:pt idx="48">
                  <c:v>37.941075227250401</c:v>
                </c:pt>
                <c:pt idx="49">
                  <c:v>37.925888931269299</c:v>
                </c:pt>
                <c:pt idx="50">
                  <c:v>38.351984649126003</c:v>
                </c:pt>
                <c:pt idx="51">
                  <c:v>39.121730682626499</c:v>
                </c:pt>
                <c:pt idx="52">
                  <c:v>39.279520130665098</c:v>
                </c:pt>
                <c:pt idx="53">
                  <c:v>39.155893606409002</c:v>
                </c:pt>
                <c:pt idx="54">
                  <c:v>39.641727438885503</c:v>
                </c:pt>
                <c:pt idx="55">
                  <c:v>39.579908349099497</c:v>
                </c:pt>
                <c:pt idx="56">
                  <c:v>39.489843297243901</c:v>
                </c:pt>
                <c:pt idx="57">
                  <c:v>39.092016446336103</c:v>
                </c:pt>
                <c:pt idx="58">
                  <c:v>39.249087722264797</c:v>
                </c:pt>
                <c:pt idx="59">
                  <c:v>38.414329636092397</c:v>
                </c:pt>
                <c:pt idx="60">
                  <c:v>38.763155801956799</c:v>
                </c:pt>
                <c:pt idx="61">
                  <c:v>38.559555713699098</c:v>
                </c:pt>
                <c:pt idx="62">
                  <c:v>38.341658225407897</c:v>
                </c:pt>
                <c:pt idx="63">
                  <c:v>37.999181742126503</c:v>
                </c:pt>
                <c:pt idx="64">
                  <c:v>38.161391290982401</c:v>
                </c:pt>
                <c:pt idx="65">
                  <c:v>37.987846513899299</c:v>
                </c:pt>
                <c:pt idx="66">
                  <c:v>37.893642795120201</c:v>
                </c:pt>
                <c:pt idx="67">
                  <c:v>37.863545215523096</c:v>
                </c:pt>
                <c:pt idx="68">
                  <c:v>37.7564539019778</c:v>
                </c:pt>
                <c:pt idx="69">
                  <c:v>36.703804548987797</c:v>
                </c:pt>
                <c:pt idx="70">
                  <c:v>36.205626715771302</c:v>
                </c:pt>
                <c:pt idx="71">
                  <c:v>35.799246123443801</c:v>
                </c:pt>
                <c:pt idx="72">
                  <c:v>35.443374053116202</c:v>
                </c:pt>
                <c:pt idx="73">
                  <c:v>34.719620848565299</c:v>
                </c:pt>
                <c:pt idx="74">
                  <c:v>34.3486666650331</c:v>
                </c:pt>
                <c:pt idx="75">
                  <c:v>34.610842833678603</c:v>
                </c:pt>
                <c:pt idx="76">
                  <c:v>35.062429359649101</c:v>
                </c:pt>
                <c:pt idx="77">
                  <c:v>35.285355439040003</c:v>
                </c:pt>
                <c:pt idx="78">
                  <c:v>35.3465901358419</c:v>
                </c:pt>
                <c:pt idx="79">
                  <c:v>35.1667301275982</c:v>
                </c:pt>
                <c:pt idx="80">
                  <c:v>35.096745322021697</c:v>
                </c:pt>
                <c:pt idx="81">
                  <c:v>35.350936273908701</c:v>
                </c:pt>
                <c:pt idx="82">
                  <c:v>35.1679187610561</c:v>
                </c:pt>
                <c:pt idx="83">
                  <c:v>34.642619302927201</c:v>
                </c:pt>
                <c:pt idx="84">
                  <c:v>34.4440642092299</c:v>
                </c:pt>
                <c:pt idx="85">
                  <c:v>34.256883100797999</c:v>
                </c:pt>
                <c:pt idx="86">
                  <c:v>34.136052596437402</c:v>
                </c:pt>
                <c:pt idx="87">
                  <c:v>34.011766218461197</c:v>
                </c:pt>
                <c:pt idx="88">
                  <c:v>33.847652638763698</c:v>
                </c:pt>
                <c:pt idx="89">
                  <c:v>33.5549430237973</c:v>
                </c:pt>
                <c:pt idx="90">
                  <c:v>33.445452945927599</c:v>
                </c:pt>
                <c:pt idx="91">
                  <c:v>33.558006758585599</c:v>
                </c:pt>
                <c:pt idx="92">
                  <c:v>33.489824219735901</c:v>
                </c:pt>
                <c:pt idx="93">
                  <c:v>33.893922973466999</c:v>
                </c:pt>
                <c:pt idx="94">
                  <c:v>34.494978806655404</c:v>
                </c:pt>
                <c:pt idx="95">
                  <c:v>34.641342036050403</c:v>
                </c:pt>
                <c:pt idx="96">
                  <c:v>34.674706461181003</c:v>
                </c:pt>
                <c:pt idx="97">
                  <c:v>34.2529465324873</c:v>
                </c:pt>
                <c:pt idx="98">
                  <c:v>34.046479304029901</c:v>
                </c:pt>
                <c:pt idx="99">
                  <c:v>33.865990712292998</c:v>
                </c:pt>
                <c:pt idx="100">
                  <c:v>33.922965911430097</c:v>
                </c:pt>
                <c:pt idx="101">
                  <c:v>33.813961578510003</c:v>
                </c:pt>
                <c:pt idx="102">
                  <c:v>33.733100423047397</c:v>
                </c:pt>
                <c:pt idx="103">
                  <c:v>33.656293538021998</c:v>
                </c:pt>
                <c:pt idx="104">
                  <c:v>33.654947487508103</c:v>
                </c:pt>
                <c:pt idx="105">
                  <c:v>33.616267334128999</c:v>
                </c:pt>
                <c:pt idx="106">
                  <c:v>33.680251809150697</c:v>
                </c:pt>
                <c:pt idx="107">
                  <c:v>33.518276945538801</c:v>
                </c:pt>
                <c:pt idx="108">
                  <c:v>33.384740820904597</c:v>
                </c:pt>
                <c:pt idx="109">
                  <c:v>33.320338476894001</c:v>
                </c:pt>
                <c:pt idx="110">
                  <c:v>33.121553145547502</c:v>
                </c:pt>
                <c:pt idx="111">
                  <c:v>32.914525130729601</c:v>
                </c:pt>
                <c:pt idx="112">
                  <c:v>32.834955899021203</c:v>
                </c:pt>
                <c:pt idx="113">
                  <c:v>32.877349478281303</c:v>
                </c:pt>
                <c:pt idx="114">
                  <c:v>33.068410827015398</c:v>
                </c:pt>
                <c:pt idx="115">
                  <c:v>33.076526998952403</c:v>
                </c:pt>
                <c:pt idx="116">
                  <c:v>33.1249469903779</c:v>
                </c:pt>
                <c:pt idx="117">
                  <c:v>33.236988614541303</c:v>
                </c:pt>
                <c:pt idx="118">
                  <c:v>33.429210541255898</c:v>
                </c:pt>
                <c:pt idx="119">
                  <c:v>33.479006651971702</c:v>
                </c:pt>
                <c:pt idx="120">
                  <c:v>33.5566306336381</c:v>
                </c:pt>
                <c:pt idx="121">
                  <c:v>33.442751747550503</c:v>
                </c:pt>
                <c:pt idx="122">
                  <c:v>33.228820554415002</c:v>
                </c:pt>
                <c:pt idx="123">
                  <c:v>33.415238721331797</c:v>
                </c:pt>
                <c:pt idx="124">
                  <c:v>34.041078566184702</c:v>
                </c:pt>
                <c:pt idx="125">
                  <c:v>34.357406516104902</c:v>
                </c:pt>
                <c:pt idx="126">
                  <c:v>34.6478974941895</c:v>
                </c:pt>
                <c:pt idx="127">
                  <c:v>34.626736713885698</c:v>
                </c:pt>
                <c:pt idx="128">
                  <c:v>34.566720754788797</c:v>
                </c:pt>
                <c:pt idx="129">
                  <c:v>34.760538975541799</c:v>
                </c:pt>
                <c:pt idx="130">
                  <c:v>35.096621359252701</c:v>
                </c:pt>
                <c:pt idx="131">
                  <c:v>34.816199864300501</c:v>
                </c:pt>
                <c:pt idx="132">
                  <c:v>34.675439008071699</c:v>
                </c:pt>
                <c:pt idx="133">
                  <c:v>34.658856260085599</c:v>
                </c:pt>
                <c:pt idx="134">
                  <c:v>34.4686582543032</c:v>
                </c:pt>
                <c:pt idx="135">
                  <c:v>34.322739398973098</c:v>
                </c:pt>
                <c:pt idx="136">
                  <c:v>34.444270971612397</c:v>
                </c:pt>
                <c:pt idx="137">
                  <c:v>34.609191959171703</c:v>
                </c:pt>
                <c:pt idx="138">
                  <c:v>34.798083340824199</c:v>
                </c:pt>
                <c:pt idx="139">
                  <c:v>34.846015078951801</c:v>
                </c:pt>
                <c:pt idx="140">
                  <c:v>34.824509834090797</c:v>
                </c:pt>
                <c:pt idx="141">
                  <c:v>34.977091666452097</c:v>
                </c:pt>
                <c:pt idx="142">
                  <c:v>35.030167018357901</c:v>
                </c:pt>
                <c:pt idx="143">
                  <c:v>34.5918772932</c:v>
                </c:pt>
                <c:pt idx="144">
                  <c:v>34.608345578366901</c:v>
                </c:pt>
                <c:pt idx="145">
                  <c:v>34.4808601960058</c:v>
                </c:pt>
                <c:pt idx="146">
                  <c:v>34.176472196339503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492416"/>
        <c:axId val="186493952"/>
      </c:lineChart>
      <c:catAx>
        <c:axId val="1864924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86493952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186493952"/>
        <c:scaling>
          <c:orientation val="minMax"/>
          <c:min val="3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6492416"/>
        <c:crosses val="autoZero"/>
        <c:crossBetween val="between"/>
      </c:valAx>
      <c:valAx>
        <c:axId val="184029952"/>
        <c:scaling>
          <c:orientation val="minMax"/>
          <c:min val="0.2"/>
        </c:scaling>
        <c:delete val="0"/>
        <c:axPos val="r"/>
        <c:numFmt formatCode="0%" sourceLinked="1"/>
        <c:majorTickMark val="out"/>
        <c:minorTickMark val="none"/>
        <c:tickLblPos val="nextTo"/>
        <c:crossAx val="184031488"/>
        <c:crosses val="max"/>
        <c:crossBetween val="between"/>
      </c:valAx>
      <c:catAx>
        <c:axId val="1840314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4029952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'Time Series Query'!$Y$4</c:f>
              <c:strCache>
                <c:ptCount val="1"/>
                <c:pt idx="0">
                  <c:v>% FICO &lt; 700</c:v>
                </c:pt>
              </c:strCache>
            </c:strRef>
          </c:tx>
          <c:spPr>
            <a:solidFill>
              <a:srgbClr val="1B7A76">
                <a:alpha val="20000"/>
              </a:srgbClr>
            </a:solidFill>
          </c:spPr>
          <c:invertIfNegative val="0"/>
          <c:cat>
            <c:strRef>
              <c:f>'Time Series Query'!$W$5:$W$151</c:f>
              <c:strCache>
                <c:ptCount val="147"/>
                <c:pt idx="0">
                  <c:v>2003-05-01</c:v>
                </c:pt>
                <c:pt idx="1">
                  <c:v>2003-06-01</c:v>
                </c:pt>
                <c:pt idx="2">
                  <c:v>2003-07-01</c:v>
                </c:pt>
                <c:pt idx="3">
                  <c:v>2003-08-01</c:v>
                </c:pt>
                <c:pt idx="4">
                  <c:v>2003-09-01</c:v>
                </c:pt>
                <c:pt idx="5">
                  <c:v>2003-10-01</c:v>
                </c:pt>
                <c:pt idx="6">
                  <c:v>2003-11-01</c:v>
                </c:pt>
                <c:pt idx="7">
                  <c:v>2003-12-01</c:v>
                </c:pt>
                <c:pt idx="8">
                  <c:v>2004-01-01</c:v>
                </c:pt>
                <c:pt idx="9">
                  <c:v>2004-02-01</c:v>
                </c:pt>
                <c:pt idx="10">
                  <c:v>2004-03-01</c:v>
                </c:pt>
                <c:pt idx="11">
                  <c:v>2004-04-01</c:v>
                </c:pt>
                <c:pt idx="12">
                  <c:v>2004-05-01</c:v>
                </c:pt>
                <c:pt idx="13">
                  <c:v>2004-06-01</c:v>
                </c:pt>
                <c:pt idx="14">
                  <c:v>2004-07-01</c:v>
                </c:pt>
                <c:pt idx="15">
                  <c:v>2004-08-01</c:v>
                </c:pt>
                <c:pt idx="16">
                  <c:v>2004-09-01</c:v>
                </c:pt>
                <c:pt idx="17">
                  <c:v>2004-10-01</c:v>
                </c:pt>
                <c:pt idx="18">
                  <c:v>2004-11-01</c:v>
                </c:pt>
                <c:pt idx="19">
                  <c:v>2004-12-01</c:v>
                </c:pt>
                <c:pt idx="20">
                  <c:v>2005-01-01</c:v>
                </c:pt>
                <c:pt idx="21">
                  <c:v>2005-02-01</c:v>
                </c:pt>
                <c:pt idx="22">
                  <c:v>2005-03-01</c:v>
                </c:pt>
                <c:pt idx="23">
                  <c:v>2005-04-01</c:v>
                </c:pt>
                <c:pt idx="24">
                  <c:v>2005-05-01</c:v>
                </c:pt>
                <c:pt idx="25">
                  <c:v>2005-06-01</c:v>
                </c:pt>
                <c:pt idx="26">
                  <c:v>2005-07-01</c:v>
                </c:pt>
                <c:pt idx="27">
                  <c:v>2005-08-01</c:v>
                </c:pt>
                <c:pt idx="28">
                  <c:v>2005-09-01</c:v>
                </c:pt>
                <c:pt idx="29">
                  <c:v>2005-10-01</c:v>
                </c:pt>
                <c:pt idx="30">
                  <c:v>2005-11-01</c:v>
                </c:pt>
                <c:pt idx="31">
                  <c:v>2005-12-01</c:v>
                </c:pt>
                <c:pt idx="32">
                  <c:v>2006-01-01</c:v>
                </c:pt>
                <c:pt idx="33">
                  <c:v>2006-02-01</c:v>
                </c:pt>
                <c:pt idx="34">
                  <c:v>2006-03-01</c:v>
                </c:pt>
                <c:pt idx="35">
                  <c:v>2006-04-01</c:v>
                </c:pt>
                <c:pt idx="36">
                  <c:v>2006-05-01</c:v>
                </c:pt>
                <c:pt idx="37">
                  <c:v>2006-06-01</c:v>
                </c:pt>
                <c:pt idx="38">
                  <c:v>2006-07-01</c:v>
                </c:pt>
                <c:pt idx="39">
                  <c:v>2006-08-01</c:v>
                </c:pt>
                <c:pt idx="40">
                  <c:v>2006-09-01</c:v>
                </c:pt>
                <c:pt idx="41">
                  <c:v>2006-10-01</c:v>
                </c:pt>
                <c:pt idx="42">
                  <c:v>2006-11-01</c:v>
                </c:pt>
                <c:pt idx="43">
                  <c:v>2006-12-01</c:v>
                </c:pt>
                <c:pt idx="44">
                  <c:v>2007-01-01</c:v>
                </c:pt>
                <c:pt idx="45">
                  <c:v>2007-02-01</c:v>
                </c:pt>
                <c:pt idx="46">
                  <c:v>2007-03-01</c:v>
                </c:pt>
                <c:pt idx="47">
                  <c:v>2007-04-01</c:v>
                </c:pt>
                <c:pt idx="48">
                  <c:v>2007-05-01</c:v>
                </c:pt>
                <c:pt idx="49">
                  <c:v>2007-06-01</c:v>
                </c:pt>
                <c:pt idx="50">
                  <c:v>2007-07-01</c:v>
                </c:pt>
                <c:pt idx="51">
                  <c:v>2007-08-01</c:v>
                </c:pt>
                <c:pt idx="52">
                  <c:v>2007-09-01</c:v>
                </c:pt>
                <c:pt idx="53">
                  <c:v>2007-10-01</c:v>
                </c:pt>
                <c:pt idx="54">
                  <c:v>2007-11-01</c:v>
                </c:pt>
                <c:pt idx="55">
                  <c:v>2007-12-01</c:v>
                </c:pt>
                <c:pt idx="56">
                  <c:v>2008-01-01</c:v>
                </c:pt>
                <c:pt idx="57">
                  <c:v>2008-02-01</c:v>
                </c:pt>
                <c:pt idx="58">
                  <c:v>2008-03-01</c:v>
                </c:pt>
                <c:pt idx="59">
                  <c:v>2008-04-01</c:v>
                </c:pt>
                <c:pt idx="60">
                  <c:v>2008-05-01</c:v>
                </c:pt>
                <c:pt idx="61">
                  <c:v>2008-06-01</c:v>
                </c:pt>
                <c:pt idx="62">
                  <c:v>2008-07-01</c:v>
                </c:pt>
                <c:pt idx="63">
                  <c:v>2008-08-01</c:v>
                </c:pt>
                <c:pt idx="64">
                  <c:v>2008-09-01</c:v>
                </c:pt>
                <c:pt idx="65">
                  <c:v>2008-10-01</c:v>
                </c:pt>
                <c:pt idx="66">
                  <c:v>2008-11-01</c:v>
                </c:pt>
                <c:pt idx="67">
                  <c:v>2008-12-01</c:v>
                </c:pt>
                <c:pt idx="68">
                  <c:v>2009-01-01</c:v>
                </c:pt>
                <c:pt idx="69">
                  <c:v>2009-02-01</c:v>
                </c:pt>
                <c:pt idx="70">
                  <c:v>2009-03-01</c:v>
                </c:pt>
                <c:pt idx="71">
                  <c:v>2009-04-01</c:v>
                </c:pt>
                <c:pt idx="72">
                  <c:v>2009-05-01</c:v>
                </c:pt>
                <c:pt idx="73">
                  <c:v>2009-06-01</c:v>
                </c:pt>
                <c:pt idx="74">
                  <c:v>2009-07-01</c:v>
                </c:pt>
                <c:pt idx="75">
                  <c:v>2009-08-01</c:v>
                </c:pt>
                <c:pt idx="76">
                  <c:v>2009-09-01</c:v>
                </c:pt>
                <c:pt idx="77">
                  <c:v>2009-10-01</c:v>
                </c:pt>
                <c:pt idx="78">
                  <c:v>2009-11-01</c:v>
                </c:pt>
                <c:pt idx="79">
                  <c:v>2009-12-01</c:v>
                </c:pt>
                <c:pt idx="80">
                  <c:v>2010-01-01</c:v>
                </c:pt>
                <c:pt idx="81">
                  <c:v>2010-02-01</c:v>
                </c:pt>
                <c:pt idx="82">
                  <c:v>2010-03-01</c:v>
                </c:pt>
                <c:pt idx="83">
                  <c:v>2010-04-01</c:v>
                </c:pt>
                <c:pt idx="84">
                  <c:v>2010-05-01</c:v>
                </c:pt>
                <c:pt idx="85">
                  <c:v>2010-06-01</c:v>
                </c:pt>
                <c:pt idx="86">
                  <c:v>2010-07-01</c:v>
                </c:pt>
                <c:pt idx="87">
                  <c:v>2010-08-01</c:v>
                </c:pt>
                <c:pt idx="88">
                  <c:v>2010-09-01</c:v>
                </c:pt>
                <c:pt idx="89">
                  <c:v>2010-10-01</c:v>
                </c:pt>
                <c:pt idx="90">
                  <c:v>2010-11-01</c:v>
                </c:pt>
                <c:pt idx="91">
                  <c:v>2010-12-01</c:v>
                </c:pt>
                <c:pt idx="92">
                  <c:v>2011-01-01</c:v>
                </c:pt>
                <c:pt idx="93">
                  <c:v>2011-02-01</c:v>
                </c:pt>
                <c:pt idx="94">
                  <c:v>2011-03-01</c:v>
                </c:pt>
                <c:pt idx="95">
                  <c:v>2011-04-01</c:v>
                </c:pt>
                <c:pt idx="96">
                  <c:v>2011-05-01</c:v>
                </c:pt>
                <c:pt idx="97">
                  <c:v>2011-06-01</c:v>
                </c:pt>
                <c:pt idx="98">
                  <c:v>2011-07-01</c:v>
                </c:pt>
                <c:pt idx="99">
                  <c:v>2011-08-01</c:v>
                </c:pt>
                <c:pt idx="100">
                  <c:v>2011-09-01</c:v>
                </c:pt>
                <c:pt idx="101">
                  <c:v>2011-10-01</c:v>
                </c:pt>
                <c:pt idx="102">
                  <c:v>2011-11-01</c:v>
                </c:pt>
                <c:pt idx="103">
                  <c:v>2011-12-01</c:v>
                </c:pt>
                <c:pt idx="104">
                  <c:v>2012-01-01</c:v>
                </c:pt>
                <c:pt idx="105">
                  <c:v>2012-02-01</c:v>
                </c:pt>
                <c:pt idx="106">
                  <c:v>2012-03-01</c:v>
                </c:pt>
                <c:pt idx="107">
                  <c:v>2012-04-01</c:v>
                </c:pt>
                <c:pt idx="108">
                  <c:v>2012-05-01</c:v>
                </c:pt>
                <c:pt idx="109">
                  <c:v>2012-06-01</c:v>
                </c:pt>
                <c:pt idx="110">
                  <c:v>2012-07-01</c:v>
                </c:pt>
                <c:pt idx="111">
                  <c:v>2012-08-01</c:v>
                </c:pt>
                <c:pt idx="112">
                  <c:v>2012-09-01</c:v>
                </c:pt>
                <c:pt idx="113">
                  <c:v>2012-10-01</c:v>
                </c:pt>
                <c:pt idx="114">
                  <c:v>2012-11-01</c:v>
                </c:pt>
                <c:pt idx="115">
                  <c:v>2012-12-01</c:v>
                </c:pt>
                <c:pt idx="116">
                  <c:v>2013-01-01</c:v>
                </c:pt>
                <c:pt idx="117">
                  <c:v>2013-02-01</c:v>
                </c:pt>
                <c:pt idx="118">
                  <c:v>2013-03-01</c:v>
                </c:pt>
                <c:pt idx="119">
                  <c:v>2013-04-01</c:v>
                </c:pt>
                <c:pt idx="120">
                  <c:v>2013-05-01</c:v>
                </c:pt>
                <c:pt idx="121">
                  <c:v>2013-06-01</c:v>
                </c:pt>
                <c:pt idx="122">
                  <c:v>2013-07-01</c:v>
                </c:pt>
                <c:pt idx="123">
                  <c:v>2013-08-01</c:v>
                </c:pt>
                <c:pt idx="124">
                  <c:v>2013-09-01</c:v>
                </c:pt>
                <c:pt idx="125">
                  <c:v>2013-10-01</c:v>
                </c:pt>
                <c:pt idx="126">
                  <c:v>2013-11-01</c:v>
                </c:pt>
                <c:pt idx="127">
                  <c:v>2013-12-01</c:v>
                </c:pt>
                <c:pt idx="128">
                  <c:v>2014-01-01</c:v>
                </c:pt>
                <c:pt idx="129">
                  <c:v>2014-02-01</c:v>
                </c:pt>
                <c:pt idx="130">
                  <c:v>2014-03-01</c:v>
                </c:pt>
                <c:pt idx="131">
                  <c:v>2014-04-01</c:v>
                </c:pt>
                <c:pt idx="132">
                  <c:v>2014-05-01</c:v>
                </c:pt>
                <c:pt idx="133">
                  <c:v>2014-06-01</c:v>
                </c:pt>
                <c:pt idx="134">
                  <c:v>2014-07-01</c:v>
                </c:pt>
                <c:pt idx="135">
                  <c:v>2014-08-01</c:v>
                </c:pt>
                <c:pt idx="136">
                  <c:v>2014-09-01</c:v>
                </c:pt>
                <c:pt idx="137">
                  <c:v>2014-10-01</c:v>
                </c:pt>
                <c:pt idx="138">
                  <c:v>2014-11-01</c:v>
                </c:pt>
                <c:pt idx="139">
                  <c:v>2014-12-01</c:v>
                </c:pt>
                <c:pt idx="140">
                  <c:v>2015-01-01</c:v>
                </c:pt>
                <c:pt idx="141">
                  <c:v>2015-02-01</c:v>
                </c:pt>
                <c:pt idx="142">
                  <c:v>2015-03-01</c:v>
                </c:pt>
                <c:pt idx="143">
                  <c:v>2015-04-01</c:v>
                </c:pt>
                <c:pt idx="144">
                  <c:v>2015-05-01</c:v>
                </c:pt>
                <c:pt idx="145">
                  <c:v>2015-06-01</c:v>
                </c:pt>
                <c:pt idx="146">
                  <c:v>2015-07-01</c:v>
                </c:pt>
              </c:strCache>
            </c:strRef>
          </c:cat>
          <c:val>
            <c:numRef>
              <c:f>'Time Series Query'!$Y$5:$Y$151</c:f>
              <c:numCache>
                <c:formatCode>0%</c:formatCode>
                <c:ptCount val="147"/>
                <c:pt idx="0">
                  <c:v>0.32555257693198197</c:v>
                </c:pt>
                <c:pt idx="1">
                  <c:v>0.31742951631942301</c:v>
                </c:pt>
                <c:pt idx="2">
                  <c:v>0.32364561822268501</c:v>
                </c:pt>
                <c:pt idx="3">
                  <c:v>0.310151776706795</c:v>
                </c:pt>
                <c:pt idx="4">
                  <c:v>0.30671224499643901</c:v>
                </c:pt>
                <c:pt idx="5">
                  <c:v>0.32553899803949699</c:v>
                </c:pt>
                <c:pt idx="6">
                  <c:v>0.34444111149615098</c:v>
                </c:pt>
                <c:pt idx="7">
                  <c:v>0.33962917429332001</c:v>
                </c:pt>
                <c:pt idx="8">
                  <c:v>0.33824400161048002</c:v>
                </c:pt>
                <c:pt idx="9">
                  <c:v>0.33004652003424001</c:v>
                </c:pt>
                <c:pt idx="10">
                  <c:v>0.32020990049907999</c:v>
                </c:pt>
                <c:pt idx="11">
                  <c:v>0.32412171144143798</c:v>
                </c:pt>
                <c:pt idx="12">
                  <c:v>0.31650083814304297</c:v>
                </c:pt>
                <c:pt idx="13">
                  <c:v>0.31186678823312403</c:v>
                </c:pt>
                <c:pt idx="14">
                  <c:v>0.32135696326174201</c:v>
                </c:pt>
                <c:pt idx="15">
                  <c:v>0.34681408931864999</c:v>
                </c:pt>
                <c:pt idx="16">
                  <c:v>0.34861427310826099</c:v>
                </c:pt>
                <c:pt idx="17">
                  <c:v>0.33728725379950802</c:v>
                </c:pt>
                <c:pt idx="18">
                  <c:v>0.341747031945347</c:v>
                </c:pt>
                <c:pt idx="19">
                  <c:v>0.33226636417420502</c:v>
                </c:pt>
                <c:pt idx="20">
                  <c:v>0.32923258254458498</c:v>
                </c:pt>
                <c:pt idx="21">
                  <c:v>0.33234768002944598</c:v>
                </c:pt>
                <c:pt idx="22">
                  <c:v>0.325365720667595</c:v>
                </c:pt>
                <c:pt idx="23">
                  <c:v>0.31175809732214199</c:v>
                </c:pt>
                <c:pt idx="24">
                  <c:v>0.31191876727622397</c:v>
                </c:pt>
                <c:pt idx="25">
                  <c:v>0.31915669681855002</c:v>
                </c:pt>
                <c:pt idx="26">
                  <c:v>0.31626561898460898</c:v>
                </c:pt>
                <c:pt idx="27">
                  <c:v>0.30540869486486999</c:v>
                </c:pt>
                <c:pt idx="28">
                  <c:v>0.29226453331797803</c:v>
                </c:pt>
                <c:pt idx="29">
                  <c:v>0.307866686997112</c:v>
                </c:pt>
                <c:pt idx="30">
                  <c:v>0.29282399528074898</c:v>
                </c:pt>
                <c:pt idx="31">
                  <c:v>0.28542044215849499</c:v>
                </c:pt>
                <c:pt idx="32">
                  <c:v>0.27252886688316702</c:v>
                </c:pt>
                <c:pt idx="33">
                  <c:v>0.275428135379714</c:v>
                </c:pt>
                <c:pt idx="34">
                  <c:v>0.27099622377881499</c:v>
                </c:pt>
                <c:pt idx="35">
                  <c:v>0.27172244359806702</c:v>
                </c:pt>
                <c:pt idx="36">
                  <c:v>0.269545751649933</c:v>
                </c:pt>
                <c:pt idx="37">
                  <c:v>0.26924096627271599</c:v>
                </c:pt>
                <c:pt idx="38">
                  <c:v>0.26404056393812197</c:v>
                </c:pt>
                <c:pt idx="39">
                  <c:v>0.26015553383897599</c:v>
                </c:pt>
                <c:pt idx="40">
                  <c:v>0.26931657554004801</c:v>
                </c:pt>
                <c:pt idx="41">
                  <c:v>0.27921966823928501</c:v>
                </c:pt>
                <c:pt idx="42">
                  <c:v>0.28214362863015702</c:v>
                </c:pt>
                <c:pt idx="43">
                  <c:v>0.28243744033441398</c:v>
                </c:pt>
                <c:pt idx="44">
                  <c:v>0.28268598353770003</c:v>
                </c:pt>
                <c:pt idx="45">
                  <c:v>0.28970756977075302</c:v>
                </c:pt>
                <c:pt idx="46">
                  <c:v>0.29421874120147201</c:v>
                </c:pt>
                <c:pt idx="47">
                  <c:v>0.30117036754250298</c:v>
                </c:pt>
                <c:pt idx="48">
                  <c:v>0.31243119456729701</c:v>
                </c:pt>
                <c:pt idx="49">
                  <c:v>0.31736070193891203</c:v>
                </c:pt>
                <c:pt idx="50">
                  <c:v>0.32994785298319101</c:v>
                </c:pt>
                <c:pt idx="51">
                  <c:v>0.32695996607863698</c:v>
                </c:pt>
                <c:pt idx="52">
                  <c:v>0.32240974299630598</c:v>
                </c:pt>
                <c:pt idx="53">
                  <c:v>0.32561765464237102</c:v>
                </c:pt>
                <c:pt idx="54">
                  <c:v>0.33276857859813502</c:v>
                </c:pt>
                <c:pt idx="55">
                  <c:v>0.32191401029786698</c:v>
                </c:pt>
                <c:pt idx="56">
                  <c:v>0.31873013143375201</c:v>
                </c:pt>
                <c:pt idx="57">
                  <c:v>0.29981088723409199</c:v>
                </c:pt>
                <c:pt idx="58">
                  <c:v>0.280579895669821</c:v>
                </c:pt>
                <c:pt idx="59">
                  <c:v>0.25889667130801303</c:v>
                </c:pt>
                <c:pt idx="60">
                  <c:v>0.24142889769505399</c:v>
                </c:pt>
                <c:pt idx="61">
                  <c:v>0.20023623442105001</c:v>
                </c:pt>
                <c:pt idx="62">
                  <c:v>0.183242130540575</c:v>
                </c:pt>
                <c:pt idx="63">
                  <c:v>0.17315160637188701</c:v>
                </c:pt>
                <c:pt idx="64">
                  <c:v>0.16640580356024401</c:v>
                </c:pt>
                <c:pt idx="65">
                  <c:v>0.17744271331476499</c:v>
                </c:pt>
                <c:pt idx="66">
                  <c:v>0.16267950338576401</c:v>
                </c:pt>
                <c:pt idx="67">
                  <c:v>0.15477413293758099</c:v>
                </c:pt>
                <c:pt idx="68">
                  <c:v>0.16220081425273</c:v>
                </c:pt>
                <c:pt idx="69">
                  <c:v>0.14020618311049801</c:v>
                </c:pt>
                <c:pt idx="70">
                  <c:v>0.12367298279946699</c:v>
                </c:pt>
                <c:pt idx="71">
                  <c:v>0.108448775058114</c:v>
                </c:pt>
                <c:pt idx="72">
                  <c:v>9.2145907252402806E-2</c:v>
                </c:pt>
                <c:pt idx="73">
                  <c:v>8.7513345835249307E-2</c:v>
                </c:pt>
                <c:pt idx="74">
                  <c:v>7.8300566764158197E-2</c:v>
                </c:pt>
                <c:pt idx="75">
                  <c:v>7.5174619563951994E-2</c:v>
                </c:pt>
                <c:pt idx="76">
                  <c:v>7.6840796476315407E-2</c:v>
                </c:pt>
                <c:pt idx="77">
                  <c:v>8.2438455854949605E-2</c:v>
                </c:pt>
                <c:pt idx="78">
                  <c:v>8.7714189812880997E-2</c:v>
                </c:pt>
                <c:pt idx="79">
                  <c:v>8.4409413550102702E-2</c:v>
                </c:pt>
                <c:pt idx="80">
                  <c:v>8.6698257576226706E-2</c:v>
                </c:pt>
                <c:pt idx="81">
                  <c:v>8.9067046927094204E-2</c:v>
                </c:pt>
                <c:pt idx="82">
                  <c:v>8.6684210231504605E-2</c:v>
                </c:pt>
                <c:pt idx="83">
                  <c:v>8.7713830080208194E-2</c:v>
                </c:pt>
                <c:pt idx="84">
                  <c:v>8.5642704200612693E-2</c:v>
                </c:pt>
                <c:pt idx="85">
                  <c:v>8.6052426459444206E-2</c:v>
                </c:pt>
                <c:pt idx="86">
                  <c:v>8.4136927172989803E-2</c:v>
                </c:pt>
                <c:pt idx="87">
                  <c:v>8.5429424015766503E-2</c:v>
                </c:pt>
                <c:pt idx="88">
                  <c:v>8.3617280532806301E-2</c:v>
                </c:pt>
                <c:pt idx="89">
                  <c:v>8.2031114923412599E-2</c:v>
                </c:pt>
                <c:pt idx="90">
                  <c:v>7.9203464124255996E-2</c:v>
                </c:pt>
                <c:pt idx="91">
                  <c:v>7.6528950060665193E-2</c:v>
                </c:pt>
                <c:pt idx="92">
                  <c:v>7.5937613488361505E-2</c:v>
                </c:pt>
                <c:pt idx="93">
                  <c:v>8.1433463034412304E-2</c:v>
                </c:pt>
                <c:pt idx="94">
                  <c:v>8.6065611497949293E-2</c:v>
                </c:pt>
                <c:pt idx="95">
                  <c:v>9.30252114514524E-2</c:v>
                </c:pt>
                <c:pt idx="96">
                  <c:v>9.1087970583949199E-2</c:v>
                </c:pt>
                <c:pt idx="97">
                  <c:v>8.6597855232636606E-2</c:v>
                </c:pt>
                <c:pt idx="98">
                  <c:v>9.1379326760530996E-2</c:v>
                </c:pt>
                <c:pt idx="99">
                  <c:v>9.1570324856227001E-2</c:v>
                </c:pt>
                <c:pt idx="100">
                  <c:v>9.43825422999338E-2</c:v>
                </c:pt>
                <c:pt idx="101">
                  <c:v>9.5221320930123698E-2</c:v>
                </c:pt>
                <c:pt idx="102">
                  <c:v>9.1539702824597793E-2</c:v>
                </c:pt>
                <c:pt idx="103">
                  <c:v>9.1987894872550005E-2</c:v>
                </c:pt>
                <c:pt idx="104">
                  <c:v>8.7258854496687799E-2</c:v>
                </c:pt>
                <c:pt idx="105">
                  <c:v>8.6142454759982098E-2</c:v>
                </c:pt>
                <c:pt idx="106">
                  <c:v>8.5745788275712206E-2</c:v>
                </c:pt>
                <c:pt idx="107">
                  <c:v>8.3609698617037903E-2</c:v>
                </c:pt>
                <c:pt idx="108">
                  <c:v>8.2457761148304595E-2</c:v>
                </c:pt>
                <c:pt idx="109">
                  <c:v>8.1933479384901697E-2</c:v>
                </c:pt>
                <c:pt idx="110">
                  <c:v>8.4418496999786194E-2</c:v>
                </c:pt>
                <c:pt idx="111">
                  <c:v>8.33927063634268E-2</c:v>
                </c:pt>
                <c:pt idx="112">
                  <c:v>8.9152463717376507E-2</c:v>
                </c:pt>
                <c:pt idx="113">
                  <c:v>8.8547559149405805E-2</c:v>
                </c:pt>
                <c:pt idx="114">
                  <c:v>8.6906513841812402E-2</c:v>
                </c:pt>
                <c:pt idx="115">
                  <c:v>8.9195476981251895E-2</c:v>
                </c:pt>
                <c:pt idx="116">
                  <c:v>8.7851184039050303E-2</c:v>
                </c:pt>
                <c:pt idx="117">
                  <c:v>9.5024813225718804E-2</c:v>
                </c:pt>
                <c:pt idx="118">
                  <c:v>9.6988005222013604E-2</c:v>
                </c:pt>
                <c:pt idx="119">
                  <c:v>9.1597013504822702E-2</c:v>
                </c:pt>
                <c:pt idx="120">
                  <c:v>9.3295068554112501E-2</c:v>
                </c:pt>
                <c:pt idx="121">
                  <c:v>9.4257525505838602E-2</c:v>
                </c:pt>
                <c:pt idx="122">
                  <c:v>9.6568724354419794E-2</c:v>
                </c:pt>
                <c:pt idx="123">
                  <c:v>9.7421246941441803E-2</c:v>
                </c:pt>
                <c:pt idx="124">
                  <c:v>0.10239949086036899</c:v>
                </c:pt>
                <c:pt idx="125">
                  <c:v>0.111573251117844</c:v>
                </c:pt>
                <c:pt idx="126">
                  <c:v>0.118031852586022</c:v>
                </c:pt>
                <c:pt idx="127">
                  <c:v>0.122565766652004</c:v>
                </c:pt>
                <c:pt idx="128">
                  <c:v>0.12335834868330101</c:v>
                </c:pt>
                <c:pt idx="129">
                  <c:v>0.12799062962632901</c:v>
                </c:pt>
                <c:pt idx="130">
                  <c:v>0.13383175443081299</c:v>
                </c:pt>
                <c:pt idx="131">
                  <c:v>0.136759922124324</c:v>
                </c:pt>
                <c:pt idx="132">
                  <c:v>0.13767192714339599</c:v>
                </c:pt>
                <c:pt idx="133">
                  <c:v>0.140406014613213</c:v>
                </c:pt>
                <c:pt idx="134">
                  <c:v>0.14279391661367599</c:v>
                </c:pt>
                <c:pt idx="135">
                  <c:v>0.14209050325703601</c:v>
                </c:pt>
                <c:pt idx="136">
                  <c:v>0.14664067232707501</c:v>
                </c:pt>
                <c:pt idx="137">
                  <c:v>0.14738678015895099</c:v>
                </c:pt>
                <c:pt idx="138">
                  <c:v>0.15611748121786001</c:v>
                </c:pt>
                <c:pt idx="139">
                  <c:v>0.154702803202766</c:v>
                </c:pt>
                <c:pt idx="140">
                  <c:v>0.15558820493379799</c:v>
                </c:pt>
                <c:pt idx="141">
                  <c:v>0.15820396976652601</c:v>
                </c:pt>
                <c:pt idx="142">
                  <c:v>0.16075689815949701</c:v>
                </c:pt>
                <c:pt idx="143">
                  <c:v>0.14698447110622201</c:v>
                </c:pt>
                <c:pt idx="144">
                  <c:v>0.14202706216225799</c:v>
                </c:pt>
                <c:pt idx="145">
                  <c:v>0.14208337458509299</c:v>
                </c:pt>
                <c:pt idx="146">
                  <c:v>0.138264539709097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4070912"/>
        <c:axId val="184065024"/>
      </c:barChart>
      <c:lineChart>
        <c:grouping val="standard"/>
        <c:varyColors val="0"/>
        <c:ser>
          <c:idx val="0"/>
          <c:order val="0"/>
          <c:tx>
            <c:v>FICO Mean</c:v>
          </c:tx>
          <c:spPr>
            <a:ln>
              <a:solidFill>
                <a:srgbClr val="1B7A76"/>
              </a:solidFill>
            </a:ln>
          </c:spPr>
          <c:marker>
            <c:symbol val="none"/>
          </c:marker>
          <c:cat>
            <c:strRef>
              <c:f>'Time Series Query'!$W$5:$W$151</c:f>
              <c:strCache>
                <c:ptCount val="147"/>
                <c:pt idx="0">
                  <c:v>2003-05-01</c:v>
                </c:pt>
                <c:pt idx="1">
                  <c:v>2003-06-01</c:v>
                </c:pt>
                <c:pt idx="2">
                  <c:v>2003-07-01</c:v>
                </c:pt>
                <c:pt idx="3">
                  <c:v>2003-08-01</c:v>
                </c:pt>
                <c:pt idx="4">
                  <c:v>2003-09-01</c:v>
                </c:pt>
                <c:pt idx="5">
                  <c:v>2003-10-01</c:v>
                </c:pt>
                <c:pt idx="6">
                  <c:v>2003-11-01</c:v>
                </c:pt>
                <c:pt idx="7">
                  <c:v>2003-12-01</c:v>
                </c:pt>
                <c:pt idx="8">
                  <c:v>2004-01-01</c:v>
                </c:pt>
                <c:pt idx="9">
                  <c:v>2004-02-01</c:v>
                </c:pt>
                <c:pt idx="10">
                  <c:v>2004-03-01</c:v>
                </c:pt>
                <c:pt idx="11">
                  <c:v>2004-04-01</c:v>
                </c:pt>
                <c:pt idx="12">
                  <c:v>2004-05-01</c:v>
                </c:pt>
                <c:pt idx="13">
                  <c:v>2004-06-01</c:v>
                </c:pt>
                <c:pt idx="14">
                  <c:v>2004-07-01</c:v>
                </c:pt>
                <c:pt idx="15">
                  <c:v>2004-08-01</c:v>
                </c:pt>
                <c:pt idx="16">
                  <c:v>2004-09-01</c:v>
                </c:pt>
                <c:pt idx="17">
                  <c:v>2004-10-01</c:v>
                </c:pt>
                <c:pt idx="18">
                  <c:v>2004-11-01</c:v>
                </c:pt>
                <c:pt idx="19">
                  <c:v>2004-12-01</c:v>
                </c:pt>
                <c:pt idx="20">
                  <c:v>2005-01-01</c:v>
                </c:pt>
                <c:pt idx="21">
                  <c:v>2005-02-01</c:v>
                </c:pt>
                <c:pt idx="22">
                  <c:v>2005-03-01</c:v>
                </c:pt>
                <c:pt idx="23">
                  <c:v>2005-04-01</c:v>
                </c:pt>
                <c:pt idx="24">
                  <c:v>2005-05-01</c:v>
                </c:pt>
                <c:pt idx="25">
                  <c:v>2005-06-01</c:v>
                </c:pt>
                <c:pt idx="26">
                  <c:v>2005-07-01</c:v>
                </c:pt>
                <c:pt idx="27">
                  <c:v>2005-08-01</c:v>
                </c:pt>
                <c:pt idx="28">
                  <c:v>2005-09-01</c:v>
                </c:pt>
                <c:pt idx="29">
                  <c:v>2005-10-01</c:v>
                </c:pt>
                <c:pt idx="30">
                  <c:v>2005-11-01</c:v>
                </c:pt>
                <c:pt idx="31">
                  <c:v>2005-12-01</c:v>
                </c:pt>
                <c:pt idx="32">
                  <c:v>2006-01-01</c:v>
                </c:pt>
                <c:pt idx="33">
                  <c:v>2006-02-01</c:v>
                </c:pt>
                <c:pt idx="34">
                  <c:v>2006-03-01</c:v>
                </c:pt>
                <c:pt idx="35">
                  <c:v>2006-04-01</c:v>
                </c:pt>
                <c:pt idx="36">
                  <c:v>2006-05-01</c:v>
                </c:pt>
                <c:pt idx="37">
                  <c:v>2006-06-01</c:v>
                </c:pt>
                <c:pt idx="38">
                  <c:v>2006-07-01</c:v>
                </c:pt>
                <c:pt idx="39">
                  <c:v>2006-08-01</c:v>
                </c:pt>
                <c:pt idx="40">
                  <c:v>2006-09-01</c:v>
                </c:pt>
                <c:pt idx="41">
                  <c:v>2006-10-01</c:v>
                </c:pt>
                <c:pt idx="42">
                  <c:v>2006-11-01</c:v>
                </c:pt>
                <c:pt idx="43">
                  <c:v>2006-12-01</c:v>
                </c:pt>
                <c:pt idx="44">
                  <c:v>2007-01-01</c:v>
                </c:pt>
                <c:pt idx="45">
                  <c:v>2007-02-01</c:v>
                </c:pt>
                <c:pt idx="46">
                  <c:v>2007-03-01</c:v>
                </c:pt>
                <c:pt idx="47">
                  <c:v>2007-04-01</c:v>
                </c:pt>
                <c:pt idx="48">
                  <c:v>2007-05-01</c:v>
                </c:pt>
                <c:pt idx="49">
                  <c:v>2007-06-01</c:v>
                </c:pt>
                <c:pt idx="50">
                  <c:v>2007-07-01</c:v>
                </c:pt>
                <c:pt idx="51">
                  <c:v>2007-08-01</c:v>
                </c:pt>
                <c:pt idx="52">
                  <c:v>2007-09-01</c:v>
                </c:pt>
                <c:pt idx="53">
                  <c:v>2007-10-01</c:v>
                </c:pt>
                <c:pt idx="54">
                  <c:v>2007-11-01</c:v>
                </c:pt>
                <c:pt idx="55">
                  <c:v>2007-12-01</c:v>
                </c:pt>
                <c:pt idx="56">
                  <c:v>2008-01-01</c:v>
                </c:pt>
                <c:pt idx="57">
                  <c:v>2008-02-01</c:v>
                </c:pt>
                <c:pt idx="58">
                  <c:v>2008-03-01</c:v>
                </c:pt>
                <c:pt idx="59">
                  <c:v>2008-04-01</c:v>
                </c:pt>
                <c:pt idx="60">
                  <c:v>2008-05-01</c:v>
                </c:pt>
                <c:pt idx="61">
                  <c:v>2008-06-01</c:v>
                </c:pt>
                <c:pt idx="62">
                  <c:v>2008-07-01</c:v>
                </c:pt>
                <c:pt idx="63">
                  <c:v>2008-08-01</c:v>
                </c:pt>
                <c:pt idx="64">
                  <c:v>2008-09-01</c:v>
                </c:pt>
                <c:pt idx="65">
                  <c:v>2008-10-01</c:v>
                </c:pt>
                <c:pt idx="66">
                  <c:v>2008-11-01</c:v>
                </c:pt>
                <c:pt idx="67">
                  <c:v>2008-12-01</c:v>
                </c:pt>
                <c:pt idx="68">
                  <c:v>2009-01-01</c:v>
                </c:pt>
                <c:pt idx="69">
                  <c:v>2009-02-01</c:v>
                </c:pt>
                <c:pt idx="70">
                  <c:v>2009-03-01</c:v>
                </c:pt>
                <c:pt idx="71">
                  <c:v>2009-04-01</c:v>
                </c:pt>
                <c:pt idx="72">
                  <c:v>2009-05-01</c:v>
                </c:pt>
                <c:pt idx="73">
                  <c:v>2009-06-01</c:v>
                </c:pt>
                <c:pt idx="74">
                  <c:v>2009-07-01</c:v>
                </c:pt>
                <c:pt idx="75">
                  <c:v>2009-08-01</c:v>
                </c:pt>
                <c:pt idx="76">
                  <c:v>2009-09-01</c:v>
                </c:pt>
                <c:pt idx="77">
                  <c:v>2009-10-01</c:v>
                </c:pt>
                <c:pt idx="78">
                  <c:v>2009-11-01</c:v>
                </c:pt>
                <c:pt idx="79">
                  <c:v>2009-12-01</c:v>
                </c:pt>
                <c:pt idx="80">
                  <c:v>2010-01-01</c:v>
                </c:pt>
                <c:pt idx="81">
                  <c:v>2010-02-01</c:v>
                </c:pt>
                <c:pt idx="82">
                  <c:v>2010-03-01</c:v>
                </c:pt>
                <c:pt idx="83">
                  <c:v>2010-04-01</c:v>
                </c:pt>
                <c:pt idx="84">
                  <c:v>2010-05-01</c:v>
                </c:pt>
                <c:pt idx="85">
                  <c:v>2010-06-01</c:v>
                </c:pt>
                <c:pt idx="86">
                  <c:v>2010-07-01</c:v>
                </c:pt>
                <c:pt idx="87">
                  <c:v>2010-08-01</c:v>
                </c:pt>
                <c:pt idx="88">
                  <c:v>2010-09-01</c:v>
                </c:pt>
                <c:pt idx="89">
                  <c:v>2010-10-01</c:v>
                </c:pt>
                <c:pt idx="90">
                  <c:v>2010-11-01</c:v>
                </c:pt>
                <c:pt idx="91">
                  <c:v>2010-12-01</c:v>
                </c:pt>
                <c:pt idx="92">
                  <c:v>2011-01-01</c:v>
                </c:pt>
                <c:pt idx="93">
                  <c:v>2011-02-01</c:v>
                </c:pt>
                <c:pt idx="94">
                  <c:v>2011-03-01</c:v>
                </c:pt>
                <c:pt idx="95">
                  <c:v>2011-04-01</c:v>
                </c:pt>
                <c:pt idx="96">
                  <c:v>2011-05-01</c:v>
                </c:pt>
                <c:pt idx="97">
                  <c:v>2011-06-01</c:v>
                </c:pt>
                <c:pt idx="98">
                  <c:v>2011-07-01</c:v>
                </c:pt>
                <c:pt idx="99">
                  <c:v>2011-08-01</c:v>
                </c:pt>
                <c:pt idx="100">
                  <c:v>2011-09-01</c:v>
                </c:pt>
                <c:pt idx="101">
                  <c:v>2011-10-01</c:v>
                </c:pt>
                <c:pt idx="102">
                  <c:v>2011-11-01</c:v>
                </c:pt>
                <c:pt idx="103">
                  <c:v>2011-12-01</c:v>
                </c:pt>
                <c:pt idx="104">
                  <c:v>2012-01-01</c:v>
                </c:pt>
                <c:pt idx="105">
                  <c:v>2012-02-01</c:v>
                </c:pt>
                <c:pt idx="106">
                  <c:v>2012-03-01</c:v>
                </c:pt>
                <c:pt idx="107">
                  <c:v>2012-04-01</c:v>
                </c:pt>
                <c:pt idx="108">
                  <c:v>2012-05-01</c:v>
                </c:pt>
                <c:pt idx="109">
                  <c:v>2012-06-01</c:v>
                </c:pt>
                <c:pt idx="110">
                  <c:v>2012-07-01</c:v>
                </c:pt>
                <c:pt idx="111">
                  <c:v>2012-08-01</c:v>
                </c:pt>
                <c:pt idx="112">
                  <c:v>2012-09-01</c:v>
                </c:pt>
                <c:pt idx="113">
                  <c:v>2012-10-01</c:v>
                </c:pt>
                <c:pt idx="114">
                  <c:v>2012-11-01</c:v>
                </c:pt>
                <c:pt idx="115">
                  <c:v>2012-12-01</c:v>
                </c:pt>
                <c:pt idx="116">
                  <c:v>2013-01-01</c:v>
                </c:pt>
                <c:pt idx="117">
                  <c:v>2013-02-01</c:v>
                </c:pt>
                <c:pt idx="118">
                  <c:v>2013-03-01</c:v>
                </c:pt>
                <c:pt idx="119">
                  <c:v>2013-04-01</c:v>
                </c:pt>
                <c:pt idx="120">
                  <c:v>2013-05-01</c:v>
                </c:pt>
                <c:pt idx="121">
                  <c:v>2013-06-01</c:v>
                </c:pt>
                <c:pt idx="122">
                  <c:v>2013-07-01</c:v>
                </c:pt>
                <c:pt idx="123">
                  <c:v>2013-08-01</c:v>
                </c:pt>
                <c:pt idx="124">
                  <c:v>2013-09-01</c:v>
                </c:pt>
                <c:pt idx="125">
                  <c:v>2013-10-01</c:v>
                </c:pt>
                <c:pt idx="126">
                  <c:v>2013-11-01</c:v>
                </c:pt>
                <c:pt idx="127">
                  <c:v>2013-12-01</c:v>
                </c:pt>
                <c:pt idx="128">
                  <c:v>2014-01-01</c:v>
                </c:pt>
                <c:pt idx="129">
                  <c:v>2014-02-01</c:v>
                </c:pt>
                <c:pt idx="130">
                  <c:v>2014-03-01</c:v>
                </c:pt>
                <c:pt idx="131">
                  <c:v>2014-04-01</c:v>
                </c:pt>
                <c:pt idx="132">
                  <c:v>2014-05-01</c:v>
                </c:pt>
                <c:pt idx="133">
                  <c:v>2014-06-01</c:v>
                </c:pt>
                <c:pt idx="134">
                  <c:v>2014-07-01</c:v>
                </c:pt>
                <c:pt idx="135">
                  <c:v>2014-08-01</c:v>
                </c:pt>
                <c:pt idx="136">
                  <c:v>2014-09-01</c:v>
                </c:pt>
                <c:pt idx="137">
                  <c:v>2014-10-01</c:v>
                </c:pt>
                <c:pt idx="138">
                  <c:v>2014-11-01</c:v>
                </c:pt>
                <c:pt idx="139">
                  <c:v>2014-12-01</c:v>
                </c:pt>
                <c:pt idx="140">
                  <c:v>2015-01-01</c:v>
                </c:pt>
                <c:pt idx="141">
                  <c:v>2015-02-01</c:v>
                </c:pt>
                <c:pt idx="142">
                  <c:v>2015-03-01</c:v>
                </c:pt>
                <c:pt idx="143">
                  <c:v>2015-04-01</c:v>
                </c:pt>
                <c:pt idx="144">
                  <c:v>2015-05-01</c:v>
                </c:pt>
                <c:pt idx="145">
                  <c:v>2015-06-01</c:v>
                </c:pt>
                <c:pt idx="146">
                  <c:v>2015-07-01</c:v>
                </c:pt>
              </c:strCache>
            </c:strRef>
          </c:cat>
          <c:val>
            <c:numRef>
              <c:f>'Time Series Query'!$X$5:$X$151</c:f>
              <c:numCache>
                <c:formatCode>General</c:formatCode>
                <c:ptCount val="147"/>
                <c:pt idx="0">
                  <c:v>721.81850787939095</c:v>
                </c:pt>
                <c:pt idx="1">
                  <c:v>722.76732830110905</c:v>
                </c:pt>
                <c:pt idx="2">
                  <c:v>722.25913495194504</c:v>
                </c:pt>
                <c:pt idx="3">
                  <c:v>724.12904796089799</c:v>
                </c:pt>
                <c:pt idx="4">
                  <c:v>724.69367741606698</c:v>
                </c:pt>
                <c:pt idx="5">
                  <c:v>722.36621872594401</c:v>
                </c:pt>
                <c:pt idx="6">
                  <c:v>719.09071003198596</c:v>
                </c:pt>
                <c:pt idx="7">
                  <c:v>720.40995221006699</c:v>
                </c:pt>
                <c:pt idx="8">
                  <c:v>720.53281333500604</c:v>
                </c:pt>
                <c:pt idx="9">
                  <c:v>721.12735756326401</c:v>
                </c:pt>
                <c:pt idx="10">
                  <c:v>722.9204500907</c:v>
                </c:pt>
                <c:pt idx="11">
                  <c:v>721.56682125767895</c:v>
                </c:pt>
                <c:pt idx="12">
                  <c:v>723.07301547125496</c:v>
                </c:pt>
                <c:pt idx="13">
                  <c:v>724.09334327372198</c:v>
                </c:pt>
                <c:pt idx="14">
                  <c:v>722.99550607406604</c:v>
                </c:pt>
                <c:pt idx="15">
                  <c:v>720.06039635737204</c:v>
                </c:pt>
                <c:pt idx="16">
                  <c:v>719.79489214723901</c:v>
                </c:pt>
                <c:pt idx="17">
                  <c:v>720.93113561545397</c:v>
                </c:pt>
                <c:pt idx="18">
                  <c:v>720.95368415043401</c:v>
                </c:pt>
                <c:pt idx="19">
                  <c:v>721.50859125420595</c:v>
                </c:pt>
                <c:pt idx="20">
                  <c:v>721.96599739441297</c:v>
                </c:pt>
                <c:pt idx="21">
                  <c:v>721.85201991281099</c:v>
                </c:pt>
                <c:pt idx="22">
                  <c:v>723.64106546829998</c:v>
                </c:pt>
                <c:pt idx="23">
                  <c:v>725.25839259543602</c:v>
                </c:pt>
                <c:pt idx="24">
                  <c:v>725.45547752792004</c:v>
                </c:pt>
                <c:pt idx="25">
                  <c:v>724.54450005986598</c:v>
                </c:pt>
                <c:pt idx="26">
                  <c:v>725.24515758187999</c:v>
                </c:pt>
                <c:pt idx="27">
                  <c:v>727.32930770411701</c:v>
                </c:pt>
                <c:pt idx="28">
                  <c:v>728.11888488396903</c:v>
                </c:pt>
                <c:pt idx="29">
                  <c:v>726.92812366023202</c:v>
                </c:pt>
                <c:pt idx="30">
                  <c:v>728.31425128392505</c:v>
                </c:pt>
                <c:pt idx="31">
                  <c:v>730.26522367447501</c:v>
                </c:pt>
                <c:pt idx="32">
                  <c:v>731.84119056548502</c:v>
                </c:pt>
                <c:pt idx="33">
                  <c:v>730.87413747932897</c:v>
                </c:pt>
                <c:pt idx="34">
                  <c:v>731.463093282675</c:v>
                </c:pt>
                <c:pt idx="35">
                  <c:v>731.37187888597202</c:v>
                </c:pt>
                <c:pt idx="36">
                  <c:v>732.220369288553</c:v>
                </c:pt>
                <c:pt idx="37">
                  <c:v>732.29576439030302</c:v>
                </c:pt>
                <c:pt idx="38">
                  <c:v>732.98461213720498</c:v>
                </c:pt>
                <c:pt idx="39">
                  <c:v>733.55251588227702</c:v>
                </c:pt>
                <c:pt idx="40">
                  <c:v>732.49642925119599</c:v>
                </c:pt>
                <c:pt idx="41">
                  <c:v>731.03366702624498</c:v>
                </c:pt>
                <c:pt idx="42">
                  <c:v>730.386657340532</c:v>
                </c:pt>
                <c:pt idx="43">
                  <c:v>730.60339826042502</c:v>
                </c:pt>
                <c:pt idx="44">
                  <c:v>730.47654115547095</c:v>
                </c:pt>
                <c:pt idx="45">
                  <c:v>729.67566684049098</c:v>
                </c:pt>
                <c:pt idx="46">
                  <c:v>728.76678623201099</c:v>
                </c:pt>
                <c:pt idx="47">
                  <c:v>728.07226394657005</c:v>
                </c:pt>
                <c:pt idx="48">
                  <c:v>726.66837558813302</c:v>
                </c:pt>
                <c:pt idx="49">
                  <c:v>726.03849192935195</c:v>
                </c:pt>
                <c:pt idx="50">
                  <c:v>724.46402286812599</c:v>
                </c:pt>
                <c:pt idx="51">
                  <c:v>724.80771850866597</c:v>
                </c:pt>
                <c:pt idx="52">
                  <c:v>725.50573707449803</c:v>
                </c:pt>
                <c:pt idx="53">
                  <c:v>725.21898138090398</c:v>
                </c:pt>
                <c:pt idx="54">
                  <c:v>724.06936828744904</c:v>
                </c:pt>
                <c:pt idx="55">
                  <c:v>724.93962095695599</c:v>
                </c:pt>
                <c:pt idx="56">
                  <c:v>725.61492638754305</c:v>
                </c:pt>
                <c:pt idx="57">
                  <c:v>728.34084731165694</c:v>
                </c:pt>
                <c:pt idx="58">
                  <c:v>730.48483560039494</c:v>
                </c:pt>
                <c:pt idx="59">
                  <c:v>734.110298704157</c:v>
                </c:pt>
                <c:pt idx="60">
                  <c:v>736.65104024275695</c:v>
                </c:pt>
                <c:pt idx="61">
                  <c:v>742.222862301183</c:v>
                </c:pt>
                <c:pt idx="62">
                  <c:v>744.50208803818305</c:v>
                </c:pt>
                <c:pt idx="63">
                  <c:v>746.24339258136104</c:v>
                </c:pt>
                <c:pt idx="64">
                  <c:v>747.62063220995401</c:v>
                </c:pt>
                <c:pt idx="65">
                  <c:v>746.04867552023995</c:v>
                </c:pt>
                <c:pt idx="66">
                  <c:v>748.10181343452996</c:v>
                </c:pt>
                <c:pt idx="67">
                  <c:v>748.91395590109096</c:v>
                </c:pt>
                <c:pt idx="68">
                  <c:v>747.67307981041199</c:v>
                </c:pt>
                <c:pt idx="69">
                  <c:v>751.15781540485602</c:v>
                </c:pt>
                <c:pt idx="70">
                  <c:v>753.83736768122901</c:v>
                </c:pt>
                <c:pt idx="71">
                  <c:v>755.70927973049299</c:v>
                </c:pt>
                <c:pt idx="72">
                  <c:v>757.59605432672004</c:v>
                </c:pt>
                <c:pt idx="73">
                  <c:v>759.07345235752996</c:v>
                </c:pt>
                <c:pt idx="74">
                  <c:v>760.65613459844997</c:v>
                </c:pt>
                <c:pt idx="75">
                  <c:v>761.27311365542903</c:v>
                </c:pt>
                <c:pt idx="76">
                  <c:v>760.53091745985296</c:v>
                </c:pt>
                <c:pt idx="77">
                  <c:v>759.72561555373602</c:v>
                </c:pt>
                <c:pt idx="78">
                  <c:v>759.44591566559802</c:v>
                </c:pt>
                <c:pt idx="79">
                  <c:v>759.77811495225899</c:v>
                </c:pt>
                <c:pt idx="80">
                  <c:v>759.47430651200102</c:v>
                </c:pt>
                <c:pt idx="81">
                  <c:v>759.55067968356195</c:v>
                </c:pt>
                <c:pt idx="82">
                  <c:v>759.42833208172897</c:v>
                </c:pt>
                <c:pt idx="83">
                  <c:v>759.84269690104395</c:v>
                </c:pt>
                <c:pt idx="84">
                  <c:v>759.579566617463</c:v>
                </c:pt>
                <c:pt idx="85">
                  <c:v>760.51765866488995</c:v>
                </c:pt>
                <c:pt idx="86">
                  <c:v>761.23491599033696</c:v>
                </c:pt>
                <c:pt idx="87">
                  <c:v>760.87938286905</c:v>
                </c:pt>
                <c:pt idx="88">
                  <c:v>761.77637727655701</c:v>
                </c:pt>
                <c:pt idx="89">
                  <c:v>762.22096712183304</c:v>
                </c:pt>
                <c:pt idx="90">
                  <c:v>762.33703010731597</c:v>
                </c:pt>
                <c:pt idx="91">
                  <c:v>762.66625999200903</c:v>
                </c:pt>
                <c:pt idx="92">
                  <c:v>762.74630346408003</c:v>
                </c:pt>
                <c:pt idx="93">
                  <c:v>761.89442409042999</c:v>
                </c:pt>
                <c:pt idx="94">
                  <c:v>760.60763213048995</c:v>
                </c:pt>
                <c:pt idx="95">
                  <c:v>759.50780417156102</c:v>
                </c:pt>
                <c:pt idx="96">
                  <c:v>759.97563365075803</c:v>
                </c:pt>
                <c:pt idx="97">
                  <c:v>760.82408923551498</c:v>
                </c:pt>
                <c:pt idx="98">
                  <c:v>760.10467062830696</c:v>
                </c:pt>
                <c:pt idx="99">
                  <c:v>760.114475926419</c:v>
                </c:pt>
                <c:pt idx="100">
                  <c:v>759.69175189800796</c:v>
                </c:pt>
                <c:pt idx="101">
                  <c:v>759.31450166280899</c:v>
                </c:pt>
                <c:pt idx="102">
                  <c:v>760.12898812549099</c:v>
                </c:pt>
                <c:pt idx="103">
                  <c:v>760.09678534465195</c:v>
                </c:pt>
                <c:pt idx="104">
                  <c:v>760.81703076159499</c:v>
                </c:pt>
                <c:pt idx="105">
                  <c:v>761.114001068123</c:v>
                </c:pt>
                <c:pt idx="106">
                  <c:v>760.52419652388801</c:v>
                </c:pt>
                <c:pt idx="107">
                  <c:v>760.69983465532198</c:v>
                </c:pt>
                <c:pt idx="108">
                  <c:v>761.22417340280003</c:v>
                </c:pt>
                <c:pt idx="109">
                  <c:v>761.68341085260897</c:v>
                </c:pt>
                <c:pt idx="110">
                  <c:v>761.324488050215</c:v>
                </c:pt>
                <c:pt idx="111">
                  <c:v>761.20950224818</c:v>
                </c:pt>
                <c:pt idx="112">
                  <c:v>760.56723023696497</c:v>
                </c:pt>
                <c:pt idx="113">
                  <c:v>760.08866980815606</c:v>
                </c:pt>
                <c:pt idx="114">
                  <c:v>760.12787217411596</c:v>
                </c:pt>
                <c:pt idx="115">
                  <c:v>759.90495172723502</c:v>
                </c:pt>
                <c:pt idx="116">
                  <c:v>759.65139395201004</c:v>
                </c:pt>
                <c:pt idx="117">
                  <c:v>758.83203277396206</c:v>
                </c:pt>
                <c:pt idx="118">
                  <c:v>758.30996785926004</c:v>
                </c:pt>
                <c:pt idx="119">
                  <c:v>758.50153581532902</c:v>
                </c:pt>
                <c:pt idx="120">
                  <c:v>758.42291222221195</c:v>
                </c:pt>
                <c:pt idx="121">
                  <c:v>758.39409782383098</c:v>
                </c:pt>
                <c:pt idx="122">
                  <c:v>758.28630946198598</c:v>
                </c:pt>
                <c:pt idx="123">
                  <c:v>757.91787250439097</c:v>
                </c:pt>
                <c:pt idx="124">
                  <c:v>756.653444016501</c:v>
                </c:pt>
                <c:pt idx="125">
                  <c:v>755.18299575253604</c:v>
                </c:pt>
                <c:pt idx="126">
                  <c:v>754.18465937431802</c:v>
                </c:pt>
                <c:pt idx="127">
                  <c:v>753.468255047605</c:v>
                </c:pt>
                <c:pt idx="128">
                  <c:v>753.53265606586206</c:v>
                </c:pt>
                <c:pt idx="129">
                  <c:v>752.81192436969502</c:v>
                </c:pt>
                <c:pt idx="130">
                  <c:v>752.01745988927803</c:v>
                </c:pt>
                <c:pt idx="131">
                  <c:v>751.46240213519695</c:v>
                </c:pt>
                <c:pt idx="132">
                  <c:v>751.61350922535496</c:v>
                </c:pt>
                <c:pt idx="133">
                  <c:v>751.34175746954998</c:v>
                </c:pt>
                <c:pt idx="134">
                  <c:v>751.34370293627205</c:v>
                </c:pt>
                <c:pt idx="135">
                  <c:v>751.498973209101</c:v>
                </c:pt>
                <c:pt idx="136">
                  <c:v>750.91192928423595</c:v>
                </c:pt>
                <c:pt idx="137">
                  <c:v>750.89361801650398</c:v>
                </c:pt>
                <c:pt idx="138">
                  <c:v>749.74150806912701</c:v>
                </c:pt>
                <c:pt idx="139">
                  <c:v>749.85349083339599</c:v>
                </c:pt>
                <c:pt idx="140">
                  <c:v>749.71315485187995</c:v>
                </c:pt>
                <c:pt idx="141">
                  <c:v>749.19541878162897</c:v>
                </c:pt>
                <c:pt idx="142">
                  <c:v>749.12841065391603</c:v>
                </c:pt>
                <c:pt idx="143">
                  <c:v>750.551434296298</c:v>
                </c:pt>
                <c:pt idx="144">
                  <c:v>751.42302592643603</c:v>
                </c:pt>
                <c:pt idx="145">
                  <c:v>751.75513731710396</c:v>
                </c:pt>
                <c:pt idx="146">
                  <c:v>752.47879843973897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061952"/>
        <c:axId val="184063488"/>
      </c:lineChart>
      <c:catAx>
        <c:axId val="1840619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84063488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184063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4061952"/>
        <c:crosses val="autoZero"/>
        <c:crossBetween val="between"/>
      </c:valAx>
      <c:valAx>
        <c:axId val="18406502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crossAx val="184070912"/>
        <c:crosses val="max"/>
        <c:crossBetween val="between"/>
      </c:valAx>
      <c:catAx>
        <c:axId val="1840709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4065024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1053354</xdr:colOff>
      <xdr:row>5</xdr:row>
      <xdr:rowOff>10265</xdr:rowOff>
    </xdr:from>
    <xdr:to>
      <xdr:col>23</xdr:col>
      <xdr:colOff>1580030</xdr:colOff>
      <xdr:row>6</xdr:row>
      <xdr:rowOff>144736</xdr:rowOff>
    </xdr:to>
    <xdr:sp macro="[0]!RunCreditAvailabilityReport" textlink="">
      <xdr:nvSpPr>
        <xdr:cNvPr id="6" name="Rounded Rectangle 5"/>
        <xdr:cNvSpPr/>
      </xdr:nvSpPr>
      <xdr:spPr>
        <a:xfrm>
          <a:off x="18113687" y="962765"/>
          <a:ext cx="1595593" cy="3249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13</xdr:col>
      <xdr:colOff>465917</xdr:colOff>
      <xdr:row>28</xdr:row>
      <xdr:rowOff>140073</xdr:rowOff>
    </xdr:from>
    <xdr:to>
      <xdr:col>18</xdr:col>
      <xdr:colOff>600138</xdr:colOff>
      <xdr:row>52</xdr:row>
      <xdr:rowOff>182407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221627</xdr:colOff>
      <xdr:row>28</xdr:row>
      <xdr:rowOff>139451</xdr:rowOff>
    </xdr:from>
    <xdr:to>
      <xdr:col>13</xdr:col>
      <xdr:colOff>145676</xdr:colOff>
      <xdr:row>52</xdr:row>
      <xdr:rowOff>150034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209176</xdr:colOff>
      <xdr:row>14</xdr:row>
      <xdr:rowOff>0</xdr:rowOff>
    </xdr:from>
    <xdr:to>
      <xdr:col>13</xdr:col>
      <xdr:colOff>377264</xdr:colOff>
      <xdr:row>28</xdr:row>
      <xdr:rowOff>24840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84666</xdr:colOff>
      <xdr:row>12</xdr:row>
      <xdr:rowOff>132293</xdr:rowOff>
    </xdr:from>
    <xdr:to>
      <xdr:col>16</xdr:col>
      <xdr:colOff>476250</xdr:colOff>
      <xdr:row>29</xdr:row>
      <xdr:rowOff>63500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105834</xdr:colOff>
      <xdr:row>29</xdr:row>
      <xdr:rowOff>177271</xdr:rowOff>
    </xdr:from>
    <xdr:to>
      <xdr:col>16</xdr:col>
      <xdr:colOff>391584</xdr:colOff>
      <xdr:row>46</xdr:row>
      <xdr:rowOff>108478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127000</xdr:colOff>
      <xdr:row>47</xdr:row>
      <xdr:rowOff>31750</xdr:rowOff>
    </xdr:from>
    <xdr:to>
      <xdr:col>16</xdr:col>
      <xdr:colOff>550333</xdr:colOff>
      <xdr:row>63</xdr:row>
      <xdr:rowOff>153457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533398</xdr:colOff>
      <xdr:row>12</xdr:row>
      <xdr:rowOff>169333</xdr:rowOff>
    </xdr:from>
    <xdr:to>
      <xdr:col>4</xdr:col>
      <xdr:colOff>67735</xdr:colOff>
      <xdr:row>26</xdr:row>
      <xdr:rowOff>158750</xdr:rowOff>
    </xdr:to>
    <xdr:grpSp>
      <xdr:nvGrpSpPr>
        <xdr:cNvPr id="17" name="Group 16"/>
        <xdr:cNvGrpSpPr/>
      </xdr:nvGrpSpPr>
      <xdr:grpSpPr>
        <a:xfrm>
          <a:off x="3443815" y="2455333"/>
          <a:ext cx="349253" cy="2656417"/>
          <a:chOff x="3323164" y="2455333"/>
          <a:chExt cx="349253" cy="2656417"/>
        </a:xfrm>
      </xdr:grpSpPr>
      <xdr:cxnSp macro="">
        <xdr:nvCxnSpPr>
          <xdr:cNvPr id="11" name="Straight Connector 10"/>
          <xdr:cNvCxnSpPr/>
        </xdr:nvCxnSpPr>
        <xdr:spPr>
          <a:xfrm>
            <a:off x="3672417" y="2529417"/>
            <a:ext cx="0" cy="2571750"/>
          </a:xfrm>
          <a:prstGeom prst="line">
            <a:avLst/>
          </a:prstGeom>
          <a:ln w="19050">
            <a:solidFill>
              <a:srgbClr val="2E398A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" name="TextBox 11"/>
          <xdr:cNvSpPr txBox="1"/>
        </xdr:nvSpPr>
        <xdr:spPr>
          <a:xfrm rot="10800000">
            <a:off x="3323164" y="2455333"/>
            <a:ext cx="328083" cy="265641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eaVert" wrap="square" rtlCol="0" anchor="ctr"/>
          <a:lstStyle/>
          <a:p>
            <a:pPr algn="ctr"/>
            <a:r>
              <a:rPr lang="en-US" sz="2000"/>
              <a:t>OLTV</a:t>
            </a:r>
          </a:p>
        </xdr:txBody>
      </xdr:sp>
    </xdr:grpSp>
    <xdr:clientData/>
  </xdr:twoCellAnchor>
  <xdr:twoCellAnchor>
    <xdr:from>
      <xdr:col>3</xdr:col>
      <xdr:colOff>533398</xdr:colOff>
      <xdr:row>30</xdr:row>
      <xdr:rowOff>99483</xdr:rowOff>
    </xdr:from>
    <xdr:to>
      <xdr:col>4</xdr:col>
      <xdr:colOff>67735</xdr:colOff>
      <xdr:row>44</xdr:row>
      <xdr:rowOff>88900</xdr:rowOff>
    </xdr:to>
    <xdr:grpSp>
      <xdr:nvGrpSpPr>
        <xdr:cNvPr id="18" name="Group 17"/>
        <xdr:cNvGrpSpPr/>
      </xdr:nvGrpSpPr>
      <xdr:grpSpPr>
        <a:xfrm>
          <a:off x="3443815" y="5814483"/>
          <a:ext cx="349253" cy="2656417"/>
          <a:chOff x="3323164" y="2455333"/>
          <a:chExt cx="349253" cy="2656417"/>
        </a:xfrm>
      </xdr:grpSpPr>
      <xdr:cxnSp macro="">
        <xdr:nvCxnSpPr>
          <xdr:cNvPr id="19" name="Straight Connector 18"/>
          <xdr:cNvCxnSpPr/>
        </xdr:nvCxnSpPr>
        <xdr:spPr>
          <a:xfrm>
            <a:off x="3672417" y="2529417"/>
            <a:ext cx="0" cy="2571750"/>
          </a:xfrm>
          <a:prstGeom prst="line">
            <a:avLst/>
          </a:prstGeom>
          <a:ln w="19050">
            <a:solidFill>
              <a:srgbClr val="AD275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0" name="TextBox 19"/>
          <xdr:cNvSpPr txBox="1"/>
        </xdr:nvSpPr>
        <xdr:spPr>
          <a:xfrm rot="10800000">
            <a:off x="3323164" y="2455333"/>
            <a:ext cx="328083" cy="265641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eaVert" wrap="square" rtlCol="0" anchor="ctr"/>
          <a:lstStyle/>
          <a:p>
            <a:pPr algn="ctr"/>
            <a:r>
              <a:rPr lang="en-US" sz="2000"/>
              <a:t>DTI</a:t>
            </a:r>
          </a:p>
        </xdr:txBody>
      </xdr:sp>
    </xdr:grpSp>
    <xdr:clientData/>
  </xdr:twoCellAnchor>
  <xdr:twoCellAnchor>
    <xdr:from>
      <xdr:col>3</xdr:col>
      <xdr:colOff>533398</xdr:colOff>
      <xdr:row>47</xdr:row>
      <xdr:rowOff>103722</xdr:rowOff>
    </xdr:from>
    <xdr:to>
      <xdr:col>4</xdr:col>
      <xdr:colOff>67735</xdr:colOff>
      <xdr:row>61</xdr:row>
      <xdr:rowOff>93139</xdr:rowOff>
    </xdr:to>
    <xdr:grpSp>
      <xdr:nvGrpSpPr>
        <xdr:cNvPr id="21" name="Group 20"/>
        <xdr:cNvGrpSpPr/>
      </xdr:nvGrpSpPr>
      <xdr:grpSpPr>
        <a:xfrm>
          <a:off x="3443815" y="9057222"/>
          <a:ext cx="349253" cy="2656417"/>
          <a:chOff x="3323164" y="2455333"/>
          <a:chExt cx="349253" cy="2656417"/>
        </a:xfrm>
      </xdr:grpSpPr>
      <xdr:cxnSp macro="">
        <xdr:nvCxnSpPr>
          <xdr:cNvPr id="22" name="Straight Connector 21"/>
          <xdr:cNvCxnSpPr/>
        </xdr:nvCxnSpPr>
        <xdr:spPr>
          <a:xfrm>
            <a:off x="3672417" y="2529417"/>
            <a:ext cx="0" cy="2571750"/>
          </a:xfrm>
          <a:prstGeom prst="line">
            <a:avLst/>
          </a:prstGeom>
          <a:ln w="19050">
            <a:solidFill>
              <a:srgbClr val="1B7A7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" name="TextBox 22"/>
          <xdr:cNvSpPr txBox="1"/>
        </xdr:nvSpPr>
        <xdr:spPr>
          <a:xfrm rot="10800000">
            <a:off x="3323164" y="2455333"/>
            <a:ext cx="328083" cy="265641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eaVert" wrap="square" rtlCol="0" anchor="ctr"/>
          <a:lstStyle/>
          <a:p>
            <a:pPr algn="ctr"/>
            <a:r>
              <a:rPr lang="en-US" sz="2000"/>
              <a:t>FICO</a:t>
            </a: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name="Query from Agency_6" backgroundRefresh="0" adjustColumnWidth="0" connectionId="15" autoFormatId="16" applyNumberFormats="0" applyBorderFormats="0" applyFontFormats="0" applyPatternFormats="0" applyAlignmentFormats="0" applyWidthHeightFormats="0">
  <queryTableRefresh nextId="86" unboundColumnsRight="2">
    <queryTableFields count="4">
      <queryTableField id="51" name="AsOfDate" tableColumnId="10"/>
      <queryTableField id="68" name="SeriesNumValue" tableColumnId="5"/>
      <queryTableField id="85" dataBound="0" tableColumnId="1"/>
      <queryTableField id="83" dataBound="0" tableColumnId="2"/>
    </queryTableFields>
  </queryTableRefresh>
</queryTable>
</file>

<file path=xl/queryTables/queryTable2.xml><?xml version="1.0" encoding="utf-8"?>
<queryTable xmlns="http://schemas.openxmlformats.org/spreadsheetml/2006/main" name="Query from Agency_7" backgroundRefresh="0" adjustColumnWidth="0" connectionId="2" autoFormatId="16" applyNumberFormats="0" applyBorderFormats="0" applyFontFormats="0" applyPatternFormats="0" applyAlignmentFormats="0" applyWidthHeightFormats="0">
  <queryTableRefresh nextId="86" unboundColumnsRight="1">
    <queryTableFields count="3">
      <queryTableField id="51" name="AsOfDate" tableColumnId="10"/>
      <queryTableField id="68" name="SeriesNumValue" tableColumnId="5"/>
      <queryTableField id="85" dataBound="0" tableColumnId="1"/>
    </queryTableFields>
  </queryTableRefresh>
</queryTable>
</file>

<file path=xl/queryTables/queryTable3.xml><?xml version="1.0" encoding="utf-8"?>
<queryTable xmlns="http://schemas.openxmlformats.org/spreadsheetml/2006/main" name="Query from Agency_8" backgroundRefresh="0" adjustColumnWidth="0" connectionId="1" autoFormatId="16" applyNumberFormats="0" applyBorderFormats="0" applyFontFormats="0" applyPatternFormats="0" applyAlignmentFormats="0" applyWidthHeightFormats="0">
  <queryTableRefresh nextId="85">
    <queryTableFields count="2">
      <queryTableField id="51" name="AsOfDate" tableColumnId="10"/>
      <queryTableField id="68" name="SeriesNumValue" tableColumnId="5"/>
    </queryTableFields>
  </queryTableRefresh>
</queryTable>
</file>

<file path=xl/queryTables/queryTable4.xml><?xml version="1.0" encoding="utf-8"?>
<queryTable xmlns="http://schemas.openxmlformats.org/spreadsheetml/2006/main" name="Query from Agency_9" backgroundRefresh="0" adjustColumnWidth="0" connectionId="4" autoFormatId="16" applyNumberFormats="0" applyBorderFormats="0" applyFontFormats="0" applyPatternFormats="0" applyAlignmentFormats="0" applyWidthHeightFormats="0">
  <queryTableRefresh nextId="86" unboundColumnsRight="1">
    <queryTableFields count="3">
      <queryTableField id="51" name="AsOfDate" tableColumnId="10"/>
      <queryTableField id="68" name="SeriesNumValue" tableColumnId="5"/>
      <queryTableField id="85" dataBound="0" tableColumnId="1"/>
    </queryTableFields>
  </queryTableRefresh>
</queryTable>
</file>

<file path=xl/queryTables/queryTable5.xml><?xml version="1.0" encoding="utf-8"?>
<queryTable xmlns="http://schemas.openxmlformats.org/spreadsheetml/2006/main" name="Query from Agency_10" backgroundRefresh="0" adjustColumnWidth="0" connectionId="3" autoFormatId="16" applyNumberFormats="0" applyBorderFormats="0" applyFontFormats="0" applyPatternFormats="0" applyAlignmentFormats="0" applyWidthHeightFormats="0">
  <queryTableRefresh nextId="85">
    <queryTableFields count="2">
      <queryTableField id="51" name="AsOfDate" tableColumnId="10"/>
      <queryTableField id="68" name="SeriesNumValue" tableColumnId="5"/>
    </queryTableFields>
  </queryTableRefresh>
</queryTable>
</file>

<file path=xl/queryTables/queryTable6.xml><?xml version="1.0" encoding="utf-8"?>
<queryTable xmlns="http://schemas.openxmlformats.org/spreadsheetml/2006/main" name="Query from Agency_11" backgroundRefresh="0" adjustColumnWidth="0" connectionId="14" autoFormatId="16" applyNumberFormats="0" applyBorderFormats="0" applyFontFormats="0" applyPatternFormats="0" applyAlignmentFormats="0" applyWidthHeightFormats="0">
  <queryTableRefresh nextId="86" unboundColumnsRight="1">
    <queryTableFields count="3">
      <queryTableField id="51" name="AsOfDate" tableColumnId="10"/>
      <queryTableField id="68" name="SeriesNumValue" tableColumnId="5"/>
      <queryTableField id="85" dataBound="0" tableColumnId="1"/>
    </queryTableFields>
  </queryTableRefresh>
</queryTable>
</file>

<file path=xl/queryTables/queryTable7.xml><?xml version="1.0" encoding="utf-8"?>
<queryTable xmlns="http://schemas.openxmlformats.org/spreadsheetml/2006/main" name="Query from Agency_12" backgroundRefresh="0" adjustColumnWidth="0" connectionId="5" autoFormatId="16" applyNumberFormats="0" applyBorderFormats="0" applyFontFormats="0" applyPatternFormats="0" applyAlignmentFormats="0" applyWidthHeightFormats="0">
  <queryTableRefresh nextId="85">
    <queryTableFields count="2">
      <queryTableField id="51" name="AsOfDate" tableColumnId="10"/>
      <queryTableField id="68" name="SeriesNumValue" tableColumnId="5"/>
    </queryTableFields>
  </queryTableRefresh>
</queryTable>
</file>

<file path=xl/queryTables/queryTable8.xml><?xml version="1.0" encoding="utf-8"?>
<queryTable xmlns="http://schemas.openxmlformats.org/spreadsheetml/2006/main" name="Query from Agency_13" backgroundRefresh="0" adjustColumnWidth="0" connectionId="16" autoFormatId="16" applyNumberFormats="0" applyBorderFormats="0" applyFontFormats="0" applyPatternFormats="0" applyAlignmentFormats="0" applyWidthHeightFormats="0">
  <queryTableRefresh nextId="93" unboundColumnsRight="9">
    <queryTableFields count="11">
      <queryTableField id="51" name="AsOfDate" tableColumnId="10"/>
      <queryTableField id="68" name="SeriesNumValue" tableColumnId="5"/>
      <queryTableField id="85" dataBound="0" tableColumnId="1"/>
      <queryTableField id="83" dataBound="0" tableColumnId="2"/>
      <queryTableField id="86" dataBound="0" tableColumnId="3"/>
      <queryTableField id="87" dataBound="0" tableColumnId="4"/>
      <queryTableField id="88" dataBound="0" tableColumnId="6"/>
      <queryTableField id="89" dataBound="0" tableColumnId="7"/>
      <queryTableField id="90" dataBound="0" tableColumnId="8"/>
      <queryTableField id="91" dataBound="0" tableColumnId="9"/>
      <queryTableField id="92" dataBound="0" tableColumnId="11"/>
    </queryTableFields>
  </queryTableRefresh>
</queryTable>
</file>

<file path=xl/queryTables/queryTable9.xml><?xml version="1.0" encoding="utf-8"?>
<queryTable xmlns="http://schemas.openxmlformats.org/spreadsheetml/2006/main" name="Query from Agency_15" backgroundRefresh="0" adjustColumnWidth="0" connectionId="6" autoFormatId="16" applyNumberFormats="0" applyBorderFormats="0" applyFontFormats="0" applyPatternFormats="0" applyAlignmentFormats="0" applyWidthHeightFormats="0">
  <queryTableRefresh nextId="86" unboundColumnsRight="1">
    <queryTableFields count="3">
      <queryTableField id="51" name="AsOfDate" tableColumnId="10"/>
      <queryTableField id="68" name="SeriesNumValue" tableColumnId="5"/>
      <queryTableField id="85" dataBound="0" tableColumnId="1"/>
    </queryTableFields>
  </queryTableRefresh>
</queryTable>
</file>

<file path=xl/queryTables/queryTable10.xml><?xml version="1.0" encoding="utf-8"?>
<queryTable xmlns="http://schemas.openxmlformats.org/spreadsheetml/2006/main" name="Query from Agency_16" backgroundRefresh="0" adjustColumnWidth="0" connectionId="7" autoFormatId="16" applyNumberFormats="0" applyBorderFormats="0" applyFontFormats="0" applyPatternFormats="0" applyAlignmentFormats="0" applyWidthHeightFormats="0">
  <queryTableRefresh nextId="86" unboundColumnsRight="1">
    <queryTableFields count="3">
      <queryTableField id="51" name="AsOfDate" tableColumnId="10"/>
      <queryTableField id="68" name="SeriesNumValue" tableColumnId="5"/>
      <queryTableField id="85" dataBound="0" tableColumnId="1"/>
    </queryTableFields>
  </queryTableRefresh>
</queryTable>
</file>

<file path=xl/queryTables/queryTable11.xml><?xml version="1.0" encoding="utf-8"?>
<queryTable xmlns="http://schemas.openxmlformats.org/spreadsheetml/2006/main" name="Query from Agency_17" backgroundRefresh="0" adjustColumnWidth="0" connectionId="8" autoFormatId="16" applyNumberFormats="0" applyBorderFormats="0" applyFontFormats="0" applyPatternFormats="0" applyAlignmentFormats="0" applyWidthHeightFormats="0">
  <queryTableRefresh nextId="86" unboundColumnsRight="1">
    <queryTableFields count="3">
      <queryTableField id="51" name="AsOfDate" tableColumnId="10"/>
      <queryTableField id="68" name="SeriesNumValue" tableColumnId="5"/>
      <queryTableField id="85" dataBound="0" tableColumnId="1"/>
    </queryTableFields>
  </queryTableRefresh>
</queryTable>
</file>

<file path=xl/queryTables/queryTable12.xml><?xml version="1.0" encoding="utf-8"?>
<queryTable xmlns="http://schemas.openxmlformats.org/spreadsheetml/2006/main" name="Query from Agency_18" backgroundRefresh="0" adjustColumnWidth="0" connectionId="9" autoFormatId="16" applyNumberFormats="0" applyBorderFormats="0" applyFontFormats="0" applyPatternFormats="0" applyAlignmentFormats="0" applyWidthHeightFormats="0">
  <queryTableRefresh nextId="100" unboundColumnsRight="15">
    <queryTableFields count="17">
      <queryTableField id="51" name="AsOfDate" tableColumnId="10"/>
      <queryTableField id="68" name="SeriesNumValue" tableColumnId="5"/>
      <queryTableField id="85" dataBound="0" tableColumnId="1"/>
      <queryTableField id="86" dataBound="0" tableColumnId="2"/>
      <queryTableField id="87" dataBound="0" tableColumnId="3"/>
      <queryTableField id="88" dataBound="0" tableColumnId="4"/>
      <queryTableField id="89" dataBound="0" tableColumnId="6"/>
      <queryTableField id="90" dataBound="0" tableColumnId="7"/>
      <queryTableField id="98" dataBound="0" tableColumnId="16"/>
      <queryTableField id="97" dataBound="0" tableColumnId="15"/>
      <queryTableField id="91" dataBound="0" tableColumnId="8"/>
      <queryTableField id="92" dataBound="0" tableColumnId="9"/>
      <queryTableField id="93" dataBound="0" tableColumnId="11"/>
      <queryTableField id="94" dataBound="0" tableColumnId="12"/>
      <queryTableField id="95" dataBound="0" tableColumnId="13"/>
      <queryTableField id="96" dataBound="0" tableColumnId="14"/>
      <queryTableField id="99" dataBound="0" tableColumnId="17"/>
    </queryTableFields>
  </queryTableRefresh>
</queryTable>
</file>

<file path=xl/queryTables/queryTable13.xml><?xml version="1.0" encoding="utf-8"?>
<queryTable xmlns="http://schemas.openxmlformats.org/spreadsheetml/2006/main" name="Query from Agency_22" backgroundRefresh="0" adjustColumnWidth="0" connectionId="13" autoFormatId="16" applyNumberFormats="0" applyBorderFormats="0" applyFontFormats="0" applyPatternFormats="0" applyAlignmentFormats="0" applyWidthHeightFormats="0">
  <queryTableRefresh nextId="86">
    <queryTableFields count="2">
      <queryTableField id="51" name="AsOfDate" tableColumnId="10"/>
      <queryTableField id="68" name="SeriesNumValue" tableColumnId="5"/>
    </queryTableFields>
  </queryTableRefresh>
</queryTable>
</file>

<file path=xl/queryTables/queryTable14.xml><?xml version="1.0" encoding="utf-8"?>
<queryTable xmlns="http://schemas.openxmlformats.org/spreadsheetml/2006/main" name="Query from Agency_21" backgroundRefresh="0" adjustColumnWidth="0" connectionId="12" autoFormatId="16" applyNumberFormats="0" applyBorderFormats="0" applyFontFormats="0" applyPatternFormats="0" applyAlignmentFormats="0" applyWidthHeightFormats="0">
  <queryTableRefresh nextId="86">
    <queryTableFields count="2">
      <queryTableField id="51" name="AsOfDate" tableColumnId="10"/>
      <queryTableField id="68" name="SeriesNumValue" tableColumnId="5"/>
    </queryTableFields>
  </queryTableRefresh>
</queryTable>
</file>

<file path=xl/queryTables/queryTable15.xml><?xml version="1.0" encoding="utf-8"?>
<queryTable xmlns="http://schemas.openxmlformats.org/spreadsheetml/2006/main" name="Query from Agency_20" backgroundRefresh="0" adjustColumnWidth="0" connectionId="11" autoFormatId="16" applyNumberFormats="0" applyBorderFormats="0" applyFontFormats="0" applyPatternFormats="0" applyAlignmentFormats="0" applyWidthHeightFormats="0">
  <queryTableRefresh nextId="86">
    <queryTableFields count="2">
      <queryTableField id="51" name="AsOfDate" tableColumnId="10"/>
      <queryTableField id="68" name="SeriesNumValue" tableColumnId="5"/>
    </queryTableFields>
  </queryTableRefresh>
</queryTable>
</file>

<file path=xl/queryTables/queryTable16.xml><?xml version="1.0" encoding="utf-8"?>
<queryTable xmlns="http://schemas.openxmlformats.org/spreadsheetml/2006/main" name="Query from Agency_19" backgroundRefresh="0" adjustColumnWidth="0" connectionId="10" autoFormatId="16" applyNumberFormats="0" applyBorderFormats="0" applyFontFormats="0" applyPatternFormats="0" applyAlignmentFormats="0" applyWidthHeightFormats="0">
  <queryTableRefresh nextId="91" unboundColumnsRight="5">
    <queryTableFields count="7">
      <queryTableField id="51" name="AsOfDate" tableColumnId="10"/>
      <queryTableField id="68" name="SeriesNumValue" tableColumnId="5"/>
      <queryTableField id="86" dataBound="0" tableColumnId="2"/>
      <queryTableField id="87" dataBound="0" tableColumnId="3"/>
      <queryTableField id="88" dataBound="0" tableColumnId="4"/>
      <queryTableField id="89" dataBound="0" tableColumnId="6"/>
      <queryTableField id="90" dataBound="0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table1.xml><?xml version="1.0" encoding="utf-8"?>
<table xmlns="http://schemas.openxmlformats.org/spreadsheetml/2006/main" id="7" name="CurrentMtgRatesDataTable8" displayName="CurrentMtgRatesDataTable8" ref="A4:D151" tableType="queryTable" totalsRowShown="0" headerRowDxfId="103" dataDxfId="102">
  <tableColumns count="4">
    <tableColumn id="10" uniqueName="10" name="asofdate" queryTableFieldId="51" dataDxfId="101" dataCellStyle="Normal 2 7"/>
    <tableColumn id="5" uniqueName="5" name="SeriesNumValue" queryTableFieldId="68" dataDxfId="100"/>
    <tableColumn id="1" uniqueName="1" name="Month" queryTableFieldId="85" dataDxfId="99">
      <calculatedColumnFormula>YEAR(CurrentMtgRatesDataTable8[[#This Row],[asofdate]])&amp;"-"&amp;MONTH(CurrentMtgRatesDataTable8[[#This Row],[asofdate]])</calculatedColumnFormula>
    </tableColumn>
    <tableColumn id="2" uniqueName="2" name="Index" queryTableFieldId="83" dataDxfId="98" dataCellStyle="Normal 2 7">
      <calculatedColumnFormula>((CurrentMtgRatesDataTable8[[#This Row],[SeriesNumValue]]-$D$1)/$D$1+1)*100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" name="CurrentMtgRatesDataTable82" displayName="CurrentMtgRatesDataTable82" ref="G4:I151" tableType="queryTable" totalsRowShown="0" headerRowDxfId="97" dataDxfId="96">
  <tableColumns count="3">
    <tableColumn id="10" uniqueName="10" name="asofdate" queryTableFieldId="51" dataDxfId="95" dataCellStyle="Normal 2 7"/>
    <tableColumn id="5" uniqueName="5" name="SeriesNumValue" queryTableFieldId="68" dataDxfId="94"/>
    <tableColumn id="1" uniqueName="1" name="% OLTV &gt; 90" queryTableFieldId="85" dataDxfId="93" dataCellStyle="Percent">
      <calculatedColumnFormula>VLOOKUP(CurrentMtgRatesDataTable82[[#This Row],[asofdate]],K:L,2,0)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2" name="CurrentMtgRatesDataTable83" displayName="CurrentMtgRatesDataTable83" ref="K4:L151" tableType="queryTable" totalsRowShown="0" headerRowDxfId="92" dataDxfId="91">
  <tableColumns count="2">
    <tableColumn id="10" uniqueName="10" name="asofdate" queryTableFieldId="51" dataDxfId="90" dataCellStyle="Normal 2 7"/>
    <tableColumn id="5" uniqueName="5" name="SeriesNumValue" queryTableFieldId="68" dataDxfId="89" dataCellStyle="Percent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3" name="CurrentMtgRatesDataTable84" displayName="CurrentMtgRatesDataTable84" ref="O4:Q151" tableType="queryTable" totalsRowShown="0" headerRowDxfId="88" dataDxfId="87">
  <tableColumns count="3">
    <tableColumn id="10" uniqueName="10" name="asofdate" queryTableFieldId="51" dataDxfId="86" dataCellStyle="Normal 2 7"/>
    <tableColumn id="5" uniqueName="5" name="SeriesNumValue" queryTableFieldId="68" dataDxfId="85"/>
    <tableColumn id="1" uniqueName="1" name="% DTI &gt; 40" queryTableFieldId="85" dataDxfId="84" dataCellStyle="Percent">
      <calculatedColumnFormula>VLOOKUP(CurrentMtgRatesDataTable84[[#This Row],[asofdate]],S:T,2,0)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4" name="CurrentMtgRatesDataTable85" displayName="CurrentMtgRatesDataTable85" ref="S4:T151" tableType="queryTable" totalsRowShown="0" headerRowDxfId="83" dataDxfId="82">
  <tableColumns count="2">
    <tableColumn id="10" uniqueName="10" name="asofdate" queryTableFieldId="51" dataDxfId="81" dataCellStyle="Normal 2 7"/>
    <tableColumn id="5" uniqueName="5" name="SeriesNumValue" queryTableFieldId="68" dataDxfId="8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5" name="CurrentMtgRatesDataTable86" displayName="CurrentMtgRatesDataTable86" ref="W4:Y151" tableType="queryTable" totalsRowShown="0" headerRowDxfId="79" dataDxfId="78">
  <tableColumns count="3">
    <tableColumn id="10" uniqueName="10" name="asofdate" queryTableFieldId="51" dataDxfId="77" dataCellStyle="Normal 2 7"/>
    <tableColumn id="5" uniqueName="5" name="SeriesNumValue" queryTableFieldId="68" dataDxfId="76"/>
    <tableColumn id="1" uniqueName="1" name="% FICO &lt; 700" queryTableFieldId="85" dataDxfId="75" dataCellStyle="Percent">
      <calculatedColumnFormula>VLOOKUP(CurrentMtgRatesDataTable86[[#This Row],[asofdate]],AA:AB,2,0)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6" name="CurrentMtgRatesDataTable87" displayName="CurrentMtgRatesDataTable87" ref="AA4:AB151" tableType="queryTable" totalsRowShown="0" headerRowDxfId="74" dataDxfId="73">
  <tableColumns count="2">
    <tableColumn id="10" uniqueName="10" name="asofdate" queryTableFieldId="51" dataDxfId="72" dataCellStyle="Normal 2 7"/>
    <tableColumn id="5" uniqueName="5" name="SeriesNumValue" queryTableFieldId="68" dataDxfId="71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8" name="CurrentMtgRatesDataTable89" displayName="CurrentMtgRatesDataTable89" ref="AE4:AO151" tableType="queryTable" totalsRowShown="0" headerRowDxfId="70" dataDxfId="69">
  <tableColumns count="11">
    <tableColumn id="10" uniqueName="10" name="asofdate" queryTableFieldId="51" dataDxfId="68" dataCellStyle="Normal 2 7"/>
    <tableColumn id="5" uniqueName="5" name="SeriesNumValue" queryTableFieldId="68" dataDxfId="67"/>
    <tableColumn id="1" uniqueName="1" name="Month" queryTableFieldId="85" dataDxfId="66">
      <calculatedColumnFormula>YEAR(CurrentMtgRatesDataTable89[[#This Row],[asofdate]])&amp;"-"&amp;MONTH(CurrentMtgRatesDataTable89[[#This Row],[asofdate]])</calculatedColumnFormula>
    </tableColumn>
    <tableColumn id="2" uniqueName="2" name="Index" queryTableFieldId="83" dataDxfId="65" dataCellStyle="Normal 2 7">
      <calculatedColumnFormula>((CurrentMtgRatesDataTable89[[#This Row],[SeriesNumValue]]-$D$1)/$D$1+1)*100</calculatedColumnFormula>
    </tableColumn>
    <tableColumn id="3" uniqueName="3" name="Changes" queryTableFieldId="86" dataDxfId="64" dataCellStyle="Normal 2 7">
      <calculatedColumnFormula>CurrentMtgRatesDataTable89[[#This Row],[Index]]-AH6</calculatedColumnFormula>
    </tableColumn>
    <tableColumn id="4" uniqueName="4" name="OLTV Mean" queryTableFieldId="87" dataDxfId="63" dataCellStyle="Normal 2 7">
      <calculatedColumnFormula>VLOOKUP(CurrentMtgRatesDataTable89[[#This Row],[asofdate]],G:H,2,0)</calculatedColumnFormula>
    </tableColumn>
    <tableColumn id="6" uniqueName="6" name="% OLTV &gt; 90" queryTableFieldId="88" dataDxfId="62" dataCellStyle="Normal 2 7">
      <calculatedColumnFormula>VLOOKUP(CurrentMtgRatesDataTable89[[#This Row],[asofdate]],K:L,2,0)</calculatedColumnFormula>
    </tableColumn>
    <tableColumn id="7" uniqueName="7" name="DTI Mean" queryTableFieldId="89" dataDxfId="61" dataCellStyle="Normal 2 7">
      <calculatedColumnFormula>VLOOKUP(CurrentMtgRatesDataTable89[[#This Row],[asofdate]],O:P,2,0)</calculatedColumnFormula>
    </tableColumn>
    <tableColumn id="8" uniqueName="8" name="% DTI &gt; 40" queryTableFieldId="90" dataDxfId="60" dataCellStyle="Normal 2 7">
      <calculatedColumnFormula>VLOOKUP(CurrentMtgRatesDataTable89[[#This Row],[asofdate]],S:T,2,0)</calculatedColumnFormula>
    </tableColumn>
    <tableColumn id="9" uniqueName="9" name="FICO Mean" queryTableFieldId="91" dataDxfId="59" dataCellStyle="Normal 2 7">
      <calculatedColumnFormula>VLOOKUP(CurrentMtgRatesDataTable89[[#This Row],[asofdate]],W:X,2,0)</calculatedColumnFormula>
    </tableColumn>
    <tableColumn id="11" uniqueName="11" name="% FICO &lt; 700" queryTableFieldId="92" dataDxfId="58" dataCellStyle="Normal 2 7">
      <calculatedColumnFormula>VLOOKUP(CurrentMtgRatesDataTable89[[#This Row],[asofdate]],AA:AB,2,0)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id="10" name="CurrentMtgRatesDataTable8711" displayName="CurrentMtgRatesDataTable8711" ref="AR4:AT151" tableType="queryTable" totalsRowShown="0" headerRowDxfId="57" dataDxfId="56">
  <tableColumns count="3">
    <tableColumn id="10" uniqueName="10" name="asofdate" queryTableFieldId="51" dataDxfId="55" dataCellStyle="Normal 2 7"/>
    <tableColumn id="5" uniqueName="5" name="SeriesNumValue" queryTableFieldId="68" dataDxfId="54"/>
    <tableColumn id="1" uniqueName="1" name="Column1" queryTableFieldId="85" dataDxfId="53">
      <calculatedColumnFormula>((CurrentMtgRatesDataTable8711[[#This Row],[SeriesNumValue]]-$D$1)/$D$1+1)*100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id="11" name="CurrentMtgRatesDataTable871112" displayName="CurrentMtgRatesDataTable871112" ref="AW4:AY151" tableType="queryTable" totalsRowShown="0" headerRowDxfId="52" dataDxfId="51">
  <tableColumns count="3">
    <tableColumn id="10" uniqueName="10" name="asofdate" queryTableFieldId="51" dataDxfId="50" dataCellStyle="Normal 2 7"/>
    <tableColumn id="5" uniqueName="5" name="SeriesNumValue" queryTableFieldId="68" dataDxfId="49"/>
    <tableColumn id="1" uniqueName="1" name="Column1" queryTableFieldId="85" dataDxfId="48">
      <calculatedColumnFormula>((CurrentMtgRatesDataTable871112[[#This Row],[SeriesNumValue]]-$D$1)/$D$1+1)*100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id="12" name="CurrentMtgRatesDataTable87111213" displayName="CurrentMtgRatesDataTable87111213" ref="BB4:BD151" tableType="queryTable" totalsRowShown="0" headerRowDxfId="47" dataDxfId="46">
  <tableColumns count="3">
    <tableColumn id="10" uniqueName="10" name="asofdate" queryTableFieldId="51" dataDxfId="45" dataCellStyle="Normal 2 7"/>
    <tableColumn id="5" uniqueName="5" name="SeriesNumValue" queryTableFieldId="68" dataDxfId="44"/>
    <tableColumn id="1" uniqueName="1" name="Column1" queryTableFieldId="85" dataDxfId="43">
      <calculatedColumnFormula>((CurrentMtgRatesDataTable87111213[[#This Row],[SeriesNumValue]]-$D$1)/$D$1+1)*100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id="13" name="CurrentMtgRatesDataTable8711121314" displayName="CurrentMtgRatesDataTable8711121314" ref="BG4:BW151" tableType="queryTable" totalsRowShown="0" headerRowDxfId="42" dataDxfId="41">
  <tableColumns count="17">
    <tableColumn id="10" uniqueName="10" name="asofdate" queryTableFieldId="51" dataDxfId="40" dataCellStyle="Normal 2 7"/>
    <tableColumn id="5" uniqueName="5" name="SeriesNumValue" queryTableFieldId="68" dataDxfId="39"/>
    <tableColumn id="1" uniqueName="1" name="Column1" queryTableFieldId="85" dataDxfId="38" dataCellStyle="Normal 2 7">
      <calculatedColumnFormula>((CurrentMtgRatesDataTable8711121314[[#This Row],[SeriesNumValue]]-$D$1)/$D$1+1)*100</calculatedColumnFormula>
    </tableColumn>
    <tableColumn id="2" uniqueName="2" name="Month" queryTableFieldId="86" dataDxfId="37">
      <calculatedColumnFormula>YEAR(CurrentMtgRatesDataTable8711121314[[#This Row],[asofdate]])&amp;"-"&amp;MONTH(CurrentMtgRatesDataTable8711121314[[#This Row],[asofdate]])</calculatedColumnFormula>
    </tableColumn>
    <tableColumn id="3" uniqueName="3" name="Conventional" queryTableFieldId="87" dataDxfId="36">
      <calculatedColumnFormula>CurrentMtgRatesDataTable8711121314[[#This Row],[SeriesNumValue]]</calculatedColumnFormula>
    </tableColumn>
    <tableColumn id="4" uniqueName="4" name="FHA" queryTableFieldId="88" dataDxfId="35">
      <calculatedColumnFormula>VLOOKUP(CurrentMtgRatesDataTable8711121314[[#This Row],[asofdate]],AR:AT,2,0)</calculatedColumnFormula>
    </tableColumn>
    <tableColumn id="6" uniqueName="6" name="VA" queryTableFieldId="89" dataDxfId="34">
      <calculatedColumnFormula>IF(VLOOKUP(CurrentMtgRatesDataTable8711121314[[#This Row],[asofdate]],AW:AY,2,0)&lt;&gt;0,VLOOKUP(CurrentMtgRatesDataTable8711121314[[#This Row],[asofdate]],AW:AY,2,0),BM4)</calculatedColumnFormula>
    </tableColumn>
    <tableColumn id="7" uniqueName="7" name="Combined" queryTableFieldId="90" dataDxfId="33">
      <calculatedColumnFormula>VLOOKUP(CurrentMtgRatesDataTable8711121314[[#This Row],[asofdate]],BB:BD,2,0)</calculatedColumnFormula>
    </tableColumn>
    <tableColumn id="16" uniqueName="16" name="FHA + 0.5 Conforming" queryTableFieldId="98" dataDxfId="32" dataCellStyle="Normal 2 7">
      <calculatedColumnFormula>CurrentMtgRatesDataTable8711121314[[#This Row],[FHA]]+0.5*CurrentMtgRatesDataTable8711121314[[#This Row],[Conventional]]</calculatedColumnFormula>
    </tableColumn>
    <tableColumn id="15" uniqueName="15" name="2xFHA" queryTableFieldId="97" dataDxfId="31" dataCellStyle="Normal 2 7">
      <calculatedColumnFormula>2*CurrentMtgRatesDataTable8711121314[[#This Row],[FHA]]</calculatedColumnFormula>
    </tableColumn>
    <tableColumn id="8" uniqueName="8" name="Pct Conventional" queryTableFieldId="91" dataDxfId="30">
      <calculatedColumnFormula>VLOOKUP(YEAR(CurrentMtgRatesDataTable8711121314[[#This Row],[asofdate]]),OriginationVolume!$A:$N,8,FALSE)</calculatedColumnFormula>
    </tableColumn>
    <tableColumn id="9" uniqueName="9" name="Pct VA" queryTableFieldId="92" dataDxfId="29">
      <calculatedColumnFormula>VLOOKUP(YEAR(CurrentMtgRatesDataTable8711121314[[#This Row],[asofdate]]),OriginationVolume!$A:$N,9,FALSE)</calculatedColumnFormula>
    </tableColumn>
    <tableColumn id="11" uniqueName="11" name="Pct FHA" queryTableFieldId="93" dataDxfId="28">
      <calculatedColumnFormula>VLOOKUP(YEAR(CurrentMtgRatesDataTable8711121314[[#This Row],[asofdate]]),OriginationVolume!$A:$N,10,FALSE)</calculatedColumnFormula>
    </tableColumn>
    <tableColumn id="12" uniqueName="12" name="Pct Jumbo" queryTableFieldId="94" dataDxfId="27">
      <calculatedColumnFormula>VLOOKUP(YEAR(CurrentMtgRatesDataTable8711121314[[#This Row],[asofdate]]),OriginationVolume!$A:$N,11,FALSE)</calculatedColumnFormula>
    </tableColumn>
    <tableColumn id="13" uniqueName="13" name="Pct Alt-A" queryTableFieldId="95" dataDxfId="26">
      <calculatedColumnFormula>VLOOKUP(YEAR(CurrentMtgRatesDataTable8711121314[[#This Row],[asofdate]]),OriginationVolume!$A:$N,12,FALSE)</calculatedColumnFormula>
    </tableColumn>
    <tableColumn id="14" uniqueName="14" name="Pct Subprime" queryTableFieldId="96" dataDxfId="25">
      <calculatedColumnFormula>VLOOKUP(YEAR(CurrentMtgRatesDataTable8711121314[[#This Row],[asofdate]]),OriginationVolume!$A:$N,13,FALSE)</calculatedColumnFormula>
    </tableColumn>
    <tableColumn id="17" uniqueName="17" name="Universe" queryTableFieldId="99" dataDxfId="24">
      <calculatedColumnFormula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calculatedColumnFormula>
    </tableColumn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id="9" name="CurrentMtgRatesDataTable871110" displayName="CurrentMtgRatesDataTable871110" ref="BY4:BZ151" tableType="queryTable" totalsRowShown="0" headerRowDxfId="23" dataDxfId="22">
  <tableColumns count="2">
    <tableColumn id="10" uniqueName="10" name="asofdate" queryTableFieldId="51" dataDxfId="21" dataCellStyle="Normal 2 7"/>
    <tableColumn id="5" uniqueName="5" name="SeriesNumValue" queryTableFieldId="68" dataDxfId="20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id="14" name="CurrentMtgRatesDataTable87111215" displayName="CurrentMtgRatesDataTable87111215" ref="CC4:CD151" tableType="queryTable" totalsRowShown="0" headerRowDxfId="19" dataDxfId="18">
  <tableColumns count="2">
    <tableColumn id="10" uniqueName="10" name="asofdate" queryTableFieldId="51" dataDxfId="17" dataCellStyle="Normal 2 7"/>
    <tableColumn id="5" uniqueName="5" name="SeriesNumValue" queryTableFieldId="68" dataDxfId="16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id="15" name="CurrentMtgRatesDataTable8711121316" displayName="CurrentMtgRatesDataTable8711121316" ref="CG4:CH151" tableType="queryTable" totalsRowShown="0" headerRowDxfId="15" dataDxfId="14">
  <tableColumns count="2">
    <tableColumn id="10" uniqueName="10" name="asofdate" queryTableFieldId="51" dataDxfId="13" dataCellStyle="Normal 2 7"/>
    <tableColumn id="5" uniqueName="5" name="SeriesNumValue" queryTableFieldId="68" dataDxfId="12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id="16" name="CurrentMtgRatesDataTable871112131417" displayName="CurrentMtgRatesDataTable871112131417" ref="CK4:CQ151" tableType="queryTable" totalsRowShown="0" headerRowDxfId="11" dataDxfId="10">
  <tableColumns count="7">
    <tableColumn id="10" uniqueName="10" name="asofdate" queryTableFieldId="51" dataDxfId="9" dataCellStyle="Normal 2 7"/>
    <tableColumn id="5" uniqueName="5" name="SeriesNumValue" queryTableFieldId="68" dataDxfId="8"/>
    <tableColumn id="2" uniqueName="2" name="Month" queryTableFieldId="86" dataDxfId="7" dataCellStyle="Normal 2 7">
      <calculatedColumnFormula>YEAR(CurrentMtgRatesDataTable871112131417[[#This Row],[asofdate]])&amp;"-"&amp;MONTH(CurrentMtgRatesDataTable871112131417[[#This Row],[asofdate]])</calculatedColumnFormula>
    </tableColumn>
    <tableColumn id="3" uniqueName="3" name="Conventional" queryTableFieldId="87" dataDxfId="6" dataCellStyle="Normal 2 7">
      <calculatedColumnFormula>CurrentMtgRatesDataTable871112131417[[#This Row],[SeriesNumValue]]</calculatedColumnFormula>
    </tableColumn>
    <tableColumn id="4" uniqueName="4" name="FHA" queryTableFieldId="88" dataDxfId="5" dataCellStyle="Normal 2 7">
      <calculatedColumnFormula>VLOOKUP(CurrentMtgRatesDataTable871112131417[[#This Row],[asofdate]],BY:BZ,2,0)</calculatedColumnFormula>
    </tableColumn>
    <tableColumn id="6" uniqueName="6" name="VA" queryTableFieldId="89" dataDxfId="4" dataCellStyle="Normal 2 7">
      <calculatedColumnFormula>IF(VLOOKUP(CurrentMtgRatesDataTable871112131417[[#This Row],[asofdate]],CC:CD,2,0)&lt;&gt;0,VLOOKUP(CurrentMtgRatesDataTable871112131417[[#This Row],[asofdate]],CC:CD,2,0),CP4)</calculatedColumnFormula>
    </tableColumn>
    <tableColumn id="7" uniqueName="7" name="Combined" queryTableFieldId="90" dataDxfId="3" dataCellStyle="Normal 2 7">
      <calculatedColumnFormula>VLOOKUP(CurrentMtgRatesDataTable871112131417[[#This Row],[asofdate]],CG:CH,2,0)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Z72"/>
  <sheetViews>
    <sheetView showGridLines="0" tabSelected="1" topLeftCell="A13" zoomScale="85" zoomScaleNormal="85" workbookViewId="0">
      <selection activeCell="Q22" sqref="Q22"/>
    </sheetView>
  </sheetViews>
  <sheetFormatPr defaultRowHeight="15"/>
  <cols>
    <col min="2" max="2" width="8.140625" customWidth="1"/>
    <col min="3" max="19" width="12.28515625" customWidth="1"/>
    <col min="20" max="20" width="11.140625" customWidth="1"/>
    <col min="21" max="21" width="12.85546875" customWidth="1"/>
    <col min="23" max="23" width="16" bestFit="1" customWidth="1"/>
    <col min="24" max="24" width="24.140625" customWidth="1"/>
    <col min="25" max="25" width="15.7109375" bestFit="1" customWidth="1"/>
  </cols>
  <sheetData>
    <row r="1" spans="23:26">
      <c r="W1" s="1" t="s">
        <v>0</v>
      </c>
      <c r="X1" s="2" t="s">
        <v>178</v>
      </c>
      <c r="Y1" t="s">
        <v>1</v>
      </c>
      <c r="Z1" s="2" t="s">
        <v>4</v>
      </c>
    </row>
    <row r="2" spans="23:26">
      <c r="W2" s="1" t="s">
        <v>2</v>
      </c>
      <c r="X2" s="3">
        <v>42236</v>
      </c>
    </row>
    <row r="3" spans="23:26">
      <c r="W3" s="1" t="s">
        <v>27</v>
      </c>
      <c r="X3" s="4" t="s">
        <v>28</v>
      </c>
    </row>
    <row r="4" spans="23:26">
      <c r="W4" s="1" t="s">
        <v>3</v>
      </c>
      <c r="X4" s="4" t="str">
        <f>PDFReportDir &amp; "Credit Availability " &amp; TEXT(CurrentCloseDate, "yyyy-mm-dd") &amp; ".pdf"</f>
        <v>S:\IT\Production\Daily Reports\Primary Market\tmp\Credit Availability 2015-08-20.pdf</v>
      </c>
    </row>
    <row r="8" spans="23:26">
      <c r="W8" t="s">
        <v>25</v>
      </c>
      <c r="X8" s="9">
        <f>IF(WEEKDAY(CurrentCloseDate,2)&gt;=4,CurrentCloseDate-WEEKDAY(CurrentCloseDate,2)+4,CurrentCloseDate-WEEKDAY(CurrentCloseDate,2)-7+4)</f>
        <v>42236</v>
      </c>
      <c r="Y8" s="9"/>
    </row>
    <row r="9" spans="23:26">
      <c r="W9" t="s">
        <v>26</v>
      </c>
      <c r="X9" s="9">
        <f>LastSurveyDate-1</f>
        <v>42235</v>
      </c>
    </row>
    <row r="11" spans="23:26">
      <c r="W11" t="s">
        <v>163</v>
      </c>
      <c r="X11" s="9">
        <f>IF(DAY(CurrentCloseDate)&lt;35,(CurrentCloseDate-DAY(CurrentCloseDate))-DAY((CurrentCloseDate-DAY(CurrentCloseDate)))+1,CurrentCloseDate-DAY(CurrentCloseDate)+1)</f>
        <v>42186</v>
      </c>
    </row>
    <row r="12" spans="23:26">
      <c r="X12" s="9">
        <f>IF(DAY(CurrentCloseDate)&lt;32,(CurrentCloseDate-DAY(CurrentCloseDate))-DAY((CurrentCloseDate-DAY(CurrentCloseDate)))+1,CurrentCloseDate-DAY(CurrentCloseDate)+1)</f>
        <v>42186</v>
      </c>
    </row>
    <row r="13" spans="23:26">
      <c r="X13" s="9">
        <f>IF(DAY(CurrentCloseDate)&lt;32,(CurrentCloseDate-DAY(CurrentCloseDate))-DAY((CurrentCloseDate-DAY(CurrentCloseDate)))-DAY((CurrentCloseDate-DAY(CurrentCloseDate)))+2,CurrentCloseDate-DAY(CurrentCloseDate)+1)</f>
        <v>42156</v>
      </c>
    </row>
    <row r="57" spans="3:18">
      <c r="C57" s="15" t="s">
        <v>172</v>
      </c>
      <c r="L57" s="15" t="s">
        <v>173</v>
      </c>
    </row>
    <row r="58" spans="3:18" s="23" customFormat="1">
      <c r="C58" s="19"/>
      <c r="D58" s="21" t="str">
        <f>CurrentMtgRatesDataTable89[[#Headers],[OLTV Mean]]</f>
        <v>OLTV Mean</v>
      </c>
      <c r="E58" s="20" t="str">
        <f>CurrentMtgRatesDataTable89[[#Headers],[% OLTV &gt; 90]]</f>
        <v>% OLTV &gt; 90</v>
      </c>
      <c r="F58" s="21" t="str">
        <f>CurrentMtgRatesDataTable89[[#Headers],[DTI Mean]]</f>
        <v>DTI Mean</v>
      </c>
      <c r="G58" s="20" t="str">
        <f>CurrentMtgRatesDataTable89[[#Headers],[% DTI &gt; 40]]</f>
        <v>% DTI &gt; 40</v>
      </c>
      <c r="H58" s="21" t="str">
        <f>CurrentMtgRatesDataTable89[[#Headers],[FICO Mean]]</f>
        <v>FICO Mean</v>
      </c>
      <c r="I58" s="20" t="str">
        <f>CurrentMtgRatesDataTable89[[#Headers],[% FICO &lt; 700]]</f>
        <v>% FICO &lt; 700</v>
      </c>
      <c r="J58" s="22"/>
      <c r="K58" s="19"/>
      <c r="L58" s="20" t="s">
        <v>158</v>
      </c>
      <c r="M58" s="21" t="str">
        <f>CurrentMtgRatesDataTable89[[#Headers],[OLTV Mean]]</f>
        <v>OLTV Mean</v>
      </c>
      <c r="N58" s="20" t="str">
        <f>CurrentMtgRatesDataTable89[[#Headers],[% OLTV &gt; 90]]</f>
        <v>% OLTV &gt; 90</v>
      </c>
      <c r="O58" s="21" t="str">
        <f>CurrentMtgRatesDataTable89[[#Headers],[DTI Mean]]</f>
        <v>DTI Mean</v>
      </c>
      <c r="P58" s="20" t="str">
        <f>CurrentMtgRatesDataTable89[[#Headers],[% DTI &gt; 40]]</f>
        <v>% DTI &gt; 40</v>
      </c>
      <c r="Q58" s="21" t="str">
        <f>CurrentMtgRatesDataTable89[[#Headers],[FICO Mean]]</f>
        <v>FICO Mean</v>
      </c>
      <c r="R58" s="20" t="str">
        <f>CurrentMtgRatesDataTable89[[#Headers],[% FICO &lt; 700]]</f>
        <v>% FICO &lt; 700</v>
      </c>
    </row>
    <row r="59" spans="3:18">
      <c r="C59" s="13" t="str">
        <f>'Time Series Query'!AG5</f>
        <v>2015-7</v>
      </c>
      <c r="D59" s="24">
        <f>'Time Series Query'!AJ5</f>
        <v>83.002963149384598</v>
      </c>
      <c r="E59" s="25">
        <f>'Time Series Query'!AK5</f>
        <v>0.32916665260221001</v>
      </c>
      <c r="F59" s="24">
        <f>'Time Series Query'!AL5</f>
        <v>34.176472196339503</v>
      </c>
      <c r="G59" s="25">
        <f>'Time Series Query'!AM5</f>
        <v>0.28482112233552798</v>
      </c>
      <c r="H59" s="24">
        <f>'Time Series Query'!AN5</f>
        <v>752.47879843973897</v>
      </c>
      <c r="I59" s="25">
        <f>'Time Series Query'!AO5</f>
        <v>0.138264539709097</v>
      </c>
      <c r="K59" s="13" t="str">
        <f>C59</f>
        <v>2015-7</v>
      </c>
      <c r="L59" s="13">
        <f>'Time Series Query'!AI5</f>
        <v>-9.237159696622669</v>
      </c>
      <c r="M59" s="14">
        <f>'Time Series Query'!AJ5-'Time Series Query'!AJ6</f>
        <v>2.1054635265898014E-2</v>
      </c>
      <c r="N59" s="18">
        <f>'Time Series Query'!AK5-'Time Series Query'!AK6</f>
        <v>2.7093469615502297E-4</v>
      </c>
      <c r="O59" s="14">
        <f>'Time Series Query'!AL5-'Time Series Query'!AL6</f>
        <v>-0.30438799966629659</v>
      </c>
      <c r="P59" s="18">
        <f>'Time Series Query'!AM5-'Time Series Query'!AM6</f>
        <v>-1.2243401090670014E-2</v>
      </c>
      <c r="Q59" s="14">
        <f>'Time Series Query'!AN5-'Time Series Query'!AN6</f>
        <v>0.72366112263500781</v>
      </c>
      <c r="R59" s="18">
        <f>'Time Series Query'!AO5-'Time Series Query'!AO6</f>
        <v>-3.8188348759959911E-3</v>
      </c>
    </row>
    <row r="60" spans="3:18">
      <c r="C60" s="13" t="str">
        <f>'Time Series Query'!AG6</f>
        <v>2015-6</v>
      </c>
      <c r="D60" s="24">
        <f>'Time Series Query'!AJ6</f>
        <v>82.9819085141187</v>
      </c>
      <c r="E60" s="25">
        <f>'Time Series Query'!AK6</f>
        <v>0.32889571790605499</v>
      </c>
      <c r="F60" s="24">
        <f>'Time Series Query'!AL6</f>
        <v>34.4808601960058</v>
      </c>
      <c r="G60" s="25">
        <f>'Time Series Query'!AM6</f>
        <v>0.29706452342619799</v>
      </c>
      <c r="H60" s="24">
        <f>'Time Series Query'!AN6</f>
        <v>751.75513731710396</v>
      </c>
      <c r="I60" s="25">
        <f>'Time Series Query'!AO6</f>
        <v>0.14208337458509299</v>
      </c>
      <c r="K60" s="13" t="str">
        <f t="shared" ref="K60:K71" si="0">C60</f>
        <v>2015-6</v>
      </c>
      <c r="L60" s="13">
        <f>'Time Series Query'!AI6</f>
        <v>-0.44259907693866296</v>
      </c>
      <c r="M60" s="14">
        <f>'Time Series Query'!AJ6-'Time Series Query'!AJ7</f>
        <v>6.7656891898707272E-2</v>
      </c>
      <c r="N60" s="18">
        <f>'Time Series Query'!AK6-'Time Series Query'!AK7</f>
        <v>-1.6115843952202447E-4</v>
      </c>
      <c r="O60" s="14">
        <f>'Time Series Query'!AL6-'Time Series Query'!AL7</f>
        <v>-0.12748538236110107</v>
      </c>
      <c r="P60" s="18">
        <f>'Time Series Query'!AM6-'Time Series Query'!AM7</f>
        <v>-5.0357539183220057E-3</v>
      </c>
      <c r="Q60" s="14">
        <f>'Time Series Query'!AN6-'Time Series Query'!AN7</f>
        <v>0.33211139066793294</v>
      </c>
      <c r="R60" s="18">
        <f>'Time Series Query'!AO6-'Time Series Query'!AO7</f>
        <v>5.6312422834992049E-5</v>
      </c>
    </row>
    <row r="61" spans="3:18">
      <c r="C61" s="13" t="str">
        <f>'Time Series Query'!AG7</f>
        <v>2015-5</v>
      </c>
      <c r="D61" s="24">
        <f>'Time Series Query'!AJ7</f>
        <v>82.914251622219993</v>
      </c>
      <c r="E61" s="25">
        <f>'Time Series Query'!AK7</f>
        <v>0.32905687634557701</v>
      </c>
      <c r="F61" s="24">
        <f>'Time Series Query'!AL7</f>
        <v>34.608345578366901</v>
      </c>
      <c r="G61" s="25">
        <f>'Time Series Query'!AM7</f>
        <v>0.30210027734452</v>
      </c>
      <c r="H61" s="24">
        <f>'Time Series Query'!AN7</f>
        <v>751.42302592643603</v>
      </c>
      <c r="I61" s="25">
        <f>'Time Series Query'!AO7</f>
        <v>0.14202706216225799</v>
      </c>
      <c r="K61" s="13" t="str">
        <f t="shared" si="0"/>
        <v>2015-5</v>
      </c>
      <c r="L61" s="13">
        <f>'Time Series Query'!AI7</f>
        <v>1.1986894263626766</v>
      </c>
      <c r="M61" s="14">
        <f>'Time Series Query'!AJ7-'Time Series Query'!AJ8</f>
        <v>-2.9794525013102202E-2</v>
      </c>
      <c r="N61" s="18">
        <f>'Time Series Query'!AK7-'Time Series Query'!AK8</f>
        <v>-3.6557366854600426E-4</v>
      </c>
      <c r="O61" s="14">
        <f>'Time Series Query'!AL7-'Time Series Query'!AL8</f>
        <v>1.6468285166901353E-2</v>
      </c>
      <c r="P61" s="18">
        <f>'Time Series Query'!AM7-'Time Series Query'!AM8</f>
        <v>-1.0042954993200182E-4</v>
      </c>
      <c r="Q61" s="14">
        <f>'Time Series Query'!AN7-'Time Series Query'!AN8</f>
        <v>0.87159163013802754</v>
      </c>
      <c r="R61" s="18">
        <f>'Time Series Query'!AO7-'Time Series Query'!AO8</f>
        <v>-4.9574089439640145E-3</v>
      </c>
    </row>
    <row r="62" spans="3:18">
      <c r="C62" s="13" t="str">
        <f>'Time Series Query'!AG8</f>
        <v>2015-4</v>
      </c>
      <c r="D62" s="24">
        <f>'Time Series Query'!AJ8</f>
        <v>82.944046147233095</v>
      </c>
      <c r="E62" s="25">
        <f>'Time Series Query'!AK8</f>
        <v>0.32942245001412301</v>
      </c>
      <c r="F62" s="24">
        <f>'Time Series Query'!AL8</f>
        <v>34.5918772932</v>
      </c>
      <c r="G62" s="25">
        <f>'Time Series Query'!AM8</f>
        <v>0.302200706894452</v>
      </c>
      <c r="H62" s="24">
        <f>'Time Series Query'!AN8</f>
        <v>750.551434296298</v>
      </c>
      <c r="I62" s="25">
        <f>'Time Series Query'!AO8</f>
        <v>0.14698447110622201</v>
      </c>
      <c r="K62" s="13" t="str">
        <f t="shared" si="0"/>
        <v>2015-4</v>
      </c>
      <c r="L62" s="13">
        <f>'Time Series Query'!AI8</f>
        <v>-10.819160289196006</v>
      </c>
      <c r="M62" s="14">
        <f>'Time Series Query'!AJ8-'Time Series Query'!AJ9</f>
        <v>0.2736336914016988</v>
      </c>
      <c r="N62" s="18">
        <f>'Time Series Query'!AK8-'Time Series Query'!AK9</f>
        <v>9.9761590245310283E-3</v>
      </c>
      <c r="O62" s="14">
        <f>'Time Series Query'!AL8-'Time Series Query'!AL9</f>
        <v>-0.43828972515790099</v>
      </c>
      <c r="P62" s="18">
        <f>'Time Series Query'!AM8-'Time Series Query'!AM9</f>
        <v>-2.0389638891013029E-2</v>
      </c>
      <c r="Q62" s="14">
        <f>'Time Series Query'!AN8-'Time Series Query'!AN9</f>
        <v>1.4230236423819633</v>
      </c>
      <c r="R62" s="18">
        <f>'Time Series Query'!AO8-'Time Series Query'!AO9</f>
        <v>-1.3772427053274999E-2</v>
      </c>
    </row>
    <row r="63" spans="3:18">
      <c r="C63" s="13" t="str">
        <f>'Time Series Query'!AG9</f>
        <v>2015-3</v>
      </c>
      <c r="D63" s="24">
        <f>'Time Series Query'!AJ9</f>
        <v>82.670412455831396</v>
      </c>
      <c r="E63" s="25">
        <f>'Time Series Query'!AK9</f>
        <v>0.31944629098959199</v>
      </c>
      <c r="F63" s="24">
        <f>'Time Series Query'!AL9</f>
        <v>35.030167018357901</v>
      </c>
      <c r="G63" s="25">
        <f>'Time Series Query'!AM9</f>
        <v>0.32259034578546503</v>
      </c>
      <c r="H63" s="24">
        <f>'Time Series Query'!AN9</f>
        <v>749.12841065391603</v>
      </c>
      <c r="I63" s="25">
        <f>'Time Series Query'!AO9</f>
        <v>0.16075689815949701</v>
      </c>
      <c r="K63" s="13" t="str">
        <f t="shared" si="0"/>
        <v>2015-3</v>
      </c>
      <c r="L63" s="13">
        <f>'Time Series Query'!AI9</f>
        <v>-0.99549242061868881</v>
      </c>
      <c r="M63" s="14">
        <f>'Time Series Query'!AJ9-'Time Series Query'!AJ10</f>
        <v>-0.12702983581560545</v>
      </c>
      <c r="N63" s="18">
        <f>'Time Series Query'!AK9-'Time Series Query'!AK10</f>
        <v>-6.9493984954790422E-3</v>
      </c>
      <c r="O63" s="14">
        <f>'Time Series Query'!AL9-'Time Series Query'!AL10</f>
        <v>5.3075351905803814E-2</v>
      </c>
      <c r="P63" s="18">
        <f>'Time Series Query'!AM9-'Time Series Query'!AM10</f>
        <v>3.6749042811030086E-3</v>
      </c>
      <c r="Q63" s="14">
        <f>'Time Series Query'!AN9-'Time Series Query'!AN10</f>
        <v>-6.7008127712938403E-2</v>
      </c>
      <c r="R63" s="18">
        <f>'Time Series Query'!AO9-'Time Series Query'!AO10</f>
        <v>2.5529283929709989E-3</v>
      </c>
    </row>
    <row r="64" spans="3:18">
      <c r="C64" s="13" t="str">
        <f>'Time Series Query'!AG10</f>
        <v>2015-2</v>
      </c>
      <c r="D64" s="24">
        <f>'Time Series Query'!AJ10</f>
        <v>82.797442291647002</v>
      </c>
      <c r="E64" s="25">
        <f>'Time Series Query'!AK10</f>
        <v>0.32639568948507103</v>
      </c>
      <c r="F64" s="24">
        <f>'Time Series Query'!AL10</f>
        <v>34.977091666452097</v>
      </c>
      <c r="G64" s="25">
        <f>'Time Series Query'!AM10</f>
        <v>0.31891544150436202</v>
      </c>
      <c r="H64" s="24">
        <f>'Time Series Query'!AN10</f>
        <v>749.19541878162897</v>
      </c>
      <c r="I64" s="25">
        <f>'Time Series Query'!AO10</f>
        <v>0.15820396976652601</v>
      </c>
      <c r="K64" s="13" t="str">
        <f t="shared" si="0"/>
        <v>2015-2</v>
      </c>
      <c r="L64" s="13">
        <f>'Time Series Query'!AI10</f>
        <v>5.5776888994633396</v>
      </c>
      <c r="M64" s="14">
        <f>'Time Series Query'!AJ10-'Time Series Query'!AJ11</f>
        <v>7.0895140954704061E-2</v>
      </c>
      <c r="N64" s="18">
        <f>'Time Series Query'!AK10-'Time Series Query'!AK11</f>
        <v>6.1025018509510143E-3</v>
      </c>
      <c r="O64" s="14">
        <f>'Time Series Query'!AL10-'Time Series Query'!AL11</f>
        <v>0.15258183236129952</v>
      </c>
      <c r="P64" s="18">
        <f>'Time Series Query'!AM10-'Time Series Query'!AM11</f>
        <v>6.7142382520420374E-3</v>
      </c>
      <c r="Q64" s="14">
        <f>'Time Series Query'!AN10-'Time Series Query'!AN11</f>
        <v>-0.5177360702509759</v>
      </c>
      <c r="R64" s="18">
        <f>'Time Series Query'!AO10-'Time Series Query'!AO11</f>
        <v>2.6157648327280181E-3</v>
      </c>
    </row>
    <row r="65" spans="3:18">
      <c r="C65" s="13" t="str">
        <f>'Time Series Query'!AG11</f>
        <v>2015-1</v>
      </c>
      <c r="D65" s="24">
        <f>'Time Series Query'!AJ11</f>
        <v>82.726547150692298</v>
      </c>
      <c r="E65" s="25">
        <f>'Time Series Query'!AK11</f>
        <v>0.32029318763412001</v>
      </c>
      <c r="F65" s="24">
        <f>'Time Series Query'!AL11</f>
        <v>34.824509834090797</v>
      </c>
      <c r="G65" s="25">
        <f>'Time Series Query'!AM11</f>
        <v>0.31220120325231998</v>
      </c>
      <c r="H65" s="24">
        <f>'Time Series Query'!AN11</f>
        <v>749.71315485187995</v>
      </c>
      <c r="I65" s="25">
        <f>'Time Series Query'!AO11</f>
        <v>0.15558820493379799</v>
      </c>
      <c r="K65" s="13" t="str">
        <f t="shared" si="0"/>
        <v>2015-1</v>
      </c>
      <c r="L65" s="13">
        <f>'Time Series Query'!AI11</f>
        <v>-1.2149666502266712</v>
      </c>
      <c r="M65" s="14">
        <f>'Time Series Query'!AJ11-'Time Series Query'!AJ12</f>
        <v>7.8383429340092903E-2</v>
      </c>
      <c r="N65" s="18">
        <f>'Time Series Query'!AK11-'Time Series Query'!AK12</f>
        <v>2.0285526061060155E-3</v>
      </c>
      <c r="O65" s="14">
        <f>'Time Series Query'!AL11-'Time Series Query'!AL12</f>
        <v>-2.1505244861003803E-2</v>
      </c>
      <c r="P65" s="18">
        <f>'Time Series Query'!AM11-'Time Series Query'!AM12</f>
        <v>-2.5347460925401188E-4</v>
      </c>
      <c r="Q65" s="14">
        <f>'Time Series Query'!AN11-'Time Series Query'!AN12</f>
        <v>-0.14033598151604565</v>
      </c>
      <c r="R65" s="18">
        <f>'Time Series Query'!AO11-'Time Series Query'!AO12</f>
        <v>8.8540173103199282E-4</v>
      </c>
    </row>
    <row r="66" spans="3:18">
      <c r="C66" s="13" t="str">
        <f>'Time Series Query'!AG12</f>
        <v>2014-12</v>
      </c>
      <c r="D66" s="24">
        <f>'Time Series Query'!AJ12</f>
        <v>82.648163721352205</v>
      </c>
      <c r="E66" s="25">
        <f>'Time Series Query'!AK12</f>
        <v>0.318264635028014</v>
      </c>
      <c r="F66" s="24">
        <f>'Time Series Query'!AL12</f>
        <v>34.846015078951801</v>
      </c>
      <c r="G66" s="25">
        <f>'Time Series Query'!AM12</f>
        <v>0.31245467786157399</v>
      </c>
      <c r="H66" s="24">
        <f>'Time Series Query'!AN12</f>
        <v>749.85349083339599</v>
      </c>
      <c r="I66" s="25">
        <f>'Time Series Query'!AO12</f>
        <v>0.154702803202766</v>
      </c>
      <c r="K66" s="13" t="str">
        <f t="shared" si="0"/>
        <v>2014-12</v>
      </c>
      <c r="L66" s="13">
        <f>'Time Series Query'!AI12</f>
        <v>2.6500484790566645</v>
      </c>
      <c r="M66" s="14">
        <f>'Time Series Query'!AJ12-'Time Series Query'!AJ13</f>
        <v>-0.15572053522279816</v>
      </c>
      <c r="N66" s="18">
        <f>'Time Series Query'!AK12-'Time Series Query'!AK13</f>
        <v>-4.2832394593930179E-3</v>
      </c>
      <c r="O66" s="14">
        <f>'Time Series Query'!AL12-'Time Series Query'!AL13</f>
        <v>4.7931738127601875E-2</v>
      </c>
      <c r="P66" s="18">
        <f>'Time Series Query'!AM12-'Time Series Query'!AM13</f>
        <v>3.0363127827099934E-3</v>
      </c>
      <c r="Q66" s="14">
        <f>'Time Series Query'!AN12-'Time Series Query'!AN13</f>
        <v>0.11198276426898701</v>
      </c>
      <c r="R66" s="18">
        <f>'Time Series Query'!AO12-'Time Series Query'!AO13</f>
        <v>-1.4146780150940119E-3</v>
      </c>
    </row>
    <row r="67" spans="3:18">
      <c r="C67" s="13" t="str">
        <f>'Time Series Query'!AG13</f>
        <v>2014-11</v>
      </c>
      <c r="D67" s="24">
        <f>'Time Series Query'!AJ13</f>
        <v>82.803884256575003</v>
      </c>
      <c r="E67" s="25">
        <f>'Time Series Query'!AK13</f>
        <v>0.32254787448740702</v>
      </c>
      <c r="F67" s="24">
        <f>'Time Series Query'!AL13</f>
        <v>34.798083340824199</v>
      </c>
      <c r="G67" s="25">
        <f>'Time Series Query'!AM13</f>
        <v>0.309418365078864</v>
      </c>
      <c r="H67" s="24">
        <f>'Time Series Query'!AN13</f>
        <v>749.74150806912701</v>
      </c>
      <c r="I67" s="25">
        <f>'Time Series Query'!AO13</f>
        <v>0.15611748121786001</v>
      </c>
      <c r="K67" s="13" t="str">
        <f t="shared" si="0"/>
        <v>2014-11</v>
      </c>
      <c r="L67" s="13">
        <f>'Time Series Query'!AI13</f>
        <v>3.7901319208433364</v>
      </c>
      <c r="M67" s="14">
        <f>'Time Series Query'!AJ13-'Time Series Query'!AJ14</f>
        <v>8.2113372746604796E-2</v>
      </c>
      <c r="N67" s="18">
        <f>'Time Series Query'!AK13-'Time Series Query'!AK14</f>
        <v>6.8742497332109909E-3</v>
      </c>
      <c r="O67" s="14">
        <f>'Time Series Query'!AL13-'Time Series Query'!AL14</f>
        <v>0.18889138165249619</v>
      </c>
      <c r="P67" s="18">
        <f>'Time Series Query'!AM13-'Time Series Query'!AM14</f>
        <v>8.1368697244790233E-3</v>
      </c>
      <c r="Q67" s="14">
        <f>'Time Series Query'!AN13-'Time Series Query'!AN14</f>
        <v>-1.1521099473769709</v>
      </c>
      <c r="R67" s="18">
        <f>'Time Series Query'!AO13-'Time Series Query'!AO14</f>
        <v>8.7307010589090239E-3</v>
      </c>
    </row>
    <row r="68" spans="3:18">
      <c r="C68" s="13" t="str">
        <f>'Time Series Query'!AG14</f>
        <v>2014-10</v>
      </c>
      <c r="D68" s="24">
        <f>'Time Series Query'!AJ14</f>
        <v>82.721770883828398</v>
      </c>
      <c r="E68" s="25">
        <f>'Time Series Query'!AK14</f>
        <v>0.31567362475419602</v>
      </c>
      <c r="F68" s="24">
        <f>'Time Series Query'!AL14</f>
        <v>34.609191959171703</v>
      </c>
      <c r="G68" s="25">
        <f>'Time Series Query'!AM14</f>
        <v>0.30128149535438498</v>
      </c>
      <c r="H68" s="24">
        <f>'Time Series Query'!AN14</f>
        <v>750.89361801650398</v>
      </c>
      <c r="I68" s="25">
        <f>'Time Series Query'!AO14</f>
        <v>0.14738678015895099</v>
      </c>
      <c r="K68" s="13" t="str">
        <f t="shared" si="0"/>
        <v>2014-10</v>
      </c>
      <c r="L68" s="13">
        <f>'Time Series Query'!AI14</f>
        <v>0.49197567056067726</v>
      </c>
      <c r="M68" s="14">
        <f>'Time Series Query'!AJ14-'Time Series Query'!AJ15</f>
        <v>2.9560646909899901E-2</v>
      </c>
      <c r="N68" s="18">
        <f>'Time Series Query'!AK14-'Time Series Query'!AK15</f>
        <v>3.3498610886890101E-3</v>
      </c>
      <c r="O68" s="14">
        <f>'Time Series Query'!AL14-'Time Series Query'!AL15</f>
        <v>0.16492098755930584</v>
      </c>
      <c r="P68" s="18">
        <f>'Time Series Query'!AM14-'Time Series Query'!AM15</f>
        <v>8.745661053014997E-3</v>
      </c>
      <c r="Q68" s="14">
        <f>'Time Series Query'!AN14-'Time Series Query'!AN15</f>
        <v>-1.8311267731974112E-2</v>
      </c>
      <c r="R68" s="18">
        <f>'Time Series Query'!AO14-'Time Series Query'!AO15</f>
        <v>7.4610783187598062E-4</v>
      </c>
    </row>
    <row r="69" spans="3:18">
      <c r="C69" s="13" t="str">
        <f>'Time Series Query'!AG15</f>
        <v>2014-9</v>
      </c>
      <c r="D69" s="24">
        <f>'Time Series Query'!AJ15</f>
        <v>82.692210236918498</v>
      </c>
      <c r="E69" s="25">
        <f>'Time Series Query'!AK15</f>
        <v>0.31232376366550701</v>
      </c>
      <c r="F69" s="24">
        <f>'Time Series Query'!AL15</f>
        <v>34.444270971612397</v>
      </c>
      <c r="G69" s="25">
        <f>'Time Series Query'!AM15</f>
        <v>0.29253583430136998</v>
      </c>
      <c r="H69" s="24">
        <f>'Time Series Query'!AN15</f>
        <v>750.91192928423595</v>
      </c>
      <c r="I69" s="25">
        <f>'Time Series Query'!AO15</f>
        <v>0.14664067232707501</v>
      </c>
      <c r="K69" s="13" t="str">
        <f t="shared" si="0"/>
        <v>2014-9</v>
      </c>
      <c r="L69" s="13">
        <f>'Time Series Query'!AI15</f>
        <v>-0.11322836864734143</v>
      </c>
      <c r="M69" s="14">
        <f>'Time Series Query'!AJ15-'Time Series Query'!AJ16</f>
        <v>-6.4497367556697327E-2</v>
      </c>
      <c r="N69" s="18">
        <f>'Time Series Query'!AK15-'Time Series Query'!AK16</f>
        <v>-4.7971272933429732E-3</v>
      </c>
      <c r="O69" s="14">
        <f>'Time Series Query'!AL15-'Time Series Query'!AL16</f>
        <v>0.1215315726392987</v>
      </c>
      <c r="P69" s="18">
        <f>'Time Series Query'!AM15-'Time Series Query'!AM16</f>
        <v>3.4325559713669906E-3</v>
      </c>
      <c r="Q69" s="14">
        <f>'Time Series Query'!AN15-'Time Series Query'!AN16</f>
        <v>-0.58704392486504275</v>
      </c>
      <c r="R69" s="18">
        <f>'Time Series Query'!AO15-'Time Series Query'!AO16</f>
        <v>4.5501690700389952E-3</v>
      </c>
    </row>
    <row r="70" spans="3:18">
      <c r="C70" s="13" t="str">
        <f>'Time Series Query'!AG16</f>
        <v>2014-8</v>
      </c>
      <c r="D70" s="24">
        <f>'Time Series Query'!AJ16</f>
        <v>82.756707604475196</v>
      </c>
      <c r="E70" s="25">
        <f>'Time Series Query'!AK16</f>
        <v>0.31712089095884999</v>
      </c>
      <c r="F70" s="24">
        <f>'Time Series Query'!AL16</f>
        <v>34.322739398973098</v>
      </c>
      <c r="G70" s="25">
        <f>'Time Series Query'!AM16</f>
        <v>0.28910327833000299</v>
      </c>
      <c r="H70" s="24">
        <f>'Time Series Query'!AN16</f>
        <v>751.498973209101</v>
      </c>
      <c r="I70" s="25">
        <f>'Time Series Query'!AO16</f>
        <v>0.14209050325703601</v>
      </c>
      <c r="K70" s="13" t="str">
        <f t="shared" si="0"/>
        <v>2014-8</v>
      </c>
      <c r="L70" s="13">
        <f>'Time Series Query'!AI16</f>
        <v>-5.0739057982933389</v>
      </c>
      <c r="M70" s="14">
        <f>'Time Series Query'!AJ16-'Time Series Query'!AJ17</f>
        <v>-6.397834268410918E-2</v>
      </c>
      <c r="N70" s="18">
        <f>'Time Series Query'!AK16-'Time Series Query'!AK17</f>
        <v>-1.770074825293011E-3</v>
      </c>
      <c r="O70" s="14">
        <f>'Time Series Query'!AL16-'Time Series Query'!AL17</f>
        <v>-0.14591885533010185</v>
      </c>
      <c r="P70" s="18">
        <f>'Time Series Query'!AM16-'Time Series Query'!AM17</f>
        <v>-3.1697787516979936E-3</v>
      </c>
      <c r="Q70" s="14">
        <f>'Time Series Query'!AN16-'Time Series Query'!AN17</f>
        <v>0.15527027282894323</v>
      </c>
      <c r="R70" s="18">
        <f>'Time Series Query'!AO16-'Time Series Query'!AO17</f>
        <v>-7.0341335663998139E-4</v>
      </c>
    </row>
    <row r="71" spans="3:18">
      <c r="C71" s="13" t="str">
        <f>'Time Series Query'!AG17</f>
        <v>2014-7</v>
      </c>
      <c r="D71" s="24">
        <f>'Time Series Query'!AJ17</f>
        <v>82.820685947159305</v>
      </c>
      <c r="E71" s="25">
        <f>'Time Series Query'!AK17</f>
        <v>0.318890965784143</v>
      </c>
      <c r="F71" s="24">
        <f>'Time Series Query'!AL17</f>
        <v>34.4686582543032</v>
      </c>
      <c r="G71" s="25">
        <f>'Time Series Query'!AM17</f>
        <v>0.29227305708170098</v>
      </c>
      <c r="H71" s="24">
        <f>'Time Series Query'!AN17</f>
        <v>751.34370293627205</v>
      </c>
      <c r="I71" s="25">
        <f>'Time Series Query'!AO17</f>
        <v>0.14279391661367599</v>
      </c>
      <c r="K71" s="13" t="str">
        <f t="shared" si="0"/>
        <v>2014-7</v>
      </c>
      <c r="L71" s="13">
        <f>'Time Series Query'!AI17</f>
        <v>3.3578951789013445</v>
      </c>
      <c r="M71" s="14">
        <f>'Time Series Query'!AJ17-'Time Series Query'!AJ18</f>
        <v>0.14628324897481093</v>
      </c>
      <c r="N71" s="18">
        <f>'Time Series Query'!AK17-'Time Series Query'!AK18</f>
        <v>3.6004491435340236E-3</v>
      </c>
      <c r="O71" s="14">
        <f>'Time Series Query'!AL17-'Time Series Query'!AL18</f>
        <v>-0.19019800578239909</v>
      </c>
      <c r="P71" s="18">
        <f>'Time Series Query'!AM17-'Time Series Query'!AM18</f>
        <v>-6.5600763869240186E-3</v>
      </c>
      <c r="Q71" s="14">
        <f>'Time Series Query'!AN17-'Time Series Query'!AN18</f>
        <v>1.9454667220770716E-3</v>
      </c>
      <c r="R71" s="18">
        <f>'Time Series Query'!AO17-'Time Series Query'!AO18</f>
        <v>2.3879020004629881E-3</v>
      </c>
    </row>
    <row r="72" spans="3:18">
      <c r="C72" t="s">
        <v>171</v>
      </c>
    </row>
  </sheetData>
  <conditionalFormatting sqref="L59:N71">
    <cfRule type="cellIs" dxfId="2" priority="34" operator="lessThan">
      <formula>0</formula>
    </cfRule>
  </conditionalFormatting>
  <conditionalFormatting sqref="D59:D71">
    <cfRule type="colorScale" priority="21">
      <colorScale>
        <cfvo type="min"/>
        <cfvo type="max"/>
        <color theme="0"/>
        <color theme="3" tint="0.59999389629810485"/>
      </colorScale>
    </cfRule>
  </conditionalFormatting>
  <conditionalFormatting sqref="E59:E71">
    <cfRule type="colorScale" priority="19">
      <colorScale>
        <cfvo type="min"/>
        <cfvo type="max"/>
        <color theme="0"/>
        <color theme="3" tint="0.59999389629810485"/>
      </colorScale>
    </cfRule>
  </conditionalFormatting>
  <conditionalFormatting sqref="F59:F71">
    <cfRule type="colorScale" priority="10">
      <colorScale>
        <cfvo type="min"/>
        <cfvo type="max"/>
        <color theme="0"/>
        <color theme="3" tint="0.59999389629810485"/>
      </colorScale>
    </cfRule>
  </conditionalFormatting>
  <conditionalFormatting sqref="G59:G71">
    <cfRule type="colorScale" priority="8">
      <colorScale>
        <cfvo type="min"/>
        <cfvo type="max"/>
        <color theme="0"/>
        <color theme="3" tint="0.59999389629810485"/>
      </colorScale>
    </cfRule>
  </conditionalFormatting>
  <conditionalFormatting sqref="H59:H71">
    <cfRule type="colorScale" priority="6">
      <colorScale>
        <cfvo type="min"/>
        <cfvo type="max"/>
        <color theme="3" tint="0.59999389629810485"/>
        <color theme="0"/>
      </colorScale>
    </cfRule>
  </conditionalFormatting>
  <conditionalFormatting sqref="I59:I71">
    <cfRule type="colorScale" priority="4">
      <colorScale>
        <cfvo type="min"/>
        <cfvo type="max"/>
        <color theme="0"/>
        <color theme="3" tint="0.59999389629810485"/>
      </colorScale>
    </cfRule>
  </conditionalFormatting>
  <conditionalFormatting sqref="O59:P71">
    <cfRule type="cellIs" dxfId="1" priority="3" operator="lessThan">
      <formula>0</formula>
    </cfRule>
  </conditionalFormatting>
  <conditionalFormatting sqref="Q59:R71">
    <cfRule type="cellIs" dxfId="0" priority="2" operator="lessThan">
      <formula>0</formula>
    </cfRule>
  </conditionalFormatting>
  <dataValidations disablePrompts="1" count="2">
    <dataValidation type="list" allowBlank="1" showInputMessage="1" showErrorMessage="1" sqref="Z1">
      <formula1>"Yes, No"</formula1>
    </dataValidation>
    <dataValidation type="list" allowBlank="1" showInputMessage="1" showErrorMessage="1" sqref="X1">
      <formula1>"PROD, DEV"</formula1>
    </dataValidation>
  </dataValidations>
  <pageMargins left="0.25" right="0.25" top="0.255" bottom="0.25" header="0.1" footer="0.1"/>
  <pageSetup scale="58" orientation="landscape" r:id="rId1"/>
  <headerFooter scaleWithDoc="0">
    <oddHeader>&amp;L&amp;G&amp;C&amp;"-,Bold"&amp;10&amp;K2E398A
&amp;15Credit Availability Index&amp;R&amp;"-,Bold"&amp;10&amp;K2E398A
As of 08/20/2015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59999389629810485"/>
    <pageSetUpPr fitToPage="1"/>
  </sheetPr>
  <dimension ref="A1"/>
  <sheetViews>
    <sheetView showGridLines="0" topLeftCell="A25" zoomScale="90" zoomScaleNormal="90" workbookViewId="0">
      <selection activeCell="S55" sqref="S55"/>
    </sheetView>
  </sheetViews>
  <sheetFormatPr defaultRowHeight="15"/>
  <cols>
    <col min="2" max="2" width="22.140625" customWidth="1"/>
    <col min="3" max="4" width="12.140625" bestFit="1" customWidth="1"/>
    <col min="5" max="5" width="17.140625" bestFit="1" customWidth="1"/>
    <col min="6" max="6" width="24.140625" bestFit="1" customWidth="1"/>
    <col min="7" max="12" width="15.28515625" customWidth="1"/>
    <col min="13" max="16" width="12.140625" bestFit="1" customWidth="1"/>
    <col min="17" max="17" width="12.85546875" customWidth="1"/>
    <col min="19" max="19" width="16" bestFit="1" customWidth="1"/>
    <col min="20" max="20" width="24.140625" customWidth="1"/>
    <col min="21" max="21" width="15.7109375" bestFit="1" customWidth="1"/>
  </cols>
  <sheetData/>
  <pageMargins left="0.25" right="0.25" top="0.255" bottom="0.25" header="0.1" footer="0.1"/>
  <pageSetup scale="65" orientation="landscape" horizontalDpi="300" verticalDpi="300" r:id="rId1"/>
  <headerFooter scaleWithDoc="0">
    <oddHeader xml:space="preserve">&amp;L&amp;G&amp;C&amp;"-,Bold"&amp;15&amp;K2E398A
Credit Availability Index - Components Analysis&amp;R&amp;"-,Bold"&amp;10&amp;K2E398A
</oddHeader>
    <oddFooter>&amp;L&amp;10&amp;K2E398AReport created on &amp;D &amp;T&amp;C&amp;G
&amp;8&amp;K2E398APage &amp;P of &amp;N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CQ263"/>
  <sheetViews>
    <sheetView topLeftCell="BC1" workbookViewId="0">
      <selection activeCell="BL24" sqref="BL24"/>
    </sheetView>
  </sheetViews>
  <sheetFormatPr defaultRowHeight="15"/>
  <cols>
    <col min="1" max="8" width="10" style="5" customWidth="1"/>
    <col min="9" max="9" width="10" style="26" customWidth="1"/>
    <col min="10" max="11" width="10" style="5" customWidth="1"/>
    <col min="12" max="12" width="10" style="26" customWidth="1"/>
    <col min="13" max="16" width="10" style="5" customWidth="1"/>
    <col min="17" max="17" width="10" style="30" customWidth="1"/>
    <col min="18" max="24" width="10" style="5" customWidth="1"/>
    <col min="25" max="25" width="10" style="26" customWidth="1"/>
    <col min="26" max="28" width="10" style="5" customWidth="1"/>
    <col min="29" max="29" width="12.28515625" style="5" customWidth="1"/>
    <col min="30" max="43" width="9.140625" style="5"/>
    <col min="44" max="47" width="10" style="5" customWidth="1"/>
    <col min="48" max="48" width="9.140625" style="5"/>
    <col min="49" max="52" width="10" style="5" customWidth="1"/>
    <col min="53" max="53" width="9.140625" style="5"/>
    <col min="54" max="55" width="10" style="5" customWidth="1"/>
    <col min="56" max="58" width="9.140625" style="5"/>
    <col min="59" max="59" width="17.85546875" style="5" bestFit="1" customWidth="1"/>
    <col min="60" max="60" width="14.140625" style="5" bestFit="1" customWidth="1"/>
    <col min="61" max="61" width="12" style="5" bestFit="1" customWidth="1"/>
    <col min="62" max="62" width="7.5703125" style="5" bestFit="1" customWidth="1"/>
    <col min="63" max="66" width="12" style="5" bestFit="1" customWidth="1"/>
    <col min="67" max="68" width="12" style="5" customWidth="1"/>
    <col min="69" max="69" width="14.28515625" style="5" bestFit="1" customWidth="1"/>
    <col min="70" max="74" width="12" style="5" bestFit="1" customWidth="1"/>
    <col min="75" max="76" width="9.140625" style="5"/>
    <col min="77" max="77" width="10.140625" style="5" bestFit="1" customWidth="1"/>
    <col min="78" max="78" width="14.140625" style="5" bestFit="1" customWidth="1"/>
    <col min="79" max="79" width="10" style="5" customWidth="1"/>
    <col min="80" max="80" width="9.140625" style="5"/>
    <col min="81" max="81" width="10.140625" style="5" bestFit="1" customWidth="1"/>
    <col min="82" max="82" width="14.140625" style="5" bestFit="1" customWidth="1"/>
    <col min="83" max="83" width="10" style="5" customWidth="1"/>
    <col min="84" max="84" width="9.140625" style="5"/>
    <col min="85" max="85" width="14" style="5" bestFit="1" customWidth="1"/>
    <col min="86" max="86" width="14.140625" style="5" bestFit="1" customWidth="1"/>
    <col min="87" max="88" width="9.140625" style="5"/>
    <col min="89" max="89" width="17.85546875" style="5" bestFit="1" customWidth="1"/>
    <col min="90" max="90" width="14.140625" style="5" bestFit="1" customWidth="1"/>
    <col min="91" max="91" width="7.5703125" style="5" bestFit="1" customWidth="1"/>
    <col min="92" max="93" width="12" style="5" bestFit="1" customWidth="1"/>
    <col min="94" max="94" width="11" style="5" bestFit="1" customWidth="1"/>
    <col min="95" max="95" width="12" style="5" bestFit="1" customWidth="1"/>
    <col min="96" max="16384" width="9.140625" style="5"/>
  </cols>
  <sheetData>
    <row r="1" spans="1:95">
      <c r="C1" s="5" t="s">
        <v>166</v>
      </c>
      <c r="D1" s="5">
        <v>1.4999999999999999E-2</v>
      </c>
    </row>
    <row r="3" spans="1:95" ht="21">
      <c r="A3" s="17" t="s">
        <v>34</v>
      </c>
      <c r="G3" s="17" t="s">
        <v>175</v>
      </c>
      <c r="K3" s="17" t="s">
        <v>174</v>
      </c>
      <c r="O3" s="17" t="s">
        <v>159</v>
      </c>
      <c r="S3" s="17" t="s">
        <v>160</v>
      </c>
      <c r="W3" s="17" t="s">
        <v>161</v>
      </c>
      <c r="AA3" s="17" t="s">
        <v>162</v>
      </c>
      <c r="AE3" s="17" t="s">
        <v>164</v>
      </c>
      <c r="AR3" s="17" t="s">
        <v>180</v>
      </c>
      <c r="AW3" s="17" t="s">
        <v>181</v>
      </c>
      <c r="BB3" s="17" t="s">
        <v>182</v>
      </c>
      <c r="BG3" s="17" t="s">
        <v>184</v>
      </c>
      <c r="BY3" s="17" t="s">
        <v>180</v>
      </c>
      <c r="BZ3" s="17" t="s">
        <v>185</v>
      </c>
      <c r="CC3" s="17" t="s">
        <v>181</v>
      </c>
      <c r="CD3" s="17" t="s">
        <v>185</v>
      </c>
      <c r="CG3" s="17" t="s">
        <v>182</v>
      </c>
      <c r="CH3" s="17" t="s">
        <v>185</v>
      </c>
      <c r="CK3" s="17" t="s">
        <v>184</v>
      </c>
    </row>
    <row r="4" spans="1:95" s="12" customFormat="1">
      <c r="A4" s="12" t="s">
        <v>32</v>
      </c>
      <c r="B4" s="12" t="s">
        <v>5</v>
      </c>
      <c r="C4" s="16" t="s">
        <v>163</v>
      </c>
      <c r="D4" s="16" t="s">
        <v>158</v>
      </c>
      <c r="E4"/>
      <c r="G4" s="12" t="s">
        <v>32</v>
      </c>
      <c r="H4" s="12" t="s">
        <v>5</v>
      </c>
      <c r="I4" s="12" t="s">
        <v>176</v>
      </c>
      <c r="K4" s="12" t="s">
        <v>32</v>
      </c>
      <c r="L4" s="28" t="s">
        <v>5</v>
      </c>
      <c r="O4" s="12" t="s">
        <v>32</v>
      </c>
      <c r="P4" s="12" t="s">
        <v>5</v>
      </c>
      <c r="Q4" s="12" t="s">
        <v>170</v>
      </c>
      <c r="S4" s="12" t="s">
        <v>32</v>
      </c>
      <c r="T4" s="12" t="s">
        <v>5</v>
      </c>
      <c r="W4" s="12" t="s">
        <v>32</v>
      </c>
      <c r="X4" s="12" t="s">
        <v>5</v>
      </c>
      <c r="Y4" s="28" t="s">
        <v>169</v>
      </c>
      <c r="AA4" s="12" t="s">
        <v>32</v>
      </c>
      <c r="AB4" s="12" t="s">
        <v>5</v>
      </c>
      <c r="AE4" s="12" t="s">
        <v>32</v>
      </c>
      <c r="AF4" s="12" t="s">
        <v>5</v>
      </c>
      <c r="AG4" s="16" t="s">
        <v>163</v>
      </c>
      <c r="AH4" s="16" t="s">
        <v>158</v>
      </c>
      <c r="AI4" s="12" t="s">
        <v>165</v>
      </c>
      <c r="AJ4" s="12" t="s">
        <v>177</v>
      </c>
      <c r="AK4" s="12" t="s">
        <v>176</v>
      </c>
      <c r="AL4" s="12" t="s">
        <v>167</v>
      </c>
      <c r="AM4" s="12" t="s">
        <v>170</v>
      </c>
      <c r="AN4" s="12" t="s">
        <v>168</v>
      </c>
      <c r="AO4" s="12" t="s">
        <v>169</v>
      </c>
      <c r="AR4" s="12" t="s">
        <v>32</v>
      </c>
      <c r="AS4" s="12" t="s">
        <v>5</v>
      </c>
      <c r="AT4" s="38" t="s">
        <v>183</v>
      </c>
      <c r="AU4" s="38"/>
      <c r="AW4" s="12" t="s">
        <v>32</v>
      </c>
      <c r="AX4" s="12" t="s">
        <v>5</v>
      </c>
      <c r="AY4" s="38" t="s">
        <v>183</v>
      </c>
      <c r="AZ4" s="38"/>
      <c r="BB4" s="12" t="s">
        <v>32</v>
      </c>
      <c r="BC4" s="12" t="s">
        <v>5</v>
      </c>
      <c r="BD4" s="38" t="s">
        <v>183</v>
      </c>
      <c r="BE4" s="38"/>
      <c r="BG4" s="12" t="s">
        <v>32</v>
      </c>
      <c r="BH4" s="12" t="s">
        <v>5</v>
      </c>
      <c r="BI4" s="38" t="s">
        <v>183</v>
      </c>
      <c r="BJ4" s="38" t="s">
        <v>163</v>
      </c>
      <c r="BK4" s="38" t="s">
        <v>184</v>
      </c>
      <c r="BL4" s="38" t="s">
        <v>180</v>
      </c>
      <c r="BM4" s="38" t="s">
        <v>181</v>
      </c>
      <c r="BN4" s="38" t="s">
        <v>182</v>
      </c>
      <c r="BO4" s="12" t="s">
        <v>203</v>
      </c>
      <c r="BP4" s="12" t="s">
        <v>206</v>
      </c>
      <c r="BQ4" s="12" t="s">
        <v>205</v>
      </c>
      <c r="BR4" s="12" t="s">
        <v>193</v>
      </c>
      <c r="BS4" s="12" t="s">
        <v>194</v>
      </c>
      <c r="BT4" s="12" t="s">
        <v>196</v>
      </c>
      <c r="BU4" s="12" t="s">
        <v>197</v>
      </c>
      <c r="BV4" s="12" t="s">
        <v>198</v>
      </c>
      <c r="BW4" s="12" t="s">
        <v>207</v>
      </c>
      <c r="BY4" s="12" t="s">
        <v>32</v>
      </c>
      <c r="BZ4" s="12" t="s">
        <v>5</v>
      </c>
      <c r="CA4" s="38"/>
      <c r="CC4" s="12" t="s">
        <v>32</v>
      </c>
      <c r="CD4" s="12" t="s">
        <v>5</v>
      </c>
      <c r="CE4" s="38"/>
      <c r="CG4" s="12" t="s">
        <v>32</v>
      </c>
      <c r="CH4" s="12" t="s">
        <v>5</v>
      </c>
      <c r="CI4" s="38"/>
      <c r="CK4" s="12" t="s">
        <v>32</v>
      </c>
      <c r="CL4" s="12" t="s">
        <v>5</v>
      </c>
      <c r="CM4" s="38" t="s">
        <v>163</v>
      </c>
      <c r="CN4" s="38" t="s">
        <v>184</v>
      </c>
      <c r="CO4" s="38" t="s">
        <v>180</v>
      </c>
      <c r="CP4" s="38" t="s">
        <v>181</v>
      </c>
      <c r="CQ4" s="38" t="s">
        <v>182</v>
      </c>
    </row>
    <row r="5" spans="1:95" s="6" customFormat="1" ht="12.75">
      <c r="A5" s="7" t="s">
        <v>33</v>
      </c>
      <c r="B5" s="11">
        <v>2.1503360827248699E-2</v>
      </c>
      <c r="C5" s="11" t="str">
        <f>YEAR(CurrentMtgRatesDataTable8[[#This Row],[asofdate]])&amp;"-"&amp;MONTH(CurrentMtgRatesDataTable8[[#This Row],[asofdate]])</f>
        <v>2003-5</v>
      </c>
      <c r="D5" s="6">
        <f>((CurrentMtgRatesDataTable8[[#This Row],[SeriesNumValue]]-$D$1)/$D$1+1)*100</f>
        <v>143.35573884832468</v>
      </c>
      <c r="G5" s="7" t="s">
        <v>33</v>
      </c>
      <c r="H5" s="11">
        <v>81.538852649696196</v>
      </c>
      <c r="I5" s="26">
        <f>VLOOKUP(CurrentMtgRatesDataTable82[[#This Row],[asofdate]],K:L,2,0)</f>
        <v>0.27376208038861399</v>
      </c>
      <c r="K5" s="7" t="s">
        <v>33</v>
      </c>
      <c r="L5" s="26">
        <v>0.27376208038861399</v>
      </c>
      <c r="O5" s="7" t="s">
        <v>33</v>
      </c>
      <c r="P5" s="11">
        <v>33.491005416991001</v>
      </c>
      <c r="Q5" s="29">
        <f>VLOOKUP(CurrentMtgRatesDataTable84[[#This Row],[asofdate]],S:T,2,0)</f>
        <v>1.32135014796563E-2</v>
      </c>
      <c r="S5" s="7" t="s">
        <v>33</v>
      </c>
      <c r="T5" s="11">
        <v>1.32135014796563E-2</v>
      </c>
      <c r="W5" s="7" t="s">
        <v>33</v>
      </c>
      <c r="X5" s="11">
        <v>721.81850787939095</v>
      </c>
      <c r="Y5" s="26">
        <f>VLOOKUP(CurrentMtgRatesDataTable86[[#This Row],[asofdate]],AA:AB,2,0)</f>
        <v>0.32555257693198197</v>
      </c>
      <c r="AA5" s="7" t="s">
        <v>33</v>
      </c>
      <c r="AB5" s="11">
        <v>0.32555257693198197</v>
      </c>
      <c r="AE5" s="7" t="s">
        <v>179</v>
      </c>
      <c r="AF5" s="11">
        <v>1.6458059896986101E-2</v>
      </c>
      <c r="AG5" s="11" t="str">
        <f>YEAR(CurrentMtgRatesDataTable89[[#This Row],[asofdate]])&amp;"-"&amp;MONTH(CurrentMtgRatesDataTable89[[#This Row],[asofdate]])</f>
        <v>2015-7</v>
      </c>
      <c r="AH5" s="6">
        <f>((CurrentMtgRatesDataTable89[[#This Row],[SeriesNumValue]]-$D$1)/$D$1+1)*100</f>
        <v>109.72039931324066</v>
      </c>
      <c r="AI5" s="6">
        <f>CurrentMtgRatesDataTable89[[#This Row],[Index]]-AH6</f>
        <v>-9.237159696622669</v>
      </c>
      <c r="AJ5" s="6">
        <f>VLOOKUP(CurrentMtgRatesDataTable89[[#This Row],[asofdate]],G:H,2,0)</f>
        <v>83.002963149384598</v>
      </c>
      <c r="AK5" s="6">
        <f>VLOOKUP(CurrentMtgRatesDataTable89[[#This Row],[asofdate]],K:L,2,0)</f>
        <v>0.32916665260221001</v>
      </c>
      <c r="AL5" s="6">
        <f>VLOOKUP(CurrentMtgRatesDataTable89[[#This Row],[asofdate]],O:P,2,0)</f>
        <v>34.176472196339503</v>
      </c>
      <c r="AM5" s="6">
        <f>VLOOKUP(CurrentMtgRatesDataTable89[[#This Row],[asofdate]],S:T,2,0)</f>
        <v>0.28482112233552798</v>
      </c>
      <c r="AN5" s="6">
        <f>VLOOKUP(CurrentMtgRatesDataTable89[[#This Row],[asofdate]],W:X,2,0)</f>
        <v>752.47879843973897</v>
      </c>
      <c r="AO5" s="6">
        <f>VLOOKUP(CurrentMtgRatesDataTable89[[#This Row],[asofdate]],AA:AB,2,0)</f>
        <v>0.138264539709097</v>
      </c>
      <c r="AR5" s="7" t="s">
        <v>33</v>
      </c>
      <c r="AS5" s="11">
        <v>9.4285995591371505E-2</v>
      </c>
      <c r="AT5" s="35">
        <f>((CurrentMtgRatesDataTable8711[[#This Row],[SeriesNumValue]]-$D$1)/$D$1+1)*100</f>
        <v>628.57330394247674</v>
      </c>
      <c r="AU5" s="35"/>
      <c r="AW5" s="7" t="s">
        <v>33</v>
      </c>
      <c r="AX5" s="11">
        <v>7.43698517370701E-2</v>
      </c>
      <c r="AY5" s="35">
        <f>((CurrentMtgRatesDataTable871112[[#This Row],[SeriesNumValue]]-$D$1)/$D$1+1)*100</f>
        <v>495.79901158046732</v>
      </c>
      <c r="AZ5" s="35"/>
      <c r="BB5" s="7" t="s">
        <v>33</v>
      </c>
      <c r="BC5" s="11">
        <v>2.32616667999501E-2</v>
      </c>
      <c r="BD5" s="39">
        <f>((CurrentMtgRatesDataTable87111213[[#This Row],[SeriesNumValue]]-$D$1)/$D$1+1)*100</f>
        <v>155.07777866633398</v>
      </c>
      <c r="BE5" s="39"/>
      <c r="BG5" s="7" t="s">
        <v>33</v>
      </c>
      <c r="BH5" s="11">
        <v>2.1450741055419598E-2</v>
      </c>
      <c r="BI5" s="39">
        <f>((CurrentMtgRatesDataTable8711121314[[#This Row],[SeriesNumValue]]-$D$1)/$D$1+1)*100</f>
        <v>143.00494036946398</v>
      </c>
      <c r="BJ5" s="39" t="str">
        <f>YEAR(CurrentMtgRatesDataTable8711121314[[#This Row],[asofdate]])&amp;"-"&amp;MONTH(CurrentMtgRatesDataTable8711121314[[#This Row],[asofdate]])</f>
        <v>2003-5</v>
      </c>
      <c r="BK5" s="39">
        <f>CurrentMtgRatesDataTable8711121314[[#This Row],[SeriesNumValue]]</f>
        <v>2.1450741055419598E-2</v>
      </c>
      <c r="BL5" s="39">
        <f>VLOOKUP(CurrentMtgRatesDataTable8711121314[[#This Row],[asofdate]],AR:AT,2,0)</f>
        <v>9.4285995591371505E-2</v>
      </c>
      <c r="BM5" s="35">
        <f>IF(VLOOKUP(CurrentMtgRatesDataTable8711121314[[#This Row],[asofdate]],AW:AY,2,0)&lt;&gt;0,VLOOKUP(CurrentMtgRatesDataTable8711121314[[#This Row],[asofdate]],AW:AY,2,0),BM4)</f>
        <v>7.43698517370701E-2</v>
      </c>
      <c r="BN5" s="35">
        <f>VLOOKUP(CurrentMtgRatesDataTable8711121314[[#This Row],[asofdate]],BB:BD,2,0)</f>
        <v>2.32616667999501E-2</v>
      </c>
      <c r="BO5" s="35">
        <f>CurrentMtgRatesDataTable8711121314[[#This Row],[FHA]]+0.5*CurrentMtgRatesDataTable8711121314[[#This Row],[Conventional]]</f>
        <v>0.10501136611908131</v>
      </c>
      <c r="BP5" s="35">
        <f>2*CurrentMtgRatesDataTable8711121314[[#This Row],[FHA]]</f>
        <v>0.18857199118274301</v>
      </c>
      <c r="BQ5" s="11">
        <f>VLOOKUP(YEAR(CurrentMtgRatesDataTable8711121314[[#This Row],[asofdate]]),OriginationVolume!$A:$N,8,FALSE)</f>
        <v>0.66040268456375839</v>
      </c>
      <c r="BR5" s="11">
        <f>VLOOKUP(YEAR(CurrentMtgRatesDataTable8711121314[[#This Row],[asofdate]]),OriginationVolume!$A:$N,9,FALSE)</f>
        <v>1.4765100671140939E-2</v>
      </c>
      <c r="BS5" s="11">
        <f>VLOOKUP(YEAR(CurrentMtgRatesDataTable8711121314[[#This Row],[asofdate]]),OriginationVolume!$A:$N,10,FALSE)</f>
        <v>4.429530201342282E-2</v>
      </c>
      <c r="BT5" s="11">
        <f>VLOOKUP(YEAR(CurrentMtgRatesDataTable8711121314[[#This Row],[asofdate]]),OriginationVolume!$A:$N,11,FALSE)</f>
        <v>0.17449664429530201</v>
      </c>
      <c r="BU5" s="11">
        <f>VLOOKUP(YEAR(CurrentMtgRatesDataTable8711121314[[#This Row],[asofdate]]),OriginationVolume!$A:$N,12,FALSE)</f>
        <v>2.2818791946308724E-2</v>
      </c>
      <c r="BV5" s="11">
        <f>VLOOKUP(YEAR(CurrentMtgRatesDataTable8711121314[[#This Row],[asofdate]]),OriginationVolume!$A:$N,13,FALSE)</f>
        <v>8.3221476510067116E-2</v>
      </c>
      <c r="BW5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4.1273186358991243E-2</v>
      </c>
      <c r="BY5" s="7" t="s">
        <v>33</v>
      </c>
      <c r="BZ5" s="11">
        <v>113035000</v>
      </c>
      <c r="CA5" s="35"/>
      <c r="CC5" s="7" t="s">
        <v>33</v>
      </c>
      <c r="CD5" s="11">
        <v>30154000</v>
      </c>
      <c r="CE5" s="35"/>
      <c r="CG5" s="7" t="s">
        <v>33</v>
      </c>
      <c r="CH5" s="11">
        <v>2625285436.02</v>
      </c>
      <c r="CI5" s="39"/>
      <c r="CK5" s="7" t="s">
        <v>33</v>
      </c>
      <c r="CL5" s="11">
        <v>2482096436.02</v>
      </c>
      <c r="CM5" s="39" t="str">
        <f>YEAR(CurrentMtgRatesDataTable871112131417[[#This Row],[asofdate]])&amp;"-"&amp;MONTH(CurrentMtgRatesDataTable871112131417[[#This Row],[asofdate]])</f>
        <v>2003-5</v>
      </c>
      <c r="CN5" s="39">
        <f>CurrentMtgRatesDataTable871112131417[[#This Row],[SeriesNumValue]]</f>
        <v>2482096436.02</v>
      </c>
      <c r="CO5" s="39">
        <f>VLOOKUP(CurrentMtgRatesDataTable871112131417[[#This Row],[asofdate]],BY:BZ,2,0)</f>
        <v>113035000</v>
      </c>
      <c r="CP5" s="35">
        <f>IF(VLOOKUP(CurrentMtgRatesDataTable871112131417[[#This Row],[asofdate]],CC:CD,2,0)&lt;&gt;0,VLOOKUP(CurrentMtgRatesDataTable871112131417[[#This Row],[asofdate]],CC:CD,2,0),CP4)</f>
        <v>30154000</v>
      </c>
      <c r="CQ5" s="35">
        <f>VLOOKUP(CurrentMtgRatesDataTable871112131417[[#This Row],[asofdate]],CG:CH,2,0)</f>
        <v>2625285436.02</v>
      </c>
    </row>
    <row r="6" spans="1:95" s="6" customFormat="1" ht="12.75">
      <c r="A6" s="7" t="s">
        <v>35</v>
      </c>
      <c r="B6" s="10">
        <v>2.1014268088431001E-2</v>
      </c>
      <c r="C6" s="10" t="str">
        <f>YEAR(CurrentMtgRatesDataTable8[[#This Row],[asofdate]])&amp;"-"&amp;MONTH(CurrentMtgRatesDataTable8[[#This Row],[asofdate]])</f>
        <v>2003-6</v>
      </c>
      <c r="D6" s="6">
        <f>((CurrentMtgRatesDataTable8[[#This Row],[SeriesNumValue]]-$D$1)/$D$1+1)*100</f>
        <v>140.09512058954002</v>
      </c>
      <c r="G6" s="7" t="s">
        <v>35</v>
      </c>
      <c r="H6" s="10">
        <v>81.618502130391803</v>
      </c>
      <c r="I6" s="26">
        <f>VLOOKUP(CurrentMtgRatesDataTable82[[#This Row],[asofdate]],K:L,2,0)</f>
        <v>0.26817431712256601</v>
      </c>
      <c r="K6" s="7" t="s">
        <v>35</v>
      </c>
      <c r="L6" s="29">
        <v>0.26817431712256601</v>
      </c>
      <c r="O6" s="7" t="s">
        <v>35</v>
      </c>
      <c r="P6" s="10">
        <v>33.725544414496198</v>
      </c>
      <c r="Q6" s="29">
        <f>VLOOKUP(CurrentMtgRatesDataTable84[[#This Row],[asofdate]],S:T,2,0)</f>
        <v>1.1152224581714301E-2</v>
      </c>
      <c r="S6" s="7" t="s">
        <v>35</v>
      </c>
      <c r="T6" s="10">
        <v>1.1152224581714301E-2</v>
      </c>
      <c r="W6" s="7" t="s">
        <v>35</v>
      </c>
      <c r="X6" s="10">
        <v>722.76732830110905</v>
      </c>
      <c r="Y6" s="26">
        <f>VLOOKUP(CurrentMtgRatesDataTable86[[#This Row],[asofdate]],AA:AB,2,0)</f>
        <v>0.31742951631942301</v>
      </c>
      <c r="AA6" s="7" t="s">
        <v>35</v>
      </c>
      <c r="AB6" s="10">
        <v>0.31742951631942301</v>
      </c>
      <c r="AE6" s="7" t="s">
        <v>31</v>
      </c>
      <c r="AF6" s="10">
        <v>1.7843633851479499E-2</v>
      </c>
      <c r="AG6" s="10" t="str">
        <f>YEAR(CurrentMtgRatesDataTable89[[#This Row],[asofdate]])&amp;"-"&amp;MONTH(CurrentMtgRatesDataTable89[[#This Row],[asofdate]])</f>
        <v>2015-6</v>
      </c>
      <c r="AH6" s="6">
        <f>((CurrentMtgRatesDataTable89[[#This Row],[SeriesNumValue]]-$D$1)/$D$1+1)*100</f>
        <v>118.95755900986333</v>
      </c>
      <c r="AI6" s="6">
        <f>CurrentMtgRatesDataTable89[[#This Row],[Index]]-AH7</f>
        <v>-0.44259907693866296</v>
      </c>
      <c r="AJ6" s="6">
        <f>VLOOKUP(CurrentMtgRatesDataTable89[[#This Row],[asofdate]],G:H,2,0)</f>
        <v>82.9819085141187</v>
      </c>
      <c r="AK6" s="6">
        <f>VLOOKUP(CurrentMtgRatesDataTable89[[#This Row],[asofdate]],K:L,2,0)</f>
        <v>0.32889571790605499</v>
      </c>
      <c r="AL6" s="6">
        <f>VLOOKUP(CurrentMtgRatesDataTable89[[#This Row],[asofdate]],O:P,2,0)</f>
        <v>34.4808601960058</v>
      </c>
      <c r="AM6" s="6">
        <f>VLOOKUP(CurrentMtgRatesDataTable89[[#This Row],[asofdate]],S:T,2,0)</f>
        <v>0.29706452342619799</v>
      </c>
      <c r="AN6" s="6">
        <f>VLOOKUP(CurrentMtgRatesDataTable89[[#This Row],[asofdate]],W:X,2,0)</f>
        <v>751.75513731710396</v>
      </c>
      <c r="AO6" s="6">
        <f>VLOOKUP(CurrentMtgRatesDataTable89[[#This Row],[asofdate]],AA:AB,2,0)</f>
        <v>0.14208337458509299</v>
      </c>
      <c r="AR6" s="7" t="s">
        <v>35</v>
      </c>
      <c r="AS6" s="10">
        <v>8.5363662487838804E-2</v>
      </c>
      <c r="AT6" s="36">
        <f>((CurrentMtgRatesDataTable8711[[#This Row],[SeriesNumValue]]-$D$1)/$D$1+1)*100</f>
        <v>569.09108325225873</v>
      </c>
      <c r="AU6" s="36"/>
      <c r="AW6" s="7" t="s">
        <v>35</v>
      </c>
      <c r="AX6" s="10">
        <v>7.30825171843862E-2</v>
      </c>
      <c r="AY6" s="36">
        <f>((CurrentMtgRatesDataTable871112[[#This Row],[SeriesNumValue]]-$D$1)/$D$1+1)*100</f>
        <v>487.21678122924141</v>
      </c>
      <c r="AZ6" s="36"/>
      <c r="BB6" s="7" t="s">
        <v>35</v>
      </c>
      <c r="BC6" s="10">
        <v>2.2632217187818399E-2</v>
      </c>
      <c r="BD6" s="39">
        <f>((CurrentMtgRatesDataTable87111213[[#This Row],[SeriesNumValue]]-$D$1)/$D$1+1)*100</f>
        <v>150.88144791878935</v>
      </c>
      <c r="BE6" s="39"/>
      <c r="BG6" s="7" t="s">
        <v>35</v>
      </c>
      <c r="BH6" s="10">
        <v>2.0777950043804699E-2</v>
      </c>
      <c r="BI6" s="39">
        <f>((CurrentMtgRatesDataTable8711121314[[#This Row],[SeriesNumValue]]-$D$1)/$D$1+1)*100</f>
        <v>138.519666958698</v>
      </c>
      <c r="BJ6" s="39" t="str">
        <f>YEAR(CurrentMtgRatesDataTable8711121314[[#This Row],[asofdate]])&amp;"-"&amp;MONTH(CurrentMtgRatesDataTable8711121314[[#This Row],[asofdate]])</f>
        <v>2003-6</v>
      </c>
      <c r="BK6" s="39">
        <f>CurrentMtgRatesDataTable8711121314[[#This Row],[SeriesNumValue]]</f>
        <v>2.0777950043804699E-2</v>
      </c>
      <c r="BL6" s="39">
        <f>VLOOKUP(CurrentMtgRatesDataTable8711121314[[#This Row],[asofdate]],AR:AT,2,0)</f>
        <v>8.5363662487838804E-2</v>
      </c>
      <c r="BM6" s="35">
        <f>IF(VLOOKUP(CurrentMtgRatesDataTable8711121314[[#This Row],[asofdate]],AW:AY,2,0)&lt;&gt;0,VLOOKUP(CurrentMtgRatesDataTable8711121314[[#This Row],[asofdate]],AW:AY,2,0),BM5)</f>
        <v>7.30825171843862E-2</v>
      </c>
      <c r="BN6" s="35">
        <f>VLOOKUP(CurrentMtgRatesDataTable8711121314[[#This Row],[asofdate]],BB:BD,2,0)</f>
        <v>2.2632217187818399E-2</v>
      </c>
      <c r="BO6" s="35">
        <f>CurrentMtgRatesDataTable8711121314[[#This Row],[FHA]]+0.5*CurrentMtgRatesDataTable8711121314[[#This Row],[Conventional]]</f>
        <v>9.5752637509741154E-2</v>
      </c>
      <c r="BP6" s="35">
        <f>2*CurrentMtgRatesDataTable8711121314[[#This Row],[FHA]]</f>
        <v>0.17072732497567761</v>
      </c>
      <c r="BQ6" s="11">
        <f>VLOOKUP(YEAR(CurrentMtgRatesDataTable8711121314[[#This Row],[asofdate]]),OriginationVolume!$A:$N,8,FALSE)</f>
        <v>0.66040268456375839</v>
      </c>
      <c r="BR6" s="11">
        <f>VLOOKUP(YEAR(CurrentMtgRatesDataTable8711121314[[#This Row],[asofdate]]),OriginationVolume!$A:$N,9,FALSE)</f>
        <v>1.4765100671140939E-2</v>
      </c>
      <c r="BS6" s="11">
        <f>VLOOKUP(YEAR(CurrentMtgRatesDataTable8711121314[[#This Row],[asofdate]]),OriginationVolume!$A:$N,10,FALSE)</f>
        <v>4.429530201342282E-2</v>
      </c>
      <c r="BT6" s="11">
        <f>VLOOKUP(YEAR(CurrentMtgRatesDataTable8711121314[[#This Row],[asofdate]]),OriginationVolume!$A:$N,11,FALSE)</f>
        <v>0.17449664429530201</v>
      </c>
      <c r="BU6" s="11">
        <f>VLOOKUP(YEAR(CurrentMtgRatesDataTable8711121314[[#This Row],[asofdate]]),OriginationVolume!$A:$N,12,FALSE)</f>
        <v>2.2818791946308724E-2</v>
      </c>
      <c r="BV6" s="11">
        <f>VLOOKUP(YEAR(CurrentMtgRatesDataTable8711121314[[#This Row],[asofdate]]),OriginationVolume!$A:$N,13,FALSE)</f>
        <v>8.3221476510067116E-2</v>
      </c>
      <c r="BW6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3.8600916059773241E-2</v>
      </c>
      <c r="BY6" s="7" t="s">
        <v>35</v>
      </c>
      <c r="BZ6" s="10">
        <v>143944000</v>
      </c>
      <c r="CA6" s="36"/>
      <c r="CC6" s="7" t="s">
        <v>35</v>
      </c>
      <c r="CD6" s="10">
        <v>35561000</v>
      </c>
      <c r="CE6" s="36"/>
      <c r="CG6" s="7" t="s">
        <v>35</v>
      </c>
      <c r="CH6" s="10">
        <v>3014884433.79</v>
      </c>
      <c r="CI6" s="39"/>
      <c r="CK6" s="7" t="s">
        <v>35</v>
      </c>
      <c r="CL6" s="10">
        <v>2835379433.79</v>
      </c>
      <c r="CM6" s="39" t="str">
        <f>YEAR(CurrentMtgRatesDataTable871112131417[[#This Row],[asofdate]])&amp;"-"&amp;MONTH(CurrentMtgRatesDataTable871112131417[[#This Row],[asofdate]])</f>
        <v>2003-6</v>
      </c>
      <c r="CN6" s="39">
        <f>CurrentMtgRatesDataTable871112131417[[#This Row],[SeriesNumValue]]</f>
        <v>2835379433.79</v>
      </c>
      <c r="CO6" s="39">
        <f>VLOOKUP(CurrentMtgRatesDataTable871112131417[[#This Row],[asofdate]],BY:BZ,2,0)</f>
        <v>143944000</v>
      </c>
      <c r="CP6" s="35">
        <f>IF(VLOOKUP(CurrentMtgRatesDataTable871112131417[[#This Row],[asofdate]],CC:CD,2,0)&lt;&gt;0,VLOOKUP(CurrentMtgRatesDataTable871112131417[[#This Row],[asofdate]],CC:CD,2,0),CP5)</f>
        <v>35561000</v>
      </c>
      <c r="CQ6" s="35">
        <f>VLOOKUP(CurrentMtgRatesDataTable871112131417[[#This Row],[asofdate]],CG:CH,2,0)</f>
        <v>3014884433.79</v>
      </c>
    </row>
    <row r="7" spans="1:95" s="6" customFormat="1" ht="12.75">
      <c r="A7" s="7" t="s">
        <v>36</v>
      </c>
      <c r="B7" s="10">
        <v>2.2630247439423299E-2</v>
      </c>
      <c r="C7" s="10" t="str">
        <f>YEAR(CurrentMtgRatesDataTable8[[#This Row],[asofdate]])&amp;"-"&amp;MONTH(CurrentMtgRatesDataTable8[[#This Row],[asofdate]])</f>
        <v>2003-7</v>
      </c>
      <c r="D7" s="6">
        <f>((CurrentMtgRatesDataTable8[[#This Row],[SeriesNumValue]]-$D$1)/$D$1+1)*100</f>
        <v>150.86831626282199</v>
      </c>
      <c r="G7" s="7" t="s">
        <v>36</v>
      </c>
      <c r="H7" s="10">
        <v>81.557650650953207</v>
      </c>
      <c r="I7" s="26">
        <f>VLOOKUP(CurrentMtgRatesDataTable82[[#This Row],[asofdate]],K:L,2,0)</f>
        <v>0.271915360199874</v>
      </c>
      <c r="K7" s="7" t="s">
        <v>36</v>
      </c>
      <c r="L7" s="29">
        <v>0.271915360199874</v>
      </c>
      <c r="O7" s="7" t="s">
        <v>36</v>
      </c>
      <c r="P7" s="10">
        <v>34.144864022931102</v>
      </c>
      <c r="Q7" s="29">
        <f>VLOOKUP(CurrentMtgRatesDataTable84[[#This Row],[asofdate]],S:T,2,0)</f>
        <v>1.2643328295785501E-2</v>
      </c>
      <c r="S7" s="7" t="s">
        <v>36</v>
      </c>
      <c r="T7" s="10">
        <v>1.2643328295785501E-2</v>
      </c>
      <c r="W7" s="7" t="s">
        <v>36</v>
      </c>
      <c r="X7" s="10">
        <v>722.25913495194504</v>
      </c>
      <c r="Y7" s="26">
        <f>VLOOKUP(CurrentMtgRatesDataTable86[[#This Row],[asofdate]],AA:AB,2,0)</f>
        <v>0.32364561822268501</v>
      </c>
      <c r="AA7" s="7" t="s">
        <v>36</v>
      </c>
      <c r="AB7" s="10">
        <v>0.32364561822268501</v>
      </c>
      <c r="AE7" s="7" t="s">
        <v>30</v>
      </c>
      <c r="AF7" s="10">
        <v>1.79100237130203E-2</v>
      </c>
      <c r="AG7" s="10" t="str">
        <f>YEAR(CurrentMtgRatesDataTable89[[#This Row],[asofdate]])&amp;"-"&amp;MONTH(CurrentMtgRatesDataTable89[[#This Row],[asofdate]])</f>
        <v>2015-5</v>
      </c>
      <c r="AH7" s="6">
        <f>((CurrentMtgRatesDataTable89[[#This Row],[SeriesNumValue]]-$D$1)/$D$1+1)*100</f>
        <v>119.40015808680199</v>
      </c>
      <c r="AI7" s="6">
        <f>CurrentMtgRatesDataTable89[[#This Row],[Index]]-AH8</f>
        <v>1.1986894263626766</v>
      </c>
      <c r="AJ7" s="6">
        <f>VLOOKUP(CurrentMtgRatesDataTable89[[#This Row],[asofdate]],G:H,2,0)</f>
        <v>82.914251622219993</v>
      </c>
      <c r="AK7" s="6">
        <f>VLOOKUP(CurrentMtgRatesDataTable89[[#This Row],[asofdate]],K:L,2,0)</f>
        <v>0.32905687634557701</v>
      </c>
      <c r="AL7" s="6">
        <f>VLOOKUP(CurrentMtgRatesDataTable89[[#This Row],[asofdate]],O:P,2,0)</f>
        <v>34.608345578366901</v>
      </c>
      <c r="AM7" s="6">
        <f>VLOOKUP(CurrentMtgRatesDataTable89[[#This Row],[asofdate]],S:T,2,0)</f>
        <v>0.30210027734452</v>
      </c>
      <c r="AN7" s="6">
        <f>VLOOKUP(CurrentMtgRatesDataTable89[[#This Row],[asofdate]],W:X,2,0)</f>
        <v>751.42302592643603</v>
      </c>
      <c r="AO7" s="6">
        <f>VLOOKUP(CurrentMtgRatesDataTable89[[#This Row],[asofdate]],AA:AB,2,0)</f>
        <v>0.14202706216225799</v>
      </c>
      <c r="AR7" s="7" t="s">
        <v>36</v>
      </c>
      <c r="AS7" s="10">
        <v>9.1805440656946596E-2</v>
      </c>
      <c r="AT7" s="36">
        <f>((CurrentMtgRatesDataTable8711[[#This Row],[SeriesNumValue]]-$D$1)/$D$1+1)*100</f>
        <v>612.03627104631073</v>
      </c>
      <c r="AU7" s="36"/>
      <c r="AW7" s="7" t="s">
        <v>36</v>
      </c>
      <c r="AX7" s="10">
        <v>7.5057002809456902E-2</v>
      </c>
      <c r="AY7" s="36">
        <f>((CurrentMtgRatesDataTable871112[[#This Row],[SeriesNumValue]]-$D$1)/$D$1+1)*100</f>
        <v>500.38001872971273</v>
      </c>
      <c r="AZ7" s="36"/>
      <c r="BB7" s="7" t="s">
        <v>36</v>
      </c>
      <c r="BC7" s="10">
        <v>2.4293347257835499E-2</v>
      </c>
      <c r="BD7" s="39">
        <f>((CurrentMtgRatesDataTable87111213[[#This Row],[SeriesNumValue]]-$D$1)/$D$1+1)*100</f>
        <v>161.95564838557002</v>
      </c>
      <c r="BE7" s="39"/>
      <c r="BG7" s="7" t="s">
        <v>36</v>
      </c>
      <c r="BH7" s="10">
        <v>2.24205388581304E-2</v>
      </c>
      <c r="BI7" s="39">
        <f>((CurrentMtgRatesDataTable8711121314[[#This Row],[SeriesNumValue]]-$D$1)/$D$1+1)*100</f>
        <v>149.47025905420267</v>
      </c>
      <c r="BJ7" s="39" t="str">
        <f>YEAR(CurrentMtgRatesDataTable8711121314[[#This Row],[asofdate]])&amp;"-"&amp;MONTH(CurrentMtgRatesDataTable8711121314[[#This Row],[asofdate]])</f>
        <v>2003-7</v>
      </c>
      <c r="BK7" s="39">
        <f>CurrentMtgRatesDataTable8711121314[[#This Row],[SeriesNumValue]]</f>
        <v>2.24205388581304E-2</v>
      </c>
      <c r="BL7" s="39">
        <f>VLOOKUP(CurrentMtgRatesDataTable8711121314[[#This Row],[asofdate]],AR:AT,2,0)</f>
        <v>9.1805440656946596E-2</v>
      </c>
      <c r="BM7" s="35">
        <f>IF(VLOOKUP(CurrentMtgRatesDataTable8711121314[[#This Row],[asofdate]],AW:AY,2,0)&lt;&gt;0,VLOOKUP(CurrentMtgRatesDataTable8711121314[[#This Row],[asofdate]],AW:AY,2,0),BM6)</f>
        <v>7.5057002809456902E-2</v>
      </c>
      <c r="BN7" s="35">
        <f>VLOOKUP(CurrentMtgRatesDataTable8711121314[[#This Row],[asofdate]],BB:BD,2,0)</f>
        <v>2.4293347257835499E-2</v>
      </c>
      <c r="BO7" s="35">
        <f>CurrentMtgRatesDataTable8711121314[[#This Row],[FHA]]+0.5*CurrentMtgRatesDataTable8711121314[[#This Row],[Conventional]]</f>
        <v>0.10301571008601179</v>
      </c>
      <c r="BP7" s="35">
        <f>2*CurrentMtgRatesDataTable8711121314[[#This Row],[FHA]]</f>
        <v>0.18361088131389319</v>
      </c>
      <c r="BQ7" s="11">
        <f>VLOOKUP(YEAR(CurrentMtgRatesDataTable8711121314[[#This Row],[asofdate]]),OriginationVolume!$A:$N,8,FALSE)</f>
        <v>0.66040268456375839</v>
      </c>
      <c r="BR7" s="11">
        <f>VLOOKUP(YEAR(CurrentMtgRatesDataTable8711121314[[#This Row],[asofdate]]),OriginationVolume!$A:$N,9,FALSE)</f>
        <v>1.4765100671140939E-2</v>
      </c>
      <c r="BS7" s="11">
        <f>VLOOKUP(YEAR(CurrentMtgRatesDataTable8711121314[[#This Row],[asofdate]]),OriginationVolume!$A:$N,10,FALSE)</f>
        <v>4.429530201342282E-2</v>
      </c>
      <c r="BT7" s="11">
        <f>VLOOKUP(YEAR(CurrentMtgRatesDataTable8711121314[[#This Row],[asofdate]]),OriginationVolume!$A:$N,11,FALSE)</f>
        <v>0.17449664429530201</v>
      </c>
      <c r="BU7" s="11">
        <f>VLOOKUP(YEAR(CurrentMtgRatesDataTable8711121314[[#This Row],[asofdate]]),OriginationVolume!$A:$N,12,FALSE)</f>
        <v>2.2818791946308724E-2</v>
      </c>
      <c r="BV7" s="11">
        <f>VLOOKUP(YEAR(CurrentMtgRatesDataTable8711121314[[#This Row],[asofdate]]),OriginationVolume!$A:$N,13,FALSE)</f>
        <v>8.3221476510067116E-2</v>
      </c>
      <c r="BW7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4.1524729470152955E-2</v>
      </c>
      <c r="BY7" s="7" t="s">
        <v>36</v>
      </c>
      <c r="BZ7" s="10">
        <v>164026000</v>
      </c>
      <c r="CA7" s="36"/>
      <c r="CC7" s="7" t="s">
        <v>36</v>
      </c>
      <c r="CD7" s="10">
        <v>41545000</v>
      </c>
      <c r="CE7" s="36"/>
      <c r="CG7" s="7" t="s">
        <v>36</v>
      </c>
      <c r="CH7" s="10">
        <v>3651588513.8000002</v>
      </c>
      <c r="CI7" s="39"/>
      <c r="CK7" s="7" t="s">
        <v>36</v>
      </c>
      <c r="CL7" s="10">
        <v>3446017513.8000002</v>
      </c>
      <c r="CM7" s="39" t="str">
        <f>YEAR(CurrentMtgRatesDataTable871112131417[[#This Row],[asofdate]])&amp;"-"&amp;MONTH(CurrentMtgRatesDataTable871112131417[[#This Row],[asofdate]])</f>
        <v>2003-7</v>
      </c>
      <c r="CN7" s="39">
        <f>CurrentMtgRatesDataTable871112131417[[#This Row],[SeriesNumValue]]</f>
        <v>3446017513.8000002</v>
      </c>
      <c r="CO7" s="39">
        <f>VLOOKUP(CurrentMtgRatesDataTable871112131417[[#This Row],[asofdate]],BY:BZ,2,0)</f>
        <v>164026000</v>
      </c>
      <c r="CP7" s="35">
        <f>IF(VLOOKUP(CurrentMtgRatesDataTable871112131417[[#This Row],[asofdate]],CC:CD,2,0)&lt;&gt;0,VLOOKUP(CurrentMtgRatesDataTable871112131417[[#This Row],[asofdate]],CC:CD,2,0),CP6)</f>
        <v>41545000</v>
      </c>
      <c r="CQ7" s="35">
        <f>VLOOKUP(CurrentMtgRatesDataTable871112131417[[#This Row],[asofdate]],CG:CH,2,0)</f>
        <v>3651588513.8000002</v>
      </c>
    </row>
    <row r="8" spans="1:95" s="6" customFormat="1" ht="12.75">
      <c r="A8" s="7" t="s">
        <v>37</v>
      </c>
      <c r="B8" s="10">
        <v>2.1572375642371501E-2</v>
      </c>
      <c r="C8" s="10" t="str">
        <f>YEAR(CurrentMtgRatesDataTable8[[#This Row],[asofdate]])&amp;"-"&amp;MONTH(CurrentMtgRatesDataTable8[[#This Row],[asofdate]])</f>
        <v>2003-8</v>
      </c>
      <c r="D8" s="6">
        <f>((CurrentMtgRatesDataTable8[[#This Row],[SeriesNumValue]]-$D$1)/$D$1+1)*100</f>
        <v>143.81583761581001</v>
      </c>
      <c r="G8" s="7" t="s">
        <v>37</v>
      </c>
      <c r="H8" s="10">
        <v>81.296483519552396</v>
      </c>
      <c r="I8" s="26">
        <f>VLOOKUP(CurrentMtgRatesDataTable82[[#This Row],[asofdate]],K:L,2,0)</f>
        <v>0.26159531298609601</v>
      </c>
      <c r="K8" s="7" t="s">
        <v>37</v>
      </c>
      <c r="L8" s="29">
        <v>0.26159531298609601</v>
      </c>
      <c r="O8" s="7" t="s">
        <v>37</v>
      </c>
      <c r="P8" s="10">
        <v>33.501180220584502</v>
      </c>
      <c r="Q8" s="29">
        <f>VLOOKUP(CurrentMtgRatesDataTable84[[#This Row],[asofdate]],S:T,2,0)</f>
        <v>1.3216576425238401E-2</v>
      </c>
      <c r="S8" s="7" t="s">
        <v>37</v>
      </c>
      <c r="T8" s="10">
        <v>1.3216576425238401E-2</v>
      </c>
      <c r="W8" s="7" t="s">
        <v>37</v>
      </c>
      <c r="X8" s="10">
        <v>724.12904796089799</v>
      </c>
      <c r="Y8" s="26">
        <f>VLOOKUP(CurrentMtgRatesDataTable86[[#This Row],[asofdate]],AA:AB,2,0)</f>
        <v>0.310151776706795</v>
      </c>
      <c r="AA8" s="7" t="s">
        <v>37</v>
      </c>
      <c r="AB8" s="10">
        <v>0.310151776706795</v>
      </c>
      <c r="AE8" s="7" t="s">
        <v>29</v>
      </c>
      <c r="AF8" s="10">
        <v>1.7730220299065898E-2</v>
      </c>
      <c r="AG8" s="10" t="str">
        <f>YEAR(CurrentMtgRatesDataTable89[[#This Row],[asofdate]])&amp;"-"&amp;MONTH(CurrentMtgRatesDataTable89[[#This Row],[asofdate]])</f>
        <v>2015-4</v>
      </c>
      <c r="AH8" s="6">
        <f>((CurrentMtgRatesDataTable89[[#This Row],[SeriesNumValue]]-$D$1)/$D$1+1)*100</f>
        <v>118.20146866043932</v>
      </c>
      <c r="AI8" s="6">
        <f>CurrentMtgRatesDataTable89[[#This Row],[Index]]-AH9</f>
        <v>-10.819160289196006</v>
      </c>
      <c r="AJ8" s="6">
        <f>VLOOKUP(CurrentMtgRatesDataTable89[[#This Row],[asofdate]],G:H,2,0)</f>
        <v>82.944046147233095</v>
      </c>
      <c r="AK8" s="6">
        <f>VLOOKUP(CurrentMtgRatesDataTable89[[#This Row],[asofdate]],K:L,2,0)</f>
        <v>0.32942245001412301</v>
      </c>
      <c r="AL8" s="6">
        <f>VLOOKUP(CurrentMtgRatesDataTable89[[#This Row],[asofdate]],O:P,2,0)</f>
        <v>34.5918772932</v>
      </c>
      <c r="AM8" s="6">
        <f>VLOOKUP(CurrentMtgRatesDataTable89[[#This Row],[asofdate]],S:T,2,0)</f>
        <v>0.302200706894452</v>
      </c>
      <c r="AN8" s="6">
        <f>VLOOKUP(CurrentMtgRatesDataTable89[[#This Row],[asofdate]],W:X,2,0)</f>
        <v>750.551434296298</v>
      </c>
      <c r="AO8" s="6">
        <f>VLOOKUP(CurrentMtgRatesDataTable89[[#This Row],[asofdate]],AA:AB,2,0)</f>
        <v>0.14698447110622201</v>
      </c>
      <c r="AR8" s="7" t="s">
        <v>37</v>
      </c>
      <c r="AS8" s="10">
        <v>9.2379201142605005E-2</v>
      </c>
      <c r="AT8" s="36">
        <f>((CurrentMtgRatesDataTable8711[[#This Row],[SeriesNumValue]]-$D$1)/$D$1+1)*100</f>
        <v>615.86134095070008</v>
      </c>
      <c r="AU8" s="36"/>
      <c r="AW8" s="7" t="s">
        <v>37</v>
      </c>
      <c r="AX8" s="10">
        <v>7.2909944145716804E-2</v>
      </c>
      <c r="AY8" s="36">
        <f>((CurrentMtgRatesDataTable871112[[#This Row],[SeriesNumValue]]-$D$1)/$D$1+1)*100</f>
        <v>486.06629430477869</v>
      </c>
      <c r="AZ8" s="36"/>
      <c r="BB8" s="7" t="s">
        <v>37</v>
      </c>
      <c r="BC8" s="10">
        <v>2.3358645970912001E-2</v>
      </c>
      <c r="BD8" s="39">
        <f>((CurrentMtgRatesDataTable87111213[[#This Row],[SeriesNumValue]]-$D$1)/$D$1+1)*100</f>
        <v>155.72430647274666</v>
      </c>
      <c r="BE8" s="39"/>
      <c r="BG8" s="7" t="s">
        <v>37</v>
      </c>
      <c r="BH8" s="10">
        <v>2.1746038746394102E-2</v>
      </c>
      <c r="BI8" s="39">
        <f>((CurrentMtgRatesDataTable8711121314[[#This Row],[SeriesNumValue]]-$D$1)/$D$1+1)*100</f>
        <v>144.97359164262735</v>
      </c>
      <c r="BJ8" s="39" t="str">
        <f>YEAR(CurrentMtgRatesDataTable8711121314[[#This Row],[asofdate]])&amp;"-"&amp;MONTH(CurrentMtgRatesDataTable8711121314[[#This Row],[asofdate]])</f>
        <v>2003-8</v>
      </c>
      <c r="BK8" s="39">
        <f>CurrentMtgRatesDataTable8711121314[[#This Row],[SeriesNumValue]]</f>
        <v>2.1746038746394102E-2</v>
      </c>
      <c r="BL8" s="39">
        <f>VLOOKUP(CurrentMtgRatesDataTable8711121314[[#This Row],[asofdate]],AR:AT,2,0)</f>
        <v>9.2379201142605005E-2</v>
      </c>
      <c r="BM8" s="35">
        <f>IF(VLOOKUP(CurrentMtgRatesDataTable8711121314[[#This Row],[asofdate]],AW:AY,2,0)&lt;&gt;0,VLOOKUP(CurrentMtgRatesDataTable8711121314[[#This Row],[asofdate]],AW:AY,2,0),BM7)</f>
        <v>7.2909944145716804E-2</v>
      </c>
      <c r="BN8" s="35">
        <f>VLOOKUP(CurrentMtgRatesDataTable8711121314[[#This Row],[asofdate]],BB:BD,2,0)</f>
        <v>2.3358645970912001E-2</v>
      </c>
      <c r="BO8" s="35">
        <f>CurrentMtgRatesDataTable8711121314[[#This Row],[FHA]]+0.5*CurrentMtgRatesDataTable8711121314[[#This Row],[Conventional]]</f>
        <v>0.10325222051580206</v>
      </c>
      <c r="BP8" s="35">
        <f>2*CurrentMtgRatesDataTable8711121314[[#This Row],[FHA]]</f>
        <v>0.18475840228521001</v>
      </c>
      <c r="BQ8" s="11">
        <f>VLOOKUP(YEAR(CurrentMtgRatesDataTable8711121314[[#This Row],[asofdate]]),OriginationVolume!$A:$N,8,FALSE)</f>
        <v>0.66040268456375839</v>
      </c>
      <c r="BR8" s="11">
        <f>VLOOKUP(YEAR(CurrentMtgRatesDataTable8711121314[[#This Row],[asofdate]]),OriginationVolume!$A:$N,9,FALSE)</f>
        <v>1.4765100671140939E-2</v>
      </c>
      <c r="BS8" s="11">
        <f>VLOOKUP(YEAR(CurrentMtgRatesDataTable8711121314[[#This Row],[asofdate]]),OriginationVolume!$A:$N,10,FALSE)</f>
        <v>4.429530201342282E-2</v>
      </c>
      <c r="BT8" s="11">
        <f>VLOOKUP(YEAR(CurrentMtgRatesDataTable8711121314[[#This Row],[asofdate]]),OriginationVolume!$A:$N,11,FALSE)</f>
        <v>0.17449664429530201</v>
      </c>
      <c r="BU8" s="11">
        <f>VLOOKUP(YEAR(CurrentMtgRatesDataTable8711121314[[#This Row],[asofdate]]),OriginationVolume!$A:$N,12,FALSE)</f>
        <v>2.2818791946308724E-2</v>
      </c>
      <c r="BV8" s="11">
        <f>VLOOKUP(YEAR(CurrentMtgRatesDataTable8711121314[[#This Row],[asofdate]]),OriginationVolume!$A:$N,13,FALSE)</f>
        <v>8.3221476510067116E-2</v>
      </c>
      <c r="BW8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4.1056198408077366E-2</v>
      </c>
      <c r="BY8" s="7" t="s">
        <v>37</v>
      </c>
      <c r="BZ8" s="10">
        <v>185993000</v>
      </c>
      <c r="CA8" s="36"/>
      <c r="CC8" s="7" t="s">
        <v>37</v>
      </c>
      <c r="CD8" s="10">
        <v>52420000</v>
      </c>
      <c r="CE8" s="36"/>
      <c r="CG8" s="7" t="s">
        <v>37</v>
      </c>
      <c r="CH8" s="10">
        <v>4809370938.4499998</v>
      </c>
      <c r="CI8" s="39"/>
      <c r="CK8" s="7" t="s">
        <v>37</v>
      </c>
      <c r="CL8" s="10">
        <v>4570957938.4499998</v>
      </c>
      <c r="CM8" s="39" t="str">
        <f>YEAR(CurrentMtgRatesDataTable871112131417[[#This Row],[asofdate]])&amp;"-"&amp;MONTH(CurrentMtgRatesDataTable871112131417[[#This Row],[asofdate]])</f>
        <v>2003-8</v>
      </c>
      <c r="CN8" s="39">
        <f>CurrentMtgRatesDataTable871112131417[[#This Row],[SeriesNumValue]]</f>
        <v>4570957938.4499998</v>
      </c>
      <c r="CO8" s="39">
        <f>VLOOKUP(CurrentMtgRatesDataTable871112131417[[#This Row],[asofdate]],BY:BZ,2,0)</f>
        <v>185993000</v>
      </c>
      <c r="CP8" s="35">
        <f>IF(VLOOKUP(CurrentMtgRatesDataTable871112131417[[#This Row],[asofdate]],CC:CD,2,0)&lt;&gt;0,VLOOKUP(CurrentMtgRatesDataTable871112131417[[#This Row],[asofdate]],CC:CD,2,0),CP7)</f>
        <v>52420000</v>
      </c>
      <c r="CQ8" s="35">
        <f>VLOOKUP(CurrentMtgRatesDataTable871112131417[[#This Row],[asofdate]],CG:CH,2,0)</f>
        <v>4809370938.4499998</v>
      </c>
    </row>
    <row r="9" spans="1:95" s="6" customFormat="1" ht="12.75">
      <c r="A9" s="7" t="s">
        <v>38</v>
      </c>
      <c r="B9" s="10">
        <v>1.7521679101447599E-2</v>
      </c>
      <c r="C9" s="10" t="str">
        <f>YEAR(CurrentMtgRatesDataTable8[[#This Row],[asofdate]])&amp;"-"&amp;MONTH(CurrentMtgRatesDataTable8[[#This Row],[asofdate]])</f>
        <v>2003-9</v>
      </c>
      <c r="D9" s="6">
        <f>((CurrentMtgRatesDataTable8[[#This Row],[SeriesNumValue]]-$D$1)/$D$1+1)*100</f>
        <v>116.81119400965065</v>
      </c>
      <c r="G9" s="7" t="s">
        <v>38</v>
      </c>
      <c r="H9" s="10">
        <v>81.227017736325195</v>
      </c>
      <c r="I9" s="26">
        <f>VLOOKUP(CurrentMtgRatesDataTable82[[#This Row],[asofdate]],K:L,2,0)</f>
        <v>0.26227784163185702</v>
      </c>
      <c r="K9" s="7" t="s">
        <v>38</v>
      </c>
      <c r="L9" s="29">
        <v>0.26227784163185702</v>
      </c>
      <c r="O9" s="7" t="s">
        <v>38</v>
      </c>
      <c r="P9" s="10">
        <v>33.486119352874702</v>
      </c>
      <c r="Q9" s="29">
        <f>VLOOKUP(CurrentMtgRatesDataTable84[[#This Row],[asofdate]],S:T,2,0)</f>
        <v>1.3995634497627101E-2</v>
      </c>
      <c r="S9" s="7" t="s">
        <v>38</v>
      </c>
      <c r="T9" s="10">
        <v>1.3995634497627101E-2</v>
      </c>
      <c r="W9" s="7" t="s">
        <v>38</v>
      </c>
      <c r="X9" s="10">
        <v>724.69367741606698</v>
      </c>
      <c r="Y9" s="26">
        <f>VLOOKUP(CurrentMtgRatesDataTable86[[#This Row],[asofdate]],AA:AB,2,0)</f>
        <v>0.30671224499643901</v>
      </c>
      <c r="AA9" s="7" t="s">
        <v>38</v>
      </c>
      <c r="AB9" s="10">
        <v>0.30671224499643901</v>
      </c>
      <c r="AE9" s="7" t="s">
        <v>157</v>
      </c>
      <c r="AF9" s="10">
        <v>1.9353094342445299E-2</v>
      </c>
      <c r="AG9" s="10" t="str">
        <f>YEAR(CurrentMtgRatesDataTable89[[#This Row],[asofdate]])&amp;"-"&amp;MONTH(CurrentMtgRatesDataTable89[[#This Row],[asofdate]])</f>
        <v>2015-3</v>
      </c>
      <c r="AH9" s="6">
        <f>((CurrentMtgRatesDataTable89[[#This Row],[SeriesNumValue]]-$D$1)/$D$1+1)*100</f>
        <v>129.02062894963532</v>
      </c>
      <c r="AI9" s="6">
        <f>CurrentMtgRatesDataTable89[[#This Row],[Index]]-AH10</f>
        <v>-0.99549242061868881</v>
      </c>
      <c r="AJ9" s="6">
        <f>VLOOKUP(CurrentMtgRatesDataTable89[[#This Row],[asofdate]],G:H,2,0)</f>
        <v>82.670412455831396</v>
      </c>
      <c r="AK9" s="6">
        <f>VLOOKUP(CurrentMtgRatesDataTable89[[#This Row],[asofdate]],K:L,2,0)</f>
        <v>0.31944629098959199</v>
      </c>
      <c r="AL9" s="6">
        <f>VLOOKUP(CurrentMtgRatesDataTable89[[#This Row],[asofdate]],O:P,2,0)</f>
        <v>35.030167018357901</v>
      </c>
      <c r="AM9" s="6">
        <f>VLOOKUP(CurrentMtgRatesDataTable89[[#This Row],[asofdate]],S:T,2,0)</f>
        <v>0.32259034578546503</v>
      </c>
      <c r="AN9" s="6">
        <f>VLOOKUP(CurrentMtgRatesDataTable89[[#This Row],[asofdate]],W:X,2,0)</f>
        <v>749.12841065391603</v>
      </c>
      <c r="AO9" s="6">
        <f>VLOOKUP(CurrentMtgRatesDataTable89[[#This Row],[asofdate]],AA:AB,2,0)</f>
        <v>0.16075689815949701</v>
      </c>
      <c r="AR9" s="7" t="s">
        <v>38</v>
      </c>
      <c r="AS9" s="10">
        <v>7.25860078665896E-2</v>
      </c>
      <c r="AT9" s="36">
        <f>((CurrentMtgRatesDataTable8711[[#This Row],[SeriesNumValue]]-$D$1)/$D$1+1)*100</f>
        <v>483.90671911059735</v>
      </c>
      <c r="AU9" s="36"/>
      <c r="AW9" s="7" t="s">
        <v>38</v>
      </c>
      <c r="AX9" s="10">
        <v>5.9572386776244698E-2</v>
      </c>
      <c r="AY9" s="36">
        <f>((CurrentMtgRatesDataTable871112[[#This Row],[SeriesNumValue]]-$D$1)/$D$1+1)*100</f>
        <v>397.14924517496468</v>
      </c>
      <c r="AZ9" s="36"/>
      <c r="BB9" s="7" t="s">
        <v>38</v>
      </c>
      <c r="BC9" s="10">
        <v>1.9096882546996499E-2</v>
      </c>
      <c r="BD9" s="39">
        <f>((CurrentMtgRatesDataTable87111213[[#This Row],[SeriesNumValue]]-$D$1)/$D$1+1)*100</f>
        <v>127.31255031331</v>
      </c>
      <c r="BE9" s="39"/>
      <c r="BG9" s="7" t="s">
        <v>38</v>
      </c>
      <c r="BH9" s="10">
        <v>1.7642684597579599E-2</v>
      </c>
      <c r="BI9" s="39">
        <f>((CurrentMtgRatesDataTable8711121314[[#This Row],[SeriesNumValue]]-$D$1)/$D$1+1)*100</f>
        <v>117.61789731719733</v>
      </c>
      <c r="BJ9" s="39" t="str">
        <f>YEAR(CurrentMtgRatesDataTable8711121314[[#This Row],[asofdate]])&amp;"-"&amp;MONTH(CurrentMtgRatesDataTable8711121314[[#This Row],[asofdate]])</f>
        <v>2003-9</v>
      </c>
      <c r="BK9" s="39">
        <f>CurrentMtgRatesDataTable8711121314[[#This Row],[SeriesNumValue]]</f>
        <v>1.7642684597579599E-2</v>
      </c>
      <c r="BL9" s="39">
        <f>VLOOKUP(CurrentMtgRatesDataTable8711121314[[#This Row],[asofdate]],AR:AT,2,0)</f>
        <v>7.25860078665896E-2</v>
      </c>
      <c r="BM9" s="35">
        <f>IF(VLOOKUP(CurrentMtgRatesDataTable8711121314[[#This Row],[asofdate]],AW:AY,2,0)&lt;&gt;0,VLOOKUP(CurrentMtgRatesDataTable8711121314[[#This Row],[asofdate]],AW:AY,2,0),BM8)</f>
        <v>5.9572386776244698E-2</v>
      </c>
      <c r="BN9" s="35">
        <f>VLOOKUP(CurrentMtgRatesDataTable8711121314[[#This Row],[asofdate]],BB:BD,2,0)</f>
        <v>1.9096882546996499E-2</v>
      </c>
      <c r="BO9" s="35">
        <f>CurrentMtgRatesDataTable8711121314[[#This Row],[FHA]]+0.5*CurrentMtgRatesDataTable8711121314[[#This Row],[Conventional]]</f>
        <v>8.1407350165379394E-2</v>
      </c>
      <c r="BP9" s="35">
        <f>2*CurrentMtgRatesDataTable8711121314[[#This Row],[FHA]]</f>
        <v>0.1451720157331792</v>
      </c>
      <c r="BQ9" s="11">
        <f>VLOOKUP(YEAR(CurrentMtgRatesDataTable8711121314[[#This Row],[asofdate]]),OriginationVolume!$A:$N,8,FALSE)</f>
        <v>0.66040268456375839</v>
      </c>
      <c r="BR9" s="11">
        <f>VLOOKUP(YEAR(CurrentMtgRatesDataTable8711121314[[#This Row],[asofdate]]),OriginationVolume!$A:$N,9,FALSE)</f>
        <v>1.4765100671140939E-2</v>
      </c>
      <c r="BS9" s="11">
        <f>VLOOKUP(YEAR(CurrentMtgRatesDataTable8711121314[[#This Row],[asofdate]]),OriginationVolume!$A:$N,10,FALSE)</f>
        <v>4.429530201342282E-2</v>
      </c>
      <c r="BT9" s="11">
        <f>VLOOKUP(YEAR(CurrentMtgRatesDataTable8711121314[[#This Row],[asofdate]]),OriginationVolume!$A:$N,11,FALSE)</f>
        <v>0.17449664429530201</v>
      </c>
      <c r="BU9" s="11">
        <f>VLOOKUP(YEAR(CurrentMtgRatesDataTable8711121314[[#This Row],[asofdate]]),OriginationVolume!$A:$N,12,FALSE)</f>
        <v>2.2818791946308724E-2</v>
      </c>
      <c r="BV9" s="11">
        <f>VLOOKUP(YEAR(CurrentMtgRatesDataTable8711121314[[#This Row],[asofdate]]),OriginationVolume!$A:$N,13,FALSE)</f>
        <v>8.3221476510067116E-2</v>
      </c>
      <c r="BW9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3.2763723841743919E-2</v>
      </c>
      <c r="BY9" s="7" t="s">
        <v>38</v>
      </c>
      <c r="BZ9" s="10">
        <v>205840000</v>
      </c>
      <c r="CA9" s="36"/>
      <c r="CC9" s="7" t="s">
        <v>38</v>
      </c>
      <c r="CD9" s="10">
        <v>61780000</v>
      </c>
      <c r="CE9" s="36"/>
      <c r="CG9" s="7" t="s">
        <v>38</v>
      </c>
      <c r="CH9" s="10">
        <v>4793848935.9399996</v>
      </c>
      <c r="CI9" s="39"/>
      <c r="CK9" s="7" t="s">
        <v>38</v>
      </c>
      <c r="CL9" s="10">
        <v>4526228935.9399996</v>
      </c>
      <c r="CM9" s="39" t="str">
        <f>YEAR(CurrentMtgRatesDataTable871112131417[[#This Row],[asofdate]])&amp;"-"&amp;MONTH(CurrentMtgRatesDataTable871112131417[[#This Row],[asofdate]])</f>
        <v>2003-9</v>
      </c>
      <c r="CN9" s="39">
        <f>CurrentMtgRatesDataTable871112131417[[#This Row],[SeriesNumValue]]</f>
        <v>4526228935.9399996</v>
      </c>
      <c r="CO9" s="39">
        <f>VLOOKUP(CurrentMtgRatesDataTable871112131417[[#This Row],[asofdate]],BY:BZ,2,0)</f>
        <v>205840000</v>
      </c>
      <c r="CP9" s="35">
        <f>IF(VLOOKUP(CurrentMtgRatesDataTable871112131417[[#This Row],[asofdate]],CC:CD,2,0)&lt;&gt;0,VLOOKUP(CurrentMtgRatesDataTable871112131417[[#This Row],[asofdate]],CC:CD,2,0),CP8)</f>
        <v>61780000</v>
      </c>
      <c r="CQ9" s="35">
        <f>VLOOKUP(CurrentMtgRatesDataTable871112131417[[#This Row],[asofdate]],CG:CH,2,0)</f>
        <v>4793848935.9399996</v>
      </c>
    </row>
    <row r="10" spans="1:95" s="6" customFormat="1" ht="12.75">
      <c r="A10" s="7" t="s">
        <v>39</v>
      </c>
      <c r="B10" s="10">
        <v>1.65993963000538E-2</v>
      </c>
      <c r="C10" s="10" t="str">
        <f>YEAR(CurrentMtgRatesDataTable8[[#This Row],[asofdate]])&amp;"-"&amp;MONTH(CurrentMtgRatesDataTable8[[#This Row],[asofdate]])</f>
        <v>2003-10</v>
      </c>
      <c r="D10" s="6">
        <f>((CurrentMtgRatesDataTable8[[#This Row],[SeriesNumValue]]-$D$1)/$D$1+1)*100</f>
        <v>110.66264200035867</v>
      </c>
      <c r="G10" s="7" t="s">
        <v>39</v>
      </c>
      <c r="H10" s="10">
        <v>81.320760062110907</v>
      </c>
      <c r="I10" s="26">
        <f>VLOOKUP(CurrentMtgRatesDataTable82[[#This Row],[asofdate]],K:L,2,0)</f>
        <v>0.277259359255842</v>
      </c>
      <c r="K10" s="7" t="s">
        <v>39</v>
      </c>
      <c r="L10" s="29">
        <v>0.277259359255842</v>
      </c>
      <c r="O10" s="7" t="s">
        <v>39</v>
      </c>
      <c r="P10" s="10">
        <v>34.340700588560999</v>
      </c>
      <c r="Q10" s="29">
        <f>VLOOKUP(CurrentMtgRatesDataTable84[[#This Row],[asofdate]],S:T,2,0)</f>
        <v>1.60589800396303E-2</v>
      </c>
      <c r="S10" s="7" t="s">
        <v>39</v>
      </c>
      <c r="T10" s="10">
        <v>1.60589800396303E-2</v>
      </c>
      <c r="W10" s="7" t="s">
        <v>39</v>
      </c>
      <c r="X10" s="10">
        <v>722.36621872594401</v>
      </c>
      <c r="Y10" s="26">
        <f>VLOOKUP(CurrentMtgRatesDataTable86[[#This Row],[asofdate]],AA:AB,2,0)</f>
        <v>0.32553899803949699</v>
      </c>
      <c r="AA10" s="7" t="s">
        <v>39</v>
      </c>
      <c r="AB10" s="10">
        <v>0.32553899803949699</v>
      </c>
      <c r="AE10" s="7" t="s">
        <v>156</v>
      </c>
      <c r="AF10" s="10">
        <v>1.9502418205538101E-2</v>
      </c>
      <c r="AG10" s="10" t="str">
        <f>YEAR(CurrentMtgRatesDataTable89[[#This Row],[asofdate]])&amp;"-"&amp;MONTH(CurrentMtgRatesDataTable89[[#This Row],[asofdate]])</f>
        <v>2015-2</v>
      </c>
      <c r="AH10" s="6">
        <f>((CurrentMtgRatesDataTable89[[#This Row],[SeriesNumValue]]-$D$1)/$D$1+1)*100</f>
        <v>130.01612137025401</v>
      </c>
      <c r="AI10" s="6">
        <f>CurrentMtgRatesDataTable89[[#This Row],[Index]]-AH11</f>
        <v>5.5776888994633396</v>
      </c>
      <c r="AJ10" s="6">
        <f>VLOOKUP(CurrentMtgRatesDataTable89[[#This Row],[asofdate]],G:H,2,0)</f>
        <v>82.797442291647002</v>
      </c>
      <c r="AK10" s="6">
        <f>VLOOKUP(CurrentMtgRatesDataTable89[[#This Row],[asofdate]],K:L,2,0)</f>
        <v>0.32639568948507103</v>
      </c>
      <c r="AL10" s="6">
        <f>VLOOKUP(CurrentMtgRatesDataTable89[[#This Row],[asofdate]],O:P,2,0)</f>
        <v>34.977091666452097</v>
      </c>
      <c r="AM10" s="6">
        <f>VLOOKUP(CurrentMtgRatesDataTable89[[#This Row],[asofdate]],S:T,2,0)</f>
        <v>0.31891544150436202</v>
      </c>
      <c r="AN10" s="6">
        <f>VLOOKUP(CurrentMtgRatesDataTable89[[#This Row],[asofdate]],W:X,2,0)</f>
        <v>749.19541878162897</v>
      </c>
      <c r="AO10" s="6">
        <f>VLOOKUP(CurrentMtgRatesDataTable89[[#This Row],[asofdate]],AA:AB,2,0)</f>
        <v>0.15820396976652601</v>
      </c>
      <c r="AR10" s="7" t="s">
        <v>39</v>
      </c>
      <c r="AS10" s="10">
        <v>6.51072617401625E-2</v>
      </c>
      <c r="AT10" s="36">
        <f>((CurrentMtgRatesDataTable8711[[#This Row],[SeriesNumValue]]-$D$1)/$D$1+1)*100</f>
        <v>434.04841160108327</v>
      </c>
      <c r="AU10" s="36"/>
      <c r="AW10" s="7" t="s">
        <v>39</v>
      </c>
      <c r="AX10" s="10">
        <v>5.8551251558796702E-2</v>
      </c>
      <c r="AY10" s="36">
        <f>((CurrentMtgRatesDataTable871112[[#This Row],[SeriesNumValue]]-$D$1)/$D$1+1)*100</f>
        <v>390.34167705864473</v>
      </c>
      <c r="AZ10" s="36"/>
      <c r="BB10" s="7" t="s">
        <v>39</v>
      </c>
      <c r="BC10" s="10">
        <v>1.80351781500914E-2</v>
      </c>
      <c r="BD10" s="39">
        <f>((CurrentMtgRatesDataTable87111213[[#This Row],[SeriesNumValue]]-$D$1)/$D$1+1)*100</f>
        <v>120.23452100060933</v>
      </c>
      <c r="BE10" s="39"/>
      <c r="BG10" s="7" t="s">
        <v>39</v>
      </c>
      <c r="BH10" s="10">
        <v>1.64145800400433E-2</v>
      </c>
      <c r="BI10" s="39">
        <f>((CurrentMtgRatesDataTable8711121314[[#This Row],[SeriesNumValue]]-$D$1)/$D$1+1)*100</f>
        <v>109.43053360028867</v>
      </c>
      <c r="BJ10" s="39" t="str">
        <f>YEAR(CurrentMtgRatesDataTable8711121314[[#This Row],[asofdate]])&amp;"-"&amp;MONTH(CurrentMtgRatesDataTable8711121314[[#This Row],[asofdate]])</f>
        <v>2003-10</v>
      </c>
      <c r="BK10" s="39">
        <f>CurrentMtgRatesDataTable8711121314[[#This Row],[SeriesNumValue]]</f>
        <v>1.64145800400433E-2</v>
      </c>
      <c r="BL10" s="39">
        <f>VLOOKUP(CurrentMtgRatesDataTable8711121314[[#This Row],[asofdate]],AR:AT,2,0)</f>
        <v>6.51072617401625E-2</v>
      </c>
      <c r="BM10" s="35">
        <f>IF(VLOOKUP(CurrentMtgRatesDataTable8711121314[[#This Row],[asofdate]],AW:AY,2,0)&lt;&gt;0,VLOOKUP(CurrentMtgRatesDataTable8711121314[[#This Row],[asofdate]],AW:AY,2,0),BM9)</f>
        <v>5.8551251558796702E-2</v>
      </c>
      <c r="BN10" s="35">
        <f>VLOOKUP(CurrentMtgRatesDataTable8711121314[[#This Row],[asofdate]],BB:BD,2,0)</f>
        <v>1.80351781500914E-2</v>
      </c>
      <c r="BO10" s="35">
        <f>CurrentMtgRatesDataTable8711121314[[#This Row],[FHA]]+0.5*CurrentMtgRatesDataTable8711121314[[#This Row],[Conventional]]</f>
        <v>7.3314551760184143E-2</v>
      </c>
      <c r="BP10" s="35">
        <f>2*CurrentMtgRatesDataTable8711121314[[#This Row],[FHA]]</f>
        <v>0.130214523480325</v>
      </c>
      <c r="BQ10" s="11">
        <f>VLOOKUP(YEAR(CurrentMtgRatesDataTable8711121314[[#This Row],[asofdate]]),OriginationVolume!$A:$N,8,FALSE)</f>
        <v>0.66040268456375839</v>
      </c>
      <c r="BR10" s="11">
        <f>VLOOKUP(YEAR(CurrentMtgRatesDataTable8711121314[[#This Row],[asofdate]]),OriginationVolume!$A:$N,9,FALSE)</f>
        <v>1.4765100671140939E-2</v>
      </c>
      <c r="BS10" s="11">
        <f>VLOOKUP(YEAR(CurrentMtgRatesDataTable8711121314[[#This Row],[asofdate]]),OriginationVolume!$A:$N,10,FALSE)</f>
        <v>4.429530201342282E-2</v>
      </c>
      <c r="BT10" s="11">
        <f>VLOOKUP(YEAR(CurrentMtgRatesDataTable8711121314[[#This Row],[asofdate]]),OriginationVolume!$A:$N,11,FALSE)</f>
        <v>0.17449664429530201</v>
      </c>
      <c r="BU10" s="11">
        <f>VLOOKUP(YEAR(CurrentMtgRatesDataTable8711121314[[#This Row],[asofdate]]),OriginationVolume!$A:$N,12,FALSE)</f>
        <v>2.2818791946308724E-2</v>
      </c>
      <c r="BV10" s="11">
        <f>VLOOKUP(YEAR(CurrentMtgRatesDataTable8711121314[[#This Row],[asofdate]]),OriginationVolume!$A:$N,13,FALSE)</f>
        <v>8.3221476510067116E-2</v>
      </c>
      <c r="BW10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2.9962577215009851E-2</v>
      </c>
      <c r="BY10" s="7" t="s">
        <v>39</v>
      </c>
      <c r="BZ10" s="10">
        <v>173162000</v>
      </c>
      <c r="CA10" s="36"/>
      <c r="CC10" s="7" t="s">
        <v>39</v>
      </c>
      <c r="CD10" s="10">
        <v>53874000</v>
      </c>
      <c r="CE10" s="36"/>
      <c r="CG10" s="7" t="s">
        <v>39</v>
      </c>
      <c r="CH10" s="10">
        <v>3366345364.3299999</v>
      </c>
      <c r="CI10" s="39"/>
      <c r="CK10" s="7" t="s">
        <v>39</v>
      </c>
      <c r="CL10" s="10">
        <v>3139309364.3299999</v>
      </c>
      <c r="CM10" s="39" t="str">
        <f>YEAR(CurrentMtgRatesDataTable871112131417[[#This Row],[asofdate]])&amp;"-"&amp;MONTH(CurrentMtgRatesDataTable871112131417[[#This Row],[asofdate]])</f>
        <v>2003-10</v>
      </c>
      <c r="CN10" s="39">
        <f>CurrentMtgRatesDataTable871112131417[[#This Row],[SeriesNumValue]]</f>
        <v>3139309364.3299999</v>
      </c>
      <c r="CO10" s="39">
        <f>VLOOKUP(CurrentMtgRatesDataTable871112131417[[#This Row],[asofdate]],BY:BZ,2,0)</f>
        <v>173162000</v>
      </c>
      <c r="CP10" s="35">
        <f>IF(VLOOKUP(CurrentMtgRatesDataTable871112131417[[#This Row],[asofdate]],CC:CD,2,0)&lt;&gt;0,VLOOKUP(CurrentMtgRatesDataTable871112131417[[#This Row],[asofdate]],CC:CD,2,0),CP9)</f>
        <v>53874000</v>
      </c>
      <c r="CQ10" s="35">
        <f>VLOOKUP(CurrentMtgRatesDataTable871112131417[[#This Row],[asofdate]],CG:CH,2,0)</f>
        <v>3366345364.3299999</v>
      </c>
    </row>
    <row r="11" spans="1:95" s="6" customFormat="1" ht="12.75">
      <c r="A11" s="7" t="s">
        <v>40</v>
      </c>
      <c r="B11" s="10">
        <v>2.1574111788502E-2</v>
      </c>
      <c r="C11" s="10" t="str">
        <f>YEAR(CurrentMtgRatesDataTable8[[#This Row],[asofdate]])&amp;"-"&amp;MONTH(CurrentMtgRatesDataTable8[[#This Row],[asofdate]])</f>
        <v>2003-11</v>
      </c>
      <c r="D11" s="6">
        <f>((CurrentMtgRatesDataTable8[[#This Row],[SeriesNumValue]]-$D$1)/$D$1+1)*100</f>
        <v>143.82741192334666</v>
      </c>
      <c r="G11" s="7" t="s">
        <v>40</v>
      </c>
      <c r="H11" s="10">
        <v>81.964228940536998</v>
      </c>
      <c r="I11" s="26">
        <f>VLOOKUP(CurrentMtgRatesDataTable82[[#This Row],[asofdate]],K:L,2,0)</f>
        <v>0.30202605452215497</v>
      </c>
      <c r="K11" s="7" t="s">
        <v>40</v>
      </c>
      <c r="L11" s="29">
        <v>0.30202605452215497</v>
      </c>
      <c r="O11" s="7" t="s">
        <v>40</v>
      </c>
      <c r="P11" s="10">
        <v>35.411302149846499</v>
      </c>
      <c r="Q11" s="29">
        <f>VLOOKUP(CurrentMtgRatesDataTable84[[#This Row],[asofdate]],S:T,2,0)</f>
        <v>2.1167569446924599E-2</v>
      </c>
      <c r="S11" s="7" t="s">
        <v>40</v>
      </c>
      <c r="T11" s="10">
        <v>2.1167569446924599E-2</v>
      </c>
      <c r="W11" s="7" t="s">
        <v>40</v>
      </c>
      <c r="X11" s="10">
        <v>719.09071003198596</v>
      </c>
      <c r="Y11" s="26">
        <f>VLOOKUP(CurrentMtgRatesDataTable86[[#This Row],[asofdate]],AA:AB,2,0)</f>
        <v>0.34444111149615098</v>
      </c>
      <c r="AA11" s="7" t="s">
        <v>40</v>
      </c>
      <c r="AB11" s="10">
        <v>0.34444111149615098</v>
      </c>
      <c r="AE11" s="7" t="s">
        <v>155</v>
      </c>
      <c r="AF11" s="10">
        <v>1.8665764870618599E-2</v>
      </c>
      <c r="AG11" s="10" t="str">
        <f>YEAR(CurrentMtgRatesDataTable89[[#This Row],[asofdate]])&amp;"-"&amp;MONTH(CurrentMtgRatesDataTable89[[#This Row],[asofdate]])</f>
        <v>2015-1</v>
      </c>
      <c r="AH11" s="6">
        <f>((CurrentMtgRatesDataTable89[[#This Row],[SeriesNumValue]]-$D$1)/$D$1+1)*100</f>
        <v>124.43843247079067</v>
      </c>
      <c r="AI11" s="6">
        <f>CurrentMtgRatesDataTable89[[#This Row],[Index]]-AH12</f>
        <v>-1.2149666502266712</v>
      </c>
      <c r="AJ11" s="6">
        <f>VLOOKUP(CurrentMtgRatesDataTable89[[#This Row],[asofdate]],G:H,2,0)</f>
        <v>82.726547150692298</v>
      </c>
      <c r="AK11" s="6">
        <f>VLOOKUP(CurrentMtgRatesDataTable89[[#This Row],[asofdate]],K:L,2,0)</f>
        <v>0.32029318763412001</v>
      </c>
      <c r="AL11" s="6">
        <f>VLOOKUP(CurrentMtgRatesDataTable89[[#This Row],[asofdate]],O:P,2,0)</f>
        <v>34.824509834090797</v>
      </c>
      <c r="AM11" s="6">
        <f>VLOOKUP(CurrentMtgRatesDataTable89[[#This Row],[asofdate]],S:T,2,0)</f>
        <v>0.31220120325231998</v>
      </c>
      <c r="AN11" s="6">
        <f>VLOOKUP(CurrentMtgRatesDataTable89[[#This Row],[asofdate]],W:X,2,0)</f>
        <v>749.71315485187995</v>
      </c>
      <c r="AO11" s="6">
        <f>VLOOKUP(CurrentMtgRatesDataTable89[[#This Row],[asofdate]],AA:AB,2,0)</f>
        <v>0.15558820493379799</v>
      </c>
      <c r="AR11" s="7" t="s">
        <v>40</v>
      </c>
      <c r="AS11" s="10">
        <v>8.6871460414936999E-2</v>
      </c>
      <c r="AT11" s="36">
        <f>((CurrentMtgRatesDataTable8711[[#This Row],[SeriesNumValue]]-$D$1)/$D$1+1)*100</f>
        <v>579.14306943291342</v>
      </c>
      <c r="AU11" s="36"/>
      <c r="AW11" s="7" t="s">
        <v>40</v>
      </c>
      <c r="AX11" s="10">
        <v>7.5610136798633196E-2</v>
      </c>
      <c r="AY11" s="36">
        <f>((CurrentMtgRatesDataTable871112[[#This Row],[SeriesNumValue]]-$D$1)/$D$1+1)*100</f>
        <v>504.06757865755463</v>
      </c>
      <c r="AZ11" s="36"/>
      <c r="BB11" s="7" t="s">
        <v>40</v>
      </c>
      <c r="BC11" s="10">
        <v>2.3669485192650899E-2</v>
      </c>
      <c r="BD11" s="39">
        <f>((CurrentMtgRatesDataTable87111213[[#This Row],[SeriesNumValue]]-$D$1)/$D$1+1)*100</f>
        <v>157.79656795100601</v>
      </c>
      <c r="BE11" s="39"/>
      <c r="BG11" s="7" t="s">
        <v>40</v>
      </c>
      <c r="BH11" s="10">
        <v>2.1358095033052499E-2</v>
      </c>
      <c r="BI11" s="39">
        <f>((CurrentMtgRatesDataTable8711121314[[#This Row],[SeriesNumValue]]-$D$1)/$D$1+1)*100</f>
        <v>142.38730022035</v>
      </c>
      <c r="BJ11" s="39" t="str">
        <f>YEAR(CurrentMtgRatesDataTable8711121314[[#This Row],[asofdate]])&amp;"-"&amp;MONTH(CurrentMtgRatesDataTable8711121314[[#This Row],[asofdate]])</f>
        <v>2003-11</v>
      </c>
      <c r="BK11" s="39">
        <f>CurrentMtgRatesDataTable8711121314[[#This Row],[SeriesNumValue]]</f>
        <v>2.1358095033052499E-2</v>
      </c>
      <c r="BL11" s="39">
        <f>VLOOKUP(CurrentMtgRatesDataTable8711121314[[#This Row],[asofdate]],AR:AT,2,0)</f>
        <v>8.6871460414936999E-2</v>
      </c>
      <c r="BM11" s="35">
        <f>IF(VLOOKUP(CurrentMtgRatesDataTable8711121314[[#This Row],[asofdate]],AW:AY,2,0)&lt;&gt;0,VLOOKUP(CurrentMtgRatesDataTable8711121314[[#This Row],[asofdate]],AW:AY,2,0),BM10)</f>
        <v>7.5610136798633196E-2</v>
      </c>
      <c r="BN11" s="35">
        <f>VLOOKUP(CurrentMtgRatesDataTable8711121314[[#This Row],[asofdate]],BB:BD,2,0)</f>
        <v>2.3669485192650899E-2</v>
      </c>
      <c r="BO11" s="35">
        <f>CurrentMtgRatesDataTable8711121314[[#This Row],[FHA]]+0.5*CurrentMtgRatesDataTable8711121314[[#This Row],[Conventional]]</f>
        <v>9.7550507931463248E-2</v>
      </c>
      <c r="BP11" s="35">
        <f>2*CurrentMtgRatesDataTable8711121314[[#This Row],[FHA]]</f>
        <v>0.173742920829874</v>
      </c>
      <c r="BQ11" s="11">
        <f>VLOOKUP(YEAR(CurrentMtgRatesDataTable8711121314[[#This Row],[asofdate]]),OriginationVolume!$A:$N,8,FALSE)</f>
        <v>0.66040268456375839</v>
      </c>
      <c r="BR11" s="11">
        <f>VLOOKUP(YEAR(CurrentMtgRatesDataTable8711121314[[#This Row],[asofdate]]),OriginationVolume!$A:$N,9,FALSE)</f>
        <v>1.4765100671140939E-2</v>
      </c>
      <c r="BS11" s="11">
        <f>VLOOKUP(YEAR(CurrentMtgRatesDataTable8711121314[[#This Row],[asofdate]]),OriginationVolume!$A:$N,10,FALSE)</f>
        <v>4.429530201342282E-2</v>
      </c>
      <c r="BT11" s="11">
        <f>VLOOKUP(YEAR(CurrentMtgRatesDataTable8711121314[[#This Row],[asofdate]]),OriginationVolume!$A:$N,11,FALSE)</f>
        <v>0.17449664429530201</v>
      </c>
      <c r="BU11" s="11">
        <f>VLOOKUP(YEAR(CurrentMtgRatesDataTable8711121314[[#This Row],[asofdate]]),OriginationVolume!$A:$N,12,FALSE)</f>
        <v>2.2818791946308724E-2</v>
      </c>
      <c r="BV11" s="11">
        <f>VLOOKUP(YEAR(CurrentMtgRatesDataTable8711121314[[#This Row],[asofdate]]),OriginationVolume!$A:$N,13,FALSE)</f>
        <v>8.3221476510067116E-2</v>
      </c>
      <c r="BW11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3.9481375215199468E-2</v>
      </c>
      <c r="BY11" s="7" t="s">
        <v>40</v>
      </c>
      <c r="BZ11" s="10">
        <v>128151000</v>
      </c>
      <c r="CA11" s="36"/>
      <c r="CC11" s="7" t="s">
        <v>40</v>
      </c>
      <c r="CD11" s="10">
        <v>37241000</v>
      </c>
      <c r="CE11" s="36"/>
      <c r="CG11" s="7" t="s">
        <v>40</v>
      </c>
      <c r="CH11" s="10">
        <v>2323781186.5599999</v>
      </c>
      <c r="CI11" s="39"/>
      <c r="CK11" s="7" t="s">
        <v>40</v>
      </c>
      <c r="CL11" s="10">
        <v>2158389186.5599999</v>
      </c>
      <c r="CM11" s="39" t="str">
        <f>YEAR(CurrentMtgRatesDataTable871112131417[[#This Row],[asofdate]])&amp;"-"&amp;MONTH(CurrentMtgRatesDataTable871112131417[[#This Row],[asofdate]])</f>
        <v>2003-11</v>
      </c>
      <c r="CN11" s="39">
        <f>CurrentMtgRatesDataTable871112131417[[#This Row],[SeriesNumValue]]</f>
        <v>2158389186.5599999</v>
      </c>
      <c r="CO11" s="39">
        <f>VLOOKUP(CurrentMtgRatesDataTable871112131417[[#This Row],[asofdate]],BY:BZ,2,0)</f>
        <v>128151000</v>
      </c>
      <c r="CP11" s="35">
        <f>IF(VLOOKUP(CurrentMtgRatesDataTable871112131417[[#This Row],[asofdate]],CC:CD,2,0)&lt;&gt;0,VLOOKUP(CurrentMtgRatesDataTable871112131417[[#This Row],[asofdate]],CC:CD,2,0),CP10)</f>
        <v>37241000</v>
      </c>
      <c r="CQ11" s="35">
        <f>VLOOKUP(CurrentMtgRatesDataTable871112131417[[#This Row],[asofdate]],CG:CH,2,0)</f>
        <v>2323781186.5599999</v>
      </c>
    </row>
    <row r="12" spans="1:95" s="6" customFormat="1" ht="12.75">
      <c r="A12" s="7" t="s">
        <v>41</v>
      </c>
      <c r="B12" s="10">
        <v>2.18301222546513E-2</v>
      </c>
      <c r="C12" s="10" t="str">
        <f>YEAR(CurrentMtgRatesDataTable8[[#This Row],[asofdate]])&amp;"-"&amp;MONTH(CurrentMtgRatesDataTable8[[#This Row],[asofdate]])</f>
        <v>2003-12</v>
      </c>
      <c r="D12" s="6">
        <f>((CurrentMtgRatesDataTable8[[#This Row],[SeriesNumValue]]-$D$1)/$D$1+1)*100</f>
        <v>145.53414836434203</v>
      </c>
      <c r="G12" s="7" t="s">
        <v>41</v>
      </c>
      <c r="H12" s="10">
        <v>81.864228322339997</v>
      </c>
      <c r="I12" s="26">
        <f>VLOOKUP(CurrentMtgRatesDataTable82[[#This Row],[asofdate]],K:L,2,0)</f>
        <v>0.29608287862933402</v>
      </c>
      <c r="K12" s="7" t="s">
        <v>41</v>
      </c>
      <c r="L12" s="29">
        <v>0.29608287862933402</v>
      </c>
      <c r="O12" s="7" t="s">
        <v>41</v>
      </c>
      <c r="P12" s="10">
        <v>36.5193753202172</v>
      </c>
      <c r="Q12" s="29">
        <f>VLOOKUP(CurrentMtgRatesDataTable84[[#This Row],[asofdate]],S:T,2,0)</f>
        <v>2.16589958788652E-2</v>
      </c>
      <c r="S12" s="7" t="s">
        <v>41</v>
      </c>
      <c r="T12" s="10">
        <v>2.16589958788652E-2</v>
      </c>
      <c r="W12" s="7" t="s">
        <v>41</v>
      </c>
      <c r="X12" s="10">
        <v>720.40995221006699</v>
      </c>
      <c r="Y12" s="26">
        <f>VLOOKUP(CurrentMtgRatesDataTable86[[#This Row],[asofdate]],AA:AB,2,0)</f>
        <v>0.33962917429332001</v>
      </c>
      <c r="AA12" s="7" t="s">
        <v>41</v>
      </c>
      <c r="AB12" s="10">
        <v>0.33962917429332001</v>
      </c>
      <c r="AE12" s="7" t="s">
        <v>16</v>
      </c>
      <c r="AF12" s="10">
        <v>1.8848009868152601E-2</v>
      </c>
      <c r="AG12" s="10" t="str">
        <f>YEAR(CurrentMtgRatesDataTable89[[#This Row],[asofdate]])&amp;"-"&amp;MONTH(CurrentMtgRatesDataTable89[[#This Row],[asofdate]])</f>
        <v>2014-12</v>
      </c>
      <c r="AH12" s="6">
        <f>((CurrentMtgRatesDataTable89[[#This Row],[SeriesNumValue]]-$D$1)/$D$1+1)*100</f>
        <v>125.65339912101734</v>
      </c>
      <c r="AI12" s="6">
        <f>CurrentMtgRatesDataTable89[[#This Row],[Index]]-AH13</f>
        <v>2.6500484790566645</v>
      </c>
      <c r="AJ12" s="6">
        <f>VLOOKUP(CurrentMtgRatesDataTable89[[#This Row],[asofdate]],G:H,2,0)</f>
        <v>82.648163721352205</v>
      </c>
      <c r="AK12" s="6">
        <f>VLOOKUP(CurrentMtgRatesDataTable89[[#This Row],[asofdate]],K:L,2,0)</f>
        <v>0.318264635028014</v>
      </c>
      <c r="AL12" s="6">
        <f>VLOOKUP(CurrentMtgRatesDataTable89[[#This Row],[asofdate]],O:P,2,0)</f>
        <v>34.846015078951801</v>
      </c>
      <c r="AM12" s="6">
        <f>VLOOKUP(CurrentMtgRatesDataTable89[[#This Row],[asofdate]],S:T,2,0)</f>
        <v>0.31245467786157399</v>
      </c>
      <c r="AN12" s="6">
        <f>VLOOKUP(CurrentMtgRatesDataTable89[[#This Row],[asofdate]],W:X,2,0)</f>
        <v>749.85349083339599</v>
      </c>
      <c r="AO12" s="6">
        <f>VLOOKUP(CurrentMtgRatesDataTable89[[#This Row],[asofdate]],AA:AB,2,0)</f>
        <v>0.154702803202766</v>
      </c>
      <c r="AR12" s="7" t="s">
        <v>41</v>
      </c>
      <c r="AS12" s="10">
        <v>9.0167160769596993E-2</v>
      </c>
      <c r="AT12" s="36">
        <f>((CurrentMtgRatesDataTable8711[[#This Row],[SeriesNumValue]]-$D$1)/$D$1+1)*100</f>
        <v>601.11440513064667</v>
      </c>
      <c r="AU12" s="36"/>
      <c r="AW12" s="7" t="s">
        <v>41</v>
      </c>
      <c r="AX12" s="10">
        <v>7.7229764557536801E-2</v>
      </c>
      <c r="AY12" s="36">
        <f>((CurrentMtgRatesDataTable871112[[#This Row],[SeriesNumValue]]-$D$1)/$D$1+1)*100</f>
        <v>514.86509705024537</v>
      </c>
      <c r="AZ12" s="36"/>
      <c r="BB12" s="7" t="s">
        <v>41</v>
      </c>
      <c r="BC12" s="10">
        <v>2.3981964348724599E-2</v>
      </c>
      <c r="BD12" s="39">
        <f>((CurrentMtgRatesDataTable87111213[[#This Row],[SeriesNumValue]]-$D$1)/$D$1+1)*100</f>
        <v>159.87976232483066</v>
      </c>
      <c r="BE12" s="39"/>
      <c r="BG12" s="7" t="s">
        <v>41</v>
      </c>
      <c r="BH12" s="10">
        <v>2.1730055868424501E-2</v>
      </c>
      <c r="BI12" s="39">
        <f>((CurrentMtgRatesDataTable8711121314[[#This Row],[SeriesNumValue]]-$D$1)/$D$1+1)*100</f>
        <v>144.86703912283002</v>
      </c>
      <c r="BJ12" s="39" t="str">
        <f>YEAR(CurrentMtgRatesDataTable8711121314[[#This Row],[asofdate]])&amp;"-"&amp;MONTH(CurrentMtgRatesDataTable8711121314[[#This Row],[asofdate]])</f>
        <v>2003-12</v>
      </c>
      <c r="BK12" s="39">
        <f>CurrentMtgRatesDataTable8711121314[[#This Row],[SeriesNumValue]]</f>
        <v>2.1730055868424501E-2</v>
      </c>
      <c r="BL12" s="39">
        <f>VLOOKUP(CurrentMtgRatesDataTable8711121314[[#This Row],[asofdate]],AR:AT,2,0)</f>
        <v>9.0167160769596993E-2</v>
      </c>
      <c r="BM12" s="35">
        <f>IF(VLOOKUP(CurrentMtgRatesDataTable8711121314[[#This Row],[asofdate]],AW:AY,2,0)&lt;&gt;0,VLOOKUP(CurrentMtgRatesDataTable8711121314[[#This Row],[asofdate]],AW:AY,2,0),BM11)</f>
        <v>7.7229764557536801E-2</v>
      </c>
      <c r="BN12" s="35">
        <f>VLOOKUP(CurrentMtgRatesDataTable8711121314[[#This Row],[asofdate]],BB:BD,2,0)</f>
        <v>2.3981964348724599E-2</v>
      </c>
      <c r="BO12" s="35">
        <f>CurrentMtgRatesDataTable8711121314[[#This Row],[FHA]]+0.5*CurrentMtgRatesDataTable8711121314[[#This Row],[Conventional]]</f>
        <v>0.10103218870380924</v>
      </c>
      <c r="BP12" s="35">
        <f>2*CurrentMtgRatesDataTable8711121314[[#This Row],[FHA]]</f>
        <v>0.18033432153919399</v>
      </c>
      <c r="BQ12" s="11">
        <f>VLOOKUP(YEAR(CurrentMtgRatesDataTable8711121314[[#This Row],[asofdate]]),OriginationVolume!$A:$N,8,FALSE)</f>
        <v>0.66040268456375839</v>
      </c>
      <c r="BR12" s="11">
        <f>VLOOKUP(YEAR(CurrentMtgRatesDataTable8711121314[[#This Row],[asofdate]]),OriginationVolume!$A:$N,9,FALSE)</f>
        <v>1.4765100671140939E-2</v>
      </c>
      <c r="BS12" s="11">
        <f>VLOOKUP(YEAR(CurrentMtgRatesDataTable8711121314[[#This Row],[asofdate]]),OriginationVolume!$A:$N,10,FALSE)</f>
        <v>4.429530201342282E-2</v>
      </c>
      <c r="BT12" s="11">
        <f>VLOOKUP(YEAR(CurrentMtgRatesDataTable8711121314[[#This Row],[asofdate]]),OriginationVolume!$A:$N,11,FALSE)</f>
        <v>0.17449664429530201</v>
      </c>
      <c r="BU12" s="11">
        <f>VLOOKUP(YEAR(CurrentMtgRatesDataTable8711121314[[#This Row],[asofdate]]),OriginationVolume!$A:$N,12,FALSE)</f>
        <v>2.2818791946308724E-2</v>
      </c>
      <c r="BV12" s="11">
        <f>VLOOKUP(YEAR(CurrentMtgRatesDataTable8711121314[[#This Row],[asofdate]]),OriginationVolume!$A:$N,13,FALSE)</f>
        <v>8.3221476510067116E-2</v>
      </c>
      <c r="BW12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4.0589816924945545E-2</v>
      </c>
      <c r="BY12" s="7" t="s">
        <v>41</v>
      </c>
      <c r="BZ12" s="10">
        <v>132948000</v>
      </c>
      <c r="CA12" s="36"/>
      <c r="CC12" s="7" t="s">
        <v>41</v>
      </c>
      <c r="CD12" s="10">
        <v>34516000</v>
      </c>
      <c r="CE12" s="36"/>
      <c r="CG12" s="7" t="s">
        <v>41</v>
      </c>
      <c r="CH12" s="10">
        <v>2482247302.0700002</v>
      </c>
      <c r="CI12" s="39"/>
      <c r="CK12" s="7" t="s">
        <v>41</v>
      </c>
      <c r="CL12" s="10">
        <v>2314783302.0700002</v>
      </c>
      <c r="CM12" s="39" t="str">
        <f>YEAR(CurrentMtgRatesDataTable871112131417[[#This Row],[asofdate]])&amp;"-"&amp;MONTH(CurrentMtgRatesDataTable871112131417[[#This Row],[asofdate]])</f>
        <v>2003-12</v>
      </c>
      <c r="CN12" s="39">
        <f>CurrentMtgRatesDataTable871112131417[[#This Row],[SeriesNumValue]]</f>
        <v>2314783302.0700002</v>
      </c>
      <c r="CO12" s="39">
        <f>VLOOKUP(CurrentMtgRatesDataTable871112131417[[#This Row],[asofdate]],BY:BZ,2,0)</f>
        <v>132948000</v>
      </c>
      <c r="CP12" s="35">
        <f>IF(VLOOKUP(CurrentMtgRatesDataTable871112131417[[#This Row],[asofdate]],CC:CD,2,0)&lt;&gt;0,VLOOKUP(CurrentMtgRatesDataTable871112131417[[#This Row],[asofdate]],CC:CD,2,0),CP11)</f>
        <v>34516000</v>
      </c>
      <c r="CQ12" s="35">
        <f>VLOOKUP(CurrentMtgRatesDataTable871112131417[[#This Row],[asofdate]],CG:CH,2,0)</f>
        <v>2482247302.0700002</v>
      </c>
    </row>
    <row r="13" spans="1:95" s="6" customFormat="1" ht="12.75">
      <c r="A13" s="7" t="s">
        <v>42</v>
      </c>
      <c r="B13" s="10">
        <v>2.14212055237409E-2</v>
      </c>
      <c r="C13" s="10" t="str">
        <f>YEAR(CurrentMtgRatesDataTable8[[#This Row],[asofdate]])&amp;"-"&amp;MONTH(CurrentMtgRatesDataTable8[[#This Row],[asofdate]])</f>
        <v>2004-1</v>
      </c>
      <c r="D13" s="6">
        <f>((CurrentMtgRatesDataTable8[[#This Row],[SeriesNumValue]]-$D$1)/$D$1+1)*100</f>
        <v>142.80803682493934</v>
      </c>
      <c r="G13" s="7" t="s">
        <v>42</v>
      </c>
      <c r="H13" s="10">
        <v>81.566299959188299</v>
      </c>
      <c r="I13" s="26">
        <f>VLOOKUP(CurrentMtgRatesDataTable82[[#This Row],[asofdate]],K:L,2,0)</f>
        <v>0.29070058027366003</v>
      </c>
      <c r="K13" s="7" t="s">
        <v>42</v>
      </c>
      <c r="L13" s="29">
        <v>0.29070058027366003</v>
      </c>
      <c r="O13" s="7" t="s">
        <v>42</v>
      </c>
      <c r="P13" s="10">
        <v>36.105752730096498</v>
      </c>
      <c r="Q13" s="29">
        <f>VLOOKUP(CurrentMtgRatesDataTable84[[#This Row],[asofdate]],S:T,2,0)</f>
        <v>2.07685482202341E-2</v>
      </c>
      <c r="S13" s="7" t="s">
        <v>42</v>
      </c>
      <c r="T13" s="10">
        <v>2.07685482202341E-2</v>
      </c>
      <c r="W13" s="7" t="s">
        <v>42</v>
      </c>
      <c r="X13" s="10">
        <v>720.53281333500604</v>
      </c>
      <c r="Y13" s="26">
        <f>VLOOKUP(CurrentMtgRatesDataTable86[[#This Row],[asofdate]],AA:AB,2,0)</f>
        <v>0.33824400161048002</v>
      </c>
      <c r="AA13" s="7" t="s">
        <v>42</v>
      </c>
      <c r="AB13" s="10">
        <v>0.33824400161048002</v>
      </c>
      <c r="AE13" s="7" t="s">
        <v>154</v>
      </c>
      <c r="AF13" s="10">
        <v>1.8450502596294101E-2</v>
      </c>
      <c r="AG13" s="10" t="str">
        <f>YEAR(CurrentMtgRatesDataTable89[[#This Row],[asofdate]])&amp;"-"&amp;MONTH(CurrentMtgRatesDataTable89[[#This Row],[asofdate]])</f>
        <v>2014-11</v>
      </c>
      <c r="AH13" s="6">
        <f>((CurrentMtgRatesDataTable89[[#This Row],[SeriesNumValue]]-$D$1)/$D$1+1)*100</f>
        <v>123.00335064196068</v>
      </c>
      <c r="AI13" s="6">
        <f>CurrentMtgRatesDataTable89[[#This Row],[Index]]-AH14</f>
        <v>3.7901319208433364</v>
      </c>
      <c r="AJ13" s="6">
        <f>VLOOKUP(CurrentMtgRatesDataTable89[[#This Row],[asofdate]],G:H,2,0)</f>
        <v>82.803884256575003</v>
      </c>
      <c r="AK13" s="6">
        <f>VLOOKUP(CurrentMtgRatesDataTable89[[#This Row],[asofdate]],K:L,2,0)</f>
        <v>0.32254787448740702</v>
      </c>
      <c r="AL13" s="6">
        <f>VLOOKUP(CurrentMtgRatesDataTable89[[#This Row],[asofdate]],O:P,2,0)</f>
        <v>34.798083340824199</v>
      </c>
      <c r="AM13" s="6">
        <f>VLOOKUP(CurrentMtgRatesDataTable89[[#This Row],[asofdate]],S:T,2,0)</f>
        <v>0.309418365078864</v>
      </c>
      <c r="AN13" s="6">
        <f>VLOOKUP(CurrentMtgRatesDataTable89[[#This Row],[asofdate]],W:X,2,0)</f>
        <v>749.74150806912701</v>
      </c>
      <c r="AO13" s="6">
        <f>VLOOKUP(CurrentMtgRatesDataTable89[[#This Row],[asofdate]],AA:AB,2,0)</f>
        <v>0.15611748121786001</v>
      </c>
      <c r="AR13" s="7" t="s">
        <v>42</v>
      </c>
      <c r="AS13" s="10">
        <v>9.1083275828594504E-2</v>
      </c>
      <c r="AT13" s="36">
        <f>((CurrentMtgRatesDataTable8711[[#This Row],[SeriesNumValue]]-$D$1)/$D$1+1)*100</f>
        <v>607.22183885729669</v>
      </c>
      <c r="AU13" s="36"/>
      <c r="AW13" s="7" t="s">
        <v>42</v>
      </c>
      <c r="AX13" s="10">
        <v>7.3919928128802895E-2</v>
      </c>
      <c r="AY13" s="36">
        <f>((CurrentMtgRatesDataTable871112[[#This Row],[SeriesNumValue]]-$D$1)/$D$1+1)*100</f>
        <v>492.79952085868598</v>
      </c>
      <c r="AZ13" s="36"/>
      <c r="BB13" s="7" t="s">
        <v>42</v>
      </c>
      <c r="BC13" s="10">
        <v>2.34180885770074E-2</v>
      </c>
      <c r="BD13" s="39">
        <f>((CurrentMtgRatesDataTable87111213[[#This Row],[SeriesNumValue]]-$D$1)/$D$1+1)*100</f>
        <v>156.12059051338267</v>
      </c>
      <c r="BE13" s="39"/>
      <c r="BG13" s="7" t="s">
        <v>42</v>
      </c>
      <c r="BH13" s="10">
        <v>2.12987117078158E-2</v>
      </c>
      <c r="BI13" s="39">
        <f>((CurrentMtgRatesDataTable8711121314[[#This Row],[SeriesNumValue]]-$D$1)/$D$1+1)*100</f>
        <v>141.99141138543868</v>
      </c>
      <c r="BJ13" s="39" t="str">
        <f>YEAR(CurrentMtgRatesDataTable8711121314[[#This Row],[asofdate]])&amp;"-"&amp;MONTH(CurrentMtgRatesDataTable8711121314[[#This Row],[asofdate]])</f>
        <v>2004-1</v>
      </c>
      <c r="BK13" s="39">
        <f>CurrentMtgRatesDataTable8711121314[[#This Row],[SeriesNumValue]]</f>
        <v>2.12987117078158E-2</v>
      </c>
      <c r="BL13" s="39">
        <f>VLOOKUP(CurrentMtgRatesDataTable8711121314[[#This Row],[asofdate]],AR:AT,2,0)</f>
        <v>9.1083275828594504E-2</v>
      </c>
      <c r="BM13" s="35">
        <f>IF(VLOOKUP(CurrentMtgRatesDataTable8711121314[[#This Row],[asofdate]],AW:AY,2,0)&lt;&gt;0,VLOOKUP(CurrentMtgRatesDataTable8711121314[[#This Row],[asofdate]],AW:AY,2,0),BM12)</f>
        <v>7.3919928128802895E-2</v>
      </c>
      <c r="BN13" s="35">
        <f>VLOOKUP(CurrentMtgRatesDataTable8711121314[[#This Row],[asofdate]],BB:BD,2,0)</f>
        <v>2.34180885770074E-2</v>
      </c>
      <c r="BO13" s="35">
        <f>CurrentMtgRatesDataTable8711121314[[#This Row],[FHA]]+0.5*CurrentMtgRatesDataTable8711121314[[#This Row],[Conventional]]</f>
        <v>0.10173263168250241</v>
      </c>
      <c r="BP13" s="35">
        <f>2*CurrentMtgRatesDataTable8711121314[[#This Row],[FHA]]</f>
        <v>0.18216655165718901</v>
      </c>
      <c r="BQ13" s="11">
        <f>VLOOKUP(YEAR(CurrentMtgRatesDataTable8711121314[[#This Row],[asofdate]]),OriginationVolume!$A:$N,8,FALSE)</f>
        <v>0.46718146718146719</v>
      </c>
      <c r="BR13" s="11">
        <f>VLOOKUP(YEAR(CurrentMtgRatesDataTable8711121314[[#This Row],[asofdate]]),OriginationVolume!$A:$N,9,FALSE)</f>
        <v>1.3030888030888031E-2</v>
      </c>
      <c r="BS13" s="11">
        <f>VLOOKUP(YEAR(CurrentMtgRatesDataTable8711121314[[#This Row],[asofdate]]),OriginationVolume!$A:$N,10,FALSE)</f>
        <v>3.9092664092664091E-2</v>
      </c>
      <c r="BT13" s="11">
        <f>VLOOKUP(YEAR(CurrentMtgRatesDataTable8711121314[[#This Row],[asofdate]]),OriginationVolume!$A:$N,11,FALSE)</f>
        <v>0.19884169884169883</v>
      </c>
      <c r="BU13" s="11">
        <f>VLOOKUP(YEAR(CurrentMtgRatesDataTable8711121314[[#This Row],[asofdate]]),OriginationVolume!$A:$N,12,FALSE)</f>
        <v>7.3359073359073365E-2</v>
      </c>
      <c r="BV13" s="11">
        <f>VLOOKUP(YEAR(CurrentMtgRatesDataTable8711121314[[#This Row],[asofdate]]),OriginationVolume!$A:$N,13,FALSE)</f>
        <v>0.20849420849420849</v>
      </c>
      <c r="BW13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6.4153048209471847E-2</v>
      </c>
      <c r="BY13" s="7" t="s">
        <v>42</v>
      </c>
      <c r="BZ13" s="10">
        <v>107918000</v>
      </c>
      <c r="CA13" s="36"/>
      <c r="CC13" s="7" t="s">
        <v>42</v>
      </c>
      <c r="CD13" s="10">
        <v>32126000</v>
      </c>
      <c r="CE13" s="36"/>
      <c r="CG13" s="7" t="s">
        <v>42</v>
      </c>
      <c r="CH13" s="10">
        <v>2182102190.5999999</v>
      </c>
      <c r="CI13" s="39"/>
      <c r="CK13" s="7" t="s">
        <v>42</v>
      </c>
      <c r="CL13" s="10">
        <v>2042058190.5999999</v>
      </c>
      <c r="CM13" s="39" t="str">
        <f>YEAR(CurrentMtgRatesDataTable871112131417[[#This Row],[asofdate]])&amp;"-"&amp;MONTH(CurrentMtgRatesDataTable871112131417[[#This Row],[asofdate]])</f>
        <v>2004-1</v>
      </c>
      <c r="CN13" s="39">
        <f>CurrentMtgRatesDataTable871112131417[[#This Row],[SeriesNumValue]]</f>
        <v>2042058190.5999999</v>
      </c>
      <c r="CO13" s="39">
        <f>VLOOKUP(CurrentMtgRatesDataTable871112131417[[#This Row],[asofdate]],BY:BZ,2,0)</f>
        <v>107918000</v>
      </c>
      <c r="CP13" s="35">
        <f>IF(VLOOKUP(CurrentMtgRatesDataTable871112131417[[#This Row],[asofdate]],CC:CD,2,0)&lt;&gt;0,VLOOKUP(CurrentMtgRatesDataTable871112131417[[#This Row],[asofdate]],CC:CD,2,0),CP12)</f>
        <v>32126000</v>
      </c>
      <c r="CQ13" s="35">
        <f>VLOOKUP(CurrentMtgRatesDataTable871112131417[[#This Row],[asofdate]],CG:CH,2,0)</f>
        <v>2182102190.5999999</v>
      </c>
    </row>
    <row r="14" spans="1:95" s="6" customFormat="1" ht="12.75">
      <c r="A14" s="7" t="s">
        <v>43</v>
      </c>
      <c r="B14" s="10">
        <v>2.0722056197098701E-2</v>
      </c>
      <c r="C14" s="10" t="str">
        <f>YEAR(CurrentMtgRatesDataTable8[[#This Row],[asofdate]])&amp;"-"&amp;MONTH(CurrentMtgRatesDataTable8[[#This Row],[asofdate]])</f>
        <v>2004-2</v>
      </c>
      <c r="D14" s="6">
        <f>((CurrentMtgRatesDataTable8[[#This Row],[SeriesNumValue]]-$D$1)/$D$1+1)*100</f>
        <v>138.14704131399137</v>
      </c>
      <c r="G14" s="7" t="s">
        <v>43</v>
      </c>
      <c r="H14" s="10">
        <v>81.113652198567294</v>
      </c>
      <c r="I14" s="26">
        <f>VLOOKUP(CurrentMtgRatesDataTable82[[#This Row],[asofdate]],K:L,2,0)</f>
        <v>0.279273746865356</v>
      </c>
      <c r="K14" s="7" t="s">
        <v>43</v>
      </c>
      <c r="L14" s="29">
        <v>0.279273746865356</v>
      </c>
      <c r="O14" s="7" t="s">
        <v>43</v>
      </c>
      <c r="P14" s="10">
        <v>34.270437676693597</v>
      </c>
      <c r="Q14" s="29">
        <f>VLOOKUP(CurrentMtgRatesDataTable84[[#This Row],[asofdate]],S:T,2,0)</f>
        <v>2.56930597823848E-2</v>
      </c>
      <c r="S14" s="7" t="s">
        <v>43</v>
      </c>
      <c r="T14" s="10">
        <v>2.56930597823848E-2</v>
      </c>
      <c r="W14" s="7" t="s">
        <v>43</v>
      </c>
      <c r="X14" s="10">
        <v>721.12735756326401</v>
      </c>
      <c r="Y14" s="26">
        <f>VLOOKUP(CurrentMtgRatesDataTable86[[#This Row],[asofdate]],AA:AB,2,0)</f>
        <v>0.33004652003424001</v>
      </c>
      <c r="AA14" s="7" t="s">
        <v>43</v>
      </c>
      <c r="AB14" s="10">
        <v>0.33004652003424001</v>
      </c>
      <c r="AE14" s="7" t="s">
        <v>8</v>
      </c>
      <c r="AF14" s="10">
        <v>1.78819828081676E-2</v>
      </c>
      <c r="AG14" s="10" t="str">
        <f>YEAR(CurrentMtgRatesDataTable89[[#This Row],[asofdate]])&amp;"-"&amp;MONTH(CurrentMtgRatesDataTable89[[#This Row],[asofdate]])</f>
        <v>2014-10</v>
      </c>
      <c r="AH14" s="6">
        <f>((CurrentMtgRatesDataTable89[[#This Row],[SeriesNumValue]]-$D$1)/$D$1+1)*100</f>
        <v>119.21321872111734</v>
      </c>
      <c r="AI14" s="6">
        <f>CurrentMtgRatesDataTable89[[#This Row],[Index]]-AH15</f>
        <v>0.49197567056067726</v>
      </c>
      <c r="AJ14" s="6">
        <f>VLOOKUP(CurrentMtgRatesDataTable89[[#This Row],[asofdate]],G:H,2,0)</f>
        <v>82.721770883828398</v>
      </c>
      <c r="AK14" s="6">
        <f>VLOOKUP(CurrentMtgRatesDataTable89[[#This Row],[asofdate]],K:L,2,0)</f>
        <v>0.31567362475419602</v>
      </c>
      <c r="AL14" s="6">
        <f>VLOOKUP(CurrentMtgRatesDataTable89[[#This Row],[asofdate]],O:P,2,0)</f>
        <v>34.609191959171703</v>
      </c>
      <c r="AM14" s="6">
        <f>VLOOKUP(CurrentMtgRatesDataTable89[[#This Row],[asofdate]],S:T,2,0)</f>
        <v>0.30128149535438498</v>
      </c>
      <c r="AN14" s="6">
        <f>VLOOKUP(CurrentMtgRatesDataTable89[[#This Row],[asofdate]],W:X,2,0)</f>
        <v>750.89361801650398</v>
      </c>
      <c r="AO14" s="6">
        <f>VLOOKUP(CurrentMtgRatesDataTable89[[#This Row],[asofdate]],AA:AB,2,0)</f>
        <v>0.14738678015895099</v>
      </c>
      <c r="AR14" s="7" t="s">
        <v>43</v>
      </c>
      <c r="AS14" s="10">
        <v>8.9059484799799998E-2</v>
      </c>
      <c r="AT14" s="36">
        <f>((CurrentMtgRatesDataTable8711[[#This Row],[SeriesNumValue]]-$D$1)/$D$1+1)*100</f>
        <v>593.72989866533339</v>
      </c>
      <c r="AU14" s="36"/>
      <c r="AW14" s="7" t="s">
        <v>43</v>
      </c>
      <c r="AX14" s="10">
        <v>7.5837312969968707E-2</v>
      </c>
      <c r="AY14" s="36">
        <f>((CurrentMtgRatesDataTable871112[[#This Row],[SeriesNumValue]]-$D$1)/$D$1+1)*100</f>
        <v>505.58208646645807</v>
      </c>
      <c r="AZ14" s="36"/>
      <c r="BB14" s="7" t="s">
        <v>43</v>
      </c>
      <c r="BC14" s="10">
        <v>2.23500279789118E-2</v>
      </c>
      <c r="BD14" s="39">
        <f>((CurrentMtgRatesDataTable87111213[[#This Row],[SeriesNumValue]]-$D$1)/$D$1+1)*100</f>
        <v>149.00018652607866</v>
      </c>
      <c r="BE14" s="39"/>
      <c r="BG14" s="7" t="s">
        <v>43</v>
      </c>
      <c r="BH14" s="10">
        <v>2.04919210486827E-2</v>
      </c>
      <c r="BI14" s="39">
        <f>((CurrentMtgRatesDataTable8711121314[[#This Row],[SeriesNumValue]]-$D$1)/$D$1+1)*100</f>
        <v>136.61280699121801</v>
      </c>
      <c r="BJ14" s="39" t="str">
        <f>YEAR(CurrentMtgRatesDataTable8711121314[[#This Row],[asofdate]])&amp;"-"&amp;MONTH(CurrentMtgRatesDataTable8711121314[[#This Row],[asofdate]])</f>
        <v>2004-2</v>
      </c>
      <c r="BK14" s="39">
        <f>CurrentMtgRatesDataTable8711121314[[#This Row],[SeriesNumValue]]</f>
        <v>2.04919210486827E-2</v>
      </c>
      <c r="BL14" s="39">
        <f>VLOOKUP(CurrentMtgRatesDataTable8711121314[[#This Row],[asofdate]],AR:AT,2,0)</f>
        <v>8.9059484799799998E-2</v>
      </c>
      <c r="BM14" s="35">
        <f>IF(VLOOKUP(CurrentMtgRatesDataTable8711121314[[#This Row],[asofdate]],AW:AY,2,0)&lt;&gt;0,VLOOKUP(CurrentMtgRatesDataTable8711121314[[#This Row],[asofdate]],AW:AY,2,0),BM13)</f>
        <v>7.5837312969968707E-2</v>
      </c>
      <c r="BN14" s="35">
        <f>VLOOKUP(CurrentMtgRatesDataTable8711121314[[#This Row],[asofdate]],BB:BD,2,0)</f>
        <v>2.23500279789118E-2</v>
      </c>
      <c r="BO14" s="35">
        <f>CurrentMtgRatesDataTable8711121314[[#This Row],[FHA]]+0.5*CurrentMtgRatesDataTable8711121314[[#This Row],[Conventional]]</f>
        <v>9.9305445324141345E-2</v>
      </c>
      <c r="BP14" s="35">
        <f>2*CurrentMtgRatesDataTable8711121314[[#This Row],[FHA]]</f>
        <v>0.1781189695996</v>
      </c>
      <c r="BQ14" s="11">
        <f>VLOOKUP(YEAR(CurrentMtgRatesDataTable8711121314[[#This Row],[asofdate]]),OriginationVolume!$A:$N,8,FALSE)</f>
        <v>0.46718146718146719</v>
      </c>
      <c r="BR14" s="11">
        <f>VLOOKUP(YEAR(CurrentMtgRatesDataTable8711121314[[#This Row],[asofdate]]),OriginationVolume!$A:$N,9,FALSE)</f>
        <v>1.3030888030888031E-2</v>
      </c>
      <c r="BS14" s="11">
        <f>VLOOKUP(YEAR(CurrentMtgRatesDataTable8711121314[[#This Row],[asofdate]]),OriginationVolume!$A:$N,10,FALSE)</f>
        <v>3.9092664092664091E-2</v>
      </c>
      <c r="BT14" s="11">
        <f>VLOOKUP(YEAR(CurrentMtgRatesDataTable8711121314[[#This Row],[asofdate]]),OriginationVolume!$A:$N,11,FALSE)</f>
        <v>0.19884169884169883</v>
      </c>
      <c r="BU14" s="11">
        <f>VLOOKUP(YEAR(CurrentMtgRatesDataTable8711121314[[#This Row],[asofdate]]),OriginationVolume!$A:$N,12,FALSE)</f>
        <v>7.3359073359073365E-2</v>
      </c>
      <c r="BV14" s="11">
        <f>VLOOKUP(YEAR(CurrentMtgRatesDataTable8711121314[[#This Row],[asofdate]]),OriginationVolume!$A:$N,13,FALSE)</f>
        <v>0.20849420849420849</v>
      </c>
      <c r="BW14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6.2539623225121507E-2</v>
      </c>
      <c r="BY14" s="7" t="s">
        <v>43</v>
      </c>
      <c r="BZ14" s="10">
        <v>107712000</v>
      </c>
      <c r="CA14" s="36"/>
      <c r="CC14" s="7" t="s">
        <v>43</v>
      </c>
      <c r="CD14" s="10">
        <v>36831000</v>
      </c>
      <c r="CE14" s="36"/>
      <c r="CG14" s="7" t="s">
        <v>43</v>
      </c>
      <c r="CH14" s="10">
        <v>2485253534.2600002</v>
      </c>
      <c r="CI14" s="39"/>
      <c r="CK14" s="7" t="s">
        <v>43</v>
      </c>
      <c r="CL14" s="10">
        <v>2340710534.2600002</v>
      </c>
      <c r="CM14" s="39" t="str">
        <f>YEAR(CurrentMtgRatesDataTable871112131417[[#This Row],[asofdate]])&amp;"-"&amp;MONTH(CurrentMtgRatesDataTable871112131417[[#This Row],[asofdate]])</f>
        <v>2004-2</v>
      </c>
      <c r="CN14" s="39">
        <f>CurrentMtgRatesDataTable871112131417[[#This Row],[SeriesNumValue]]</f>
        <v>2340710534.2600002</v>
      </c>
      <c r="CO14" s="39">
        <f>VLOOKUP(CurrentMtgRatesDataTable871112131417[[#This Row],[asofdate]],BY:BZ,2,0)</f>
        <v>107712000</v>
      </c>
      <c r="CP14" s="35">
        <f>IF(VLOOKUP(CurrentMtgRatesDataTable871112131417[[#This Row],[asofdate]],CC:CD,2,0)&lt;&gt;0,VLOOKUP(CurrentMtgRatesDataTable871112131417[[#This Row],[asofdate]],CC:CD,2,0),CP13)</f>
        <v>36831000</v>
      </c>
      <c r="CQ14" s="35">
        <f>VLOOKUP(CurrentMtgRatesDataTable871112131417[[#This Row],[asofdate]],CG:CH,2,0)</f>
        <v>2485253534.2600002</v>
      </c>
    </row>
    <row r="15" spans="1:95" s="6" customFormat="1" ht="12.75">
      <c r="A15" s="7" t="s">
        <v>44</v>
      </c>
      <c r="B15" s="10">
        <v>2.0864116220785298E-2</v>
      </c>
      <c r="C15" s="10" t="str">
        <f>YEAR(CurrentMtgRatesDataTable8[[#This Row],[asofdate]])&amp;"-"&amp;MONTH(CurrentMtgRatesDataTable8[[#This Row],[asofdate]])</f>
        <v>2004-3</v>
      </c>
      <c r="D15" s="6">
        <f>((CurrentMtgRatesDataTable8[[#This Row],[SeriesNumValue]]-$D$1)/$D$1+1)*100</f>
        <v>139.09410813856866</v>
      </c>
      <c r="G15" s="7" t="s">
        <v>44</v>
      </c>
      <c r="H15" s="10">
        <v>80.826462677668502</v>
      </c>
      <c r="I15" s="26">
        <f>VLOOKUP(CurrentMtgRatesDataTable82[[#This Row],[asofdate]],K:L,2,0)</f>
        <v>0.26366024772207802</v>
      </c>
      <c r="K15" s="7" t="s">
        <v>44</v>
      </c>
      <c r="L15" s="29">
        <v>0.26366024772207802</v>
      </c>
      <c r="O15" s="7" t="s">
        <v>44</v>
      </c>
      <c r="P15" s="10">
        <v>33.128991607908802</v>
      </c>
      <c r="Q15" s="29">
        <f>VLOOKUP(CurrentMtgRatesDataTable84[[#This Row],[asofdate]],S:T,2,0)</f>
        <v>2.4328764311436001E-2</v>
      </c>
      <c r="S15" s="7" t="s">
        <v>44</v>
      </c>
      <c r="T15" s="10">
        <v>2.4328764311436001E-2</v>
      </c>
      <c r="W15" s="7" t="s">
        <v>44</v>
      </c>
      <c r="X15" s="10">
        <v>722.9204500907</v>
      </c>
      <c r="Y15" s="26">
        <f>VLOOKUP(CurrentMtgRatesDataTable86[[#This Row],[asofdate]],AA:AB,2,0)</f>
        <v>0.32020990049907999</v>
      </c>
      <c r="AA15" s="7" t="s">
        <v>44</v>
      </c>
      <c r="AB15" s="10">
        <v>0.32020990049907999</v>
      </c>
      <c r="AE15" s="7" t="s">
        <v>153</v>
      </c>
      <c r="AF15" s="10">
        <v>1.7808186457583499E-2</v>
      </c>
      <c r="AG15" s="10" t="str">
        <f>YEAR(CurrentMtgRatesDataTable89[[#This Row],[asofdate]])&amp;"-"&amp;MONTH(CurrentMtgRatesDataTable89[[#This Row],[asofdate]])</f>
        <v>2014-9</v>
      </c>
      <c r="AH15" s="6">
        <f>((CurrentMtgRatesDataTable89[[#This Row],[SeriesNumValue]]-$D$1)/$D$1+1)*100</f>
        <v>118.72124305055667</v>
      </c>
      <c r="AI15" s="6">
        <f>CurrentMtgRatesDataTable89[[#This Row],[Index]]-AH16</f>
        <v>-0.11322836864734143</v>
      </c>
      <c r="AJ15" s="6">
        <f>VLOOKUP(CurrentMtgRatesDataTable89[[#This Row],[asofdate]],G:H,2,0)</f>
        <v>82.692210236918498</v>
      </c>
      <c r="AK15" s="6">
        <f>VLOOKUP(CurrentMtgRatesDataTable89[[#This Row],[asofdate]],K:L,2,0)</f>
        <v>0.31232376366550701</v>
      </c>
      <c r="AL15" s="6">
        <f>VLOOKUP(CurrentMtgRatesDataTable89[[#This Row],[asofdate]],O:P,2,0)</f>
        <v>34.444270971612397</v>
      </c>
      <c r="AM15" s="6">
        <f>VLOOKUP(CurrentMtgRatesDataTable89[[#This Row],[asofdate]],S:T,2,0)</f>
        <v>0.29253583430136998</v>
      </c>
      <c r="AN15" s="6">
        <f>VLOOKUP(CurrentMtgRatesDataTable89[[#This Row],[asofdate]],W:X,2,0)</f>
        <v>750.91192928423595</v>
      </c>
      <c r="AO15" s="6">
        <f>VLOOKUP(CurrentMtgRatesDataTable89[[#This Row],[asofdate]],AA:AB,2,0)</f>
        <v>0.14664067232707501</v>
      </c>
      <c r="AR15" s="7" t="s">
        <v>44</v>
      </c>
      <c r="AS15" s="10">
        <v>9.1836813388869107E-2</v>
      </c>
      <c r="AT15" s="36">
        <f>((CurrentMtgRatesDataTable8711[[#This Row],[SeriesNumValue]]-$D$1)/$D$1+1)*100</f>
        <v>612.24542259246073</v>
      </c>
      <c r="AU15" s="36"/>
      <c r="AW15" s="7" t="s">
        <v>44</v>
      </c>
      <c r="AX15" s="10">
        <v>6.9937168914830303E-2</v>
      </c>
      <c r="AY15" s="36">
        <f>((CurrentMtgRatesDataTable871112[[#This Row],[SeriesNumValue]]-$D$1)/$D$1+1)*100</f>
        <v>466.24779276553545</v>
      </c>
      <c r="AZ15" s="36"/>
      <c r="BB15" s="7" t="s">
        <v>44</v>
      </c>
      <c r="BC15" s="10">
        <v>2.2510107179977E-2</v>
      </c>
      <c r="BD15" s="39">
        <f>((CurrentMtgRatesDataTable87111213[[#This Row],[SeriesNumValue]]-$D$1)/$D$1+1)*100</f>
        <v>150.06738119984666</v>
      </c>
      <c r="BE15" s="39"/>
      <c r="BG15" s="7" t="s">
        <v>44</v>
      </c>
      <c r="BH15" s="10">
        <v>2.0715890182779199E-2</v>
      </c>
      <c r="BI15" s="39">
        <f>((CurrentMtgRatesDataTable8711121314[[#This Row],[SeriesNumValue]]-$D$1)/$D$1+1)*100</f>
        <v>138.10593455186134</v>
      </c>
      <c r="BJ15" s="39" t="str">
        <f>YEAR(CurrentMtgRatesDataTable8711121314[[#This Row],[asofdate]])&amp;"-"&amp;MONTH(CurrentMtgRatesDataTable8711121314[[#This Row],[asofdate]])</f>
        <v>2004-3</v>
      </c>
      <c r="BK15" s="39">
        <f>CurrentMtgRatesDataTable8711121314[[#This Row],[SeriesNumValue]]</f>
        <v>2.0715890182779199E-2</v>
      </c>
      <c r="BL15" s="39">
        <f>VLOOKUP(CurrentMtgRatesDataTable8711121314[[#This Row],[asofdate]],AR:AT,2,0)</f>
        <v>9.1836813388869107E-2</v>
      </c>
      <c r="BM15" s="35">
        <f>IF(VLOOKUP(CurrentMtgRatesDataTable8711121314[[#This Row],[asofdate]],AW:AY,2,0)&lt;&gt;0,VLOOKUP(CurrentMtgRatesDataTable8711121314[[#This Row],[asofdate]],AW:AY,2,0),BM14)</f>
        <v>6.9937168914830303E-2</v>
      </c>
      <c r="BN15" s="35">
        <f>VLOOKUP(CurrentMtgRatesDataTable8711121314[[#This Row],[asofdate]],BB:BD,2,0)</f>
        <v>2.2510107179977E-2</v>
      </c>
      <c r="BO15" s="35">
        <f>CurrentMtgRatesDataTable8711121314[[#This Row],[FHA]]+0.5*CurrentMtgRatesDataTable8711121314[[#This Row],[Conventional]]</f>
        <v>0.1021947584802587</v>
      </c>
      <c r="BP15" s="35">
        <f>2*CurrentMtgRatesDataTable8711121314[[#This Row],[FHA]]</f>
        <v>0.18367362677773821</v>
      </c>
      <c r="BQ15" s="11">
        <f>VLOOKUP(YEAR(CurrentMtgRatesDataTable8711121314[[#This Row],[asofdate]]),OriginationVolume!$A:$N,8,FALSE)</f>
        <v>0.46718146718146719</v>
      </c>
      <c r="BR15" s="11">
        <f>VLOOKUP(YEAR(CurrentMtgRatesDataTable8711121314[[#This Row],[asofdate]]),OriginationVolume!$A:$N,9,FALSE)</f>
        <v>1.3030888030888031E-2</v>
      </c>
      <c r="BS15" s="11">
        <f>VLOOKUP(YEAR(CurrentMtgRatesDataTable8711121314[[#This Row],[asofdate]]),OriginationVolume!$A:$N,10,FALSE)</f>
        <v>3.9092664092664091E-2</v>
      </c>
      <c r="BT15" s="11">
        <f>VLOOKUP(YEAR(CurrentMtgRatesDataTable8711121314[[#This Row],[asofdate]]),OriginationVolume!$A:$N,11,FALSE)</f>
        <v>0.19884169884169883</v>
      </c>
      <c r="BU15" s="11">
        <f>VLOOKUP(YEAR(CurrentMtgRatesDataTable8711121314[[#This Row],[asofdate]]),OriginationVolume!$A:$N,12,FALSE)</f>
        <v>7.3359073359073365E-2</v>
      </c>
      <c r="BV15" s="11">
        <f>VLOOKUP(YEAR(CurrentMtgRatesDataTable8711121314[[#This Row],[asofdate]]),OriginationVolume!$A:$N,13,FALSE)</f>
        <v>0.20849420849420849</v>
      </c>
      <c r="BW15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6.4090552101552289E-2</v>
      </c>
      <c r="BY15" s="7" t="s">
        <v>44</v>
      </c>
      <c r="BZ15" s="10">
        <v>83527000</v>
      </c>
      <c r="CA15" s="36"/>
      <c r="CC15" s="7" t="s">
        <v>44</v>
      </c>
      <c r="CD15" s="10">
        <v>27390000</v>
      </c>
      <c r="CE15" s="36"/>
      <c r="CG15" s="7" t="s">
        <v>44</v>
      </c>
      <c r="CH15" s="10">
        <v>1997909919.6700001</v>
      </c>
      <c r="CI15" s="39"/>
      <c r="CK15" s="7" t="s">
        <v>44</v>
      </c>
      <c r="CL15" s="10">
        <v>1886992919.6700001</v>
      </c>
      <c r="CM15" s="39" t="str">
        <f>YEAR(CurrentMtgRatesDataTable871112131417[[#This Row],[asofdate]])&amp;"-"&amp;MONTH(CurrentMtgRatesDataTable871112131417[[#This Row],[asofdate]])</f>
        <v>2004-3</v>
      </c>
      <c r="CN15" s="39">
        <f>CurrentMtgRatesDataTable871112131417[[#This Row],[SeriesNumValue]]</f>
        <v>1886992919.6700001</v>
      </c>
      <c r="CO15" s="39">
        <f>VLOOKUP(CurrentMtgRatesDataTable871112131417[[#This Row],[asofdate]],BY:BZ,2,0)</f>
        <v>83527000</v>
      </c>
      <c r="CP15" s="35">
        <f>IF(VLOOKUP(CurrentMtgRatesDataTable871112131417[[#This Row],[asofdate]],CC:CD,2,0)&lt;&gt;0,VLOOKUP(CurrentMtgRatesDataTable871112131417[[#This Row],[asofdate]],CC:CD,2,0),CP14)</f>
        <v>27390000</v>
      </c>
      <c r="CQ15" s="35">
        <f>VLOOKUP(CurrentMtgRatesDataTable871112131417[[#This Row],[asofdate]],CG:CH,2,0)</f>
        <v>1997909919.6700001</v>
      </c>
    </row>
    <row r="16" spans="1:95" s="6" customFormat="1" ht="12.75">
      <c r="A16" s="7" t="s">
        <v>45</v>
      </c>
      <c r="B16" s="10">
        <v>2.1650471804586801E-2</v>
      </c>
      <c r="C16" s="10" t="str">
        <f>YEAR(CurrentMtgRatesDataTable8[[#This Row],[asofdate]])&amp;"-"&amp;MONTH(CurrentMtgRatesDataTable8[[#This Row],[asofdate]])</f>
        <v>2004-4</v>
      </c>
      <c r="D16" s="6">
        <f>((CurrentMtgRatesDataTable8[[#This Row],[SeriesNumValue]]-$D$1)/$D$1+1)*100</f>
        <v>144.33647869724535</v>
      </c>
      <c r="G16" s="7" t="s">
        <v>45</v>
      </c>
      <c r="H16" s="10">
        <v>81.281712793482995</v>
      </c>
      <c r="I16" s="26">
        <f>VLOOKUP(CurrentMtgRatesDataTable82[[#This Row],[asofdate]],K:L,2,0)</f>
        <v>0.27539401933822999</v>
      </c>
      <c r="K16" s="7" t="s">
        <v>45</v>
      </c>
      <c r="L16" s="29">
        <v>0.27539401933822999</v>
      </c>
      <c r="O16" s="7" t="s">
        <v>45</v>
      </c>
      <c r="P16" s="10">
        <v>35.641148466163102</v>
      </c>
      <c r="Q16" s="29">
        <f>VLOOKUP(CurrentMtgRatesDataTable84[[#This Row],[asofdate]],S:T,2,0)</f>
        <v>2.1383212133889301E-2</v>
      </c>
      <c r="S16" s="7" t="s">
        <v>45</v>
      </c>
      <c r="T16" s="10">
        <v>2.1383212133889301E-2</v>
      </c>
      <c r="W16" s="7" t="s">
        <v>45</v>
      </c>
      <c r="X16" s="10">
        <v>721.56682125767895</v>
      </c>
      <c r="Y16" s="26">
        <f>VLOOKUP(CurrentMtgRatesDataTable86[[#This Row],[asofdate]],AA:AB,2,0)</f>
        <v>0.32412171144143798</v>
      </c>
      <c r="AA16" s="7" t="s">
        <v>45</v>
      </c>
      <c r="AB16" s="10">
        <v>0.32412171144143798</v>
      </c>
      <c r="AE16" s="7" t="s">
        <v>21</v>
      </c>
      <c r="AF16" s="10">
        <v>1.78251707128806E-2</v>
      </c>
      <c r="AG16" s="10" t="str">
        <f>YEAR(CurrentMtgRatesDataTable89[[#This Row],[asofdate]])&amp;"-"&amp;MONTH(CurrentMtgRatesDataTable89[[#This Row],[asofdate]])</f>
        <v>2014-8</v>
      </c>
      <c r="AH16" s="6">
        <f>((CurrentMtgRatesDataTable89[[#This Row],[SeriesNumValue]]-$D$1)/$D$1+1)*100</f>
        <v>118.83447141920401</v>
      </c>
      <c r="AI16" s="6">
        <f>CurrentMtgRatesDataTable89[[#This Row],[Index]]-AH17</f>
        <v>-5.0739057982933389</v>
      </c>
      <c r="AJ16" s="6">
        <f>VLOOKUP(CurrentMtgRatesDataTable89[[#This Row],[asofdate]],G:H,2,0)</f>
        <v>82.756707604475196</v>
      </c>
      <c r="AK16" s="6">
        <f>VLOOKUP(CurrentMtgRatesDataTable89[[#This Row],[asofdate]],K:L,2,0)</f>
        <v>0.31712089095884999</v>
      </c>
      <c r="AL16" s="6">
        <f>VLOOKUP(CurrentMtgRatesDataTable89[[#This Row],[asofdate]],O:P,2,0)</f>
        <v>34.322739398973098</v>
      </c>
      <c r="AM16" s="6">
        <f>VLOOKUP(CurrentMtgRatesDataTable89[[#This Row],[asofdate]],S:T,2,0)</f>
        <v>0.28910327833000299</v>
      </c>
      <c r="AN16" s="6">
        <f>VLOOKUP(CurrentMtgRatesDataTable89[[#This Row],[asofdate]],W:X,2,0)</f>
        <v>751.498973209101</v>
      </c>
      <c r="AO16" s="6">
        <f>VLOOKUP(CurrentMtgRatesDataTable89[[#This Row],[asofdate]],AA:AB,2,0)</f>
        <v>0.14209050325703601</v>
      </c>
      <c r="AR16" s="7" t="s">
        <v>45</v>
      </c>
      <c r="AS16" s="10">
        <v>9.4924068582742202E-2</v>
      </c>
      <c r="AT16" s="36">
        <f>((CurrentMtgRatesDataTable8711[[#This Row],[SeriesNumValue]]-$D$1)/$D$1+1)*100</f>
        <v>632.82712388494804</v>
      </c>
      <c r="AU16" s="36"/>
      <c r="AW16" s="7" t="s">
        <v>45</v>
      </c>
      <c r="AX16" s="10">
        <v>7.4150153276567904E-2</v>
      </c>
      <c r="AY16" s="36">
        <f>((CurrentMtgRatesDataTable871112[[#This Row],[SeriesNumValue]]-$D$1)/$D$1+1)*100</f>
        <v>494.33435517711939</v>
      </c>
      <c r="AZ16" s="36"/>
      <c r="BB16" s="7" t="s">
        <v>45</v>
      </c>
      <c r="BC16" s="10">
        <v>2.3425347341866899E-2</v>
      </c>
      <c r="BD16" s="39">
        <f>((CurrentMtgRatesDataTable87111213[[#This Row],[SeriesNumValue]]-$D$1)/$D$1+1)*100</f>
        <v>156.16898227911267</v>
      </c>
      <c r="BE16" s="39"/>
      <c r="BG16" s="7" t="s">
        <v>45</v>
      </c>
      <c r="BH16" s="10">
        <v>2.1443810366087699E-2</v>
      </c>
      <c r="BI16" s="39">
        <f>((CurrentMtgRatesDataTable8711121314[[#This Row],[SeriesNumValue]]-$D$1)/$D$1+1)*100</f>
        <v>142.95873577391799</v>
      </c>
      <c r="BJ16" s="39" t="str">
        <f>YEAR(CurrentMtgRatesDataTable8711121314[[#This Row],[asofdate]])&amp;"-"&amp;MONTH(CurrentMtgRatesDataTable8711121314[[#This Row],[asofdate]])</f>
        <v>2004-4</v>
      </c>
      <c r="BK16" s="39">
        <f>CurrentMtgRatesDataTable8711121314[[#This Row],[SeriesNumValue]]</f>
        <v>2.1443810366087699E-2</v>
      </c>
      <c r="BL16" s="39">
        <f>VLOOKUP(CurrentMtgRatesDataTable8711121314[[#This Row],[asofdate]],AR:AT,2,0)</f>
        <v>9.4924068582742202E-2</v>
      </c>
      <c r="BM16" s="35">
        <f>IF(VLOOKUP(CurrentMtgRatesDataTable8711121314[[#This Row],[asofdate]],AW:AY,2,0)&lt;&gt;0,VLOOKUP(CurrentMtgRatesDataTable8711121314[[#This Row],[asofdate]],AW:AY,2,0),BM15)</f>
        <v>7.4150153276567904E-2</v>
      </c>
      <c r="BN16" s="35">
        <f>VLOOKUP(CurrentMtgRatesDataTable8711121314[[#This Row],[asofdate]],BB:BD,2,0)</f>
        <v>2.3425347341866899E-2</v>
      </c>
      <c r="BO16" s="35">
        <f>CurrentMtgRatesDataTable8711121314[[#This Row],[FHA]]+0.5*CurrentMtgRatesDataTable8711121314[[#This Row],[Conventional]]</f>
        <v>0.10564597376578605</v>
      </c>
      <c r="BP16" s="35">
        <f>2*CurrentMtgRatesDataTable8711121314[[#This Row],[FHA]]</f>
        <v>0.1898481371654844</v>
      </c>
      <c r="BQ16" s="11">
        <f>VLOOKUP(YEAR(CurrentMtgRatesDataTable8711121314[[#This Row],[asofdate]]),OriginationVolume!$A:$N,8,FALSE)</f>
        <v>0.46718146718146719</v>
      </c>
      <c r="BR16" s="11">
        <f>VLOOKUP(YEAR(CurrentMtgRatesDataTable8711121314[[#This Row],[asofdate]]),OriginationVolume!$A:$N,9,FALSE)</f>
        <v>1.3030888030888031E-2</v>
      </c>
      <c r="BS16" s="11">
        <f>VLOOKUP(YEAR(CurrentMtgRatesDataTable8711121314[[#This Row],[asofdate]]),OriginationVolume!$A:$N,10,FALSE)</f>
        <v>3.9092664092664091E-2</v>
      </c>
      <c r="BT16" s="11">
        <f>VLOOKUP(YEAR(CurrentMtgRatesDataTable8711121314[[#This Row],[asofdate]]),OriginationVolume!$A:$N,11,FALSE)</f>
        <v>0.19884169884169883</v>
      </c>
      <c r="BU16" s="11">
        <f>VLOOKUP(YEAR(CurrentMtgRatesDataTable8711121314[[#This Row],[asofdate]]),OriginationVolume!$A:$N,12,FALSE)</f>
        <v>7.3359073359073365E-2</v>
      </c>
      <c r="BV16" s="11">
        <f>VLOOKUP(YEAR(CurrentMtgRatesDataTable8711121314[[#This Row],[asofdate]]),OriginationVolume!$A:$N,13,FALSE)</f>
        <v>0.20849420849420849</v>
      </c>
      <c r="BW16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6.6291479375849047E-2</v>
      </c>
      <c r="BY16" s="7" t="s">
        <v>45</v>
      </c>
      <c r="BZ16" s="10">
        <v>98131000</v>
      </c>
      <c r="CA16" s="36"/>
      <c r="CC16" s="7" t="s">
        <v>45</v>
      </c>
      <c r="CD16" s="10">
        <v>34406000</v>
      </c>
      <c r="CE16" s="36"/>
      <c r="CG16" s="7" t="s">
        <v>45</v>
      </c>
      <c r="CH16" s="10">
        <v>2247482214.3499999</v>
      </c>
      <c r="CI16" s="39"/>
      <c r="CK16" s="7" t="s">
        <v>45</v>
      </c>
      <c r="CL16" s="10">
        <v>2114945214.3499999</v>
      </c>
      <c r="CM16" s="39" t="str">
        <f>YEAR(CurrentMtgRatesDataTable871112131417[[#This Row],[asofdate]])&amp;"-"&amp;MONTH(CurrentMtgRatesDataTable871112131417[[#This Row],[asofdate]])</f>
        <v>2004-4</v>
      </c>
      <c r="CN16" s="39">
        <f>CurrentMtgRatesDataTable871112131417[[#This Row],[SeriesNumValue]]</f>
        <v>2114945214.3499999</v>
      </c>
      <c r="CO16" s="39">
        <f>VLOOKUP(CurrentMtgRatesDataTable871112131417[[#This Row],[asofdate]],BY:BZ,2,0)</f>
        <v>98131000</v>
      </c>
      <c r="CP16" s="35">
        <f>IF(VLOOKUP(CurrentMtgRatesDataTable871112131417[[#This Row],[asofdate]],CC:CD,2,0)&lt;&gt;0,VLOOKUP(CurrentMtgRatesDataTable871112131417[[#This Row],[asofdate]],CC:CD,2,0),CP15)</f>
        <v>34406000</v>
      </c>
      <c r="CQ16" s="35">
        <f>VLOOKUP(CurrentMtgRatesDataTable871112131417[[#This Row],[asofdate]],CG:CH,2,0)</f>
        <v>2247482214.3499999</v>
      </c>
    </row>
    <row r="17" spans="1:95" s="6" customFormat="1" ht="12.75">
      <c r="A17" s="7" t="s">
        <v>46</v>
      </c>
      <c r="B17" s="10">
        <v>2.1269141510104499E-2</v>
      </c>
      <c r="C17" s="10" t="str">
        <f>YEAR(CurrentMtgRatesDataTable8[[#This Row],[asofdate]])&amp;"-"&amp;MONTH(CurrentMtgRatesDataTable8[[#This Row],[asofdate]])</f>
        <v>2004-5</v>
      </c>
      <c r="D17" s="6">
        <f>((CurrentMtgRatesDataTable8[[#This Row],[SeriesNumValue]]-$D$1)/$D$1+1)*100</f>
        <v>141.79427673403001</v>
      </c>
      <c r="G17" s="7" t="s">
        <v>46</v>
      </c>
      <c r="H17" s="10">
        <v>81.176434819561706</v>
      </c>
      <c r="I17" s="26">
        <f>VLOOKUP(CurrentMtgRatesDataTable82[[#This Row],[asofdate]],K:L,2,0)</f>
        <v>0.27051249930375898</v>
      </c>
      <c r="K17" s="7" t="s">
        <v>46</v>
      </c>
      <c r="L17" s="29">
        <v>0.27051249930375898</v>
      </c>
      <c r="O17" s="7" t="s">
        <v>46</v>
      </c>
      <c r="P17" s="10">
        <v>35.983860754805796</v>
      </c>
      <c r="Q17" s="29">
        <f>VLOOKUP(CurrentMtgRatesDataTable84[[#This Row],[asofdate]],S:T,2,0)</f>
        <v>2.0473067086164198E-2</v>
      </c>
      <c r="S17" s="7" t="s">
        <v>46</v>
      </c>
      <c r="T17" s="10">
        <v>2.0473067086164198E-2</v>
      </c>
      <c r="W17" s="7" t="s">
        <v>46</v>
      </c>
      <c r="X17" s="10">
        <v>723.07301547125496</v>
      </c>
      <c r="Y17" s="26">
        <f>VLOOKUP(CurrentMtgRatesDataTable86[[#This Row],[asofdate]],AA:AB,2,0)</f>
        <v>0.31650083814304297</v>
      </c>
      <c r="AA17" s="7" t="s">
        <v>46</v>
      </c>
      <c r="AB17" s="10">
        <v>0.31650083814304297</v>
      </c>
      <c r="AE17" s="7" t="s">
        <v>13</v>
      </c>
      <c r="AF17" s="10">
        <v>1.85862565826246E-2</v>
      </c>
      <c r="AG17" s="10" t="str">
        <f>YEAR(CurrentMtgRatesDataTable89[[#This Row],[asofdate]])&amp;"-"&amp;MONTH(CurrentMtgRatesDataTable89[[#This Row],[asofdate]])</f>
        <v>2014-7</v>
      </c>
      <c r="AH17" s="6">
        <f>((CurrentMtgRatesDataTable89[[#This Row],[SeriesNumValue]]-$D$1)/$D$1+1)*100</f>
        <v>123.90837721749735</v>
      </c>
      <c r="AI17" s="6">
        <f>CurrentMtgRatesDataTable89[[#This Row],[Index]]-AH18</f>
        <v>3.3578951789013445</v>
      </c>
      <c r="AJ17" s="6">
        <f>VLOOKUP(CurrentMtgRatesDataTable89[[#This Row],[asofdate]],G:H,2,0)</f>
        <v>82.820685947159305</v>
      </c>
      <c r="AK17" s="6">
        <f>VLOOKUP(CurrentMtgRatesDataTable89[[#This Row],[asofdate]],K:L,2,0)</f>
        <v>0.318890965784143</v>
      </c>
      <c r="AL17" s="6">
        <f>VLOOKUP(CurrentMtgRatesDataTable89[[#This Row],[asofdate]],O:P,2,0)</f>
        <v>34.4686582543032</v>
      </c>
      <c r="AM17" s="6">
        <f>VLOOKUP(CurrentMtgRatesDataTable89[[#This Row],[asofdate]],S:T,2,0)</f>
        <v>0.29227305708170098</v>
      </c>
      <c r="AN17" s="6">
        <f>VLOOKUP(CurrentMtgRatesDataTable89[[#This Row],[asofdate]],W:X,2,0)</f>
        <v>751.34370293627205</v>
      </c>
      <c r="AO17" s="6">
        <f>VLOOKUP(CurrentMtgRatesDataTable89[[#This Row],[asofdate]],AA:AB,2,0)</f>
        <v>0.14279391661367599</v>
      </c>
      <c r="AR17" s="7" t="s">
        <v>46</v>
      </c>
      <c r="AS17" s="10">
        <v>9.9504059217308802E-2</v>
      </c>
      <c r="AT17" s="36">
        <f>((CurrentMtgRatesDataTable8711[[#This Row],[SeriesNumValue]]-$D$1)/$D$1+1)*100</f>
        <v>663.36039478205873</v>
      </c>
      <c r="AU17" s="36"/>
      <c r="AW17" s="7" t="s">
        <v>46</v>
      </c>
      <c r="AX17" s="10">
        <v>8.2929537204315798E-2</v>
      </c>
      <c r="AY17" s="36">
        <f>((CurrentMtgRatesDataTable871112[[#This Row],[SeriesNumValue]]-$D$1)/$D$1+1)*100</f>
        <v>552.86358136210538</v>
      </c>
      <c r="AZ17" s="36"/>
      <c r="BB17" s="7" t="s">
        <v>46</v>
      </c>
      <c r="BC17" s="10">
        <v>2.3397774141078201E-2</v>
      </c>
      <c r="BD17" s="39">
        <f>((CurrentMtgRatesDataTable87111213[[#This Row],[SeriesNumValue]]-$D$1)/$D$1+1)*100</f>
        <v>155.98516094052135</v>
      </c>
      <c r="BE17" s="39"/>
      <c r="BG17" s="7" t="s">
        <v>46</v>
      </c>
      <c r="BH17" s="10">
        <v>2.1497562705386799E-2</v>
      </c>
      <c r="BI17" s="39">
        <f>((CurrentMtgRatesDataTable8711121314[[#This Row],[SeriesNumValue]]-$D$1)/$D$1+1)*100</f>
        <v>143.31708470257865</v>
      </c>
      <c r="BJ17" s="39" t="str">
        <f>YEAR(CurrentMtgRatesDataTable8711121314[[#This Row],[asofdate]])&amp;"-"&amp;MONTH(CurrentMtgRatesDataTable8711121314[[#This Row],[asofdate]])</f>
        <v>2004-5</v>
      </c>
      <c r="BK17" s="39">
        <f>CurrentMtgRatesDataTable8711121314[[#This Row],[SeriesNumValue]]</f>
        <v>2.1497562705386799E-2</v>
      </c>
      <c r="BL17" s="39">
        <f>VLOOKUP(CurrentMtgRatesDataTable8711121314[[#This Row],[asofdate]],AR:AT,2,0)</f>
        <v>9.9504059217308802E-2</v>
      </c>
      <c r="BM17" s="35">
        <f>IF(VLOOKUP(CurrentMtgRatesDataTable8711121314[[#This Row],[asofdate]],AW:AY,2,0)&lt;&gt;0,VLOOKUP(CurrentMtgRatesDataTable8711121314[[#This Row],[asofdate]],AW:AY,2,0),BM16)</f>
        <v>8.2929537204315798E-2</v>
      </c>
      <c r="BN17" s="35">
        <f>VLOOKUP(CurrentMtgRatesDataTable8711121314[[#This Row],[asofdate]],BB:BD,2,0)</f>
        <v>2.3397774141078201E-2</v>
      </c>
      <c r="BO17" s="35">
        <f>CurrentMtgRatesDataTable8711121314[[#This Row],[FHA]]+0.5*CurrentMtgRatesDataTable8711121314[[#This Row],[Conventional]]</f>
        <v>0.1102528405700022</v>
      </c>
      <c r="BP17" s="35">
        <f>2*CurrentMtgRatesDataTable8711121314[[#This Row],[FHA]]</f>
        <v>0.1990081184346176</v>
      </c>
      <c r="BQ17" s="11">
        <f>VLOOKUP(YEAR(CurrentMtgRatesDataTable8711121314[[#This Row],[asofdate]]),OriginationVolume!$A:$N,8,FALSE)</f>
        <v>0.46718146718146719</v>
      </c>
      <c r="BR17" s="11">
        <f>VLOOKUP(YEAR(CurrentMtgRatesDataTable8711121314[[#This Row],[asofdate]]),OriginationVolume!$A:$N,9,FALSE)</f>
        <v>1.3030888030888031E-2</v>
      </c>
      <c r="BS17" s="11">
        <f>VLOOKUP(YEAR(CurrentMtgRatesDataTable8711121314[[#This Row],[asofdate]]),OriginationVolume!$A:$N,10,FALSE)</f>
        <v>3.9092664092664091E-2</v>
      </c>
      <c r="BT17" s="11">
        <f>VLOOKUP(YEAR(CurrentMtgRatesDataTable8711121314[[#This Row],[asofdate]]),OriginationVolume!$A:$N,11,FALSE)</f>
        <v>0.19884169884169883</v>
      </c>
      <c r="BU17" s="11">
        <f>VLOOKUP(YEAR(CurrentMtgRatesDataTable8711121314[[#This Row],[asofdate]]),OriginationVolume!$A:$N,12,FALSE)</f>
        <v>7.3359073359073365E-2</v>
      </c>
      <c r="BV17" s="11">
        <f>VLOOKUP(YEAR(CurrentMtgRatesDataTable8711121314[[#This Row],[asofdate]]),OriginationVolume!$A:$N,13,FALSE)</f>
        <v>0.20849420849420849</v>
      </c>
      <c r="BW17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6.8868485407793181E-2</v>
      </c>
      <c r="BY17" s="7" t="s">
        <v>46</v>
      </c>
      <c r="BZ17" s="10">
        <v>122977000</v>
      </c>
      <c r="CA17" s="36"/>
      <c r="CC17" s="7" t="s">
        <v>46</v>
      </c>
      <c r="CD17" s="10">
        <v>44050000</v>
      </c>
      <c r="CE17" s="36"/>
      <c r="CG17" s="7" t="s">
        <v>46</v>
      </c>
      <c r="CH17" s="10">
        <v>3122723942.98</v>
      </c>
      <c r="CI17" s="39"/>
      <c r="CK17" s="7" t="s">
        <v>46</v>
      </c>
      <c r="CL17" s="10">
        <v>2955696942.98</v>
      </c>
      <c r="CM17" s="39" t="str">
        <f>YEAR(CurrentMtgRatesDataTable871112131417[[#This Row],[asofdate]])&amp;"-"&amp;MONTH(CurrentMtgRatesDataTable871112131417[[#This Row],[asofdate]])</f>
        <v>2004-5</v>
      </c>
      <c r="CN17" s="39">
        <f>CurrentMtgRatesDataTable871112131417[[#This Row],[SeriesNumValue]]</f>
        <v>2955696942.98</v>
      </c>
      <c r="CO17" s="39">
        <f>VLOOKUP(CurrentMtgRatesDataTable871112131417[[#This Row],[asofdate]],BY:BZ,2,0)</f>
        <v>122977000</v>
      </c>
      <c r="CP17" s="35">
        <f>IF(VLOOKUP(CurrentMtgRatesDataTable871112131417[[#This Row],[asofdate]],CC:CD,2,0)&lt;&gt;0,VLOOKUP(CurrentMtgRatesDataTable871112131417[[#This Row],[asofdate]],CC:CD,2,0),CP16)</f>
        <v>44050000</v>
      </c>
      <c r="CQ17" s="35">
        <f>VLOOKUP(CurrentMtgRatesDataTable871112131417[[#This Row],[asofdate]],CG:CH,2,0)</f>
        <v>3122723942.98</v>
      </c>
    </row>
    <row r="18" spans="1:95" s="6" customFormat="1" ht="12.75">
      <c r="A18" s="7" t="s">
        <v>47</v>
      </c>
      <c r="B18" s="10">
        <v>1.73385755493809E-2</v>
      </c>
      <c r="C18" s="10" t="str">
        <f>YEAR(CurrentMtgRatesDataTable8[[#This Row],[asofdate]])&amp;"-"&amp;MONTH(CurrentMtgRatesDataTable8[[#This Row],[asofdate]])</f>
        <v>2004-6</v>
      </c>
      <c r="D18" s="6">
        <f>((CurrentMtgRatesDataTable8[[#This Row],[SeriesNumValue]]-$D$1)/$D$1+1)*100</f>
        <v>115.59050366253933</v>
      </c>
      <c r="G18" s="7" t="s">
        <v>47</v>
      </c>
      <c r="H18" s="10">
        <v>80.961446646453098</v>
      </c>
      <c r="I18" s="26">
        <f>VLOOKUP(CurrentMtgRatesDataTable82[[#This Row],[asofdate]],K:L,2,0)</f>
        <v>0.25982658462066799</v>
      </c>
      <c r="K18" s="7" t="s">
        <v>47</v>
      </c>
      <c r="L18" s="29">
        <v>0.25982658462066799</v>
      </c>
      <c r="O18" s="7" t="s">
        <v>47</v>
      </c>
      <c r="P18" s="10">
        <v>35.515935884053597</v>
      </c>
      <c r="Q18" s="29">
        <f>VLOOKUP(CurrentMtgRatesDataTable84[[#This Row],[asofdate]],S:T,2,0)</f>
        <v>1.8930552643063699E-2</v>
      </c>
      <c r="S18" s="7" t="s">
        <v>47</v>
      </c>
      <c r="T18" s="10">
        <v>1.8930552643063699E-2</v>
      </c>
      <c r="W18" s="7" t="s">
        <v>47</v>
      </c>
      <c r="X18" s="10">
        <v>724.09334327372198</v>
      </c>
      <c r="Y18" s="26">
        <f>VLOOKUP(CurrentMtgRatesDataTable86[[#This Row],[asofdate]],AA:AB,2,0)</f>
        <v>0.31186678823312403</v>
      </c>
      <c r="AA18" s="7" t="s">
        <v>47</v>
      </c>
      <c r="AB18" s="10">
        <v>0.31186678823312403</v>
      </c>
      <c r="AE18" s="7" t="s">
        <v>152</v>
      </c>
      <c r="AF18" s="10">
        <v>1.8082572305789399E-2</v>
      </c>
      <c r="AG18" s="10" t="str">
        <f>YEAR(CurrentMtgRatesDataTable89[[#This Row],[asofdate]])&amp;"-"&amp;MONTH(CurrentMtgRatesDataTable89[[#This Row],[asofdate]])</f>
        <v>2014-6</v>
      </c>
      <c r="AH18" s="6">
        <f>((CurrentMtgRatesDataTable89[[#This Row],[SeriesNumValue]]-$D$1)/$D$1+1)*100</f>
        <v>120.550482038596</v>
      </c>
      <c r="AI18" s="6">
        <f>CurrentMtgRatesDataTable89[[#This Row],[Index]]-AH19</f>
        <v>6.4953799493753053</v>
      </c>
      <c r="AJ18" s="6">
        <f>VLOOKUP(CurrentMtgRatesDataTable89[[#This Row],[asofdate]],G:H,2,0)</f>
        <v>82.674402698184494</v>
      </c>
      <c r="AK18" s="6">
        <f>VLOOKUP(CurrentMtgRatesDataTable89[[#This Row],[asofdate]],K:L,2,0)</f>
        <v>0.31529051664060898</v>
      </c>
      <c r="AL18" s="6">
        <f>VLOOKUP(CurrentMtgRatesDataTable89[[#This Row],[asofdate]],O:P,2,0)</f>
        <v>34.658856260085599</v>
      </c>
      <c r="AM18" s="6">
        <f>VLOOKUP(CurrentMtgRatesDataTable89[[#This Row],[asofdate]],S:T,2,0)</f>
        <v>0.298833133468625</v>
      </c>
      <c r="AN18" s="6">
        <f>VLOOKUP(CurrentMtgRatesDataTable89[[#This Row],[asofdate]],W:X,2,0)</f>
        <v>751.34175746954998</v>
      </c>
      <c r="AO18" s="6">
        <f>VLOOKUP(CurrentMtgRatesDataTable89[[#This Row],[asofdate]],AA:AB,2,0)</f>
        <v>0.140406014613213</v>
      </c>
      <c r="AR18" s="7" t="s">
        <v>47</v>
      </c>
      <c r="AS18" s="10">
        <v>8.4638727196081204E-2</v>
      </c>
      <c r="AT18" s="36">
        <f>((CurrentMtgRatesDataTable8711[[#This Row],[SeriesNumValue]]-$D$1)/$D$1+1)*100</f>
        <v>564.25818130720802</v>
      </c>
      <c r="AU18" s="36"/>
      <c r="AW18" s="7" t="s">
        <v>47</v>
      </c>
      <c r="AX18" s="10">
        <v>7.4392139597998494E-2</v>
      </c>
      <c r="AY18" s="36">
        <f>((CurrentMtgRatesDataTable871112[[#This Row],[SeriesNumValue]]-$D$1)/$D$1+1)*100</f>
        <v>495.94759731998994</v>
      </c>
      <c r="AZ18" s="36"/>
      <c r="BB18" s="7" t="s">
        <v>47</v>
      </c>
      <c r="BC18" s="10">
        <v>1.9155079692861201E-2</v>
      </c>
      <c r="BD18" s="39">
        <f>((CurrentMtgRatesDataTable87111213[[#This Row],[SeriesNumValue]]-$D$1)/$D$1+1)*100</f>
        <v>127.70053128574135</v>
      </c>
      <c r="BE18" s="39"/>
      <c r="BG18" s="7" t="s">
        <v>47</v>
      </c>
      <c r="BH18" s="10">
        <v>1.74296567987994E-2</v>
      </c>
      <c r="BI18" s="39">
        <f>((CurrentMtgRatesDataTable8711121314[[#This Row],[SeriesNumValue]]-$D$1)/$D$1+1)*100</f>
        <v>116.197711991996</v>
      </c>
      <c r="BJ18" s="39" t="str">
        <f>YEAR(CurrentMtgRatesDataTable8711121314[[#This Row],[asofdate]])&amp;"-"&amp;MONTH(CurrentMtgRatesDataTable8711121314[[#This Row],[asofdate]])</f>
        <v>2004-6</v>
      </c>
      <c r="BK18" s="39">
        <f>CurrentMtgRatesDataTable8711121314[[#This Row],[SeriesNumValue]]</f>
        <v>1.74296567987994E-2</v>
      </c>
      <c r="BL18" s="39">
        <f>VLOOKUP(CurrentMtgRatesDataTable8711121314[[#This Row],[asofdate]],AR:AT,2,0)</f>
        <v>8.4638727196081204E-2</v>
      </c>
      <c r="BM18" s="35">
        <f>IF(VLOOKUP(CurrentMtgRatesDataTable8711121314[[#This Row],[asofdate]],AW:AY,2,0)&lt;&gt;0,VLOOKUP(CurrentMtgRatesDataTable8711121314[[#This Row],[asofdate]],AW:AY,2,0),BM17)</f>
        <v>7.4392139597998494E-2</v>
      </c>
      <c r="BN18" s="35">
        <f>VLOOKUP(CurrentMtgRatesDataTable8711121314[[#This Row],[asofdate]],BB:BD,2,0)</f>
        <v>1.9155079692861201E-2</v>
      </c>
      <c r="BO18" s="35">
        <f>CurrentMtgRatesDataTable8711121314[[#This Row],[FHA]]+0.5*CurrentMtgRatesDataTable8711121314[[#This Row],[Conventional]]</f>
        <v>9.3353555595480905E-2</v>
      </c>
      <c r="BP18" s="35">
        <f>2*CurrentMtgRatesDataTable8711121314[[#This Row],[FHA]]</f>
        <v>0.16927745439216241</v>
      </c>
      <c r="BQ18" s="11">
        <f>VLOOKUP(YEAR(CurrentMtgRatesDataTable8711121314[[#This Row],[asofdate]]),OriginationVolume!$A:$N,8,FALSE)</f>
        <v>0.46718146718146719</v>
      </c>
      <c r="BR18" s="11">
        <f>VLOOKUP(YEAR(CurrentMtgRatesDataTable8711121314[[#This Row],[asofdate]]),OriginationVolume!$A:$N,9,FALSE)</f>
        <v>1.3030888030888031E-2</v>
      </c>
      <c r="BS18" s="11">
        <f>VLOOKUP(YEAR(CurrentMtgRatesDataTable8711121314[[#This Row],[asofdate]]),OriginationVolume!$A:$N,10,FALSE)</f>
        <v>3.9092664092664091E-2</v>
      </c>
      <c r="BT18" s="11">
        <f>VLOOKUP(YEAR(CurrentMtgRatesDataTable8711121314[[#This Row],[asofdate]]),OriginationVolume!$A:$N,11,FALSE)</f>
        <v>0.19884169884169883</v>
      </c>
      <c r="BU18" s="11">
        <f>VLOOKUP(YEAR(CurrentMtgRatesDataTable8711121314[[#This Row],[asofdate]]),OriginationVolume!$A:$N,12,FALSE)</f>
        <v>7.3359073359073365E-2</v>
      </c>
      <c r="BV18" s="11">
        <f>VLOOKUP(YEAR(CurrentMtgRatesDataTable8711121314[[#This Row],[asofdate]]),OriginationVolume!$A:$N,13,FALSE)</f>
        <v>0.20849420849420849</v>
      </c>
      <c r="BW18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5.8028403379487919E-2</v>
      </c>
      <c r="BY18" s="7" t="s">
        <v>47</v>
      </c>
      <c r="BZ18" s="10">
        <v>145698000</v>
      </c>
      <c r="CA18" s="36"/>
      <c r="CC18" s="7" t="s">
        <v>47</v>
      </c>
      <c r="CD18" s="10">
        <v>46729000</v>
      </c>
      <c r="CE18" s="36"/>
      <c r="CG18" s="7" t="s">
        <v>47</v>
      </c>
      <c r="CH18" s="10">
        <v>3327289540.4099998</v>
      </c>
      <c r="CI18" s="39"/>
      <c r="CK18" s="7" t="s">
        <v>47</v>
      </c>
      <c r="CL18" s="10">
        <v>3134862540.4099998</v>
      </c>
      <c r="CM18" s="39" t="str">
        <f>YEAR(CurrentMtgRatesDataTable871112131417[[#This Row],[asofdate]])&amp;"-"&amp;MONTH(CurrentMtgRatesDataTable871112131417[[#This Row],[asofdate]])</f>
        <v>2004-6</v>
      </c>
      <c r="CN18" s="39">
        <f>CurrentMtgRatesDataTable871112131417[[#This Row],[SeriesNumValue]]</f>
        <v>3134862540.4099998</v>
      </c>
      <c r="CO18" s="39">
        <f>VLOOKUP(CurrentMtgRatesDataTable871112131417[[#This Row],[asofdate]],BY:BZ,2,0)</f>
        <v>145698000</v>
      </c>
      <c r="CP18" s="35">
        <f>IF(VLOOKUP(CurrentMtgRatesDataTable871112131417[[#This Row],[asofdate]],CC:CD,2,0)&lt;&gt;0,VLOOKUP(CurrentMtgRatesDataTable871112131417[[#This Row],[asofdate]],CC:CD,2,0),CP17)</f>
        <v>46729000</v>
      </c>
      <c r="CQ18" s="35">
        <f>VLOOKUP(CurrentMtgRatesDataTable871112131417[[#This Row],[asofdate]],CG:CH,2,0)</f>
        <v>3327289540.4099998</v>
      </c>
    </row>
    <row r="19" spans="1:95" s="6" customFormat="1" ht="12.75">
      <c r="A19" s="7" t="s">
        <v>48</v>
      </c>
      <c r="B19" s="10">
        <v>1.72832740779441E-2</v>
      </c>
      <c r="C19" s="10" t="str">
        <f>YEAR(CurrentMtgRatesDataTable8[[#This Row],[asofdate]])&amp;"-"&amp;MONTH(CurrentMtgRatesDataTable8[[#This Row],[asofdate]])</f>
        <v>2004-7</v>
      </c>
      <c r="D19" s="6">
        <f>((CurrentMtgRatesDataTable8[[#This Row],[SeriesNumValue]]-$D$1)/$D$1+1)*100</f>
        <v>115.22182718629401</v>
      </c>
      <c r="G19" s="7" t="s">
        <v>48</v>
      </c>
      <c r="H19" s="10">
        <v>80.928474194542702</v>
      </c>
      <c r="I19" s="26">
        <f>VLOOKUP(CurrentMtgRatesDataTable82[[#This Row],[asofdate]],K:L,2,0)</f>
        <v>0.26657924381296499</v>
      </c>
      <c r="K19" s="7" t="s">
        <v>48</v>
      </c>
      <c r="L19" s="29">
        <v>0.26657924381296499</v>
      </c>
      <c r="O19" s="7" t="s">
        <v>48</v>
      </c>
      <c r="P19" s="10">
        <v>34.997883140806501</v>
      </c>
      <c r="Q19" s="29">
        <f>VLOOKUP(CurrentMtgRatesDataTable84[[#This Row],[asofdate]],S:T,2,0)</f>
        <v>1.9710786588140499E-2</v>
      </c>
      <c r="S19" s="7" t="s">
        <v>48</v>
      </c>
      <c r="T19" s="10">
        <v>1.9710786588140499E-2</v>
      </c>
      <c r="W19" s="7" t="s">
        <v>48</v>
      </c>
      <c r="X19" s="10">
        <v>722.99550607406604</v>
      </c>
      <c r="Y19" s="26">
        <f>VLOOKUP(CurrentMtgRatesDataTable86[[#This Row],[asofdate]],AA:AB,2,0)</f>
        <v>0.32135696326174201</v>
      </c>
      <c r="AA19" s="7" t="s">
        <v>48</v>
      </c>
      <c r="AB19" s="10">
        <v>0.32135696326174201</v>
      </c>
      <c r="AE19" s="7" t="s">
        <v>24</v>
      </c>
      <c r="AF19" s="10">
        <v>1.7108265313383102E-2</v>
      </c>
      <c r="AG19" s="10" t="str">
        <f>YEAR(CurrentMtgRatesDataTable89[[#This Row],[asofdate]])&amp;"-"&amp;MONTH(CurrentMtgRatesDataTable89[[#This Row],[asofdate]])</f>
        <v>2014-5</v>
      </c>
      <c r="AH19" s="6">
        <f>((CurrentMtgRatesDataTable89[[#This Row],[SeriesNumValue]]-$D$1)/$D$1+1)*100</f>
        <v>114.0551020892207</v>
      </c>
      <c r="AI19" s="6">
        <f>CurrentMtgRatesDataTable89[[#This Row],[Index]]-AH20</f>
        <v>-1.784567474295315</v>
      </c>
      <c r="AJ19" s="6">
        <f>VLOOKUP(CurrentMtgRatesDataTable89[[#This Row],[asofdate]],G:H,2,0)</f>
        <v>82.444770178795594</v>
      </c>
      <c r="AK19" s="6">
        <f>VLOOKUP(CurrentMtgRatesDataTable89[[#This Row],[asofdate]],K:L,2,0)</f>
        <v>0.30811744878997599</v>
      </c>
      <c r="AL19" s="6">
        <f>VLOOKUP(CurrentMtgRatesDataTable89[[#This Row],[asofdate]],O:P,2,0)</f>
        <v>34.675439008071699</v>
      </c>
      <c r="AM19" s="6">
        <f>VLOOKUP(CurrentMtgRatesDataTable89[[#This Row],[asofdate]],S:T,2,0)</f>
        <v>0.29976463477048398</v>
      </c>
      <c r="AN19" s="6">
        <f>VLOOKUP(CurrentMtgRatesDataTable89[[#This Row],[asofdate]],W:X,2,0)</f>
        <v>751.61350922535496</v>
      </c>
      <c r="AO19" s="6">
        <f>VLOOKUP(CurrentMtgRatesDataTable89[[#This Row],[asofdate]],AA:AB,2,0)</f>
        <v>0.13767192714339599</v>
      </c>
      <c r="AR19" s="7" t="s">
        <v>48</v>
      </c>
      <c r="AS19" s="10">
        <v>7.7886223139598698E-2</v>
      </c>
      <c r="AT19" s="36">
        <f>((CurrentMtgRatesDataTable8711[[#This Row],[SeriesNumValue]]-$D$1)/$D$1+1)*100</f>
        <v>519.24148759732475</v>
      </c>
      <c r="AU19" s="36"/>
      <c r="AW19" s="7" t="s">
        <v>48</v>
      </c>
      <c r="AX19" s="10">
        <v>6.5266934728069798E-2</v>
      </c>
      <c r="AY19" s="36">
        <f>((CurrentMtgRatesDataTable871112[[#This Row],[SeriesNumValue]]-$D$1)/$D$1+1)*100</f>
        <v>435.11289818713192</v>
      </c>
      <c r="AZ19" s="36"/>
      <c r="BB19" s="7" t="s">
        <v>48</v>
      </c>
      <c r="BC19" s="10">
        <v>1.8822606569101501E-2</v>
      </c>
      <c r="BD19" s="39">
        <f>((CurrentMtgRatesDataTable87111213[[#This Row],[SeriesNumValue]]-$D$1)/$D$1+1)*100</f>
        <v>125.48404379401002</v>
      </c>
      <c r="BE19" s="39"/>
      <c r="BG19" s="7" t="s">
        <v>48</v>
      </c>
      <c r="BH19" s="10">
        <v>1.71623636029434E-2</v>
      </c>
      <c r="BI19" s="39">
        <f>((CurrentMtgRatesDataTable8711121314[[#This Row],[SeriesNumValue]]-$D$1)/$D$1+1)*100</f>
        <v>114.41575735295602</v>
      </c>
      <c r="BJ19" s="39" t="str">
        <f>YEAR(CurrentMtgRatesDataTable8711121314[[#This Row],[asofdate]])&amp;"-"&amp;MONTH(CurrentMtgRatesDataTable8711121314[[#This Row],[asofdate]])</f>
        <v>2004-7</v>
      </c>
      <c r="BK19" s="39">
        <f>CurrentMtgRatesDataTable8711121314[[#This Row],[SeriesNumValue]]</f>
        <v>1.71623636029434E-2</v>
      </c>
      <c r="BL19" s="39">
        <f>VLOOKUP(CurrentMtgRatesDataTable8711121314[[#This Row],[asofdate]],AR:AT,2,0)</f>
        <v>7.7886223139598698E-2</v>
      </c>
      <c r="BM19" s="35">
        <f>IF(VLOOKUP(CurrentMtgRatesDataTable8711121314[[#This Row],[asofdate]],AW:AY,2,0)&lt;&gt;0,VLOOKUP(CurrentMtgRatesDataTable8711121314[[#This Row],[asofdate]],AW:AY,2,0),BM18)</f>
        <v>6.5266934728069798E-2</v>
      </c>
      <c r="BN19" s="35">
        <f>VLOOKUP(CurrentMtgRatesDataTable8711121314[[#This Row],[asofdate]],BB:BD,2,0)</f>
        <v>1.8822606569101501E-2</v>
      </c>
      <c r="BO19" s="35">
        <f>CurrentMtgRatesDataTable8711121314[[#This Row],[FHA]]+0.5*CurrentMtgRatesDataTable8711121314[[#This Row],[Conventional]]</f>
        <v>8.64674049410704E-2</v>
      </c>
      <c r="BP19" s="35">
        <f>2*CurrentMtgRatesDataTable8711121314[[#This Row],[FHA]]</f>
        <v>0.1557724462791974</v>
      </c>
      <c r="BQ19" s="11">
        <f>VLOOKUP(YEAR(CurrentMtgRatesDataTable8711121314[[#This Row],[asofdate]]),OriginationVolume!$A:$N,8,FALSE)</f>
        <v>0.46718146718146719</v>
      </c>
      <c r="BR19" s="11">
        <f>VLOOKUP(YEAR(CurrentMtgRatesDataTable8711121314[[#This Row],[asofdate]]),OriginationVolume!$A:$N,9,FALSE)</f>
        <v>1.3030888030888031E-2</v>
      </c>
      <c r="BS19" s="11">
        <f>VLOOKUP(YEAR(CurrentMtgRatesDataTable8711121314[[#This Row],[asofdate]]),OriginationVolume!$A:$N,10,FALSE)</f>
        <v>3.9092664092664091E-2</v>
      </c>
      <c r="BT19" s="11">
        <f>VLOOKUP(YEAR(CurrentMtgRatesDataTable8711121314[[#This Row],[asofdate]]),OriginationVolume!$A:$N,11,FALSE)</f>
        <v>0.19884169884169883</v>
      </c>
      <c r="BU19" s="11">
        <f>VLOOKUP(YEAR(CurrentMtgRatesDataTable8711121314[[#This Row],[asofdate]]),OriginationVolume!$A:$N,12,FALSE)</f>
        <v>7.3359073359073365E-2</v>
      </c>
      <c r="BV19" s="11">
        <f>VLOOKUP(YEAR(CurrentMtgRatesDataTable8711121314[[#This Row],[asofdate]]),OriginationVolume!$A:$N,13,FALSE)</f>
        <v>0.20849420849420849</v>
      </c>
      <c r="BW19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5.4146619414905048E-2</v>
      </c>
      <c r="BY19" s="7" t="s">
        <v>48</v>
      </c>
      <c r="BZ19" s="10">
        <v>127438000</v>
      </c>
      <c r="CA19" s="36"/>
      <c r="CC19" s="7" t="s">
        <v>48</v>
      </c>
      <c r="CD19" s="10">
        <v>36444000</v>
      </c>
      <c r="CE19" s="36"/>
      <c r="CG19" s="7" t="s">
        <v>48</v>
      </c>
      <c r="CH19" s="10">
        <v>2747560879.1900001</v>
      </c>
      <c r="CI19" s="39"/>
      <c r="CK19" s="7" t="s">
        <v>48</v>
      </c>
      <c r="CL19" s="10">
        <v>2583678879.1900001</v>
      </c>
      <c r="CM19" s="39" t="str">
        <f>YEAR(CurrentMtgRatesDataTable871112131417[[#This Row],[asofdate]])&amp;"-"&amp;MONTH(CurrentMtgRatesDataTable871112131417[[#This Row],[asofdate]])</f>
        <v>2004-7</v>
      </c>
      <c r="CN19" s="39">
        <f>CurrentMtgRatesDataTable871112131417[[#This Row],[SeriesNumValue]]</f>
        <v>2583678879.1900001</v>
      </c>
      <c r="CO19" s="39">
        <f>VLOOKUP(CurrentMtgRatesDataTable871112131417[[#This Row],[asofdate]],BY:BZ,2,0)</f>
        <v>127438000</v>
      </c>
      <c r="CP19" s="35">
        <f>IF(VLOOKUP(CurrentMtgRatesDataTable871112131417[[#This Row],[asofdate]],CC:CD,2,0)&lt;&gt;0,VLOOKUP(CurrentMtgRatesDataTable871112131417[[#This Row],[asofdate]],CC:CD,2,0),CP18)</f>
        <v>36444000</v>
      </c>
      <c r="CQ19" s="35">
        <f>VLOOKUP(CurrentMtgRatesDataTable871112131417[[#This Row],[asofdate]],CG:CH,2,0)</f>
        <v>2747560879.1900001</v>
      </c>
    </row>
    <row r="20" spans="1:95" s="6" customFormat="1" ht="12.75">
      <c r="A20" s="7" t="s">
        <v>49</v>
      </c>
      <c r="B20" s="10">
        <v>2.0860951056748501E-2</v>
      </c>
      <c r="C20" s="10" t="str">
        <f>YEAR(CurrentMtgRatesDataTable8[[#This Row],[asofdate]])&amp;"-"&amp;MONTH(CurrentMtgRatesDataTable8[[#This Row],[asofdate]])</f>
        <v>2004-8</v>
      </c>
      <c r="D20" s="6">
        <f>((CurrentMtgRatesDataTable8[[#This Row],[SeriesNumValue]]-$D$1)/$D$1+1)*100</f>
        <v>139.07300704499002</v>
      </c>
      <c r="G20" s="7" t="s">
        <v>49</v>
      </c>
      <c r="H20" s="10">
        <v>81.370157030041597</v>
      </c>
      <c r="I20" s="26">
        <f>VLOOKUP(CurrentMtgRatesDataTable82[[#This Row],[asofdate]],K:L,2,0)</f>
        <v>0.28323862382710902</v>
      </c>
      <c r="K20" s="7" t="s">
        <v>49</v>
      </c>
      <c r="L20" s="29">
        <v>0.28323862382710902</v>
      </c>
      <c r="O20" s="7" t="s">
        <v>49</v>
      </c>
      <c r="P20" s="10">
        <v>36.203803583517697</v>
      </c>
      <c r="Q20" s="29">
        <f>VLOOKUP(CurrentMtgRatesDataTable84[[#This Row],[asofdate]],S:T,2,0)</f>
        <v>2.66844067861104E-2</v>
      </c>
      <c r="S20" s="7" t="s">
        <v>49</v>
      </c>
      <c r="T20" s="10">
        <v>2.66844067861104E-2</v>
      </c>
      <c r="W20" s="7" t="s">
        <v>49</v>
      </c>
      <c r="X20" s="10">
        <v>720.06039635737204</v>
      </c>
      <c r="Y20" s="26">
        <f>VLOOKUP(CurrentMtgRatesDataTable86[[#This Row],[asofdate]],AA:AB,2,0)</f>
        <v>0.34681408931864999</v>
      </c>
      <c r="AA20" s="7" t="s">
        <v>49</v>
      </c>
      <c r="AB20" s="10">
        <v>0.34681408931864999</v>
      </c>
      <c r="AE20" s="7" t="s">
        <v>12</v>
      </c>
      <c r="AF20" s="10">
        <v>1.7375950434527401E-2</v>
      </c>
      <c r="AG20" s="10" t="str">
        <f>YEAR(CurrentMtgRatesDataTable89[[#This Row],[asofdate]])&amp;"-"&amp;MONTH(CurrentMtgRatesDataTable89[[#This Row],[asofdate]])</f>
        <v>2014-4</v>
      </c>
      <c r="AH20" s="6">
        <f>((CurrentMtgRatesDataTable89[[#This Row],[SeriesNumValue]]-$D$1)/$D$1+1)*100</f>
        <v>115.83966956351601</v>
      </c>
      <c r="AI20" s="6">
        <f>CurrentMtgRatesDataTable89[[#This Row],[Index]]-AH21</f>
        <v>3.274574689758694</v>
      </c>
      <c r="AJ20" s="6">
        <f>VLOOKUP(CurrentMtgRatesDataTable89[[#This Row],[asofdate]],G:H,2,0)</f>
        <v>82.221632922201394</v>
      </c>
      <c r="AK20" s="6">
        <f>VLOOKUP(CurrentMtgRatesDataTable89[[#This Row],[asofdate]],K:L,2,0)</f>
        <v>0.302228602571813</v>
      </c>
      <c r="AL20" s="6">
        <f>VLOOKUP(CurrentMtgRatesDataTable89[[#This Row],[asofdate]],O:P,2,0)</f>
        <v>34.816199864300501</v>
      </c>
      <c r="AM20" s="6">
        <f>VLOOKUP(CurrentMtgRatesDataTable89[[#This Row],[asofdate]],S:T,2,0)</f>
        <v>0.30845170445324599</v>
      </c>
      <c r="AN20" s="6">
        <f>VLOOKUP(CurrentMtgRatesDataTable89[[#This Row],[asofdate]],W:X,2,0)</f>
        <v>751.46240213519695</v>
      </c>
      <c r="AO20" s="6">
        <f>VLOOKUP(CurrentMtgRatesDataTable89[[#This Row],[asofdate]],AA:AB,2,0)</f>
        <v>0.136759922124324</v>
      </c>
      <c r="AR20" s="7" t="s">
        <v>49</v>
      </c>
      <c r="AS20" s="10">
        <v>9.0779477365927799E-2</v>
      </c>
      <c r="AT20" s="36">
        <f>((CurrentMtgRatesDataTable8711[[#This Row],[SeriesNumValue]]-$D$1)/$D$1+1)*100</f>
        <v>605.19651577285197</v>
      </c>
      <c r="AU20" s="36"/>
      <c r="AW20" s="7" t="s">
        <v>49</v>
      </c>
      <c r="AX20" s="10">
        <v>6.6895577239321505E-2</v>
      </c>
      <c r="AY20" s="36">
        <f>((CurrentMtgRatesDataTable871112[[#This Row],[SeriesNumValue]]-$D$1)/$D$1+1)*100</f>
        <v>445.97051492881008</v>
      </c>
      <c r="AZ20" s="36"/>
      <c r="BB20" s="7" t="s">
        <v>49</v>
      </c>
      <c r="BC20" s="10">
        <v>2.2441121105814602E-2</v>
      </c>
      <c r="BD20" s="39">
        <f>((CurrentMtgRatesDataTable87111213[[#This Row],[SeriesNumValue]]-$D$1)/$D$1+1)*100</f>
        <v>149.60747403876402</v>
      </c>
      <c r="BE20" s="39"/>
      <c r="BG20" s="7" t="s">
        <v>49</v>
      </c>
      <c r="BH20" s="10">
        <v>2.0583368674609099E-2</v>
      </c>
      <c r="BI20" s="39">
        <f>((CurrentMtgRatesDataTable8711121314[[#This Row],[SeriesNumValue]]-$D$1)/$D$1+1)*100</f>
        <v>137.22245783072734</v>
      </c>
      <c r="BJ20" s="39" t="str">
        <f>YEAR(CurrentMtgRatesDataTable8711121314[[#This Row],[asofdate]])&amp;"-"&amp;MONTH(CurrentMtgRatesDataTable8711121314[[#This Row],[asofdate]])</f>
        <v>2004-8</v>
      </c>
      <c r="BK20" s="39">
        <f>CurrentMtgRatesDataTable8711121314[[#This Row],[SeriesNumValue]]</f>
        <v>2.0583368674609099E-2</v>
      </c>
      <c r="BL20" s="39">
        <f>VLOOKUP(CurrentMtgRatesDataTable8711121314[[#This Row],[asofdate]],AR:AT,2,0)</f>
        <v>9.0779477365927799E-2</v>
      </c>
      <c r="BM20" s="35">
        <f>IF(VLOOKUP(CurrentMtgRatesDataTable8711121314[[#This Row],[asofdate]],AW:AY,2,0)&lt;&gt;0,VLOOKUP(CurrentMtgRatesDataTable8711121314[[#This Row],[asofdate]],AW:AY,2,0),BM19)</f>
        <v>6.6895577239321505E-2</v>
      </c>
      <c r="BN20" s="35">
        <f>VLOOKUP(CurrentMtgRatesDataTable8711121314[[#This Row],[asofdate]],BB:BD,2,0)</f>
        <v>2.2441121105814602E-2</v>
      </c>
      <c r="BO20" s="35">
        <f>CurrentMtgRatesDataTable8711121314[[#This Row],[FHA]]+0.5*CurrentMtgRatesDataTable8711121314[[#This Row],[Conventional]]</f>
        <v>0.10107116170323235</v>
      </c>
      <c r="BP20" s="35">
        <f>2*CurrentMtgRatesDataTable8711121314[[#This Row],[FHA]]</f>
        <v>0.1815589547318556</v>
      </c>
      <c r="BQ20" s="11">
        <f>VLOOKUP(YEAR(CurrentMtgRatesDataTable8711121314[[#This Row],[asofdate]]),OriginationVolume!$A:$N,8,FALSE)</f>
        <v>0.46718146718146719</v>
      </c>
      <c r="BR20" s="11">
        <f>VLOOKUP(YEAR(CurrentMtgRatesDataTable8711121314[[#This Row],[asofdate]]),OriginationVolume!$A:$N,9,FALSE)</f>
        <v>1.3030888030888031E-2</v>
      </c>
      <c r="BS20" s="11">
        <f>VLOOKUP(YEAR(CurrentMtgRatesDataTable8711121314[[#This Row],[asofdate]]),OriginationVolume!$A:$N,10,FALSE)</f>
        <v>3.9092664092664091E-2</v>
      </c>
      <c r="BT20" s="11">
        <f>VLOOKUP(YEAR(CurrentMtgRatesDataTable8711121314[[#This Row],[asofdate]]),OriginationVolume!$A:$N,11,FALSE)</f>
        <v>0.19884169884169883</v>
      </c>
      <c r="BU20" s="11">
        <f>VLOOKUP(YEAR(CurrentMtgRatesDataTable8711121314[[#This Row],[asofdate]]),OriginationVolume!$A:$N,12,FALSE)</f>
        <v>7.3359073359073365E-2</v>
      </c>
      <c r="BV20" s="11">
        <f>VLOOKUP(YEAR(CurrentMtgRatesDataTable8711121314[[#This Row],[asofdate]]),OriginationVolume!$A:$N,13,FALSE)</f>
        <v>0.20849420849420849</v>
      </c>
      <c r="BW20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6.3397998091754504E-2</v>
      </c>
      <c r="BY20" s="7" t="s">
        <v>49</v>
      </c>
      <c r="BZ20" s="10">
        <v>114120000</v>
      </c>
      <c r="CA20" s="36"/>
      <c r="CC20" s="7" t="s">
        <v>49</v>
      </c>
      <c r="CD20" s="10">
        <v>30085000</v>
      </c>
      <c r="CE20" s="36"/>
      <c r="CG20" s="7" t="s">
        <v>49</v>
      </c>
      <c r="CH20" s="10">
        <v>2488610613.04</v>
      </c>
      <c r="CI20" s="39"/>
      <c r="CK20" s="7" t="s">
        <v>49</v>
      </c>
      <c r="CL20" s="10">
        <v>2344405613.04</v>
      </c>
      <c r="CM20" s="39" t="str">
        <f>YEAR(CurrentMtgRatesDataTable871112131417[[#This Row],[asofdate]])&amp;"-"&amp;MONTH(CurrentMtgRatesDataTable871112131417[[#This Row],[asofdate]])</f>
        <v>2004-8</v>
      </c>
      <c r="CN20" s="39">
        <f>CurrentMtgRatesDataTable871112131417[[#This Row],[SeriesNumValue]]</f>
        <v>2344405613.04</v>
      </c>
      <c r="CO20" s="39">
        <f>VLOOKUP(CurrentMtgRatesDataTable871112131417[[#This Row],[asofdate]],BY:BZ,2,0)</f>
        <v>114120000</v>
      </c>
      <c r="CP20" s="35">
        <f>IF(VLOOKUP(CurrentMtgRatesDataTable871112131417[[#This Row],[asofdate]],CC:CD,2,0)&lt;&gt;0,VLOOKUP(CurrentMtgRatesDataTable871112131417[[#This Row],[asofdate]],CC:CD,2,0),CP19)</f>
        <v>30085000</v>
      </c>
      <c r="CQ20" s="35">
        <f>VLOOKUP(CurrentMtgRatesDataTable871112131417[[#This Row],[asofdate]],CG:CH,2,0)</f>
        <v>2488610613.04</v>
      </c>
    </row>
    <row r="21" spans="1:95" s="6" customFormat="1" ht="12.75">
      <c r="A21" s="7" t="s">
        <v>50</v>
      </c>
      <c r="B21" s="10">
        <v>2.3219619060123198E-2</v>
      </c>
      <c r="C21" s="10" t="str">
        <f>YEAR(CurrentMtgRatesDataTable8[[#This Row],[asofdate]])&amp;"-"&amp;MONTH(CurrentMtgRatesDataTable8[[#This Row],[asofdate]])</f>
        <v>2004-9</v>
      </c>
      <c r="D21" s="6">
        <f>((CurrentMtgRatesDataTable8[[#This Row],[SeriesNumValue]]-$D$1)/$D$1+1)*100</f>
        <v>154.79746040082131</v>
      </c>
      <c r="G21" s="7" t="s">
        <v>50</v>
      </c>
      <c r="H21" s="10">
        <v>81.575997037203607</v>
      </c>
      <c r="I21" s="26">
        <f>VLOOKUP(CurrentMtgRatesDataTable82[[#This Row],[asofdate]],K:L,2,0)</f>
        <v>0.28350793370687299</v>
      </c>
      <c r="K21" s="7" t="s">
        <v>50</v>
      </c>
      <c r="L21" s="29">
        <v>0.28350793370687299</v>
      </c>
      <c r="O21" s="7" t="s">
        <v>50</v>
      </c>
      <c r="P21" s="10">
        <v>36.725585962012303</v>
      </c>
      <c r="Q21" s="29">
        <f>VLOOKUP(CurrentMtgRatesDataTable84[[#This Row],[asofdate]],S:T,2,0)</f>
        <v>2.4399357804312901E-2</v>
      </c>
      <c r="S21" s="7" t="s">
        <v>50</v>
      </c>
      <c r="T21" s="10">
        <v>2.4399357804312901E-2</v>
      </c>
      <c r="W21" s="7" t="s">
        <v>50</v>
      </c>
      <c r="X21" s="10">
        <v>719.79489214723901</v>
      </c>
      <c r="Y21" s="26">
        <f>VLOOKUP(CurrentMtgRatesDataTable86[[#This Row],[asofdate]],AA:AB,2,0)</f>
        <v>0.34861427310826099</v>
      </c>
      <c r="AA21" s="7" t="s">
        <v>50</v>
      </c>
      <c r="AB21" s="10">
        <v>0.34861427310826099</v>
      </c>
      <c r="AE21" s="7" t="s">
        <v>151</v>
      </c>
      <c r="AF21" s="10">
        <v>1.6884764231063599E-2</v>
      </c>
      <c r="AG21" s="10" t="str">
        <f>YEAR(CurrentMtgRatesDataTable89[[#This Row],[asofdate]])&amp;"-"&amp;MONTH(CurrentMtgRatesDataTable89[[#This Row],[asofdate]])</f>
        <v>2014-3</v>
      </c>
      <c r="AH21" s="6">
        <f>((CurrentMtgRatesDataTable89[[#This Row],[SeriesNumValue]]-$D$1)/$D$1+1)*100</f>
        <v>112.56509487375732</v>
      </c>
      <c r="AI21" s="6">
        <f>CurrentMtgRatesDataTable89[[#This Row],[Index]]-AH22</f>
        <v>9.1220866186693144</v>
      </c>
      <c r="AJ21" s="6">
        <f>VLOOKUP(CurrentMtgRatesDataTable89[[#This Row],[asofdate]],G:H,2,0)</f>
        <v>81.851194537145602</v>
      </c>
      <c r="AK21" s="6">
        <f>VLOOKUP(CurrentMtgRatesDataTable89[[#This Row],[asofdate]],K:L,2,0)</f>
        <v>0.29247281839506201</v>
      </c>
      <c r="AL21" s="6">
        <f>VLOOKUP(CurrentMtgRatesDataTable89[[#This Row],[asofdate]],O:P,2,0)</f>
        <v>35.096621359252701</v>
      </c>
      <c r="AM21" s="6">
        <f>VLOOKUP(CurrentMtgRatesDataTable89[[#This Row],[asofdate]],S:T,2,0)</f>
        <v>0.32592044220524802</v>
      </c>
      <c r="AN21" s="6">
        <f>VLOOKUP(CurrentMtgRatesDataTable89[[#This Row],[asofdate]],W:X,2,0)</f>
        <v>752.01745988927803</v>
      </c>
      <c r="AO21" s="6">
        <f>VLOOKUP(CurrentMtgRatesDataTable89[[#This Row],[asofdate]],AA:AB,2,0)</f>
        <v>0.13383175443081299</v>
      </c>
      <c r="AR21" s="7" t="s">
        <v>50</v>
      </c>
      <c r="AS21" s="10">
        <v>9.7491194732257994E-2</v>
      </c>
      <c r="AT21" s="36">
        <f>((CurrentMtgRatesDataTable8711[[#This Row],[SeriesNumValue]]-$D$1)/$D$1+1)*100</f>
        <v>649.94129821505328</v>
      </c>
      <c r="AU21" s="36"/>
      <c r="AW21" s="7" t="s">
        <v>50</v>
      </c>
      <c r="AX21" s="10">
        <v>8.3094273500979796E-2</v>
      </c>
      <c r="AY21" s="36">
        <f>((CurrentMtgRatesDataTable871112[[#This Row],[SeriesNumValue]]-$D$1)/$D$1+1)*100</f>
        <v>553.9618233398653</v>
      </c>
      <c r="AZ21" s="36"/>
      <c r="BB21" s="7" t="s">
        <v>50</v>
      </c>
      <c r="BC21" s="10">
        <v>2.4949522689313199E-2</v>
      </c>
      <c r="BD21" s="39">
        <f>((CurrentMtgRatesDataTable87111213[[#This Row],[SeriesNumValue]]-$D$1)/$D$1+1)*100</f>
        <v>166.33015126208801</v>
      </c>
      <c r="BE21" s="39"/>
      <c r="BG21" s="7" t="s">
        <v>50</v>
      </c>
      <c r="BH21" s="10">
        <v>2.3047577050655299E-2</v>
      </c>
      <c r="BI21" s="39">
        <f>((CurrentMtgRatesDataTable8711121314[[#This Row],[SeriesNumValue]]-$D$1)/$D$1+1)*100</f>
        <v>153.65051367103533</v>
      </c>
      <c r="BJ21" s="39" t="str">
        <f>YEAR(CurrentMtgRatesDataTable8711121314[[#This Row],[asofdate]])&amp;"-"&amp;MONTH(CurrentMtgRatesDataTable8711121314[[#This Row],[asofdate]])</f>
        <v>2004-9</v>
      </c>
      <c r="BK21" s="39">
        <f>CurrentMtgRatesDataTable8711121314[[#This Row],[SeriesNumValue]]</f>
        <v>2.3047577050655299E-2</v>
      </c>
      <c r="BL21" s="39">
        <f>VLOOKUP(CurrentMtgRatesDataTable8711121314[[#This Row],[asofdate]],AR:AT,2,0)</f>
        <v>9.7491194732257994E-2</v>
      </c>
      <c r="BM21" s="35">
        <f>IF(VLOOKUP(CurrentMtgRatesDataTable8711121314[[#This Row],[asofdate]],AW:AY,2,0)&lt;&gt;0,VLOOKUP(CurrentMtgRatesDataTable8711121314[[#This Row],[asofdate]],AW:AY,2,0),BM20)</f>
        <v>8.3094273500979796E-2</v>
      </c>
      <c r="BN21" s="35">
        <f>VLOOKUP(CurrentMtgRatesDataTable8711121314[[#This Row],[asofdate]],BB:BD,2,0)</f>
        <v>2.4949522689313199E-2</v>
      </c>
      <c r="BO21" s="35">
        <f>CurrentMtgRatesDataTable8711121314[[#This Row],[FHA]]+0.5*CurrentMtgRatesDataTable8711121314[[#This Row],[Conventional]]</f>
        <v>0.10901498325758564</v>
      </c>
      <c r="BP21" s="35">
        <f>2*CurrentMtgRatesDataTable8711121314[[#This Row],[FHA]]</f>
        <v>0.19498238946451599</v>
      </c>
      <c r="BQ21" s="11">
        <f>VLOOKUP(YEAR(CurrentMtgRatesDataTable8711121314[[#This Row],[asofdate]]),OriginationVolume!$A:$N,8,FALSE)</f>
        <v>0.46718146718146719</v>
      </c>
      <c r="BR21" s="11">
        <f>VLOOKUP(YEAR(CurrentMtgRatesDataTable8711121314[[#This Row],[asofdate]]),OriginationVolume!$A:$N,9,FALSE)</f>
        <v>1.3030888030888031E-2</v>
      </c>
      <c r="BS21" s="11">
        <f>VLOOKUP(YEAR(CurrentMtgRatesDataTable8711121314[[#This Row],[asofdate]]),OriginationVolume!$A:$N,10,FALSE)</f>
        <v>3.9092664092664091E-2</v>
      </c>
      <c r="BT21" s="11">
        <f>VLOOKUP(YEAR(CurrentMtgRatesDataTable8711121314[[#This Row],[asofdate]]),OriginationVolume!$A:$N,11,FALSE)</f>
        <v>0.19884169884169883</v>
      </c>
      <c r="BU21" s="11">
        <f>VLOOKUP(YEAR(CurrentMtgRatesDataTable8711121314[[#This Row],[asofdate]]),OriginationVolume!$A:$N,12,FALSE)</f>
        <v>7.3359073359073365E-2</v>
      </c>
      <c r="BV21" s="11">
        <f>VLOOKUP(YEAR(CurrentMtgRatesDataTable8711121314[[#This Row],[asofdate]]),OriginationVolume!$A:$N,13,FALSE)</f>
        <v>0.20849420849420849</v>
      </c>
      <c r="BW21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6.8894140053845365E-2</v>
      </c>
      <c r="BY21" s="7" t="s">
        <v>50</v>
      </c>
      <c r="BZ21" s="10">
        <v>101391000</v>
      </c>
      <c r="CA21" s="36"/>
      <c r="CC21" s="7" t="s">
        <v>50</v>
      </c>
      <c r="CD21" s="10">
        <v>32534000</v>
      </c>
      <c r="CE21" s="36"/>
      <c r="CG21" s="7" t="s">
        <v>50</v>
      </c>
      <c r="CH21" s="10">
        <v>2501128882.71</v>
      </c>
      <c r="CI21" s="39"/>
      <c r="CK21" s="7" t="s">
        <v>50</v>
      </c>
      <c r="CL21" s="10">
        <v>2367203882.71</v>
      </c>
      <c r="CM21" s="39" t="str">
        <f>YEAR(CurrentMtgRatesDataTable871112131417[[#This Row],[asofdate]])&amp;"-"&amp;MONTH(CurrentMtgRatesDataTable871112131417[[#This Row],[asofdate]])</f>
        <v>2004-9</v>
      </c>
      <c r="CN21" s="39">
        <f>CurrentMtgRatesDataTable871112131417[[#This Row],[SeriesNumValue]]</f>
        <v>2367203882.71</v>
      </c>
      <c r="CO21" s="39">
        <f>VLOOKUP(CurrentMtgRatesDataTable871112131417[[#This Row],[asofdate]],BY:BZ,2,0)</f>
        <v>101391000</v>
      </c>
      <c r="CP21" s="35">
        <f>IF(VLOOKUP(CurrentMtgRatesDataTable871112131417[[#This Row],[asofdate]],CC:CD,2,0)&lt;&gt;0,VLOOKUP(CurrentMtgRatesDataTable871112131417[[#This Row],[asofdate]],CC:CD,2,0),CP20)</f>
        <v>32534000</v>
      </c>
      <c r="CQ21" s="35">
        <f>VLOOKUP(CurrentMtgRatesDataTable871112131417[[#This Row],[asofdate]],CG:CH,2,0)</f>
        <v>2501128882.71</v>
      </c>
    </row>
    <row r="22" spans="1:95" s="6" customFormat="1" ht="12.75">
      <c r="A22" s="7" t="s">
        <v>51</v>
      </c>
      <c r="B22" s="10">
        <v>2.25309271196323E-2</v>
      </c>
      <c r="C22" s="10" t="str">
        <f>YEAR(CurrentMtgRatesDataTable8[[#This Row],[asofdate]])&amp;"-"&amp;MONTH(CurrentMtgRatesDataTable8[[#This Row],[asofdate]])</f>
        <v>2004-10</v>
      </c>
      <c r="D22" s="6">
        <f>((CurrentMtgRatesDataTable8[[#This Row],[SeriesNumValue]]-$D$1)/$D$1+1)*100</f>
        <v>150.20618079754868</v>
      </c>
      <c r="G22" s="7" t="s">
        <v>51</v>
      </c>
      <c r="H22" s="10">
        <v>81.278021286029201</v>
      </c>
      <c r="I22" s="26">
        <f>VLOOKUP(CurrentMtgRatesDataTable82[[#This Row],[asofdate]],K:L,2,0)</f>
        <v>0.276682221848848</v>
      </c>
      <c r="K22" s="7" t="s">
        <v>51</v>
      </c>
      <c r="L22" s="29">
        <v>0.276682221848848</v>
      </c>
      <c r="O22" s="7" t="s">
        <v>51</v>
      </c>
      <c r="P22" s="10">
        <v>36.140491978410601</v>
      </c>
      <c r="Q22" s="29">
        <f>VLOOKUP(CurrentMtgRatesDataTable84[[#This Row],[asofdate]],S:T,2,0)</f>
        <v>2.2700215079383398E-2</v>
      </c>
      <c r="S22" s="7" t="s">
        <v>51</v>
      </c>
      <c r="T22" s="10">
        <v>2.2700215079383398E-2</v>
      </c>
      <c r="W22" s="7" t="s">
        <v>51</v>
      </c>
      <c r="X22" s="10">
        <v>720.93113561545397</v>
      </c>
      <c r="Y22" s="26">
        <f>VLOOKUP(CurrentMtgRatesDataTable86[[#This Row],[asofdate]],AA:AB,2,0)</f>
        <v>0.33728725379950802</v>
      </c>
      <c r="AA22" s="7" t="s">
        <v>51</v>
      </c>
      <c r="AB22" s="10">
        <v>0.33728725379950802</v>
      </c>
      <c r="AE22" s="7" t="s">
        <v>150</v>
      </c>
      <c r="AF22" s="10">
        <v>1.55164512382632E-2</v>
      </c>
      <c r="AG22" s="10" t="str">
        <f>YEAR(CurrentMtgRatesDataTable89[[#This Row],[asofdate]])&amp;"-"&amp;MONTH(CurrentMtgRatesDataTable89[[#This Row],[asofdate]])</f>
        <v>2014-2</v>
      </c>
      <c r="AH22" s="6">
        <f>((CurrentMtgRatesDataTable89[[#This Row],[SeriesNumValue]]-$D$1)/$D$1+1)*100</f>
        <v>103.443008255088</v>
      </c>
      <c r="AI22" s="6">
        <f>CurrentMtgRatesDataTable89[[#This Row],[Index]]-AH23</f>
        <v>-1.2115632664313551</v>
      </c>
      <c r="AJ22" s="6">
        <f>VLOOKUP(CurrentMtgRatesDataTable89[[#This Row],[asofdate]],G:H,2,0)</f>
        <v>82.054188818201595</v>
      </c>
      <c r="AK22" s="6">
        <f>VLOOKUP(CurrentMtgRatesDataTable89[[#This Row],[asofdate]],K:L,2,0)</f>
        <v>0.29731849479854999</v>
      </c>
      <c r="AL22" s="6">
        <f>VLOOKUP(CurrentMtgRatesDataTable89[[#This Row],[asofdate]],O:P,2,0)</f>
        <v>34.760538975541799</v>
      </c>
      <c r="AM22" s="6">
        <f>VLOOKUP(CurrentMtgRatesDataTable89[[#This Row],[asofdate]],S:T,2,0)</f>
        <v>0.31113505275696202</v>
      </c>
      <c r="AN22" s="6">
        <f>VLOOKUP(CurrentMtgRatesDataTable89[[#This Row],[asofdate]],W:X,2,0)</f>
        <v>752.81192436969502</v>
      </c>
      <c r="AO22" s="6">
        <f>VLOOKUP(CurrentMtgRatesDataTable89[[#This Row],[asofdate]],AA:AB,2,0)</f>
        <v>0.12799062962632901</v>
      </c>
      <c r="AR22" s="7" t="s">
        <v>51</v>
      </c>
      <c r="AS22" s="10">
        <v>9.4413817020581894E-2</v>
      </c>
      <c r="AT22" s="36">
        <f>((CurrentMtgRatesDataTable8711[[#This Row],[SeriesNumValue]]-$D$1)/$D$1+1)*100</f>
        <v>629.42544680387925</v>
      </c>
      <c r="AU22" s="36"/>
      <c r="AW22" s="7" t="s">
        <v>51</v>
      </c>
      <c r="AX22" s="10">
        <v>8.1387626202597499E-2</v>
      </c>
      <c r="AY22" s="36">
        <f>((CurrentMtgRatesDataTable871112[[#This Row],[SeriesNumValue]]-$D$1)/$D$1+1)*100</f>
        <v>542.58417468398341</v>
      </c>
      <c r="AZ22" s="36"/>
      <c r="BB22" s="7" t="s">
        <v>51</v>
      </c>
      <c r="BC22" s="10">
        <v>2.3952750069844202E-2</v>
      </c>
      <c r="BD22" s="39">
        <f>((CurrentMtgRatesDataTable87111213[[#This Row],[SeriesNumValue]]-$D$1)/$D$1+1)*100</f>
        <v>159.68500046562801</v>
      </c>
      <c r="BE22" s="39"/>
      <c r="BG22" s="7" t="s">
        <v>51</v>
      </c>
      <c r="BH22" s="10">
        <v>2.23860040024676E-2</v>
      </c>
      <c r="BI22" s="39">
        <f>((CurrentMtgRatesDataTable8711121314[[#This Row],[SeriesNumValue]]-$D$1)/$D$1+1)*100</f>
        <v>149.24002668311732</v>
      </c>
      <c r="BJ22" s="39" t="str">
        <f>YEAR(CurrentMtgRatesDataTable8711121314[[#This Row],[asofdate]])&amp;"-"&amp;MONTH(CurrentMtgRatesDataTable8711121314[[#This Row],[asofdate]])</f>
        <v>2004-10</v>
      </c>
      <c r="BK22" s="39">
        <f>CurrentMtgRatesDataTable8711121314[[#This Row],[SeriesNumValue]]</f>
        <v>2.23860040024676E-2</v>
      </c>
      <c r="BL22" s="39">
        <f>VLOOKUP(CurrentMtgRatesDataTable8711121314[[#This Row],[asofdate]],AR:AT,2,0)</f>
        <v>9.4413817020581894E-2</v>
      </c>
      <c r="BM22" s="35">
        <f>IF(VLOOKUP(CurrentMtgRatesDataTable8711121314[[#This Row],[asofdate]],AW:AY,2,0)&lt;&gt;0,VLOOKUP(CurrentMtgRatesDataTable8711121314[[#This Row],[asofdate]],AW:AY,2,0),BM21)</f>
        <v>8.1387626202597499E-2</v>
      </c>
      <c r="BN22" s="35">
        <f>VLOOKUP(CurrentMtgRatesDataTable8711121314[[#This Row],[asofdate]],BB:BD,2,0)</f>
        <v>2.3952750069844202E-2</v>
      </c>
      <c r="BO22" s="35">
        <f>CurrentMtgRatesDataTable8711121314[[#This Row],[FHA]]+0.5*CurrentMtgRatesDataTable8711121314[[#This Row],[Conventional]]</f>
        <v>0.10560681902181569</v>
      </c>
      <c r="BP22" s="35">
        <f>2*CurrentMtgRatesDataTable8711121314[[#This Row],[FHA]]</f>
        <v>0.18882763404116379</v>
      </c>
      <c r="BQ22" s="11">
        <f>VLOOKUP(YEAR(CurrentMtgRatesDataTable8711121314[[#This Row],[asofdate]]),OriginationVolume!$A:$N,8,FALSE)</f>
        <v>0.46718146718146719</v>
      </c>
      <c r="BR22" s="11">
        <f>VLOOKUP(YEAR(CurrentMtgRatesDataTable8711121314[[#This Row],[asofdate]]),OriginationVolume!$A:$N,9,FALSE)</f>
        <v>1.3030888030888031E-2</v>
      </c>
      <c r="BS22" s="11">
        <f>VLOOKUP(YEAR(CurrentMtgRatesDataTable8711121314[[#This Row],[asofdate]]),OriginationVolume!$A:$N,10,FALSE)</f>
        <v>3.9092664092664091E-2</v>
      </c>
      <c r="BT22" s="11">
        <f>VLOOKUP(YEAR(CurrentMtgRatesDataTable8711121314[[#This Row],[asofdate]]),OriginationVolume!$A:$N,11,FALSE)</f>
        <v>0.19884169884169883</v>
      </c>
      <c r="BU22" s="11">
        <f>VLOOKUP(YEAR(CurrentMtgRatesDataTable8711121314[[#This Row],[asofdate]]),OriginationVolume!$A:$N,12,FALSE)</f>
        <v>7.3359073359073365E-2</v>
      </c>
      <c r="BV22" s="11">
        <f>VLOOKUP(YEAR(CurrentMtgRatesDataTable8711121314[[#This Row],[asofdate]]),OriginationVolume!$A:$N,13,FALSE)</f>
        <v>0.20849420849420849</v>
      </c>
      <c r="BW22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6.6777724424054677E-2</v>
      </c>
      <c r="BY22" s="7" t="s">
        <v>51</v>
      </c>
      <c r="BZ22" s="10">
        <v>96928000</v>
      </c>
      <c r="CA22" s="36"/>
      <c r="CC22" s="7" t="s">
        <v>51</v>
      </c>
      <c r="CD22" s="10">
        <v>35548000</v>
      </c>
      <c r="CE22" s="36"/>
      <c r="CG22" s="7" t="s">
        <v>51</v>
      </c>
      <c r="CH22" s="10">
        <v>2895188458.04</v>
      </c>
      <c r="CI22" s="39"/>
      <c r="CK22" s="7" t="s">
        <v>51</v>
      </c>
      <c r="CL22" s="10">
        <v>2762712458.04</v>
      </c>
      <c r="CM22" s="39" t="str">
        <f>YEAR(CurrentMtgRatesDataTable871112131417[[#This Row],[asofdate]])&amp;"-"&amp;MONTH(CurrentMtgRatesDataTable871112131417[[#This Row],[asofdate]])</f>
        <v>2004-10</v>
      </c>
      <c r="CN22" s="39">
        <f>CurrentMtgRatesDataTable871112131417[[#This Row],[SeriesNumValue]]</f>
        <v>2762712458.04</v>
      </c>
      <c r="CO22" s="39">
        <f>VLOOKUP(CurrentMtgRatesDataTable871112131417[[#This Row],[asofdate]],BY:BZ,2,0)</f>
        <v>96928000</v>
      </c>
      <c r="CP22" s="35">
        <f>IF(VLOOKUP(CurrentMtgRatesDataTable871112131417[[#This Row],[asofdate]],CC:CD,2,0)&lt;&gt;0,VLOOKUP(CurrentMtgRatesDataTable871112131417[[#This Row],[asofdate]],CC:CD,2,0),CP21)</f>
        <v>35548000</v>
      </c>
      <c r="CQ22" s="35">
        <f>VLOOKUP(CurrentMtgRatesDataTable871112131417[[#This Row],[asofdate]],CG:CH,2,0)</f>
        <v>2895188458.04</v>
      </c>
    </row>
    <row r="23" spans="1:95" s="6" customFormat="1" ht="12.75">
      <c r="A23" s="7" t="s">
        <v>52</v>
      </c>
      <c r="B23" s="10">
        <v>2.18945118890157E-2</v>
      </c>
      <c r="C23" s="10" t="str">
        <f>YEAR(CurrentMtgRatesDataTable8[[#This Row],[asofdate]])&amp;"-"&amp;MONTH(CurrentMtgRatesDataTable8[[#This Row],[asofdate]])</f>
        <v>2004-11</v>
      </c>
      <c r="D23" s="6">
        <f>((CurrentMtgRatesDataTable8[[#This Row],[SeriesNumValue]]-$D$1)/$D$1+1)*100</f>
        <v>145.96341259343802</v>
      </c>
      <c r="G23" s="7" t="s">
        <v>52</v>
      </c>
      <c r="H23" s="10">
        <v>81.059375355118405</v>
      </c>
      <c r="I23" s="26">
        <f>VLOOKUP(CurrentMtgRatesDataTable82[[#This Row],[asofdate]],K:L,2,0)</f>
        <v>0.27010544272213999</v>
      </c>
      <c r="K23" s="7" t="s">
        <v>52</v>
      </c>
      <c r="L23" s="29">
        <v>0.27010544272213999</v>
      </c>
      <c r="O23" s="7" t="s">
        <v>52</v>
      </c>
      <c r="P23" s="10">
        <v>36.037229832655903</v>
      </c>
      <c r="Q23" s="29">
        <f>VLOOKUP(CurrentMtgRatesDataTable84[[#This Row],[asofdate]],S:T,2,0)</f>
        <v>2.3836089043189498E-2</v>
      </c>
      <c r="S23" s="7" t="s">
        <v>52</v>
      </c>
      <c r="T23" s="10">
        <v>2.3836089043189498E-2</v>
      </c>
      <c r="W23" s="7" t="s">
        <v>52</v>
      </c>
      <c r="X23" s="10">
        <v>720.95368415043401</v>
      </c>
      <c r="Y23" s="26">
        <f>VLOOKUP(CurrentMtgRatesDataTable86[[#This Row],[asofdate]],AA:AB,2,0)</f>
        <v>0.341747031945347</v>
      </c>
      <c r="AA23" s="7" t="s">
        <v>52</v>
      </c>
      <c r="AB23" s="10">
        <v>0.341747031945347</v>
      </c>
      <c r="AE23" s="7" t="s">
        <v>149</v>
      </c>
      <c r="AF23" s="10">
        <v>1.5698185728227902E-2</v>
      </c>
      <c r="AG23" s="10" t="str">
        <f>YEAR(CurrentMtgRatesDataTable89[[#This Row],[asofdate]])&amp;"-"&amp;MONTH(CurrentMtgRatesDataTable89[[#This Row],[asofdate]])</f>
        <v>2014-1</v>
      </c>
      <c r="AH23" s="6">
        <f>((CurrentMtgRatesDataTable89[[#This Row],[SeriesNumValue]]-$D$1)/$D$1+1)*100</f>
        <v>104.65457152151936</v>
      </c>
      <c r="AI23" s="6">
        <f>CurrentMtgRatesDataTable89[[#This Row],[Index]]-AH24</f>
        <v>-11.380634707621311</v>
      </c>
      <c r="AJ23" s="6">
        <f>VLOOKUP(CurrentMtgRatesDataTable89[[#This Row],[asofdate]],G:H,2,0)</f>
        <v>81.982052928115394</v>
      </c>
      <c r="AK23" s="6">
        <f>VLOOKUP(CurrentMtgRatesDataTable89[[#This Row],[asofdate]],K:L,2,0)</f>
        <v>0.299194151155105</v>
      </c>
      <c r="AL23" s="6">
        <f>VLOOKUP(CurrentMtgRatesDataTable89[[#This Row],[asofdate]],O:P,2,0)</f>
        <v>34.566720754788797</v>
      </c>
      <c r="AM23" s="6">
        <f>VLOOKUP(CurrentMtgRatesDataTable89[[#This Row],[asofdate]],S:T,2,0)</f>
        <v>0.30216401668491399</v>
      </c>
      <c r="AN23" s="6">
        <f>VLOOKUP(CurrentMtgRatesDataTable89[[#This Row],[asofdate]],W:X,2,0)</f>
        <v>753.53265606586206</v>
      </c>
      <c r="AO23" s="6">
        <f>VLOOKUP(CurrentMtgRatesDataTable89[[#This Row],[asofdate]],AA:AB,2,0)</f>
        <v>0.12335834868330101</v>
      </c>
      <c r="AR23" s="7" t="s">
        <v>52</v>
      </c>
      <c r="AS23" s="10">
        <v>9.8333062406187999E-2</v>
      </c>
      <c r="AT23" s="36">
        <f>((CurrentMtgRatesDataTable8711[[#This Row],[SeriesNumValue]]-$D$1)/$D$1+1)*100</f>
        <v>655.55374937458669</v>
      </c>
      <c r="AU23" s="36"/>
      <c r="AW23" s="7" t="s">
        <v>52</v>
      </c>
      <c r="AX23" s="10">
        <v>8.7159265808458106E-2</v>
      </c>
      <c r="AY23" s="36">
        <f>((CurrentMtgRatesDataTable871112[[#This Row],[SeriesNumValue]]-$D$1)/$D$1+1)*100</f>
        <v>581.06177205638744</v>
      </c>
      <c r="AZ23" s="36"/>
      <c r="BB23" s="7" t="s">
        <v>52</v>
      </c>
      <c r="BC23" s="10">
        <v>2.3429669392828301E-2</v>
      </c>
      <c r="BD23" s="39">
        <f>((CurrentMtgRatesDataTable87111213[[#This Row],[SeriesNumValue]]-$D$1)/$D$1+1)*100</f>
        <v>156.19779595218867</v>
      </c>
      <c r="BE23" s="39"/>
      <c r="BG23" s="7" t="s">
        <v>52</v>
      </c>
      <c r="BH23" s="10">
        <v>2.1779564208262402E-2</v>
      </c>
      <c r="BI23" s="39">
        <f>((CurrentMtgRatesDataTable8711121314[[#This Row],[SeriesNumValue]]-$D$1)/$D$1+1)*100</f>
        <v>145.19709472174935</v>
      </c>
      <c r="BJ23" s="39" t="str">
        <f>YEAR(CurrentMtgRatesDataTable8711121314[[#This Row],[asofdate]])&amp;"-"&amp;MONTH(CurrentMtgRatesDataTable8711121314[[#This Row],[asofdate]])</f>
        <v>2004-11</v>
      </c>
      <c r="BK23" s="39">
        <f>CurrentMtgRatesDataTable8711121314[[#This Row],[SeriesNumValue]]</f>
        <v>2.1779564208262402E-2</v>
      </c>
      <c r="BL23" s="39">
        <f>VLOOKUP(CurrentMtgRatesDataTable8711121314[[#This Row],[asofdate]],AR:AT,2,0)</f>
        <v>9.8333062406187999E-2</v>
      </c>
      <c r="BM23" s="35">
        <f>IF(VLOOKUP(CurrentMtgRatesDataTable8711121314[[#This Row],[asofdate]],AW:AY,2,0)&lt;&gt;0,VLOOKUP(CurrentMtgRatesDataTable8711121314[[#This Row],[asofdate]],AW:AY,2,0),BM22)</f>
        <v>8.7159265808458106E-2</v>
      </c>
      <c r="BN23" s="35">
        <f>VLOOKUP(CurrentMtgRatesDataTable8711121314[[#This Row],[asofdate]],BB:BD,2,0)</f>
        <v>2.3429669392828301E-2</v>
      </c>
      <c r="BO23" s="35">
        <f>CurrentMtgRatesDataTable8711121314[[#This Row],[FHA]]+0.5*CurrentMtgRatesDataTable8711121314[[#This Row],[Conventional]]</f>
        <v>0.1092228445103192</v>
      </c>
      <c r="BP23" s="35">
        <f>2*CurrentMtgRatesDataTable8711121314[[#This Row],[FHA]]</f>
        <v>0.196666124812376</v>
      </c>
      <c r="BQ23" s="11">
        <f>VLOOKUP(YEAR(CurrentMtgRatesDataTable8711121314[[#This Row],[asofdate]]),OriginationVolume!$A:$N,8,FALSE)</f>
        <v>0.46718146718146719</v>
      </c>
      <c r="BR23" s="11">
        <f>VLOOKUP(YEAR(CurrentMtgRatesDataTable8711121314[[#This Row],[asofdate]]),OriginationVolume!$A:$N,9,FALSE)</f>
        <v>1.3030888030888031E-2</v>
      </c>
      <c r="BS23" s="11">
        <f>VLOOKUP(YEAR(CurrentMtgRatesDataTable8711121314[[#This Row],[asofdate]]),OriginationVolume!$A:$N,10,FALSE)</f>
        <v>3.9092664092664091E-2</v>
      </c>
      <c r="BT23" s="11">
        <f>VLOOKUP(YEAR(CurrentMtgRatesDataTable8711121314[[#This Row],[asofdate]]),OriginationVolume!$A:$N,11,FALSE)</f>
        <v>0.19884169884169883</v>
      </c>
      <c r="BU23" s="11">
        <f>VLOOKUP(YEAR(CurrentMtgRatesDataTable8711121314[[#This Row],[asofdate]]),OriginationVolume!$A:$N,12,FALSE)</f>
        <v>7.3359073359073365E-2</v>
      </c>
      <c r="BV23" s="11">
        <f>VLOOKUP(YEAR(CurrentMtgRatesDataTable8711121314[[#This Row],[asofdate]]),OriginationVolume!$A:$N,13,FALSE)</f>
        <v>0.20849420849420849</v>
      </c>
      <c r="BW23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6.8501793013342985E-2</v>
      </c>
      <c r="BY23" s="7" t="s">
        <v>52</v>
      </c>
      <c r="BZ23" s="10">
        <v>95506000</v>
      </c>
      <c r="CA23" s="36"/>
      <c r="CC23" s="7" t="s">
        <v>52</v>
      </c>
      <c r="CD23" s="10">
        <v>36358000</v>
      </c>
      <c r="CE23" s="36"/>
      <c r="CG23" s="7" t="s">
        <v>52</v>
      </c>
      <c r="CH23" s="10">
        <v>2838671852.71</v>
      </c>
      <c r="CI23" s="39"/>
      <c r="CK23" s="7" t="s">
        <v>52</v>
      </c>
      <c r="CL23" s="10">
        <v>2706807852.71</v>
      </c>
      <c r="CM23" s="39" t="str">
        <f>YEAR(CurrentMtgRatesDataTable871112131417[[#This Row],[asofdate]])&amp;"-"&amp;MONTH(CurrentMtgRatesDataTable871112131417[[#This Row],[asofdate]])</f>
        <v>2004-11</v>
      </c>
      <c r="CN23" s="39">
        <f>CurrentMtgRatesDataTable871112131417[[#This Row],[SeriesNumValue]]</f>
        <v>2706807852.71</v>
      </c>
      <c r="CO23" s="39">
        <f>VLOOKUP(CurrentMtgRatesDataTable871112131417[[#This Row],[asofdate]],BY:BZ,2,0)</f>
        <v>95506000</v>
      </c>
      <c r="CP23" s="35">
        <f>IF(VLOOKUP(CurrentMtgRatesDataTable871112131417[[#This Row],[asofdate]],CC:CD,2,0)&lt;&gt;0,VLOOKUP(CurrentMtgRatesDataTable871112131417[[#This Row],[asofdate]],CC:CD,2,0),CP22)</f>
        <v>36358000</v>
      </c>
      <c r="CQ23" s="35">
        <f>VLOOKUP(CurrentMtgRatesDataTable871112131417[[#This Row],[asofdate]],CG:CH,2,0)</f>
        <v>2838671852.71</v>
      </c>
    </row>
    <row r="24" spans="1:95" s="6" customFormat="1" ht="12.75">
      <c r="A24" s="7" t="s">
        <v>53</v>
      </c>
      <c r="B24" s="10">
        <v>2.11726953585613E-2</v>
      </c>
      <c r="C24" s="10" t="str">
        <f>YEAR(CurrentMtgRatesDataTable8[[#This Row],[asofdate]])&amp;"-"&amp;MONTH(CurrentMtgRatesDataTable8[[#This Row],[asofdate]])</f>
        <v>2004-12</v>
      </c>
      <c r="D24" s="6">
        <f>((CurrentMtgRatesDataTable8[[#This Row],[SeriesNumValue]]-$D$1)/$D$1+1)*100</f>
        <v>141.15130239040866</v>
      </c>
      <c r="G24" s="7" t="s">
        <v>53</v>
      </c>
      <c r="H24" s="10">
        <v>80.785488014978796</v>
      </c>
      <c r="I24" s="26">
        <f>VLOOKUP(CurrentMtgRatesDataTable82[[#This Row],[asofdate]],K:L,2,0)</f>
        <v>0.25927423449241599</v>
      </c>
      <c r="K24" s="7" t="s">
        <v>53</v>
      </c>
      <c r="L24" s="29">
        <v>0.25927423449241599</v>
      </c>
      <c r="O24" s="7" t="s">
        <v>53</v>
      </c>
      <c r="P24" s="10">
        <v>36.111274732319899</v>
      </c>
      <c r="Q24" s="29">
        <f>VLOOKUP(CurrentMtgRatesDataTable84[[#This Row],[asofdate]],S:T,2,0)</f>
        <v>2.0322416607770299E-2</v>
      </c>
      <c r="S24" s="7" t="s">
        <v>53</v>
      </c>
      <c r="T24" s="10">
        <v>2.0322416607770299E-2</v>
      </c>
      <c r="W24" s="7" t="s">
        <v>53</v>
      </c>
      <c r="X24" s="10">
        <v>721.50859125420595</v>
      </c>
      <c r="Y24" s="26">
        <f>VLOOKUP(CurrentMtgRatesDataTable86[[#This Row],[asofdate]],AA:AB,2,0)</f>
        <v>0.33226636417420502</v>
      </c>
      <c r="AA24" s="7" t="s">
        <v>53</v>
      </c>
      <c r="AB24" s="10">
        <v>0.33226636417420502</v>
      </c>
      <c r="AE24" s="7" t="s">
        <v>148</v>
      </c>
      <c r="AF24" s="10">
        <v>1.74052809343711E-2</v>
      </c>
      <c r="AG24" s="10" t="str">
        <f>YEAR(CurrentMtgRatesDataTable89[[#This Row],[asofdate]])&amp;"-"&amp;MONTH(CurrentMtgRatesDataTable89[[#This Row],[asofdate]])</f>
        <v>2013-12</v>
      </c>
      <c r="AH24" s="6">
        <f>((CurrentMtgRatesDataTable89[[#This Row],[SeriesNumValue]]-$D$1)/$D$1+1)*100</f>
        <v>116.03520622914067</v>
      </c>
      <c r="AI24" s="6">
        <f>CurrentMtgRatesDataTable89[[#This Row],[Index]]-AH25</f>
        <v>5.3555640954860024</v>
      </c>
      <c r="AJ24" s="6">
        <f>VLOOKUP(CurrentMtgRatesDataTable89[[#This Row],[asofdate]],G:H,2,0)</f>
        <v>81.889913557659895</v>
      </c>
      <c r="AK24" s="6">
        <f>VLOOKUP(CurrentMtgRatesDataTable89[[#This Row],[asofdate]],K:L,2,0)</f>
        <v>0.29679403380057001</v>
      </c>
      <c r="AL24" s="6">
        <f>VLOOKUP(CurrentMtgRatesDataTable89[[#This Row],[asofdate]],O:P,2,0)</f>
        <v>34.626736713885698</v>
      </c>
      <c r="AM24" s="6">
        <f>VLOOKUP(CurrentMtgRatesDataTable89[[#This Row],[asofdate]],S:T,2,0)</f>
        <v>0.30500668615603299</v>
      </c>
      <c r="AN24" s="6">
        <f>VLOOKUP(CurrentMtgRatesDataTable89[[#This Row],[asofdate]],W:X,2,0)</f>
        <v>753.468255047605</v>
      </c>
      <c r="AO24" s="6">
        <f>VLOOKUP(CurrentMtgRatesDataTable89[[#This Row],[asofdate]],AA:AB,2,0)</f>
        <v>0.122565766652004</v>
      </c>
      <c r="AR24" s="7" t="s">
        <v>53</v>
      </c>
      <c r="AS24" s="10">
        <v>9.2820204237606396E-2</v>
      </c>
      <c r="AT24" s="36">
        <f>((CurrentMtgRatesDataTable8711[[#This Row],[SeriesNumValue]]-$D$1)/$D$1+1)*100</f>
        <v>618.80136158404264</v>
      </c>
      <c r="AU24" s="36"/>
      <c r="AW24" s="7" t="s">
        <v>53</v>
      </c>
      <c r="AX24" s="10">
        <v>7.2886696269449006E-2</v>
      </c>
      <c r="AY24" s="36">
        <f>((CurrentMtgRatesDataTable871112[[#This Row],[SeriesNumValue]]-$D$1)/$D$1+1)*100</f>
        <v>485.91130846299342</v>
      </c>
      <c r="AZ24" s="36"/>
      <c r="BB24" s="7" t="s">
        <v>53</v>
      </c>
      <c r="BC24" s="10">
        <v>2.2795679799247098E-2</v>
      </c>
      <c r="BD24" s="39">
        <f>((CurrentMtgRatesDataTable87111213[[#This Row],[SeriesNumValue]]-$D$1)/$D$1+1)*100</f>
        <v>151.97119866164735</v>
      </c>
      <c r="BE24" s="39"/>
      <c r="BG24" s="7" t="s">
        <v>53</v>
      </c>
      <c r="BH24" s="10">
        <v>2.1090668706571499E-2</v>
      </c>
      <c r="BI24" s="39">
        <f>((CurrentMtgRatesDataTable8711121314[[#This Row],[SeriesNumValue]]-$D$1)/$D$1+1)*100</f>
        <v>140.60445804380998</v>
      </c>
      <c r="BJ24" s="39" t="str">
        <f>YEAR(CurrentMtgRatesDataTable8711121314[[#This Row],[asofdate]])&amp;"-"&amp;MONTH(CurrentMtgRatesDataTable8711121314[[#This Row],[asofdate]])</f>
        <v>2004-12</v>
      </c>
      <c r="BK24" s="39">
        <f>CurrentMtgRatesDataTable8711121314[[#This Row],[SeriesNumValue]]</f>
        <v>2.1090668706571499E-2</v>
      </c>
      <c r="BL24" s="39">
        <f>VLOOKUP(CurrentMtgRatesDataTable8711121314[[#This Row],[asofdate]],AR:AT,2,0)</f>
        <v>9.2820204237606396E-2</v>
      </c>
      <c r="BM24" s="35">
        <f>IF(VLOOKUP(CurrentMtgRatesDataTable8711121314[[#This Row],[asofdate]],AW:AY,2,0)&lt;&gt;0,VLOOKUP(CurrentMtgRatesDataTable8711121314[[#This Row],[asofdate]],AW:AY,2,0),BM23)</f>
        <v>7.2886696269449006E-2</v>
      </c>
      <c r="BN24" s="35">
        <f>VLOOKUP(CurrentMtgRatesDataTable8711121314[[#This Row],[asofdate]],BB:BD,2,0)</f>
        <v>2.2795679799247098E-2</v>
      </c>
      <c r="BO24" s="35">
        <f>CurrentMtgRatesDataTable8711121314[[#This Row],[FHA]]+0.5*CurrentMtgRatesDataTable8711121314[[#This Row],[Conventional]]</f>
        <v>0.10336553859089215</v>
      </c>
      <c r="BP24" s="35">
        <f>2*CurrentMtgRatesDataTable8711121314[[#This Row],[FHA]]</f>
        <v>0.18564040847521279</v>
      </c>
      <c r="BQ24" s="11">
        <f>VLOOKUP(YEAR(CurrentMtgRatesDataTable8711121314[[#This Row],[asofdate]]),OriginationVolume!$A:$N,8,FALSE)</f>
        <v>0.46718146718146719</v>
      </c>
      <c r="BR24" s="11">
        <f>VLOOKUP(YEAR(CurrentMtgRatesDataTable8711121314[[#This Row],[asofdate]]),OriginationVolume!$A:$N,9,FALSE)</f>
        <v>1.3030888030888031E-2</v>
      </c>
      <c r="BS24" s="11">
        <f>VLOOKUP(YEAR(CurrentMtgRatesDataTable8711121314[[#This Row],[asofdate]]),OriginationVolume!$A:$N,10,FALSE)</f>
        <v>3.9092664092664091E-2</v>
      </c>
      <c r="BT24" s="11">
        <f>VLOOKUP(YEAR(CurrentMtgRatesDataTable8711121314[[#This Row],[asofdate]]),OriginationVolume!$A:$N,11,FALSE)</f>
        <v>0.19884169884169883</v>
      </c>
      <c r="BU24" s="11">
        <f>VLOOKUP(YEAR(CurrentMtgRatesDataTable8711121314[[#This Row],[asofdate]]),OriginationVolume!$A:$N,12,FALSE)</f>
        <v>7.3359073359073365E-2</v>
      </c>
      <c r="BV24" s="11">
        <f>VLOOKUP(YEAR(CurrentMtgRatesDataTable8711121314[[#This Row],[asofdate]]),OriginationVolume!$A:$N,13,FALSE)</f>
        <v>0.20849420849420849</v>
      </c>
      <c r="BW24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6.4912991546668658E-2</v>
      </c>
      <c r="BY24" s="7" t="s">
        <v>53</v>
      </c>
      <c r="BZ24" s="10">
        <v>111136000</v>
      </c>
      <c r="CA24" s="36"/>
      <c r="CC24" s="7" t="s">
        <v>53</v>
      </c>
      <c r="CD24" s="10">
        <v>44624000</v>
      </c>
      <c r="CE24" s="36"/>
      <c r="CG24" s="7" t="s">
        <v>53</v>
      </c>
      <c r="CH24" s="10">
        <v>3011468730.9099998</v>
      </c>
      <c r="CI24" s="39"/>
      <c r="CK24" s="7" t="s">
        <v>53</v>
      </c>
      <c r="CL24" s="10">
        <v>2855708730.9099998</v>
      </c>
      <c r="CM24" s="39" t="str">
        <f>YEAR(CurrentMtgRatesDataTable871112131417[[#This Row],[asofdate]])&amp;"-"&amp;MONTH(CurrentMtgRatesDataTable871112131417[[#This Row],[asofdate]])</f>
        <v>2004-12</v>
      </c>
      <c r="CN24" s="39">
        <f>CurrentMtgRatesDataTable871112131417[[#This Row],[SeriesNumValue]]</f>
        <v>2855708730.9099998</v>
      </c>
      <c r="CO24" s="39">
        <f>VLOOKUP(CurrentMtgRatesDataTable871112131417[[#This Row],[asofdate]],BY:BZ,2,0)</f>
        <v>111136000</v>
      </c>
      <c r="CP24" s="35">
        <f>IF(VLOOKUP(CurrentMtgRatesDataTable871112131417[[#This Row],[asofdate]],CC:CD,2,0)&lt;&gt;0,VLOOKUP(CurrentMtgRatesDataTable871112131417[[#This Row],[asofdate]],CC:CD,2,0),CP23)</f>
        <v>44624000</v>
      </c>
      <c r="CQ24" s="35">
        <f>VLOOKUP(CurrentMtgRatesDataTable871112131417[[#This Row],[asofdate]],CG:CH,2,0)</f>
        <v>3011468730.9099998</v>
      </c>
    </row>
    <row r="25" spans="1:95" s="6" customFormat="1" ht="12.75">
      <c r="A25" s="7" t="s">
        <v>54</v>
      </c>
      <c r="B25" s="10">
        <v>2.10460909155403E-2</v>
      </c>
      <c r="C25" s="10" t="str">
        <f>YEAR(CurrentMtgRatesDataTable8[[#This Row],[asofdate]])&amp;"-"&amp;MONTH(CurrentMtgRatesDataTable8[[#This Row],[asofdate]])</f>
        <v>2005-1</v>
      </c>
      <c r="D25" s="6">
        <f>((CurrentMtgRatesDataTable8[[#This Row],[SeriesNumValue]]-$D$1)/$D$1+1)*100</f>
        <v>140.30727277026867</v>
      </c>
      <c r="G25" s="7" t="s">
        <v>54</v>
      </c>
      <c r="H25" s="10">
        <v>81.184090206536396</v>
      </c>
      <c r="I25" s="26">
        <f>VLOOKUP(CurrentMtgRatesDataTable82[[#This Row],[asofdate]],K:L,2,0)</f>
        <v>0.27546927529221299</v>
      </c>
      <c r="K25" s="7" t="s">
        <v>54</v>
      </c>
      <c r="L25" s="29">
        <v>0.27546927529221299</v>
      </c>
      <c r="O25" s="7" t="s">
        <v>54</v>
      </c>
      <c r="P25" s="10">
        <v>36.113002367630003</v>
      </c>
      <c r="Q25" s="29">
        <f>VLOOKUP(CurrentMtgRatesDataTable84[[#This Row],[asofdate]],S:T,2,0)</f>
        <v>2.1384716547729901E-2</v>
      </c>
      <c r="S25" s="7" t="s">
        <v>54</v>
      </c>
      <c r="T25" s="10">
        <v>2.1384716547729901E-2</v>
      </c>
      <c r="W25" s="7" t="s">
        <v>54</v>
      </c>
      <c r="X25" s="10">
        <v>721.96599739441297</v>
      </c>
      <c r="Y25" s="26">
        <f>VLOOKUP(CurrentMtgRatesDataTable86[[#This Row],[asofdate]],AA:AB,2,0)</f>
        <v>0.32923258254458498</v>
      </c>
      <c r="AA25" s="7" t="s">
        <v>54</v>
      </c>
      <c r="AB25" s="10">
        <v>0.32923258254458498</v>
      </c>
      <c r="AE25" s="7" t="s">
        <v>20</v>
      </c>
      <c r="AF25" s="10">
        <v>1.6601946320048199E-2</v>
      </c>
      <c r="AG25" s="10" t="str">
        <f>YEAR(CurrentMtgRatesDataTable89[[#This Row],[asofdate]])&amp;"-"&amp;MONTH(CurrentMtgRatesDataTable89[[#This Row],[asofdate]])</f>
        <v>2013-11</v>
      </c>
      <c r="AH25" s="6">
        <f>((CurrentMtgRatesDataTable89[[#This Row],[SeriesNumValue]]-$D$1)/$D$1+1)*100</f>
        <v>110.67964213365467</v>
      </c>
      <c r="AI25" s="6">
        <f>CurrentMtgRatesDataTable89[[#This Row],[Index]]-AH26</f>
        <v>9.6373724019546643</v>
      </c>
      <c r="AJ25" s="6">
        <f>VLOOKUP(CurrentMtgRatesDataTable89[[#This Row],[asofdate]],G:H,2,0)</f>
        <v>81.996335409421604</v>
      </c>
      <c r="AK25" s="6">
        <f>VLOOKUP(CurrentMtgRatesDataTable89[[#This Row],[asofdate]],K:L,2,0)</f>
        <v>0.29852906705149401</v>
      </c>
      <c r="AL25" s="6">
        <f>VLOOKUP(CurrentMtgRatesDataTable89[[#This Row],[asofdate]],O:P,2,0)</f>
        <v>34.6478974941895</v>
      </c>
      <c r="AM25" s="6">
        <f>VLOOKUP(CurrentMtgRatesDataTable89[[#This Row],[asofdate]],S:T,2,0)</f>
        <v>0.30468729593251298</v>
      </c>
      <c r="AN25" s="6">
        <f>VLOOKUP(CurrentMtgRatesDataTable89[[#This Row],[asofdate]],W:X,2,0)</f>
        <v>754.18465937431802</v>
      </c>
      <c r="AO25" s="6">
        <f>VLOOKUP(CurrentMtgRatesDataTable89[[#This Row],[asofdate]],AA:AB,2,0)</f>
        <v>0.118031852586022</v>
      </c>
      <c r="AR25" s="7" t="s">
        <v>54</v>
      </c>
      <c r="AS25" s="10">
        <v>9.4900478598202095E-2</v>
      </c>
      <c r="AT25" s="36">
        <f>((CurrentMtgRatesDataTable8711[[#This Row],[SeriesNumValue]]-$D$1)/$D$1+1)*100</f>
        <v>632.66985732134731</v>
      </c>
      <c r="AU25" s="36"/>
      <c r="AW25" s="7" t="s">
        <v>54</v>
      </c>
      <c r="AX25" s="10">
        <v>7.5690097036033105E-2</v>
      </c>
      <c r="AY25" s="36">
        <f>((CurrentMtgRatesDataTable871112[[#This Row],[SeriesNumValue]]-$D$1)/$D$1+1)*100</f>
        <v>504.60064690688739</v>
      </c>
      <c r="AZ25" s="36"/>
      <c r="BB25" s="7" t="s">
        <v>54</v>
      </c>
      <c r="BC25" s="10">
        <v>2.2697524660081202E-2</v>
      </c>
      <c r="BD25" s="39">
        <f>((CurrentMtgRatesDataTable87111213[[#This Row],[SeriesNumValue]]-$D$1)/$D$1+1)*100</f>
        <v>151.316831067208</v>
      </c>
      <c r="BE25" s="39"/>
      <c r="BG25" s="7" t="s">
        <v>54</v>
      </c>
      <c r="BH25" s="10">
        <v>2.09712423123837E-2</v>
      </c>
      <c r="BI25" s="39">
        <f>((CurrentMtgRatesDataTable8711121314[[#This Row],[SeriesNumValue]]-$D$1)/$D$1+1)*100</f>
        <v>139.80828208255801</v>
      </c>
      <c r="BJ25" s="39" t="str">
        <f>YEAR(CurrentMtgRatesDataTable8711121314[[#This Row],[asofdate]])&amp;"-"&amp;MONTH(CurrentMtgRatesDataTable8711121314[[#This Row],[asofdate]])</f>
        <v>2005-1</v>
      </c>
      <c r="BK25" s="39">
        <f>CurrentMtgRatesDataTable8711121314[[#This Row],[SeriesNumValue]]</f>
        <v>2.09712423123837E-2</v>
      </c>
      <c r="BL25" s="39">
        <f>VLOOKUP(CurrentMtgRatesDataTable8711121314[[#This Row],[asofdate]],AR:AT,2,0)</f>
        <v>9.4900478598202095E-2</v>
      </c>
      <c r="BM25" s="35">
        <f>IF(VLOOKUP(CurrentMtgRatesDataTable8711121314[[#This Row],[asofdate]],AW:AY,2,0)&lt;&gt;0,VLOOKUP(CurrentMtgRatesDataTable8711121314[[#This Row],[asofdate]],AW:AY,2,0),BM24)</f>
        <v>7.5690097036033105E-2</v>
      </c>
      <c r="BN25" s="35">
        <f>VLOOKUP(CurrentMtgRatesDataTable8711121314[[#This Row],[asofdate]],BB:BD,2,0)</f>
        <v>2.2697524660081202E-2</v>
      </c>
      <c r="BO25" s="35">
        <f>CurrentMtgRatesDataTable8711121314[[#This Row],[FHA]]+0.5*CurrentMtgRatesDataTable8711121314[[#This Row],[Conventional]]</f>
        <v>0.10538609975439395</v>
      </c>
      <c r="BP25" s="35">
        <f>2*CurrentMtgRatesDataTable8711121314[[#This Row],[FHA]]</f>
        <v>0.18980095719640419</v>
      </c>
      <c r="BQ25" s="11">
        <f>VLOOKUP(YEAR(CurrentMtgRatesDataTable8711121314[[#This Row],[asofdate]]),OriginationVolume!$A:$N,8,FALSE)</f>
        <v>0.39564428312159711</v>
      </c>
      <c r="BR25" s="11">
        <f>VLOOKUP(YEAR(CurrentMtgRatesDataTable8711121314[[#This Row],[asofdate]]),OriginationVolume!$A:$N,9,FALSE)</f>
        <v>8.1669691470054439E-3</v>
      </c>
      <c r="BS25" s="11">
        <f>VLOOKUP(YEAR(CurrentMtgRatesDataTable8711121314[[#This Row],[asofdate]]),OriginationVolume!$A:$N,10,FALSE)</f>
        <v>2.4500907441016333E-2</v>
      </c>
      <c r="BT25" s="11">
        <f>VLOOKUP(YEAR(CurrentMtgRatesDataTable8711121314[[#This Row],[asofdate]]),OriginationVolume!$A:$N,11,FALSE)</f>
        <v>0.20689655172413793</v>
      </c>
      <c r="BU25" s="11">
        <f>VLOOKUP(YEAR(CurrentMtgRatesDataTable8711121314[[#This Row],[asofdate]]),OriginationVolume!$A:$N,12,FALSE)</f>
        <v>0.13793103448275862</v>
      </c>
      <c r="BV25" s="11">
        <f>VLOOKUP(YEAR(CurrentMtgRatesDataTable8711121314[[#This Row],[asofdate]]),OriginationVolume!$A:$N,13,FALSE)</f>
        <v>0.22686025408348456</v>
      </c>
      <c r="BW25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7.317364351421729E-2</v>
      </c>
      <c r="BY25" s="7" t="s">
        <v>54</v>
      </c>
      <c r="BZ25" s="10">
        <v>100461000</v>
      </c>
      <c r="CA25" s="36"/>
      <c r="CC25" s="7" t="s">
        <v>54</v>
      </c>
      <c r="CD25" s="10">
        <v>42826000</v>
      </c>
      <c r="CE25" s="36"/>
      <c r="CG25" s="7" t="s">
        <v>54</v>
      </c>
      <c r="CH25" s="10">
        <v>2800069561.1900001</v>
      </c>
      <c r="CI25" s="39"/>
      <c r="CK25" s="7" t="s">
        <v>54</v>
      </c>
      <c r="CL25" s="10">
        <v>2656782561.1900001</v>
      </c>
      <c r="CM25" s="39" t="str">
        <f>YEAR(CurrentMtgRatesDataTable871112131417[[#This Row],[asofdate]])&amp;"-"&amp;MONTH(CurrentMtgRatesDataTable871112131417[[#This Row],[asofdate]])</f>
        <v>2005-1</v>
      </c>
      <c r="CN25" s="39">
        <f>CurrentMtgRatesDataTable871112131417[[#This Row],[SeriesNumValue]]</f>
        <v>2656782561.1900001</v>
      </c>
      <c r="CO25" s="39">
        <f>VLOOKUP(CurrentMtgRatesDataTable871112131417[[#This Row],[asofdate]],BY:BZ,2,0)</f>
        <v>100461000</v>
      </c>
      <c r="CP25" s="35">
        <f>IF(VLOOKUP(CurrentMtgRatesDataTable871112131417[[#This Row],[asofdate]],CC:CD,2,0)&lt;&gt;0,VLOOKUP(CurrentMtgRatesDataTable871112131417[[#This Row],[asofdate]],CC:CD,2,0),CP24)</f>
        <v>42826000</v>
      </c>
      <c r="CQ25" s="35">
        <f>VLOOKUP(CurrentMtgRatesDataTable871112131417[[#This Row],[asofdate]],CG:CH,2,0)</f>
        <v>2800069561.1900001</v>
      </c>
    </row>
    <row r="26" spans="1:95" s="6" customFormat="1" ht="12.75">
      <c r="A26" s="7" t="s">
        <v>55</v>
      </c>
      <c r="B26" s="10">
        <v>2.0771989464414699E-2</v>
      </c>
      <c r="C26" s="10" t="str">
        <f>YEAR(CurrentMtgRatesDataTable8[[#This Row],[asofdate]])&amp;"-"&amp;MONTH(CurrentMtgRatesDataTable8[[#This Row],[asofdate]])</f>
        <v>2005-2</v>
      </c>
      <c r="D26" s="6">
        <f>((CurrentMtgRatesDataTable8[[#This Row],[SeriesNumValue]]-$D$1)/$D$1+1)*100</f>
        <v>138.47992976276467</v>
      </c>
      <c r="G26" s="7" t="s">
        <v>55</v>
      </c>
      <c r="H26" s="10">
        <v>80.988234268140602</v>
      </c>
      <c r="I26" s="26">
        <f>VLOOKUP(CurrentMtgRatesDataTable82[[#This Row],[asofdate]],K:L,2,0)</f>
        <v>0.26359078536765701</v>
      </c>
      <c r="K26" s="7" t="s">
        <v>55</v>
      </c>
      <c r="L26" s="29">
        <v>0.26359078536765701</v>
      </c>
      <c r="O26" s="7" t="s">
        <v>55</v>
      </c>
      <c r="P26" s="10">
        <v>36.021234313297398</v>
      </c>
      <c r="Q26" s="29">
        <f>VLOOKUP(CurrentMtgRatesDataTable84[[#This Row],[asofdate]],S:T,2,0)</f>
        <v>2.15048269951971E-2</v>
      </c>
      <c r="S26" s="7" t="s">
        <v>55</v>
      </c>
      <c r="T26" s="10">
        <v>2.15048269951971E-2</v>
      </c>
      <c r="W26" s="7" t="s">
        <v>55</v>
      </c>
      <c r="X26" s="10">
        <v>721.85201991281099</v>
      </c>
      <c r="Y26" s="26">
        <f>VLOOKUP(CurrentMtgRatesDataTable86[[#This Row],[asofdate]],AA:AB,2,0)</f>
        <v>0.33234768002944598</v>
      </c>
      <c r="AA26" s="7" t="s">
        <v>55</v>
      </c>
      <c r="AB26" s="10">
        <v>0.33234768002944598</v>
      </c>
      <c r="AE26" s="7" t="s">
        <v>11</v>
      </c>
      <c r="AF26" s="10">
        <v>1.5156340459755E-2</v>
      </c>
      <c r="AG26" s="10" t="str">
        <f>YEAR(CurrentMtgRatesDataTable89[[#This Row],[asofdate]])&amp;"-"&amp;MONTH(CurrentMtgRatesDataTable89[[#This Row],[asofdate]])</f>
        <v>2013-10</v>
      </c>
      <c r="AH26" s="6">
        <f>((CurrentMtgRatesDataTable89[[#This Row],[SeriesNumValue]]-$D$1)/$D$1+1)*100</f>
        <v>101.0422697317</v>
      </c>
      <c r="AI26" s="6">
        <f>CurrentMtgRatesDataTable89[[#This Row],[Index]]-AH27</f>
        <v>9.2525249045599907</v>
      </c>
      <c r="AJ26" s="6">
        <f>VLOOKUP(CurrentMtgRatesDataTable89[[#This Row],[asofdate]],G:H,2,0)</f>
        <v>81.926585922395802</v>
      </c>
      <c r="AK26" s="6">
        <f>VLOOKUP(CurrentMtgRatesDataTable89[[#This Row],[asofdate]],K:L,2,0)</f>
        <v>0.29249498292353099</v>
      </c>
      <c r="AL26" s="6">
        <f>VLOOKUP(CurrentMtgRatesDataTable89[[#This Row],[asofdate]],O:P,2,0)</f>
        <v>34.357406516104902</v>
      </c>
      <c r="AM26" s="6">
        <f>VLOOKUP(CurrentMtgRatesDataTable89[[#This Row],[asofdate]],S:T,2,0)</f>
        <v>0.29325545251212798</v>
      </c>
      <c r="AN26" s="6">
        <f>VLOOKUP(CurrentMtgRatesDataTable89[[#This Row],[asofdate]],W:X,2,0)</f>
        <v>755.18299575253604</v>
      </c>
      <c r="AO26" s="6">
        <f>VLOOKUP(CurrentMtgRatesDataTable89[[#This Row],[asofdate]],AA:AB,2,0)</f>
        <v>0.111573251117844</v>
      </c>
      <c r="AR26" s="7" t="s">
        <v>55</v>
      </c>
      <c r="AS26" s="10">
        <v>9.1799771417411899E-2</v>
      </c>
      <c r="AT26" s="36">
        <f>((CurrentMtgRatesDataTable8711[[#This Row],[SeriesNumValue]]-$D$1)/$D$1+1)*100</f>
        <v>611.99847611607936</v>
      </c>
      <c r="AU26" s="36"/>
      <c r="AW26" s="7" t="s">
        <v>55</v>
      </c>
      <c r="AX26" s="10">
        <v>7.5038770054298307E-2</v>
      </c>
      <c r="AY26" s="36">
        <f>((CurrentMtgRatesDataTable871112[[#This Row],[SeriesNumValue]]-$D$1)/$D$1+1)*100</f>
        <v>500.25846702865539</v>
      </c>
      <c r="AZ26" s="36"/>
      <c r="BB26" s="7" t="s">
        <v>55</v>
      </c>
      <c r="BC26" s="10">
        <v>2.2269168090484601E-2</v>
      </c>
      <c r="BD26" s="39">
        <f>((CurrentMtgRatesDataTable87111213[[#This Row],[SeriesNumValue]]-$D$1)/$D$1+1)*100</f>
        <v>148.46112060323068</v>
      </c>
      <c r="BE26" s="39"/>
      <c r="BG26" s="7" t="s">
        <v>55</v>
      </c>
      <c r="BH26" s="10">
        <v>2.0659358627216601E-2</v>
      </c>
      <c r="BI26" s="39">
        <f>((CurrentMtgRatesDataTable8711121314[[#This Row],[SeriesNumValue]]-$D$1)/$D$1+1)*100</f>
        <v>137.72905751477734</v>
      </c>
      <c r="BJ26" s="39" t="str">
        <f>YEAR(CurrentMtgRatesDataTable8711121314[[#This Row],[asofdate]])&amp;"-"&amp;MONTH(CurrentMtgRatesDataTable8711121314[[#This Row],[asofdate]])</f>
        <v>2005-2</v>
      </c>
      <c r="BK26" s="39">
        <f>CurrentMtgRatesDataTable8711121314[[#This Row],[SeriesNumValue]]</f>
        <v>2.0659358627216601E-2</v>
      </c>
      <c r="BL26" s="39">
        <f>VLOOKUP(CurrentMtgRatesDataTable8711121314[[#This Row],[asofdate]],AR:AT,2,0)</f>
        <v>9.1799771417411899E-2</v>
      </c>
      <c r="BM26" s="35">
        <f>IF(VLOOKUP(CurrentMtgRatesDataTable8711121314[[#This Row],[asofdate]],AW:AY,2,0)&lt;&gt;0,VLOOKUP(CurrentMtgRatesDataTable8711121314[[#This Row],[asofdate]],AW:AY,2,0),BM25)</f>
        <v>7.5038770054298307E-2</v>
      </c>
      <c r="BN26" s="35">
        <f>VLOOKUP(CurrentMtgRatesDataTable8711121314[[#This Row],[asofdate]],BB:BD,2,0)</f>
        <v>2.2269168090484601E-2</v>
      </c>
      <c r="BO26" s="35">
        <f>CurrentMtgRatesDataTable8711121314[[#This Row],[FHA]]+0.5*CurrentMtgRatesDataTable8711121314[[#This Row],[Conventional]]</f>
        <v>0.1021294507310202</v>
      </c>
      <c r="BP26" s="35">
        <f>2*CurrentMtgRatesDataTable8711121314[[#This Row],[FHA]]</f>
        <v>0.1835995428348238</v>
      </c>
      <c r="BQ26" s="11">
        <f>VLOOKUP(YEAR(CurrentMtgRatesDataTable8711121314[[#This Row],[asofdate]]),OriginationVolume!$A:$N,8,FALSE)</f>
        <v>0.39564428312159711</v>
      </c>
      <c r="BR26" s="11">
        <f>VLOOKUP(YEAR(CurrentMtgRatesDataTable8711121314[[#This Row],[asofdate]]),OriginationVolume!$A:$N,9,FALSE)</f>
        <v>8.1669691470054439E-3</v>
      </c>
      <c r="BS26" s="11">
        <f>VLOOKUP(YEAR(CurrentMtgRatesDataTable8711121314[[#This Row],[asofdate]]),OriginationVolume!$A:$N,10,FALSE)</f>
        <v>2.4500907441016333E-2</v>
      </c>
      <c r="BT26" s="11">
        <f>VLOOKUP(YEAR(CurrentMtgRatesDataTable8711121314[[#This Row],[asofdate]]),OriginationVolume!$A:$N,11,FALSE)</f>
        <v>0.20689655172413793</v>
      </c>
      <c r="BU26" s="11">
        <f>VLOOKUP(YEAR(CurrentMtgRatesDataTable8711121314[[#This Row],[asofdate]]),OriginationVolume!$A:$N,12,FALSE)</f>
        <v>0.13793103448275862</v>
      </c>
      <c r="BV26" s="11">
        <f>VLOOKUP(YEAR(CurrentMtgRatesDataTable8711121314[[#This Row],[asofdate]]),OriginationVolume!$A:$N,13,FALSE)</f>
        <v>0.22686025408348456</v>
      </c>
      <c r="BW26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7.1048383944692969E-2</v>
      </c>
      <c r="BY26" s="7" t="s">
        <v>55</v>
      </c>
      <c r="BZ26" s="10">
        <v>93266000</v>
      </c>
      <c r="CA26" s="36"/>
      <c r="CC26" s="7" t="s">
        <v>55</v>
      </c>
      <c r="CD26" s="10">
        <v>44772000</v>
      </c>
      <c r="CE26" s="36"/>
      <c r="CG26" s="7" t="s">
        <v>55</v>
      </c>
      <c r="CH26" s="10">
        <v>2767593588.27</v>
      </c>
      <c r="CI26" s="39"/>
      <c r="CK26" s="7" t="s">
        <v>55</v>
      </c>
      <c r="CL26" s="10">
        <v>2629555588.27</v>
      </c>
      <c r="CM26" s="39" t="str">
        <f>YEAR(CurrentMtgRatesDataTable871112131417[[#This Row],[asofdate]])&amp;"-"&amp;MONTH(CurrentMtgRatesDataTable871112131417[[#This Row],[asofdate]])</f>
        <v>2005-2</v>
      </c>
      <c r="CN26" s="39">
        <f>CurrentMtgRatesDataTable871112131417[[#This Row],[SeriesNumValue]]</f>
        <v>2629555588.27</v>
      </c>
      <c r="CO26" s="39">
        <f>VLOOKUP(CurrentMtgRatesDataTable871112131417[[#This Row],[asofdate]],BY:BZ,2,0)</f>
        <v>93266000</v>
      </c>
      <c r="CP26" s="35">
        <f>IF(VLOOKUP(CurrentMtgRatesDataTable871112131417[[#This Row],[asofdate]],CC:CD,2,0)&lt;&gt;0,VLOOKUP(CurrentMtgRatesDataTable871112131417[[#This Row],[asofdate]],CC:CD,2,0),CP25)</f>
        <v>44772000</v>
      </c>
      <c r="CQ26" s="35">
        <f>VLOOKUP(CurrentMtgRatesDataTable871112131417[[#This Row],[asofdate]],CG:CH,2,0)</f>
        <v>2767593588.27</v>
      </c>
    </row>
    <row r="27" spans="1:95" s="6" customFormat="1" ht="12.75">
      <c r="A27" s="7" t="s">
        <v>56</v>
      </c>
      <c r="B27" s="10">
        <v>2.0540909133300301E-2</v>
      </c>
      <c r="C27" s="10" t="str">
        <f>YEAR(CurrentMtgRatesDataTable8[[#This Row],[asofdate]])&amp;"-"&amp;MONTH(CurrentMtgRatesDataTable8[[#This Row],[asofdate]])</f>
        <v>2005-3</v>
      </c>
      <c r="D27" s="6">
        <f>((CurrentMtgRatesDataTable8[[#This Row],[SeriesNumValue]]-$D$1)/$D$1+1)*100</f>
        <v>136.93939422200202</v>
      </c>
      <c r="G27" s="7" t="s">
        <v>56</v>
      </c>
      <c r="H27" s="10">
        <v>80.932832463711193</v>
      </c>
      <c r="I27" s="26">
        <f>VLOOKUP(CurrentMtgRatesDataTable82[[#This Row],[asofdate]],K:L,2,0)</f>
        <v>0.249163412035458</v>
      </c>
      <c r="K27" s="7" t="s">
        <v>56</v>
      </c>
      <c r="L27" s="29">
        <v>0.249163412035458</v>
      </c>
      <c r="O27" s="7" t="s">
        <v>56</v>
      </c>
      <c r="P27" s="10">
        <v>36.536528015982903</v>
      </c>
      <c r="Q27" s="29">
        <f>VLOOKUP(CurrentMtgRatesDataTable84[[#This Row],[asofdate]],S:T,2,0)</f>
        <v>2.2787597421070799E-2</v>
      </c>
      <c r="S27" s="7" t="s">
        <v>56</v>
      </c>
      <c r="T27" s="10">
        <v>2.2787597421070799E-2</v>
      </c>
      <c r="W27" s="7" t="s">
        <v>56</v>
      </c>
      <c r="X27" s="10">
        <v>723.64106546829998</v>
      </c>
      <c r="Y27" s="26">
        <f>VLOOKUP(CurrentMtgRatesDataTable86[[#This Row],[asofdate]],AA:AB,2,0)</f>
        <v>0.325365720667595</v>
      </c>
      <c r="AA27" s="7" t="s">
        <v>56</v>
      </c>
      <c r="AB27" s="10">
        <v>0.325365720667595</v>
      </c>
      <c r="AE27" s="7" t="s">
        <v>147</v>
      </c>
      <c r="AF27" s="10">
        <v>1.3768461724071E-2</v>
      </c>
      <c r="AG27" s="10" t="str">
        <f>YEAR(CurrentMtgRatesDataTable89[[#This Row],[asofdate]])&amp;"-"&amp;MONTH(CurrentMtgRatesDataTable89[[#This Row],[asofdate]])</f>
        <v>2013-9</v>
      </c>
      <c r="AH27" s="6">
        <f>((CurrentMtgRatesDataTable89[[#This Row],[SeriesNumValue]]-$D$1)/$D$1+1)*100</f>
        <v>91.789744827140012</v>
      </c>
      <c r="AI27" s="6">
        <f>CurrentMtgRatesDataTable89[[#This Row],[Index]]-AH28</f>
        <v>8.6569432610406665</v>
      </c>
      <c r="AJ27" s="6">
        <f>VLOOKUP(CurrentMtgRatesDataTable89[[#This Row],[asofdate]],G:H,2,0)</f>
        <v>81.917771600137101</v>
      </c>
      <c r="AK27" s="6">
        <f>VLOOKUP(CurrentMtgRatesDataTable89[[#This Row],[asofdate]],K:L,2,0)</f>
        <v>0.29030501171380202</v>
      </c>
      <c r="AL27" s="6">
        <f>VLOOKUP(CurrentMtgRatesDataTable89[[#This Row],[asofdate]],O:P,2,0)</f>
        <v>34.041078566184702</v>
      </c>
      <c r="AM27" s="6">
        <f>VLOOKUP(CurrentMtgRatesDataTable89[[#This Row],[asofdate]],S:T,2,0)</f>
        <v>0.28421617550554501</v>
      </c>
      <c r="AN27" s="6">
        <f>VLOOKUP(CurrentMtgRatesDataTable89[[#This Row],[asofdate]],W:X,2,0)</f>
        <v>756.653444016501</v>
      </c>
      <c r="AO27" s="6">
        <f>VLOOKUP(CurrentMtgRatesDataTable89[[#This Row],[asofdate]],AA:AB,2,0)</f>
        <v>0.10239949086036899</v>
      </c>
      <c r="AR27" s="7" t="s">
        <v>56</v>
      </c>
      <c r="AS27" s="10">
        <v>9.1464698836870098E-2</v>
      </c>
      <c r="AT27" s="36">
        <f>((CurrentMtgRatesDataTable8711[[#This Row],[SeriesNumValue]]-$D$1)/$D$1+1)*100</f>
        <v>609.76465891246733</v>
      </c>
      <c r="AU27" s="36"/>
      <c r="AW27" s="7" t="s">
        <v>56</v>
      </c>
      <c r="AX27" s="10">
        <v>7.3859808783187805E-2</v>
      </c>
      <c r="AY27" s="36">
        <f>((CurrentMtgRatesDataTable871112[[#This Row],[SeriesNumValue]]-$D$1)/$D$1+1)*100</f>
        <v>492.39872522125205</v>
      </c>
      <c r="AZ27" s="36"/>
      <c r="BB27" s="7" t="s">
        <v>56</v>
      </c>
      <c r="BC27" s="10">
        <v>2.20261032389053E-2</v>
      </c>
      <c r="BD27" s="39">
        <f>((CurrentMtgRatesDataTable87111213[[#This Row],[SeriesNumValue]]-$D$1)/$D$1+1)*100</f>
        <v>146.84068825936868</v>
      </c>
      <c r="BE27" s="39"/>
      <c r="BG27" s="7" t="s">
        <v>56</v>
      </c>
      <c r="BH27" s="10">
        <v>2.0417926363663502E-2</v>
      </c>
      <c r="BI27" s="39">
        <f>((CurrentMtgRatesDataTable8711121314[[#This Row],[SeriesNumValue]]-$D$1)/$D$1+1)*100</f>
        <v>136.11950909109001</v>
      </c>
      <c r="BJ27" s="39" t="str">
        <f>YEAR(CurrentMtgRatesDataTable8711121314[[#This Row],[asofdate]])&amp;"-"&amp;MONTH(CurrentMtgRatesDataTable8711121314[[#This Row],[asofdate]])</f>
        <v>2005-3</v>
      </c>
      <c r="BK27" s="39">
        <f>CurrentMtgRatesDataTable8711121314[[#This Row],[SeriesNumValue]]</f>
        <v>2.0417926363663502E-2</v>
      </c>
      <c r="BL27" s="39">
        <f>VLOOKUP(CurrentMtgRatesDataTable8711121314[[#This Row],[asofdate]],AR:AT,2,0)</f>
        <v>9.1464698836870098E-2</v>
      </c>
      <c r="BM27" s="35">
        <f>IF(VLOOKUP(CurrentMtgRatesDataTable8711121314[[#This Row],[asofdate]],AW:AY,2,0)&lt;&gt;0,VLOOKUP(CurrentMtgRatesDataTable8711121314[[#This Row],[asofdate]],AW:AY,2,0),BM26)</f>
        <v>7.3859808783187805E-2</v>
      </c>
      <c r="BN27" s="35">
        <f>VLOOKUP(CurrentMtgRatesDataTable8711121314[[#This Row],[asofdate]],BB:BD,2,0)</f>
        <v>2.20261032389053E-2</v>
      </c>
      <c r="BO27" s="35">
        <f>CurrentMtgRatesDataTable8711121314[[#This Row],[FHA]]+0.5*CurrentMtgRatesDataTable8711121314[[#This Row],[Conventional]]</f>
        <v>0.10167366201870184</v>
      </c>
      <c r="BP27" s="35">
        <f>2*CurrentMtgRatesDataTable8711121314[[#This Row],[FHA]]</f>
        <v>0.1829293976737402</v>
      </c>
      <c r="BQ27" s="11">
        <f>VLOOKUP(YEAR(CurrentMtgRatesDataTable8711121314[[#This Row],[asofdate]]),OriginationVolume!$A:$N,8,FALSE)</f>
        <v>0.39564428312159711</v>
      </c>
      <c r="BR27" s="11">
        <f>VLOOKUP(YEAR(CurrentMtgRatesDataTable8711121314[[#This Row],[asofdate]]),OriginationVolume!$A:$N,9,FALSE)</f>
        <v>8.1669691470054439E-3</v>
      </c>
      <c r="BS27" s="11">
        <f>VLOOKUP(YEAR(CurrentMtgRatesDataTable8711121314[[#This Row],[asofdate]]),OriginationVolume!$A:$N,10,FALSE)</f>
        <v>2.4500907441016333E-2</v>
      </c>
      <c r="BT27" s="11">
        <f>VLOOKUP(YEAR(CurrentMtgRatesDataTable8711121314[[#This Row],[asofdate]]),OriginationVolume!$A:$N,11,FALSE)</f>
        <v>0.20689655172413793</v>
      </c>
      <c r="BU27" s="11">
        <f>VLOOKUP(YEAR(CurrentMtgRatesDataTable8711121314[[#This Row],[asofdate]]),OriginationVolume!$A:$N,12,FALSE)</f>
        <v>0.13793103448275862</v>
      </c>
      <c r="BV27" s="11">
        <f>VLOOKUP(YEAR(CurrentMtgRatesDataTable8711121314[[#This Row],[asofdate]]),OriginationVolume!$A:$N,13,FALSE)</f>
        <v>0.22686025408348456</v>
      </c>
      <c r="BW27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7.0670176314332561E-2</v>
      </c>
      <c r="BY27" s="7" t="s">
        <v>56</v>
      </c>
      <c r="BZ27" s="10">
        <v>74931000</v>
      </c>
      <c r="CA27" s="36"/>
      <c r="CC27" s="7" t="s">
        <v>56</v>
      </c>
      <c r="CD27" s="10">
        <v>37690000</v>
      </c>
      <c r="CE27" s="36"/>
      <c r="CG27" s="7" t="s">
        <v>56</v>
      </c>
      <c r="CH27" s="10">
        <v>2252434329.1100001</v>
      </c>
      <c r="CI27" s="39"/>
      <c r="CK27" s="7" t="s">
        <v>56</v>
      </c>
      <c r="CL27" s="10">
        <v>2139813329.1099999</v>
      </c>
      <c r="CM27" s="39" t="str">
        <f>YEAR(CurrentMtgRatesDataTable871112131417[[#This Row],[asofdate]])&amp;"-"&amp;MONTH(CurrentMtgRatesDataTable871112131417[[#This Row],[asofdate]])</f>
        <v>2005-3</v>
      </c>
      <c r="CN27" s="39">
        <f>CurrentMtgRatesDataTable871112131417[[#This Row],[SeriesNumValue]]</f>
        <v>2139813329.1099999</v>
      </c>
      <c r="CO27" s="39">
        <f>VLOOKUP(CurrentMtgRatesDataTable871112131417[[#This Row],[asofdate]],BY:BZ,2,0)</f>
        <v>74931000</v>
      </c>
      <c r="CP27" s="35">
        <f>IF(VLOOKUP(CurrentMtgRatesDataTable871112131417[[#This Row],[asofdate]],CC:CD,2,0)&lt;&gt;0,VLOOKUP(CurrentMtgRatesDataTable871112131417[[#This Row],[asofdate]],CC:CD,2,0),CP26)</f>
        <v>37690000</v>
      </c>
      <c r="CQ27" s="35">
        <f>VLOOKUP(CurrentMtgRatesDataTable871112131417[[#This Row],[asofdate]],CG:CH,2,0)</f>
        <v>2252434329.1100001</v>
      </c>
    </row>
    <row r="28" spans="1:95" s="6" customFormat="1" ht="12.75">
      <c r="A28" s="7" t="s">
        <v>57</v>
      </c>
      <c r="B28" s="10">
        <v>1.992669947727E-2</v>
      </c>
      <c r="C28" s="10" t="str">
        <f>YEAR(CurrentMtgRatesDataTable8[[#This Row],[asofdate]])&amp;"-"&amp;MONTH(CurrentMtgRatesDataTable8[[#This Row],[asofdate]])</f>
        <v>2005-4</v>
      </c>
      <c r="D28" s="6">
        <f>((CurrentMtgRatesDataTable8[[#This Row],[SeriesNumValue]]-$D$1)/$D$1+1)*100</f>
        <v>132.8446631818</v>
      </c>
      <c r="G28" s="7" t="s">
        <v>57</v>
      </c>
      <c r="H28" s="10">
        <v>80.895125662890706</v>
      </c>
      <c r="I28" s="26">
        <f>VLOOKUP(CurrentMtgRatesDataTable82[[#This Row],[asofdate]],K:L,2,0)</f>
        <v>0.245931688961815</v>
      </c>
      <c r="K28" s="7" t="s">
        <v>57</v>
      </c>
      <c r="L28" s="29">
        <v>0.245931688961815</v>
      </c>
      <c r="O28" s="7" t="s">
        <v>57</v>
      </c>
      <c r="P28" s="10">
        <v>36.597130219793101</v>
      </c>
      <c r="Q28" s="29">
        <f>VLOOKUP(CurrentMtgRatesDataTable84[[#This Row],[asofdate]],S:T,2,0)</f>
        <v>2.0414171190781299E-2</v>
      </c>
      <c r="S28" s="7" t="s">
        <v>57</v>
      </c>
      <c r="T28" s="10">
        <v>2.0414171190781299E-2</v>
      </c>
      <c r="W28" s="7" t="s">
        <v>57</v>
      </c>
      <c r="X28" s="10">
        <v>725.25839259543602</v>
      </c>
      <c r="Y28" s="26">
        <f>VLOOKUP(CurrentMtgRatesDataTable86[[#This Row],[asofdate]],AA:AB,2,0)</f>
        <v>0.31175809732214199</v>
      </c>
      <c r="AA28" s="7" t="s">
        <v>57</v>
      </c>
      <c r="AB28" s="10">
        <v>0.31175809732214199</v>
      </c>
      <c r="AE28" s="7" t="s">
        <v>23</v>
      </c>
      <c r="AF28" s="10">
        <v>1.2469920234914901E-2</v>
      </c>
      <c r="AG28" s="10" t="str">
        <f>YEAR(CurrentMtgRatesDataTable89[[#This Row],[asofdate]])&amp;"-"&amp;MONTH(CurrentMtgRatesDataTable89[[#This Row],[asofdate]])</f>
        <v>2013-8</v>
      </c>
      <c r="AH28" s="6">
        <f>((CurrentMtgRatesDataTable89[[#This Row],[SeriesNumValue]]-$D$1)/$D$1+1)*100</f>
        <v>83.132801566099346</v>
      </c>
      <c r="AI28" s="6">
        <f>CurrentMtgRatesDataTable89[[#This Row],[Index]]-AH29</f>
        <v>-7.8509496957106535</v>
      </c>
      <c r="AJ28" s="6">
        <f>VLOOKUP(CurrentMtgRatesDataTable89[[#This Row],[asofdate]],G:H,2,0)</f>
        <v>81.827547469885204</v>
      </c>
      <c r="AK28" s="6">
        <f>VLOOKUP(CurrentMtgRatesDataTable89[[#This Row],[asofdate]],K:L,2,0)</f>
        <v>0.28462114980755299</v>
      </c>
      <c r="AL28" s="6">
        <f>VLOOKUP(CurrentMtgRatesDataTable89[[#This Row],[asofdate]],O:P,2,0)</f>
        <v>33.415238721331797</v>
      </c>
      <c r="AM28" s="6">
        <f>VLOOKUP(CurrentMtgRatesDataTable89[[#This Row],[asofdate]],S:T,2,0)</f>
        <v>0.26111500363976398</v>
      </c>
      <c r="AN28" s="6">
        <f>VLOOKUP(CurrentMtgRatesDataTable89[[#This Row],[asofdate]],W:X,2,0)</f>
        <v>757.91787250439097</v>
      </c>
      <c r="AO28" s="6">
        <f>VLOOKUP(CurrentMtgRatesDataTable89[[#This Row],[asofdate]],AA:AB,2,0)</f>
        <v>9.7421246941441803E-2</v>
      </c>
      <c r="AR28" s="7" t="s">
        <v>57</v>
      </c>
      <c r="AS28" s="10">
        <v>9.2497341698870306E-2</v>
      </c>
      <c r="AT28" s="36">
        <f>((CurrentMtgRatesDataTable8711[[#This Row],[SeriesNumValue]]-$D$1)/$D$1+1)*100</f>
        <v>616.6489446591354</v>
      </c>
      <c r="AU28" s="36"/>
      <c r="AW28" s="7" t="s">
        <v>57</v>
      </c>
      <c r="AX28" s="10">
        <v>7.1507871154995101E-2</v>
      </c>
      <c r="AY28" s="36">
        <f>((CurrentMtgRatesDataTable871112[[#This Row],[SeriesNumValue]]-$D$1)/$D$1+1)*100</f>
        <v>476.71914103330073</v>
      </c>
      <c r="AZ28" s="36"/>
      <c r="BB28" s="7" t="s">
        <v>57</v>
      </c>
      <c r="BC28" s="10">
        <v>2.18098719756726E-2</v>
      </c>
      <c r="BD28" s="39">
        <f>((CurrentMtgRatesDataTable87111213[[#This Row],[SeriesNumValue]]-$D$1)/$D$1+1)*100</f>
        <v>145.39914650448401</v>
      </c>
      <c r="BE28" s="39"/>
      <c r="BG28" s="7" t="s">
        <v>57</v>
      </c>
      <c r="BH28" s="10">
        <v>1.9984193341813401E-2</v>
      </c>
      <c r="BI28" s="39">
        <f>((CurrentMtgRatesDataTable8711121314[[#This Row],[SeriesNumValue]]-$D$1)/$D$1+1)*100</f>
        <v>133.22795561208935</v>
      </c>
      <c r="BJ28" s="39" t="str">
        <f>YEAR(CurrentMtgRatesDataTable8711121314[[#This Row],[asofdate]])&amp;"-"&amp;MONTH(CurrentMtgRatesDataTable8711121314[[#This Row],[asofdate]])</f>
        <v>2005-4</v>
      </c>
      <c r="BK28" s="39">
        <f>CurrentMtgRatesDataTable8711121314[[#This Row],[SeriesNumValue]]</f>
        <v>1.9984193341813401E-2</v>
      </c>
      <c r="BL28" s="39">
        <f>VLOOKUP(CurrentMtgRatesDataTable8711121314[[#This Row],[asofdate]],AR:AT,2,0)</f>
        <v>9.2497341698870306E-2</v>
      </c>
      <c r="BM28" s="35">
        <f>IF(VLOOKUP(CurrentMtgRatesDataTable8711121314[[#This Row],[asofdate]],AW:AY,2,0)&lt;&gt;0,VLOOKUP(CurrentMtgRatesDataTable8711121314[[#This Row],[asofdate]],AW:AY,2,0),BM27)</f>
        <v>7.1507871154995101E-2</v>
      </c>
      <c r="BN28" s="35">
        <f>VLOOKUP(CurrentMtgRatesDataTable8711121314[[#This Row],[asofdate]],BB:BD,2,0)</f>
        <v>2.18098719756726E-2</v>
      </c>
      <c r="BO28" s="35">
        <f>CurrentMtgRatesDataTable8711121314[[#This Row],[FHA]]+0.5*CurrentMtgRatesDataTable8711121314[[#This Row],[Conventional]]</f>
        <v>0.102489438369777</v>
      </c>
      <c r="BP28" s="35">
        <f>2*CurrentMtgRatesDataTable8711121314[[#This Row],[FHA]]</f>
        <v>0.18499468339774061</v>
      </c>
      <c r="BQ28" s="11">
        <f>VLOOKUP(YEAR(CurrentMtgRatesDataTable8711121314[[#This Row],[asofdate]]),OriginationVolume!$A:$N,8,FALSE)</f>
        <v>0.39564428312159711</v>
      </c>
      <c r="BR28" s="11">
        <f>VLOOKUP(YEAR(CurrentMtgRatesDataTable8711121314[[#This Row],[asofdate]]),OriginationVolume!$A:$N,9,FALSE)</f>
        <v>8.1669691470054439E-3</v>
      </c>
      <c r="BS28" s="11">
        <f>VLOOKUP(YEAR(CurrentMtgRatesDataTable8711121314[[#This Row],[asofdate]]),OriginationVolume!$A:$N,10,FALSE)</f>
        <v>2.4500907441016333E-2</v>
      </c>
      <c r="BT28" s="11">
        <f>VLOOKUP(YEAR(CurrentMtgRatesDataTable8711121314[[#This Row],[asofdate]]),OriginationVolume!$A:$N,11,FALSE)</f>
        <v>0.20689655172413793</v>
      </c>
      <c r="BU28" s="11">
        <f>VLOOKUP(YEAR(CurrentMtgRatesDataTable8711121314[[#This Row],[asofdate]]),OriginationVolume!$A:$N,12,FALSE)</f>
        <v>0.13793103448275862</v>
      </c>
      <c r="BV28" s="11">
        <f>VLOOKUP(YEAR(CurrentMtgRatesDataTable8711121314[[#This Row],[asofdate]]),OriginationVolume!$A:$N,13,FALSE)</f>
        <v>0.22686025408348456</v>
      </c>
      <c r="BW28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7.0995979062495287E-2</v>
      </c>
      <c r="BY28" s="7" t="s">
        <v>57</v>
      </c>
      <c r="BZ28" s="10">
        <v>96553000</v>
      </c>
      <c r="CA28" s="36"/>
      <c r="CC28" s="7" t="s">
        <v>57</v>
      </c>
      <c r="CD28" s="10">
        <v>50433000</v>
      </c>
      <c r="CE28" s="36"/>
      <c r="CG28" s="7" t="s">
        <v>57</v>
      </c>
      <c r="CH28" s="10">
        <v>2596024130.0700002</v>
      </c>
      <c r="CI28" s="39"/>
      <c r="CK28" s="7" t="s">
        <v>57</v>
      </c>
      <c r="CL28" s="10">
        <v>2449038130.0700002</v>
      </c>
      <c r="CM28" s="39" t="str">
        <f>YEAR(CurrentMtgRatesDataTable871112131417[[#This Row],[asofdate]])&amp;"-"&amp;MONTH(CurrentMtgRatesDataTable871112131417[[#This Row],[asofdate]])</f>
        <v>2005-4</v>
      </c>
      <c r="CN28" s="39">
        <f>CurrentMtgRatesDataTable871112131417[[#This Row],[SeriesNumValue]]</f>
        <v>2449038130.0700002</v>
      </c>
      <c r="CO28" s="39">
        <f>VLOOKUP(CurrentMtgRatesDataTable871112131417[[#This Row],[asofdate]],BY:BZ,2,0)</f>
        <v>96553000</v>
      </c>
      <c r="CP28" s="35">
        <f>IF(VLOOKUP(CurrentMtgRatesDataTable871112131417[[#This Row],[asofdate]],CC:CD,2,0)&lt;&gt;0,VLOOKUP(CurrentMtgRatesDataTable871112131417[[#This Row],[asofdate]],CC:CD,2,0),CP27)</f>
        <v>50433000</v>
      </c>
      <c r="CQ28" s="35">
        <f>VLOOKUP(CurrentMtgRatesDataTable871112131417[[#This Row],[asofdate]],CG:CH,2,0)</f>
        <v>2596024130.0700002</v>
      </c>
    </row>
    <row r="29" spans="1:95" s="6" customFormat="1" ht="12.75">
      <c r="A29" s="7" t="s">
        <v>58</v>
      </c>
      <c r="B29" s="10">
        <v>1.8296678395220301E-2</v>
      </c>
      <c r="C29" s="10" t="str">
        <f>YEAR(CurrentMtgRatesDataTable8[[#This Row],[asofdate]])&amp;"-"&amp;MONTH(CurrentMtgRatesDataTable8[[#This Row],[asofdate]])</f>
        <v>2005-5</v>
      </c>
      <c r="D29" s="6">
        <f>((CurrentMtgRatesDataTable8[[#This Row],[SeriesNumValue]]-$D$1)/$D$1+1)*100</f>
        <v>121.97785596813534</v>
      </c>
      <c r="G29" s="7" t="s">
        <v>58</v>
      </c>
      <c r="H29" s="10">
        <v>80.691921534860796</v>
      </c>
      <c r="I29" s="26">
        <f>VLOOKUP(CurrentMtgRatesDataTable82[[#This Row],[asofdate]],K:L,2,0)</f>
        <v>0.234305230431572</v>
      </c>
      <c r="K29" s="7" t="s">
        <v>58</v>
      </c>
      <c r="L29" s="29">
        <v>0.234305230431572</v>
      </c>
      <c r="O29" s="7" t="s">
        <v>58</v>
      </c>
      <c r="P29" s="10">
        <v>36.327186002251203</v>
      </c>
      <c r="Q29" s="29">
        <f>VLOOKUP(CurrentMtgRatesDataTable84[[#This Row],[asofdate]],S:T,2,0)</f>
        <v>2.02201237207651E-2</v>
      </c>
      <c r="S29" s="7" t="s">
        <v>58</v>
      </c>
      <c r="T29" s="10">
        <v>2.02201237207651E-2</v>
      </c>
      <c r="W29" s="7" t="s">
        <v>58</v>
      </c>
      <c r="X29" s="10">
        <v>725.45547752792004</v>
      </c>
      <c r="Y29" s="26">
        <f>VLOOKUP(CurrentMtgRatesDataTable86[[#This Row],[asofdate]],AA:AB,2,0)</f>
        <v>0.31191876727622397</v>
      </c>
      <c r="AA29" s="7" t="s">
        <v>58</v>
      </c>
      <c r="AB29" s="10">
        <v>0.31191876727622397</v>
      </c>
      <c r="AE29" s="7" t="s">
        <v>10</v>
      </c>
      <c r="AF29" s="10">
        <v>1.3647562689271499E-2</v>
      </c>
      <c r="AG29" s="10" t="str">
        <f>YEAR(CurrentMtgRatesDataTable89[[#This Row],[asofdate]])&amp;"-"&amp;MONTH(CurrentMtgRatesDataTable89[[#This Row],[asofdate]])</f>
        <v>2013-7</v>
      </c>
      <c r="AH29" s="6">
        <f>((CurrentMtgRatesDataTable89[[#This Row],[SeriesNumValue]]-$D$1)/$D$1+1)*100</f>
        <v>90.983751261809999</v>
      </c>
      <c r="AI29" s="6">
        <f>CurrentMtgRatesDataTable89[[#This Row],[Index]]-AH30</f>
        <v>-11.774292616447326</v>
      </c>
      <c r="AJ29" s="6">
        <f>VLOOKUP(CurrentMtgRatesDataTable89[[#This Row],[asofdate]],G:H,2,0)</f>
        <v>81.788158152840097</v>
      </c>
      <c r="AK29" s="6">
        <f>VLOOKUP(CurrentMtgRatesDataTable89[[#This Row],[asofdate]],K:L,2,0)</f>
        <v>0.28535356918134203</v>
      </c>
      <c r="AL29" s="6">
        <f>VLOOKUP(CurrentMtgRatesDataTable89[[#This Row],[asofdate]],O:P,2,0)</f>
        <v>33.228820554415002</v>
      </c>
      <c r="AM29" s="6">
        <f>VLOOKUP(CurrentMtgRatesDataTable89[[#This Row],[asofdate]],S:T,2,0)</f>
        <v>0.25208629868176302</v>
      </c>
      <c r="AN29" s="6">
        <f>VLOOKUP(CurrentMtgRatesDataTable89[[#This Row],[asofdate]],W:X,2,0)</f>
        <v>758.28630946198598</v>
      </c>
      <c r="AO29" s="6">
        <f>VLOOKUP(CurrentMtgRatesDataTable89[[#This Row],[asofdate]],AA:AB,2,0)</f>
        <v>9.6568724354419794E-2</v>
      </c>
      <c r="AR29" s="7" t="s">
        <v>58</v>
      </c>
      <c r="AS29" s="10">
        <v>8.1934200099123194E-2</v>
      </c>
      <c r="AT29" s="36">
        <f>((CurrentMtgRatesDataTable8711[[#This Row],[SeriesNumValue]]-$D$1)/$D$1+1)*100</f>
        <v>546.22800066082129</v>
      </c>
      <c r="AU29" s="36"/>
      <c r="AW29" s="7" t="s">
        <v>58</v>
      </c>
      <c r="AX29" s="10">
        <v>6.8831034977123506E-2</v>
      </c>
      <c r="AY29" s="36">
        <f>((CurrentMtgRatesDataTable871112[[#This Row],[SeriesNumValue]]-$D$1)/$D$1+1)*100</f>
        <v>458.87356651415672</v>
      </c>
      <c r="AZ29" s="36"/>
      <c r="BB29" s="7" t="s">
        <v>58</v>
      </c>
      <c r="BC29" s="10">
        <v>1.9765511564367799E-2</v>
      </c>
      <c r="BD29" s="39">
        <f>((CurrentMtgRatesDataTable87111213[[#This Row],[SeriesNumValue]]-$D$1)/$D$1+1)*100</f>
        <v>131.77007709578533</v>
      </c>
      <c r="BE29" s="39"/>
      <c r="BG29" s="7" t="s">
        <v>58</v>
      </c>
      <c r="BH29" s="10">
        <v>1.8157566395530299E-2</v>
      </c>
      <c r="BI29" s="39">
        <f>((CurrentMtgRatesDataTable8711121314[[#This Row],[SeriesNumValue]]-$D$1)/$D$1+1)*100</f>
        <v>121.05044263686867</v>
      </c>
      <c r="BJ29" s="39" t="str">
        <f>YEAR(CurrentMtgRatesDataTable8711121314[[#This Row],[asofdate]])&amp;"-"&amp;MONTH(CurrentMtgRatesDataTable8711121314[[#This Row],[asofdate]])</f>
        <v>2005-5</v>
      </c>
      <c r="BK29" s="39">
        <f>CurrentMtgRatesDataTable8711121314[[#This Row],[SeriesNumValue]]</f>
        <v>1.8157566395530299E-2</v>
      </c>
      <c r="BL29" s="39">
        <f>VLOOKUP(CurrentMtgRatesDataTable8711121314[[#This Row],[asofdate]],AR:AT,2,0)</f>
        <v>8.1934200099123194E-2</v>
      </c>
      <c r="BM29" s="35">
        <f>IF(VLOOKUP(CurrentMtgRatesDataTable8711121314[[#This Row],[asofdate]],AW:AY,2,0)&lt;&gt;0,VLOOKUP(CurrentMtgRatesDataTable8711121314[[#This Row],[asofdate]],AW:AY,2,0),BM28)</f>
        <v>6.8831034977123506E-2</v>
      </c>
      <c r="BN29" s="35">
        <f>VLOOKUP(CurrentMtgRatesDataTable8711121314[[#This Row],[asofdate]],BB:BD,2,0)</f>
        <v>1.9765511564367799E-2</v>
      </c>
      <c r="BO29" s="35">
        <f>CurrentMtgRatesDataTable8711121314[[#This Row],[FHA]]+0.5*CurrentMtgRatesDataTable8711121314[[#This Row],[Conventional]]</f>
        <v>9.1012983296888339E-2</v>
      </c>
      <c r="BP29" s="35">
        <f>2*CurrentMtgRatesDataTable8711121314[[#This Row],[FHA]]</f>
        <v>0.16386840019824639</v>
      </c>
      <c r="BQ29" s="11">
        <f>VLOOKUP(YEAR(CurrentMtgRatesDataTable8711121314[[#This Row],[asofdate]]),OriginationVolume!$A:$N,8,FALSE)</f>
        <v>0.39564428312159711</v>
      </c>
      <c r="BR29" s="11">
        <f>VLOOKUP(YEAR(CurrentMtgRatesDataTable8711121314[[#This Row],[asofdate]]),OriginationVolume!$A:$N,9,FALSE)</f>
        <v>8.1669691470054439E-3</v>
      </c>
      <c r="BS29" s="11">
        <f>VLOOKUP(YEAR(CurrentMtgRatesDataTable8711121314[[#This Row],[asofdate]]),OriginationVolume!$A:$N,10,FALSE)</f>
        <v>2.4500907441016333E-2</v>
      </c>
      <c r="BT29" s="11">
        <f>VLOOKUP(YEAR(CurrentMtgRatesDataTable8711121314[[#This Row],[asofdate]]),OriginationVolume!$A:$N,11,FALSE)</f>
        <v>0.20689655172413793</v>
      </c>
      <c r="BU29" s="11">
        <f>VLOOKUP(YEAR(CurrentMtgRatesDataTable8711121314[[#This Row],[asofdate]]),OriginationVolume!$A:$N,12,FALSE)</f>
        <v>0.13793103448275862</v>
      </c>
      <c r="BV29" s="11">
        <f>VLOOKUP(YEAR(CurrentMtgRatesDataTable8711121314[[#This Row],[asofdate]]),OriginationVolume!$A:$N,13,FALSE)</f>
        <v>0.22686025408348456</v>
      </c>
      <c r="BW29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6.3239020249356792E-2</v>
      </c>
      <c r="BY29" s="7" t="s">
        <v>58</v>
      </c>
      <c r="BZ29" s="10">
        <v>125618000</v>
      </c>
      <c r="CA29" s="36"/>
      <c r="CC29" s="7" t="s">
        <v>58</v>
      </c>
      <c r="CD29" s="10">
        <v>61299000</v>
      </c>
      <c r="CE29" s="36"/>
      <c r="CG29" s="7" t="s">
        <v>58</v>
      </c>
      <c r="CH29" s="10">
        <v>3379652014.46</v>
      </c>
      <c r="CI29" s="39"/>
      <c r="CK29" s="7" t="s">
        <v>58</v>
      </c>
      <c r="CL29" s="10">
        <v>3192735014.46</v>
      </c>
      <c r="CM29" s="39" t="str">
        <f>YEAR(CurrentMtgRatesDataTable871112131417[[#This Row],[asofdate]])&amp;"-"&amp;MONTH(CurrentMtgRatesDataTable871112131417[[#This Row],[asofdate]])</f>
        <v>2005-5</v>
      </c>
      <c r="CN29" s="39">
        <f>CurrentMtgRatesDataTable871112131417[[#This Row],[SeriesNumValue]]</f>
        <v>3192735014.46</v>
      </c>
      <c r="CO29" s="39">
        <f>VLOOKUP(CurrentMtgRatesDataTable871112131417[[#This Row],[asofdate]],BY:BZ,2,0)</f>
        <v>125618000</v>
      </c>
      <c r="CP29" s="35">
        <f>IF(VLOOKUP(CurrentMtgRatesDataTable871112131417[[#This Row],[asofdate]],CC:CD,2,0)&lt;&gt;0,VLOOKUP(CurrentMtgRatesDataTable871112131417[[#This Row],[asofdate]],CC:CD,2,0),CP28)</f>
        <v>61299000</v>
      </c>
      <c r="CQ29" s="35">
        <f>VLOOKUP(CurrentMtgRatesDataTable871112131417[[#This Row],[asofdate]],CG:CH,2,0)</f>
        <v>3379652014.46</v>
      </c>
    </row>
    <row r="30" spans="1:95" s="6" customFormat="1" ht="12.75">
      <c r="A30" s="7" t="s">
        <v>59</v>
      </c>
      <c r="B30" s="10">
        <v>2.0832087804865802E-2</v>
      </c>
      <c r="C30" s="10" t="str">
        <f>YEAR(CurrentMtgRatesDataTable8[[#This Row],[asofdate]])&amp;"-"&amp;MONTH(CurrentMtgRatesDataTable8[[#This Row],[asofdate]])</f>
        <v>2005-6</v>
      </c>
      <c r="D30" s="6">
        <f>((CurrentMtgRatesDataTable8[[#This Row],[SeriesNumValue]]-$D$1)/$D$1+1)*100</f>
        <v>138.88058536577202</v>
      </c>
      <c r="G30" s="7" t="s">
        <v>59</v>
      </c>
      <c r="H30" s="10">
        <v>80.948951507975195</v>
      </c>
      <c r="I30" s="26">
        <f>VLOOKUP(CurrentMtgRatesDataTable82[[#This Row],[asofdate]],K:L,2,0)</f>
        <v>0.24199028870644701</v>
      </c>
      <c r="K30" s="7" t="s">
        <v>59</v>
      </c>
      <c r="L30" s="29">
        <v>0.24199028870644701</v>
      </c>
      <c r="O30" s="7" t="s">
        <v>59</v>
      </c>
      <c r="P30" s="10">
        <v>36.1993382197549</v>
      </c>
      <c r="Q30" s="29">
        <f>VLOOKUP(CurrentMtgRatesDataTable84[[#This Row],[asofdate]],S:T,2,0)</f>
        <v>2.4888563661056001E-2</v>
      </c>
      <c r="S30" s="7" t="s">
        <v>59</v>
      </c>
      <c r="T30" s="10">
        <v>2.4888563661056001E-2</v>
      </c>
      <c r="W30" s="7" t="s">
        <v>59</v>
      </c>
      <c r="X30" s="10">
        <v>724.54450005986598</v>
      </c>
      <c r="Y30" s="26">
        <f>VLOOKUP(CurrentMtgRatesDataTable86[[#This Row],[asofdate]],AA:AB,2,0)</f>
        <v>0.31915669681855002</v>
      </c>
      <c r="AA30" s="7" t="s">
        <v>59</v>
      </c>
      <c r="AB30" s="10">
        <v>0.31915669681855002</v>
      </c>
      <c r="AE30" s="7" t="s">
        <v>146</v>
      </c>
      <c r="AF30" s="10">
        <v>1.5413706581738599E-2</v>
      </c>
      <c r="AG30" s="10" t="str">
        <f>YEAR(CurrentMtgRatesDataTable89[[#This Row],[asofdate]])&amp;"-"&amp;MONTH(CurrentMtgRatesDataTable89[[#This Row],[asofdate]])</f>
        <v>2013-6</v>
      </c>
      <c r="AH30" s="6">
        <f>((CurrentMtgRatesDataTable89[[#This Row],[SeriesNumValue]]-$D$1)/$D$1+1)*100</f>
        <v>102.75804387825733</v>
      </c>
      <c r="AI30" s="6">
        <f>CurrentMtgRatesDataTable89[[#This Row],[Index]]-AH31</f>
        <v>3.8467203221993174</v>
      </c>
      <c r="AJ30" s="6">
        <f>VLOOKUP(CurrentMtgRatesDataTable89[[#This Row],[asofdate]],G:H,2,0)</f>
        <v>81.560995062085496</v>
      </c>
      <c r="AK30" s="6">
        <f>VLOOKUP(CurrentMtgRatesDataTable89[[#This Row],[asofdate]],K:L,2,0)</f>
        <v>0.27245016612395301</v>
      </c>
      <c r="AL30" s="6">
        <f>VLOOKUP(CurrentMtgRatesDataTable89[[#This Row],[asofdate]],O:P,2,0)</f>
        <v>33.442751747550503</v>
      </c>
      <c r="AM30" s="6">
        <f>VLOOKUP(CurrentMtgRatesDataTable89[[#This Row],[asofdate]],S:T,2,0)</f>
        <v>0.26164688930527003</v>
      </c>
      <c r="AN30" s="6">
        <f>VLOOKUP(CurrentMtgRatesDataTable89[[#This Row],[asofdate]],W:X,2,0)</f>
        <v>758.39409782383098</v>
      </c>
      <c r="AO30" s="6">
        <f>VLOOKUP(CurrentMtgRatesDataTable89[[#This Row],[asofdate]],AA:AB,2,0)</f>
        <v>9.4257525505838602E-2</v>
      </c>
      <c r="AR30" s="7" t="s">
        <v>59</v>
      </c>
      <c r="AS30" s="10">
        <v>9.0211093283241298E-2</v>
      </c>
      <c r="AT30" s="36">
        <f>((CurrentMtgRatesDataTable8711[[#This Row],[SeriesNumValue]]-$D$1)/$D$1+1)*100</f>
        <v>601.40728855494206</v>
      </c>
      <c r="AU30" s="36"/>
      <c r="AW30" s="7" t="s">
        <v>59</v>
      </c>
      <c r="AX30" s="10">
        <v>7.2760553043788298E-2</v>
      </c>
      <c r="AY30" s="36">
        <f>((CurrentMtgRatesDataTable871112[[#This Row],[SeriesNumValue]]-$D$1)/$D$1+1)*100</f>
        <v>485.07035362525528</v>
      </c>
      <c r="AZ30" s="36"/>
      <c r="BB30" s="7" t="s">
        <v>59</v>
      </c>
      <c r="BC30" s="10">
        <v>2.2284089052185301E-2</v>
      </c>
      <c r="BD30" s="39">
        <f>((CurrentMtgRatesDataTable87111213[[#This Row],[SeriesNumValue]]-$D$1)/$D$1+1)*100</f>
        <v>148.56059368123536</v>
      </c>
      <c r="BE30" s="39"/>
      <c r="BG30" s="7" t="s">
        <v>59</v>
      </c>
      <c r="BH30" s="10">
        <v>2.0661572747784799E-2</v>
      </c>
      <c r="BI30" s="39">
        <f>((CurrentMtgRatesDataTable8711121314[[#This Row],[SeriesNumValue]]-$D$1)/$D$1+1)*100</f>
        <v>137.74381831856533</v>
      </c>
      <c r="BJ30" s="39" t="str">
        <f>YEAR(CurrentMtgRatesDataTable8711121314[[#This Row],[asofdate]])&amp;"-"&amp;MONTH(CurrentMtgRatesDataTable8711121314[[#This Row],[asofdate]])</f>
        <v>2005-6</v>
      </c>
      <c r="BK30" s="39">
        <f>CurrentMtgRatesDataTable8711121314[[#This Row],[SeriesNumValue]]</f>
        <v>2.0661572747784799E-2</v>
      </c>
      <c r="BL30" s="39">
        <f>VLOOKUP(CurrentMtgRatesDataTable8711121314[[#This Row],[asofdate]],AR:AT,2,0)</f>
        <v>9.0211093283241298E-2</v>
      </c>
      <c r="BM30" s="35">
        <f>IF(VLOOKUP(CurrentMtgRatesDataTable8711121314[[#This Row],[asofdate]],AW:AY,2,0)&lt;&gt;0,VLOOKUP(CurrentMtgRatesDataTable8711121314[[#This Row],[asofdate]],AW:AY,2,0),BM29)</f>
        <v>7.2760553043788298E-2</v>
      </c>
      <c r="BN30" s="35">
        <f>VLOOKUP(CurrentMtgRatesDataTable8711121314[[#This Row],[asofdate]],BB:BD,2,0)</f>
        <v>2.2284089052185301E-2</v>
      </c>
      <c r="BO30" s="35">
        <f>CurrentMtgRatesDataTable8711121314[[#This Row],[FHA]]+0.5*CurrentMtgRatesDataTable8711121314[[#This Row],[Conventional]]</f>
        <v>0.1005418796571337</v>
      </c>
      <c r="BP30" s="35">
        <f>2*CurrentMtgRatesDataTable8711121314[[#This Row],[FHA]]</f>
        <v>0.1804221865664826</v>
      </c>
      <c r="BQ30" s="11">
        <f>VLOOKUP(YEAR(CurrentMtgRatesDataTable8711121314[[#This Row],[asofdate]]),OriginationVolume!$A:$N,8,FALSE)</f>
        <v>0.39564428312159711</v>
      </c>
      <c r="BR30" s="11">
        <f>VLOOKUP(YEAR(CurrentMtgRatesDataTable8711121314[[#This Row],[asofdate]]),OriginationVolume!$A:$N,9,FALSE)</f>
        <v>8.1669691470054439E-3</v>
      </c>
      <c r="BS30" s="11">
        <f>VLOOKUP(YEAR(CurrentMtgRatesDataTable8711121314[[#This Row],[asofdate]]),OriginationVolume!$A:$N,10,FALSE)</f>
        <v>2.4500907441016333E-2</v>
      </c>
      <c r="BT30" s="11">
        <f>VLOOKUP(YEAR(CurrentMtgRatesDataTable8711121314[[#This Row],[asofdate]]),OriginationVolume!$A:$N,11,FALSE)</f>
        <v>0.20689655172413793</v>
      </c>
      <c r="BU30" s="11">
        <f>VLOOKUP(YEAR(CurrentMtgRatesDataTable8711121314[[#This Row],[asofdate]]),OriginationVolume!$A:$N,12,FALSE)</f>
        <v>0.13793103448275862</v>
      </c>
      <c r="BV30" s="11">
        <f>VLOOKUP(YEAR(CurrentMtgRatesDataTable8711121314[[#This Row],[asofdate]]),OriginationVolume!$A:$N,13,FALSE)</f>
        <v>0.22686025408348456</v>
      </c>
      <c r="BW30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7.0052396687908969E-2</v>
      </c>
      <c r="BY30" s="7" t="s">
        <v>59</v>
      </c>
      <c r="BZ30" s="10">
        <v>116694000</v>
      </c>
      <c r="CA30" s="36"/>
      <c r="CC30" s="7" t="s">
        <v>59</v>
      </c>
      <c r="CD30" s="10">
        <v>47993000</v>
      </c>
      <c r="CE30" s="36"/>
      <c r="CG30" s="7" t="s">
        <v>59</v>
      </c>
      <c r="CH30" s="10">
        <v>3272606324.4499998</v>
      </c>
      <c r="CI30" s="39"/>
      <c r="CK30" s="7" t="s">
        <v>59</v>
      </c>
      <c r="CL30" s="10">
        <v>3107919324.4499998</v>
      </c>
      <c r="CM30" s="39" t="str">
        <f>YEAR(CurrentMtgRatesDataTable871112131417[[#This Row],[asofdate]])&amp;"-"&amp;MONTH(CurrentMtgRatesDataTable871112131417[[#This Row],[asofdate]])</f>
        <v>2005-6</v>
      </c>
      <c r="CN30" s="39">
        <f>CurrentMtgRatesDataTable871112131417[[#This Row],[SeriesNumValue]]</f>
        <v>3107919324.4499998</v>
      </c>
      <c r="CO30" s="39">
        <f>VLOOKUP(CurrentMtgRatesDataTable871112131417[[#This Row],[asofdate]],BY:BZ,2,0)</f>
        <v>116694000</v>
      </c>
      <c r="CP30" s="35">
        <f>IF(VLOOKUP(CurrentMtgRatesDataTable871112131417[[#This Row],[asofdate]],CC:CD,2,0)&lt;&gt;0,VLOOKUP(CurrentMtgRatesDataTable871112131417[[#This Row],[asofdate]],CC:CD,2,0),CP29)</f>
        <v>47993000</v>
      </c>
      <c r="CQ30" s="35">
        <f>VLOOKUP(CurrentMtgRatesDataTable871112131417[[#This Row],[asofdate]],CG:CH,2,0)</f>
        <v>3272606324.4499998</v>
      </c>
    </row>
    <row r="31" spans="1:95" s="6" customFormat="1" ht="12.75">
      <c r="A31" s="7" t="s">
        <v>60</v>
      </c>
      <c r="B31" s="10">
        <v>2.1305256927180299E-2</v>
      </c>
      <c r="C31" s="10" t="str">
        <f>YEAR(CurrentMtgRatesDataTable8[[#This Row],[asofdate]])&amp;"-"&amp;MONTH(CurrentMtgRatesDataTable8[[#This Row],[asofdate]])</f>
        <v>2005-7</v>
      </c>
      <c r="D31" s="6">
        <f>((CurrentMtgRatesDataTable8[[#This Row],[SeriesNumValue]]-$D$1)/$D$1+1)*100</f>
        <v>142.03504618120201</v>
      </c>
      <c r="G31" s="7" t="s">
        <v>60</v>
      </c>
      <c r="H31" s="10">
        <v>80.924093980399604</v>
      </c>
      <c r="I31" s="26">
        <f>VLOOKUP(CurrentMtgRatesDataTable82[[#This Row],[asofdate]],K:L,2,0)</f>
        <v>0.234948394132272</v>
      </c>
      <c r="K31" s="7" t="s">
        <v>60</v>
      </c>
      <c r="L31" s="29">
        <v>0.234948394132272</v>
      </c>
      <c r="O31" s="7" t="s">
        <v>60</v>
      </c>
      <c r="P31" s="10">
        <v>35.622831536056303</v>
      </c>
      <c r="Q31" s="29">
        <f>VLOOKUP(CurrentMtgRatesDataTable84[[#This Row],[asofdate]],S:T,2,0)</f>
        <v>2.39749129907815E-2</v>
      </c>
      <c r="S31" s="7" t="s">
        <v>60</v>
      </c>
      <c r="T31" s="10">
        <v>2.39749129907815E-2</v>
      </c>
      <c r="W31" s="7" t="s">
        <v>60</v>
      </c>
      <c r="X31" s="10">
        <v>725.24515758187999</v>
      </c>
      <c r="Y31" s="26">
        <f>VLOOKUP(CurrentMtgRatesDataTable86[[#This Row],[asofdate]],AA:AB,2,0)</f>
        <v>0.31626561898460898</v>
      </c>
      <c r="AA31" s="7" t="s">
        <v>60</v>
      </c>
      <c r="AB31" s="10">
        <v>0.31626561898460898</v>
      </c>
      <c r="AE31" s="7" t="s">
        <v>7</v>
      </c>
      <c r="AF31" s="10">
        <v>1.48366985334087E-2</v>
      </c>
      <c r="AG31" s="10" t="str">
        <f>YEAR(CurrentMtgRatesDataTable89[[#This Row],[asofdate]])&amp;"-"&amp;MONTH(CurrentMtgRatesDataTable89[[#This Row],[asofdate]])</f>
        <v>2013-5</v>
      </c>
      <c r="AH31" s="6">
        <f>((CurrentMtgRatesDataTable89[[#This Row],[SeriesNumValue]]-$D$1)/$D$1+1)*100</f>
        <v>98.911323556058008</v>
      </c>
      <c r="AI31" s="6">
        <f>CurrentMtgRatesDataTable89[[#This Row],[Index]]-AH32</f>
        <v>5.0356796270526729</v>
      </c>
      <c r="AJ31" s="6">
        <f>VLOOKUP(CurrentMtgRatesDataTable89[[#This Row],[asofdate]],G:H,2,0)</f>
        <v>81.325179322753797</v>
      </c>
      <c r="AK31" s="6">
        <f>VLOOKUP(CurrentMtgRatesDataTable89[[#This Row],[asofdate]],K:L,2,0)</f>
        <v>0.262825288107358</v>
      </c>
      <c r="AL31" s="6">
        <f>VLOOKUP(CurrentMtgRatesDataTable89[[#This Row],[asofdate]],O:P,2,0)</f>
        <v>33.5566306336381</v>
      </c>
      <c r="AM31" s="6">
        <f>VLOOKUP(CurrentMtgRatesDataTable89[[#This Row],[asofdate]],S:T,2,0)</f>
        <v>0.26794335903761601</v>
      </c>
      <c r="AN31" s="6">
        <f>VLOOKUP(CurrentMtgRatesDataTable89[[#This Row],[asofdate]],W:X,2,0)</f>
        <v>758.42291222221195</v>
      </c>
      <c r="AO31" s="6">
        <f>VLOOKUP(CurrentMtgRatesDataTable89[[#This Row],[asofdate]],AA:AB,2,0)</f>
        <v>9.3295068554112501E-2</v>
      </c>
      <c r="AR31" s="7" t="s">
        <v>60</v>
      </c>
      <c r="AS31" s="10">
        <v>9.2319504582030504E-2</v>
      </c>
      <c r="AT31" s="36">
        <f>((CurrentMtgRatesDataTable8711[[#This Row],[SeriesNumValue]]-$D$1)/$D$1+1)*100</f>
        <v>615.46336388020336</v>
      </c>
      <c r="AU31" s="36"/>
      <c r="AW31" s="7" t="s">
        <v>60</v>
      </c>
      <c r="AX31" s="10">
        <v>8.0514821186880595E-2</v>
      </c>
      <c r="AY31" s="36">
        <f>((CurrentMtgRatesDataTable871112[[#This Row],[SeriesNumValue]]-$D$1)/$D$1+1)*100</f>
        <v>536.76547457920401</v>
      </c>
      <c r="AZ31" s="36"/>
      <c r="BB31" s="7" t="s">
        <v>60</v>
      </c>
      <c r="BC31" s="10">
        <v>2.26230481171209E-2</v>
      </c>
      <c r="BD31" s="39">
        <f>((CurrentMtgRatesDataTable87111213[[#This Row],[SeriesNumValue]]-$D$1)/$D$1+1)*100</f>
        <v>150.82032078080601</v>
      </c>
      <c r="BE31" s="39"/>
      <c r="BG31" s="7" t="s">
        <v>60</v>
      </c>
      <c r="BH31" s="10">
        <v>2.1131997562814898E-2</v>
      </c>
      <c r="BI31" s="39">
        <f>((CurrentMtgRatesDataTable8711121314[[#This Row],[SeriesNumValue]]-$D$1)/$D$1+1)*100</f>
        <v>140.87998375209935</v>
      </c>
      <c r="BJ31" s="39" t="str">
        <f>YEAR(CurrentMtgRatesDataTable8711121314[[#This Row],[asofdate]])&amp;"-"&amp;MONTH(CurrentMtgRatesDataTable8711121314[[#This Row],[asofdate]])</f>
        <v>2005-7</v>
      </c>
      <c r="BK31" s="39">
        <f>CurrentMtgRatesDataTable8711121314[[#This Row],[SeriesNumValue]]</f>
        <v>2.1131997562814898E-2</v>
      </c>
      <c r="BL31" s="39">
        <f>VLOOKUP(CurrentMtgRatesDataTable8711121314[[#This Row],[asofdate]],AR:AT,2,0)</f>
        <v>9.2319504582030504E-2</v>
      </c>
      <c r="BM31" s="35">
        <f>IF(VLOOKUP(CurrentMtgRatesDataTable8711121314[[#This Row],[asofdate]],AW:AY,2,0)&lt;&gt;0,VLOOKUP(CurrentMtgRatesDataTable8711121314[[#This Row],[asofdate]],AW:AY,2,0),BM30)</f>
        <v>8.0514821186880595E-2</v>
      </c>
      <c r="BN31" s="35">
        <f>VLOOKUP(CurrentMtgRatesDataTable8711121314[[#This Row],[asofdate]],BB:BD,2,0)</f>
        <v>2.26230481171209E-2</v>
      </c>
      <c r="BO31" s="35">
        <f>CurrentMtgRatesDataTable8711121314[[#This Row],[FHA]]+0.5*CurrentMtgRatesDataTable8711121314[[#This Row],[Conventional]]</f>
        <v>0.10288550336343795</v>
      </c>
      <c r="BP31" s="35">
        <f>2*CurrentMtgRatesDataTable8711121314[[#This Row],[FHA]]</f>
        <v>0.18463900916406101</v>
      </c>
      <c r="BQ31" s="11">
        <f>VLOOKUP(YEAR(CurrentMtgRatesDataTable8711121314[[#This Row],[asofdate]]),OriginationVolume!$A:$N,8,FALSE)</f>
        <v>0.39564428312159711</v>
      </c>
      <c r="BR31" s="11">
        <f>VLOOKUP(YEAR(CurrentMtgRatesDataTable8711121314[[#This Row],[asofdate]]),OriginationVolume!$A:$N,9,FALSE)</f>
        <v>8.1669691470054439E-3</v>
      </c>
      <c r="BS31" s="11">
        <f>VLOOKUP(YEAR(CurrentMtgRatesDataTable8711121314[[#This Row],[asofdate]]),OriginationVolume!$A:$N,10,FALSE)</f>
        <v>2.4500907441016333E-2</v>
      </c>
      <c r="BT31" s="11">
        <f>VLOOKUP(YEAR(CurrentMtgRatesDataTable8711121314[[#This Row],[asofdate]]),OriginationVolume!$A:$N,11,FALSE)</f>
        <v>0.20689655172413793</v>
      </c>
      <c r="BU31" s="11">
        <f>VLOOKUP(YEAR(CurrentMtgRatesDataTable8711121314[[#This Row],[asofdate]]),OriginationVolume!$A:$N,12,FALSE)</f>
        <v>0.13793103448275862</v>
      </c>
      <c r="BV31" s="11">
        <f>VLOOKUP(YEAR(CurrentMtgRatesDataTable8711121314[[#This Row],[asofdate]]),OriginationVolume!$A:$N,13,FALSE)</f>
        <v>0.22686025408348456</v>
      </c>
      <c r="BW31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7.1730721595611308E-2</v>
      </c>
      <c r="BY31" s="7" t="s">
        <v>60</v>
      </c>
      <c r="BZ31" s="10">
        <v>125308000</v>
      </c>
      <c r="CA31" s="36"/>
      <c r="CC31" s="7" t="s">
        <v>60</v>
      </c>
      <c r="CD31" s="10">
        <v>54721000</v>
      </c>
      <c r="CE31" s="36"/>
      <c r="CG31" s="7" t="s">
        <v>60</v>
      </c>
      <c r="CH31" s="10">
        <v>4017517837.4099998</v>
      </c>
      <c r="CI31" s="39"/>
      <c r="CK31" s="7" t="s">
        <v>60</v>
      </c>
      <c r="CL31" s="10">
        <v>3837488837.4099998</v>
      </c>
      <c r="CM31" s="39" t="str">
        <f>YEAR(CurrentMtgRatesDataTable871112131417[[#This Row],[asofdate]])&amp;"-"&amp;MONTH(CurrentMtgRatesDataTable871112131417[[#This Row],[asofdate]])</f>
        <v>2005-7</v>
      </c>
      <c r="CN31" s="39">
        <f>CurrentMtgRatesDataTable871112131417[[#This Row],[SeriesNumValue]]</f>
        <v>3837488837.4099998</v>
      </c>
      <c r="CO31" s="39">
        <f>VLOOKUP(CurrentMtgRatesDataTable871112131417[[#This Row],[asofdate]],BY:BZ,2,0)</f>
        <v>125308000</v>
      </c>
      <c r="CP31" s="35">
        <f>IF(VLOOKUP(CurrentMtgRatesDataTable871112131417[[#This Row],[asofdate]],CC:CD,2,0)&lt;&gt;0,VLOOKUP(CurrentMtgRatesDataTable871112131417[[#This Row],[asofdate]],CC:CD,2,0),CP30)</f>
        <v>54721000</v>
      </c>
      <c r="CQ31" s="35">
        <f>VLOOKUP(CurrentMtgRatesDataTable871112131417[[#This Row],[asofdate]],CG:CH,2,0)</f>
        <v>4017517837.4099998</v>
      </c>
    </row>
    <row r="32" spans="1:95" s="6" customFormat="1" ht="12.75">
      <c r="A32" s="7" t="s">
        <v>61</v>
      </c>
      <c r="B32" s="10">
        <v>1.9644279623908599E-2</v>
      </c>
      <c r="C32" s="10" t="str">
        <f>YEAR(CurrentMtgRatesDataTable8[[#This Row],[asofdate]])&amp;"-"&amp;MONTH(CurrentMtgRatesDataTable8[[#This Row],[asofdate]])</f>
        <v>2005-8</v>
      </c>
      <c r="D32" s="6">
        <f>((CurrentMtgRatesDataTable8[[#This Row],[SeriesNumValue]]-$D$1)/$D$1+1)*100</f>
        <v>130.96186415939067</v>
      </c>
      <c r="G32" s="7" t="s">
        <v>61</v>
      </c>
      <c r="H32" s="10">
        <v>79.8624128683972</v>
      </c>
      <c r="I32" s="26">
        <f>VLOOKUP(CurrentMtgRatesDataTable82[[#This Row],[asofdate]],K:L,2,0)</f>
        <v>0.214649589433586</v>
      </c>
      <c r="K32" s="7" t="s">
        <v>61</v>
      </c>
      <c r="L32" s="29">
        <v>0.214649589433586</v>
      </c>
      <c r="O32" s="7" t="s">
        <v>61</v>
      </c>
      <c r="P32" s="10">
        <v>35.077215179314997</v>
      </c>
      <c r="Q32" s="29">
        <f>VLOOKUP(CurrentMtgRatesDataTable84[[#This Row],[asofdate]],S:T,2,0)</f>
        <v>2.0740391863012599E-2</v>
      </c>
      <c r="S32" s="7" t="s">
        <v>61</v>
      </c>
      <c r="T32" s="10">
        <v>2.0740391863012599E-2</v>
      </c>
      <c r="W32" s="7" t="s">
        <v>61</v>
      </c>
      <c r="X32" s="10">
        <v>727.32930770411701</v>
      </c>
      <c r="Y32" s="26">
        <f>VLOOKUP(CurrentMtgRatesDataTable86[[#This Row],[asofdate]],AA:AB,2,0)</f>
        <v>0.30540869486486999</v>
      </c>
      <c r="AA32" s="7" t="s">
        <v>61</v>
      </c>
      <c r="AB32" s="10">
        <v>0.30540869486486999</v>
      </c>
      <c r="AE32" s="7" t="s">
        <v>15</v>
      </c>
      <c r="AF32" s="10">
        <v>1.4081346589350801E-2</v>
      </c>
      <c r="AG32" s="10" t="str">
        <f>YEAR(CurrentMtgRatesDataTable89[[#This Row],[asofdate]])&amp;"-"&amp;MONTH(CurrentMtgRatesDataTable89[[#This Row],[asofdate]])</f>
        <v>2013-4</v>
      </c>
      <c r="AH32" s="6">
        <f>((CurrentMtgRatesDataTable89[[#This Row],[SeriesNumValue]]-$D$1)/$D$1+1)*100</f>
        <v>93.875643929005335</v>
      </c>
      <c r="AI32" s="6">
        <f>CurrentMtgRatesDataTable89[[#This Row],[Index]]-AH33</f>
        <v>0.62633340059731779</v>
      </c>
      <c r="AJ32" s="6">
        <f>VLOOKUP(CurrentMtgRatesDataTable89[[#This Row],[asofdate]],G:H,2,0)</f>
        <v>81.199799681071894</v>
      </c>
      <c r="AK32" s="6">
        <f>VLOOKUP(CurrentMtgRatesDataTable89[[#This Row],[asofdate]],K:L,2,0)</f>
        <v>0.25702421178178703</v>
      </c>
      <c r="AL32" s="6">
        <f>VLOOKUP(CurrentMtgRatesDataTable89[[#This Row],[asofdate]],O:P,2,0)</f>
        <v>33.479006651971702</v>
      </c>
      <c r="AM32" s="6">
        <f>VLOOKUP(CurrentMtgRatesDataTable89[[#This Row],[asofdate]],S:T,2,0)</f>
        <v>0.26708469414027702</v>
      </c>
      <c r="AN32" s="6">
        <f>VLOOKUP(CurrentMtgRatesDataTable89[[#This Row],[asofdate]],W:X,2,0)</f>
        <v>758.50153581532902</v>
      </c>
      <c r="AO32" s="6">
        <f>VLOOKUP(CurrentMtgRatesDataTable89[[#This Row],[asofdate]],AA:AB,2,0)</f>
        <v>9.1597013504822702E-2</v>
      </c>
      <c r="AR32" s="7" t="s">
        <v>61</v>
      </c>
      <c r="AS32" s="10">
        <v>9.6079655045307605E-2</v>
      </c>
      <c r="AT32" s="36">
        <f>((CurrentMtgRatesDataTable8711[[#This Row],[SeriesNumValue]]-$D$1)/$D$1+1)*100</f>
        <v>640.53103363538412</v>
      </c>
      <c r="AU32" s="36"/>
      <c r="AW32" s="7" t="s">
        <v>61</v>
      </c>
      <c r="AX32" s="10">
        <v>8.0042668586271001E-2</v>
      </c>
      <c r="AY32" s="36">
        <f>((CurrentMtgRatesDataTable871112[[#This Row],[SeriesNumValue]]-$D$1)/$D$1+1)*100</f>
        <v>533.61779057514002</v>
      </c>
      <c r="AZ32" s="36"/>
      <c r="BB32" s="7" t="s">
        <v>61</v>
      </c>
      <c r="BC32" s="10">
        <v>2.0953525461249501E-2</v>
      </c>
      <c r="BD32" s="39">
        <f>((CurrentMtgRatesDataTable87111213[[#This Row],[SeriesNumValue]]-$D$1)/$D$1+1)*100</f>
        <v>139.69016974166334</v>
      </c>
      <c r="BE32" s="39"/>
      <c r="BG32" s="7" t="s">
        <v>61</v>
      </c>
      <c r="BH32" s="10">
        <v>1.9632918587673898E-2</v>
      </c>
      <c r="BI32" s="39">
        <f>((CurrentMtgRatesDataTable8711121314[[#This Row],[SeriesNumValue]]-$D$1)/$D$1+1)*100</f>
        <v>130.88612391782598</v>
      </c>
      <c r="BJ32" s="39" t="str">
        <f>YEAR(CurrentMtgRatesDataTable8711121314[[#This Row],[asofdate]])&amp;"-"&amp;MONTH(CurrentMtgRatesDataTable8711121314[[#This Row],[asofdate]])</f>
        <v>2005-8</v>
      </c>
      <c r="BK32" s="39">
        <f>CurrentMtgRatesDataTable8711121314[[#This Row],[SeriesNumValue]]</f>
        <v>1.9632918587673898E-2</v>
      </c>
      <c r="BL32" s="39">
        <f>VLOOKUP(CurrentMtgRatesDataTable8711121314[[#This Row],[asofdate]],AR:AT,2,0)</f>
        <v>9.6079655045307605E-2</v>
      </c>
      <c r="BM32" s="35">
        <f>IF(VLOOKUP(CurrentMtgRatesDataTable8711121314[[#This Row],[asofdate]],AW:AY,2,0)&lt;&gt;0,VLOOKUP(CurrentMtgRatesDataTable8711121314[[#This Row],[asofdate]],AW:AY,2,0),BM31)</f>
        <v>8.0042668586271001E-2</v>
      </c>
      <c r="BN32" s="35">
        <f>VLOOKUP(CurrentMtgRatesDataTable8711121314[[#This Row],[asofdate]],BB:BD,2,0)</f>
        <v>2.0953525461249501E-2</v>
      </c>
      <c r="BO32" s="35">
        <f>CurrentMtgRatesDataTable8711121314[[#This Row],[FHA]]+0.5*CurrentMtgRatesDataTable8711121314[[#This Row],[Conventional]]</f>
        <v>0.10589611433914456</v>
      </c>
      <c r="BP32" s="35">
        <f>2*CurrentMtgRatesDataTable8711121314[[#This Row],[FHA]]</f>
        <v>0.19215931009061521</v>
      </c>
      <c r="BQ32" s="11">
        <f>VLOOKUP(YEAR(CurrentMtgRatesDataTable8711121314[[#This Row],[asofdate]]),OriginationVolume!$A:$N,8,FALSE)</f>
        <v>0.39564428312159711</v>
      </c>
      <c r="BR32" s="11">
        <f>VLOOKUP(YEAR(CurrentMtgRatesDataTable8711121314[[#This Row],[asofdate]]),OriginationVolume!$A:$N,9,FALSE)</f>
        <v>8.1669691470054439E-3</v>
      </c>
      <c r="BS32" s="11">
        <f>VLOOKUP(YEAR(CurrentMtgRatesDataTable8711121314[[#This Row],[asofdate]]),OriginationVolume!$A:$N,10,FALSE)</f>
        <v>2.4500907441016333E-2</v>
      </c>
      <c r="BT32" s="11">
        <f>VLOOKUP(YEAR(CurrentMtgRatesDataTable8711121314[[#This Row],[asofdate]]),OriginationVolume!$A:$N,11,FALSE)</f>
        <v>0.20689655172413793</v>
      </c>
      <c r="BU32" s="11">
        <f>VLOOKUP(YEAR(CurrentMtgRatesDataTable8711121314[[#This Row],[asofdate]]),OriginationVolume!$A:$N,12,FALSE)</f>
        <v>0.13793103448275862</v>
      </c>
      <c r="BV32" s="11">
        <f>VLOOKUP(YEAR(CurrentMtgRatesDataTable8711121314[[#This Row],[asofdate]]),OriginationVolume!$A:$N,13,FALSE)</f>
        <v>0.22686025408348456</v>
      </c>
      <c r="BW32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7.3037050406460066E-2</v>
      </c>
      <c r="BY32" s="7" t="s">
        <v>61</v>
      </c>
      <c r="BZ32" s="10">
        <v>138053000</v>
      </c>
      <c r="CA32" s="36"/>
      <c r="CC32" s="7" t="s">
        <v>61</v>
      </c>
      <c r="CD32" s="10">
        <v>74842000</v>
      </c>
      <c r="CE32" s="36"/>
      <c r="CG32" s="7" t="s">
        <v>61</v>
      </c>
      <c r="CH32" s="10">
        <v>5295177663.5200005</v>
      </c>
      <c r="CI32" s="39"/>
      <c r="CK32" s="7" t="s">
        <v>61</v>
      </c>
      <c r="CL32" s="10">
        <v>5082282663.5200005</v>
      </c>
      <c r="CM32" s="39" t="str">
        <f>YEAR(CurrentMtgRatesDataTable871112131417[[#This Row],[asofdate]])&amp;"-"&amp;MONTH(CurrentMtgRatesDataTable871112131417[[#This Row],[asofdate]])</f>
        <v>2005-8</v>
      </c>
      <c r="CN32" s="39">
        <f>CurrentMtgRatesDataTable871112131417[[#This Row],[SeriesNumValue]]</f>
        <v>5082282663.5200005</v>
      </c>
      <c r="CO32" s="39">
        <f>VLOOKUP(CurrentMtgRatesDataTable871112131417[[#This Row],[asofdate]],BY:BZ,2,0)</f>
        <v>138053000</v>
      </c>
      <c r="CP32" s="35">
        <f>IF(VLOOKUP(CurrentMtgRatesDataTable871112131417[[#This Row],[asofdate]],CC:CD,2,0)&lt;&gt;0,VLOOKUP(CurrentMtgRatesDataTable871112131417[[#This Row],[asofdate]],CC:CD,2,0),CP31)</f>
        <v>74842000</v>
      </c>
      <c r="CQ32" s="35">
        <f>VLOOKUP(CurrentMtgRatesDataTable871112131417[[#This Row],[asofdate]],CG:CH,2,0)</f>
        <v>5295177663.5200005</v>
      </c>
    </row>
    <row r="33" spans="1:95" s="6" customFormat="1" ht="12.75">
      <c r="A33" s="7" t="s">
        <v>62</v>
      </c>
      <c r="B33" s="10">
        <v>1.8340270781847499E-2</v>
      </c>
      <c r="C33" s="10" t="str">
        <f>YEAR(CurrentMtgRatesDataTable8[[#This Row],[asofdate]])&amp;"-"&amp;MONTH(CurrentMtgRatesDataTable8[[#This Row],[asofdate]])</f>
        <v>2005-9</v>
      </c>
      <c r="D33" s="6">
        <f>((CurrentMtgRatesDataTable8[[#This Row],[SeriesNumValue]]-$D$1)/$D$1+1)*100</f>
        <v>122.26847187898333</v>
      </c>
      <c r="G33" s="7" t="s">
        <v>62</v>
      </c>
      <c r="H33" s="10">
        <v>79.800127622255999</v>
      </c>
      <c r="I33" s="26">
        <f>VLOOKUP(CurrentMtgRatesDataTable82[[#This Row],[asofdate]],K:L,2,0)</f>
        <v>0.20901707282761001</v>
      </c>
      <c r="K33" s="7" t="s">
        <v>62</v>
      </c>
      <c r="L33" s="29">
        <v>0.20901707282761001</v>
      </c>
      <c r="O33" s="7" t="s">
        <v>62</v>
      </c>
      <c r="P33" s="10">
        <v>35.1480749189747</v>
      </c>
      <c r="Q33" s="29">
        <f>VLOOKUP(CurrentMtgRatesDataTable84[[#This Row],[asofdate]],S:T,2,0)</f>
        <v>2.68399820380428E-2</v>
      </c>
      <c r="S33" s="7" t="s">
        <v>62</v>
      </c>
      <c r="T33" s="10">
        <v>2.68399820380428E-2</v>
      </c>
      <c r="W33" s="7" t="s">
        <v>62</v>
      </c>
      <c r="X33" s="10">
        <v>728.11888488396903</v>
      </c>
      <c r="Y33" s="26">
        <f>VLOOKUP(CurrentMtgRatesDataTable86[[#This Row],[asofdate]],AA:AB,2,0)</f>
        <v>0.29226453331797803</v>
      </c>
      <c r="AA33" s="7" t="s">
        <v>62</v>
      </c>
      <c r="AB33" s="10">
        <v>0.29226453331797803</v>
      </c>
      <c r="AE33" s="7" t="s">
        <v>19</v>
      </c>
      <c r="AF33" s="10">
        <v>1.3987396579261201E-2</v>
      </c>
      <c r="AG33" s="10" t="str">
        <f>YEAR(CurrentMtgRatesDataTable89[[#This Row],[asofdate]])&amp;"-"&amp;MONTH(CurrentMtgRatesDataTable89[[#This Row],[asofdate]])</f>
        <v>2013-3</v>
      </c>
      <c r="AH33" s="6">
        <f>((CurrentMtgRatesDataTable89[[#This Row],[SeriesNumValue]]-$D$1)/$D$1+1)*100</f>
        <v>93.249310528408017</v>
      </c>
      <c r="AI33" s="6">
        <f>CurrentMtgRatesDataTable89[[#This Row],[Index]]-AH34</f>
        <v>-0.95998772795798004</v>
      </c>
      <c r="AJ33" s="6">
        <f>VLOOKUP(CurrentMtgRatesDataTable89[[#This Row],[asofdate]],G:H,2,0)</f>
        <v>81.043675117375997</v>
      </c>
      <c r="AK33" s="6">
        <f>VLOOKUP(CurrentMtgRatesDataTable89[[#This Row],[asofdate]],K:L,2,0)</f>
        <v>0.24920567214137601</v>
      </c>
      <c r="AL33" s="6">
        <f>VLOOKUP(CurrentMtgRatesDataTable89[[#This Row],[asofdate]],O:P,2,0)</f>
        <v>33.429210541255898</v>
      </c>
      <c r="AM33" s="6">
        <f>VLOOKUP(CurrentMtgRatesDataTable89[[#This Row],[asofdate]],S:T,2,0)</f>
        <v>0.26777968249987799</v>
      </c>
      <c r="AN33" s="6">
        <f>VLOOKUP(CurrentMtgRatesDataTable89[[#This Row],[asofdate]],W:X,2,0)</f>
        <v>758.30996785926004</v>
      </c>
      <c r="AO33" s="6">
        <f>VLOOKUP(CurrentMtgRatesDataTable89[[#This Row],[asofdate]],AA:AB,2,0)</f>
        <v>9.6988005222013604E-2</v>
      </c>
      <c r="AR33" s="7" t="s">
        <v>62</v>
      </c>
      <c r="AS33" s="10">
        <v>8.5380791907585393E-2</v>
      </c>
      <c r="AT33" s="36">
        <f>((CurrentMtgRatesDataTable8711[[#This Row],[SeriesNumValue]]-$D$1)/$D$1+1)*100</f>
        <v>569.20527938390273</v>
      </c>
      <c r="AU33" s="36"/>
      <c r="AW33" s="7" t="s">
        <v>62</v>
      </c>
      <c r="AX33" s="10">
        <v>7.3908989895033E-2</v>
      </c>
      <c r="AY33" s="36">
        <f>((CurrentMtgRatesDataTable871112[[#This Row],[SeriesNumValue]]-$D$1)/$D$1+1)*100</f>
        <v>492.72659930021996</v>
      </c>
      <c r="AZ33" s="36"/>
      <c r="BB33" s="7" t="s">
        <v>62</v>
      </c>
      <c r="BC33" s="10">
        <v>1.9605186958939501E-2</v>
      </c>
      <c r="BD33" s="39">
        <f>((CurrentMtgRatesDataTable87111213[[#This Row],[SeriesNumValue]]-$D$1)/$D$1+1)*100</f>
        <v>130.70124639293002</v>
      </c>
      <c r="BE33" s="39"/>
      <c r="BG33" s="7" t="s">
        <v>62</v>
      </c>
      <c r="BH33" s="10">
        <v>1.8331825804747001E-2</v>
      </c>
      <c r="BI33" s="39">
        <f>((CurrentMtgRatesDataTable8711121314[[#This Row],[SeriesNumValue]]-$D$1)/$D$1+1)*100</f>
        <v>122.21217203164667</v>
      </c>
      <c r="BJ33" s="39" t="str">
        <f>YEAR(CurrentMtgRatesDataTable8711121314[[#This Row],[asofdate]])&amp;"-"&amp;MONTH(CurrentMtgRatesDataTable8711121314[[#This Row],[asofdate]])</f>
        <v>2005-9</v>
      </c>
      <c r="BK33" s="39">
        <f>CurrentMtgRatesDataTable8711121314[[#This Row],[SeriesNumValue]]</f>
        <v>1.8331825804747001E-2</v>
      </c>
      <c r="BL33" s="39">
        <f>VLOOKUP(CurrentMtgRatesDataTable8711121314[[#This Row],[asofdate]],AR:AT,2,0)</f>
        <v>8.5380791907585393E-2</v>
      </c>
      <c r="BM33" s="35">
        <f>IF(VLOOKUP(CurrentMtgRatesDataTable8711121314[[#This Row],[asofdate]],AW:AY,2,0)&lt;&gt;0,VLOOKUP(CurrentMtgRatesDataTable8711121314[[#This Row],[asofdate]],AW:AY,2,0),BM32)</f>
        <v>7.3908989895033E-2</v>
      </c>
      <c r="BN33" s="35">
        <f>VLOOKUP(CurrentMtgRatesDataTable8711121314[[#This Row],[asofdate]],BB:BD,2,0)</f>
        <v>1.9605186958939501E-2</v>
      </c>
      <c r="BO33" s="35">
        <f>CurrentMtgRatesDataTable8711121314[[#This Row],[FHA]]+0.5*CurrentMtgRatesDataTable8711121314[[#This Row],[Conventional]]</f>
        <v>9.4546704809958887E-2</v>
      </c>
      <c r="BP33" s="35">
        <f>2*CurrentMtgRatesDataTable8711121314[[#This Row],[FHA]]</f>
        <v>0.17076158381517079</v>
      </c>
      <c r="BQ33" s="11">
        <f>VLOOKUP(YEAR(CurrentMtgRatesDataTable8711121314[[#This Row],[asofdate]]),OriginationVolume!$A:$N,8,FALSE)</f>
        <v>0.39564428312159711</v>
      </c>
      <c r="BR33" s="11">
        <f>VLOOKUP(YEAR(CurrentMtgRatesDataTable8711121314[[#This Row],[asofdate]]),OriginationVolume!$A:$N,9,FALSE)</f>
        <v>8.1669691470054439E-3</v>
      </c>
      <c r="BS33" s="11">
        <f>VLOOKUP(YEAR(CurrentMtgRatesDataTable8711121314[[#This Row],[asofdate]]),OriginationVolume!$A:$N,10,FALSE)</f>
        <v>2.4500907441016333E-2</v>
      </c>
      <c r="BT33" s="11">
        <f>VLOOKUP(YEAR(CurrentMtgRatesDataTable8711121314[[#This Row],[asofdate]]),OriginationVolume!$A:$N,11,FALSE)</f>
        <v>0.20689655172413793</v>
      </c>
      <c r="BU33" s="11">
        <f>VLOOKUP(YEAR(CurrentMtgRatesDataTable8711121314[[#This Row],[asofdate]]),OriginationVolume!$A:$N,12,FALSE)</f>
        <v>0.13793103448275862</v>
      </c>
      <c r="BV33" s="11">
        <f>VLOOKUP(YEAR(CurrentMtgRatesDataTable8711121314[[#This Row],[asofdate]]),OriginationVolume!$A:$N,13,FALSE)</f>
        <v>0.22686025408348456</v>
      </c>
      <c r="BW33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6.5521134037947876E-2</v>
      </c>
      <c r="BY33" s="7" t="s">
        <v>62</v>
      </c>
      <c r="BZ33" s="10">
        <v>134189000</v>
      </c>
      <c r="CA33" s="36"/>
      <c r="CC33" s="7" t="s">
        <v>62</v>
      </c>
      <c r="CD33" s="10">
        <v>80936000</v>
      </c>
      <c r="CE33" s="36"/>
      <c r="CG33" s="7" t="s">
        <v>62</v>
      </c>
      <c r="CH33" s="10">
        <v>4998945666.0500002</v>
      </c>
      <c r="CI33" s="39"/>
      <c r="CK33" s="7" t="s">
        <v>62</v>
      </c>
      <c r="CL33" s="10">
        <v>4783820666.0500002</v>
      </c>
      <c r="CM33" s="39" t="str">
        <f>YEAR(CurrentMtgRatesDataTable871112131417[[#This Row],[asofdate]])&amp;"-"&amp;MONTH(CurrentMtgRatesDataTable871112131417[[#This Row],[asofdate]])</f>
        <v>2005-9</v>
      </c>
      <c r="CN33" s="39">
        <f>CurrentMtgRatesDataTable871112131417[[#This Row],[SeriesNumValue]]</f>
        <v>4783820666.0500002</v>
      </c>
      <c r="CO33" s="39">
        <f>VLOOKUP(CurrentMtgRatesDataTable871112131417[[#This Row],[asofdate]],BY:BZ,2,0)</f>
        <v>134189000</v>
      </c>
      <c r="CP33" s="35">
        <f>IF(VLOOKUP(CurrentMtgRatesDataTable871112131417[[#This Row],[asofdate]],CC:CD,2,0)&lt;&gt;0,VLOOKUP(CurrentMtgRatesDataTable871112131417[[#This Row],[asofdate]],CC:CD,2,0),CP32)</f>
        <v>80936000</v>
      </c>
      <c r="CQ33" s="35">
        <f>VLOOKUP(CurrentMtgRatesDataTable871112131417[[#This Row],[asofdate]],CG:CH,2,0)</f>
        <v>4998945666.0500002</v>
      </c>
    </row>
    <row r="34" spans="1:95" s="6" customFormat="1" ht="12.75">
      <c r="A34" s="7" t="s">
        <v>63</v>
      </c>
      <c r="B34" s="10">
        <v>1.89834805820751E-2</v>
      </c>
      <c r="C34" s="10" t="str">
        <f>YEAR(CurrentMtgRatesDataTable8[[#This Row],[asofdate]])&amp;"-"&amp;MONTH(CurrentMtgRatesDataTable8[[#This Row],[asofdate]])</f>
        <v>2005-10</v>
      </c>
      <c r="D34" s="6">
        <f>((CurrentMtgRatesDataTable8[[#This Row],[SeriesNumValue]]-$D$1)/$D$1+1)*100</f>
        <v>126.55653721383402</v>
      </c>
      <c r="G34" s="7" t="s">
        <v>63</v>
      </c>
      <c r="H34" s="10">
        <v>79.923493325865195</v>
      </c>
      <c r="I34" s="26">
        <f>VLOOKUP(CurrentMtgRatesDataTable82[[#This Row],[asofdate]],K:L,2,0)</f>
        <v>0.21644067259883701</v>
      </c>
      <c r="K34" s="7" t="s">
        <v>63</v>
      </c>
      <c r="L34" s="29">
        <v>0.21644067259883701</v>
      </c>
      <c r="O34" s="7" t="s">
        <v>63</v>
      </c>
      <c r="P34" s="10">
        <v>36.383653975406801</v>
      </c>
      <c r="Q34" s="29">
        <f>VLOOKUP(CurrentMtgRatesDataTable84[[#This Row],[asofdate]],S:T,2,0)</f>
        <v>4.7987353312741503E-2</v>
      </c>
      <c r="S34" s="7" t="s">
        <v>63</v>
      </c>
      <c r="T34" s="10">
        <v>4.7987353312741503E-2</v>
      </c>
      <c r="W34" s="7" t="s">
        <v>63</v>
      </c>
      <c r="X34" s="10">
        <v>726.92812366023202</v>
      </c>
      <c r="Y34" s="26">
        <f>VLOOKUP(CurrentMtgRatesDataTable86[[#This Row],[asofdate]],AA:AB,2,0)</f>
        <v>0.307866686997112</v>
      </c>
      <c r="AA34" s="7" t="s">
        <v>63</v>
      </c>
      <c r="AB34" s="10">
        <v>0.307866686997112</v>
      </c>
      <c r="AE34" s="7" t="s">
        <v>18</v>
      </c>
      <c r="AF34" s="10">
        <v>1.41313947384549E-2</v>
      </c>
      <c r="AG34" s="10" t="str">
        <f>YEAR(CurrentMtgRatesDataTable89[[#This Row],[asofdate]])&amp;"-"&amp;MONTH(CurrentMtgRatesDataTable89[[#This Row],[asofdate]])</f>
        <v>2013-2</v>
      </c>
      <c r="AH34" s="6">
        <f>((CurrentMtgRatesDataTable89[[#This Row],[SeriesNumValue]]-$D$1)/$D$1+1)*100</f>
        <v>94.209298256365997</v>
      </c>
      <c r="AI34" s="6">
        <f>CurrentMtgRatesDataTable89[[#This Row],[Index]]-AH35</f>
        <v>-1.3583861412720069</v>
      </c>
      <c r="AJ34" s="6">
        <f>VLOOKUP(CurrentMtgRatesDataTable89[[#This Row],[asofdate]],G:H,2,0)</f>
        <v>80.800079255792397</v>
      </c>
      <c r="AK34" s="6">
        <f>VLOOKUP(CurrentMtgRatesDataTable89[[#This Row],[asofdate]],K:L,2,0)</f>
        <v>0.248337726838911</v>
      </c>
      <c r="AL34" s="6">
        <f>VLOOKUP(CurrentMtgRatesDataTable89[[#This Row],[asofdate]],O:P,2,0)</f>
        <v>33.236988614541303</v>
      </c>
      <c r="AM34" s="6">
        <f>VLOOKUP(CurrentMtgRatesDataTable89[[#This Row],[asofdate]],S:T,2,0)</f>
        <v>0.26462985808078898</v>
      </c>
      <c r="AN34" s="6">
        <f>VLOOKUP(CurrentMtgRatesDataTable89[[#This Row],[asofdate]],W:X,2,0)</f>
        <v>758.83203277396206</v>
      </c>
      <c r="AO34" s="6">
        <f>VLOOKUP(CurrentMtgRatesDataTable89[[#This Row],[asofdate]],AA:AB,2,0)</f>
        <v>9.5024813225718804E-2</v>
      </c>
      <c r="AR34" s="7" t="s">
        <v>63</v>
      </c>
      <c r="AS34" s="10">
        <v>9.0218440732812502E-2</v>
      </c>
      <c r="AT34" s="36">
        <f>((CurrentMtgRatesDataTable8711[[#This Row],[SeriesNumValue]]-$D$1)/$D$1+1)*100</f>
        <v>601.45627155208331</v>
      </c>
      <c r="AU34" s="36"/>
      <c r="AW34" s="7" t="s">
        <v>63</v>
      </c>
      <c r="AX34" s="10">
        <v>7.7491922918333095E-2</v>
      </c>
      <c r="AY34" s="36">
        <f>((CurrentMtgRatesDataTable871112[[#This Row],[SeriesNumValue]]-$D$1)/$D$1+1)*100</f>
        <v>516.61281945555402</v>
      </c>
      <c r="AZ34" s="36"/>
      <c r="BB34" s="7" t="s">
        <v>63</v>
      </c>
      <c r="BC34" s="10">
        <v>2.01721106038079E-2</v>
      </c>
      <c r="BD34" s="39">
        <f>((CurrentMtgRatesDataTable87111213[[#This Row],[SeriesNumValue]]-$D$1)/$D$1+1)*100</f>
        <v>134.48073735871935</v>
      </c>
      <c r="BE34" s="39"/>
      <c r="BG34" s="7" t="s">
        <v>63</v>
      </c>
      <c r="BH34" s="10">
        <v>1.8906432407664899E-2</v>
      </c>
      <c r="BI34" s="39">
        <f>((CurrentMtgRatesDataTable8711121314[[#This Row],[SeriesNumValue]]-$D$1)/$D$1+1)*100</f>
        <v>126.04288271776601</v>
      </c>
      <c r="BJ34" s="39" t="str">
        <f>YEAR(CurrentMtgRatesDataTable8711121314[[#This Row],[asofdate]])&amp;"-"&amp;MONTH(CurrentMtgRatesDataTable8711121314[[#This Row],[asofdate]])</f>
        <v>2005-10</v>
      </c>
      <c r="BK34" s="39">
        <f>CurrentMtgRatesDataTable8711121314[[#This Row],[SeriesNumValue]]</f>
        <v>1.8906432407664899E-2</v>
      </c>
      <c r="BL34" s="39">
        <f>VLOOKUP(CurrentMtgRatesDataTable8711121314[[#This Row],[asofdate]],AR:AT,2,0)</f>
        <v>9.0218440732812502E-2</v>
      </c>
      <c r="BM34" s="35">
        <f>IF(VLOOKUP(CurrentMtgRatesDataTable8711121314[[#This Row],[asofdate]],AW:AY,2,0)&lt;&gt;0,VLOOKUP(CurrentMtgRatesDataTable8711121314[[#This Row],[asofdate]],AW:AY,2,0),BM33)</f>
        <v>7.7491922918333095E-2</v>
      </c>
      <c r="BN34" s="35">
        <f>VLOOKUP(CurrentMtgRatesDataTable8711121314[[#This Row],[asofdate]],BB:BD,2,0)</f>
        <v>2.01721106038079E-2</v>
      </c>
      <c r="BO34" s="35">
        <f>CurrentMtgRatesDataTable8711121314[[#This Row],[FHA]]+0.5*CurrentMtgRatesDataTable8711121314[[#This Row],[Conventional]]</f>
        <v>9.9671656936644953E-2</v>
      </c>
      <c r="BP34" s="35">
        <f>2*CurrentMtgRatesDataTable8711121314[[#This Row],[FHA]]</f>
        <v>0.180436881465625</v>
      </c>
      <c r="BQ34" s="11">
        <f>VLOOKUP(YEAR(CurrentMtgRatesDataTable8711121314[[#This Row],[asofdate]]),OriginationVolume!$A:$N,8,FALSE)</f>
        <v>0.39564428312159711</v>
      </c>
      <c r="BR34" s="11">
        <f>VLOOKUP(YEAR(CurrentMtgRatesDataTable8711121314[[#This Row],[asofdate]]),OriginationVolume!$A:$N,9,FALSE)</f>
        <v>8.1669691470054439E-3</v>
      </c>
      <c r="BS34" s="11">
        <f>VLOOKUP(YEAR(CurrentMtgRatesDataTable8711121314[[#This Row],[asofdate]]),OriginationVolume!$A:$N,10,FALSE)</f>
        <v>2.4500907441016333E-2</v>
      </c>
      <c r="BT34" s="11">
        <f>VLOOKUP(YEAR(CurrentMtgRatesDataTable8711121314[[#This Row],[asofdate]]),OriginationVolume!$A:$N,11,FALSE)</f>
        <v>0.20689655172413793</v>
      </c>
      <c r="BU34" s="11">
        <f>VLOOKUP(YEAR(CurrentMtgRatesDataTable8711121314[[#This Row],[asofdate]]),OriginationVolume!$A:$N,12,FALSE)</f>
        <v>0.13793103448275862</v>
      </c>
      <c r="BV34" s="11">
        <f>VLOOKUP(YEAR(CurrentMtgRatesDataTable8711121314[[#This Row],[asofdate]]),OriginationVolume!$A:$N,13,FALSE)</f>
        <v>0.22686025408348456</v>
      </c>
      <c r="BW34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6.8916976901557819E-2</v>
      </c>
      <c r="BY34" s="7" t="s">
        <v>63</v>
      </c>
      <c r="BZ34" s="10">
        <v>140699000</v>
      </c>
      <c r="CA34" s="36"/>
      <c r="CC34" s="7" t="s">
        <v>63</v>
      </c>
      <c r="CD34" s="10">
        <v>74887000</v>
      </c>
      <c r="CE34" s="36"/>
      <c r="CG34" s="7" t="s">
        <v>63</v>
      </c>
      <c r="CH34" s="10">
        <v>5323357137.1700001</v>
      </c>
      <c r="CI34" s="39"/>
      <c r="CK34" s="7" t="s">
        <v>63</v>
      </c>
      <c r="CL34" s="10">
        <v>5107771137.1700001</v>
      </c>
      <c r="CM34" s="39" t="str">
        <f>YEAR(CurrentMtgRatesDataTable871112131417[[#This Row],[asofdate]])&amp;"-"&amp;MONTH(CurrentMtgRatesDataTable871112131417[[#This Row],[asofdate]])</f>
        <v>2005-10</v>
      </c>
      <c r="CN34" s="39">
        <f>CurrentMtgRatesDataTable871112131417[[#This Row],[SeriesNumValue]]</f>
        <v>5107771137.1700001</v>
      </c>
      <c r="CO34" s="39">
        <f>VLOOKUP(CurrentMtgRatesDataTable871112131417[[#This Row],[asofdate]],BY:BZ,2,0)</f>
        <v>140699000</v>
      </c>
      <c r="CP34" s="35">
        <f>IF(VLOOKUP(CurrentMtgRatesDataTable871112131417[[#This Row],[asofdate]],CC:CD,2,0)&lt;&gt;0,VLOOKUP(CurrentMtgRatesDataTable871112131417[[#This Row],[asofdate]],CC:CD,2,0),CP33)</f>
        <v>74887000</v>
      </c>
      <c r="CQ34" s="35">
        <f>VLOOKUP(CurrentMtgRatesDataTable871112131417[[#This Row],[asofdate]],CG:CH,2,0)</f>
        <v>5323357137.1700001</v>
      </c>
    </row>
    <row r="35" spans="1:95" s="6" customFormat="1" ht="12.75">
      <c r="A35" s="7" t="s">
        <v>64</v>
      </c>
      <c r="B35" s="10">
        <v>1.8192428877670801E-2</v>
      </c>
      <c r="C35" s="10" t="str">
        <f>YEAR(CurrentMtgRatesDataTable8[[#This Row],[asofdate]])&amp;"-"&amp;MONTH(CurrentMtgRatesDataTable8[[#This Row],[asofdate]])</f>
        <v>2005-11</v>
      </c>
      <c r="D35" s="6">
        <f>((CurrentMtgRatesDataTable8[[#This Row],[SeriesNumValue]]-$D$1)/$D$1+1)*100</f>
        <v>121.28285918447202</v>
      </c>
      <c r="G35" s="7" t="s">
        <v>64</v>
      </c>
      <c r="H35" s="10">
        <v>79.707877334763694</v>
      </c>
      <c r="I35" s="26">
        <f>VLOOKUP(CurrentMtgRatesDataTable82[[#This Row],[asofdate]],K:L,2,0)</f>
        <v>0.20403530410173701</v>
      </c>
      <c r="K35" s="7" t="s">
        <v>64</v>
      </c>
      <c r="L35" s="29">
        <v>0.20403530410173701</v>
      </c>
      <c r="O35" s="7" t="s">
        <v>64</v>
      </c>
      <c r="P35" s="10">
        <v>37.292560707621398</v>
      </c>
      <c r="Q35" s="29">
        <f>VLOOKUP(CurrentMtgRatesDataTable84[[#This Row],[asofdate]],S:T,2,0)</f>
        <v>9.4940112137955404E-2</v>
      </c>
      <c r="S35" s="7" t="s">
        <v>64</v>
      </c>
      <c r="T35" s="10">
        <v>9.4940112137955404E-2</v>
      </c>
      <c r="W35" s="7" t="s">
        <v>64</v>
      </c>
      <c r="X35" s="10">
        <v>728.31425128392505</v>
      </c>
      <c r="Y35" s="26">
        <f>VLOOKUP(CurrentMtgRatesDataTable86[[#This Row],[asofdate]],AA:AB,2,0)</f>
        <v>0.29282399528074898</v>
      </c>
      <c r="AA35" s="7" t="s">
        <v>64</v>
      </c>
      <c r="AB35" s="10">
        <v>0.29282399528074898</v>
      </c>
      <c r="AE35" s="7" t="s">
        <v>145</v>
      </c>
      <c r="AF35" s="10">
        <v>1.4335152659645699E-2</v>
      </c>
      <c r="AG35" s="10" t="str">
        <f>YEAR(CurrentMtgRatesDataTable89[[#This Row],[asofdate]])&amp;"-"&amp;MONTH(CurrentMtgRatesDataTable89[[#This Row],[asofdate]])</f>
        <v>2013-1</v>
      </c>
      <c r="AH35" s="6">
        <f>((CurrentMtgRatesDataTable89[[#This Row],[SeriesNumValue]]-$D$1)/$D$1+1)*100</f>
        <v>95.567684397638004</v>
      </c>
      <c r="AI35" s="6">
        <f>CurrentMtgRatesDataTable89[[#This Row],[Index]]-AH36</f>
        <v>-1.3771112399953438</v>
      </c>
      <c r="AJ35" s="6">
        <f>VLOOKUP(CurrentMtgRatesDataTable89[[#This Row],[asofdate]],G:H,2,0)</f>
        <v>80.9254459604293</v>
      </c>
      <c r="AK35" s="6">
        <f>VLOOKUP(CurrentMtgRatesDataTable89[[#This Row],[asofdate]],K:L,2,0)</f>
        <v>0.24750843494761501</v>
      </c>
      <c r="AL35" s="6">
        <f>VLOOKUP(CurrentMtgRatesDataTable89[[#This Row],[asofdate]],O:P,2,0)</f>
        <v>33.1249469903779</v>
      </c>
      <c r="AM35" s="6">
        <f>VLOOKUP(CurrentMtgRatesDataTable89[[#This Row],[asofdate]],S:T,2,0)</f>
        <v>0.255612831060195</v>
      </c>
      <c r="AN35" s="6">
        <f>VLOOKUP(CurrentMtgRatesDataTable89[[#This Row],[asofdate]],W:X,2,0)</f>
        <v>759.65139395201004</v>
      </c>
      <c r="AO35" s="6">
        <f>VLOOKUP(CurrentMtgRatesDataTable89[[#This Row],[asofdate]],AA:AB,2,0)</f>
        <v>8.7851184039050303E-2</v>
      </c>
      <c r="AR35" s="7" t="s">
        <v>64</v>
      </c>
      <c r="AS35" s="10">
        <v>9.2285525328509796E-2</v>
      </c>
      <c r="AT35" s="36">
        <f>((CurrentMtgRatesDataTable8711[[#This Row],[SeriesNumValue]]-$D$1)/$D$1+1)*100</f>
        <v>615.23683552339867</v>
      </c>
      <c r="AU35" s="36"/>
      <c r="AW35" s="7" t="s">
        <v>64</v>
      </c>
      <c r="AX35" s="10">
        <v>7.1121707446048593E-2</v>
      </c>
      <c r="AY35" s="36">
        <f>((CurrentMtgRatesDataTable871112[[#This Row],[SeriesNumValue]]-$D$1)/$D$1+1)*100</f>
        <v>474.14471630699069</v>
      </c>
      <c r="AZ35" s="36"/>
      <c r="BB35" s="7" t="s">
        <v>64</v>
      </c>
      <c r="BC35" s="10">
        <v>1.9570266945903199E-2</v>
      </c>
      <c r="BD35" s="39">
        <f>((CurrentMtgRatesDataTable87111213[[#This Row],[SeriesNumValue]]-$D$1)/$D$1+1)*100</f>
        <v>130.46844630602132</v>
      </c>
      <c r="BE35" s="39"/>
      <c r="BG35" s="7" t="s">
        <v>64</v>
      </c>
      <c r="BH35" s="10">
        <v>1.8669000371853501E-2</v>
      </c>
      <c r="BI35" s="39">
        <f>((CurrentMtgRatesDataTable8711121314[[#This Row],[SeriesNumValue]]-$D$1)/$D$1+1)*100</f>
        <v>124.46000247902333</v>
      </c>
      <c r="BJ35" s="39" t="str">
        <f>YEAR(CurrentMtgRatesDataTable8711121314[[#This Row],[asofdate]])&amp;"-"&amp;MONTH(CurrentMtgRatesDataTable8711121314[[#This Row],[asofdate]])</f>
        <v>2005-11</v>
      </c>
      <c r="BK35" s="39">
        <f>CurrentMtgRatesDataTable8711121314[[#This Row],[SeriesNumValue]]</f>
        <v>1.8669000371853501E-2</v>
      </c>
      <c r="BL35" s="39">
        <f>VLOOKUP(CurrentMtgRatesDataTable8711121314[[#This Row],[asofdate]],AR:AT,2,0)</f>
        <v>9.2285525328509796E-2</v>
      </c>
      <c r="BM35" s="35">
        <f>IF(VLOOKUP(CurrentMtgRatesDataTable8711121314[[#This Row],[asofdate]],AW:AY,2,0)&lt;&gt;0,VLOOKUP(CurrentMtgRatesDataTable8711121314[[#This Row],[asofdate]],AW:AY,2,0),BM34)</f>
        <v>7.1121707446048593E-2</v>
      </c>
      <c r="BN35" s="35">
        <f>VLOOKUP(CurrentMtgRatesDataTable8711121314[[#This Row],[asofdate]],BB:BD,2,0)</f>
        <v>1.9570266945903199E-2</v>
      </c>
      <c r="BO35" s="35">
        <f>CurrentMtgRatesDataTable8711121314[[#This Row],[FHA]]+0.5*CurrentMtgRatesDataTable8711121314[[#This Row],[Conventional]]</f>
        <v>0.10162002551443655</v>
      </c>
      <c r="BP35" s="35">
        <f>2*CurrentMtgRatesDataTable8711121314[[#This Row],[FHA]]</f>
        <v>0.18457105065701959</v>
      </c>
      <c r="BQ35" s="11">
        <f>VLOOKUP(YEAR(CurrentMtgRatesDataTable8711121314[[#This Row],[asofdate]]),OriginationVolume!$A:$N,8,FALSE)</f>
        <v>0.39564428312159711</v>
      </c>
      <c r="BR35" s="11">
        <f>VLOOKUP(YEAR(CurrentMtgRatesDataTable8711121314[[#This Row],[asofdate]]),OriginationVolume!$A:$N,9,FALSE)</f>
        <v>8.1669691470054439E-3</v>
      </c>
      <c r="BS35" s="11">
        <f>VLOOKUP(YEAR(CurrentMtgRatesDataTable8711121314[[#This Row],[asofdate]]),OriginationVolume!$A:$N,10,FALSE)</f>
        <v>2.4500907441016333E-2</v>
      </c>
      <c r="BT35" s="11">
        <f>VLOOKUP(YEAR(CurrentMtgRatesDataTable8711121314[[#This Row],[asofdate]]),OriginationVolume!$A:$N,11,FALSE)</f>
        <v>0.20689655172413793</v>
      </c>
      <c r="BU35" s="11">
        <f>VLOOKUP(YEAR(CurrentMtgRatesDataTable8711121314[[#This Row],[asofdate]]),OriginationVolume!$A:$N,12,FALSE)</f>
        <v>0.13793103448275862</v>
      </c>
      <c r="BV35" s="11">
        <f>VLOOKUP(YEAR(CurrentMtgRatesDataTable8711121314[[#This Row],[asofdate]]),OriginationVolume!$A:$N,13,FALSE)</f>
        <v>0.22686025408348456</v>
      </c>
      <c r="BW35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6.9979153666283281E-2</v>
      </c>
      <c r="BY35" s="7" t="s">
        <v>64</v>
      </c>
      <c r="BZ35" s="10">
        <v>111864000</v>
      </c>
      <c r="CA35" s="36"/>
      <c r="CC35" s="7" t="s">
        <v>64</v>
      </c>
      <c r="CD35" s="10">
        <v>44157000</v>
      </c>
      <c r="CE35" s="36"/>
      <c r="CG35" s="7" t="s">
        <v>64</v>
      </c>
      <c r="CH35" s="10">
        <v>5425801851.6700001</v>
      </c>
      <c r="CI35" s="39"/>
      <c r="CK35" s="7" t="s">
        <v>64</v>
      </c>
      <c r="CL35" s="10">
        <v>5269780851.6700001</v>
      </c>
      <c r="CM35" s="39" t="str">
        <f>YEAR(CurrentMtgRatesDataTable871112131417[[#This Row],[asofdate]])&amp;"-"&amp;MONTH(CurrentMtgRatesDataTable871112131417[[#This Row],[asofdate]])</f>
        <v>2005-11</v>
      </c>
      <c r="CN35" s="39">
        <f>CurrentMtgRatesDataTable871112131417[[#This Row],[SeriesNumValue]]</f>
        <v>5269780851.6700001</v>
      </c>
      <c r="CO35" s="39">
        <f>VLOOKUP(CurrentMtgRatesDataTable871112131417[[#This Row],[asofdate]],BY:BZ,2,0)</f>
        <v>111864000</v>
      </c>
      <c r="CP35" s="35">
        <f>IF(VLOOKUP(CurrentMtgRatesDataTable871112131417[[#This Row],[asofdate]],CC:CD,2,0)&lt;&gt;0,VLOOKUP(CurrentMtgRatesDataTable871112131417[[#This Row],[asofdate]],CC:CD,2,0),CP34)</f>
        <v>44157000</v>
      </c>
      <c r="CQ35" s="35">
        <f>VLOOKUP(CurrentMtgRatesDataTable871112131417[[#This Row],[asofdate]],CG:CH,2,0)</f>
        <v>5425801851.6700001</v>
      </c>
    </row>
    <row r="36" spans="1:95" s="6" customFormat="1" ht="12.75">
      <c r="A36" s="7" t="s">
        <v>65</v>
      </c>
      <c r="B36" s="10">
        <v>1.5205150193068E-2</v>
      </c>
      <c r="C36" s="10" t="str">
        <f>YEAR(CurrentMtgRatesDataTable8[[#This Row],[asofdate]])&amp;"-"&amp;MONTH(CurrentMtgRatesDataTable8[[#This Row],[asofdate]])</f>
        <v>2005-12</v>
      </c>
      <c r="D36" s="6">
        <f>((CurrentMtgRatesDataTable8[[#This Row],[SeriesNumValue]]-$D$1)/$D$1+1)*100</f>
        <v>101.36766795378666</v>
      </c>
      <c r="G36" s="7" t="s">
        <v>65</v>
      </c>
      <c r="H36" s="10">
        <v>78.7208769661856</v>
      </c>
      <c r="I36" s="26">
        <f>VLOOKUP(CurrentMtgRatesDataTable82[[#This Row],[asofdate]],K:L,2,0)</f>
        <v>0.174025887847987</v>
      </c>
      <c r="K36" s="7" t="s">
        <v>65</v>
      </c>
      <c r="L36" s="29">
        <v>0.174025887847987</v>
      </c>
      <c r="O36" s="7" t="s">
        <v>65</v>
      </c>
      <c r="P36" s="10">
        <v>37.331752401609997</v>
      </c>
      <c r="Q36" s="29">
        <f>VLOOKUP(CurrentMtgRatesDataTable84[[#This Row],[asofdate]],S:T,2,0)</f>
        <v>0.20745068367851</v>
      </c>
      <c r="S36" s="7" t="s">
        <v>65</v>
      </c>
      <c r="T36" s="10">
        <v>0.20745068367851</v>
      </c>
      <c r="W36" s="7" t="s">
        <v>65</v>
      </c>
      <c r="X36" s="10">
        <v>730.26522367447501</v>
      </c>
      <c r="Y36" s="26">
        <f>VLOOKUP(CurrentMtgRatesDataTable86[[#This Row],[asofdate]],AA:AB,2,0)</f>
        <v>0.28542044215849499</v>
      </c>
      <c r="AA36" s="7" t="s">
        <v>65</v>
      </c>
      <c r="AB36" s="10">
        <v>0.28542044215849499</v>
      </c>
      <c r="AE36" s="7" t="s">
        <v>144</v>
      </c>
      <c r="AF36" s="10">
        <v>1.4541719345645E-2</v>
      </c>
      <c r="AG36" s="10" t="str">
        <f>YEAR(CurrentMtgRatesDataTable89[[#This Row],[asofdate]])&amp;"-"&amp;MONTH(CurrentMtgRatesDataTable89[[#This Row],[asofdate]])</f>
        <v>2012-12</v>
      </c>
      <c r="AH36" s="6">
        <f>((CurrentMtgRatesDataTable89[[#This Row],[SeriesNumValue]]-$D$1)/$D$1+1)*100</f>
        <v>96.944795637633348</v>
      </c>
      <c r="AI36" s="6">
        <f>CurrentMtgRatesDataTable89[[#This Row],[Index]]-AH37</f>
        <v>-0.78846576044465166</v>
      </c>
      <c r="AJ36" s="6">
        <f>VLOOKUP(CurrentMtgRatesDataTable89[[#This Row],[asofdate]],G:H,2,0)</f>
        <v>80.865784595501793</v>
      </c>
      <c r="AK36" s="6">
        <f>VLOOKUP(CurrentMtgRatesDataTable89[[#This Row],[asofdate]],K:L,2,0)</f>
        <v>0.245636407958499</v>
      </c>
      <c r="AL36" s="6">
        <f>VLOOKUP(CurrentMtgRatesDataTable89[[#This Row],[asofdate]],O:P,2,0)</f>
        <v>33.076526998952403</v>
      </c>
      <c r="AM36" s="6">
        <f>VLOOKUP(CurrentMtgRatesDataTable89[[#This Row],[asofdate]],S:T,2,0)</f>
        <v>0.25543495238191299</v>
      </c>
      <c r="AN36" s="6">
        <f>VLOOKUP(CurrentMtgRatesDataTable89[[#This Row],[asofdate]],W:X,2,0)</f>
        <v>759.90495172723502</v>
      </c>
      <c r="AO36" s="6">
        <f>VLOOKUP(CurrentMtgRatesDataTable89[[#This Row],[asofdate]],AA:AB,2,0)</f>
        <v>8.9195476981251895E-2</v>
      </c>
      <c r="AR36" s="7" t="s">
        <v>65</v>
      </c>
      <c r="AS36" s="10">
        <v>8.2108794617635802E-2</v>
      </c>
      <c r="AT36" s="36">
        <f>((CurrentMtgRatesDataTable8711[[#This Row],[SeriesNumValue]]-$D$1)/$D$1+1)*100</f>
        <v>547.391964117572</v>
      </c>
      <c r="AU36" s="36"/>
      <c r="AW36" s="7" t="s">
        <v>65</v>
      </c>
      <c r="AX36" s="10">
        <v>7.8070969779932997E-2</v>
      </c>
      <c r="AY36" s="36">
        <f>((CurrentMtgRatesDataTable871112[[#This Row],[SeriesNumValue]]-$D$1)/$D$1+1)*100</f>
        <v>520.47313186622</v>
      </c>
      <c r="AZ36" s="36"/>
      <c r="BB36" s="7" t="s">
        <v>65</v>
      </c>
      <c r="BC36" s="10">
        <v>1.6562802307108701E-2</v>
      </c>
      <c r="BD36" s="39">
        <f>((CurrentMtgRatesDataTable87111213[[#This Row],[SeriesNumValue]]-$D$1)/$D$1+1)*100</f>
        <v>110.41868204739134</v>
      </c>
      <c r="BE36" s="39"/>
      <c r="BG36" s="7" t="s">
        <v>65</v>
      </c>
      <c r="BH36" s="10">
        <v>1.6050678316362098E-2</v>
      </c>
      <c r="BI36" s="39">
        <f>((CurrentMtgRatesDataTable8711121314[[#This Row],[SeriesNumValue]]-$D$1)/$D$1+1)*100</f>
        <v>107.00452210908067</v>
      </c>
      <c r="BJ36" s="39" t="str">
        <f>YEAR(CurrentMtgRatesDataTable8711121314[[#This Row],[asofdate]])&amp;"-"&amp;MONTH(CurrentMtgRatesDataTable8711121314[[#This Row],[asofdate]])</f>
        <v>2005-12</v>
      </c>
      <c r="BK36" s="39">
        <f>CurrentMtgRatesDataTable8711121314[[#This Row],[SeriesNumValue]]</f>
        <v>1.6050678316362098E-2</v>
      </c>
      <c r="BL36" s="39">
        <f>VLOOKUP(CurrentMtgRatesDataTable8711121314[[#This Row],[asofdate]],AR:AT,2,0)</f>
        <v>8.2108794617635802E-2</v>
      </c>
      <c r="BM36" s="35">
        <f>IF(VLOOKUP(CurrentMtgRatesDataTable8711121314[[#This Row],[asofdate]],AW:AY,2,0)&lt;&gt;0,VLOOKUP(CurrentMtgRatesDataTable8711121314[[#This Row],[asofdate]],AW:AY,2,0),BM35)</f>
        <v>7.8070969779932997E-2</v>
      </c>
      <c r="BN36" s="35">
        <f>VLOOKUP(CurrentMtgRatesDataTable8711121314[[#This Row],[asofdate]],BB:BD,2,0)</f>
        <v>1.6562802307108701E-2</v>
      </c>
      <c r="BO36" s="35">
        <f>CurrentMtgRatesDataTable8711121314[[#This Row],[FHA]]+0.5*CurrentMtgRatesDataTable8711121314[[#This Row],[Conventional]]</f>
        <v>9.0134133775816846E-2</v>
      </c>
      <c r="BP36" s="35">
        <f>2*CurrentMtgRatesDataTable8711121314[[#This Row],[FHA]]</f>
        <v>0.1642175892352716</v>
      </c>
      <c r="BQ36" s="11">
        <f>VLOOKUP(YEAR(CurrentMtgRatesDataTable8711121314[[#This Row],[asofdate]]),OriginationVolume!$A:$N,8,FALSE)</f>
        <v>0.39564428312159711</v>
      </c>
      <c r="BR36" s="11">
        <f>VLOOKUP(YEAR(CurrentMtgRatesDataTable8711121314[[#This Row],[asofdate]]),OriginationVolume!$A:$N,9,FALSE)</f>
        <v>8.1669691470054439E-3</v>
      </c>
      <c r="BS36" s="11">
        <f>VLOOKUP(YEAR(CurrentMtgRatesDataTable8711121314[[#This Row],[asofdate]]),OriginationVolume!$A:$N,10,FALSE)</f>
        <v>2.4500907441016333E-2</v>
      </c>
      <c r="BT36" s="11">
        <f>VLOOKUP(YEAR(CurrentMtgRatesDataTable8711121314[[#This Row],[asofdate]]),OriginationVolume!$A:$N,11,FALSE)</f>
        <v>0.20689655172413793</v>
      </c>
      <c r="BU36" s="11">
        <f>VLOOKUP(YEAR(CurrentMtgRatesDataTable8711121314[[#This Row],[asofdate]]),OriginationVolume!$A:$N,12,FALSE)</f>
        <v>0.13793103448275862</v>
      </c>
      <c r="BV36" s="11">
        <f>VLOOKUP(YEAR(CurrentMtgRatesDataTable8711121314[[#This Row],[asofdate]]),OriginationVolume!$A:$N,13,FALSE)</f>
        <v>0.22686025408348456</v>
      </c>
      <c r="BW36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6.2007270623867565E-2</v>
      </c>
      <c r="BY36" s="7" t="s">
        <v>65</v>
      </c>
      <c r="BZ36" s="10">
        <v>101994000</v>
      </c>
      <c r="CA36" s="36"/>
      <c r="CC36" s="7" t="s">
        <v>65</v>
      </c>
      <c r="CD36" s="10">
        <v>44252000</v>
      </c>
      <c r="CE36" s="36"/>
      <c r="CG36" s="7" t="s">
        <v>65</v>
      </c>
      <c r="CH36" s="10">
        <v>8789285117.5699997</v>
      </c>
      <c r="CI36" s="39"/>
      <c r="CK36" s="7" t="s">
        <v>65</v>
      </c>
      <c r="CL36" s="10">
        <v>8643039117.5699997</v>
      </c>
      <c r="CM36" s="39" t="str">
        <f>YEAR(CurrentMtgRatesDataTable871112131417[[#This Row],[asofdate]])&amp;"-"&amp;MONTH(CurrentMtgRatesDataTable871112131417[[#This Row],[asofdate]])</f>
        <v>2005-12</v>
      </c>
      <c r="CN36" s="39">
        <f>CurrentMtgRatesDataTable871112131417[[#This Row],[SeriesNumValue]]</f>
        <v>8643039117.5699997</v>
      </c>
      <c r="CO36" s="39">
        <f>VLOOKUP(CurrentMtgRatesDataTable871112131417[[#This Row],[asofdate]],BY:BZ,2,0)</f>
        <v>101994000</v>
      </c>
      <c r="CP36" s="35">
        <f>IF(VLOOKUP(CurrentMtgRatesDataTable871112131417[[#This Row],[asofdate]],CC:CD,2,0)&lt;&gt;0,VLOOKUP(CurrentMtgRatesDataTable871112131417[[#This Row],[asofdate]],CC:CD,2,0),CP35)</f>
        <v>44252000</v>
      </c>
      <c r="CQ36" s="35">
        <f>VLOOKUP(CurrentMtgRatesDataTable871112131417[[#This Row],[asofdate]],CG:CH,2,0)</f>
        <v>8789285117.5699997</v>
      </c>
    </row>
    <row r="37" spans="1:95" s="6" customFormat="1" ht="12.75">
      <c r="A37" s="7" t="s">
        <v>66</v>
      </c>
      <c r="B37" s="10">
        <v>1.50858754888474E-2</v>
      </c>
      <c r="C37" s="10" t="str">
        <f>YEAR(CurrentMtgRatesDataTable8[[#This Row],[asofdate]])&amp;"-"&amp;MONTH(CurrentMtgRatesDataTable8[[#This Row],[asofdate]])</f>
        <v>2006-1</v>
      </c>
      <c r="D37" s="6">
        <f>((CurrentMtgRatesDataTable8[[#This Row],[SeriesNumValue]]-$D$1)/$D$1+1)*100</f>
        <v>100.57250325898268</v>
      </c>
      <c r="G37" s="7" t="s">
        <v>66</v>
      </c>
      <c r="H37" s="10">
        <v>78.128194732343104</v>
      </c>
      <c r="I37" s="26">
        <f>VLOOKUP(CurrentMtgRatesDataTable82[[#This Row],[asofdate]],K:L,2,0)</f>
        <v>0.159637174596993</v>
      </c>
      <c r="K37" s="7" t="s">
        <v>66</v>
      </c>
      <c r="L37" s="29">
        <v>0.159637174596993</v>
      </c>
      <c r="O37" s="7" t="s">
        <v>66</v>
      </c>
      <c r="P37" s="10">
        <v>37.352959429809502</v>
      </c>
      <c r="Q37" s="29">
        <f>VLOOKUP(CurrentMtgRatesDataTable84[[#This Row],[asofdate]],S:T,2,0)</f>
        <v>0.25185729465780399</v>
      </c>
      <c r="S37" s="7" t="s">
        <v>66</v>
      </c>
      <c r="T37" s="10">
        <v>0.25185729465780399</v>
      </c>
      <c r="W37" s="7" t="s">
        <v>66</v>
      </c>
      <c r="X37" s="10">
        <v>731.84119056548502</v>
      </c>
      <c r="Y37" s="26">
        <f>VLOOKUP(CurrentMtgRatesDataTable86[[#This Row],[asofdate]],AA:AB,2,0)</f>
        <v>0.27252886688316702</v>
      </c>
      <c r="AA37" s="7" t="s">
        <v>66</v>
      </c>
      <c r="AB37" s="10">
        <v>0.27252886688316702</v>
      </c>
      <c r="AE37" s="7" t="s">
        <v>22</v>
      </c>
      <c r="AF37" s="10">
        <v>1.4659989209711699E-2</v>
      </c>
      <c r="AG37" s="10" t="str">
        <f>YEAR(CurrentMtgRatesDataTable89[[#This Row],[asofdate]])&amp;"-"&amp;MONTH(CurrentMtgRatesDataTable89[[#This Row],[asofdate]])</f>
        <v>2012-11</v>
      </c>
      <c r="AH37" s="6">
        <f>((CurrentMtgRatesDataTable89[[#This Row],[SeriesNumValue]]-$D$1)/$D$1+1)*100</f>
        <v>97.733261398078</v>
      </c>
      <c r="AI37" s="6">
        <f>CurrentMtgRatesDataTable89[[#This Row],[Index]]-AH38</f>
        <v>4.9399359784059982</v>
      </c>
      <c r="AJ37" s="6">
        <f>VLOOKUP(CurrentMtgRatesDataTable89[[#This Row],[asofdate]],G:H,2,0)</f>
        <v>80.842723933208603</v>
      </c>
      <c r="AK37" s="6">
        <f>VLOOKUP(CurrentMtgRatesDataTable89[[#This Row],[asofdate]],K:L,2,0)</f>
        <v>0.24248385553367199</v>
      </c>
      <c r="AL37" s="6">
        <f>VLOOKUP(CurrentMtgRatesDataTable89[[#This Row],[asofdate]],O:P,2,0)</f>
        <v>33.068410827015398</v>
      </c>
      <c r="AM37" s="6">
        <f>VLOOKUP(CurrentMtgRatesDataTable89[[#This Row],[asofdate]],S:T,2,0)</f>
        <v>0.253860792116615</v>
      </c>
      <c r="AN37" s="6">
        <f>VLOOKUP(CurrentMtgRatesDataTable89[[#This Row],[asofdate]],W:X,2,0)</f>
        <v>760.12787217411596</v>
      </c>
      <c r="AO37" s="6">
        <f>VLOOKUP(CurrentMtgRatesDataTable89[[#This Row],[asofdate]],AA:AB,2,0)</f>
        <v>8.6906513841812402E-2</v>
      </c>
      <c r="AR37" s="7" t="s">
        <v>66</v>
      </c>
      <c r="AS37" s="10">
        <v>8.7028492327789503E-2</v>
      </c>
      <c r="AT37" s="36">
        <f>((CurrentMtgRatesDataTable8711[[#This Row],[SeriesNumValue]]-$D$1)/$D$1+1)*100</f>
        <v>580.18994885193001</v>
      </c>
      <c r="AU37" s="36"/>
      <c r="AW37" s="7" t="s">
        <v>66</v>
      </c>
      <c r="AX37" s="10">
        <v>6.7199163700533596E-2</v>
      </c>
      <c r="AY37" s="36">
        <f>((CurrentMtgRatesDataTable871112[[#This Row],[SeriesNumValue]]-$D$1)/$D$1+1)*100</f>
        <v>447.99442467022396</v>
      </c>
      <c r="AZ37" s="36"/>
      <c r="BB37" s="7" t="s">
        <v>66</v>
      </c>
      <c r="BC37" s="10">
        <v>1.51247313995466E-2</v>
      </c>
      <c r="BD37" s="39">
        <f>((CurrentMtgRatesDataTable87111213[[#This Row],[SeriesNumValue]]-$D$1)/$D$1+1)*100</f>
        <v>100.831542663644</v>
      </c>
      <c r="BE37" s="39"/>
      <c r="BG37" s="7" t="s">
        <v>66</v>
      </c>
      <c r="BH37" s="10">
        <v>1.4831934780505301E-2</v>
      </c>
      <c r="BI37" s="39">
        <f>((CurrentMtgRatesDataTable8711121314[[#This Row],[SeriesNumValue]]-$D$1)/$D$1+1)*100</f>
        <v>98.879565203368685</v>
      </c>
      <c r="BJ37" s="39" t="str">
        <f>YEAR(CurrentMtgRatesDataTable8711121314[[#This Row],[asofdate]])&amp;"-"&amp;MONTH(CurrentMtgRatesDataTable8711121314[[#This Row],[asofdate]])</f>
        <v>2006-1</v>
      </c>
      <c r="BK37" s="39">
        <f>CurrentMtgRatesDataTable8711121314[[#This Row],[SeriesNumValue]]</f>
        <v>1.4831934780505301E-2</v>
      </c>
      <c r="BL37" s="39">
        <f>VLOOKUP(CurrentMtgRatesDataTable8711121314[[#This Row],[asofdate]],AR:AT,2,0)</f>
        <v>8.7028492327789503E-2</v>
      </c>
      <c r="BM37" s="35">
        <f>IF(VLOOKUP(CurrentMtgRatesDataTable8711121314[[#This Row],[asofdate]],AW:AY,2,0)&lt;&gt;0,VLOOKUP(CurrentMtgRatesDataTable8711121314[[#This Row],[asofdate]],AW:AY,2,0),BM36)</f>
        <v>6.7199163700533596E-2</v>
      </c>
      <c r="BN37" s="35">
        <f>VLOOKUP(CurrentMtgRatesDataTable8711121314[[#This Row],[asofdate]],BB:BD,2,0)</f>
        <v>1.51247313995466E-2</v>
      </c>
      <c r="BO37" s="35">
        <f>CurrentMtgRatesDataTable8711121314[[#This Row],[FHA]]+0.5*CurrentMtgRatesDataTable8711121314[[#This Row],[Conventional]]</f>
        <v>9.4444459718042148E-2</v>
      </c>
      <c r="BP37" s="35">
        <f>2*CurrentMtgRatesDataTable8711121314[[#This Row],[FHA]]</f>
        <v>0.17405698465557901</v>
      </c>
      <c r="BQ37" s="11">
        <f>VLOOKUP(YEAR(CurrentMtgRatesDataTable8711121314[[#This Row],[asofdate]]),OriginationVolume!$A:$N,8,FALSE)</f>
        <v>0.38823529411764707</v>
      </c>
      <c r="BR37" s="11">
        <f>VLOOKUP(YEAR(CurrentMtgRatesDataTable8711121314[[#This Row],[asofdate]]),OriginationVolume!$A:$N,9,FALSE)</f>
        <v>7.8431372549019607E-3</v>
      </c>
      <c r="BS37" s="11">
        <f>VLOOKUP(YEAR(CurrentMtgRatesDataTable8711121314[[#This Row],[asofdate]]),OriginationVolume!$A:$N,10,FALSE)</f>
        <v>2.3529411764705882E-2</v>
      </c>
      <c r="BT37" s="11">
        <f>VLOOKUP(YEAR(CurrentMtgRatesDataTable8711121314[[#This Row],[asofdate]]),OriginationVolume!$A:$N,11,FALSE)</f>
        <v>0.18823529411764706</v>
      </c>
      <c r="BU37" s="11">
        <f>VLOOKUP(YEAR(CurrentMtgRatesDataTable8711121314[[#This Row],[asofdate]]),OriginationVolume!$A:$N,12,FALSE)</f>
        <v>0.15686274509803921</v>
      </c>
      <c r="BV37" s="11">
        <f>VLOOKUP(YEAR(CurrentMtgRatesDataTable8711121314[[#This Row],[asofdate]]),OriginationVolume!$A:$N,13,FALSE)</f>
        <v>0.23529411764705882</v>
      </c>
      <c r="BW37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6.6894357498660822E-2</v>
      </c>
      <c r="BY37" s="7" t="s">
        <v>66</v>
      </c>
      <c r="BZ37" s="10">
        <v>85378000</v>
      </c>
      <c r="CA37" s="36"/>
      <c r="CC37" s="7" t="s">
        <v>66</v>
      </c>
      <c r="CD37" s="10">
        <v>33722000</v>
      </c>
      <c r="CE37" s="36"/>
      <c r="CG37" s="7" t="s">
        <v>66</v>
      </c>
      <c r="CH37" s="10">
        <v>12136303772.01</v>
      </c>
      <c r="CI37" s="39"/>
      <c r="CK37" s="7" t="s">
        <v>66</v>
      </c>
      <c r="CL37" s="10">
        <v>12017203772.01</v>
      </c>
      <c r="CM37" s="39" t="str">
        <f>YEAR(CurrentMtgRatesDataTable871112131417[[#This Row],[asofdate]])&amp;"-"&amp;MONTH(CurrentMtgRatesDataTable871112131417[[#This Row],[asofdate]])</f>
        <v>2006-1</v>
      </c>
      <c r="CN37" s="39">
        <f>CurrentMtgRatesDataTable871112131417[[#This Row],[SeriesNumValue]]</f>
        <v>12017203772.01</v>
      </c>
      <c r="CO37" s="39">
        <f>VLOOKUP(CurrentMtgRatesDataTable871112131417[[#This Row],[asofdate]],BY:BZ,2,0)</f>
        <v>85378000</v>
      </c>
      <c r="CP37" s="35">
        <f>IF(VLOOKUP(CurrentMtgRatesDataTable871112131417[[#This Row],[asofdate]],CC:CD,2,0)&lt;&gt;0,VLOOKUP(CurrentMtgRatesDataTable871112131417[[#This Row],[asofdate]],CC:CD,2,0),CP36)</f>
        <v>33722000</v>
      </c>
      <c r="CQ37" s="35">
        <f>VLOOKUP(CurrentMtgRatesDataTable871112131417[[#This Row],[asofdate]],CG:CH,2,0)</f>
        <v>12136303772.01</v>
      </c>
    </row>
    <row r="38" spans="1:95" s="6" customFormat="1" ht="12.75">
      <c r="A38" s="7" t="s">
        <v>67</v>
      </c>
      <c r="B38" s="10">
        <v>1.6838158907153698E-2</v>
      </c>
      <c r="C38" s="10" t="str">
        <f>YEAR(CurrentMtgRatesDataTable8[[#This Row],[asofdate]])&amp;"-"&amp;MONTH(CurrentMtgRatesDataTable8[[#This Row],[asofdate]])</f>
        <v>2006-2</v>
      </c>
      <c r="D38" s="6">
        <f>((CurrentMtgRatesDataTable8[[#This Row],[SeriesNumValue]]-$D$1)/$D$1+1)*100</f>
        <v>112.254392714358</v>
      </c>
      <c r="G38" s="7" t="s">
        <v>67</v>
      </c>
      <c r="H38" s="10">
        <v>78.311410497829897</v>
      </c>
      <c r="I38" s="26">
        <f>VLOOKUP(CurrentMtgRatesDataTable82[[#This Row],[asofdate]],K:L,2,0)</f>
        <v>0.159607300246077</v>
      </c>
      <c r="K38" s="7" t="s">
        <v>67</v>
      </c>
      <c r="L38" s="29">
        <v>0.159607300246077</v>
      </c>
      <c r="O38" s="7" t="s">
        <v>67</v>
      </c>
      <c r="P38" s="10">
        <v>37.5015329261158</v>
      </c>
      <c r="Q38" s="29">
        <f>VLOOKUP(CurrentMtgRatesDataTable84[[#This Row],[asofdate]],S:T,2,0)</f>
        <v>0.25603886611316801</v>
      </c>
      <c r="S38" s="7" t="s">
        <v>67</v>
      </c>
      <c r="T38" s="10">
        <v>0.25603886611316801</v>
      </c>
      <c r="W38" s="7" t="s">
        <v>67</v>
      </c>
      <c r="X38" s="10">
        <v>730.87413747932897</v>
      </c>
      <c r="Y38" s="26">
        <f>VLOOKUP(CurrentMtgRatesDataTable86[[#This Row],[asofdate]],AA:AB,2,0)</f>
        <v>0.275428135379714</v>
      </c>
      <c r="AA38" s="7" t="s">
        <v>67</v>
      </c>
      <c r="AB38" s="10">
        <v>0.275428135379714</v>
      </c>
      <c r="AE38" s="7" t="s">
        <v>14</v>
      </c>
      <c r="AF38" s="10">
        <v>1.3918998812950801E-2</v>
      </c>
      <c r="AG38" s="10" t="str">
        <f>YEAR(CurrentMtgRatesDataTable89[[#This Row],[asofdate]])&amp;"-"&amp;MONTH(CurrentMtgRatesDataTable89[[#This Row],[asofdate]])</f>
        <v>2012-10</v>
      </c>
      <c r="AH38" s="6">
        <f>((CurrentMtgRatesDataTable89[[#This Row],[SeriesNumValue]]-$D$1)/$D$1+1)*100</f>
        <v>92.793325419672001</v>
      </c>
      <c r="AI38" s="6">
        <f>CurrentMtgRatesDataTable89[[#This Row],[Index]]-AH39</f>
        <v>-2.7479158179466765</v>
      </c>
      <c r="AJ38" s="6">
        <f>VLOOKUP(CurrentMtgRatesDataTable89[[#This Row],[asofdate]],G:H,2,0)</f>
        <v>80.704770486074295</v>
      </c>
      <c r="AK38" s="6">
        <f>VLOOKUP(CurrentMtgRatesDataTable89[[#This Row],[asofdate]],K:L,2,0)</f>
        <v>0.238438717743543</v>
      </c>
      <c r="AL38" s="6">
        <f>VLOOKUP(CurrentMtgRatesDataTable89[[#This Row],[asofdate]],O:P,2,0)</f>
        <v>32.877349478281303</v>
      </c>
      <c r="AM38" s="6">
        <f>VLOOKUP(CurrentMtgRatesDataTable89[[#This Row],[asofdate]],S:T,2,0)</f>
        <v>0.245849111984763</v>
      </c>
      <c r="AN38" s="6">
        <f>VLOOKUP(CurrentMtgRatesDataTable89[[#This Row],[asofdate]],W:X,2,0)</f>
        <v>760.08866980815606</v>
      </c>
      <c r="AO38" s="6">
        <f>VLOOKUP(CurrentMtgRatesDataTable89[[#This Row],[asofdate]],AA:AB,2,0)</f>
        <v>8.8547559149405805E-2</v>
      </c>
      <c r="AR38" s="7" t="s">
        <v>67</v>
      </c>
      <c r="AS38" s="10">
        <v>8.9312436018572597E-2</v>
      </c>
      <c r="AT38" s="36">
        <f>((CurrentMtgRatesDataTable8711[[#This Row],[SeriesNumValue]]-$D$1)/$D$1+1)*100</f>
        <v>595.41624012381737</v>
      </c>
      <c r="AU38" s="36"/>
      <c r="AW38" s="7" t="s">
        <v>67</v>
      </c>
      <c r="AX38" s="10">
        <v>7.3484219548732604E-2</v>
      </c>
      <c r="AY38" s="36">
        <f>((CurrentMtgRatesDataTable871112[[#This Row],[SeriesNumValue]]-$D$1)/$D$1+1)*100</f>
        <v>489.89479699155078</v>
      </c>
      <c r="AZ38" s="36"/>
      <c r="BB38" s="7" t="s">
        <v>67</v>
      </c>
      <c r="BC38" s="10">
        <v>1.6322187365636801E-2</v>
      </c>
      <c r="BD38" s="39">
        <f>((CurrentMtgRatesDataTable87111213[[#This Row],[SeriesNumValue]]-$D$1)/$D$1+1)*100</f>
        <v>108.81458243757866</v>
      </c>
      <c r="BE38" s="39"/>
      <c r="BG38" s="7" t="s">
        <v>67</v>
      </c>
      <c r="BH38" s="10">
        <v>1.6058691183526201E-2</v>
      </c>
      <c r="BI38" s="39">
        <f>((CurrentMtgRatesDataTable8711121314[[#This Row],[SeriesNumValue]]-$D$1)/$D$1+1)*100</f>
        <v>107.057941223508</v>
      </c>
      <c r="BJ38" s="39" t="str">
        <f>YEAR(CurrentMtgRatesDataTable8711121314[[#This Row],[asofdate]])&amp;"-"&amp;MONTH(CurrentMtgRatesDataTable8711121314[[#This Row],[asofdate]])</f>
        <v>2006-2</v>
      </c>
      <c r="BK38" s="39">
        <f>CurrentMtgRatesDataTable8711121314[[#This Row],[SeriesNumValue]]</f>
        <v>1.6058691183526201E-2</v>
      </c>
      <c r="BL38" s="39">
        <f>VLOOKUP(CurrentMtgRatesDataTable8711121314[[#This Row],[asofdate]],AR:AT,2,0)</f>
        <v>8.9312436018572597E-2</v>
      </c>
      <c r="BM38" s="35">
        <f>IF(VLOOKUP(CurrentMtgRatesDataTable8711121314[[#This Row],[asofdate]],AW:AY,2,0)&lt;&gt;0,VLOOKUP(CurrentMtgRatesDataTable8711121314[[#This Row],[asofdate]],AW:AY,2,0),BM37)</f>
        <v>7.3484219548732604E-2</v>
      </c>
      <c r="BN38" s="35">
        <f>VLOOKUP(CurrentMtgRatesDataTable8711121314[[#This Row],[asofdate]],BB:BD,2,0)</f>
        <v>1.6322187365636801E-2</v>
      </c>
      <c r="BO38" s="35">
        <f>CurrentMtgRatesDataTable8711121314[[#This Row],[FHA]]+0.5*CurrentMtgRatesDataTable8711121314[[#This Row],[Conventional]]</f>
        <v>9.7341781610335701E-2</v>
      </c>
      <c r="BP38" s="35">
        <f>2*CurrentMtgRatesDataTable8711121314[[#This Row],[FHA]]</f>
        <v>0.17862487203714519</v>
      </c>
      <c r="BQ38" s="11">
        <f>VLOOKUP(YEAR(CurrentMtgRatesDataTable8711121314[[#This Row],[asofdate]]),OriginationVolume!$A:$N,8,FALSE)</f>
        <v>0.38823529411764707</v>
      </c>
      <c r="BR38" s="11">
        <f>VLOOKUP(YEAR(CurrentMtgRatesDataTable8711121314[[#This Row],[asofdate]]),OriginationVolume!$A:$N,9,FALSE)</f>
        <v>7.8431372549019607E-3</v>
      </c>
      <c r="BS38" s="11">
        <f>VLOOKUP(YEAR(CurrentMtgRatesDataTable8711121314[[#This Row],[asofdate]]),OriginationVolume!$A:$N,10,FALSE)</f>
        <v>2.3529411764705882E-2</v>
      </c>
      <c r="BT38" s="11">
        <f>VLOOKUP(YEAR(CurrentMtgRatesDataTable8711121314[[#This Row],[asofdate]]),OriginationVolume!$A:$N,11,FALSE)</f>
        <v>0.18823529411764706</v>
      </c>
      <c r="BU38" s="11">
        <f>VLOOKUP(YEAR(CurrentMtgRatesDataTable8711121314[[#This Row],[asofdate]]),OriginationVolume!$A:$N,12,FALSE)</f>
        <v>0.15686274509803921</v>
      </c>
      <c r="BV38" s="11">
        <f>VLOOKUP(YEAR(CurrentMtgRatesDataTable8711121314[[#This Row],[asofdate]]),OriginationVolume!$A:$N,13,FALSE)</f>
        <v>0.23529411764705882</v>
      </c>
      <c r="BW38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6.9233859787566243E-2</v>
      </c>
      <c r="BY38" s="7" t="s">
        <v>67</v>
      </c>
      <c r="BZ38" s="10">
        <v>71184000</v>
      </c>
      <c r="CA38" s="36"/>
      <c r="CC38" s="7" t="s">
        <v>67</v>
      </c>
      <c r="CD38" s="10">
        <v>28823000</v>
      </c>
      <c r="CE38" s="36"/>
      <c r="CG38" s="7" t="s">
        <v>67</v>
      </c>
      <c r="CH38" s="10">
        <v>11923563518.219999</v>
      </c>
      <c r="CI38" s="39"/>
      <c r="CK38" s="7" t="s">
        <v>67</v>
      </c>
      <c r="CL38" s="10">
        <v>11823556518.219999</v>
      </c>
      <c r="CM38" s="39" t="str">
        <f>YEAR(CurrentMtgRatesDataTable871112131417[[#This Row],[asofdate]])&amp;"-"&amp;MONTH(CurrentMtgRatesDataTable871112131417[[#This Row],[asofdate]])</f>
        <v>2006-2</v>
      </c>
      <c r="CN38" s="39">
        <f>CurrentMtgRatesDataTable871112131417[[#This Row],[SeriesNumValue]]</f>
        <v>11823556518.219999</v>
      </c>
      <c r="CO38" s="39">
        <f>VLOOKUP(CurrentMtgRatesDataTable871112131417[[#This Row],[asofdate]],BY:BZ,2,0)</f>
        <v>71184000</v>
      </c>
      <c r="CP38" s="35">
        <f>IF(VLOOKUP(CurrentMtgRatesDataTable871112131417[[#This Row],[asofdate]],CC:CD,2,0)&lt;&gt;0,VLOOKUP(CurrentMtgRatesDataTable871112131417[[#This Row],[asofdate]],CC:CD,2,0),CP37)</f>
        <v>28823000</v>
      </c>
      <c r="CQ38" s="35">
        <f>VLOOKUP(CurrentMtgRatesDataTable871112131417[[#This Row],[asofdate]],CG:CH,2,0)</f>
        <v>11923563518.219999</v>
      </c>
    </row>
    <row r="39" spans="1:95" s="6" customFormat="1" ht="12.75">
      <c r="A39" s="7" t="s">
        <v>68</v>
      </c>
      <c r="B39" s="10">
        <v>1.6184968969742301E-2</v>
      </c>
      <c r="C39" s="10" t="str">
        <f>YEAR(CurrentMtgRatesDataTable8[[#This Row],[asofdate]])&amp;"-"&amp;MONTH(CurrentMtgRatesDataTable8[[#This Row],[asofdate]])</f>
        <v>2006-3</v>
      </c>
      <c r="D39" s="6">
        <f>((CurrentMtgRatesDataTable8[[#This Row],[SeriesNumValue]]-$D$1)/$D$1+1)*100</f>
        <v>107.89979313161535</v>
      </c>
      <c r="G39" s="7" t="s">
        <v>68</v>
      </c>
      <c r="H39" s="10">
        <v>78.229708672132205</v>
      </c>
      <c r="I39" s="26">
        <f>VLOOKUP(CurrentMtgRatesDataTable82[[#This Row],[asofdate]],K:L,2,0)</f>
        <v>0.15991961797697701</v>
      </c>
      <c r="K39" s="7" t="s">
        <v>68</v>
      </c>
      <c r="L39" s="29">
        <v>0.15991961797697701</v>
      </c>
      <c r="O39" s="7" t="s">
        <v>68</v>
      </c>
      <c r="P39" s="10">
        <v>37.377683504176403</v>
      </c>
      <c r="Q39" s="29">
        <f>VLOOKUP(CurrentMtgRatesDataTable84[[#This Row],[asofdate]],S:T,2,0)</f>
        <v>0.25876564659608398</v>
      </c>
      <c r="S39" s="7" t="s">
        <v>68</v>
      </c>
      <c r="T39" s="10">
        <v>0.25876564659608398</v>
      </c>
      <c r="W39" s="7" t="s">
        <v>68</v>
      </c>
      <c r="X39" s="10">
        <v>731.463093282675</v>
      </c>
      <c r="Y39" s="26">
        <f>VLOOKUP(CurrentMtgRatesDataTable86[[#This Row],[asofdate]],AA:AB,2,0)</f>
        <v>0.27099622377881499</v>
      </c>
      <c r="AA39" s="7" t="s">
        <v>68</v>
      </c>
      <c r="AB39" s="10">
        <v>0.27099622377881499</v>
      </c>
      <c r="AE39" s="7" t="s">
        <v>143</v>
      </c>
      <c r="AF39" s="10">
        <v>1.4331186185642801E-2</v>
      </c>
      <c r="AG39" s="10" t="str">
        <f>YEAR(CurrentMtgRatesDataTable89[[#This Row],[asofdate]])&amp;"-"&amp;MONTH(CurrentMtgRatesDataTable89[[#This Row],[asofdate]])</f>
        <v>2012-9</v>
      </c>
      <c r="AH39" s="6">
        <f>((CurrentMtgRatesDataTable89[[#This Row],[SeriesNumValue]]-$D$1)/$D$1+1)*100</f>
        <v>95.541241237618678</v>
      </c>
      <c r="AI39" s="6">
        <f>CurrentMtgRatesDataTable89[[#This Row],[Index]]-AH40</f>
        <v>0.52392453191534116</v>
      </c>
      <c r="AJ39" s="6">
        <f>VLOOKUP(CurrentMtgRatesDataTable89[[#This Row],[asofdate]],G:H,2,0)</f>
        <v>80.773410645998595</v>
      </c>
      <c r="AK39" s="6">
        <f>VLOOKUP(CurrentMtgRatesDataTable89[[#This Row],[asofdate]],K:L,2,0)</f>
        <v>0.241996859508816</v>
      </c>
      <c r="AL39" s="6">
        <f>VLOOKUP(CurrentMtgRatesDataTable89[[#This Row],[asofdate]],O:P,2,0)</f>
        <v>32.834955899021203</v>
      </c>
      <c r="AM39" s="6">
        <f>VLOOKUP(CurrentMtgRatesDataTable89[[#This Row],[asofdate]],S:T,2,0)</f>
        <v>0.24307109211674099</v>
      </c>
      <c r="AN39" s="6">
        <f>VLOOKUP(CurrentMtgRatesDataTable89[[#This Row],[asofdate]],W:X,2,0)</f>
        <v>760.56723023696497</v>
      </c>
      <c r="AO39" s="6">
        <f>VLOOKUP(CurrentMtgRatesDataTable89[[#This Row],[asofdate]],AA:AB,2,0)</f>
        <v>8.9152463717376507E-2</v>
      </c>
      <c r="AR39" s="7" t="s">
        <v>68</v>
      </c>
      <c r="AS39" s="10">
        <v>9.2004736353106201E-2</v>
      </c>
      <c r="AT39" s="36">
        <f>((CurrentMtgRatesDataTable8711[[#This Row],[SeriesNumValue]]-$D$1)/$D$1+1)*100</f>
        <v>613.36490902070807</v>
      </c>
      <c r="AU39" s="36"/>
      <c r="AW39" s="7" t="s">
        <v>68</v>
      </c>
      <c r="AX39" s="10">
        <v>7.29966124505744E-2</v>
      </c>
      <c r="AY39" s="36">
        <f>((CurrentMtgRatesDataTable871112[[#This Row],[SeriesNumValue]]-$D$1)/$D$1+1)*100</f>
        <v>486.64408300382934</v>
      </c>
      <c r="AZ39" s="36"/>
      <c r="BB39" s="7" t="s">
        <v>68</v>
      </c>
      <c r="BC39" s="10">
        <v>1.69542353402297E-2</v>
      </c>
      <c r="BD39" s="39">
        <f>((CurrentMtgRatesDataTable87111213[[#This Row],[SeriesNumValue]]-$D$1)/$D$1+1)*100</f>
        <v>113.02823560153135</v>
      </c>
      <c r="BE39" s="39"/>
      <c r="BG39" s="7" t="s">
        <v>68</v>
      </c>
      <c r="BH39" s="10">
        <v>1.6697077694664299E-2</v>
      </c>
      <c r="BI39" s="39">
        <f>((CurrentMtgRatesDataTable8711121314[[#This Row],[SeriesNumValue]]-$D$1)/$D$1+1)*100</f>
        <v>111.31385129776201</v>
      </c>
      <c r="BJ39" s="39" t="str">
        <f>YEAR(CurrentMtgRatesDataTable8711121314[[#This Row],[asofdate]])&amp;"-"&amp;MONTH(CurrentMtgRatesDataTable8711121314[[#This Row],[asofdate]])</f>
        <v>2006-3</v>
      </c>
      <c r="BK39" s="39">
        <f>CurrentMtgRatesDataTable8711121314[[#This Row],[SeriesNumValue]]</f>
        <v>1.6697077694664299E-2</v>
      </c>
      <c r="BL39" s="39">
        <f>VLOOKUP(CurrentMtgRatesDataTable8711121314[[#This Row],[asofdate]],AR:AT,2,0)</f>
        <v>9.2004736353106201E-2</v>
      </c>
      <c r="BM39" s="35">
        <f>IF(VLOOKUP(CurrentMtgRatesDataTable8711121314[[#This Row],[asofdate]],AW:AY,2,0)&lt;&gt;0,VLOOKUP(CurrentMtgRatesDataTable8711121314[[#This Row],[asofdate]],AW:AY,2,0),BM38)</f>
        <v>7.29966124505744E-2</v>
      </c>
      <c r="BN39" s="35">
        <f>VLOOKUP(CurrentMtgRatesDataTable8711121314[[#This Row],[asofdate]],BB:BD,2,0)</f>
        <v>1.69542353402297E-2</v>
      </c>
      <c r="BO39" s="35">
        <f>CurrentMtgRatesDataTable8711121314[[#This Row],[FHA]]+0.5*CurrentMtgRatesDataTable8711121314[[#This Row],[Conventional]]</f>
        <v>0.10035327520043835</v>
      </c>
      <c r="BP39" s="35">
        <f>2*CurrentMtgRatesDataTable8711121314[[#This Row],[FHA]]</f>
        <v>0.1840094727062124</v>
      </c>
      <c r="BQ39" s="11">
        <f>VLOOKUP(YEAR(CurrentMtgRatesDataTable8711121314[[#This Row],[asofdate]]),OriginationVolume!$A:$N,8,FALSE)</f>
        <v>0.38823529411764707</v>
      </c>
      <c r="BR39" s="11">
        <f>VLOOKUP(YEAR(CurrentMtgRatesDataTable8711121314[[#This Row],[asofdate]]),OriginationVolume!$A:$N,9,FALSE)</f>
        <v>7.8431372549019607E-3</v>
      </c>
      <c r="BS39" s="11">
        <f>VLOOKUP(YEAR(CurrentMtgRatesDataTable8711121314[[#This Row],[asofdate]]),OriginationVolume!$A:$N,10,FALSE)</f>
        <v>2.3529411764705882E-2</v>
      </c>
      <c r="BT39" s="11">
        <f>VLOOKUP(YEAR(CurrentMtgRatesDataTable8711121314[[#This Row],[asofdate]]),OriginationVolume!$A:$N,11,FALSE)</f>
        <v>0.18823529411764706</v>
      </c>
      <c r="BU39" s="11">
        <f>VLOOKUP(YEAR(CurrentMtgRatesDataTable8711121314[[#This Row],[asofdate]]),OriginationVolume!$A:$N,12,FALSE)</f>
        <v>0.15686274509803921</v>
      </c>
      <c r="BV39" s="11">
        <f>VLOOKUP(YEAR(CurrentMtgRatesDataTable8711121314[[#This Row],[asofdate]]),OriginationVolume!$A:$N,13,FALSE)</f>
        <v>0.23529411764705882</v>
      </c>
      <c r="BW39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7.1400750723630252E-2</v>
      </c>
      <c r="BY39" s="7" t="s">
        <v>68</v>
      </c>
      <c r="BZ39" s="10">
        <v>52079000</v>
      </c>
      <c r="CA39" s="36"/>
      <c r="CC39" s="7" t="s">
        <v>68</v>
      </c>
      <c r="CD39" s="10">
        <v>19936000</v>
      </c>
      <c r="CE39" s="36"/>
      <c r="CG39" s="7" t="s">
        <v>68</v>
      </c>
      <c r="CH39" s="10">
        <v>9229412352.2800007</v>
      </c>
      <c r="CI39" s="39"/>
      <c r="CK39" s="7" t="s">
        <v>68</v>
      </c>
      <c r="CL39" s="10">
        <v>9157397352.2800007</v>
      </c>
      <c r="CM39" s="39" t="str">
        <f>YEAR(CurrentMtgRatesDataTable871112131417[[#This Row],[asofdate]])&amp;"-"&amp;MONTH(CurrentMtgRatesDataTable871112131417[[#This Row],[asofdate]])</f>
        <v>2006-3</v>
      </c>
      <c r="CN39" s="39">
        <f>CurrentMtgRatesDataTable871112131417[[#This Row],[SeriesNumValue]]</f>
        <v>9157397352.2800007</v>
      </c>
      <c r="CO39" s="39">
        <f>VLOOKUP(CurrentMtgRatesDataTable871112131417[[#This Row],[asofdate]],BY:BZ,2,0)</f>
        <v>52079000</v>
      </c>
      <c r="CP39" s="35">
        <f>IF(VLOOKUP(CurrentMtgRatesDataTable871112131417[[#This Row],[asofdate]],CC:CD,2,0)&lt;&gt;0,VLOOKUP(CurrentMtgRatesDataTable871112131417[[#This Row],[asofdate]],CC:CD,2,0),CP38)</f>
        <v>19936000</v>
      </c>
      <c r="CQ39" s="35">
        <f>VLOOKUP(CurrentMtgRatesDataTable871112131417[[#This Row],[asofdate]],CG:CH,2,0)</f>
        <v>9229412352.2800007</v>
      </c>
    </row>
    <row r="40" spans="1:95" s="6" customFormat="1" ht="12.75">
      <c r="A40" s="7" t="s">
        <v>69</v>
      </c>
      <c r="B40" s="10">
        <v>1.5851067913786501E-2</v>
      </c>
      <c r="C40" s="10" t="str">
        <f>YEAR(CurrentMtgRatesDataTable8[[#This Row],[asofdate]])&amp;"-"&amp;MONTH(CurrentMtgRatesDataTable8[[#This Row],[asofdate]])</f>
        <v>2006-4</v>
      </c>
      <c r="D40" s="6">
        <f>((CurrentMtgRatesDataTable8[[#This Row],[SeriesNumValue]]-$D$1)/$D$1+1)*100</f>
        <v>105.67378609191</v>
      </c>
      <c r="G40" s="7" t="s">
        <v>69</v>
      </c>
      <c r="H40" s="10">
        <v>78.671898299829707</v>
      </c>
      <c r="I40" s="26">
        <f>VLOOKUP(CurrentMtgRatesDataTable82[[#This Row],[asofdate]],K:L,2,0)</f>
        <v>0.163030939666403</v>
      </c>
      <c r="K40" s="7" t="s">
        <v>69</v>
      </c>
      <c r="L40" s="29">
        <v>0.163030939666403</v>
      </c>
      <c r="O40" s="7" t="s">
        <v>69</v>
      </c>
      <c r="P40" s="10">
        <v>37.352589752049496</v>
      </c>
      <c r="Q40" s="29">
        <f>VLOOKUP(CurrentMtgRatesDataTable84[[#This Row],[asofdate]],S:T,2,0)</f>
        <v>0.25720646817190801</v>
      </c>
      <c r="S40" s="7" t="s">
        <v>69</v>
      </c>
      <c r="T40" s="10">
        <v>0.25720646817190801</v>
      </c>
      <c r="W40" s="7" t="s">
        <v>69</v>
      </c>
      <c r="X40" s="10">
        <v>731.37187888597202</v>
      </c>
      <c r="Y40" s="26">
        <f>VLOOKUP(CurrentMtgRatesDataTable86[[#This Row],[asofdate]],AA:AB,2,0)</f>
        <v>0.27172244359806702</v>
      </c>
      <c r="AA40" s="7" t="s">
        <v>69</v>
      </c>
      <c r="AB40" s="10">
        <v>0.27172244359806702</v>
      </c>
      <c r="AE40" s="7" t="s">
        <v>6</v>
      </c>
      <c r="AF40" s="10">
        <v>1.42525975058555E-2</v>
      </c>
      <c r="AG40" s="10" t="str">
        <f>YEAR(CurrentMtgRatesDataTable89[[#This Row],[asofdate]])&amp;"-"&amp;MONTH(CurrentMtgRatesDataTable89[[#This Row],[asofdate]])</f>
        <v>2012-8</v>
      </c>
      <c r="AH40" s="6">
        <f>((CurrentMtgRatesDataTable89[[#This Row],[SeriesNumValue]]-$D$1)/$D$1+1)*100</f>
        <v>95.017316705703337</v>
      </c>
      <c r="AI40" s="6">
        <f>CurrentMtgRatesDataTable89[[#This Row],[Index]]-AH41</f>
        <v>0.4117940217140017</v>
      </c>
      <c r="AJ40" s="6">
        <f>VLOOKUP(CurrentMtgRatesDataTable89[[#This Row],[asofdate]],G:H,2,0)</f>
        <v>80.519349568409496</v>
      </c>
      <c r="AK40" s="6">
        <f>VLOOKUP(CurrentMtgRatesDataTable89[[#This Row],[asofdate]],K:L,2,0)</f>
        <v>0.230359293851325</v>
      </c>
      <c r="AL40" s="6">
        <f>VLOOKUP(CurrentMtgRatesDataTable89[[#This Row],[asofdate]],O:P,2,0)</f>
        <v>32.914525130729601</v>
      </c>
      <c r="AM40" s="6">
        <f>VLOOKUP(CurrentMtgRatesDataTable89[[#This Row],[asofdate]],S:T,2,0)</f>
        <v>0.24575163744130599</v>
      </c>
      <c r="AN40" s="6">
        <f>VLOOKUP(CurrentMtgRatesDataTable89[[#This Row],[asofdate]],W:X,2,0)</f>
        <v>761.20950224818</v>
      </c>
      <c r="AO40" s="6">
        <f>VLOOKUP(CurrentMtgRatesDataTable89[[#This Row],[asofdate]],AA:AB,2,0)</f>
        <v>8.33927063634268E-2</v>
      </c>
      <c r="AR40" s="7" t="s">
        <v>69</v>
      </c>
      <c r="AS40" s="10">
        <v>9.0269691219839895E-2</v>
      </c>
      <c r="AT40" s="36">
        <f>((CurrentMtgRatesDataTable8711[[#This Row],[SeriesNumValue]]-$D$1)/$D$1+1)*100</f>
        <v>601.79794146559937</v>
      </c>
      <c r="AU40" s="36"/>
      <c r="AW40" s="7" t="s">
        <v>69</v>
      </c>
      <c r="AX40" s="10">
        <v>7.5604220137534706E-2</v>
      </c>
      <c r="AY40" s="36">
        <f>((CurrentMtgRatesDataTable871112[[#This Row],[SeriesNumValue]]-$D$1)/$D$1+1)*100</f>
        <v>504.0281342502314</v>
      </c>
      <c r="AZ40" s="36"/>
      <c r="BB40" s="7" t="s">
        <v>69</v>
      </c>
      <c r="BC40" s="10">
        <v>1.6492211112520298E-2</v>
      </c>
      <c r="BD40" s="39">
        <f>((CurrentMtgRatesDataTable87111213[[#This Row],[SeriesNumValue]]-$D$1)/$D$1+1)*100</f>
        <v>109.94807408346865</v>
      </c>
      <c r="BE40" s="39"/>
      <c r="BG40" s="7" t="s">
        <v>69</v>
      </c>
      <c r="BH40" s="10">
        <v>1.6176030883114801E-2</v>
      </c>
      <c r="BI40" s="39">
        <f>((CurrentMtgRatesDataTable8711121314[[#This Row],[SeriesNumValue]]-$D$1)/$D$1+1)*100</f>
        <v>107.84020588743202</v>
      </c>
      <c r="BJ40" s="39" t="str">
        <f>YEAR(CurrentMtgRatesDataTable8711121314[[#This Row],[asofdate]])&amp;"-"&amp;MONTH(CurrentMtgRatesDataTable8711121314[[#This Row],[asofdate]])</f>
        <v>2006-4</v>
      </c>
      <c r="BK40" s="39">
        <f>CurrentMtgRatesDataTable8711121314[[#This Row],[SeriesNumValue]]</f>
        <v>1.6176030883114801E-2</v>
      </c>
      <c r="BL40" s="39">
        <f>VLOOKUP(CurrentMtgRatesDataTable8711121314[[#This Row],[asofdate]],AR:AT,2,0)</f>
        <v>9.0269691219839895E-2</v>
      </c>
      <c r="BM40" s="35">
        <f>IF(VLOOKUP(CurrentMtgRatesDataTable8711121314[[#This Row],[asofdate]],AW:AY,2,0)&lt;&gt;0,VLOOKUP(CurrentMtgRatesDataTable8711121314[[#This Row],[asofdate]],AW:AY,2,0),BM39)</f>
        <v>7.5604220137534706E-2</v>
      </c>
      <c r="BN40" s="35">
        <f>VLOOKUP(CurrentMtgRatesDataTable8711121314[[#This Row],[asofdate]],BB:BD,2,0)</f>
        <v>1.6492211112520298E-2</v>
      </c>
      <c r="BO40" s="35">
        <f>CurrentMtgRatesDataTable8711121314[[#This Row],[FHA]]+0.5*CurrentMtgRatesDataTable8711121314[[#This Row],[Conventional]]</f>
        <v>9.8357706661397301E-2</v>
      </c>
      <c r="BP40" s="35">
        <f>2*CurrentMtgRatesDataTable8711121314[[#This Row],[FHA]]</f>
        <v>0.18053938243967979</v>
      </c>
      <c r="BQ40" s="11">
        <f>VLOOKUP(YEAR(CurrentMtgRatesDataTable8711121314[[#This Row],[asofdate]]),OriginationVolume!$A:$N,8,FALSE)</f>
        <v>0.38823529411764707</v>
      </c>
      <c r="BR40" s="11">
        <f>VLOOKUP(YEAR(CurrentMtgRatesDataTable8711121314[[#This Row],[asofdate]]),OriginationVolume!$A:$N,9,FALSE)</f>
        <v>7.8431372549019607E-3</v>
      </c>
      <c r="BS40" s="11">
        <f>VLOOKUP(YEAR(CurrentMtgRatesDataTable8711121314[[#This Row],[asofdate]]),OriginationVolume!$A:$N,10,FALSE)</f>
        <v>2.3529411764705882E-2</v>
      </c>
      <c r="BT40" s="11">
        <f>VLOOKUP(YEAR(CurrentMtgRatesDataTable8711121314[[#This Row],[asofdate]]),OriginationVolume!$A:$N,11,FALSE)</f>
        <v>0.18823529411764706</v>
      </c>
      <c r="BU40" s="11">
        <f>VLOOKUP(YEAR(CurrentMtgRatesDataTable8711121314[[#This Row],[asofdate]]),OriginationVolume!$A:$N,12,FALSE)</f>
        <v>0.15686274509803921</v>
      </c>
      <c r="BV40" s="11">
        <f>VLOOKUP(YEAR(CurrentMtgRatesDataTable8711121314[[#This Row],[asofdate]]),OriginationVolume!$A:$N,13,FALSE)</f>
        <v>0.23529411764705882</v>
      </c>
      <c r="BW40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6.9950487608818293E-2</v>
      </c>
      <c r="BY40" s="7" t="s">
        <v>69</v>
      </c>
      <c r="BZ40" s="10">
        <v>76009000</v>
      </c>
      <c r="CA40" s="36"/>
      <c r="CC40" s="7" t="s">
        <v>69</v>
      </c>
      <c r="CD40" s="10">
        <v>24968000</v>
      </c>
      <c r="CE40" s="36"/>
      <c r="CG40" s="7" t="s">
        <v>69</v>
      </c>
      <c r="CH40" s="10">
        <v>10533508526.41</v>
      </c>
      <c r="CI40" s="39"/>
      <c r="CK40" s="7" t="s">
        <v>69</v>
      </c>
      <c r="CL40" s="10">
        <v>10432531526.41</v>
      </c>
      <c r="CM40" s="39" t="str">
        <f>YEAR(CurrentMtgRatesDataTable871112131417[[#This Row],[asofdate]])&amp;"-"&amp;MONTH(CurrentMtgRatesDataTable871112131417[[#This Row],[asofdate]])</f>
        <v>2006-4</v>
      </c>
      <c r="CN40" s="39">
        <f>CurrentMtgRatesDataTable871112131417[[#This Row],[SeriesNumValue]]</f>
        <v>10432531526.41</v>
      </c>
      <c r="CO40" s="39">
        <f>VLOOKUP(CurrentMtgRatesDataTable871112131417[[#This Row],[asofdate]],BY:BZ,2,0)</f>
        <v>76009000</v>
      </c>
      <c r="CP40" s="35">
        <f>IF(VLOOKUP(CurrentMtgRatesDataTable871112131417[[#This Row],[asofdate]],CC:CD,2,0)&lt;&gt;0,VLOOKUP(CurrentMtgRatesDataTable871112131417[[#This Row],[asofdate]],CC:CD,2,0),CP39)</f>
        <v>24968000</v>
      </c>
      <c r="CQ40" s="35">
        <f>VLOOKUP(CurrentMtgRatesDataTable871112131417[[#This Row],[asofdate]],CG:CH,2,0)</f>
        <v>10533508526.41</v>
      </c>
    </row>
    <row r="41" spans="1:95" s="6" customFormat="1" ht="12.75">
      <c r="A41" s="7" t="s">
        <v>70</v>
      </c>
      <c r="B41" s="10">
        <v>1.51225454848288E-2</v>
      </c>
      <c r="C41" s="10" t="str">
        <f>YEAR(CurrentMtgRatesDataTable8[[#This Row],[asofdate]])&amp;"-"&amp;MONTH(CurrentMtgRatesDataTable8[[#This Row],[asofdate]])</f>
        <v>2006-5</v>
      </c>
      <c r="D41" s="6">
        <f>((CurrentMtgRatesDataTable8[[#This Row],[SeriesNumValue]]-$D$1)/$D$1+1)*100</f>
        <v>100.81696989885867</v>
      </c>
      <c r="G41" s="7" t="s">
        <v>70</v>
      </c>
      <c r="H41" s="10">
        <v>78.594347051939593</v>
      </c>
      <c r="I41" s="26">
        <f>VLOOKUP(CurrentMtgRatesDataTable82[[#This Row],[asofdate]],K:L,2,0)</f>
        <v>0.16247581027591801</v>
      </c>
      <c r="K41" s="7" t="s">
        <v>70</v>
      </c>
      <c r="L41" s="29">
        <v>0.16247581027591801</v>
      </c>
      <c r="O41" s="7" t="s">
        <v>70</v>
      </c>
      <c r="P41" s="10">
        <v>37.455662044979697</v>
      </c>
      <c r="Q41" s="29">
        <f>VLOOKUP(CurrentMtgRatesDataTable84[[#This Row],[asofdate]],S:T,2,0)</f>
        <v>0.25530695689293598</v>
      </c>
      <c r="S41" s="7" t="s">
        <v>70</v>
      </c>
      <c r="T41" s="10">
        <v>0.25530695689293598</v>
      </c>
      <c r="W41" s="7" t="s">
        <v>70</v>
      </c>
      <c r="X41" s="10">
        <v>732.220369288553</v>
      </c>
      <c r="Y41" s="26">
        <f>VLOOKUP(CurrentMtgRatesDataTable86[[#This Row],[asofdate]],AA:AB,2,0)</f>
        <v>0.269545751649933</v>
      </c>
      <c r="AA41" s="7" t="s">
        <v>70</v>
      </c>
      <c r="AB41" s="10">
        <v>0.269545751649933</v>
      </c>
      <c r="AE41" s="7" t="s">
        <v>142</v>
      </c>
      <c r="AF41" s="10">
        <v>1.41908284025984E-2</v>
      </c>
      <c r="AG41" s="10" t="str">
        <f>YEAR(CurrentMtgRatesDataTable89[[#This Row],[asofdate]])&amp;"-"&amp;MONTH(CurrentMtgRatesDataTable89[[#This Row],[asofdate]])</f>
        <v>2012-7</v>
      </c>
      <c r="AH41" s="6">
        <f>((CurrentMtgRatesDataTable89[[#This Row],[SeriesNumValue]]-$D$1)/$D$1+1)*100</f>
        <v>94.605522683989335</v>
      </c>
      <c r="AI41" s="6">
        <f>CurrentMtgRatesDataTable89[[#This Row],[Index]]-AH42</f>
        <v>3.3909754297826709</v>
      </c>
      <c r="AJ41" s="6">
        <f>VLOOKUP(CurrentMtgRatesDataTable89[[#This Row],[asofdate]],G:H,2,0)</f>
        <v>80.424238430996297</v>
      </c>
      <c r="AK41" s="6">
        <f>VLOOKUP(CurrentMtgRatesDataTable89[[#This Row],[asofdate]],K:L,2,0)</f>
        <v>0.22455297260877299</v>
      </c>
      <c r="AL41" s="6">
        <f>VLOOKUP(CurrentMtgRatesDataTable89[[#This Row],[asofdate]],O:P,2,0)</f>
        <v>33.121553145547502</v>
      </c>
      <c r="AM41" s="6">
        <f>VLOOKUP(CurrentMtgRatesDataTable89[[#This Row],[asofdate]],S:T,2,0)</f>
        <v>0.25450284175931598</v>
      </c>
      <c r="AN41" s="6">
        <f>VLOOKUP(CurrentMtgRatesDataTable89[[#This Row],[asofdate]],W:X,2,0)</f>
        <v>761.324488050215</v>
      </c>
      <c r="AO41" s="6">
        <f>VLOOKUP(CurrentMtgRatesDataTable89[[#This Row],[asofdate]],AA:AB,2,0)</f>
        <v>8.4418496999786194E-2</v>
      </c>
      <c r="AR41" s="7" t="s">
        <v>70</v>
      </c>
      <c r="AS41" s="10">
        <v>9.0992959299858497E-2</v>
      </c>
      <c r="AT41" s="36">
        <f>((CurrentMtgRatesDataTable8711[[#This Row],[SeriesNumValue]]-$D$1)/$D$1+1)*100</f>
        <v>606.61972866572341</v>
      </c>
      <c r="AU41" s="36"/>
      <c r="AW41" s="7" t="s">
        <v>70</v>
      </c>
      <c r="AX41" s="10">
        <v>8.5117661602461606E-2</v>
      </c>
      <c r="AY41" s="36">
        <f>((CurrentMtgRatesDataTable871112[[#This Row],[SeriesNumValue]]-$D$1)/$D$1+1)*100</f>
        <v>567.45107734974408</v>
      </c>
      <c r="AZ41" s="36"/>
      <c r="BB41" s="7" t="s">
        <v>70</v>
      </c>
      <c r="BC41" s="10">
        <v>1.61936419467263E-2</v>
      </c>
      <c r="BD41" s="39">
        <f>((CurrentMtgRatesDataTable87111213[[#This Row],[SeriesNumValue]]-$D$1)/$D$1+1)*100</f>
        <v>107.95761297817535</v>
      </c>
      <c r="BE41" s="39"/>
      <c r="BG41" s="7" t="s">
        <v>70</v>
      </c>
      <c r="BH41" s="10">
        <v>1.5849977078417201E-2</v>
      </c>
      <c r="BI41" s="39">
        <f>((CurrentMtgRatesDataTable8711121314[[#This Row],[SeriesNumValue]]-$D$1)/$D$1+1)*100</f>
        <v>105.66651385611468</v>
      </c>
      <c r="BJ41" s="39" t="str">
        <f>YEAR(CurrentMtgRatesDataTable8711121314[[#This Row],[asofdate]])&amp;"-"&amp;MONTH(CurrentMtgRatesDataTable8711121314[[#This Row],[asofdate]])</f>
        <v>2006-5</v>
      </c>
      <c r="BK41" s="39">
        <f>CurrentMtgRatesDataTable8711121314[[#This Row],[SeriesNumValue]]</f>
        <v>1.5849977078417201E-2</v>
      </c>
      <c r="BL41" s="39">
        <f>VLOOKUP(CurrentMtgRatesDataTable8711121314[[#This Row],[asofdate]],AR:AT,2,0)</f>
        <v>9.0992959299858497E-2</v>
      </c>
      <c r="BM41" s="35">
        <f>IF(VLOOKUP(CurrentMtgRatesDataTable8711121314[[#This Row],[asofdate]],AW:AY,2,0)&lt;&gt;0,VLOOKUP(CurrentMtgRatesDataTable8711121314[[#This Row],[asofdate]],AW:AY,2,0),BM40)</f>
        <v>8.5117661602461606E-2</v>
      </c>
      <c r="BN41" s="35">
        <f>VLOOKUP(CurrentMtgRatesDataTable8711121314[[#This Row],[asofdate]],BB:BD,2,0)</f>
        <v>1.61936419467263E-2</v>
      </c>
      <c r="BO41" s="35">
        <f>CurrentMtgRatesDataTable8711121314[[#This Row],[FHA]]+0.5*CurrentMtgRatesDataTable8711121314[[#This Row],[Conventional]]</f>
        <v>9.89179478390671E-2</v>
      </c>
      <c r="BP41" s="35">
        <f>2*CurrentMtgRatesDataTable8711121314[[#This Row],[FHA]]</f>
        <v>0.18198591859971699</v>
      </c>
      <c r="BQ41" s="11">
        <f>VLOOKUP(YEAR(CurrentMtgRatesDataTable8711121314[[#This Row],[asofdate]]),OriginationVolume!$A:$N,8,FALSE)</f>
        <v>0.38823529411764707</v>
      </c>
      <c r="BR41" s="11">
        <f>VLOOKUP(YEAR(CurrentMtgRatesDataTable8711121314[[#This Row],[asofdate]]),OriginationVolume!$A:$N,9,FALSE)</f>
        <v>7.8431372549019607E-3</v>
      </c>
      <c r="BS41" s="11">
        <f>VLOOKUP(YEAR(CurrentMtgRatesDataTable8711121314[[#This Row],[asofdate]]),OriginationVolume!$A:$N,10,FALSE)</f>
        <v>2.3529411764705882E-2</v>
      </c>
      <c r="BT41" s="11">
        <f>VLOOKUP(YEAR(CurrentMtgRatesDataTable8711121314[[#This Row],[asofdate]]),OriginationVolume!$A:$N,11,FALSE)</f>
        <v>0.18823529411764706</v>
      </c>
      <c r="BU41" s="11">
        <f>VLOOKUP(YEAR(CurrentMtgRatesDataTable8711121314[[#This Row],[asofdate]]),OriginationVolume!$A:$N,12,FALSE)</f>
        <v>0.15686274509803921</v>
      </c>
      <c r="BV41" s="11">
        <f>VLOOKUP(YEAR(CurrentMtgRatesDataTable8711121314[[#This Row],[asofdate]]),OriginationVolume!$A:$N,13,FALSE)</f>
        <v>0.23529411764705882</v>
      </c>
      <c r="BW41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7.0282402898341589E-2</v>
      </c>
      <c r="BY41" s="7" t="s">
        <v>70</v>
      </c>
      <c r="BZ41" s="10">
        <v>102061000</v>
      </c>
      <c r="CA41" s="36"/>
      <c r="CC41" s="7" t="s">
        <v>70</v>
      </c>
      <c r="CD41" s="10">
        <v>33982000</v>
      </c>
      <c r="CE41" s="36"/>
      <c r="CG41" s="7" t="s">
        <v>70</v>
      </c>
      <c r="CH41" s="10">
        <v>13232342261.450001</v>
      </c>
      <c r="CI41" s="39"/>
      <c r="CK41" s="7" t="s">
        <v>70</v>
      </c>
      <c r="CL41" s="10">
        <v>13096299261.450001</v>
      </c>
      <c r="CM41" s="39" t="str">
        <f>YEAR(CurrentMtgRatesDataTable871112131417[[#This Row],[asofdate]])&amp;"-"&amp;MONTH(CurrentMtgRatesDataTable871112131417[[#This Row],[asofdate]])</f>
        <v>2006-5</v>
      </c>
      <c r="CN41" s="39">
        <f>CurrentMtgRatesDataTable871112131417[[#This Row],[SeriesNumValue]]</f>
        <v>13096299261.450001</v>
      </c>
      <c r="CO41" s="39">
        <f>VLOOKUP(CurrentMtgRatesDataTable871112131417[[#This Row],[asofdate]],BY:BZ,2,0)</f>
        <v>102061000</v>
      </c>
      <c r="CP41" s="35">
        <f>IF(VLOOKUP(CurrentMtgRatesDataTable871112131417[[#This Row],[asofdate]],CC:CD,2,0)&lt;&gt;0,VLOOKUP(CurrentMtgRatesDataTable871112131417[[#This Row],[asofdate]],CC:CD,2,0),CP40)</f>
        <v>33982000</v>
      </c>
      <c r="CQ41" s="35">
        <f>VLOOKUP(CurrentMtgRatesDataTable871112131417[[#This Row],[asofdate]],CG:CH,2,0)</f>
        <v>13232342261.450001</v>
      </c>
    </row>
    <row r="42" spans="1:95" s="6" customFormat="1" ht="12.75">
      <c r="A42" s="7" t="s">
        <v>71</v>
      </c>
      <c r="B42" s="10">
        <v>1.52571454190662E-2</v>
      </c>
      <c r="C42" s="10" t="str">
        <f>YEAR(CurrentMtgRatesDataTable8[[#This Row],[asofdate]])&amp;"-"&amp;MONTH(CurrentMtgRatesDataTable8[[#This Row],[asofdate]])</f>
        <v>2006-6</v>
      </c>
      <c r="D42" s="6">
        <f>((CurrentMtgRatesDataTable8[[#This Row],[SeriesNumValue]]-$D$1)/$D$1+1)*100</f>
        <v>101.71430279377466</v>
      </c>
      <c r="G42" s="7" t="s">
        <v>71</v>
      </c>
      <c r="H42" s="10">
        <v>78.735532502303599</v>
      </c>
      <c r="I42" s="26">
        <f>VLOOKUP(CurrentMtgRatesDataTable82[[#This Row],[asofdate]],K:L,2,0)</f>
        <v>0.166487927243791</v>
      </c>
      <c r="K42" s="7" t="s">
        <v>71</v>
      </c>
      <c r="L42" s="29">
        <v>0.166487927243791</v>
      </c>
      <c r="O42" s="7" t="s">
        <v>71</v>
      </c>
      <c r="P42" s="10">
        <v>37.284968784457597</v>
      </c>
      <c r="Q42" s="29">
        <f>VLOOKUP(CurrentMtgRatesDataTable84[[#This Row],[asofdate]],S:T,2,0)</f>
        <v>0.250967229847814</v>
      </c>
      <c r="S42" s="7" t="s">
        <v>71</v>
      </c>
      <c r="T42" s="10">
        <v>0.250967229847814</v>
      </c>
      <c r="W42" s="7" t="s">
        <v>71</v>
      </c>
      <c r="X42" s="10">
        <v>732.29576439030302</v>
      </c>
      <c r="Y42" s="26">
        <f>VLOOKUP(CurrentMtgRatesDataTable86[[#This Row],[asofdate]],AA:AB,2,0)</f>
        <v>0.26924096627271599</v>
      </c>
      <c r="AA42" s="7" t="s">
        <v>71</v>
      </c>
      <c r="AB42" s="10">
        <v>0.26924096627271599</v>
      </c>
      <c r="AE42" s="7" t="s">
        <v>17</v>
      </c>
      <c r="AF42" s="10">
        <v>1.3682182088131E-2</v>
      </c>
      <c r="AG42" s="10" t="str">
        <f>YEAR(CurrentMtgRatesDataTable89[[#This Row],[asofdate]])&amp;"-"&amp;MONTH(CurrentMtgRatesDataTable89[[#This Row],[asofdate]])</f>
        <v>2012-6</v>
      </c>
      <c r="AH42" s="6">
        <f>((CurrentMtgRatesDataTable89[[#This Row],[SeriesNumValue]]-$D$1)/$D$1+1)*100</f>
        <v>91.214547254206664</v>
      </c>
      <c r="AI42" s="6">
        <f>CurrentMtgRatesDataTable89[[#This Row],[Index]]-AH43</f>
        <v>4.8190208846539804</v>
      </c>
      <c r="AJ42" s="6">
        <f>VLOOKUP(CurrentMtgRatesDataTable89[[#This Row],[asofdate]],G:H,2,0)</f>
        <v>80.204489012117605</v>
      </c>
      <c r="AK42" s="6">
        <f>VLOOKUP(CurrentMtgRatesDataTable89[[#This Row],[asofdate]],K:L,2,0)</f>
        <v>0.21265774870120199</v>
      </c>
      <c r="AL42" s="6">
        <f>VLOOKUP(CurrentMtgRatesDataTable89[[#This Row],[asofdate]],O:P,2,0)</f>
        <v>33.320338476894001</v>
      </c>
      <c r="AM42" s="6">
        <f>VLOOKUP(CurrentMtgRatesDataTable89[[#This Row],[asofdate]],S:T,2,0)</f>
        <v>0.25766810760182601</v>
      </c>
      <c r="AN42" s="6">
        <f>VLOOKUP(CurrentMtgRatesDataTable89[[#This Row],[asofdate]],W:X,2,0)</f>
        <v>761.68341085260897</v>
      </c>
      <c r="AO42" s="6">
        <f>VLOOKUP(CurrentMtgRatesDataTable89[[#This Row],[asofdate]],AA:AB,2,0)</f>
        <v>8.1933479384901697E-2</v>
      </c>
      <c r="AR42" s="7" t="s">
        <v>71</v>
      </c>
      <c r="AS42" s="10">
        <v>8.7665901172641697E-2</v>
      </c>
      <c r="AT42" s="36">
        <f>((CurrentMtgRatesDataTable8711[[#This Row],[SeriesNumValue]]-$D$1)/$D$1+1)*100</f>
        <v>584.43934115094464</v>
      </c>
      <c r="AU42" s="36"/>
      <c r="AW42" s="7" t="s">
        <v>71</v>
      </c>
      <c r="AX42" s="10">
        <v>7.3721687246315296E-2</v>
      </c>
      <c r="AY42" s="36">
        <f>((CurrentMtgRatesDataTable871112[[#This Row],[SeriesNumValue]]-$D$1)/$D$1+1)*100</f>
        <v>491.47791497543534</v>
      </c>
      <c r="AZ42" s="36"/>
      <c r="BB42" s="7" t="s">
        <v>71</v>
      </c>
      <c r="BC42" s="10">
        <v>1.5817086974787599E-2</v>
      </c>
      <c r="BD42" s="39">
        <f>((CurrentMtgRatesDataTable87111213[[#This Row],[SeriesNumValue]]-$D$1)/$D$1+1)*100</f>
        <v>105.44724649858399</v>
      </c>
      <c r="BE42" s="39"/>
      <c r="BG42" s="7" t="s">
        <v>71</v>
      </c>
      <c r="BH42" s="10">
        <v>1.55432241290006E-2</v>
      </c>
      <c r="BI42" s="39">
        <f>((CurrentMtgRatesDataTable8711121314[[#This Row],[SeriesNumValue]]-$D$1)/$D$1+1)*100</f>
        <v>103.62149419333733</v>
      </c>
      <c r="BJ42" s="39" t="str">
        <f>YEAR(CurrentMtgRatesDataTable8711121314[[#This Row],[asofdate]])&amp;"-"&amp;MONTH(CurrentMtgRatesDataTable8711121314[[#This Row],[asofdate]])</f>
        <v>2006-6</v>
      </c>
      <c r="BK42" s="39">
        <f>CurrentMtgRatesDataTable8711121314[[#This Row],[SeriesNumValue]]</f>
        <v>1.55432241290006E-2</v>
      </c>
      <c r="BL42" s="39">
        <f>VLOOKUP(CurrentMtgRatesDataTable8711121314[[#This Row],[asofdate]],AR:AT,2,0)</f>
        <v>8.7665901172641697E-2</v>
      </c>
      <c r="BM42" s="35">
        <f>IF(VLOOKUP(CurrentMtgRatesDataTable8711121314[[#This Row],[asofdate]],AW:AY,2,0)&lt;&gt;0,VLOOKUP(CurrentMtgRatesDataTable8711121314[[#This Row],[asofdate]],AW:AY,2,0),BM41)</f>
        <v>7.3721687246315296E-2</v>
      </c>
      <c r="BN42" s="35">
        <f>VLOOKUP(CurrentMtgRatesDataTable8711121314[[#This Row],[asofdate]],BB:BD,2,0)</f>
        <v>1.5817086974787599E-2</v>
      </c>
      <c r="BO42" s="35">
        <f>CurrentMtgRatesDataTable8711121314[[#This Row],[FHA]]+0.5*CurrentMtgRatesDataTable8711121314[[#This Row],[Conventional]]</f>
        <v>9.5437513237142002E-2</v>
      </c>
      <c r="BP42" s="35">
        <f>2*CurrentMtgRatesDataTable8711121314[[#This Row],[FHA]]</f>
        <v>0.17533180234528339</v>
      </c>
      <c r="BQ42" s="11">
        <f>VLOOKUP(YEAR(CurrentMtgRatesDataTable8711121314[[#This Row],[asofdate]]),OriginationVolume!$A:$N,8,FALSE)</f>
        <v>0.38823529411764707</v>
      </c>
      <c r="BR42" s="11">
        <f>VLOOKUP(YEAR(CurrentMtgRatesDataTable8711121314[[#This Row],[asofdate]]),OriginationVolume!$A:$N,9,FALSE)</f>
        <v>7.8431372549019607E-3</v>
      </c>
      <c r="BS42" s="11">
        <f>VLOOKUP(YEAR(CurrentMtgRatesDataTable8711121314[[#This Row],[asofdate]]),OriginationVolume!$A:$N,10,FALSE)</f>
        <v>2.3529411764705882E-2</v>
      </c>
      <c r="BT42" s="11">
        <f>VLOOKUP(YEAR(CurrentMtgRatesDataTable8711121314[[#This Row],[asofdate]]),OriginationVolume!$A:$N,11,FALSE)</f>
        <v>0.18823529411764706</v>
      </c>
      <c r="BU42" s="11">
        <f>VLOOKUP(YEAR(CurrentMtgRatesDataTable8711121314[[#This Row],[asofdate]]),OriginationVolume!$A:$N,12,FALSE)</f>
        <v>0.15686274509803921</v>
      </c>
      <c r="BV42" s="11">
        <f>VLOOKUP(YEAR(CurrentMtgRatesDataTable8711121314[[#This Row],[asofdate]]),OriginationVolume!$A:$N,13,FALSE)</f>
        <v>0.23529411764705882</v>
      </c>
      <c r="BW42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6.7826279994879418E-2</v>
      </c>
      <c r="BY42" s="7" t="s">
        <v>71</v>
      </c>
      <c r="BZ42" s="10">
        <v>92927000</v>
      </c>
      <c r="CA42" s="36"/>
      <c r="CC42" s="7" t="s">
        <v>71</v>
      </c>
      <c r="CD42" s="10">
        <v>23430000</v>
      </c>
      <c r="CE42" s="36"/>
      <c r="CG42" s="7" t="s">
        <v>71</v>
      </c>
      <c r="CH42" s="10">
        <v>13208560782.91</v>
      </c>
      <c r="CI42" s="39"/>
      <c r="CK42" s="7" t="s">
        <v>71</v>
      </c>
      <c r="CL42" s="10">
        <v>13092203782.91</v>
      </c>
      <c r="CM42" s="39" t="str">
        <f>YEAR(CurrentMtgRatesDataTable871112131417[[#This Row],[asofdate]])&amp;"-"&amp;MONTH(CurrentMtgRatesDataTable871112131417[[#This Row],[asofdate]])</f>
        <v>2006-6</v>
      </c>
      <c r="CN42" s="39">
        <f>CurrentMtgRatesDataTable871112131417[[#This Row],[SeriesNumValue]]</f>
        <v>13092203782.91</v>
      </c>
      <c r="CO42" s="39">
        <f>VLOOKUP(CurrentMtgRatesDataTable871112131417[[#This Row],[asofdate]],BY:BZ,2,0)</f>
        <v>92927000</v>
      </c>
      <c r="CP42" s="35">
        <f>IF(VLOOKUP(CurrentMtgRatesDataTable871112131417[[#This Row],[asofdate]],CC:CD,2,0)&lt;&gt;0,VLOOKUP(CurrentMtgRatesDataTable871112131417[[#This Row],[asofdate]],CC:CD,2,0),CP41)</f>
        <v>23430000</v>
      </c>
      <c r="CQ42" s="35">
        <f>VLOOKUP(CurrentMtgRatesDataTable871112131417[[#This Row],[asofdate]],CG:CH,2,0)</f>
        <v>13208560782.91</v>
      </c>
    </row>
    <row r="43" spans="1:95" s="6" customFormat="1" ht="12.75">
      <c r="A43" s="7" t="s">
        <v>72</v>
      </c>
      <c r="B43" s="10">
        <v>1.54852405714671E-2</v>
      </c>
      <c r="C43" s="10" t="str">
        <f>YEAR(CurrentMtgRatesDataTable8[[#This Row],[asofdate]])&amp;"-"&amp;MONTH(CurrentMtgRatesDataTable8[[#This Row],[asofdate]])</f>
        <v>2006-7</v>
      </c>
      <c r="D43" s="6">
        <f>((CurrentMtgRatesDataTable8[[#This Row],[SeriesNumValue]]-$D$1)/$D$1+1)*100</f>
        <v>103.234937143114</v>
      </c>
      <c r="G43" s="7" t="s">
        <v>72</v>
      </c>
      <c r="H43" s="10">
        <v>78.765290924066704</v>
      </c>
      <c r="I43" s="26">
        <f>VLOOKUP(CurrentMtgRatesDataTable82[[#This Row],[asofdate]],K:L,2,0)</f>
        <v>0.16509874727797</v>
      </c>
      <c r="K43" s="7" t="s">
        <v>72</v>
      </c>
      <c r="L43" s="29">
        <v>0.16509874727797</v>
      </c>
      <c r="O43" s="7" t="s">
        <v>72</v>
      </c>
      <c r="P43" s="10">
        <v>37.630284650424002</v>
      </c>
      <c r="Q43" s="29">
        <f>VLOOKUP(CurrentMtgRatesDataTable84[[#This Row],[asofdate]],S:T,2,0)</f>
        <v>0.25385801090037102</v>
      </c>
      <c r="S43" s="7" t="s">
        <v>72</v>
      </c>
      <c r="T43" s="10">
        <v>0.25385801090037102</v>
      </c>
      <c r="W43" s="7" t="s">
        <v>72</v>
      </c>
      <c r="X43" s="10">
        <v>732.98461213720498</v>
      </c>
      <c r="Y43" s="26">
        <f>VLOOKUP(CurrentMtgRatesDataTable86[[#This Row],[asofdate]],AA:AB,2,0)</f>
        <v>0.26404056393812197</v>
      </c>
      <c r="AA43" s="7" t="s">
        <v>72</v>
      </c>
      <c r="AB43" s="10">
        <v>0.26404056393812197</v>
      </c>
      <c r="AE43" s="7" t="s">
        <v>9</v>
      </c>
      <c r="AF43" s="10">
        <v>1.29593289554329E-2</v>
      </c>
      <c r="AG43" s="10" t="str">
        <f>YEAR(CurrentMtgRatesDataTable89[[#This Row],[asofdate]])&amp;"-"&amp;MONTH(CurrentMtgRatesDataTable89[[#This Row],[asofdate]])</f>
        <v>2012-5</v>
      </c>
      <c r="AH43" s="6">
        <f>((CurrentMtgRatesDataTable89[[#This Row],[SeriesNumValue]]-$D$1)/$D$1+1)*100</f>
        <v>86.395526369552684</v>
      </c>
      <c r="AI43" s="6">
        <f>CurrentMtgRatesDataTable89[[#This Row],[Index]]-AH44</f>
        <v>-1.8121862433133202</v>
      </c>
      <c r="AJ43" s="6">
        <f>VLOOKUP(CurrentMtgRatesDataTable89[[#This Row],[asofdate]],G:H,2,0)</f>
        <v>80.039959057495395</v>
      </c>
      <c r="AK43" s="6">
        <f>VLOOKUP(CurrentMtgRatesDataTable89[[#This Row],[asofdate]],K:L,2,0)</f>
        <v>0.20659910837783499</v>
      </c>
      <c r="AL43" s="6">
        <f>VLOOKUP(CurrentMtgRatesDataTable89[[#This Row],[asofdate]],O:P,2,0)</f>
        <v>33.384740820904597</v>
      </c>
      <c r="AM43" s="6">
        <f>VLOOKUP(CurrentMtgRatesDataTable89[[#This Row],[asofdate]],S:T,2,0)</f>
        <v>0.25395306698819098</v>
      </c>
      <c r="AN43" s="6">
        <f>VLOOKUP(CurrentMtgRatesDataTable89[[#This Row],[asofdate]],W:X,2,0)</f>
        <v>761.22417340280003</v>
      </c>
      <c r="AO43" s="6">
        <f>VLOOKUP(CurrentMtgRatesDataTable89[[#This Row],[asofdate]],AA:AB,2,0)</f>
        <v>8.2457761148304595E-2</v>
      </c>
      <c r="AR43" s="7" t="s">
        <v>72</v>
      </c>
      <c r="AS43" s="10">
        <v>9.4627360659875495E-2</v>
      </c>
      <c r="AT43" s="36">
        <f>((CurrentMtgRatesDataTable8711[[#This Row],[SeriesNumValue]]-$D$1)/$D$1+1)*100</f>
        <v>630.84907106583671</v>
      </c>
      <c r="AU43" s="36"/>
      <c r="AW43" s="7" t="s">
        <v>72</v>
      </c>
      <c r="AX43" s="10">
        <v>7.1097707040510896E-2</v>
      </c>
      <c r="AY43" s="36">
        <f>((CurrentMtgRatesDataTable871112[[#This Row],[SeriesNumValue]]-$D$1)/$D$1+1)*100</f>
        <v>473.98471360340596</v>
      </c>
      <c r="AZ43" s="36"/>
      <c r="BB43" s="7" t="s">
        <v>72</v>
      </c>
      <c r="BC43" s="10">
        <v>1.6005456144046401E-2</v>
      </c>
      <c r="BD43" s="39">
        <f>((CurrentMtgRatesDataTable87111213[[#This Row],[SeriesNumValue]]-$D$1)/$D$1+1)*100</f>
        <v>106.70304096030934</v>
      </c>
      <c r="BE43" s="39"/>
      <c r="BG43" s="7" t="s">
        <v>72</v>
      </c>
      <c r="BH43" s="10">
        <v>1.5780549034031699E-2</v>
      </c>
      <c r="BI43" s="39">
        <f>((CurrentMtgRatesDataTable8711121314[[#This Row],[SeriesNumValue]]-$D$1)/$D$1+1)*100</f>
        <v>105.20366022687799</v>
      </c>
      <c r="BJ43" s="39" t="str">
        <f>YEAR(CurrentMtgRatesDataTable8711121314[[#This Row],[asofdate]])&amp;"-"&amp;MONTH(CurrentMtgRatesDataTable8711121314[[#This Row],[asofdate]])</f>
        <v>2006-7</v>
      </c>
      <c r="BK43" s="39">
        <f>CurrentMtgRatesDataTable8711121314[[#This Row],[SeriesNumValue]]</f>
        <v>1.5780549034031699E-2</v>
      </c>
      <c r="BL43" s="39">
        <f>VLOOKUP(CurrentMtgRatesDataTable8711121314[[#This Row],[asofdate]],AR:AT,2,0)</f>
        <v>9.4627360659875495E-2</v>
      </c>
      <c r="BM43" s="35">
        <f>IF(VLOOKUP(CurrentMtgRatesDataTable8711121314[[#This Row],[asofdate]],AW:AY,2,0)&lt;&gt;0,VLOOKUP(CurrentMtgRatesDataTable8711121314[[#This Row],[asofdate]],AW:AY,2,0),BM42)</f>
        <v>7.1097707040510896E-2</v>
      </c>
      <c r="BN43" s="35">
        <f>VLOOKUP(CurrentMtgRatesDataTable8711121314[[#This Row],[asofdate]],BB:BD,2,0)</f>
        <v>1.6005456144046401E-2</v>
      </c>
      <c r="BO43" s="35">
        <f>CurrentMtgRatesDataTable8711121314[[#This Row],[FHA]]+0.5*CurrentMtgRatesDataTable8711121314[[#This Row],[Conventional]]</f>
        <v>0.10251763517689134</v>
      </c>
      <c r="BP43" s="35">
        <f>2*CurrentMtgRatesDataTable8711121314[[#This Row],[FHA]]</f>
        <v>0.18925472131975099</v>
      </c>
      <c r="BQ43" s="11">
        <f>VLOOKUP(YEAR(CurrentMtgRatesDataTable8711121314[[#This Row],[asofdate]]),OriginationVolume!$A:$N,8,FALSE)</f>
        <v>0.38823529411764707</v>
      </c>
      <c r="BR43" s="11">
        <f>VLOOKUP(YEAR(CurrentMtgRatesDataTable8711121314[[#This Row],[asofdate]]),OriginationVolume!$A:$N,9,FALSE)</f>
        <v>7.8431372549019607E-3</v>
      </c>
      <c r="BS43" s="11">
        <f>VLOOKUP(YEAR(CurrentMtgRatesDataTable8711121314[[#This Row],[asofdate]]),OriginationVolume!$A:$N,10,FALSE)</f>
        <v>2.3529411764705882E-2</v>
      </c>
      <c r="BT43" s="11">
        <f>VLOOKUP(YEAR(CurrentMtgRatesDataTable8711121314[[#This Row],[asofdate]]),OriginationVolume!$A:$N,11,FALSE)</f>
        <v>0.18823529411764706</v>
      </c>
      <c r="BU43" s="11">
        <f>VLOOKUP(YEAR(CurrentMtgRatesDataTable8711121314[[#This Row],[asofdate]]),OriginationVolume!$A:$N,12,FALSE)</f>
        <v>0.15686274509803921</v>
      </c>
      <c r="BV43" s="11">
        <f>VLOOKUP(YEAR(CurrentMtgRatesDataTable8711121314[[#This Row],[asofdate]]),OriginationVolume!$A:$N,13,FALSE)</f>
        <v>0.23529411764705882</v>
      </c>
      <c r="BW43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7.249289793060254E-2</v>
      </c>
      <c r="BY43" s="7" t="s">
        <v>72</v>
      </c>
      <c r="BZ43" s="10">
        <v>87646000</v>
      </c>
      <c r="CA43" s="36"/>
      <c r="CC43" s="7" t="s">
        <v>72</v>
      </c>
      <c r="CD43" s="10">
        <v>22194000</v>
      </c>
      <c r="CE43" s="36"/>
      <c r="CG43" s="7" t="s">
        <v>72</v>
      </c>
      <c r="CH43" s="10">
        <v>15345415496.129999</v>
      </c>
      <c r="CI43" s="39"/>
      <c r="CK43" s="7" t="s">
        <v>72</v>
      </c>
      <c r="CL43" s="10">
        <v>15235575496.129999</v>
      </c>
      <c r="CM43" s="39" t="str">
        <f>YEAR(CurrentMtgRatesDataTable871112131417[[#This Row],[asofdate]])&amp;"-"&amp;MONTH(CurrentMtgRatesDataTable871112131417[[#This Row],[asofdate]])</f>
        <v>2006-7</v>
      </c>
      <c r="CN43" s="39">
        <f>CurrentMtgRatesDataTable871112131417[[#This Row],[SeriesNumValue]]</f>
        <v>15235575496.129999</v>
      </c>
      <c r="CO43" s="39">
        <f>VLOOKUP(CurrentMtgRatesDataTable871112131417[[#This Row],[asofdate]],BY:BZ,2,0)</f>
        <v>87646000</v>
      </c>
      <c r="CP43" s="35">
        <f>IF(VLOOKUP(CurrentMtgRatesDataTable871112131417[[#This Row],[asofdate]],CC:CD,2,0)&lt;&gt;0,VLOOKUP(CurrentMtgRatesDataTable871112131417[[#This Row],[asofdate]],CC:CD,2,0),CP42)</f>
        <v>22194000</v>
      </c>
      <c r="CQ43" s="35">
        <f>VLOOKUP(CurrentMtgRatesDataTable871112131417[[#This Row],[asofdate]],CG:CH,2,0)</f>
        <v>15345415496.129999</v>
      </c>
    </row>
    <row r="44" spans="1:95" s="6" customFormat="1" ht="12.75">
      <c r="A44" s="7" t="s">
        <v>73</v>
      </c>
      <c r="B44" s="10">
        <v>1.5333914991090301E-2</v>
      </c>
      <c r="C44" s="10" t="str">
        <f>YEAR(CurrentMtgRatesDataTable8[[#This Row],[asofdate]])&amp;"-"&amp;MONTH(CurrentMtgRatesDataTable8[[#This Row],[asofdate]])</f>
        <v>2006-8</v>
      </c>
      <c r="D44" s="6">
        <f>((CurrentMtgRatesDataTable8[[#This Row],[SeriesNumValue]]-$D$1)/$D$1+1)*100</f>
        <v>102.22609994060201</v>
      </c>
      <c r="G44" s="7" t="s">
        <v>73</v>
      </c>
      <c r="H44" s="10">
        <v>78.636667015447799</v>
      </c>
      <c r="I44" s="26">
        <f>VLOOKUP(CurrentMtgRatesDataTable82[[#This Row],[asofdate]],K:L,2,0)</f>
        <v>0.16483333011769599</v>
      </c>
      <c r="K44" s="7" t="s">
        <v>73</v>
      </c>
      <c r="L44" s="29">
        <v>0.16483333011769599</v>
      </c>
      <c r="O44" s="7" t="s">
        <v>73</v>
      </c>
      <c r="P44" s="10">
        <v>37.652579877335498</v>
      </c>
      <c r="Q44" s="29">
        <f>VLOOKUP(CurrentMtgRatesDataTable84[[#This Row],[asofdate]],S:T,2,0)</f>
        <v>0.259163903970826</v>
      </c>
      <c r="S44" s="7" t="s">
        <v>73</v>
      </c>
      <c r="T44" s="10">
        <v>0.259163903970826</v>
      </c>
      <c r="W44" s="7" t="s">
        <v>73</v>
      </c>
      <c r="X44" s="10">
        <v>733.55251588227702</v>
      </c>
      <c r="Y44" s="26">
        <f>VLOOKUP(CurrentMtgRatesDataTable86[[#This Row],[asofdate]],AA:AB,2,0)</f>
        <v>0.26015553383897599</v>
      </c>
      <c r="AA44" s="7" t="s">
        <v>73</v>
      </c>
      <c r="AB44" s="10">
        <v>0.26015553383897599</v>
      </c>
      <c r="AE44" s="7" t="s">
        <v>141</v>
      </c>
      <c r="AF44" s="10">
        <v>1.3231156891929901E-2</v>
      </c>
      <c r="AG44" s="10" t="str">
        <f>YEAR(CurrentMtgRatesDataTable89[[#This Row],[asofdate]])&amp;"-"&amp;MONTH(CurrentMtgRatesDataTable89[[#This Row],[asofdate]])</f>
        <v>2012-4</v>
      </c>
      <c r="AH44" s="6">
        <f>((CurrentMtgRatesDataTable89[[#This Row],[SeriesNumValue]]-$D$1)/$D$1+1)*100</f>
        <v>88.207712612866004</v>
      </c>
      <c r="AI44" s="6">
        <f>CurrentMtgRatesDataTable89[[#This Row],[Index]]-AH45</f>
        <v>-1.3803429927306752</v>
      </c>
      <c r="AJ44" s="6">
        <f>VLOOKUP(CurrentMtgRatesDataTable89[[#This Row],[asofdate]],G:H,2,0)</f>
        <v>79.927779566624807</v>
      </c>
      <c r="AK44" s="6">
        <f>VLOOKUP(CurrentMtgRatesDataTable89[[#This Row],[asofdate]],K:L,2,0)</f>
        <v>0.19832864817753501</v>
      </c>
      <c r="AL44" s="6">
        <f>VLOOKUP(CurrentMtgRatesDataTable89[[#This Row],[asofdate]],O:P,2,0)</f>
        <v>33.518276945538801</v>
      </c>
      <c r="AM44" s="6">
        <f>VLOOKUP(CurrentMtgRatesDataTable89[[#This Row],[asofdate]],S:T,2,0)</f>
        <v>0.26161336953345399</v>
      </c>
      <c r="AN44" s="6">
        <f>VLOOKUP(CurrentMtgRatesDataTable89[[#This Row],[asofdate]],W:X,2,0)</f>
        <v>760.69983465532198</v>
      </c>
      <c r="AO44" s="6">
        <f>VLOOKUP(CurrentMtgRatesDataTable89[[#This Row],[asofdate]],AA:AB,2,0)</f>
        <v>8.3609698617037903E-2</v>
      </c>
      <c r="AR44" s="7" t="s">
        <v>73</v>
      </c>
      <c r="AS44" s="10">
        <v>9.7328657053947207E-2</v>
      </c>
      <c r="AT44" s="36">
        <f>((CurrentMtgRatesDataTable8711[[#This Row],[SeriesNumValue]]-$D$1)/$D$1+1)*100</f>
        <v>648.85771369298141</v>
      </c>
      <c r="AU44" s="36"/>
      <c r="AW44" s="7" t="s">
        <v>73</v>
      </c>
      <c r="AX44" s="10">
        <v>8.2438738787264404E-2</v>
      </c>
      <c r="AY44" s="36">
        <f>((CurrentMtgRatesDataTable871112[[#This Row],[SeriesNumValue]]-$D$1)/$D$1+1)*100</f>
        <v>549.59159191509605</v>
      </c>
      <c r="AZ44" s="36"/>
      <c r="BB44" s="7" t="s">
        <v>73</v>
      </c>
      <c r="BC44" s="10">
        <v>1.57773085854476E-2</v>
      </c>
      <c r="BD44" s="39">
        <f>((CurrentMtgRatesDataTable87111213[[#This Row],[SeriesNumValue]]-$D$1)/$D$1+1)*100</f>
        <v>105.18205723631735</v>
      </c>
      <c r="BE44" s="39"/>
      <c r="BG44" s="7" t="s">
        <v>73</v>
      </c>
      <c r="BH44" s="10">
        <v>1.5606632079750099E-2</v>
      </c>
      <c r="BI44" s="39">
        <f>((CurrentMtgRatesDataTable8711121314[[#This Row],[SeriesNumValue]]-$D$1)/$D$1+1)*100</f>
        <v>104.04421386500067</v>
      </c>
      <c r="BJ44" s="39" t="str">
        <f>YEAR(CurrentMtgRatesDataTable8711121314[[#This Row],[asofdate]])&amp;"-"&amp;MONTH(CurrentMtgRatesDataTable8711121314[[#This Row],[asofdate]])</f>
        <v>2006-8</v>
      </c>
      <c r="BK44" s="39">
        <f>CurrentMtgRatesDataTable8711121314[[#This Row],[SeriesNumValue]]</f>
        <v>1.5606632079750099E-2</v>
      </c>
      <c r="BL44" s="39">
        <f>VLOOKUP(CurrentMtgRatesDataTable8711121314[[#This Row],[asofdate]],AR:AT,2,0)</f>
        <v>9.7328657053947207E-2</v>
      </c>
      <c r="BM44" s="35">
        <f>IF(VLOOKUP(CurrentMtgRatesDataTable8711121314[[#This Row],[asofdate]],AW:AY,2,0)&lt;&gt;0,VLOOKUP(CurrentMtgRatesDataTable8711121314[[#This Row],[asofdate]],AW:AY,2,0),BM43)</f>
        <v>8.2438738787264404E-2</v>
      </c>
      <c r="BN44" s="35">
        <f>VLOOKUP(CurrentMtgRatesDataTable8711121314[[#This Row],[asofdate]],BB:BD,2,0)</f>
        <v>1.57773085854476E-2</v>
      </c>
      <c r="BO44" s="35">
        <f>CurrentMtgRatesDataTable8711121314[[#This Row],[FHA]]+0.5*CurrentMtgRatesDataTable8711121314[[#This Row],[Conventional]]</f>
        <v>0.10513197309382226</v>
      </c>
      <c r="BP44" s="35">
        <f>2*CurrentMtgRatesDataTable8711121314[[#This Row],[FHA]]</f>
        <v>0.19465731410789441</v>
      </c>
      <c r="BQ44" s="11">
        <f>VLOOKUP(YEAR(CurrentMtgRatesDataTable8711121314[[#This Row],[asofdate]]),OriginationVolume!$A:$N,8,FALSE)</f>
        <v>0.38823529411764707</v>
      </c>
      <c r="BR44" s="11">
        <f>VLOOKUP(YEAR(CurrentMtgRatesDataTable8711121314[[#This Row],[asofdate]]),OriginationVolume!$A:$N,9,FALSE)</f>
        <v>7.8431372549019607E-3</v>
      </c>
      <c r="BS44" s="11">
        <f>VLOOKUP(YEAR(CurrentMtgRatesDataTable8711121314[[#This Row],[asofdate]]),OriginationVolume!$A:$N,10,FALSE)</f>
        <v>2.3529411764705882E-2</v>
      </c>
      <c r="BT44" s="11">
        <f>VLOOKUP(YEAR(CurrentMtgRatesDataTable8711121314[[#This Row],[asofdate]]),OriginationVolume!$A:$N,11,FALSE)</f>
        <v>0.18823529411764706</v>
      </c>
      <c r="BU44" s="11">
        <f>VLOOKUP(YEAR(CurrentMtgRatesDataTable8711121314[[#This Row],[asofdate]]),OriginationVolume!$A:$N,12,FALSE)</f>
        <v>0.15686274509803921</v>
      </c>
      <c r="BV44" s="11">
        <f>VLOOKUP(YEAR(CurrentMtgRatesDataTable8711121314[[#This Row],[asofdate]]),OriginationVolume!$A:$N,13,FALSE)</f>
        <v>0.23529411764705882</v>
      </c>
      <c r="BW44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7.4226439630776589E-2</v>
      </c>
      <c r="BY44" s="7" t="s">
        <v>73</v>
      </c>
      <c r="BZ44" s="10">
        <v>75547000</v>
      </c>
      <c r="CA44" s="36"/>
      <c r="CC44" s="7" t="s">
        <v>73</v>
      </c>
      <c r="CD44" s="10">
        <v>19556000</v>
      </c>
      <c r="CE44" s="36"/>
      <c r="CG44" s="7" t="s">
        <v>73</v>
      </c>
      <c r="CH44" s="10">
        <v>17321146878.52</v>
      </c>
      <c r="CI44" s="39"/>
      <c r="CK44" s="7" t="s">
        <v>73</v>
      </c>
      <c r="CL44" s="10">
        <v>17226043878.52</v>
      </c>
      <c r="CM44" s="39" t="str">
        <f>YEAR(CurrentMtgRatesDataTable871112131417[[#This Row],[asofdate]])&amp;"-"&amp;MONTH(CurrentMtgRatesDataTable871112131417[[#This Row],[asofdate]])</f>
        <v>2006-8</v>
      </c>
      <c r="CN44" s="39">
        <f>CurrentMtgRatesDataTable871112131417[[#This Row],[SeriesNumValue]]</f>
        <v>17226043878.52</v>
      </c>
      <c r="CO44" s="39">
        <f>VLOOKUP(CurrentMtgRatesDataTable871112131417[[#This Row],[asofdate]],BY:BZ,2,0)</f>
        <v>75547000</v>
      </c>
      <c r="CP44" s="35">
        <f>IF(VLOOKUP(CurrentMtgRatesDataTable871112131417[[#This Row],[asofdate]],CC:CD,2,0)&lt;&gt;0,VLOOKUP(CurrentMtgRatesDataTable871112131417[[#This Row],[asofdate]],CC:CD,2,0),CP43)</f>
        <v>19556000</v>
      </c>
      <c r="CQ44" s="35">
        <f>VLOOKUP(CurrentMtgRatesDataTable871112131417[[#This Row],[asofdate]],CG:CH,2,0)</f>
        <v>17321146878.52</v>
      </c>
    </row>
    <row r="45" spans="1:95" s="6" customFormat="1" ht="12.75">
      <c r="A45" s="7" t="s">
        <v>74</v>
      </c>
      <c r="B45" s="10">
        <v>1.78805075862025E-2</v>
      </c>
      <c r="C45" s="10" t="str">
        <f>YEAR(CurrentMtgRatesDataTable8[[#This Row],[asofdate]])&amp;"-"&amp;MONTH(CurrentMtgRatesDataTable8[[#This Row],[asofdate]])</f>
        <v>2006-9</v>
      </c>
      <c r="D45" s="6">
        <f>((CurrentMtgRatesDataTable8[[#This Row],[SeriesNumValue]]-$D$1)/$D$1+1)*100</f>
        <v>119.20338390801668</v>
      </c>
      <c r="G45" s="7" t="s">
        <v>74</v>
      </c>
      <c r="H45" s="10">
        <v>78.908862181851305</v>
      </c>
      <c r="I45" s="26">
        <f>VLOOKUP(CurrentMtgRatesDataTable82[[#This Row],[asofdate]],K:L,2,0)</f>
        <v>0.17599985174605701</v>
      </c>
      <c r="K45" s="7" t="s">
        <v>74</v>
      </c>
      <c r="L45" s="29">
        <v>0.17599985174605701</v>
      </c>
      <c r="O45" s="7" t="s">
        <v>74</v>
      </c>
      <c r="P45" s="10">
        <v>37.944084729028397</v>
      </c>
      <c r="Q45" s="29">
        <f>VLOOKUP(CurrentMtgRatesDataTable84[[#This Row],[asofdate]],S:T,2,0)</f>
        <v>0.25572001484150397</v>
      </c>
      <c r="S45" s="7" t="s">
        <v>74</v>
      </c>
      <c r="T45" s="10">
        <v>0.25572001484150397</v>
      </c>
      <c r="W45" s="7" t="s">
        <v>74</v>
      </c>
      <c r="X45" s="10">
        <v>732.49642925119599</v>
      </c>
      <c r="Y45" s="26">
        <f>VLOOKUP(CurrentMtgRatesDataTable86[[#This Row],[asofdate]],AA:AB,2,0)</f>
        <v>0.26931657554004801</v>
      </c>
      <c r="AA45" s="7" t="s">
        <v>74</v>
      </c>
      <c r="AB45" s="10">
        <v>0.26931657554004801</v>
      </c>
      <c r="AE45" s="7" t="s">
        <v>140</v>
      </c>
      <c r="AF45" s="10">
        <v>1.3438208340839501E-2</v>
      </c>
      <c r="AG45" s="10" t="str">
        <f>YEAR(CurrentMtgRatesDataTable89[[#This Row],[asofdate]])&amp;"-"&amp;MONTH(CurrentMtgRatesDataTable89[[#This Row],[asofdate]])</f>
        <v>2012-3</v>
      </c>
      <c r="AH45" s="6">
        <f>((CurrentMtgRatesDataTable89[[#This Row],[SeriesNumValue]]-$D$1)/$D$1+1)*100</f>
        <v>89.588055605596679</v>
      </c>
      <c r="AI45" s="6">
        <f>CurrentMtgRatesDataTable89[[#This Row],[Index]]-AH46</f>
        <v>-0.23320642664664604</v>
      </c>
      <c r="AJ45" s="6">
        <f>VLOOKUP(CurrentMtgRatesDataTable89[[#This Row],[asofdate]],G:H,2,0)</f>
        <v>79.620695860633106</v>
      </c>
      <c r="AK45" s="6">
        <f>VLOOKUP(CurrentMtgRatesDataTable89[[#This Row],[asofdate]],K:L,2,0)</f>
        <v>0.188680020444463</v>
      </c>
      <c r="AL45" s="6">
        <f>VLOOKUP(CurrentMtgRatesDataTable89[[#This Row],[asofdate]],O:P,2,0)</f>
        <v>33.680251809150697</v>
      </c>
      <c r="AM45" s="6">
        <f>VLOOKUP(CurrentMtgRatesDataTable89[[#This Row],[asofdate]],S:T,2,0)</f>
        <v>0.267356946580733</v>
      </c>
      <c r="AN45" s="6">
        <f>VLOOKUP(CurrentMtgRatesDataTable89[[#This Row],[asofdate]],W:X,2,0)</f>
        <v>760.52419652388801</v>
      </c>
      <c r="AO45" s="6">
        <f>VLOOKUP(CurrentMtgRatesDataTable89[[#This Row],[asofdate]],AA:AB,2,0)</f>
        <v>8.5745788275712206E-2</v>
      </c>
      <c r="AR45" s="7" t="s">
        <v>74</v>
      </c>
      <c r="AS45" s="10">
        <v>0.106959828331922</v>
      </c>
      <c r="AT45" s="36">
        <f>((CurrentMtgRatesDataTable8711[[#This Row],[SeriesNumValue]]-$D$1)/$D$1+1)*100</f>
        <v>713.06552221281333</v>
      </c>
      <c r="AU45" s="36"/>
      <c r="AW45" s="7" t="s">
        <v>74</v>
      </c>
      <c r="AX45" s="10">
        <v>0</v>
      </c>
      <c r="AY45" s="36">
        <f>((CurrentMtgRatesDataTable871112[[#This Row],[SeriesNumValue]]-$D$1)/$D$1+1)*100</f>
        <v>0</v>
      </c>
      <c r="AZ45" s="36"/>
      <c r="BB45" s="7" t="s">
        <v>74</v>
      </c>
      <c r="BC45" s="10">
        <v>1.6427780418882602E-2</v>
      </c>
      <c r="BD45" s="39">
        <f>((CurrentMtgRatesDataTable87111213[[#This Row],[SeriesNumValue]]-$D$1)/$D$1+1)*100</f>
        <v>109.51853612588403</v>
      </c>
      <c r="BE45" s="39"/>
      <c r="BG45" s="7" t="s">
        <v>74</v>
      </c>
      <c r="BH45" s="10">
        <v>1.6294352826003E-2</v>
      </c>
      <c r="BI45" s="39">
        <f>((CurrentMtgRatesDataTable8711121314[[#This Row],[SeriesNumValue]]-$D$1)/$D$1+1)*100</f>
        <v>108.62901884002001</v>
      </c>
      <c r="BJ45" s="39" t="str">
        <f>YEAR(CurrentMtgRatesDataTable8711121314[[#This Row],[asofdate]])&amp;"-"&amp;MONTH(CurrentMtgRatesDataTable8711121314[[#This Row],[asofdate]])</f>
        <v>2006-9</v>
      </c>
      <c r="BK45" s="39">
        <f>CurrentMtgRatesDataTable8711121314[[#This Row],[SeriesNumValue]]</f>
        <v>1.6294352826003E-2</v>
      </c>
      <c r="BL45" s="39">
        <f>VLOOKUP(CurrentMtgRatesDataTable8711121314[[#This Row],[asofdate]],AR:AT,2,0)</f>
        <v>0.106959828331922</v>
      </c>
      <c r="BM45" s="35">
        <f>IF(VLOOKUP(CurrentMtgRatesDataTable8711121314[[#This Row],[asofdate]],AW:AY,2,0)&lt;&gt;0,VLOOKUP(CurrentMtgRatesDataTable8711121314[[#This Row],[asofdate]],AW:AY,2,0),BM44)</f>
        <v>8.2438738787264404E-2</v>
      </c>
      <c r="BN45" s="35">
        <f>VLOOKUP(CurrentMtgRatesDataTable8711121314[[#This Row],[asofdate]],BB:BD,2,0)</f>
        <v>1.6427780418882602E-2</v>
      </c>
      <c r="BO45" s="35">
        <f>CurrentMtgRatesDataTable8711121314[[#This Row],[FHA]]+0.5*CurrentMtgRatesDataTable8711121314[[#This Row],[Conventional]]</f>
        <v>0.1151070047449235</v>
      </c>
      <c r="BP45" s="35">
        <f>2*CurrentMtgRatesDataTable8711121314[[#This Row],[FHA]]</f>
        <v>0.21391965666384399</v>
      </c>
      <c r="BQ45" s="11">
        <f>VLOOKUP(YEAR(CurrentMtgRatesDataTable8711121314[[#This Row],[asofdate]]),OriginationVolume!$A:$N,8,FALSE)</f>
        <v>0.38823529411764707</v>
      </c>
      <c r="BR45" s="11">
        <f>VLOOKUP(YEAR(CurrentMtgRatesDataTable8711121314[[#This Row],[asofdate]]),OriginationVolume!$A:$N,9,FALSE)</f>
        <v>7.8431372549019607E-3</v>
      </c>
      <c r="BS45" s="11">
        <f>VLOOKUP(YEAR(CurrentMtgRatesDataTable8711121314[[#This Row],[asofdate]]),OriginationVolume!$A:$N,10,FALSE)</f>
        <v>2.3529411764705882E-2</v>
      </c>
      <c r="BT45" s="11">
        <f>VLOOKUP(YEAR(CurrentMtgRatesDataTable8711121314[[#This Row],[asofdate]]),OriginationVolume!$A:$N,11,FALSE)</f>
        <v>0.18823529411764706</v>
      </c>
      <c r="BU45" s="11">
        <f>VLOOKUP(YEAR(CurrentMtgRatesDataTable8711121314[[#This Row],[asofdate]]),OriginationVolume!$A:$N,12,FALSE)</f>
        <v>0.15686274509803921</v>
      </c>
      <c r="BV45" s="11">
        <f>VLOOKUP(YEAR(CurrentMtgRatesDataTable8711121314[[#This Row],[asofdate]]),OriginationVolume!$A:$N,13,FALSE)</f>
        <v>0.23529411764705882</v>
      </c>
      <c r="BW45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8.0946532951435612E-2</v>
      </c>
      <c r="BY45" s="7" t="s">
        <v>74</v>
      </c>
      <c r="BZ45" s="10">
        <v>49542000</v>
      </c>
      <c r="CA45" s="36"/>
      <c r="CC45" s="7" t="s">
        <v>74</v>
      </c>
      <c r="CD45" s="10">
        <v>14696000</v>
      </c>
      <c r="CE45" s="36"/>
      <c r="CG45" s="7" t="s">
        <v>74</v>
      </c>
      <c r="CH45" s="10">
        <v>15093745589.51</v>
      </c>
      <c r="CI45" s="39"/>
      <c r="CK45" s="7" t="s">
        <v>74</v>
      </c>
      <c r="CL45" s="10">
        <v>15029507589.51</v>
      </c>
      <c r="CM45" s="39" t="str">
        <f>YEAR(CurrentMtgRatesDataTable871112131417[[#This Row],[asofdate]])&amp;"-"&amp;MONTH(CurrentMtgRatesDataTable871112131417[[#This Row],[asofdate]])</f>
        <v>2006-9</v>
      </c>
      <c r="CN45" s="39">
        <f>CurrentMtgRatesDataTable871112131417[[#This Row],[SeriesNumValue]]</f>
        <v>15029507589.51</v>
      </c>
      <c r="CO45" s="39">
        <f>VLOOKUP(CurrentMtgRatesDataTable871112131417[[#This Row],[asofdate]],BY:BZ,2,0)</f>
        <v>49542000</v>
      </c>
      <c r="CP45" s="35">
        <f>IF(VLOOKUP(CurrentMtgRatesDataTable871112131417[[#This Row],[asofdate]],CC:CD,2,0)&lt;&gt;0,VLOOKUP(CurrentMtgRatesDataTable871112131417[[#This Row],[asofdate]],CC:CD,2,0),CP44)</f>
        <v>14696000</v>
      </c>
      <c r="CQ45" s="35">
        <f>VLOOKUP(CurrentMtgRatesDataTable871112131417[[#This Row],[asofdate]],CG:CH,2,0)</f>
        <v>15093745589.51</v>
      </c>
    </row>
    <row r="46" spans="1:95" s="6" customFormat="1" ht="12.75">
      <c r="A46" s="7" t="s">
        <v>75</v>
      </c>
      <c r="B46" s="10">
        <v>1.8832789330188299E-2</v>
      </c>
      <c r="C46" s="10" t="str">
        <f>YEAR(CurrentMtgRatesDataTable8[[#This Row],[asofdate]])&amp;"-"&amp;MONTH(CurrentMtgRatesDataTable8[[#This Row],[asofdate]])</f>
        <v>2006-10</v>
      </c>
      <c r="D46" s="6">
        <f>((CurrentMtgRatesDataTable8[[#This Row],[SeriesNumValue]]-$D$1)/$D$1+1)*100</f>
        <v>125.55192886792202</v>
      </c>
      <c r="G46" s="7" t="s">
        <v>75</v>
      </c>
      <c r="H46" s="10">
        <v>79.136143909953105</v>
      </c>
      <c r="I46" s="26">
        <f>VLOOKUP(CurrentMtgRatesDataTable82[[#This Row],[asofdate]],K:L,2,0)</f>
        <v>0.18540217986062499</v>
      </c>
      <c r="K46" s="7" t="s">
        <v>75</v>
      </c>
      <c r="L46" s="29">
        <v>0.18540217986062499</v>
      </c>
      <c r="O46" s="7" t="s">
        <v>75</v>
      </c>
      <c r="P46" s="10">
        <v>38.014001892969098</v>
      </c>
      <c r="Q46" s="29">
        <f>VLOOKUP(CurrentMtgRatesDataTable84[[#This Row],[asofdate]],S:T,2,0)</f>
        <v>0.25886862133549099</v>
      </c>
      <c r="S46" s="7" t="s">
        <v>75</v>
      </c>
      <c r="T46" s="10">
        <v>0.25886862133549099</v>
      </c>
      <c r="W46" s="7" t="s">
        <v>75</v>
      </c>
      <c r="X46" s="10">
        <v>731.03366702624498</v>
      </c>
      <c r="Y46" s="26">
        <f>VLOOKUP(CurrentMtgRatesDataTable86[[#This Row],[asofdate]],AA:AB,2,0)</f>
        <v>0.27921966823928501</v>
      </c>
      <c r="AA46" s="7" t="s">
        <v>75</v>
      </c>
      <c r="AB46" s="10">
        <v>0.27921966823928501</v>
      </c>
      <c r="AE46" s="7" t="s">
        <v>139</v>
      </c>
      <c r="AF46" s="10">
        <v>1.34731893048365E-2</v>
      </c>
      <c r="AG46" s="10" t="str">
        <f>YEAR(CurrentMtgRatesDataTable89[[#This Row],[asofdate]])&amp;"-"&amp;MONTH(CurrentMtgRatesDataTable89[[#This Row],[asofdate]])</f>
        <v>2012-2</v>
      </c>
      <c r="AH46" s="6">
        <f>((CurrentMtgRatesDataTable89[[#This Row],[SeriesNumValue]]-$D$1)/$D$1+1)*100</f>
        <v>89.821262032243325</v>
      </c>
      <c r="AI46" s="6">
        <f>CurrentMtgRatesDataTable89[[#This Row],[Index]]-AH47</f>
        <v>-1.1855530982879969</v>
      </c>
      <c r="AJ46" s="6">
        <f>VLOOKUP(CurrentMtgRatesDataTable89[[#This Row],[asofdate]],G:H,2,0)</f>
        <v>79.576164154337704</v>
      </c>
      <c r="AK46" s="6">
        <f>VLOOKUP(CurrentMtgRatesDataTable89[[#This Row],[asofdate]],K:L,2,0)</f>
        <v>0.189625458590022</v>
      </c>
      <c r="AL46" s="6">
        <f>VLOOKUP(CurrentMtgRatesDataTable89[[#This Row],[asofdate]],O:P,2,0)</f>
        <v>33.616267334128999</v>
      </c>
      <c r="AM46" s="6">
        <f>VLOOKUP(CurrentMtgRatesDataTable89[[#This Row],[asofdate]],S:T,2,0)</f>
        <v>0.26106465585479299</v>
      </c>
      <c r="AN46" s="6">
        <f>VLOOKUP(CurrentMtgRatesDataTable89[[#This Row],[asofdate]],W:X,2,0)</f>
        <v>761.114001068123</v>
      </c>
      <c r="AO46" s="6">
        <f>VLOOKUP(CurrentMtgRatesDataTable89[[#This Row],[asofdate]],AA:AB,2,0)</f>
        <v>8.6142454759982098E-2</v>
      </c>
      <c r="AR46" s="7" t="s">
        <v>75</v>
      </c>
      <c r="AS46" s="10">
        <v>0.111287570299785</v>
      </c>
      <c r="AT46" s="36">
        <f>((CurrentMtgRatesDataTable8711[[#This Row],[SeriesNumValue]]-$D$1)/$D$1+1)*100</f>
        <v>741.9171353319</v>
      </c>
      <c r="AU46" s="36"/>
      <c r="AW46" s="7" t="s">
        <v>75</v>
      </c>
      <c r="AX46" s="10">
        <v>9.04030528968605E-2</v>
      </c>
      <c r="AY46" s="36">
        <f>((CurrentMtgRatesDataTable871112[[#This Row],[SeriesNumValue]]-$D$1)/$D$1+1)*100</f>
        <v>602.68701931240344</v>
      </c>
      <c r="AZ46" s="36"/>
      <c r="BB46" s="7" t="s">
        <v>75</v>
      </c>
      <c r="BC46" s="10">
        <v>1.83452717696049E-2</v>
      </c>
      <c r="BD46" s="39">
        <f>((CurrentMtgRatesDataTable87111213[[#This Row],[SeriesNumValue]]-$D$1)/$D$1+1)*100</f>
        <v>122.30181179736601</v>
      </c>
      <c r="BE46" s="39"/>
      <c r="BG46" s="7" t="s">
        <v>75</v>
      </c>
      <c r="BH46" s="10">
        <v>1.8174335500528001E-2</v>
      </c>
      <c r="BI46" s="39">
        <f>((CurrentMtgRatesDataTable8711121314[[#This Row],[SeriesNumValue]]-$D$1)/$D$1+1)*100</f>
        <v>121.16223667018669</v>
      </c>
      <c r="BJ46" s="39" t="str">
        <f>YEAR(CurrentMtgRatesDataTable8711121314[[#This Row],[asofdate]])&amp;"-"&amp;MONTH(CurrentMtgRatesDataTable8711121314[[#This Row],[asofdate]])</f>
        <v>2006-10</v>
      </c>
      <c r="BK46" s="39">
        <f>CurrentMtgRatesDataTable8711121314[[#This Row],[SeriesNumValue]]</f>
        <v>1.8174335500528001E-2</v>
      </c>
      <c r="BL46" s="39">
        <f>VLOOKUP(CurrentMtgRatesDataTable8711121314[[#This Row],[asofdate]],AR:AT,2,0)</f>
        <v>0.111287570299785</v>
      </c>
      <c r="BM46" s="35">
        <f>IF(VLOOKUP(CurrentMtgRatesDataTable8711121314[[#This Row],[asofdate]],AW:AY,2,0)&lt;&gt;0,VLOOKUP(CurrentMtgRatesDataTable8711121314[[#This Row],[asofdate]],AW:AY,2,0),BM45)</f>
        <v>9.04030528968605E-2</v>
      </c>
      <c r="BN46" s="35">
        <f>VLOOKUP(CurrentMtgRatesDataTable8711121314[[#This Row],[asofdate]],BB:BD,2,0)</f>
        <v>1.83452717696049E-2</v>
      </c>
      <c r="BO46" s="35">
        <f>CurrentMtgRatesDataTable8711121314[[#This Row],[FHA]]+0.5*CurrentMtgRatesDataTable8711121314[[#This Row],[Conventional]]</f>
        <v>0.120374738050049</v>
      </c>
      <c r="BP46" s="35">
        <f>2*CurrentMtgRatesDataTable8711121314[[#This Row],[FHA]]</f>
        <v>0.22257514059957001</v>
      </c>
      <c r="BQ46" s="11">
        <f>VLOOKUP(YEAR(CurrentMtgRatesDataTable8711121314[[#This Row],[asofdate]]),OriginationVolume!$A:$N,8,FALSE)</f>
        <v>0.38823529411764707</v>
      </c>
      <c r="BR46" s="11">
        <f>VLOOKUP(YEAR(CurrentMtgRatesDataTable8711121314[[#This Row],[asofdate]]),OriginationVolume!$A:$N,9,FALSE)</f>
        <v>7.8431372549019607E-3</v>
      </c>
      <c r="BS46" s="11">
        <f>VLOOKUP(YEAR(CurrentMtgRatesDataTable8711121314[[#This Row],[asofdate]]),OriginationVolume!$A:$N,10,FALSE)</f>
        <v>2.3529411764705882E-2</v>
      </c>
      <c r="BT46" s="11">
        <f>VLOOKUP(YEAR(CurrentMtgRatesDataTable8711121314[[#This Row],[asofdate]]),OriginationVolume!$A:$N,11,FALSE)</f>
        <v>0.18823529411764706</v>
      </c>
      <c r="BU46" s="11">
        <f>VLOOKUP(YEAR(CurrentMtgRatesDataTable8711121314[[#This Row],[asofdate]]),OriginationVolume!$A:$N,12,FALSE)</f>
        <v>0.15686274509803921</v>
      </c>
      <c r="BV46" s="11">
        <f>VLOOKUP(YEAR(CurrentMtgRatesDataTable8711121314[[#This Row],[asofdate]]),OriginationVolume!$A:$N,13,FALSE)</f>
        <v>0.23529411764705882</v>
      </c>
      <c r="BW46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8.5057477663318462E-2</v>
      </c>
      <c r="BY46" s="7" t="s">
        <v>75</v>
      </c>
      <c r="BZ46" s="10">
        <v>56379000</v>
      </c>
      <c r="CA46" s="36"/>
      <c r="CC46" s="7" t="s">
        <v>75</v>
      </c>
      <c r="CD46" s="10">
        <v>17352000</v>
      </c>
      <c r="CE46" s="36"/>
      <c r="CG46" s="7" t="s">
        <v>75</v>
      </c>
      <c r="CH46" s="10">
        <v>15254610832.889999</v>
      </c>
      <c r="CI46" s="39"/>
      <c r="CK46" s="7" t="s">
        <v>75</v>
      </c>
      <c r="CL46" s="10">
        <v>15180879832.889999</v>
      </c>
      <c r="CM46" s="39" t="str">
        <f>YEAR(CurrentMtgRatesDataTable871112131417[[#This Row],[asofdate]])&amp;"-"&amp;MONTH(CurrentMtgRatesDataTable871112131417[[#This Row],[asofdate]])</f>
        <v>2006-10</v>
      </c>
      <c r="CN46" s="39">
        <f>CurrentMtgRatesDataTable871112131417[[#This Row],[SeriesNumValue]]</f>
        <v>15180879832.889999</v>
      </c>
      <c r="CO46" s="39">
        <f>VLOOKUP(CurrentMtgRatesDataTable871112131417[[#This Row],[asofdate]],BY:BZ,2,0)</f>
        <v>56379000</v>
      </c>
      <c r="CP46" s="35">
        <f>IF(VLOOKUP(CurrentMtgRatesDataTable871112131417[[#This Row],[asofdate]],CC:CD,2,0)&lt;&gt;0,VLOOKUP(CurrentMtgRatesDataTable871112131417[[#This Row],[asofdate]],CC:CD,2,0),CP45)</f>
        <v>17352000</v>
      </c>
      <c r="CQ46" s="35">
        <f>VLOOKUP(CurrentMtgRatesDataTable871112131417[[#This Row],[asofdate]],CG:CH,2,0)</f>
        <v>15254610832.889999</v>
      </c>
    </row>
    <row r="47" spans="1:95" s="6" customFormat="1" ht="12.75">
      <c r="A47" s="7" t="s">
        <v>76</v>
      </c>
      <c r="B47" s="10">
        <v>1.8339172348393301E-2</v>
      </c>
      <c r="C47" s="10" t="str">
        <f>YEAR(CurrentMtgRatesDataTable8[[#This Row],[asofdate]])&amp;"-"&amp;MONTH(CurrentMtgRatesDataTable8[[#This Row],[asofdate]])</f>
        <v>2006-11</v>
      </c>
      <c r="D47" s="6">
        <f>((CurrentMtgRatesDataTable8[[#This Row],[SeriesNumValue]]-$D$1)/$D$1+1)*100</f>
        <v>122.26114898928869</v>
      </c>
      <c r="G47" s="7" t="s">
        <v>76</v>
      </c>
      <c r="H47" s="10">
        <v>79.427172495690101</v>
      </c>
      <c r="I47" s="26">
        <f>VLOOKUP(CurrentMtgRatesDataTable82[[#This Row],[asofdate]],K:L,2,0)</f>
        <v>0.19239457049420899</v>
      </c>
      <c r="K47" s="7" t="s">
        <v>76</v>
      </c>
      <c r="L47" s="29">
        <v>0.19239457049420899</v>
      </c>
      <c r="O47" s="7" t="s">
        <v>76</v>
      </c>
      <c r="P47" s="10">
        <v>37.885607199262502</v>
      </c>
      <c r="Q47" s="29">
        <f>VLOOKUP(CurrentMtgRatesDataTable84[[#This Row],[asofdate]],S:T,2,0)</f>
        <v>0.27141833470725502</v>
      </c>
      <c r="S47" s="7" t="s">
        <v>76</v>
      </c>
      <c r="T47" s="10">
        <v>0.27141833470725502</v>
      </c>
      <c r="W47" s="7" t="s">
        <v>76</v>
      </c>
      <c r="X47" s="10">
        <v>730.386657340532</v>
      </c>
      <c r="Y47" s="26">
        <f>VLOOKUP(CurrentMtgRatesDataTable86[[#This Row],[asofdate]],AA:AB,2,0)</f>
        <v>0.28214362863015702</v>
      </c>
      <c r="AA47" s="7" t="s">
        <v>76</v>
      </c>
      <c r="AB47" s="10">
        <v>0.28214362863015702</v>
      </c>
      <c r="AE47" s="7" t="s">
        <v>138</v>
      </c>
      <c r="AF47" s="10">
        <v>1.3651022269579699E-2</v>
      </c>
      <c r="AG47" s="10" t="str">
        <f>YEAR(CurrentMtgRatesDataTable89[[#This Row],[asofdate]])&amp;"-"&amp;MONTH(CurrentMtgRatesDataTable89[[#This Row],[asofdate]])</f>
        <v>2012-1</v>
      </c>
      <c r="AH47" s="6">
        <f>((CurrentMtgRatesDataTable89[[#This Row],[SeriesNumValue]]-$D$1)/$D$1+1)*100</f>
        <v>91.006815130531322</v>
      </c>
      <c r="AI47" s="6">
        <f>CurrentMtgRatesDataTable89[[#This Row],[Index]]-AH48</f>
        <v>0.82217652209997993</v>
      </c>
      <c r="AJ47" s="6">
        <f>VLOOKUP(CurrentMtgRatesDataTable89[[#This Row],[asofdate]],G:H,2,0)</f>
        <v>79.742560564501602</v>
      </c>
      <c r="AK47" s="6">
        <f>VLOOKUP(CurrentMtgRatesDataTable89[[#This Row],[asofdate]],K:L,2,0)</f>
        <v>0.19475828223912001</v>
      </c>
      <c r="AL47" s="6">
        <f>VLOOKUP(CurrentMtgRatesDataTable89[[#This Row],[asofdate]],O:P,2,0)</f>
        <v>33.654947487508103</v>
      </c>
      <c r="AM47" s="6">
        <f>VLOOKUP(CurrentMtgRatesDataTable89[[#This Row],[asofdate]],S:T,2,0)</f>
        <v>0.27064704793311001</v>
      </c>
      <c r="AN47" s="6">
        <f>VLOOKUP(CurrentMtgRatesDataTable89[[#This Row],[asofdate]],W:X,2,0)</f>
        <v>760.81703076159499</v>
      </c>
      <c r="AO47" s="6">
        <f>VLOOKUP(CurrentMtgRatesDataTable89[[#This Row],[asofdate]],AA:AB,2,0)</f>
        <v>8.7258854496687799E-2</v>
      </c>
      <c r="AR47" s="7" t="s">
        <v>76</v>
      </c>
      <c r="AS47" s="10">
        <v>0.10281303848291801</v>
      </c>
      <c r="AT47" s="36">
        <f>((CurrentMtgRatesDataTable8711[[#This Row],[SeriesNumValue]]-$D$1)/$D$1+1)*100</f>
        <v>685.42025655278667</v>
      </c>
      <c r="AU47" s="36"/>
      <c r="AW47" s="7" t="s">
        <v>76</v>
      </c>
      <c r="AX47" s="10">
        <v>0.101077691508849</v>
      </c>
      <c r="AY47" s="36">
        <f>((CurrentMtgRatesDataTable871112[[#This Row],[SeriesNumValue]]-$D$1)/$D$1+1)*100</f>
        <v>673.85127672566</v>
      </c>
      <c r="AZ47" s="36"/>
      <c r="BB47" s="7" t="s">
        <v>76</v>
      </c>
      <c r="BC47" s="10">
        <v>1.8162651720735098E-2</v>
      </c>
      <c r="BD47" s="39">
        <f>((CurrentMtgRatesDataTable87111213[[#This Row],[SeriesNumValue]]-$D$1)/$D$1+1)*100</f>
        <v>121.08434480490067</v>
      </c>
      <c r="BE47" s="39"/>
      <c r="BG47" s="7" t="s">
        <v>76</v>
      </c>
      <c r="BH47" s="10">
        <v>1.7975522842157501E-2</v>
      </c>
      <c r="BI47" s="39">
        <f>((CurrentMtgRatesDataTable8711121314[[#This Row],[SeriesNumValue]]-$D$1)/$D$1+1)*100</f>
        <v>119.83681894771667</v>
      </c>
      <c r="BJ47" s="39" t="str">
        <f>YEAR(CurrentMtgRatesDataTable8711121314[[#This Row],[asofdate]])&amp;"-"&amp;MONTH(CurrentMtgRatesDataTable8711121314[[#This Row],[asofdate]])</f>
        <v>2006-11</v>
      </c>
      <c r="BK47" s="39">
        <f>CurrentMtgRatesDataTable8711121314[[#This Row],[SeriesNumValue]]</f>
        <v>1.7975522842157501E-2</v>
      </c>
      <c r="BL47" s="39">
        <f>VLOOKUP(CurrentMtgRatesDataTable8711121314[[#This Row],[asofdate]],AR:AT,2,0)</f>
        <v>0.10281303848291801</v>
      </c>
      <c r="BM47" s="35">
        <f>IF(VLOOKUP(CurrentMtgRatesDataTable8711121314[[#This Row],[asofdate]],AW:AY,2,0)&lt;&gt;0,VLOOKUP(CurrentMtgRatesDataTable8711121314[[#This Row],[asofdate]],AW:AY,2,0),BM46)</f>
        <v>0.101077691508849</v>
      </c>
      <c r="BN47" s="35">
        <f>VLOOKUP(CurrentMtgRatesDataTable8711121314[[#This Row],[asofdate]],BB:BD,2,0)</f>
        <v>1.8162651720735098E-2</v>
      </c>
      <c r="BO47" s="35">
        <f>CurrentMtgRatesDataTable8711121314[[#This Row],[FHA]]+0.5*CurrentMtgRatesDataTable8711121314[[#This Row],[Conventional]]</f>
        <v>0.11180079990399676</v>
      </c>
      <c r="BP47" s="35">
        <f>2*CurrentMtgRatesDataTable8711121314[[#This Row],[FHA]]</f>
        <v>0.20562607696583601</v>
      </c>
      <c r="BQ47" s="11">
        <f>VLOOKUP(YEAR(CurrentMtgRatesDataTable8711121314[[#This Row],[asofdate]]),OriginationVolume!$A:$N,8,FALSE)</f>
        <v>0.38823529411764707</v>
      </c>
      <c r="BR47" s="11">
        <f>VLOOKUP(YEAR(CurrentMtgRatesDataTable8711121314[[#This Row],[asofdate]]),OriginationVolume!$A:$N,9,FALSE)</f>
        <v>7.8431372549019607E-3</v>
      </c>
      <c r="BS47" s="11">
        <f>VLOOKUP(YEAR(CurrentMtgRatesDataTable8711121314[[#This Row],[asofdate]]),OriginationVolume!$A:$N,10,FALSE)</f>
        <v>2.3529411764705882E-2</v>
      </c>
      <c r="BT47" s="11">
        <f>VLOOKUP(YEAR(CurrentMtgRatesDataTable8711121314[[#This Row],[asofdate]]),OriginationVolume!$A:$N,11,FALSE)</f>
        <v>0.18823529411764706</v>
      </c>
      <c r="BU47" s="11">
        <f>VLOOKUP(YEAR(CurrentMtgRatesDataTable8711121314[[#This Row],[asofdate]]),OriginationVolume!$A:$N,12,FALSE)</f>
        <v>0.15686274509803921</v>
      </c>
      <c r="BV47" s="11">
        <f>VLOOKUP(YEAR(CurrentMtgRatesDataTable8711121314[[#This Row],[asofdate]]),OriginationVolume!$A:$N,13,FALSE)</f>
        <v>0.23529411764705882</v>
      </c>
      <c r="BW47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7.9494243473813286E-2</v>
      </c>
      <c r="BY47" s="7" t="s">
        <v>76</v>
      </c>
      <c r="BZ47" s="10">
        <v>54380000</v>
      </c>
      <c r="CA47" s="36"/>
      <c r="CC47" s="7" t="s">
        <v>76</v>
      </c>
      <c r="CD47" s="10">
        <v>16417000</v>
      </c>
      <c r="CE47" s="36"/>
      <c r="CG47" s="7" t="s">
        <v>76</v>
      </c>
      <c r="CH47" s="10">
        <v>13752962281.889999</v>
      </c>
      <c r="CI47" s="39"/>
      <c r="CK47" s="7" t="s">
        <v>76</v>
      </c>
      <c r="CL47" s="10">
        <v>13682165281.889999</v>
      </c>
      <c r="CM47" s="39" t="str">
        <f>YEAR(CurrentMtgRatesDataTable871112131417[[#This Row],[asofdate]])&amp;"-"&amp;MONTH(CurrentMtgRatesDataTable871112131417[[#This Row],[asofdate]])</f>
        <v>2006-11</v>
      </c>
      <c r="CN47" s="39">
        <f>CurrentMtgRatesDataTable871112131417[[#This Row],[SeriesNumValue]]</f>
        <v>13682165281.889999</v>
      </c>
      <c r="CO47" s="39">
        <f>VLOOKUP(CurrentMtgRatesDataTable871112131417[[#This Row],[asofdate]],BY:BZ,2,0)</f>
        <v>54380000</v>
      </c>
      <c r="CP47" s="35">
        <f>IF(VLOOKUP(CurrentMtgRatesDataTable871112131417[[#This Row],[asofdate]],CC:CD,2,0)&lt;&gt;0,VLOOKUP(CurrentMtgRatesDataTable871112131417[[#This Row],[asofdate]],CC:CD,2,0),CP46)</f>
        <v>16417000</v>
      </c>
      <c r="CQ47" s="35">
        <f>VLOOKUP(CurrentMtgRatesDataTable871112131417[[#This Row],[asofdate]],CG:CH,2,0)</f>
        <v>13752962281.889999</v>
      </c>
    </row>
    <row r="48" spans="1:95" s="6" customFormat="1" ht="12.75">
      <c r="A48" s="7" t="s">
        <v>77</v>
      </c>
      <c r="B48" s="10">
        <v>1.81792707234236E-2</v>
      </c>
      <c r="C48" s="10" t="str">
        <f>YEAR(CurrentMtgRatesDataTable8[[#This Row],[asofdate]])&amp;"-"&amp;MONTH(CurrentMtgRatesDataTable8[[#This Row],[asofdate]])</f>
        <v>2006-12</v>
      </c>
      <c r="D48" s="6">
        <f>((CurrentMtgRatesDataTable8[[#This Row],[SeriesNumValue]]-$D$1)/$D$1+1)*100</f>
        <v>121.19513815615734</v>
      </c>
      <c r="G48" s="7" t="s">
        <v>77</v>
      </c>
      <c r="H48" s="10">
        <v>79.313851596089094</v>
      </c>
      <c r="I48" s="26">
        <f>VLOOKUP(CurrentMtgRatesDataTable82[[#This Row],[asofdate]],K:L,2,0)</f>
        <v>0.18937465803638501</v>
      </c>
      <c r="K48" s="7" t="s">
        <v>77</v>
      </c>
      <c r="L48" s="29">
        <v>0.18937465803638501</v>
      </c>
      <c r="O48" s="7" t="s">
        <v>77</v>
      </c>
      <c r="P48" s="10">
        <v>37.784179381196402</v>
      </c>
      <c r="Q48" s="29">
        <f>VLOOKUP(CurrentMtgRatesDataTable84[[#This Row],[asofdate]],S:T,2,0)</f>
        <v>0.28453423916155701</v>
      </c>
      <c r="S48" s="7" t="s">
        <v>77</v>
      </c>
      <c r="T48" s="10">
        <v>0.28453423916155701</v>
      </c>
      <c r="W48" s="7" t="s">
        <v>77</v>
      </c>
      <c r="X48" s="10">
        <v>730.60339826042502</v>
      </c>
      <c r="Y48" s="26">
        <f>VLOOKUP(CurrentMtgRatesDataTable86[[#This Row],[asofdate]],AA:AB,2,0)</f>
        <v>0.28243744033441398</v>
      </c>
      <c r="AA48" s="7" t="s">
        <v>77</v>
      </c>
      <c r="AB48" s="10">
        <v>0.28243744033441398</v>
      </c>
      <c r="AE48" s="7" t="s">
        <v>137</v>
      </c>
      <c r="AF48" s="10">
        <v>1.3527695791264701E-2</v>
      </c>
      <c r="AG48" s="10" t="str">
        <f>YEAR(CurrentMtgRatesDataTable89[[#This Row],[asofdate]])&amp;"-"&amp;MONTH(CurrentMtgRatesDataTable89[[#This Row],[asofdate]])</f>
        <v>2011-12</v>
      </c>
      <c r="AH48" s="6">
        <f>((CurrentMtgRatesDataTable89[[#This Row],[SeriesNumValue]]-$D$1)/$D$1+1)*100</f>
        <v>90.184638608431342</v>
      </c>
      <c r="AI48" s="6">
        <f>CurrentMtgRatesDataTable89[[#This Row],[Index]]-AH49</f>
        <v>-4.2804886361613228</v>
      </c>
      <c r="AJ48" s="6">
        <f>VLOOKUP(CurrentMtgRatesDataTable89[[#This Row],[asofdate]],G:H,2,0)</f>
        <v>79.981224078938595</v>
      </c>
      <c r="AK48" s="6">
        <f>VLOOKUP(CurrentMtgRatesDataTable89[[#This Row],[asofdate]],K:L,2,0)</f>
        <v>0.19888714369615601</v>
      </c>
      <c r="AL48" s="6">
        <f>VLOOKUP(CurrentMtgRatesDataTable89[[#This Row],[asofdate]],O:P,2,0)</f>
        <v>33.656293538021998</v>
      </c>
      <c r="AM48" s="6">
        <f>VLOOKUP(CurrentMtgRatesDataTable89[[#This Row],[asofdate]],S:T,2,0)</f>
        <v>0.27520420343907298</v>
      </c>
      <c r="AN48" s="6">
        <f>VLOOKUP(CurrentMtgRatesDataTable89[[#This Row],[asofdate]],W:X,2,0)</f>
        <v>760.09678534465195</v>
      </c>
      <c r="AO48" s="6">
        <f>VLOOKUP(CurrentMtgRatesDataTable89[[#This Row],[asofdate]],AA:AB,2,0)</f>
        <v>9.1987894872550005E-2</v>
      </c>
      <c r="AR48" s="7" t="s">
        <v>77</v>
      </c>
      <c r="AS48" s="10">
        <v>0.109423829061224</v>
      </c>
      <c r="AT48" s="36">
        <f>((CurrentMtgRatesDataTable8711[[#This Row],[SeriesNumValue]]-$D$1)/$D$1+1)*100</f>
        <v>729.49219374149334</v>
      </c>
      <c r="AU48" s="36"/>
      <c r="AW48" s="7" t="s">
        <v>77</v>
      </c>
      <c r="AX48" s="10">
        <v>8.2485989149712502E-2</v>
      </c>
      <c r="AY48" s="36">
        <f>((CurrentMtgRatesDataTable871112[[#This Row],[SeriesNumValue]]-$D$1)/$D$1+1)*100</f>
        <v>549.90659433141673</v>
      </c>
      <c r="AZ48" s="36"/>
      <c r="BB48" s="7" t="s">
        <v>77</v>
      </c>
      <c r="BC48" s="10">
        <v>1.77260077350723E-2</v>
      </c>
      <c r="BD48" s="39">
        <f>((CurrentMtgRatesDataTable87111213[[#This Row],[SeriesNumValue]]-$D$1)/$D$1+1)*100</f>
        <v>118.17338490048202</v>
      </c>
      <c r="BE48" s="39"/>
      <c r="BG48" s="7" t="s">
        <v>77</v>
      </c>
      <c r="BH48" s="10">
        <v>1.75274733531138E-2</v>
      </c>
      <c r="BI48" s="39">
        <f>((CurrentMtgRatesDataTable8711121314[[#This Row],[SeriesNumValue]]-$D$1)/$D$1+1)*100</f>
        <v>116.849822354092</v>
      </c>
      <c r="BJ48" s="39" t="str">
        <f>YEAR(CurrentMtgRatesDataTable8711121314[[#This Row],[asofdate]])&amp;"-"&amp;MONTH(CurrentMtgRatesDataTable8711121314[[#This Row],[asofdate]])</f>
        <v>2006-12</v>
      </c>
      <c r="BK48" s="39">
        <f>CurrentMtgRatesDataTable8711121314[[#This Row],[SeriesNumValue]]</f>
        <v>1.75274733531138E-2</v>
      </c>
      <c r="BL48" s="39">
        <f>VLOOKUP(CurrentMtgRatesDataTable8711121314[[#This Row],[asofdate]],AR:AT,2,0)</f>
        <v>0.109423829061224</v>
      </c>
      <c r="BM48" s="35">
        <f>IF(VLOOKUP(CurrentMtgRatesDataTable8711121314[[#This Row],[asofdate]],AW:AY,2,0)&lt;&gt;0,VLOOKUP(CurrentMtgRatesDataTable8711121314[[#This Row],[asofdate]],AW:AY,2,0),BM47)</f>
        <v>8.2485989149712502E-2</v>
      </c>
      <c r="BN48" s="35">
        <f>VLOOKUP(CurrentMtgRatesDataTable8711121314[[#This Row],[asofdate]],BB:BD,2,0)</f>
        <v>1.77260077350723E-2</v>
      </c>
      <c r="BO48" s="35">
        <f>CurrentMtgRatesDataTable8711121314[[#This Row],[FHA]]+0.5*CurrentMtgRatesDataTable8711121314[[#This Row],[Conventional]]</f>
        <v>0.1181875657377809</v>
      </c>
      <c r="BP48" s="35">
        <f>2*CurrentMtgRatesDataTable8711121314[[#This Row],[FHA]]</f>
        <v>0.218847658122448</v>
      </c>
      <c r="BQ48" s="11">
        <f>VLOOKUP(YEAR(CurrentMtgRatesDataTable8711121314[[#This Row],[asofdate]]),OriginationVolume!$A:$N,8,FALSE)</f>
        <v>0.38823529411764707</v>
      </c>
      <c r="BR48" s="11">
        <f>VLOOKUP(YEAR(CurrentMtgRatesDataTable8711121314[[#This Row],[asofdate]]),OriginationVolume!$A:$N,9,FALSE)</f>
        <v>7.8431372549019607E-3</v>
      </c>
      <c r="BS48" s="11">
        <f>VLOOKUP(YEAR(CurrentMtgRatesDataTable8711121314[[#This Row],[asofdate]]),OriginationVolume!$A:$N,10,FALSE)</f>
        <v>2.3529411764705882E-2</v>
      </c>
      <c r="BT48" s="11">
        <f>VLOOKUP(YEAR(CurrentMtgRatesDataTable8711121314[[#This Row],[asofdate]]),OriginationVolume!$A:$N,11,FALSE)</f>
        <v>0.18823529411764706</v>
      </c>
      <c r="BU48" s="11">
        <f>VLOOKUP(YEAR(CurrentMtgRatesDataTable8711121314[[#This Row],[asofdate]]),OriginationVolume!$A:$N,12,FALSE)</f>
        <v>0.15686274509803921</v>
      </c>
      <c r="BV48" s="11">
        <f>VLOOKUP(YEAR(CurrentMtgRatesDataTable8711121314[[#This Row],[asofdate]]),OriginationVolume!$A:$N,13,FALSE)</f>
        <v>0.23529411764705882</v>
      </c>
      <c r="BW48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8.3358492754637692E-2</v>
      </c>
      <c r="BY48" s="7" t="s">
        <v>77</v>
      </c>
      <c r="BZ48" s="10">
        <v>54234000</v>
      </c>
      <c r="CA48" s="36"/>
      <c r="CC48" s="7" t="s">
        <v>77</v>
      </c>
      <c r="CD48" s="10">
        <v>21699000</v>
      </c>
      <c r="CE48" s="36"/>
      <c r="CG48" s="7" t="s">
        <v>77</v>
      </c>
      <c r="CH48" s="10">
        <v>14217507735.809999</v>
      </c>
      <c r="CI48" s="39"/>
      <c r="CK48" s="7" t="s">
        <v>77</v>
      </c>
      <c r="CL48" s="10">
        <v>14141574735.809999</v>
      </c>
      <c r="CM48" s="39" t="str">
        <f>YEAR(CurrentMtgRatesDataTable871112131417[[#This Row],[asofdate]])&amp;"-"&amp;MONTH(CurrentMtgRatesDataTable871112131417[[#This Row],[asofdate]])</f>
        <v>2006-12</v>
      </c>
      <c r="CN48" s="39">
        <f>CurrentMtgRatesDataTable871112131417[[#This Row],[SeriesNumValue]]</f>
        <v>14141574735.809999</v>
      </c>
      <c r="CO48" s="39">
        <f>VLOOKUP(CurrentMtgRatesDataTable871112131417[[#This Row],[asofdate]],BY:BZ,2,0)</f>
        <v>54234000</v>
      </c>
      <c r="CP48" s="35">
        <f>IF(VLOOKUP(CurrentMtgRatesDataTable871112131417[[#This Row],[asofdate]],CC:CD,2,0)&lt;&gt;0,VLOOKUP(CurrentMtgRatesDataTable871112131417[[#This Row],[asofdate]],CC:CD,2,0),CP47)</f>
        <v>21699000</v>
      </c>
      <c r="CQ48" s="35">
        <f>VLOOKUP(CurrentMtgRatesDataTable871112131417[[#This Row],[asofdate]],CG:CH,2,0)</f>
        <v>14217507735.809999</v>
      </c>
    </row>
    <row r="49" spans="1:95" s="6" customFormat="1" ht="12.75">
      <c r="A49" s="7" t="s">
        <v>78</v>
      </c>
      <c r="B49" s="10">
        <v>1.88046316796401E-2</v>
      </c>
      <c r="C49" s="10" t="str">
        <f>YEAR(CurrentMtgRatesDataTable8[[#This Row],[asofdate]])&amp;"-"&amp;MONTH(CurrentMtgRatesDataTable8[[#This Row],[asofdate]])</f>
        <v>2007-1</v>
      </c>
      <c r="D49" s="6">
        <f>((CurrentMtgRatesDataTable8[[#This Row],[SeriesNumValue]]-$D$1)/$D$1+1)*100</f>
        <v>125.36421119760068</v>
      </c>
      <c r="G49" s="7" t="s">
        <v>78</v>
      </c>
      <c r="H49" s="10">
        <v>79.416377830387304</v>
      </c>
      <c r="I49" s="26">
        <f>VLOOKUP(CurrentMtgRatesDataTable82[[#This Row],[asofdate]],K:L,2,0)</f>
        <v>0.19384333429729</v>
      </c>
      <c r="K49" s="7" t="s">
        <v>78</v>
      </c>
      <c r="L49" s="29">
        <v>0.19384333429729</v>
      </c>
      <c r="O49" s="7" t="s">
        <v>78</v>
      </c>
      <c r="P49" s="10">
        <v>37.718068546956403</v>
      </c>
      <c r="Q49" s="29">
        <f>VLOOKUP(CurrentMtgRatesDataTable84[[#This Row],[asofdate]],S:T,2,0)</f>
        <v>0.27954455441237602</v>
      </c>
      <c r="S49" s="7" t="s">
        <v>78</v>
      </c>
      <c r="T49" s="10">
        <v>0.27954455441237602</v>
      </c>
      <c r="W49" s="7" t="s">
        <v>78</v>
      </c>
      <c r="X49" s="10">
        <v>730.47654115547095</v>
      </c>
      <c r="Y49" s="26">
        <f>VLOOKUP(CurrentMtgRatesDataTable86[[#This Row],[asofdate]],AA:AB,2,0)</f>
        <v>0.28268598353770003</v>
      </c>
      <c r="AA49" s="7" t="s">
        <v>78</v>
      </c>
      <c r="AB49" s="10">
        <v>0.28268598353770003</v>
      </c>
      <c r="AE49" s="7" t="s">
        <v>136</v>
      </c>
      <c r="AF49" s="10">
        <v>1.41697690866889E-2</v>
      </c>
      <c r="AG49" s="10" t="str">
        <f>YEAR(CurrentMtgRatesDataTable89[[#This Row],[asofdate]])&amp;"-"&amp;MONTH(CurrentMtgRatesDataTable89[[#This Row],[asofdate]])</f>
        <v>2011-11</v>
      </c>
      <c r="AH49" s="6">
        <f>((CurrentMtgRatesDataTable89[[#This Row],[SeriesNumValue]]-$D$1)/$D$1+1)*100</f>
        <v>94.465127244592665</v>
      </c>
      <c r="AI49" s="6">
        <f>CurrentMtgRatesDataTable89[[#This Row],[Index]]-AH50</f>
        <v>-5.9580853582600071</v>
      </c>
      <c r="AJ49" s="6">
        <f>VLOOKUP(CurrentMtgRatesDataTable89[[#This Row],[asofdate]],G:H,2,0)</f>
        <v>79.992386273642197</v>
      </c>
      <c r="AK49" s="6">
        <f>VLOOKUP(CurrentMtgRatesDataTable89[[#This Row],[asofdate]],K:L,2,0)</f>
        <v>0.19682779655410601</v>
      </c>
      <c r="AL49" s="6">
        <f>VLOOKUP(CurrentMtgRatesDataTable89[[#This Row],[asofdate]],O:P,2,0)</f>
        <v>33.733100423047397</v>
      </c>
      <c r="AM49" s="6">
        <f>VLOOKUP(CurrentMtgRatesDataTable89[[#This Row],[asofdate]],S:T,2,0)</f>
        <v>0.272868235888234</v>
      </c>
      <c r="AN49" s="6">
        <f>VLOOKUP(CurrentMtgRatesDataTable89[[#This Row],[asofdate]],W:X,2,0)</f>
        <v>760.12898812549099</v>
      </c>
      <c r="AO49" s="6">
        <f>VLOOKUP(CurrentMtgRatesDataTable89[[#This Row],[asofdate]],AA:AB,2,0)</f>
        <v>9.1539702824597793E-2</v>
      </c>
      <c r="AR49" s="7" t="s">
        <v>78</v>
      </c>
      <c r="AS49" s="10">
        <v>0.1093242256585</v>
      </c>
      <c r="AT49" s="36">
        <f>((CurrentMtgRatesDataTable8711[[#This Row],[SeriesNumValue]]-$D$1)/$D$1+1)*100</f>
        <v>728.82817105666675</v>
      </c>
      <c r="AU49" s="36"/>
      <c r="AW49" s="7" t="s">
        <v>78</v>
      </c>
      <c r="AX49" s="10">
        <v>8.7345811231672704E-2</v>
      </c>
      <c r="AY49" s="36">
        <f>((CurrentMtgRatesDataTable871112[[#This Row],[SeriesNumValue]]-$D$1)/$D$1+1)*100</f>
        <v>582.30540821115142</v>
      </c>
      <c r="AZ49" s="36"/>
      <c r="BB49" s="7" t="s">
        <v>78</v>
      </c>
      <c r="BC49" s="10">
        <v>1.8245462765295501E-2</v>
      </c>
      <c r="BD49" s="39">
        <f>((CurrentMtgRatesDataTable87111213[[#This Row],[SeriesNumValue]]-$D$1)/$D$1+1)*100</f>
        <v>121.63641843530336</v>
      </c>
      <c r="BE49" s="39"/>
      <c r="BG49" s="7" t="s">
        <v>78</v>
      </c>
      <c r="BH49" s="10">
        <v>1.8049062577908701E-2</v>
      </c>
      <c r="BI49" s="39">
        <f>((CurrentMtgRatesDataTable8711121314[[#This Row],[SeriesNumValue]]-$D$1)/$D$1+1)*100</f>
        <v>120.32708385272468</v>
      </c>
      <c r="BJ49" s="39" t="str">
        <f>YEAR(CurrentMtgRatesDataTable8711121314[[#This Row],[asofdate]])&amp;"-"&amp;MONTH(CurrentMtgRatesDataTable8711121314[[#This Row],[asofdate]])</f>
        <v>2007-1</v>
      </c>
      <c r="BK49" s="39">
        <f>CurrentMtgRatesDataTable8711121314[[#This Row],[SeriesNumValue]]</f>
        <v>1.8049062577908701E-2</v>
      </c>
      <c r="BL49" s="39">
        <f>VLOOKUP(CurrentMtgRatesDataTable8711121314[[#This Row],[asofdate]],AR:AT,2,0)</f>
        <v>0.1093242256585</v>
      </c>
      <c r="BM49" s="35">
        <f>IF(VLOOKUP(CurrentMtgRatesDataTable8711121314[[#This Row],[asofdate]],AW:AY,2,0)&lt;&gt;0,VLOOKUP(CurrentMtgRatesDataTable8711121314[[#This Row],[asofdate]],AW:AY,2,0),BM48)</f>
        <v>8.7345811231672704E-2</v>
      </c>
      <c r="BN49" s="35">
        <f>VLOOKUP(CurrentMtgRatesDataTable8711121314[[#This Row],[asofdate]],BB:BD,2,0)</f>
        <v>1.8245462765295501E-2</v>
      </c>
      <c r="BO49" s="35">
        <f>CurrentMtgRatesDataTable8711121314[[#This Row],[FHA]]+0.5*CurrentMtgRatesDataTable8711121314[[#This Row],[Conventional]]</f>
        <v>0.11834875694745435</v>
      </c>
      <c r="BP49" s="35">
        <f>2*CurrentMtgRatesDataTable8711121314[[#This Row],[FHA]]</f>
        <v>0.218648451317</v>
      </c>
      <c r="BQ49" s="11">
        <f>VLOOKUP(YEAR(CurrentMtgRatesDataTable8711121314[[#This Row],[asofdate]]),OriginationVolume!$A:$N,8,FALSE)</f>
        <v>0.55309947140797688</v>
      </c>
      <c r="BR49" s="11">
        <f>VLOOKUP(YEAR(CurrentMtgRatesDataTable8711121314[[#This Row],[asofdate]]),OriginationVolume!$A:$N,9,FALSE)</f>
        <v>1.3935607880826525E-2</v>
      </c>
      <c r="BS49" s="11">
        <f>VLOOKUP(YEAR(CurrentMtgRatesDataTable8711121314[[#This Row],[asofdate]]),OriginationVolume!$A:$N,10,FALSE)</f>
        <v>4.1806823642479576E-2</v>
      </c>
      <c r="BT49" s="11">
        <f>VLOOKUP(YEAR(CurrentMtgRatesDataTable8711121314[[#This Row],[asofdate]]),OriginationVolume!$A:$N,11,FALSE)</f>
        <v>0.16722729456991831</v>
      </c>
      <c r="BU49" s="11">
        <f>VLOOKUP(YEAR(CurrentMtgRatesDataTable8711121314[[#This Row],[asofdate]]),OriginationVolume!$A:$N,12,FALSE)</f>
        <v>0.13214800576645844</v>
      </c>
      <c r="BV49" s="11">
        <f>VLOOKUP(YEAR(CurrentMtgRatesDataTable8711121314[[#This Row],[asofdate]]),OriginationVolume!$A:$N,13,FALSE)</f>
        <v>9.1782796732340216E-2</v>
      </c>
      <c r="BW49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5.4496657051605044E-2</v>
      </c>
      <c r="BY49" s="7" t="s">
        <v>78</v>
      </c>
      <c r="BZ49" s="10">
        <v>51795000</v>
      </c>
      <c r="CA49" s="36"/>
      <c r="CC49" s="7" t="s">
        <v>78</v>
      </c>
      <c r="CD49" s="10">
        <v>17786000</v>
      </c>
      <c r="CE49" s="36"/>
      <c r="CG49" s="7" t="s">
        <v>78</v>
      </c>
      <c r="CH49" s="10">
        <v>13498222133.4</v>
      </c>
      <c r="CI49" s="39"/>
      <c r="CK49" s="7" t="s">
        <v>78</v>
      </c>
      <c r="CL49" s="10">
        <v>13428641133.4</v>
      </c>
      <c r="CM49" s="39" t="str">
        <f>YEAR(CurrentMtgRatesDataTable871112131417[[#This Row],[asofdate]])&amp;"-"&amp;MONTH(CurrentMtgRatesDataTable871112131417[[#This Row],[asofdate]])</f>
        <v>2007-1</v>
      </c>
      <c r="CN49" s="39">
        <f>CurrentMtgRatesDataTable871112131417[[#This Row],[SeriesNumValue]]</f>
        <v>13428641133.4</v>
      </c>
      <c r="CO49" s="39">
        <f>VLOOKUP(CurrentMtgRatesDataTable871112131417[[#This Row],[asofdate]],BY:BZ,2,0)</f>
        <v>51795000</v>
      </c>
      <c r="CP49" s="35">
        <f>IF(VLOOKUP(CurrentMtgRatesDataTable871112131417[[#This Row],[asofdate]],CC:CD,2,0)&lt;&gt;0,VLOOKUP(CurrentMtgRatesDataTable871112131417[[#This Row],[asofdate]],CC:CD,2,0),CP48)</f>
        <v>17786000</v>
      </c>
      <c r="CQ49" s="35">
        <f>VLOOKUP(CurrentMtgRatesDataTable871112131417[[#This Row],[asofdate]],CG:CH,2,0)</f>
        <v>13498222133.4</v>
      </c>
    </row>
    <row r="50" spans="1:95" s="6" customFormat="1" ht="12.75">
      <c r="A50" s="7" t="s">
        <v>79</v>
      </c>
      <c r="B50" s="10">
        <v>1.77664096642705E-2</v>
      </c>
      <c r="C50" s="10" t="str">
        <f>YEAR(CurrentMtgRatesDataTable8[[#This Row],[asofdate]])&amp;"-"&amp;MONTH(CurrentMtgRatesDataTable8[[#This Row],[asofdate]])</f>
        <v>2007-2</v>
      </c>
      <c r="D50" s="6">
        <f>((CurrentMtgRatesDataTable8[[#This Row],[SeriesNumValue]]-$D$1)/$D$1+1)*100</f>
        <v>118.44273109513668</v>
      </c>
      <c r="G50" s="7" t="s">
        <v>79</v>
      </c>
      <c r="H50" s="10">
        <v>79.719160694476898</v>
      </c>
      <c r="I50" s="26">
        <f>VLOOKUP(CurrentMtgRatesDataTable82[[#This Row],[asofdate]],K:L,2,0)</f>
        <v>0.20262390105173</v>
      </c>
      <c r="K50" s="7" t="s">
        <v>79</v>
      </c>
      <c r="L50" s="29">
        <v>0.20262390105173</v>
      </c>
      <c r="O50" s="7" t="s">
        <v>79</v>
      </c>
      <c r="P50" s="10">
        <v>37.816267865963702</v>
      </c>
      <c r="Q50" s="29">
        <f>VLOOKUP(CurrentMtgRatesDataTable84[[#This Row],[asofdate]],S:T,2,0)</f>
        <v>0.28314346572504001</v>
      </c>
      <c r="S50" s="7" t="s">
        <v>79</v>
      </c>
      <c r="T50" s="10">
        <v>0.28314346572504001</v>
      </c>
      <c r="W50" s="7" t="s">
        <v>79</v>
      </c>
      <c r="X50" s="10">
        <v>729.67566684049098</v>
      </c>
      <c r="Y50" s="26">
        <f>VLOOKUP(CurrentMtgRatesDataTable86[[#This Row],[asofdate]],AA:AB,2,0)</f>
        <v>0.28970756977075302</v>
      </c>
      <c r="AA50" s="7" t="s">
        <v>79</v>
      </c>
      <c r="AB50" s="10">
        <v>0.28970756977075302</v>
      </c>
      <c r="AE50" s="7" t="s">
        <v>135</v>
      </c>
      <c r="AF50" s="10">
        <v>1.50634818904279E-2</v>
      </c>
      <c r="AG50" s="10" t="str">
        <f>YEAR(CurrentMtgRatesDataTable89[[#This Row],[asofdate]])&amp;"-"&amp;MONTH(CurrentMtgRatesDataTable89[[#This Row],[asofdate]])</f>
        <v>2011-10</v>
      </c>
      <c r="AH50" s="6">
        <f>((CurrentMtgRatesDataTable89[[#This Row],[SeriesNumValue]]-$D$1)/$D$1+1)*100</f>
        <v>100.42321260285267</v>
      </c>
      <c r="AI50" s="6">
        <f>CurrentMtgRatesDataTable89[[#This Row],[Index]]-AH51</f>
        <v>6.3753164349253382</v>
      </c>
      <c r="AJ50" s="6">
        <f>VLOOKUP(CurrentMtgRatesDataTable89[[#This Row],[asofdate]],G:H,2,0)</f>
        <v>79.994596225229003</v>
      </c>
      <c r="AK50" s="6">
        <f>VLOOKUP(CurrentMtgRatesDataTable89[[#This Row],[asofdate]],K:L,2,0)</f>
        <v>0.19113361076392199</v>
      </c>
      <c r="AL50" s="6">
        <f>VLOOKUP(CurrentMtgRatesDataTable89[[#This Row],[asofdate]],O:P,2,0)</f>
        <v>33.813961578510003</v>
      </c>
      <c r="AM50" s="6">
        <f>VLOOKUP(CurrentMtgRatesDataTable89[[#This Row],[asofdate]],S:T,2,0)</f>
        <v>0.28077167132175201</v>
      </c>
      <c r="AN50" s="6">
        <f>VLOOKUP(CurrentMtgRatesDataTable89[[#This Row],[asofdate]],W:X,2,0)</f>
        <v>759.31450166280899</v>
      </c>
      <c r="AO50" s="6">
        <f>VLOOKUP(CurrentMtgRatesDataTable89[[#This Row],[asofdate]],AA:AB,2,0)</f>
        <v>9.5221320930123698E-2</v>
      </c>
      <c r="AR50" s="7" t="s">
        <v>79</v>
      </c>
      <c r="AS50" s="10">
        <v>0.106621948942194</v>
      </c>
      <c r="AT50" s="36">
        <f>((CurrentMtgRatesDataTable8711[[#This Row],[SeriesNumValue]]-$D$1)/$D$1+1)*100</f>
        <v>710.81299294795997</v>
      </c>
      <c r="AU50" s="36"/>
      <c r="AW50" s="7" t="s">
        <v>79</v>
      </c>
      <c r="AX50" s="10">
        <v>8.8833892051242799E-2</v>
      </c>
      <c r="AY50" s="36">
        <f>((CurrentMtgRatesDataTable871112[[#This Row],[SeriesNumValue]]-$D$1)/$D$1+1)*100</f>
        <v>592.2259470082854</v>
      </c>
      <c r="AZ50" s="36"/>
      <c r="BB50" s="7" t="s">
        <v>79</v>
      </c>
      <c r="BC50" s="10">
        <v>1.8401986732378101E-2</v>
      </c>
      <c r="BD50" s="39">
        <f>((CurrentMtgRatesDataTable87111213[[#This Row],[SeriesNumValue]]-$D$1)/$D$1+1)*100</f>
        <v>122.67991154918734</v>
      </c>
      <c r="BE50" s="39"/>
      <c r="BG50" s="7" t="s">
        <v>79</v>
      </c>
      <c r="BH50" s="10">
        <v>1.8218072306683201E-2</v>
      </c>
      <c r="BI50" s="39">
        <f>((CurrentMtgRatesDataTable8711121314[[#This Row],[SeriesNumValue]]-$D$1)/$D$1+1)*100</f>
        <v>121.45381537788802</v>
      </c>
      <c r="BJ50" s="39" t="str">
        <f>YEAR(CurrentMtgRatesDataTable8711121314[[#This Row],[asofdate]])&amp;"-"&amp;MONTH(CurrentMtgRatesDataTable8711121314[[#This Row],[asofdate]])</f>
        <v>2007-2</v>
      </c>
      <c r="BK50" s="39">
        <f>CurrentMtgRatesDataTable8711121314[[#This Row],[SeriesNumValue]]</f>
        <v>1.8218072306683201E-2</v>
      </c>
      <c r="BL50" s="39">
        <f>VLOOKUP(CurrentMtgRatesDataTable8711121314[[#This Row],[asofdate]],AR:AT,2,0)</f>
        <v>0.106621948942194</v>
      </c>
      <c r="BM50" s="35">
        <f>IF(VLOOKUP(CurrentMtgRatesDataTable8711121314[[#This Row],[asofdate]],AW:AY,2,0)&lt;&gt;0,VLOOKUP(CurrentMtgRatesDataTable8711121314[[#This Row],[asofdate]],AW:AY,2,0),BM49)</f>
        <v>8.8833892051242799E-2</v>
      </c>
      <c r="BN50" s="35">
        <f>VLOOKUP(CurrentMtgRatesDataTable8711121314[[#This Row],[asofdate]],BB:BD,2,0)</f>
        <v>1.8401986732378101E-2</v>
      </c>
      <c r="BO50" s="35">
        <f>CurrentMtgRatesDataTable8711121314[[#This Row],[FHA]]+0.5*CurrentMtgRatesDataTable8711121314[[#This Row],[Conventional]]</f>
        <v>0.1157309850955356</v>
      </c>
      <c r="BP50" s="35">
        <f>2*CurrentMtgRatesDataTable8711121314[[#This Row],[FHA]]</f>
        <v>0.213243897884388</v>
      </c>
      <c r="BQ50" s="11">
        <f>VLOOKUP(YEAR(CurrentMtgRatesDataTable8711121314[[#This Row],[asofdate]]),OriginationVolume!$A:$N,8,FALSE)</f>
        <v>0.55309947140797688</v>
      </c>
      <c r="BR50" s="11">
        <f>VLOOKUP(YEAR(CurrentMtgRatesDataTable8711121314[[#This Row],[asofdate]]),OriginationVolume!$A:$N,9,FALSE)</f>
        <v>1.3935607880826525E-2</v>
      </c>
      <c r="BS50" s="11">
        <f>VLOOKUP(YEAR(CurrentMtgRatesDataTable8711121314[[#This Row],[asofdate]]),OriginationVolume!$A:$N,10,FALSE)</f>
        <v>4.1806823642479576E-2</v>
      </c>
      <c r="BT50" s="11">
        <f>VLOOKUP(YEAR(CurrentMtgRatesDataTable8711121314[[#This Row],[asofdate]]),OriginationVolume!$A:$N,11,FALSE)</f>
        <v>0.16722729456991831</v>
      </c>
      <c r="BU50" s="11">
        <f>VLOOKUP(YEAR(CurrentMtgRatesDataTable8711121314[[#This Row],[asofdate]]),OriginationVolume!$A:$N,12,FALSE)</f>
        <v>0.13214800576645844</v>
      </c>
      <c r="BV50" s="11">
        <f>VLOOKUP(YEAR(CurrentMtgRatesDataTable8711121314[[#This Row],[asofdate]]),OriginationVolume!$A:$N,13,FALSE)</f>
        <v>9.1782796732340216E-2</v>
      </c>
      <c r="BW50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5.3684184628719572E-2</v>
      </c>
      <c r="BY50" s="7" t="s">
        <v>79</v>
      </c>
      <c r="BZ50" s="10">
        <v>48199000</v>
      </c>
      <c r="CA50" s="36"/>
      <c r="CC50" s="7" t="s">
        <v>79</v>
      </c>
      <c r="CD50" s="10">
        <v>15848000</v>
      </c>
      <c r="CE50" s="36"/>
      <c r="CG50" s="7" t="s">
        <v>79</v>
      </c>
      <c r="CH50" s="10">
        <v>13124578315.92</v>
      </c>
      <c r="CI50" s="39"/>
      <c r="CK50" s="7" t="s">
        <v>79</v>
      </c>
      <c r="CL50" s="10">
        <v>13060531315.92</v>
      </c>
      <c r="CM50" s="39" t="str">
        <f>YEAR(CurrentMtgRatesDataTable871112131417[[#This Row],[asofdate]])&amp;"-"&amp;MONTH(CurrentMtgRatesDataTable871112131417[[#This Row],[asofdate]])</f>
        <v>2007-2</v>
      </c>
      <c r="CN50" s="39">
        <f>CurrentMtgRatesDataTable871112131417[[#This Row],[SeriesNumValue]]</f>
        <v>13060531315.92</v>
      </c>
      <c r="CO50" s="39">
        <f>VLOOKUP(CurrentMtgRatesDataTable871112131417[[#This Row],[asofdate]],BY:BZ,2,0)</f>
        <v>48199000</v>
      </c>
      <c r="CP50" s="35">
        <f>IF(VLOOKUP(CurrentMtgRatesDataTable871112131417[[#This Row],[asofdate]],CC:CD,2,0)&lt;&gt;0,VLOOKUP(CurrentMtgRatesDataTable871112131417[[#This Row],[asofdate]],CC:CD,2,0),CP49)</f>
        <v>15848000</v>
      </c>
      <c r="CQ50" s="35">
        <f>VLOOKUP(CurrentMtgRatesDataTable871112131417[[#This Row],[asofdate]],CG:CH,2,0)</f>
        <v>13124578315.92</v>
      </c>
    </row>
    <row r="51" spans="1:95" s="6" customFormat="1" ht="12.75">
      <c r="A51" s="7" t="s">
        <v>80</v>
      </c>
      <c r="B51" s="10">
        <v>1.81768016527653E-2</v>
      </c>
      <c r="C51" s="10" t="str">
        <f>YEAR(CurrentMtgRatesDataTable8[[#This Row],[asofdate]])&amp;"-"&amp;MONTH(CurrentMtgRatesDataTable8[[#This Row],[asofdate]])</f>
        <v>2007-3</v>
      </c>
      <c r="D51" s="6">
        <f>((CurrentMtgRatesDataTable8[[#This Row],[SeriesNumValue]]-$D$1)/$D$1+1)*100</f>
        <v>121.178677685102</v>
      </c>
      <c r="G51" s="7" t="s">
        <v>80</v>
      </c>
      <c r="H51" s="10">
        <v>80.020235794904707</v>
      </c>
      <c r="I51" s="26">
        <f>VLOOKUP(CurrentMtgRatesDataTable82[[#This Row],[asofdate]],K:L,2,0)</f>
        <v>0.21711470398919</v>
      </c>
      <c r="K51" s="7" t="s">
        <v>80</v>
      </c>
      <c r="L51" s="29">
        <v>0.21711470398919</v>
      </c>
      <c r="O51" s="7" t="s">
        <v>80</v>
      </c>
      <c r="P51" s="10">
        <v>37.728098878721802</v>
      </c>
      <c r="Q51" s="29">
        <f>VLOOKUP(CurrentMtgRatesDataTable84[[#This Row],[asofdate]],S:T,2,0)</f>
        <v>0.28268064836849399</v>
      </c>
      <c r="S51" s="7" t="s">
        <v>80</v>
      </c>
      <c r="T51" s="10">
        <v>0.28268064836849399</v>
      </c>
      <c r="W51" s="7" t="s">
        <v>80</v>
      </c>
      <c r="X51" s="10">
        <v>728.76678623201099</v>
      </c>
      <c r="Y51" s="26">
        <f>VLOOKUP(CurrentMtgRatesDataTable86[[#This Row],[asofdate]],AA:AB,2,0)</f>
        <v>0.29421874120147201</v>
      </c>
      <c r="AA51" s="7" t="s">
        <v>80</v>
      </c>
      <c r="AB51" s="10">
        <v>0.29421874120147201</v>
      </c>
      <c r="AE51" s="7" t="s">
        <v>134</v>
      </c>
      <c r="AF51" s="10">
        <v>1.4107184425189099E-2</v>
      </c>
      <c r="AG51" s="10" t="str">
        <f>YEAR(CurrentMtgRatesDataTable89[[#This Row],[asofdate]])&amp;"-"&amp;MONTH(CurrentMtgRatesDataTable89[[#This Row],[asofdate]])</f>
        <v>2011-9</v>
      </c>
      <c r="AH51" s="6">
        <f>((CurrentMtgRatesDataTable89[[#This Row],[SeriesNumValue]]-$D$1)/$D$1+1)*100</f>
        <v>94.047896167927334</v>
      </c>
      <c r="AI51" s="6">
        <f>CurrentMtgRatesDataTable89[[#This Row],[Index]]-AH52</f>
        <v>4.4402054638233324</v>
      </c>
      <c r="AJ51" s="6">
        <f>VLOOKUP(CurrentMtgRatesDataTable89[[#This Row],[asofdate]],G:H,2,0)</f>
        <v>79.891482431871296</v>
      </c>
      <c r="AK51" s="6">
        <f>VLOOKUP(CurrentMtgRatesDataTable89[[#This Row],[asofdate]],K:L,2,0)</f>
        <v>0.182786101755845</v>
      </c>
      <c r="AL51" s="6">
        <f>VLOOKUP(CurrentMtgRatesDataTable89[[#This Row],[asofdate]],O:P,2,0)</f>
        <v>33.922965911430097</v>
      </c>
      <c r="AM51" s="6">
        <f>VLOOKUP(CurrentMtgRatesDataTable89[[#This Row],[asofdate]],S:T,2,0)</f>
        <v>0.28109165813664899</v>
      </c>
      <c r="AN51" s="6">
        <f>VLOOKUP(CurrentMtgRatesDataTable89[[#This Row],[asofdate]],W:X,2,0)</f>
        <v>759.69175189800796</v>
      </c>
      <c r="AO51" s="6">
        <f>VLOOKUP(CurrentMtgRatesDataTable89[[#This Row],[asofdate]],AA:AB,2,0)</f>
        <v>9.43825422999338E-2</v>
      </c>
      <c r="AR51" s="7" t="s">
        <v>80</v>
      </c>
      <c r="AS51" s="10">
        <v>0.101950777887985</v>
      </c>
      <c r="AT51" s="36">
        <f>((CurrentMtgRatesDataTable8711[[#This Row],[SeriesNumValue]]-$D$1)/$D$1+1)*100</f>
        <v>679.67185258656673</v>
      </c>
      <c r="AU51" s="36"/>
      <c r="AW51" s="7" t="s">
        <v>80</v>
      </c>
      <c r="AX51" s="10">
        <v>0</v>
      </c>
      <c r="AY51" s="36">
        <f>((CurrentMtgRatesDataTable871112[[#This Row],[SeriesNumValue]]-$D$1)/$D$1+1)*100</f>
        <v>0</v>
      </c>
      <c r="AZ51" s="36"/>
      <c r="BB51" s="7" t="s">
        <v>80</v>
      </c>
      <c r="BC51" s="10">
        <v>1.8280911241115701E-2</v>
      </c>
      <c r="BD51" s="39">
        <f>((CurrentMtgRatesDataTable87111213[[#This Row],[SeriesNumValue]]-$D$1)/$D$1+1)*100</f>
        <v>121.87274160743802</v>
      </c>
      <c r="BE51" s="39"/>
      <c r="BG51" s="7" t="s">
        <v>80</v>
      </c>
      <c r="BH51" s="10">
        <v>1.8106452720528399E-2</v>
      </c>
      <c r="BI51" s="39">
        <f>((CurrentMtgRatesDataTable8711121314[[#This Row],[SeriesNumValue]]-$D$1)/$D$1+1)*100</f>
        <v>120.70968480352266</v>
      </c>
      <c r="BJ51" s="39" t="str">
        <f>YEAR(CurrentMtgRatesDataTable8711121314[[#This Row],[asofdate]])&amp;"-"&amp;MONTH(CurrentMtgRatesDataTable8711121314[[#This Row],[asofdate]])</f>
        <v>2007-3</v>
      </c>
      <c r="BK51" s="39">
        <f>CurrentMtgRatesDataTable8711121314[[#This Row],[SeriesNumValue]]</f>
        <v>1.8106452720528399E-2</v>
      </c>
      <c r="BL51" s="39">
        <f>VLOOKUP(CurrentMtgRatesDataTable8711121314[[#This Row],[asofdate]],AR:AT,2,0)</f>
        <v>0.101950777887985</v>
      </c>
      <c r="BM51" s="35">
        <f>IF(VLOOKUP(CurrentMtgRatesDataTable8711121314[[#This Row],[asofdate]],AW:AY,2,0)&lt;&gt;0,VLOOKUP(CurrentMtgRatesDataTable8711121314[[#This Row],[asofdate]],AW:AY,2,0),BM50)</f>
        <v>8.8833892051242799E-2</v>
      </c>
      <c r="BN51" s="35">
        <f>VLOOKUP(CurrentMtgRatesDataTable8711121314[[#This Row],[asofdate]],BB:BD,2,0)</f>
        <v>1.8280911241115701E-2</v>
      </c>
      <c r="BO51" s="35">
        <f>CurrentMtgRatesDataTable8711121314[[#This Row],[FHA]]+0.5*CurrentMtgRatesDataTable8711121314[[#This Row],[Conventional]]</f>
        <v>0.1110040042482492</v>
      </c>
      <c r="BP51" s="35">
        <f>2*CurrentMtgRatesDataTable8711121314[[#This Row],[FHA]]</f>
        <v>0.20390155577596999</v>
      </c>
      <c r="BQ51" s="11">
        <f>VLOOKUP(YEAR(CurrentMtgRatesDataTable8711121314[[#This Row],[asofdate]]),OriginationVolume!$A:$N,8,FALSE)</f>
        <v>0.55309947140797688</v>
      </c>
      <c r="BR51" s="11">
        <f>VLOOKUP(YEAR(CurrentMtgRatesDataTable8711121314[[#This Row],[asofdate]]),OriginationVolume!$A:$N,9,FALSE)</f>
        <v>1.3935607880826525E-2</v>
      </c>
      <c r="BS51" s="11">
        <f>VLOOKUP(YEAR(CurrentMtgRatesDataTable8711121314[[#This Row],[asofdate]]),OriginationVolume!$A:$N,10,FALSE)</f>
        <v>4.1806823642479576E-2</v>
      </c>
      <c r="BT51" s="11">
        <f>VLOOKUP(YEAR(CurrentMtgRatesDataTable8711121314[[#This Row],[asofdate]]),OriginationVolume!$A:$N,11,FALSE)</f>
        <v>0.16722729456991831</v>
      </c>
      <c r="BU51" s="11">
        <f>VLOOKUP(YEAR(CurrentMtgRatesDataTable8711121314[[#This Row],[asofdate]]),OriginationVolume!$A:$N,12,FALSE)</f>
        <v>0.13214800576645844</v>
      </c>
      <c r="BV51" s="11">
        <f>VLOOKUP(YEAR(CurrentMtgRatesDataTable8711121314[[#This Row],[asofdate]]),OriginationVolume!$A:$N,13,FALSE)</f>
        <v>9.1782796732340216E-2</v>
      </c>
      <c r="BW51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5.1926367849731661E-2</v>
      </c>
      <c r="BY51" s="7" t="s">
        <v>80</v>
      </c>
      <c r="BZ51" s="10">
        <v>38261000</v>
      </c>
      <c r="CA51" s="36"/>
      <c r="CC51" s="7" t="s">
        <v>80</v>
      </c>
      <c r="CD51" s="10">
        <v>13950000</v>
      </c>
      <c r="CE51" s="36"/>
      <c r="CG51" s="7" t="s">
        <v>80</v>
      </c>
      <c r="CH51" s="10">
        <v>10625968730.68</v>
      </c>
      <c r="CI51" s="39"/>
      <c r="CK51" s="7" t="s">
        <v>80</v>
      </c>
      <c r="CL51" s="10">
        <v>10573757730.68</v>
      </c>
      <c r="CM51" s="39" t="str">
        <f>YEAR(CurrentMtgRatesDataTable871112131417[[#This Row],[asofdate]])&amp;"-"&amp;MONTH(CurrentMtgRatesDataTable871112131417[[#This Row],[asofdate]])</f>
        <v>2007-3</v>
      </c>
      <c r="CN51" s="39">
        <f>CurrentMtgRatesDataTable871112131417[[#This Row],[SeriesNumValue]]</f>
        <v>10573757730.68</v>
      </c>
      <c r="CO51" s="39">
        <f>VLOOKUP(CurrentMtgRatesDataTable871112131417[[#This Row],[asofdate]],BY:BZ,2,0)</f>
        <v>38261000</v>
      </c>
      <c r="CP51" s="35">
        <f>IF(VLOOKUP(CurrentMtgRatesDataTable871112131417[[#This Row],[asofdate]],CC:CD,2,0)&lt;&gt;0,VLOOKUP(CurrentMtgRatesDataTable871112131417[[#This Row],[asofdate]],CC:CD,2,0),CP50)</f>
        <v>13950000</v>
      </c>
      <c r="CQ51" s="35">
        <f>VLOOKUP(CurrentMtgRatesDataTable871112131417[[#This Row],[asofdate]],CG:CH,2,0)</f>
        <v>10625968730.68</v>
      </c>
    </row>
    <row r="52" spans="1:95" s="6" customFormat="1" ht="12.75">
      <c r="A52" s="7" t="s">
        <v>81</v>
      </c>
      <c r="B52" s="10">
        <v>1.9825237948473601E-2</v>
      </c>
      <c r="C52" s="10" t="str">
        <f>YEAR(CurrentMtgRatesDataTable8[[#This Row],[asofdate]])&amp;"-"&amp;MONTH(CurrentMtgRatesDataTable8[[#This Row],[asofdate]])</f>
        <v>2007-4</v>
      </c>
      <c r="D52" s="6">
        <f>((CurrentMtgRatesDataTable8[[#This Row],[SeriesNumValue]]-$D$1)/$D$1+1)*100</f>
        <v>132.168252989824</v>
      </c>
      <c r="G52" s="7" t="s">
        <v>81</v>
      </c>
      <c r="H52" s="10">
        <v>80.627500828568799</v>
      </c>
      <c r="I52" s="26">
        <f>VLOOKUP(CurrentMtgRatesDataTable82[[#This Row],[asofdate]],K:L,2,0)</f>
        <v>0.23336175068755199</v>
      </c>
      <c r="K52" s="7" t="s">
        <v>81</v>
      </c>
      <c r="L52" s="29">
        <v>0.23336175068755199</v>
      </c>
      <c r="O52" s="7" t="s">
        <v>81</v>
      </c>
      <c r="P52" s="10">
        <v>37.946752928057499</v>
      </c>
      <c r="Q52" s="29">
        <f>VLOOKUP(CurrentMtgRatesDataTable84[[#This Row],[asofdate]],S:T,2,0)</f>
        <v>0.27418324865767502</v>
      </c>
      <c r="S52" s="7" t="s">
        <v>81</v>
      </c>
      <c r="T52" s="10">
        <v>0.27418324865767502</v>
      </c>
      <c r="W52" s="7" t="s">
        <v>81</v>
      </c>
      <c r="X52" s="10">
        <v>728.07226394657005</v>
      </c>
      <c r="Y52" s="26">
        <f>VLOOKUP(CurrentMtgRatesDataTable86[[#This Row],[asofdate]],AA:AB,2,0)</f>
        <v>0.30117036754250298</v>
      </c>
      <c r="AA52" s="7" t="s">
        <v>81</v>
      </c>
      <c r="AB52" s="10">
        <v>0.30117036754250298</v>
      </c>
      <c r="AE52" s="7" t="s">
        <v>133</v>
      </c>
      <c r="AF52" s="10">
        <v>1.34411536056156E-2</v>
      </c>
      <c r="AG52" s="10" t="str">
        <f>YEAR(CurrentMtgRatesDataTable89[[#This Row],[asofdate]])&amp;"-"&amp;MONTH(CurrentMtgRatesDataTable89[[#This Row],[asofdate]])</f>
        <v>2011-8</v>
      </c>
      <c r="AH52" s="6">
        <f>((CurrentMtgRatesDataTable89[[#This Row],[SeriesNumValue]]-$D$1)/$D$1+1)*100</f>
        <v>89.607690704104002</v>
      </c>
      <c r="AI52" s="6">
        <f>CurrentMtgRatesDataTable89[[#This Row],[Index]]-AH53</f>
        <v>-3.3278156171833473</v>
      </c>
      <c r="AJ52" s="6">
        <f>VLOOKUP(CurrentMtgRatesDataTable89[[#This Row],[asofdate]],G:H,2,0)</f>
        <v>79.406161699896799</v>
      </c>
      <c r="AK52" s="6">
        <f>VLOOKUP(CurrentMtgRatesDataTable89[[#This Row],[asofdate]],K:L,2,0)</f>
        <v>0.17186683030413899</v>
      </c>
      <c r="AL52" s="6">
        <f>VLOOKUP(CurrentMtgRatesDataTable89[[#This Row],[asofdate]],O:P,2,0)</f>
        <v>33.865990712292998</v>
      </c>
      <c r="AM52" s="6">
        <f>VLOOKUP(CurrentMtgRatesDataTable89[[#This Row],[asofdate]],S:T,2,0)</f>
        <v>0.27877098117541399</v>
      </c>
      <c r="AN52" s="6">
        <f>VLOOKUP(CurrentMtgRatesDataTable89[[#This Row],[asofdate]],W:X,2,0)</f>
        <v>760.114475926419</v>
      </c>
      <c r="AO52" s="6">
        <f>VLOOKUP(CurrentMtgRatesDataTable89[[#This Row],[asofdate]],AA:AB,2,0)</f>
        <v>9.1570324856227001E-2</v>
      </c>
      <c r="AR52" s="7" t="s">
        <v>81</v>
      </c>
      <c r="AS52" s="10">
        <v>0.11322743894513</v>
      </c>
      <c r="AT52" s="36">
        <f>((CurrentMtgRatesDataTable8711[[#This Row],[SeriesNumValue]]-$D$1)/$D$1+1)*100</f>
        <v>754.84959296753345</v>
      </c>
      <c r="AU52" s="36"/>
      <c r="AW52" s="7" t="s">
        <v>81</v>
      </c>
      <c r="AX52" s="10">
        <v>8.5720663516440795E-2</v>
      </c>
      <c r="AY52" s="36">
        <f>((CurrentMtgRatesDataTable871112[[#This Row],[SeriesNumValue]]-$D$1)/$D$1+1)*100</f>
        <v>571.47109010960526</v>
      </c>
      <c r="AZ52" s="36"/>
      <c r="BB52" s="7" t="s">
        <v>81</v>
      </c>
      <c r="BC52" s="10">
        <v>1.9416365346460001E-2</v>
      </c>
      <c r="BD52" s="39">
        <f>((CurrentMtgRatesDataTable87111213[[#This Row],[SeriesNumValue]]-$D$1)/$D$1+1)*100</f>
        <v>129.44243564306669</v>
      </c>
      <c r="BE52" s="39"/>
      <c r="BG52" s="7" t="s">
        <v>81</v>
      </c>
      <c r="BH52" s="10">
        <v>1.9218681550226799E-2</v>
      </c>
      <c r="BI52" s="39">
        <f>((CurrentMtgRatesDataTable8711121314[[#This Row],[SeriesNumValue]]-$D$1)/$D$1+1)*100</f>
        <v>128.12454366817866</v>
      </c>
      <c r="BJ52" s="39" t="str">
        <f>YEAR(CurrentMtgRatesDataTable8711121314[[#This Row],[asofdate]])&amp;"-"&amp;MONTH(CurrentMtgRatesDataTable8711121314[[#This Row],[asofdate]])</f>
        <v>2007-4</v>
      </c>
      <c r="BK52" s="39">
        <f>CurrentMtgRatesDataTable8711121314[[#This Row],[SeriesNumValue]]</f>
        <v>1.9218681550226799E-2</v>
      </c>
      <c r="BL52" s="39">
        <f>VLOOKUP(CurrentMtgRatesDataTable8711121314[[#This Row],[asofdate]],AR:AT,2,0)</f>
        <v>0.11322743894513</v>
      </c>
      <c r="BM52" s="35">
        <f>IF(VLOOKUP(CurrentMtgRatesDataTable8711121314[[#This Row],[asofdate]],AW:AY,2,0)&lt;&gt;0,VLOOKUP(CurrentMtgRatesDataTable8711121314[[#This Row],[asofdate]],AW:AY,2,0),BM51)</f>
        <v>8.5720663516440795E-2</v>
      </c>
      <c r="BN52" s="35">
        <f>VLOOKUP(CurrentMtgRatesDataTable8711121314[[#This Row],[asofdate]],BB:BD,2,0)</f>
        <v>1.9416365346460001E-2</v>
      </c>
      <c r="BO52" s="35">
        <f>CurrentMtgRatesDataTable8711121314[[#This Row],[FHA]]+0.5*CurrentMtgRatesDataTable8711121314[[#This Row],[Conventional]]</f>
        <v>0.1228367797202434</v>
      </c>
      <c r="BP52" s="35">
        <f>2*CurrentMtgRatesDataTable8711121314[[#This Row],[FHA]]</f>
        <v>0.22645487789026</v>
      </c>
      <c r="BQ52" s="11">
        <f>VLOOKUP(YEAR(CurrentMtgRatesDataTable8711121314[[#This Row],[asofdate]]),OriginationVolume!$A:$N,8,FALSE)</f>
        <v>0.55309947140797688</v>
      </c>
      <c r="BR52" s="11">
        <f>VLOOKUP(YEAR(CurrentMtgRatesDataTable8711121314[[#This Row],[asofdate]]),OriginationVolume!$A:$N,9,FALSE)</f>
        <v>1.3935607880826525E-2</v>
      </c>
      <c r="BS52" s="11">
        <f>VLOOKUP(YEAR(CurrentMtgRatesDataTable8711121314[[#This Row],[asofdate]]),OriginationVolume!$A:$N,10,FALSE)</f>
        <v>4.1806823642479576E-2</v>
      </c>
      <c r="BT52" s="11">
        <f>VLOOKUP(YEAR(CurrentMtgRatesDataTable8711121314[[#This Row],[asofdate]]),OriginationVolume!$A:$N,11,FALSE)</f>
        <v>0.16722729456991831</v>
      </c>
      <c r="BU52" s="11">
        <f>VLOOKUP(YEAR(CurrentMtgRatesDataTable8711121314[[#This Row],[asofdate]]),OriginationVolume!$A:$N,12,FALSE)</f>
        <v>0.13214800576645844</v>
      </c>
      <c r="BV52" s="11">
        <f>VLOOKUP(YEAR(CurrentMtgRatesDataTable8711121314[[#This Row],[asofdate]]),OriginationVolume!$A:$N,13,FALSE)</f>
        <v>9.1782796732340216E-2</v>
      </c>
      <c r="BW52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5.6789277354204547E-2</v>
      </c>
      <c r="BY52" s="7" t="s">
        <v>81</v>
      </c>
      <c r="BZ52" s="10">
        <v>47432000</v>
      </c>
      <c r="CA52" s="36"/>
      <c r="CC52" s="7" t="s">
        <v>81</v>
      </c>
      <c r="CD52" s="10">
        <v>18663000</v>
      </c>
      <c r="CE52" s="36"/>
      <c r="CG52" s="7" t="s">
        <v>81</v>
      </c>
      <c r="CH52" s="10">
        <v>12274867240.42</v>
      </c>
      <c r="CI52" s="39"/>
      <c r="CK52" s="7" t="s">
        <v>81</v>
      </c>
      <c r="CL52" s="10">
        <v>12208772240.42</v>
      </c>
      <c r="CM52" s="39" t="str">
        <f>YEAR(CurrentMtgRatesDataTable871112131417[[#This Row],[asofdate]])&amp;"-"&amp;MONTH(CurrentMtgRatesDataTable871112131417[[#This Row],[asofdate]])</f>
        <v>2007-4</v>
      </c>
      <c r="CN52" s="39">
        <f>CurrentMtgRatesDataTable871112131417[[#This Row],[SeriesNumValue]]</f>
        <v>12208772240.42</v>
      </c>
      <c r="CO52" s="39">
        <f>VLOOKUP(CurrentMtgRatesDataTable871112131417[[#This Row],[asofdate]],BY:BZ,2,0)</f>
        <v>47432000</v>
      </c>
      <c r="CP52" s="35">
        <f>IF(VLOOKUP(CurrentMtgRatesDataTable871112131417[[#This Row],[asofdate]],CC:CD,2,0)&lt;&gt;0,VLOOKUP(CurrentMtgRatesDataTable871112131417[[#This Row],[asofdate]],CC:CD,2,0),CP51)</f>
        <v>18663000</v>
      </c>
      <c r="CQ52" s="35">
        <f>VLOOKUP(CurrentMtgRatesDataTable871112131417[[#This Row],[asofdate]],CG:CH,2,0)</f>
        <v>12274867240.42</v>
      </c>
    </row>
    <row r="53" spans="1:95" s="6" customFormat="1" ht="12.75">
      <c r="A53" s="7" t="s">
        <v>82</v>
      </c>
      <c r="B53" s="10">
        <v>2.0284946231693701E-2</v>
      </c>
      <c r="C53" s="10" t="str">
        <f>YEAR(CurrentMtgRatesDataTable8[[#This Row],[asofdate]])&amp;"-"&amp;MONTH(CurrentMtgRatesDataTable8[[#This Row],[asofdate]])</f>
        <v>2007-5</v>
      </c>
      <c r="D53" s="6">
        <f>((CurrentMtgRatesDataTable8[[#This Row],[SeriesNumValue]]-$D$1)/$D$1+1)*100</f>
        <v>135.23297487795801</v>
      </c>
      <c r="G53" s="7" t="s">
        <v>82</v>
      </c>
      <c r="H53" s="10">
        <v>81.029584931334</v>
      </c>
      <c r="I53" s="26">
        <f>VLOOKUP(CurrentMtgRatesDataTable82[[#This Row],[asofdate]],K:L,2,0)</f>
        <v>0.25075487270087099</v>
      </c>
      <c r="K53" s="7" t="s">
        <v>82</v>
      </c>
      <c r="L53" s="29">
        <v>0.25075487270087099</v>
      </c>
      <c r="O53" s="7" t="s">
        <v>82</v>
      </c>
      <c r="P53" s="10">
        <v>37.941075227250401</v>
      </c>
      <c r="Q53" s="29">
        <f>VLOOKUP(CurrentMtgRatesDataTable84[[#This Row],[asofdate]],S:T,2,0)</f>
        <v>0.29044045878201202</v>
      </c>
      <c r="S53" s="7" t="s">
        <v>82</v>
      </c>
      <c r="T53" s="10">
        <v>0.29044045878201202</v>
      </c>
      <c r="W53" s="7" t="s">
        <v>82</v>
      </c>
      <c r="X53" s="10">
        <v>726.66837558813302</v>
      </c>
      <c r="Y53" s="26">
        <f>VLOOKUP(CurrentMtgRatesDataTable86[[#This Row],[asofdate]],AA:AB,2,0)</f>
        <v>0.31243119456729701</v>
      </c>
      <c r="AA53" s="7" t="s">
        <v>82</v>
      </c>
      <c r="AB53" s="10">
        <v>0.31243119456729701</v>
      </c>
      <c r="AE53" s="7" t="s">
        <v>132</v>
      </c>
      <c r="AF53" s="10">
        <v>1.39403259481931E-2</v>
      </c>
      <c r="AG53" s="10" t="str">
        <f>YEAR(CurrentMtgRatesDataTable89[[#This Row],[asofdate]])&amp;"-"&amp;MONTH(CurrentMtgRatesDataTable89[[#This Row],[asofdate]])</f>
        <v>2011-7</v>
      </c>
      <c r="AH53" s="6">
        <f>((CurrentMtgRatesDataTable89[[#This Row],[SeriesNumValue]]-$D$1)/$D$1+1)*100</f>
        <v>92.935506321287349</v>
      </c>
      <c r="AI53" s="6">
        <f>CurrentMtgRatesDataTable89[[#This Row],[Index]]-AH54</f>
        <v>7.4302713271500096</v>
      </c>
      <c r="AJ53" s="6">
        <f>VLOOKUP(CurrentMtgRatesDataTable89[[#This Row],[asofdate]],G:H,2,0)</f>
        <v>79.088148482736102</v>
      </c>
      <c r="AK53" s="6">
        <f>VLOOKUP(CurrentMtgRatesDataTable89[[#This Row],[asofdate]],K:L,2,0)</f>
        <v>0.16308984472221</v>
      </c>
      <c r="AL53" s="6">
        <f>VLOOKUP(CurrentMtgRatesDataTable89[[#This Row],[asofdate]],O:P,2,0)</f>
        <v>34.046479304029901</v>
      </c>
      <c r="AM53" s="6">
        <f>VLOOKUP(CurrentMtgRatesDataTable89[[#This Row],[asofdate]],S:T,2,0)</f>
        <v>0.28753119304577202</v>
      </c>
      <c r="AN53" s="6">
        <f>VLOOKUP(CurrentMtgRatesDataTable89[[#This Row],[asofdate]],W:X,2,0)</f>
        <v>760.10467062830696</v>
      </c>
      <c r="AO53" s="6">
        <f>VLOOKUP(CurrentMtgRatesDataTable89[[#This Row],[asofdate]],AA:AB,2,0)</f>
        <v>9.1379326760530996E-2</v>
      </c>
      <c r="AR53" s="7" t="s">
        <v>82</v>
      </c>
      <c r="AS53" s="10">
        <v>0.109331088924152</v>
      </c>
      <c r="AT53" s="36">
        <f>((CurrentMtgRatesDataTable8711[[#This Row],[SeriesNumValue]]-$D$1)/$D$1+1)*100</f>
        <v>728.87392616101329</v>
      </c>
      <c r="AU53" s="36"/>
      <c r="AW53" s="7" t="s">
        <v>82</v>
      </c>
      <c r="AX53" s="10">
        <v>9.4059593281205903E-2</v>
      </c>
      <c r="AY53" s="36">
        <f>((CurrentMtgRatesDataTable871112[[#This Row],[SeriesNumValue]]-$D$1)/$D$1+1)*100</f>
        <v>627.06395520803937</v>
      </c>
      <c r="AZ53" s="36"/>
      <c r="BB53" s="7" t="s">
        <v>82</v>
      </c>
      <c r="BC53" s="10">
        <v>2.06369195060341E-2</v>
      </c>
      <c r="BD53" s="39">
        <f>((CurrentMtgRatesDataTable87111213[[#This Row],[SeriesNumValue]]-$D$1)/$D$1+1)*100</f>
        <v>137.57946337356066</v>
      </c>
      <c r="BE53" s="39"/>
      <c r="BG53" s="7" t="s">
        <v>82</v>
      </c>
      <c r="BH53" s="10">
        <v>2.0422342200062199E-2</v>
      </c>
      <c r="BI53" s="39">
        <f>((CurrentMtgRatesDataTable8711121314[[#This Row],[SeriesNumValue]]-$D$1)/$D$1+1)*100</f>
        <v>136.14894800041466</v>
      </c>
      <c r="BJ53" s="39" t="str">
        <f>YEAR(CurrentMtgRatesDataTable8711121314[[#This Row],[asofdate]])&amp;"-"&amp;MONTH(CurrentMtgRatesDataTable8711121314[[#This Row],[asofdate]])</f>
        <v>2007-5</v>
      </c>
      <c r="BK53" s="39">
        <f>CurrentMtgRatesDataTable8711121314[[#This Row],[SeriesNumValue]]</f>
        <v>2.0422342200062199E-2</v>
      </c>
      <c r="BL53" s="39">
        <f>VLOOKUP(CurrentMtgRatesDataTable8711121314[[#This Row],[asofdate]],AR:AT,2,0)</f>
        <v>0.109331088924152</v>
      </c>
      <c r="BM53" s="35">
        <f>IF(VLOOKUP(CurrentMtgRatesDataTable8711121314[[#This Row],[asofdate]],AW:AY,2,0)&lt;&gt;0,VLOOKUP(CurrentMtgRatesDataTable8711121314[[#This Row],[asofdate]],AW:AY,2,0),BM52)</f>
        <v>9.4059593281205903E-2</v>
      </c>
      <c r="BN53" s="35">
        <f>VLOOKUP(CurrentMtgRatesDataTable8711121314[[#This Row],[asofdate]],BB:BD,2,0)</f>
        <v>2.06369195060341E-2</v>
      </c>
      <c r="BO53" s="35">
        <f>CurrentMtgRatesDataTable8711121314[[#This Row],[FHA]]+0.5*CurrentMtgRatesDataTable8711121314[[#This Row],[Conventional]]</f>
        <v>0.1195422600241831</v>
      </c>
      <c r="BP53" s="35">
        <f>2*CurrentMtgRatesDataTable8711121314[[#This Row],[FHA]]</f>
        <v>0.218662177848304</v>
      </c>
      <c r="BQ53" s="11">
        <f>VLOOKUP(YEAR(CurrentMtgRatesDataTable8711121314[[#This Row],[asofdate]]),OriginationVolume!$A:$N,8,FALSE)</f>
        <v>0.55309947140797688</v>
      </c>
      <c r="BR53" s="11">
        <f>VLOOKUP(YEAR(CurrentMtgRatesDataTable8711121314[[#This Row],[asofdate]]),OriginationVolume!$A:$N,9,FALSE)</f>
        <v>1.3935607880826525E-2</v>
      </c>
      <c r="BS53" s="11">
        <f>VLOOKUP(YEAR(CurrentMtgRatesDataTable8711121314[[#This Row],[asofdate]]),OriginationVolume!$A:$N,10,FALSE)</f>
        <v>4.1806823642479576E-2</v>
      </c>
      <c r="BT53" s="11">
        <f>VLOOKUP(YEAR(CurrentMtgRatesDataTable8711121314[[#This Row],[asofdate]]),OriginationVolume!$A:$N,11,FALSE)</f>
        <v>0.16722729456991831</v>
      </c>
      <c r="BU53" s="11">
        <f>VLOOKUP(YEAR(CurrentMtgRatesDataTable8711121314[[#This Row],[asofdate]]),OriginationVolume!$A:$N,12,FALSE)</f>
        <v>0.13214800576645844</v>
      </c>
      <c r="BV53" s="11">
        <f>VLOOKUP(YEAR(CurrentMtgRatesDataTable8711121314[[#This Row],[asofdate]]),OriginationVolume!$A:$N,13,FALSE)</f>
        <v>9.1782796732340216E-2</v>
      </c>
      <c r="BW53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5.6459020362866819E-2</v>
      </c>
      <c r="BY53" s="7" t="s">
        <v>82</v>
      </c>
      <c r="BZ53" s="10">
        <v>66177000</v>
      </c>
      <c r="CA53" s="36"/>
      <c r="CC53" s="7" t="s">
        <v>82</v>
      </c>
      <c r="CD53" s="10">
        <v>19376000</v>
      </c>
      <c r="CE53" s="36"/>
      <c r="CG53" s="7" t="s">
        <v>82</v>
      </c>
      <c r="CH53" s="10">
        <v>16261292046.35</v>
      </c>
      <c r="CI53" s="39"/>
      <c r="CK53" s="7" t="s">
        <v>82</v>
      </c>
      <c r="CL53" s="10">
        <v>16175739046.35</v>
      </c>
      <c r="CM53" s="39" t="str">
        <f>YEAR(CurrentMtgRatesDataTable871112131417[[#This Row],[asofdate]])&amp;"-"&amp;MONTH(CurrentMtgRatesDataTable871112131417[[#This Row],[asofdate]])</f>
        <v>2007-5</v>
      </c>
      <c r="CN53" s="39">
        <f>CurrentMtgRatesDataTable871112131417[[#This Row],[SeriesNumValue]]</f>
        <v>16175739046.35</v>
      </c>
      <c r="CO53" s="39">
        <f>VLOOKUP(CurrentMtgRatesDataTable871112131417[[#This Row],[asofdate]],BY:BZ,2,0)</f>
        <v>66177000</v>
      </c>
      <c r="CP53" s="35">
        <f>IF(VLOOKUP(CurrentMtgRatesDataTable871112131417[[#This Row],[asofdate]],CC:CD,2,0)&lt;&gt;0,VLOOKUP(CurrentMtgRatesDataTable871112131417[[#This Row],[asofdate]],CC:CD,2,0),CP52)</f>
        <v>19376000</v>
      </c>
      <c r="CQ53" s="35">
        <f>VLOOKUP(CurrentMtgRatesDataTable871112131417[[#This Row],[asofdate]],CG:CH,2,0)</f>
        <v>16261292046.35</v>
      </c>
    </row>
    <row r="54" spans="1:95" s="6" customFormat="1" ht="12.75">
      <c r="A54" s="7" t="s">
        <v>83</v>
      </c>
      <c r="B54" s="10">
        <v>2.06722782999215E-2</v>
      </c>
      <c r="C54" s="10" t="str">
        <f>YEAR(CurrentMtgRatesDataTable8[[#This Row],[asofdate]])&amp;"-"&amp;MONTH(CurrentMtgRatesDataTable8[[#This Row],[asofdate]])</f>
        <v>2007-6</v>
      </c>
      <c r="D54" s="6">
        <f>((CurrentMtgRatesDataTable8[[#This Row],[SeriesNumValue]]-$D$1)/$D$1+1)*100</f>
        <v>137.81518866614334</v>
      </c>
      <c r="G54" s="7" t="s">
        <v>83</v>
      </c>
      <c r="H54" s="10">
        <v>81.638859040765198</v>
      </c>
      <c r="I54" s="26">
        <f>VLOOKUP(CurrentMtgRatesDataTable82[[#This Row],[asofdate]],K:L,2,0)</f>
        <v>0.27467745596276899</v>
      </c>
      <c r="K54" s="7" t="s">
        <v>83</v>
      </c>
      <c r="L54" s="29">
        <v>0.27467745596276899</v>
      </c>
      <c r="O54" s="7" t="s">
        <v>83</v>
      </c>
      <c r="P54" s="10">
        <v>37.925888931269299</v>
      </c>
      <c r="Q54" s="29">
        <f>VLOOKUP(CurrentMtgRatesDataTable84[[#This Row],[asofdate]],S:T,2,0)</f>
        <v>0.29479740023241902</v>
      </c>
      <c r="S54" s="7" t="s">
        <v>83</v>
      </c>
      <c r="T54" s="10">
        <v>0.29479740023241902</v>
      </c>
      <c r="W54" s="7" t="s">
        <v>83</v>
      </c>
      <c r="X54" s="10">
        <v>726.03849192935195</v>
      </c>
      <c r="Y54" s="26">
        <f>VLOOKUP(CurrentMtgRatesDataTable86[[#This Row],[asofdate]],AA:AB,2,0)</f>
        <v>0.31736070193891203</v>
      </c>
      <c r="AA54" s="7" t="s">
        <v>83</v>
      </c>
      <c r="AB54" s="10">
        <v>0.31736070193891203</v>
      </c>
      <c r="AE54" s="7" t="s">
        <v>131</v>
      </c>
      <c r="AF54" s="10">
        <v>1.28257852491206E-2</v>
      </c>
      <c r="AG54" s="10" t="str">
        <f>YEAR(CurrentMtgRatesDataTable89[[#This Row],[asofdate]])&amp;"-"&amp;MONTH(CurrentMtgRatesDataTable89[[#This Row],[asofdate]])</f>
        <v>2011-6</v>
      </c>
      <c r="AH54" s="6">
        <f>((CurrentMtgRatesDataTable89[[#This Row],[SeriesNumValue]]-$D$1)/$D$1+1)*100</f>
        <v>85.505234994137339</v>
      </c>
      <c r="AI54" s="6">
        <f>CurrentMtgRatesDataTable89[[#This Row],[Index]]-AH55</f>
        <v>2.6898246474626717</v>
      </c>
      <c r="AJ54" s="6">
        <f>VLOOKUP(CurrentMtgRatesDataTable89[[#This Row],[asofdate]],G:H,2,0)</f>
        <v>78.409888883979804</v>
      </c>
      <c r="AK54" s="6">
        <f>VLOOKUP(CurrentMtgRatesDataTable89[[#This Row],[asofdate]],K:L,2,0)</f>
        <v>0.142076177959504</v>
      </c>
      <c r="AL54" s="6">
        <f>VLOOKUP(CurrentMtgRatesDataTable89[[#This Row],[asofdate]],O:P,2,0)</f>
        <v>34.2529465324873</v>
      </c>
      <c r="AM54" s="6">
        <f>VLOOKUP(CurrentMtgRatesDataTable89[[#This Row],[asofdate]],S:T,2,0)</f>
        <v>0.29771300873224599</v>
      </c>
      <c r="AN54" s="6">
        <f>VLOOKUP(CurrentMtgRatesDataTable89[[#This Row],[asofdate]],W:X,2,0)</f>
        <v>760.82408923551498</v>
      </c>
      <c r="AO54" s="6">
        <f>VLOOKUP(CurrentMtgRatesDataTable89[[#This Row],[asofdate]],AA:AB,2,0)</f>
        <v>8.6597855232636606E-2</v>
      </c>
      <c r="AR54" s="7" t="s">
        <v>83</v>
      </c>
      <c r="AS54" s="10">
        <v>0.113390111014102</v>
      </c>
      <c r="AT54" s="36">
        <f>((CurrentMtgRatesDataTable8711[[#This Row],[SeriesNumValue]]-$D$1)/$D$1+1)*100</f>
        <v>755.93407342734668</v>
      </c>
      <c r="AU54" s="36"/>
      <c r="AW54" s="7" t="s">
        <v>83</v>
      </c>
      <c r="AX54" s="10">
        <v>7.6040970936058994E-2</v>
      </c>
      <c r="AY54" s="36">
        <f>((CurrentMtgRatesDataTable871112[[#This Row],[SeriesNumValue]]-$D$1)/$D$1+1)*100</f>
        <v>506.9398062403933</v>
      </c>
      <c r="AZ54" s="36"/>
      <c r="BB54" s="7" t="s">
        <v>83</v>
      </c>
      <c r="BC54" s="10">
        <v>2.13189826696174E-2</v>
      </c>
      <c r="BD54" s="39">
        <f>((CurrentMtgRatesDataTable87111213[[#This Row],[SeriesNumValue]]-$D$1)/$D$1+1)*100</f>
        <v>142.12655113078267</v>
      </c>
      <c r="BE54" s="39"/>
      <c r="BG54" s="7" t="s">
        <v>83</v>
      </c>
      <c r="BH54" s="10">
        <v>2.1071832143085101E-2</v>
      </c>
      <c r="BI54" s="39">
        <f>((CurrentMtgRatesDataTable8711121314[[#This Row],[SeriesNumValue]]-$D$1)/$D$1+1)*100</f>
        <v>140.4788809539007</v>
      </c>
      <c r="BJ54" s="39" t="str">
        <f>YEAR(CurrentMtgRatesDataTable8711121314[[#This Row],[asofdate]])&amp;"-"&amp;MONTH(CurrentMtgRatesDataTable8711121314[[#This Row],[asofdate]])</f>
        <v>2007-6</v>
      </c>
      <c r="BK54" s="39">
        <f>CurrentMtgRatesDataTable8711121314[[#This Row],[SeriesNumValue]]</f>
        <v>2.1071832143085101E-2</v>
      </c>
      <c r="BL54" s="39">
        <f>VLOOKUP(CurrentMtgRatesDataTable8711121314[[#This Row],[asofdate]],AR:AT,2,0)</f>
        <v>0.113390111014102</v>
      </c>
      <c r="BM54" s="35">
        <f>IF(VLOOKUP(CurrentMtgRatesDataTable8711121314[[#This Row],[asofdate]],AW:AY,2,0)&lt;&gt;0,VLOOKUP(CurrentMtgRatesDataTable8711121314[[#This Row],[asofdate]],AW:AY,2,0),BM53)</f>
        <v>7.6040970936058994E-2</v>
      </c>
      <c r="BN54" s="35">
        <f>VLOOKUP(CurrentMtgRatesDataTable8711121314[[#This Row],[asofdate]],BB:BD,2,0)</f>
        <v>2.13189826696174E-2</v>
      </c>
      <c r="BO54" s="35">
        <f>CurrentMtgRatesDataTable8711121314[[#This Row],[FHA]]+0.5*CurrentMtgRatesDataTable8711121314[[#This Row],[Conventional]]</f>
        <v>0.12392602708564456</v>
      </c>
      <c r="BP54" s="35">
        <f>2*CurrentMtgRatesDataTable8711121314[[#This Row],[FHA]]</f>
        <v>0.226780222028204</v>
      </c>
      <c r="BQ54" s="11">
        <f>VLOOKUP(YEAR(CurrentMtgRatesDataTable8711121314[[#This Row],[asofdate]]),OriginationVolume!$A:$N,8,FALSE)</f>
        <v>0.55309947140797688</v>
      </c>
      <c r="BR54" s="11">
        <f>VLOOKUP(YEAR(CurrentMtgRatesDataTable8711121314[[#This Row],[asofdate]]),OriginationVolume!$A:$N,9,FALSE)</f>
        <v>1.3935607880826525E-2</v>
      </c>
      <c r="BS54" s="11">
        <f>VLOOKUP(YEAR(CurrentMtgRatesDataTable8711121314[[#This Row],[asofdate]]),OriginationVolume!$A:$N,10,FALSE)</f>
        <v>4.1806823642479576E-2</v>
      </c>
      <c r="BT54" s="11">
        <f>VLOOKUP(YEAR(CurrentMtgRatesDataTable8711121314[[#This Row],[asofdate]]),OriginationVolume!$A:$N,11,FALSE)</f>
        <v>0.16722729456991831</v>
      </c>
      <c r="BU54" s="11">
        <f>VLOOKUP(YEAR(CurrentMtgRatesDataTable8711121314[[#This Row],[asofdate]]),OriginationVolume!$A:$N,12,FALSE)</f>
        <v>0.13214800576645844</v>
      </c>
      <c r="BV54" s="11">
        <f>VLOOKUP(YEAR(CurrentMtgRatesDataTable8711121314[[#This Row],[asofdate]]),OriginationVolume!$A:$N,13,FALSE)</f>
        <v>9.1782796732340216E-2</v>
      </c>
      <c r="BW54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5.8169862591925206E-2</v>
      </c>
      <c r="BY54" s="7" t="s">
        <v>83</v>
      </c>
      <c r="BZ54" s="10">
        <v>82424000</v>
      </c>
      <c r="CA54" s="36"/>
      <c r="CC54" s="7" t="s">
        <v>83</v>
      </c>
      <c r="CD54" s="10">
        <v>19400000</v>
      </c>
      <c r="CE54" s="36"/>
      <c r="CG54" s="7" t="s">
        <v>83</v>
      </c>
      <c r="CH54" s="10">
        <v>17193197055.080002</v>
      </c>
      <c r="CI54" s="39"/>
      <c r="CK54" s="7" t="s">
        <v>83</v>
      </c>
      <c r="CL54" s="10">
        <v>17091373055.08</v>
      </c>
      <c r="CM54" s="39" t="str">
        <f>YEAR(CurrentMtgRatesDataTable871112131417[[#This Row],[asofdate]])&amp;"-"&amp;MONTH(CurrentMtgRatesDataTable871112131417[[#This Row],[asofdate]])</f>
        <v>2007-6</v>
      </c>
      <c r="CN54" s="39">
        <f>CurrentMtgRatesDataTable871112131417[[#This Row],[SeriesNumValue]]</f>
        <v>17091373055.08</v>
      </c>
      <c r="CO54" s="39">
        <f>VLOOKUP(CurrentMtgRatesDataTable871112131417[[#This Row],[asofdate]],BY:BZ,2,0)</f>
        <v>82424000</v>
      </c>
      <c r="CP54" s="35">
        <f>IF(VLOOKUP(CurrentMtgRatesDataTable871112131417[[#This Row],[asofdate]],CC:CD,2,0)&lt;&gt;0,VLOOKUP(CurrentMtgRatesDataTable871112131417[[#This Row],[asofdate]],CC:CD,2,0),CP53)</f>
        <v>19400000</v>
      </c>
      <c r="CQ54" s="35">
        <f>VLOOKUP(CurrentMtgRatesDataTable871112131417[[#This Row],[asofdate]],CG:CH,2,0)</f>
        <v>17193197055.080002</v>
      </c>
    </row>
    <row r="55" spans="1:95" s="6" customFormat="1" ht="12.75">
      <c r="A55" s="7" t="s">
        <v>84</v>
      </c>
      <c r="B55" s="10">
        <v>1.9929199041702501E-2</v>
      </c>
      <c r="C55" s="10" t="str">
        <f>YEAR(CurrentMtgRatesDataTable8[[#This Row],[asofdate]])&amp;"-"&amp;MONTH(CurrentMtgRatesDataTable8[[#This Row],[asofdate]])</f>
        <v>2007-7</v>
      </c>
      <c r="D55" s="6">
        <f>((CurrentMtgRatesDataTable8[[#This Row],[SeriesNumValue]]-$D$1)/$D$1+1)*100</f>
        <v>132.86132694468336</v>
      </c>
      <c r="G55" s="7" t="s">
        <v>84</v>
      </c>
      <c r="H55" s="10">
        <v>82.389980586884107</v>
      </c>
      <c r="I55" s="26">
        <f>VLOOKUP(CurrentMtgRatesDataTable82[[#This Row],[asofdate]],K:L,2,0)</f>
        <v>0.307488257472122</v>
      </c>
      <c r="K55" s="7" t="s">
        <v>84</v>
      </c>
      <c r="L55" s="29">
        <v>0.307488257472122</v>
      </c>
      <c r="O55" s="7" t="s">
        <v>84</v>
      </c>
      <c r="P55" s="10">
        <v>38.351984649126003</v>
      </c>
      <c r="Q55" s="29">
        <f>VLOOKUP(CurrentMtgRatesDataTable84[[#This Row],[asofdate]],S:T,2,0)</f>
        <v>0.300185432523705</v>
      </c>
      <c r="S55" s="7" t="s">
        <v>84</v>
      </c>
      <c r="T55" s="10">
        <v>0.300185432523705</v>
      </c>
      <c r="W55" s="7" t="s">
        <v>84</v>
      </c>
      <c r="X55" s="10">
        <v>724.46402286812599</v>
      </c>
      <c r="Y55" s="26">
        <f>VLOOKUP(CurrentMtgRatesDataTable86[[#This Row],[asofdate]],AA:AB,2,0)</f>
        <v>0.32994785298319101</v>
      </c>
      <c r="AA55" s="7" t="s">
        <v>84</v>
      </c>
      <c r="AB55" s="10">
        <v>0.32994785298319101</v>
      </c>
      <c r="AE55" s="7" t="s">
        <v>130</v>
      </c>
      <c r="AF55" s="10">
        <v>1.24223115520012E-2</v>
      </c>
      <c r="AG55" s="10" t="str">
        <f>YEAR(CurrentMtgRatesDataTable89[[#This Row],[asofdate]])&amp;"-"&amp;MONTH(CurrentMtgRatesDataTable89[[#This Row],[asofdate]])</f>
        <v>2011-5</v>
      </c>
      <c r="AH55" s="6">
        <f>((CurrentMtgRatesDataTable89[[#This Row],[SeriesNumValue]]-$D$1)/$D$1+1)*100</f>
        <v>82.815410346674668</v>
      </c>
      <c r="AI55" s="6">
        <f>CurrentMtgRatesDataTable89[[#This Row],[Index]]-AH56</f>
        <v>5.9844297413033161</v>
      </c>
      <c r="AJ55" s="6">
        <f>VLOOKUP(CurrentMtgRatesDataTable89[[#This Row],[asofdate]],G:H,2,0)</f>
        <v>77.980484209041606</v>
      </c>
      <c r="AK55" s="6">
        <f>VLOOKUP(CurrentMtgRatesDataTable89[[#This Row],[asofdate]],K:L,2,0)</f>
        <v>0.12673005781397301</v>
      </c>
      <c r="AL55" s="6">
        <f>VLOOKUP(CurrentMtgRatesDataTable89[[#This Row],[asofdate]],O:P,2,0)</f>
        <v>34.674706461181003</v>
      </c>
      <c r="AM55" s="6">
        <f>VLOOKUP(CurrentMtgRatesDataTable89[[#This Row],[asofdate]],S:T,2,0)</f>
        <v>0.32153280838498299</v>
      </c>
      <c r="AN55" s="6">
        <f>VLOOKUP(CurrentMtgRatesDataTable89[[#This Row],[asofdate]],W:X,2,0)</f>
        <v>759.97563365075803</v>
      </c>
      <c r="AO55" s="6">
        <f>VLOOKUP(CurrentMtgRatesDataTable89[[#This Row],[asofdate]],AA:AB,2,0)</f>
        <v>9.1087970583949199E-2</v>
      </c>
      <c r="AR55" s="7" t="s">
        <v>84</v>
      </c>
      <c r="AS55" s="10">
        <v>0.11526275108716</v>
      </c>
      <c r="AT55" s="36">
        <f>((CurrentMtgRatesDataTable8711[[#This Row],[SeriesNumValue]]-$D$1)/$D$1+1)*100</f>
        <v>768.41834058106667</v>
      </c>
      <c r="AU55" s="36"/>
      <c r="AW55" s="7" t="s">
        <v>84</v>
      </c>
      <c r="AX55" s="10">
        <v>9.0262087142296804E-2</v>
      </c>
      <c r="AY55" s="36">
        <f>((CurrentMtgRatesDataTable871112[[#This Row],[SeriesNumValue]]-$D$1)/$D$1+1)*100</f>
        <v>601.74724761531206</v>
      </c>
      <c r="AZ55" s="36"/>
      <c r="BB55" s="7" t="s">
        <v>84</v>
      </c>
      <c r="BC55" s="10">
        <v>2.2393135949143501E-2</v>
      </c>
      <c r="BD55" s="39">
        <f>((CurrentMtgRatesDataTable87111213[[#This Row],[SeriesNumValue]]-$D$1)/$D$1+1)*100</f>
        <v>149.28757299429</v>
      </c>
      <c r="BE55" s="39"/>
      <c r="BG55" s="7" t="s">
        <v>84</v>
      </c>
      <c r="BH55" s="10">
        <v>2.2137845183631499E-2</v>
      </c>
      <c r="BI55" s="39">
        <f>((CurrentMtgRatesDataTable8711121314[[#This Row],[SeriesNumValue]]-$D$1)/$D$1+1)*100</f>
        <v>147.58563455754333</v>
      </c>
      <c r="BJ55" s="39" t="str">
        <f>YEAR(CurrentMtgRatesDataTable8711121314[[#This Row],[asofdate]])&amp;"-"&amp;MONTH(CurrentMtgRatesDataTable8711121314[[#This Row],[asofdate]])</f>
        <v>2007-7</v>
      </c>
      <c r="BK55" s="39">
        <f>CurrentMtgRatesDataTable8711121314[[#This Row],[SeriesNumValue]]</f>
        <v>2.2137845183631499E-2</v>
      </c>
      <c r="BL55" s="39">
        <f>VLOOKUP(CurrentMtgRatesDataTable8711121314[[#This Row],[asofdate]],AR:AT,2,0)</f>
        <v>0.11526275108716</v>
      </c>
      <c r="BM55" s="35">
        <f>IF(VLOOKUP(CurrentMtgRatesDataTable8711121314[[#This Row],[asofdate]],AW:AY,2,0)&lt;&gt;0,VLOOKUP(CurrentMtgRatesDataTable8711121314[[#This Row],[asofdate]],AW:AY,2,0),BM54)</f>
        <v>9.0262087142296804E-2</v>
      </c>
      <c r="BN55" s="35">
        <f>VLOOKUP(CurrentMtgRatesDataTable8711121314[[#This Row],[asofdate]],BB:BD,2,0)</f>
        <v>2.2393135949143501E-2</v>
      </c>
      <c r="BO55" s="35">
        <f>CurrentMtgRatesDataTable8711121314[[#This Row],[FHA]]+0.5*CurrentMtgRatesDataTable8711121314[[#This Row],[Conventional]]</f>
        <v>0.12633167367897574</v>
      </c>
      <c r="BP55" s="35">
        <f>2*CurrentMtgRatesDataTable8711121314[[#This Row],[FHA]]</f>
        <v>0.23052550217432</v>
      </c>
      <c r="BQ55" s="11">
        <f>VLOOKUP(YEAR(CurrentMtgRatesDataTable8711121314[[#This Row],[asofdate]]),OriginationVolume!$A:$N,8,FALSE)</f>
        <v>0.55309947140797688</v>
      </c>
      <c r="BR55" s="11">
        <f>VLOOKUP(YEAR(CurrentMtgRatesDataTable8711121314[[#This Row],[asofdate]]),OriginationVolume!$A:$N,9,FALSE)</f>
        <v>1.3935607880826525E-2</v>
      </c>
      <c r="BS55" s="11">
        <f>VLOOKUP(YEAR(CurrentMtgRatesDataTable8711121314[[#This Row],[asofdate]]),OriginationVolume!$A:$N,10,FALSE)</f>
        <v>4.1806823642479576E-2</v>
      </c>
      <c r="BT55" s="11">
        <f>VLOOKUP(YEAR(CurrentMtgRatesDataTable8711121314[[#This Row],[asofdate]]),OriginationVolume!$A:$N,11,FALSE)</f>
        <v>0.16722729456991831</v>
      </c>
      <c r="BU55" s="11">
        <f>VLOOKUP(YEAR(CurrentMtgRatesDataTable8711121314[[#This Row],[asofdate]]),OriginationVolume!$A:$N,12,FALSE)</f>
        <v>0.13214800576645844</v>
      </c>
      <c r="BV55" s="11">
        <f>VLOOKUP(YEAR(CurrentMtgRatesDataTable8711121314[[#This Row],[asofdate]]),OriginationVolume!$A:$N,13,FALSE)</f>
        <v>9.1782796732340216E-2</v>
      </c>
      <c r="BW55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5.987586303651446E-2</v>
      </c>
      <c r="BY55" s="7" t="s">
        <v>84</v>
      </c>
      <c r="BZ55" s="10">
        <v>88427000</v>
      </c>
      <c r="CA55" s="36"/>
      <c r="CC55" s="7" t="s">
        <v>84</v>
      </c>
      <c r="CD55" s="10">
        <v>25947000</v>
      </c>
      <c r="CE55" s="36"/>
      <c r="CG55" s="7" t="s">
        <v>84</v>
      </c>
      <c r="CH55" s="10">
        <v>18742639435.759998</v>
      </c>
      <c r="CI55" s="39"/>
      <c r="CK55" s="7" t="s">
        <v>84</v>
      </c>
      <c r="CL55" s="10">
        <v>18628265435.759998</v>
      </c>
      <c r="CM55" s="39" t="str">
        <f>YEAR(CurrentMtgRatesDataTable871112131417[[#This Row],[asofdate]])&amp;"-"&amp;MONTH(CurrentMtgRatesDataTable871112131417[[#This Row],[asofdate]])</f>
        <v>2007-7</v>
      </c>
      <c r="CN55" s="39">
        <f>CurrentMtgRatesDataTable871112131417[[#This Row],[SeriesNumValue]]</f>
        <v>18628265435.759998</v>
      </c>
      <c r="CO55" s="39">
        <f>VLOOKUP(CurrentMtgRatesDataTable871112131417[[#This Row],[asofdate]],BY:BZ,2,0)</f>
        <v>88427000</v>
      </c>
      <c r="CP55" s="35">
        <f>IF(VLOOKUP(CurrentMtgRatesDataTable871112131417[[#This Row],[asofdate]],CC:CD,2,0)&lt;&gt;0,VLOOKUP(CurrentMtgRatesDataTable871112131417[[#This Row],[asofdate]],CC:CD,2,0),CP54)</f>
        <v>25947000</v>
      </c>
      <c r="CQ55" s="35">
        <f>VLOOKUP(CurrentMtgRatesDataTable871112131417[[#This Row],[asofdate]],CG:CH,2,0)</f>
        <v>18742639435.759998</v>
      </c>
    </row>
    <row r="56" spans="1:95" s="6" customFormat="1" ht="12.75">
      <c r="A56" s="7" t="s">
        <v>85</v>
      </c>
      <c r="B56" s="10">
        <v>2.0714157318705E-2</v>
      </c>
      <c r="C56" s="10" t="str">
        <f>YEAR(CurrentMtgRatesDataTable8[[#This Row],[asofdate]])&amp;"-"&amp;MONTH(CurrentMtgRatesDataTable8[[#This Row],[asofdate]])</f>
        <v>2007-8</v>
      </c>
      <c r="D56" s="6">
        <f>((CurrentMtgRatesDataTable8[[#This Row],[SeriesNumValue]]-$D$1)/$D$1+1)*100</f>
        <v>138.09438212469999</v>
      </c>
      <c r="G56" s="7" t="s">
        <v>85</v>
      </c>
      <c r="H56" s="10">
        <v>82.723748146625795</v>
      </c>
      <c r="I56" s="26">
        <f>VLOOKUP(CurrentMtgRatesDataTable82[[#This Row],[asofdate]],K:L,2,0)</f>
        <v>0.32255308239293201</v>
      </c>
      <c r="K56" s="7" t="s">
        <v>85</v>
      </c>
      <c r="L56" s="29">
        <v>0.32255308239293201</v>
      </c>
      <c r="O56" s="7" t="s">
        <v>85</v>
      </c>
      <c r="P56" s="10">
        <v>39.121730682626499</v>
      </c>
      <c r="Q56" s="29">
        <f>VLOOKUP(CurrentMtgRatesDataTable84[[#This Row],[asofdate]],S:T,2,0)</f>
        <v>0.31732347013787598</v>
      </c>
      <c r="S56" s="7" t="s">
        <v>85</v>
      </c>
      <c r="T56" s="10">
        <v>0.31732347013787598</v>
      </c>
      <c r="W56" s="7" t="s">
        <v>85</v>
      </c>
      <c r="X56" s="10">
        <v>724.80771850866597</v>
      </c>
      <c r="Y56" s="26">
        <f>VLOOKUP(CurrentMtgRatesDataTable86[[#This Row],[asofdate]],AA:AB,2,0)</f>
        <v>0.32695996607863698</v>
      </c>
      <c r="AA56" s="7" t="s">
        <v>85</v>
      </c>
      <c r="AB56" s="10">
        <v>0.32695996607863698</v>
      </c>
      <c r="AE56" s="7" t="s">
        <v>129</v>
      </c>
      <c r="AF56" s="10">
        <v>1.15246470908057E-2</v>
      </c>
      <c r="AG56" s="10" t="str">
        <f>YEAR(CurrentMtgRatesDataTable89[[#This Row],[asofdate]])&amp;"-"&amp;MONTH(CurrentMtgRatesDataTable89[[#This Row],[asofdate]])</f>
        <v>2011-4</v>
      </c>
      <c r="AH56" s="6">
        <f>((CurrentMtgRatesDataTable89[[#This Row],[SeriesNumValue]]-$D$1)/$D$1+1)*100</f>
        <v>76.830980605371352</v>
      </c>
      <c r="AI56" s="6">
        <f>CurrentMtgRatesDataTable89[[#This Row],[Index]]-AH57</f>
        <v>3.1540497285566857</v>
      </c>
      <c r="AJ56" s="6">
        <f>VLOOKUP(CurrentMtgRatesDataTable89[[#This Row],[asofdate]],G:H,2,0)</f>
        <v>77.552398679092306</v>
      </c>
      <c r="AK56" s="6">
        <f>VLOOKUP(CurrentMtgRatesDataTable89[[#This Row],[asofdate]],K:L,2,0)</f>
        <v>0.122639368656911</v>
      </c>
      <c r="AL56" s="6">
        <f>VLOOKUP(CurrentMtgRatesDataTable89[[#This Row],[asofdate]],O:P,2,0)</f>
        <v>34.641342036050403</v>
      </c>
      <c r="AM56" s="6">
        <f>VLOOKUP(CurrentMtgRatesDataTable89[[#This Row],[asofdate]],S:T,2,0)</f>
        <v>0.31991524375353902</v>
      </c>
      <c r="AN56" s="6">
        <f>VLOOKUP(CurrentMtgRatesDataTable89[[#This Row],[asofdate]],W:X,2,0)</f>
        <v>759.50780417156102</v>
      </c>
      <c r="AO56" s="6">
        <f>VLOOKUP(CurrentMtgRatesDataTable89[[#This Row],[asofdate]],AA:AB,2,0)</f>
        <v>9.30252114514524E-2</v>
      </c>
      <c r="AR56" s="7" t="s">
        <v>85</v>
      </c>
      <c r="AS56" s="10">
        <v>9.5228743774607896E-2</v>
      </c>
      <c r="AT56" s="36">
        <f>((CurrentMtgRatesDataTable8711[[#This Row],[SeriesNumValue]]-$D$1)/$D$1+1)*100</f>
        <v>634.85829183071928</v>
      </c>
      <c r="AU56" s="36"/>
      <c r="AW56" s="7" t="s">
        <v>85</v>
      </c>
      <c r="AX56" s="10">
        <v>7.3171463970122794E-2</v>
      </c>
      <c r="AY56" s="36">
        <f>((CurrentMtgRatesDataTable871112[[#This Row],[SeriesNumValue]]-$D$1)/$D$1+1)*100</f>
        <v>487.80975980081865</v>
      </c>
      <c r="AZ56" s="36"/>
      <c r="BB56" s="7" t="s">
        <v>85</v>
      </c>
      <c r="BC56" s="10">
        <v>2.1001237585848299E-2</v>
      </c>
      <c r="BD56" s="39">
        <f>((CurrentMtgRatesDataTable87111213[[#This Row],[SeriesNumValue]]-$D$1)/$D$1+1)*100</f>
        <v>140.008250572322</v>
      </c>
      <c r="BE56" s="39"/>
      <c r="BG56" s="7" t="s">
        <v>85</v>
      </c>
      <c r="BH56" s="10">
        <v>2.07952481029351E-2</v>
      </c>
      <c r="BI56" s="39">
        <f>((CurrentMtgRatesDataTable8711121314[[#This Row],[SeriesNumValue]]-$D$1)/$D$1+1)*100</f>
        <v>138.63498735290068</v>
      </c>
      <c r="BJ56" s="39" t="str">
        <f>YEAR(CurrentMtgRatesDataTable8711121314[[#This Row],[asofdate]])&amp;"-"&amp;MONTH(CurrentMtgRatesDataTable8711121314[[#This Row],[asofdate]])</f>
        <v>2007-8</v>
      </c>
      <c r="BK56" s="39">
        <f>CurrentMtgRatesDataTable8711121314[[#This Row],[SeriesNumValue]]</f>
        <v>2.07952481029351E-2</v>
      </c>
      <c r="BL56" s="39">
        <f>VLOOKUP(CurrentMtgRatesDataTable8711121314[[#This Row],[asofdate]],AR:AT,2,0)</f>
        <v>9.5228743774607896E-2</v>
      </c>
      <c r="BM56" s="35">
        <f>IF(VLOOKUP(CurrentMtgRatesDataTable8711121314[[#This Row],[asofdate]],AW:AY,2,0)&lt;&gt;0,VLOOKUP(CurrentMtgRatesDataTable8711121314[[#This Row],[asofdate]],AW:AY,2,0),BM55)</f>
        <v>7.3171463970122794E-2</v>
      </c>
      <c r="BN56" s="35">
        <f>VLOOKUP(CurrentMtgRatesDataTable8711121314[[#This Row],[asofdate]],BB:BD,2,0)</f>
        <v>2.1001237585848299E-2</v>
      </c>
      <c r="BO56" s="35">
        <f>CurrentMtgRatesDataTable8711121314[[#This Row],[FHA]]+0.5*CurrentMtgRatesDataTable8711121314[[#This Row],[Conventional]]</f>
        <v>0.10562636782607544</v>
      </c>
      <c r="BP56" s="35">
        <f>2*CurrentMtgRatesDataTable8711121314[[#This Row],[FHA]]</f>
        <v>0.19045748754921579</v>
      </c>
      <c r="BQ56" s="11">
        <f>VLOOKUP(YEAR(CurrentMtgRatesDataTable8711121314[[#This Row],[asofdate]]),OriginationVolume!$A:$N,8,FALSE)</f>
        <v>0.55309947140797688</v>
      </c>
      <c r="BR56" s="11">
        <f>VLOOKUP(YEAR(CurrentMtgRatesDataTable8711121314[[#This Row],[asofdate]]),OriginationVolume!$A:$N,9,FALSE)</f>
        <v>1.3935607880826525E-2</v>
      </c>
      <c r="BS56" s="11">
        <f>VLOOKUP(YEAR(CurrentMtgRatesDataTable8711121314[[#This Row],[asofdate]]),OriginationVolume!$A:$N,10,FALSE)</f>
        <v>4.1806823642479576E-2</v>
      </c>
      <c r="BT56" s="11">
        <f>VLOOKUP(YEAR(CurrentMtgRatesDataTable8711121314[[#This Row],[asofdate]]),OriginationVolume!$A:$N,11,FALSE)</f>
        <v>0.16722729456991831</v>
      </c>
      <c r="BU56" s="11">
        <f>VLOOKUP(YEAR(CurrentMtgRatesDataTable8711121314[[#This Row],[asofdate]]),OriginationVolume!$A:$N,12,FALSE)</f>
        <v>0.13214800576645844</v>
      </c>
      <c r="BV56" s="11">
        <f>VLOOKUP(YEAR(CurrentMtgRatesDataTable8711121314[[#This Row],[asofdate]]),OriginationVolume!$A:$N,13,FALSE)</f>
        <v>9.1782796732340216E-2</v>
      </c>
      <c r="BW56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5.1419308670780942E-2</v>
      </c>
      <c r="BY56" s="7" t="s">
        <v>85</v>
      </c>
      <c r="BZ56" s="10">
        <v>90161000</v>
      </c>
      <c r="CA56" s="36"/>
      <c r="CC56" s="7" t="s">
        <v>85</v>
      </c>
      <c r="CD56" s="10">
        <v>25000000</v>
      </c>
      <c r="CE56" s="36"/>
      <c r="CG56" s="7" t="s">
        <v>85</v>
      </c>
      <c r="CH56" s="10">
        <v>18782818648.16</v>
      </c>
      <c r="CI56" s="39"/>
      <c r="CK56" s="7" t="s">
        <v>85</v>
      </c>
      <c r="CL56" s="10">
        <v>18667657648.16</v>
      </c>
      <c r="CM56" s="39" t="str">
        <f>YEAR(CurrentMtgRatesDataTable871112131417[[#This Row],[asofdate]])&amp;"-"&amp;MONTH(CurrentMtgRatesDataTable871112131417[[#This Row],[asofdate]])</f>
        <v>2007-8</v>
      </c>
      <c r="CN56" s="39">
        <f>CurrentMtgRatesDataTable871112131417[[#This Row],[SeriesNumValue]]</f>
        <v>18667657648.16</v>
      </c>
      <c r="CO56" s="39">
        <f>VLOOKUP(CurrentMtgRatesDataTable871112131417[[#This Row],[asofdate]],BY:BZ,2,0)</f>
        <v>90161000</v>
      </c>
      <c r="CP56" s="35">
        <f>IF(VLOOKUP(CurrentMtgRatesDataTable871112131417[[#This Row],[asofdate]],CC:CD,2,0)&lt;&gt;0,VLOOKUP(CurrentMtgRatesDataTable871112131417[[#This Row],[asofdate]],CC:CD,2,0),CP55)</f>
        <v>25000000</v>
      </c>
      <c r="CQ56" s="35">
        <f>VLOOKUP(CurrentMtgRatesDataTable871112131417[[#This Row],[asofdate]],CG:CH,2,0)</f>
        <v>18782818648.16</v>
      </c>
    </row>
    <row r="57" spans="1:95" s="6" customFormat="1" ht="12.75">
      <c r="A57" s="7" t="s">
        <v>86</v>
      </c>
      <c r="B57" s="10">
        <v>2.3298547724423701E-2</v>
      </c>
      <c r="C57" s="10" t="str">
        <f>YEAR(CurrentMtgRatesDataTable8[[#This Row],[asofdate]])&amp;"-"&amp;MONTH(CurrentMtgRatesDataTable8[[#This Row],[asofdate]])</f>
        <v>2007-9</v>
      </c>
      <c r="D57" s="6">
        <f>((CurrentMtgRatesDataTable8[[#This Row],[SeriesNumValue]]-$D$1)/$D$1+1)*100</f>
        <v>155.32365149615802</v>
      </c>
      <c r="G57" s="7" t="s">
        <v>86</v>
      </c>
      <c r="H57" s="10">
        <v>82.874350662137303</v>
      </c>
      <c r="I57" s="26">
        <f>VLOOKUP(CurrentMtgRatesDataTable82[[#This Row],[asofdate]],K:L,2,0)</f>
        <v>0.33002145591068499</v>
      </c>
      <c r="K57" s="7" t="s">
        <v>86</v>
      </c>
      <c r="L57" s="29">
        <v>0.33002145591068499</v>
      </c>
      <c r="O57" s="7" t="s">
        <v>86</v>
      </c>
      <c r="P57" s="10">
        <v>39.279520130665098</v>
      </c>
      <c r="Q57" s="29">
        <f>VLOOKUP(CurrentMtgRatesDataTable84[[#This Row],[asofdate]],S:T,2,0)</f>
        <v>0.31798180334842602</v>
      </c>
      <c r="S57" s="7" t="s">
        <v>86</v>
      </c>
      <c r="T57" s="10">
        <v>0.31798180334842602</v>
      </c>
      <c r="W57" s="7" t="s">
        <v>86</v>
      </c>
      <c r="X57" s="10">
        <v>725.50573707449803</v>
      </c>
      <c r="Y57" s="26">
        <f>VLOOKUP(CurrentMtgRatesDataTable86[[#This Row],[asofdate]],AA:AB,2,0)</f>
        <v>0.32240974299630598</v>
      </c>
      <c r="AA57" s="7" t="s">
        <v>86</v>
      </c>
      <c r="AB57" s="10">
        <v>0.32240974299630598</v>
      </c>
      <c r="AE57" s="7" t="s">
        <v>128</v>
      </c>
      <c r="AF57" s="10">
        <v>1.10515396315222E-2</v>
      </c>
      <c r="AG57" s="10" t="str">
        <f>YEAR(CurrentMtgRatesDataTable89[[#This Row],[asofdate]])&amp;"-"&amp;MONTH(CurrentMtgRatesDataTable89[[#This Row],[asofdate]])</f>
        <v>2011-3</v>
      </c>
      <c r="AH57" s="6">
        <f>((CurrentMtgRatesDataTable89[[#This Row],[SeriesNumValue]]-$D$1)/$D$1+1)*100</f>
        <v>73.676930876814666</v>
      </c>
      <c r="AI57" s="6">
        <f>CurrentMtgRatesDataTable89[[#This Row],[Index]]-AH58</f>
        <v>6.2316214749933323</v>
      </c>
      <c r="AJ57" s="6">
        <f>VLOOKUP(CurrentMtgRatesDataTable89[[#This Row],[asofdate]],G:H,2,0)</f>
        <v>77.637247427666907</v>
      </c>
      <c r="AK57" s="6">
        <f>VLOOKUP(CurrentMtgRatesDataTable89[[#This Row],[asofdate]],K:L,2,0)</f>
        <v>0.11718407456528999</v>
      </c>
      <c r="AL57" s="6">
        <f>VLOOKUP(CurrentMtgRatesDataTable89[[#This Row],[asofdate]],O:P,2,0)</f>
        <v>34.494978806655404</v>
      </c>
      <c r="AM57" s="6">
        <f>VLOOKUP(CurrentMtgRatesDataTable89[[#This Row],[asofdate]],S:T,2,0)</f>
        <v>0.31323390844316201</v>
      </c>
      <c r="AN57" s="6">
        <f>VLOOKUP(CurrentMtgRatesDataTable89[[#This Row],[asofdate]],W:X,2,0)</f>
        <v>760.60763213048995</v>
      </c>
      <c r="AO57" s="6">
        <f>VLOOKUP(CurrentMtgRatesDataTable89[[#This Row],[asofdate]],AA:AB,2,0)</f>
        <v>8.6065611497949293E-2</v>
      </c>
      <c r="AR57" s="7" t="s">
        <v>86</v>
      </c>
      <c r="AS57" s="10">
        <v>0.109100905383647</v>
      </c>
      <c r="AT57" s="36">
        <f>((CurrentMtgRatesDataTable8711[[#This Row],[SeriesNumValue]]-$D$1)/$D$1+1)*100</f>
        <v>727.33936922431337</v>
      </c>
      <c r="AU57" s="36"/>
      <c r="AW57" s="7" t="s">
        <v>86</v>
      </c>
      <c r="AX57" s="10">
        <v>0</v>
      </c>
      <c r="AY57" s="36">
        <f>((CurrentMtgRatesDataTable871112[[#This Row],[SeriesNumValue]]-$D$1)/$D$1+1)*100</f>
        <v>0</v>
      </c>
      <c r="AZ57" s="36"/>
      <c r="BB57" s="7" t="s">
        <v>86</v>
      </c>
      <c r="BC57" s="10">
        <v>2.25228079826604E-2</v>
      </c>
      <c r="BD57" s="39">
        <f>((CurrentMtgRatesDataTable87111213[[#This Row],[SeriesNumValue]]-$D$1)/$D$1+1)*100</f>
        <v>150.15205321773601</v>
      </c>
      <c r="BE57" s="39"/>
      <c r="BG57" s="7" t="s">
        <v>86</v>
      </c>
      <c r="BH57" s="10">
        <v>2.23409674352518E-2</v>
      </c>
      <c r="BI57" s="39">
        <f>((CurrentMtgRatesDataTable8711121314[[#This Row],[SeriesNumValue]]-$D$1)/$D$1+1)*100</f>
        <v>148.93978290167865</v>
      </c>
      <c r="BJ57" s="39" t="str">
        <f>YEAR(CurrentMtgRatesDataTable8711121314[[#This Row],[asofdate]])&amp;"-"&amp;MONTH(CurrentMtgRatesDataTable8711121314[[#This Row],[asofdate]])</f>
        <v>2007-9</v>
      </c>
      <c r="BK57" s="39">
        <f>CurrentMtgRatesDataTable8711121314[[#This Row],[SeriesNumValue]]</f>
        <v>2.23409674352518E-2</v>
      </c>
      <c r="BL57" s="39">
        <f>VLOOKUP(CurrentMtgRatesDataTable8711121314[[#This Row],[asofdate]],AR:AT,2,0)</f>
        <v>0.109100905383647</v>
      </c>
      <c r="BM57" s="35">
        <f>IF(VLOOKUP(CurrentMtgRatesDataTable8711121314[[#This Row],[asofdate]],AW:AY,2,0)&lt;&gt;0,VLOOKUP(CurrentMtgRatesDataTable8711121314[[#This Row],[asofdate]],AW:AY,2,0),BM56)</f>
        <v>7.3171463970122794E-2</v>
      </c>
      <c r="BN57" s="35">
        <f>VLOOKUP(CurrentMtgRatesDataTable8711121314[[#This Row],[asofdate]],BB:BD,2,0)</f>
        <v>2.25228079826604E-2</v>
      </c>
      <c r="BO57" s="35">
        <f>CurrentMtgRatesDataTable8711121314[[#This Row],[FHA]]+0.5*CurrentMtgRatesDataTable8711121314[[#This Row],[Conventional]]</f>
        <v>0.1202713891012729</v>
      </c>
      <c r="BP57" s="35">
        <f>2*CurrentMtgRatesDataTable8711121314[[#This Row],[FHA]]</f>
        <v>0.218201810767294</v>
      </c>
      <c r="BQ57" s="11">
        <f>VLOOKUP(YEAR(CurrentMtgRatesDataTable8711121314[[#This Row],[asofdate]]),OriginationVolume!$A:$N,8,FALSE)</f>
        <v>0.55309947140797688</v>
      </c>
      <c r="BR57" s="11">
        <f>VLOOKUP(YEAR(CurrentMtgRatesDataTable8711121314[[#This Row],[asofdate]]),OriginationVolume!$A:$N,9,FALSE)</f>
        <v>1.3935607880826525E-2</v>
      </c>
      <c r="BS57" s="11">
        <f>VLOOKUP(YEAR(CurrentMtgRatesDataTable8711121314[[#This Row],[asofdate]]),OriginationVolume!$A:$N,10,FALSE)</f>
        <v>4.1806823642479576E-2</v>
      </c>
      <c r="BT57" s="11">
        <f>VLOOKUP(YEAR(CurrentMtgRatesDataTable8711121314[[#This Row],[asofdate]]),OriginationVolume!$A:$N,11,FALSE)</f>
        <v>0.16722729456991831</v>
      </c>
      <c r="BU57" s="11">
        <f>VLOOKUP(YEAR(CurrentMtgRatesDataTable8711121314[[#This Row],[asofdate]]),OriginationVolume!$A:$N,12,FALSE)</f>
        <v>0.13214800576645844</v>
      </c>
      <c r="BV57" s="11">
        <f>VLOOKUP(YEAR(CurrentMtgRatesDataTable8711121314[[#This Row],[asofdate]]),OriginationVolume!$A:$N,13,FALSE)</f>
        <v>9.1782796732340216E-2</v>
      </c>
      <c r="BW57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5.7594444626793126E-2</v>
      </c>
      <c r="BY57" s="7" t="s">
        <v>86</v>
      </c>
      <c r="BZ57" s="10">
        <v>76387000</v>
      </c>
      <c r="CA57" s="36"/>
      <c r="CC57" s="7" t="s">
        <v>86</v>
      </c>
      <c r="CD57" s="10">
        <v>13152000</v>
      </c>
      <c r="CE57" s="36"/>
      <c r="CG57" s="7" t="s">
        <v>86</v>
      </c>
      <c r="CH57" s="10">
        <v>17687708238.220001</v>
      </c>
      <c r="CI57" s="39"/>
      <c r="CK57" s="7" t="s">
        <v>86</v>
      </c>
      <c r="CL57" s="10">
        <v>17598169238.220001</v>
      </c>
      <c r="CM57" s="39" t="str">
        <f>YEAR(CurrentMtgRatesDataTable871112131417[[#This Row],[asofdate]])&amp;"-"&amp;MONTH(CurrentMtgRatesDataTable871112131417[[#This Row],[asofdate]])</f>
        <v>2007-9</v>
      </c>
      <c r="CN57" s="39">
        <f>CurrentMtgRatesDataTable871112131417[[#This Row],[SeriesNumValue]]</f>
        <v>17598169238.220001</v>
      </c>
      <c r="CO57" s="39">
        <f>VLOOKUP(CurrentMtgRatesDataTable871112131417[[#This Row],[asofdate]],BY:BZ,2,0)</f>
        <v>76387000</v>
      </c>
      <c r="CP57" s="35">
        <f>IF(VLOOKUP(CurrentMtgRatesDataTable871112131417[[#This Row],[asofdate]],CC:CD,2,0)&lt;&gt;0,VLOOKUP(CurrentMtgRatesDataTable871112131417[[#This Row],[asofdate]],CC:CD,2,0),CP56)</f>
        <v>13152000</v>
      </c>
      <c r="CQ57" s="35">
        <f>VLOOKUP(CurrentMtgRatesDataTable871112131417[[#This Row],[asofdate]],CG:CH,2,0)</f>
        <v>17687708238.220001</v>
      </c>
    </row>
    <row r="58" spans="1:95" s="6" customFormat="1" ht="12.75">
      <c r="A58" s="7" t="s">
        <v>87</v>
      </c>
      <c r="B58" s="10">
        <v>2.5399710679563901E-2</v>
      </c>
      <c r="C58" s="10" t="str">
        <f>YEAR(CurrentMtgRatesDataTable8[[#This Row],[asofdate]])&amp;"-"&amp;MONTH(CurrentMtgRatesDataTable8[[#This Row],[asofdate]])</f>
        <v>2007-10</v>
      </c>
      <c r="D58" s="6">
        <f>((CurrentMtgRatesDataTable8[[#This Row],[SeriesNumValue]]-$D$1)/$D$1+1)*100</f>
        <v>169.331404530426</v>
      </c>
      <c r="G58" s="7" t="s">
        <v>87</v>
      </c>
      <c r="H58" s="10">
        <v>83.087861444974493</v>
      </c>
      <c r="I58" s="26">
        <f>VLOOKUP(CurrentMtgRatesDataTable82[[#This Row],[asofdate]],K:L,2,0)</f>
        <v>0.356078874246821</v>
      </c>
      <c r="K58" s="7" t="s">
        <v>87</v>
      </c>
      <c r="L58" s="29">
        <v>0.356078874246821</v>
      </c>
      <c r="O58" s="7" t="s">
        <v>87</v>
      </c>
      <c r="P58" s="10">
        <v>39.155893606409002</v>
      </c>
      <c r="Q58" s="29">
        <f>VLOOKUP(CurrentMtgRatesDataTable84[[#This Row],[asofdate]],S:T,2,0)</f>
        <v>0.314858289438952</v>
      </c>
      <c r="S58" s="7" t="s">
        <v>87</v>
      </c>
      <c r="T58" s="10">
        <v>0.314858289438952</v>
      </c>
      <c r="W58" s="7" t="s">
        <v>87</v>
      </c>
      <c r="X58" s="10">
        <v>725.21898138090398</v>
      </c>
      <c r="Y58" s="26">
        <f>VLOOKUP(CurrentMtgRatesDataTable86[[#This Row],[asofdate]],AA:AB,2,0)</f>
        <v>0.32561765464237102</v>
      </c>
      <c r="AA58" s="7" t="s">
        <v>87</v>
      </c>
      <c r="AB58" s="10">
        <v>0.32561765464237102</v>
      </c>
      <c r="AE58" s="7" t="s">
        <v>127</v>
      </c>
      <c r="AF58" s="10">
        <v>1.01167964102732E-2</v>
      </c>
      <c r="AG58" s="10" t="str">
        <f>YEAR(CurrentMtgRatesDataTable89[[#This Row],[asofdate]])&amp;"-"&amp;MONTH(CurrentMtgRatesDataTable89[[#This Row],[asofdate]])</f>
        <v>2011-2</v>
      </c>
      <c r="AH58" s="6">
        <f>((CurrentMtgRatesDataTable89[[#This Row],[SeriesNumValue]]-$D$1)/$D$1+1)*100</f>
        <v>67.445309401821333</v>
      </c>
      <c r="AI58" s="6">
        <f>CurrentMtgRatesDataTable89[[#This Row],[Index]]-AH59</f>
        <v>-2.0101091766026684</v>
      </c>
      <c r="AJ58" s="6">
        <f>VLOOKUP(CurrentMtgRatesDataTable89[[#This Row],[asofdate]],G:H,2,0)</f>
        <v>77.808168115304795</v>
      </c>
      <c r="AK58" s="6">
        <f>VLOOKUP(CurrentMtgRatesDataTable89[[#This Row],[asofdate]],K:L,2,0)</f>
        <v>0.120694975345314</v>
      </c>
      <c r="AL58" s="6">
        <f>VLOOKUP(CurrentMtgRatesDataTable89[[#This Row],[asofdate]],O:P,2,0)</f>
        <v>33.893922973466999</v>
      </c>
      <c r="AM58" s="6">
        <f>VLOOKUP(CurrentMtgRatesDataTable89[[#This Row],[asofdate]],S:T,2,0)</f>
        <v>0.28761132381048299</v>
      </c>
      <c r="AN58" s="6">
        <f>VLOOKUP(CurrentMtgRatesDataTable89[[#This Row],[asofdate]],W:X,2,0)</f>
        <v>761.89442409042999</v>
      </c>
      <c r="AO58" s="6">
        <f>VLOOKUP(CurrentMtgRatesDataTable89[[#This Row],[asofdate]],AA:AB,2,0)</f>
        <v>8.1433463034412304E-2</v>
      </c>
      <c r="AR58" s="7" t="s">
        <v>87</v>
      </c>
      <c r="AS58" s="10">
        <v>0.124191721531846</v>
      </c>
      <c r="AT58" s="36">
        <f>((CurrentMtgRatesDataTable8711[[#This Row],[SeriesNumValue]]-$D$1)/$D$1+1)*100</f>
        <v>827.94481021230661</v>
      </c>
      <c r="AU58" s="36"/>
      <c r="AW58" s="7" t="s">
        <v>87</v>
      </c>
      <c r="AX58" s="10">
        <v>9.9820189534489706E-2</v>
      </c>
      <c r="AY58" s="36">
        <f>((CurrentMtgRatesDataTable871112[[#This Row],[SeriesNumValue]]-$D$1)/$D$1+1)*100</f>
        <v>665.46793022993143</v>
      </c>
      <c r="AZ58" s="36"/>
      <c r="BB58" s="7" t="s">
        <v>87</v>
      </c>
      <c r="BC58" s="10">
        <v>2.42728974237842E-2</v>
      </c>
      <c r="BD58" s="39">
        <f>((CurrentMtgRatesDataTable87111213[[#This Row],[SeriesNumValue]]-$D$1)/$D$1+1)*100</f>
        <v>161.81931615856135</v>
      </c>
      <c r="BE58" s="39"/>
      <c r="BG58" s="7" t="s">
        <v>87</v>
      </c>
      <c r="BH58" s="10">
        <v>2.4060060280724001E-2</v>
      </c>
      <c r="BI58" s="39">
        <f>((CurrentMtgRatesDataTable8711121314[[#This Row],[SeriesNumValue]]-$D$1)/$D$1+1)*100</f>
        <v>160.40040187149333</v>
      </c>
      <c r="BJ58" s="39" t="str">
        <f>YEAR(CurrentMtgRatesDataTable8711121314[[#This Row],[asofdate]])&amp;"-"&amp;MONTH(CurrentMtgRatesDataTable8711121314[[#This Row],[asofdate]])</f>
        <v>2007-10</v>
      </c>
      <c r="BK58" s="39">
        <f>CurrentMtgRatesDataTable8711121314[[#This Row],[SeriesNumValue]]</f>
        <v>2.4060060280724001E-2</v>
      </c>
      <c r="BL58" s="39">
        <f>VLOOKUP(CurrentMtgRatesDataTable8711121314[[#This Row],[asofdate]],AR:AT,2,0)</f>
        <v>0.124191721531846</v>
      </c>
      <c r="BM58" s="35">
        <f>IF(VLOOKUP(CurrentMtgRatesDataTable8711121314[[#This Row],[asofdate]],AW:AY,2,0)&lt;&gt;0,VLOOKUP(CurrentMtgRatesDataTable8711121314[[#This Row],[asofdate]],AW:AY,2,0),BM57)</f>
        <v>9.9820189534489706E-2</v>
      </c>
      <c r="BN58" s="35">
        <f>VLOOKUP(CurrentMtgRatesDataTable8711121314[[#This Row],[asofdate]],BB:BD,2,0)</f>
        <v>2.42728974237842E-2</v>
      </c>
      <c r="BO58" s="35">
        <f>CurrentMtgRatesDataTable8711121314[[#This Row],[FHA]]+0.5*CurrentMtgRatesDataTable8711121314[[#This Row],[Conventional]]</f>
        <v>0.13622175167220801</v>
      </c>
      <c r="BP58" s="35">
        <f>2*CurrentMtgRatesDataTable8711121314[[#This Row],[FHA]]</f>
        <v>0.24838344306369201</v>
      </c>
      <c r="BQ58" s="11">
        <f>VLOOKUP(YEAR(CurrentMtgRatesDataTable8711121314[[#This Row],[asofdate]]),OriginationVolume!$A:$N,8,FALSE)</f>
        <v>0.55309947140797688</v>
      </c>
      <c r="BR58" s="11">
        <f>VLOOKUP(YEAR(CurrentMtgRatesDataTable8711121314[[#This Row],[asofdate]]),OriginationVolume!$A:$N,9,FALSE)</f>
        <v>1.3935607880826525E-2</v>
      </c>
      <c r="BS58" s="11">
        <f>VLOOKUP(YEAR(CurrentMtgRatesDataTable8711121314[[#This Row],[asofdate]]),OriginationVolume!$A:$N,10,FALSE)</f>
        <v>4.1806823642479576E-2</v>
      </c>
      <c r="BT58" s="11">
        <f>VLOOKUP(YEAR(CurrentMtgRatesDataTable8711121314[[#This Row],[asofdate]]),OriginationVolume!$A:$N,11,FALSE)</f>
        <v>0.16722729456991831</v>
      </c>
      <c r="BU58" s="11">
        <f>VLOOKUP(YEAR(CurrentMtgRatesDataTable8711121314[[#This Row],[asofdate]]),OriginationVolume!$A:$N,12,FALSE)</f>
        <v>0.13214800576645844</v>
      </c>
      <c r="BV58" s="11">
        <f>VLOOKUP(YEAR(CurrentMtgRatesDataTable8711121314[[#This Row],[asofdate]]),OriginationVolume!$A:$N,13,FALSE)</f>
        <v>9.1782796732340216E-2</v>
      </c>
      <c r="BW58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6.4712981723017038E-2</v>
      </c>
      <c r="BY58" s="7" t="s">
        <v>87</v>
      </c>
      <c r="BZ58" s="10">
        <v>75397000</v>
      </c>
      <c r="CA58" s="36"/>
      <c r="CC58" s="7" t="s">
        <v>87</v>
      </c>
      <c r="CD58" s="10">
        <v>17104000</v>
      </c>
      <c r="CE58" s="36"/>
      <c r="CG58" s="7" t="s">
        <v>87</v>
      </c>
      <c r="CH58" s="10">
        <v>17392305752.5</v>
      </c>
      <c r="CI58" s="39"/>
      <c r="CK58" s="7" t="s">
        <v>87</v>
      </c>
      <c r="CL58" s="10">
        <v>17299804752.5</v>
      </c>
      <c r="CM58" s="39" t="str">
        <f>YEAR(CurrentMtgRatesDataTable871112131417[[#This Row],[asofdate]])&amp;"-"&amp;MONTH(CurrentMtgRatesDataTable871112131417[[#This Row],[asofdate]])</f>
        <v>2007-10</v>
      </c>
      <c r="CN58" s="39">
        <f>CurrentMtgRatesDataTable871112131417[[#This Row],[SeriesNumValue]]</f>
        <v>17299804752.5</v>
      </c>
      <c r="CO58" s="39">
        <f>VLOOKUP(CurrentMtgRatesDataTable871112131417[[#This Row],[asofdate]],BY:BZ,2,0)</f>
        <v>75397000</v>
      </c>
      <c r="CP58" s="35">
        <f>IF(VLOOKUP(CurrentMtgRatesDataTable871112131417[[#This Row],[asofdate]],CC:CD,2,0)&lt;&gt;0,VLOOKUP(CurrentMtgRatesDataTable871112131417[[#This Row],[asofdate]],CC:CD,2,0),CP57)</f>
        <v>17104000</v>
      </c>
      <c r="CQ58" s="35">
        <f>VLOOKUP(CurrentMtgRatesDataTable871112131417[[#This Row],[asofdate]],CG:CH,2,0)</f>
        <v>17392305752.5</v>
      </c>
    </row>
    <row r="59" spans="1:95" s="6" customFormat="1" ht="12.75">
      <c r="A59" s="7" t="s">
        <v>88</v>
      </c>
      <c r="B59" s="10">
        <v>2.5848285008300598E-2</v>
      </c>
      <c r="C59" s="10" t="str">
        <f>YEAR(CurrentMtgRatesDataTable8[[#This Row],[asofdate]])&amp;"-"&amp;MONTH(CurrentMtgRatesDataTable8[[#This Row],[asofdate]])</f>
        <v>2007-11</v>
      </c>
      <c r="D59" s="6">
        <f>((CurrentMtgRatesDataTable8[[#This Row],[SeriesNumValue]]-$D$1)/$D$1+1)*100</f>
        <v>172.32190005533732</v>
      </c>
      <c r="G59" s="7" t="s">
        <v>88</v>
      </c>
      <c r="H59" s="10">
        <v>83.598180227379302</v>
      </c>
      <c r="I59" s="26">
        <f>VLOOKUP(CurrentMtgRatesDataTable82[[#This Row],[asofdate]],K:L,2,0)</f>
        <v>0.37325443173169698</v>
      </c>
      <c r="K59" s="7" t="s">
        <v>88</v>
      </c>
      <c r="L59" s="29">
        <v>0.37325443173169698</v>
      </c>
      <c r="O59" s="7" t="s">
        <v>88</v>
      </c>
      <c r="P59" s="10">
        <v>39.641727438885503</v>
      </c>
      <c r="Q59" s="29">
        <f>VLOOKUP(CurrentMtgRatesDataTable84[[#This Row],[asofdate]],S:T,2,0)</f>
        <v>0.33257685736857001</v>
      </c>
      <c r="S59" s="7" t="s">
        <v>88</v>
      </c>
      <c r="T59" s="10">
        <v>0.33257685736857001</v>
      </c>
      <c r="W59" s="7" t="s">
        <v>88</v>
      </c>
      <c r="X59" s="10">
        <v>724.06936828744904</v>
      </c>
      <c r="Y59" s="26">
        <f>VLOOKUP(CurrentMtgRatesDataTable86[[#This Row],[asofdate]],AA:AB,2,0)</f>
        <v>0.33276857859813502</v>
      </c>
      <c r="AA59" s="7" t="s">
        <v>88</v>
      </c>
      <c r="AB59" s="10">
        <v>0.33276857859813502</v>
      </c>
      <c r="AE59" s="7" t="s">
        <v>126</v>
      </c>
      <c r="AF59" s="10">
        <v>1.0418312786763599E-2</v>
      </c>
      <c r="AG59" s="10" t="str">
        <f>YEAR(CurrentMtgRatesDataTable89[[#This Row],[asofdate]])&amp;"-"&amp;MONTH(CurrentMtgRatesDataTable89[[#This Row],[asofdate]])</f>
        <v>2011-1</v>
      </c>
      <c r="AH59" s="6">
        <f>((CurrentMtgRatesDataTable89[[#This Row],[SeriesNumValue]]-$D$1)/$D$1+1)*100</f>
        <v>69.455418578424002</v>
      </c>
      <c r="AI59" s="6">
        <f>CurrentMtgRatesDataTable89[[#This Row],[Index]]-AH60</f>
        <v>-7.7585869574313335</v>
      </c>
      <c r="AJ59" s="6">
        <f>VLOOKUP(CurrentMtgRatesDataTable89[[#This Row],[asofdate]],G:H,2,0)</f>
        <v>77.940525422506795</v>
      </c>
      <c r="AK59" s="6">
        <f>VLOOKUP(CurrentMtgRatesDataTable89[[#This Row],[asofdate]],K:L,2,0)</f>
        <v>0.11795265673854601</v>
      </c>
      <c r="AL59" s="6">
        <f>VLOOKUP(CurrentMtgRatesDataTable89[[#This Row],[asofdate]],O:P,2,0)</f>
        <v>33.489824219735901</v>
      </c>
      <c r="AM59" s="6">
        <f>VLOOKUP(CurrentMtgRatesDataTable89[[#This Row],[asofdate]],S:T,2,0)</f>
        <v>0.27245520416456698</v>
      </c>
      <c r="AN59" s="6">
        <f>VLOOKUP(CurrentMtgRatesDataTable89[[#This Row],[asofdate]],W:X,2,0)</f>
        <v>762.74630346408003</v>
      </c>
      <c r="AO59" s="6">
        <f>VLOOKUP(CurrentMtgRatesDataTable89[[#This Row],[asofdate]],AA:AB,2,0)</f>
        <v>7.5937613488361505E-2</v>
      </c>
      <c r="AR59" s="7" t="s">
        <v>88</v>
      </c>
      <c r="AS59" s="10">
        <v>0.118620974906118</v>
      </c>
      <c r="AT59" s="36">
        <f>((CurrentMtgRatesDataTable8711[[#This Row],[SeriesNumValue]]-$D$1)/$D$1+1)*100</f>
        <v>790.80649937412011</v>
      </c>
      <c r="AU59" s="36"/>
      <c r="AW59" s="7" t="s">
        <v>88</v>
      </c>
      <c r="AX59" s="10">
        <v>0</v>
      </c>
      <c r="AY59" s="36">
        <f>((CurrentMtgRatesDataTable871112[[#This Row],[SeriesNumValue]]-$D$1)/$D$1+1)*100</f>
        <v>0</v>
      </c>
      <c r="AZ59" s="36"/>
      <c r="BB59" s="7" t="s">
        <v>88</v>
      </c>
      <c r="BC59" s="10">
        <v>2.5698206443094999E-2</v>
      </c>
      <c r="BD59" s="39">
        <f>((CurrentMtgRatesDataTable87111213[[#This Row],[SeriesNumValue]]-$D$1)/$D$1+1)*100</f>
        <v>171.32137628729998</v>
      </c>
      <c r="BE59" s="39"/>
      <c r="BG59" s="7" t="s">
        <v>88</v>
      </c>
      <c r="BH59" s="10">
        <v>2.5456936115817001E-2</v>
      </c>
      <c r="BI59" s="39">
        <f>((CurrentMtgRatesDataTable8711121314[[#This Row],[SeriesNumValue]]-$D$1)/$D$1+1)*100</f>
        <v>169.71290743878004</v>
      </c>
      <c r="BJ59" s="39" t="str">
        <f>YEAR(CurrentMtgRatesDataTable8711121314[[#This Row],[asofdate]])&amp;"-"&amp;MONTH(CurrentMtgRatesDataTable8711121314[[#This Row],[asofdate]])</f>
        <v>2007-11</v>
      </c>
      <c r="BK59" s="39">
        <f>CurrentMtgRatesDataTable8711121314[[#This Row],[SeriesNumValue]]</f>
        <v>2.5456936115817001E-2</v>
      </c>
      <c r="BL59" s="39">
        <f>VLOOKUP(CurrentMtgRatesDataTable8711121314[[#This Row],[asofdate]],AR:AT,2,0)</f>
        <v>0.118620974906118</v>
      </c>
      <c r="BM59" s="35">
        <f>IF(VLOOKUP(CurrentMtgRatesDataTable8711121314[[#This Row],[asofdate]],AW:AY,2,0)&lt;&gt;0,VLOOKUP(CurrentMtgRatesDataTable8711121314[[#This Row],[asofdate]],AW:AY,2,0),BM58)</f>
        <v>9.9820189534489706E-2</v>
      </c>
      <c r="BN59" s="35">
        <f>VLOOKUP(CurrentMtgRatesDataTable8711121314[[#This Row],[asofdate]],BB:BD,2,0)</f>
        <v>2.5698206443094999E-2</v>
      </c>
      <c r="BO59" s="35">
        <f>CurrentMtgRatesDataTable8711121314[[#This Row],[FHA]]+0.5*CurrentMtgRatesDataTable8711121314[[#This Row],[Conventional]]</f>
        <v>0.13134944296402651</v>
      </c>
      <c r="BP59" s="35">
        <f>2*CurrentMtgRatesDataTable8711121314[[#This Row],[FHA]]</f>
        <v>0.23724194981223601</v>
      </c>
      <c r="BQ59" s="11">
        <f>VLOOKUP(YEAR(CurrentMtgRatesDataTable8711121314[[#This Row],[asofdate]]),OriginationVolume!$A:$N,8,FALSE)</f>
        <v>0.55309947140797688</v>
      </c>
      <c r="BR59" s="11">
        <f>VLOOKUP(YEAR(CurrentMtgRatesDataTable8711121314[[#This Row],[asofdate]]),OriginationVolume!$A:$N,9,FALSE)</f>
        <v>1.3935607880826525E-2</v>
      </c>
      <c r="BS59" s="11">
        <f>VLOOKUP(YEAR(CurrentMtgRatesDataTable8711121314[[#This Row],[asofdate]]),OriginationVolume!$A:$N,10,FALSE)</f>
        <v>4.1806823642479576E-2</v>
      </c>
      <c r="BT59" s="11">
        <f>VLOOKUP(YEAR(CurrentMtgRatesDataTable8711121314[[#This Row],[asofdate]]),OriginationVolume!$A:$N,11,FALSE)</f>
        <v>0.16722729456991831</v>
      </c>
      <c r="BU59" s="11">
        <f>VLOOKUP(YEAR(CurrentMtgRatesDataTable8711121314[[#This Row],[asofdate]]),OriginationVolume!$A:$N,12,FALSE)</f>
        <v>0.13214800576645844</v>
      </c>
      <c r="BV59" s="11">
        <f>VLOOKUP(YEAR(CurrentMtgRatesDataTable8711121314[[#This Row],[asofdate]]),OriginationVolume!$A:$N,13,FALSE)</f>
        <v>9.1782796732340216E-2</v>
      </c>
      <c r="BW59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6.3819830264385646E-2</v>
      </c>
      <c r="BY59" s="7" t="s">
        <v>88</v>
      </c>
      <c r="BZ59" s="10">
        <v>75374000</v>
      </c>
      <c r="CA59" s="36"/>
      <c r="CC59" s="7" t="s">
        <v>88</v>
      </c>
      <c r="CD59" s="10">
        <v>14015000</v>
      </c>
      <c r="CE59" s="36"/>
      <c r="CG59" s="7" t="s">
        <v>88</v>
      </c>
      <c r="CH59" s="10">
        <v>15581397562.370001</v>
      </c>
      <c r="CI59" s="39"/>
      <c r="CK59" s="7" t="s">
        <v>88</v>
      </c>
      <c r="CL59" s="10">
        <v>15492008562.370001</v>
      </c>
      <c r="CM59" s="39" t="str">
        <f>YEAR(CurrentMtgRatesDataTable871112131417[[#This Row],[asofdate]])&amp;"-"&amp;MONTH(CurrentMtgRatesDataTable871112131417[[#This Row],[asofdate]])</f>
        <v>2007-11</v>
      </c>
      <c r="CN59" s="39">
        <f>CurrentMtgRatesDataTable871112131417[[#This Row],[SeriesNumValue]]</f>
        <v>15492008562.370001</v>
      </c>
      <c r="CO59" s="39">
        <f>VLOOKUP(CurrentMtgRatesDataTable871112131417[[#This Row],[asofdate]],BY:BZ,2,0)</f>
        <v>75374000</v>
      </c>
      <c r="CP59" s="35">
        <f>IF(VLOOKUP(CurrentMtgRatesDataTable871112131417[[#This Row],[asofdate]],CC:CD,2,0)&lt;&gt;0,VLOOKUP(CurrentMtgRatesDataTable871112131417[[#This Row],[asofdate]],CC:CD,2,0),CP58)</f>
        <v>14015000</v>
      </c>
      <c r="CQ59" s="35">
        <f>VLOOKUP(CurrentMtgRatesDataTable871112131417[[#This Row],[asofdate]],CG:CH,2,0)</f>
        <v>15581397562.370001</v>
      </c>
    </row>
    <row r="60" spans="1:95" s="6" customFormat="1" ht="12.75">
      <c r="A60" s="7" t="s">
        <v>89</v>
      </c>
      <c r="B60" s="10">
        <v>2.6072154647327001E-2</v>
      </c>
      <c r="C60" s="10" t="str">
        <f>YEAR(CurrentMtgRatesDataTable8[[#This Row],[asofdate]])&amp;"-"&amp;MONTH(CurrentMtgRatesDataTable8[[#This Row],[asofdate]])</f>
        <v>2007-12</v>
      </c>
      <c r="D60" s="6">
        <f>((CurrentMtgRatesDataTable8[[#This Row],[SeriesNumValue]]-$D$1)/$D$1+1)*100</f>
        <v>173.81436431551336</v>
      </c>
      <c r="G60" s="7" t="s">
        <v>89</v>
      </c>
      <c r="H60" s="10">
        <v>83.554435871280404</v>
      </c>
      <c r="I60" s="26">
        <f>VLOOKUP(CurrentMtgRatesDataTable82[[#This Row],[asofdate]],K:L,2,0)</f>
        <v>0.37328154108915901</v>
      </c>
      <c r="K60" s="7" t="s">
        <v>89</v>
      </c>
      <c r="L60" s="29">
        <v>0.37328154108915901</v>
      </c>
      <c r="O60" s="7" t="s">
        <v>89</v>
      </c>
      <c r="P60" s="10">
        <v>39.579908349099497</v>
      </c>
      <c r="Q60" s="29">
        <f>VLOOKUP(CurrentMtgRatesDataTable84[[#This Row],[asofdate]],S:T,2,0)</f>
        <v>0.32737388737458001</v>
      </c>
      <c r="S60" s="7" t="s">
        <v>89</v>
      </c>
      <c r="T60" s="10">
        <v>0.32737388737458001</v>
      </c>
      <c r="W60" s="7" t="s">
        <v>89</v>
      </c>
      <c r="X60" s="10">
        <v>724.93962095695599</v>
      </c>
      <c r="Y60" s="26">
        <f>VLOOKUP(CurrentMtgRatesDataTable86[[#This Row],[asofdate]],AA:AB,2,0)</f>
        <v>0.32191401029786698</v>
      </c>
      <c r="AA60" s="7" t="s">
        <v>89</v>
      </c>
      <c r="AB60" s="10">
        <v>0.32191401029786698</v>
      </c>
      <c r="AE60" s="7" t="s">
        <v>125</v>
      </c>
      <c r="AF60" s="10">
        <v>1.1582100830378301E-2</v>
      </c>
      <c r="AG60" s="10" t="str">
        <f>YEAR(CurrentMtgRatesDataTable89[[#This Row],[asofdate]])&amp;"-"&amp;MONTH(CurrentMtgRatesDataTable89[[#This Row],[asofdate]])</f>
        <v>2010-12</v>
      </c>
      <c r="AH60" s="6">
        <f>((CurrentMtgRatesDataTable89[[#This Row],[SeriesNumValue]]-$D$1)/$D$1+1)*100</f>
        <v>77.214005535855335</v>
      </c>
      <c r="AI60" s="6">
        <f>CurrentMtgRatesDataTable89[[#This Row],[Index]]-AH61</f>
        <v>-0.38854778496133235</v>
      </c>
      <c r="AJ60" s="6">
        <f>VLOOKUP(CurrentMtgRatesDataTable89[[#This Row],[asofdate]],G:H,2,0)</f>
        <v>77.836804343145602</v>
      </c>
      <c r="AK60" s="6">
        <f>VLOOKUP(CurrentMtgRatesDataTable89[[#This Row],[asofdate]],K:L,2,0)</f>
        <v>0.110069099887995</v>
      </c>
      <c r="AL60" s="6">
        <f>VLOOKUP(CurrentMtgRatesDataTable89[[#This Row],[asofdate]],O:P,2,0)</f>
        <v>33.558006758585599</v>
      </c>
      <c r="AM60" s="6">
        <f>VLOOKUP(CurrentMtgRatesDataTable89[[#This Row],[asofdate]],S:T,2,0)</f>
        <v>0.27855563370943898</v>
      </c>
      <c r="AN60" s="6">
        <f>VLOOKUP(CurrentMtgRatesDataTable89[[#This Row],[asofdate]],W:X,2,0)</f>
        <v>762.66625999200903</v>
      </c>
      <c r="AO60" s="6">
        <f>VLOOKUP(CurrentMtgRatesDataTable89[[#This Row],[asofdate]],AA:AB,2,0)</f>
        <v>7.6528950060665193E-2</v>
      </c>
      <c r="AR60" s="7" t="s">
        <v>89</v>
      </c>
      <c r="AS60" s="10">
        <v>0.11454124774918099</v>
      </c>
      <c r="AT60" s="36">
        <f>((CurrentMtgRatesDataTable8711[[#This Row],[SeriesNumValue]]-$D$1)/$D$1+1)*100</f>
        <v>763.60831832787323</v>
      </c>
      <c r="AU60" s="36"/>
      <c r="AW60" s="7" t="s">
        <v>89</v>
      </c>
      <c r="AX60" s="10">
        <v>0.103616622616662</v>
      </c>
      <c r="AY60" s="36">
        <f>((CurrentMtgRatesDataTable871112[[#This Row],[SeriesNumValue]]-$D$1)/$D$1+1)*100</f>
        <v>690.77748411108007</v>
      </c>
      <c r="AZ60" s="36"/>
      <c r="BB60" s="7" t="s">
        <v>89</v>
      </c>
      <c r="BC60" s="10">
        <v>2.5090031823940501E-2</v>
      </c>
      <c r="BD60" s="39">
        <f>((CurrentMtgRatesDataTable87111213[[#This Row],[SeriesNumValue]]-$D$1)/$D$1+1)*100</f>
        <v>167.26687882627002</v>
      </c>
      <c r="BE60" s="39"/>
      <c r="BG60" s="7" t="s">
        <v>89</v>
      </c>
      <c r="BH60" s="10">
        <v>2.48059395679785E-2</v>
      </c>
      <c r="BI60" s="39">
        <f>((CurrentMtgRatesDataTable8711121314[[#This Row],[SeriesNumValue]]-$D$1)/$D$1+1)*100</f>
        <v>165.37293045318998</v>
      </c>
      <c r="BJ60" s="39" t="str">
        <f>YEAR(CurrentMtgRatesDataTable8711121314[[#This Row],[asofdate]])&amp;"-"&amp;MONTH(CurrentMtgRatesDataTable8711121314[[#This Row],[asofdate]])</f>
        <v>2007-12</v>
      </c>
      <c r="BK60" s="39">
        <f>CurrentMtgRatesDataTable8711121314[[#This Row],[SeriesNumValue]]</f>
        <v>2.48059395679785E-2</v>
      </c>
      <c r="BL60" s="39">
        <f>VLOOKUP(CurrentMtgRatesDataTable8711121314[[#This Row],[asofdate]],AR:AT,2,0)</f>
        <v>0.11454124774918099</v>
      </c>
      <c r="BM60" s="35">
        <f>IF(VLOOKUP(CurrentMtgRatesDataTable8711121314[[#This Row],[asofdate]],AW:AY,2,0)&lt;&gt;0,VLOOKUP(CurrentMtgRatesDataTable8711121314[[#This Row],[asofdate]],AW:AY,2,0),BM59)</f>
        <v>0.103616622616662</v>
      </c>
      <c r="BN60" s="35">
        <f>VLOOKUP(CurrentMtgRatesDataTable8711121314[[#This Row],[asofdate]],BB:BD,2,0)</f>
        <v>2.5090031823940501E-2</v>
      </c>
      <c r="BO60" s="35">
        <f>CurrentMtgRatesDataTable8711121314[[#This Row],[FHA]]+0.5*CurrentMtgRatesDataTable8711121314[[#This Row],[Conventional]]</f>
        <v>0.12694421753317026</v>
      </c>
      <c r="BP60" s="35">
        <f>2*CurrentMtgRatesDataTable8711121314[[#This Row],[FHA]]</f>
        <v>0.22908249549836199</v>
      </c>
      <c r="BQ60" s="11">
        <f>VLOOKUP(YEAR(CurrentMtgRatesDataTable8711121314[[#This Row],[asofdate]]),OriginationVolume!$A:$N,8,FALSE)</f>
        <v>0.55309947140797688</v>
      </c>
      <c r="BR60" s="11">
        <f>VLOOKUP(YEAR(CurrentMtgRatesDataTable8711121314[[#This Row],[asofdate]]),OriginationVolume!$A:$N,9,FALSE)</f>
        <v>1.3935607880826525E-2</v>
      </c>
      <c r="BS60" s="11">
        <f>VLOOKUP(YEAR(CurrentMtgRatesDataTable8711121314[[#This Row],[asofdate]]),OriginationVolume!$A:$N,10,FALSE)</f>
        <v>4.1806823642479576E-2</v>
      </c>
      <c r="BT60" s="11">
        <f>VLOOKUP(YEAR(CurrentMtgRatesDataTable8711121314[[#This Row],[asofdate]]),OriginationVolume!$A:$N,11,FALSE)</f>
        <v>0.16722729456991831</v>
      </c>
      <c r="BU60" s="11">
        <f>VLOOKUP(YEAR(CurrentMtgRatesDataTable8711121314[[#This Row],[asofdate]]),OriginationVolume!$A:$N,12,FALSE)</f>
        <v>0.13214800576645844</v>
      </c>
      <c r="BV60" s="11">
        <f>VLOOKUP(YEAR(CurrentMtgRatesDataTable8711121314[[#This Row],[asofdate]]),OriginationVolume!$A:$N,13,FALSE)</f>
        <v>9.1782796732340216E-2</v>
      </c>
      <c r="BW60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6.190220590306135E-2</v>
      </c>
      <c r="BY60" s="7" t="s">
        <v>89</v>
      </c>
      <c r="BZ60" s="10">
        <v>87115000</v>
      </c>
      <c r="CA60" s="36"/>
      <c r="CC60" s="7" t="s">
        <v>89</v>
      </c>
      <c r="CD60" s="10">
        <v>16424000</v>
      </c>
      <c r="CE60" s="36"/>
      <c r="CG60" s="7" t="s">
        <v>89</v>
      </c>
      <c r="CH60" s="10">
        <v>15447076849.469999</v>
      </c>
      <c r="CI60" s="39"/>
      <c r="CK60" s="7" t="s">
        <v>89</v>
      </c>
      <c r="CL60" s="10">
        <v>15343537849.469999</v>
      </c>
      <c r="CM60" s="39" t="str">
        <f>YEAR(CurrentMtgRatesDataTable871112131417[[#This Row],[asofdate]])&amp;"-"&amp;MONTH(CurrentMtgRatesDataTable871112131417[[#This Row],[asofdate]])</f>
        <v>2007-12</v>
      </c>
      <c r="CN60" s="39">
        <f>CurrentMtgRatesDataTable871112131417[[#This Row],[SeriesNumValue]]</f>
        <v>15343537849.469999</v>
      </c>
      <c r="CO60" s="39">
        <f>VLOOKUP(CurrentMtgRatesDataTable871112131417[[#This Row],[asofdate]],BY:BZ,2,0)</f>
        <v>87115000</v>
      </c>
      <c r="CP60" s="35">
        <f>IF(VLOOKUP(CurrentMtgRatesDataTable871112131417[[#This Row],[asofdate]],CC:CD,2,0)&lt;&gt;0,VLOOKUP(CurrentMtgRatesDataTable871112131417[[#This Row],[asofdate]],CC:CD,2,0),CP59)</f>
        <v>16424000</v>
      </c>
      <c r="CQ60" s="35">
        <f>VLOOKUP(CurrentMtgRatesDataTable871112131417[[#This Row],[asofdate]],CG:CH,2,0)</f>
        <v>15447076849.469999</v>
      </c>
    </row>
    <row r="61" spans="1:95" s="6" customFormat="1" ht="12.75">
      <c r="A61" s="7" t="s">
        <v>90</v>
      </c>
      <c r="B61" s="10">
        <v>2.6224449281782702E-2</v>
      </c>
      <c r="C61" s="10" t="str">
        <f>YEAR(CurrentMtgRatesDataTable8[[#This Row],[asofdate]])&amp;"-"&amp;MONTH(CurrentMtgRatesDataTable8[[#This Row],[asofdate]])</f>
        <v>2008-1</v>
      </c>
      <c r="D61" s="6">
        <f>((CurrentMtgRatesDataTable8[[#This Row],[SeriesNumValue]]-$D$1)/$D$1+1)*100</f>
        <v>174.82966187855135</v>
      </c>
      <c r="G61" s="7" t="s">
        <v>90</v>
      </c>
      <c r="H61" s="10">
        <v>83.855010424455898</v>
      </c>
      <c r="I61" s="26">
        <f>VLOOKUP(CurrentMtgRatesDataTable82[[#This Row],[asofdate]],K:L,2,0)</f>
        <v>0.38124492460114701</v>
      </c>
      <c r="K61" s="7" t="s">
        <v>90</v>
      </c>
      <c r="L61" s="29">
        <v>0.38124492460114701</v>
      </c>
      <c r="O61" s="7" t="s">
        <v>90</v>
      </c>
      <c r="P61" s="10">
        <v>39.489843297243901</v>
      </c>
      <c r="Q61" s="29">
        <f>VLOOKUP(CurrentMtgRatesDataTable84[[#This Row],[asofdate]],S:T,2,0)</f>
        <v>0.32345590393991103</v>
      </c>
      <c r="S61" s="7" t="s">
        <v>90</v>
      </c>
      <c r="T61" s="10">
        <v>0.32345590393991103</v>
      </c>
      <c r="W61" s="7" t="s">
        <v>90</v>
      </c>
      <c r="X61" s="10">
        <v>725.61492638754305</v>
      </c>
      <c r="Y61" s="26">
        <f>VLOOKUP(CurrentMtgRatesDataTable86[[#This Row],[asofdate]],AA:AB,2,0)</f>
        <v>0.31873013143375201</v>
      </c>
      <c r="AA61" s="7" t="s">
        <v>90</v>
      </c>
      <c r="AB61" s="10">
        <v>0.31873013143375201</v>
      </c>
      <c r="AE61" s="7" t="s">
        <v>124</v>
      </c>
      <c r="AF61" s="10">
        <v>1.1640382998122501E-2</v>
      </c>
      <c r="AG61" s="10" t="str">
        <f>YEAR(CurrentMtgRatesDataTable89[[#This Row],[asofdate]])&amp;"-"&amp;MONTH(CurrentMtgRatesDataTable89[[#This Row],[asofdate]])</f>
        <v>2010-11</v>
      </c>
      <c r="AH61" s="6">
        <f>((CurrentMtgRatesDataTable89[[#This Row],[SeriesNumValue]]-$D$1)/$D$1+1)*100</f>
        <v>77.602553320816668</v>
      </c>
      <c r="AI61" s="6">
        <f>CurrentMtgRatesDataTable89[[#This Row],[Index]]-AH62</f>
        <v>-0.37716371463334042</v>
      </c>
      <c r="AJ61" s="6">
        <f>VLOOKUP(CurrentMtgRatesDataTable89[[#This Row],[asofdate]],G:H,2,0)</f>
        <v>77.504038849736304</v>
      </c>
      <c r="AK61" s="6">
        <f>VLOOKUP(CurrentMtgRatesDataTable89[[#This Row],[asofdate]],K:L,2,0)</f>
        <v>0.109452054433236</v>
      </c>
      <c r="AL61" s="6">
        <f>VLOOKUP(CurrentMtgRatesDataTable89[[#This Row],[asofdate]],O:P,2,0)</f>
        <v>33.445452945927599</v>
      </c>
      <c r="AM61" s="6">
        <f>VLOOKUP(CurrentMtgRatesDataTable89[[#This Row],[asofdate]],S:T,2,0)</f>
        <v>0.27125876006071098</v>
      </c>
      <c r="AN61" s="6">
        <f>VLOOKUP(CurrentMtgRatesDataTable89[[#This Row],[asofdate]],W:X,2,0)</f>
        <v>762.33703010731597</v>
      </c>
      <c r="AO61" s="6">
        <f>VLOOKUP(CurrentMtgRatesDataTable89[[#This Row],[asofdate]],AA:AB,2,0)</f>
        <v>7.9203464124255996E-2</v>
      </c>
      <c r="AR61" s="7" t="s">
        <v>90</v>
      </c>
      <c r="AS61" s="10">
        <v>0.118200880367063</v>
      </c>
      <c r="AT61" s="36">
        <f>((CurrentMtgRatesDataTable8711[[#This Row],[SeriesNumValue]]-$D$1)/$D$1+1)*100</f>
        <v>788.00586911375342</v>
      </c>
      <c r="AU61" s="36"/>
      <c r="AW61" s="7" t="s">
        <v>90</v>
      </c>
      <c r="AX61" s="10">
        <v>8.5858970649299801E-2</v>
      </c>
      <c r="AY61" s="36">
        <f>((CurrentMtgRatesDataTable871112[[#This Row],[SeriesNumValue]]-$D$1)/$D$1+1)*100</f>
        <v>572.39313766199871</v>
      </c>
      <c r="AZ61" s="36"/>
      <c r="BB61" s="7" t="s">
        <v>90</v>
      </c>
      <c r="BC61" s="10">
        <v>2.5711042105749E-2</v>
      </c>
      <c r="BD61" s="39">
        <f>((CurrentMtgRatesDataTable87111213[[#This Row],[SeriesNumValue]]-$D$1)/$D$1+1)*100</f>
        <v>171.40694737166001</v>
      </c>
      <c r="BE61" s="39"/>
      <c r="BG61" s="7" t="s">
        <v>90</v>
      </c>
      <c r="BH61" s="10">
        <v>2.5406454290126099E-2</v>
      </c>
      <c r="BI61" s="39">
        <f>((CurrentMtgRatesDataTable8711121314[[#This Row],[SeriesNumValue]]-$D$1)/$D$1+1)*100</f>
        <v>169.37636193417401</v>
      </c>
      <c r="BJ61" s="39" t="str">
        <f>YEAR(CurrentMtgRatesDataTable8711121314[[#This Row],[asofdate]])&amp;"-"&amp;MONTH(CurrentMtgRatesDataTable8711121314[[#This Row],[asofdate]])</f>
        <v>2008-1</v>
      </c>
      <c r="BK61" s="39">
        <f>CurrentMtgRatesDataTable8711121314[[#This Row],[SeriesNumValue]]</f>
        <v>2.5406454290126099E-2</v>
      </c>
      <c r="BL61" s="39">
        <f>VLOOKUP(CurrentMtgRatesDataTable8711121314[[#This Row],[asofdate]],AR:AT,2,0)</f>
        <v>0.118200880367063</v>
      </c>
      <c r="BM61" s="35">
        <f>IF(VLOOKUP(CurrentMtgRatesDataTable8711121314[[#This Row],[asofdate]],AW:AY,2,0)&lt;&gt;0,VLOOKUP(CurrentMtgRatesDataTable8711121314[[#This Row],[asofdate]],AW:AY,2,0),BM60)</f>
        <v>8.5858970649299801E-2</v>
      </c>
      <c r="BN61" s="35">
        <f>VLOOKUP(CurrentMtgRatesDataTable8711121314[[#This Row],[asofdate]],BB:BD,2,0)</f>
        <v>2.5711042105749E-2</v>
      </c>
      <c r="BO61" s="35">
        <f>CurrentMtgRatesDataTable8711121314[[#This Row],[FHA]]+0.5*CurrentMtgRatesDataTable8711121314[[#This Row],[Conventional]]</f>
        <v>0.13090410751212606</v>
      </c>
      <c r="BP61" s="35">
        <f>2*CurrentMtgRatesDataTable8711121314[[#This Row],[FHA]]</f>
        <v>0.236401760734126</v>
      </c>
      <c r="BQ61" s="11">
        <f>VLOOKUP(YEAR(CurrentMtgRatesDataTable8711121314[[#This Row],[asofdate]]),OriginationVolume!$A:$N,8,FALSE)</f>
        <v>0.67052023121387283</v>
      </c>
      <c r="BR61" s="11">
        <f>VLOOKUP(YEAR(CurrentMtgRatesDataTable8711121314[[#This Row],[asofdate]]),OriginationVolume!$A:$N,9,FALSE)</f>
        <v>5.2926300578034685E-2</v>
      </c>
      <c r="BS61" s="11">
        <f>VLOOKUP(YEAR(CurrentMtgRatesDataTable8711121314[[#This Row],[asofdate]]),OriginationVolume!$A:$N,10,FALSE)</f>
        <v>0.15877890173410406</v>
      </c>
      <c r="BT61" s="11">
        <f>VLOOKUP(YEAR(CurrentMtgRatesDataTable8711121314[[#This Row],[asofdate]]),OriginationVolume!$A:$N,11,FALSE)</f>
        <v>7.0809248554913301E-2</v>
      </c>
      <c r="BU61" s="11">
        <f>VLOOKUP(YEAR(CurrentMtgRatesDataTable8711121314[[#This Row],[asofdate]]),OriginationVolume!$A:$N,12,FALSE)</f>
        <v>3.0346820809248554E-2</v>
      </c>
      <c r="BV61" s="11">
        <f>VLOOKUP(YEAR(CurrentMtgRatesDataTable8711121314[[#This Row],[asofdate]]),OriginationVolume!$A:$N,13,FALSE)</f>
        <v>1.6618497109826588E-2</v>
      </c>
      <c r="BW61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5.0047722669643684E-2</v>
      </c>
      <c r="BY61" s="7" t="s">
        <v>90</v>
      </c>
      <c r="BZ61" s="10">
        <v>84080000</v>
      </c>
      <c r="CA61" s="36"/>
      <c r="CC61" s="7" t="s">
        <v>90</v>
      </c>
      <c r="CD61" s="10">
        <v>17544000</v>
      </c>
      <c r="CE61" s="36"/>
      <c r="CG61" s="7" t="s">
        <v>90</v>
      </c>
      <c r="CH61" s="10">
        <v>14305152731.549999</v>
      </c>
      <c r="CI61" s="39"/>
      <c r="CK61" s="7" t="s">
        <v>90</v>
      </c>
      <c r="CL61" s="10">
        <v>14203528731.549999</v>
      </c>
      <c r="CM61" s="39" t="str">
        <f>YEAR(CurrentMtgRatesDataTable871112131417[[#This Row],[asofdate]])&amp;"-"&amp;MONTH(CurrentMtgRatesDataTable871112131417[[#This Row],[asofdate]])</f>
        <v>2008-1</v>
      </c>
      <c r="CN61" s="39">
        <f>CurrentMtgRatesDataTable871112131417[[#This Row],[SeriesNumValue]]</f>
        <v>14203528731.549999</v>
      </c>
      <c r="CO61" s="39">
        <f>VLOOKUP(CurrentMtgRatesDataTable871112131417[[#This Row],[asofdate]],BY:BZ,2,0)</f>
        <v>84080000</v>
      </c>
      <c r="CP61" s="35">
        <f>IF(VLOOKUP(CurrentMtgRatesDataTable871112131417[[#This Row],[asofdate]],CC:CD,2,0)&lt;&gt;0,VLOOKUP(CurrentMtgRatesDataTable871112131417[[#This Row],[asofdate]],CC:CD,2,0),CP60)</f>
        <v>17544000</v>
      </c>
      <c r="CQ61" s="35">
        <f>VLOOKUP(CurrentMtgRatesDataTable871112131417[[#This Row],[asofdate]],CG:CH,2,0)</f>
        <v>14305152731.549999</v>
      </c>
    </row>
    <row r="62" spans="1:95" s="6" customFormat="1" ht="12.75">
      <c r="A62" s="7" t="s">
        <v>91</v>
      </c>
      <c r="B62" s="10">
        <v>2.6001369258052399E-2</v>
      </c>
      <c r="C62" s="10" t="str">
        <f>YEAR(CurrentMtgRatesDataTable8[[#This Row],[asofdate]])&amp;"-"&amp;MONTH(CurrentMtgRatesDataTable8[[#This Row],[asofdate]])</f>
        <v>2008-2</v>
      </c>
      <c r="D62" s="6">
        <f>((CurrentMtgRatesDataTable8[[#This Row],[SeriesNumValue]]-$D$1)/$D$1+1)*100</f>
        <v>173.34246172034932</v>
      </c>
      <c r="G62" s="7" t="s">
        <v>91</v>
      </c>
      <c r="H62" s="10">
        <v>83.407523352475593</v>
      </c>
      <c r="I62" s="26">
        <f>VLOOKUP(CurrentMtgRatesDataTable82[[#This Row],[asofdate]],K:L,2,0)</f>
        <v>0.36096554720004298</v>
      </c>
      <c r="K62" s="7" t="s">
        <v>91</v>
      </c>
      <c r="L62" s="29">
        <v>0.36096554720004298</v>
      </c>
      <c r="O62" s="7" t="s">
        <v>91</v>
      </c>
      <c r="P62" s="10">
        <v>39.092016446336103</v>
      </c>
      <c r="Q62" s="29">
        <f>VLOOKUP(CurrentMtgRatesDataTable84[[#This Row],[asofdate]],S:T,2,0)</f>
        <v>0.32064750057136798</v>
      </c>
      <c r="S62" s="7" t="s">
        <v>91</v>
      </c>
      <c r="T62" s="10">
        <v>0.32064750057136798</v>
      </c>
      <c r="W62" s="7" t="s">
        <v>91</v>
      </c>
      <c r="X62" s="10">
        <v>728.34084731165694</v>
      </c>
      <c r="Y62" s="26">
        <f>VLOOKUP(CurrentMtgRatesDataTable86[[#This Row],[asofdate]],AA:AB,2,0)</f>
        <v>0.29981088723409199</v>
      </c>
      <c r="AA62" s="7" t="s">
        <v>91</v>
      </c>
      <c r="AB62" s="10">
        <v>0.29981088723409199</v>
      </c>
      <c r="AE62" s="7" t="s">
        <v>123</v>
      </c>
      <c r="AF62" s="10">
        <v>1.1696957555317499E-2</v>
      </c>
      <c r="AG62" s="10" t="str">
        <f>YEAR(CurrentMtgRatesDataTable89[[#This Row],[asofdate]])&amp;"-"&amp;MONTH(CurrentMtgRatesDataTable89[[#This Row],[asofdate]])</f>
        <v>2010-10</v>
      </c>
      <c r="AH62" s="6">
        <f>((CurrentMtgRatesDataTable89[[#This Row],[SeriesNumValue]]-$D$1)/$D$1+1)*100</f>
        <v>77.979717035450008</v>
      </c>
      <c r="AI62" s="6">
        <f>CurrentMtgRatesDataTable89[[#This Row],[Index]]-AH63</f>
        <v>-1.8987030176279944</v>
      </c>
      <c r="AJ62" s="6">
        <f>VLOOKUP(CurrentMtgRatesDataTable89[[#This Row],[asofdate]],G:H,2,0)</f>
        <v>77.151526909201294</v>
      </c>
      <c r="AK62" s="6">
        <f>VLOOKUP(CurrentMtgRatesDataTable89[[#This Row],[asofdate]],K:L,2,0)</f>
        <v>0.103362864069172</v>
      </c>
      <c r="AL62" s="6">
        <f>VLOOKUP(CurrentMtgRatesDataTable89[[#This Row],[asofdate]],O:P,2,0)</f>
        <v>33.5549430237973</v>
      </c>
      <c r="AM62" s="6">
        <f>VLOOKUP(CurrentMtgRatesDataTable89[[#This Row],[asofdate]],S:T,2,0)</f>
        <v>0.27453440249608202</v>
      </c>
      <c r="AN62" s="6">
        <f>VLOOKUP(CurrentMtgRatesDataTable89[[#This Row],[asofdate]],W:X,2,0)</f>
        <v>762.22096712183304</v>
      </c>
      <c r="AO62" s="6">
        <f>VLOOKUP(CurrentMtgRatesDataTable89[[#This Row],[asofdate]],AA:AB,2,0)</f>
        <v>8.2031114923412599E-2</v>
      </c>
      <c r="AR62" s="7" t="s">
        <v>91</v>
      </c>
      <c r="AS62" s="10">
        <v>0.116786543209285</v>
      </c>
      <c r="AT62" s="36">
        <f>((CurrentMtgRatesDataTable8711[[#This Row],[SeriesNumValue]]-$D$1)/$D$1+1)*100</f>
        <v>778.57695472856665</v>
      </c>
      <c r="AU62" s="36"/>
      <c r="AW62" s="7" t="s">
        <v>91</v>
      </c>
      <c r="AX62" s="10">
        <v>9.1688117328369095E-2</v>
      </c>
      <c r="AY62" s="36">
        <f>((CurrentMtgRatesDataTable871112[[#This Row],[SeriesNumValue]]-$D$1)/$D$1+1)*100</f>
        <v>611.25411552246067</v>
      </c>
      <c r="AZ62" s="36"/>
      <c r="BB62" s="7" t="s">
        <v>91</v>
      </c>
      <c r="BC62" s="10">
        <v>2.3843646585242399E-2</v>
      </c>
      <c r="BD62" s="39">
        <f>((CurrentMtgRatesDataTable87111213[[#This Row],[SeriesNumValue]]-$D$1)/$D$1+1)*100</f>
        <v>158.957643901616</v>
      </c>
      <c r="BE62" s="39"/>
      <c r="BG62" s="7" t="s">
        <v>91</v>
      </c>
      <c r="BH62" s="10">
        <v>2.3507893875337998E-2</v>
      </c>
      <c r="BI62" s="39">
        <f>((CurrentMtgRatesDataTable8711121314[[#This Row],[SeriesNumValue]]-$D$1)/$D$1+1)*100</f>
        <v>156.71929250225332</v>
      </c>
      <c r="BJ62" s="39" t="str">
        <f>YEAR(CurrentMtgRatesDataTable8711121314[[#This Row],[asofdate]])&amp;"-"&amp;MONTH(CurrentMtgRatesDataTable8711121314[[#This Row],[asofdate]])</f>
        <v>2008-2</v>
      </c>
      <c r="BK62" s="39">
        <f>CurrentMtgRatesDataTable8711121314[[#This Row],[SeriesNumValue]]</f>
        <v>2.3507893875337998E-2</v>
      </c>
      <c r="BL62" s="39">
        <f>VLOOKUP(CurrentMtgRatesDataTable8711121314[[#This Row],[asofdate]],AR:AT,2,0)</f>
        <v>0.116786543209285</v>
      </c>
      <c r="BM62" s="35">
        <f>IF(VLOOKUP(CurrentMtgRatesDataTable8711121314[[#This Row],[asofdate]],AW:AY,2,0)&lt;&gt;0,VLOOKUP(CurrentMtgRatesDataTable8711121314[[#This Row],[asofdate]],AW:AY,2,0),BM61)</f>
        <v>9.1688117328369095E-2</v>
      </c>
      <c r="BN62" s="35">
        <f>VLOOKUP(CurrentMtgRatesDataTable8711121314[[#This Row],[asofdate]],BB:BD,2,0)</f>
        <v>2.3843646585242399E-2</v>
      </c>
      <c r="BO62" s="35">
        <f>CurrentMtgRatesDataTable8711121314[[#This Row],[FHA]]+0.5*CurrentMtgRatesDataTable8711121314[[#This Row],[Conventional]]</f>
        <v>0.12854049014695401</v>
      </c>
      <c r="BP62" s="35">
        <f>2*CurrentMtgRatesDataTable8711121314[[#This Row],[FHA]]</f>
        <v>0.23357308641857</v>
      </c>
      <c r="BQ62" s="11">
        <f>VLOOKUP(YEAR(CurrentMtgRatesDataTable8711121314[[#This Row],[asofdate]]),OriginationVolume!$A:$N,8,FALSE)</f>
        <v>0.67052023121387283</v>
      </c>
      <c r="BR62" s="11">
        <f>VLOOKUP(YEAR(CurrentMtgRatesDataTable8711121314[[#This Row],[asofdate]]),OriginationVolume!$A:$N,9,FALSE)</f>
        <v>5.2926300578034685E-2</v>
      </c>
      <c r="BS62" s="11">
        <f>VLOOKUP(YEAR(CurrentMtgRatesDataTable8711121314[[#This Row],[asofdate]]),OriginationVolume!$A:$N,10,FALSE)</f>
        <v>0.15877890173410406</v>
      </c>
      <c r="BT62" s="11">
        <f>VLOOKUP(YEAR(CurrentMtgRatesDataTable8711121314[[#This Row],[asofdate]]),OriginationVolume!$A:$N,11,FALSE)</f>
        <v>7.0809248554913301E-2</v>
      </c>
      <c r="BU62" s="11">
        <f>VLOOKUP(YEAR(CurrentMtgRatesDataTable8711121314[[#This Row],[asofdate]]),OriginationVolume!$A:$N,12,FALSE)</f>
        <v>3.0346820809248554E-2</v>
      </c>
      <c r="BV62" s="11">
        <f>VLOOKUP(YEAR(CurrentMtgRatesDataTable8711121314[[#This Row],[asofdate]]),OriginationVolume!$A:$N,13,FALSE)</f>
        <v>1.6618497109826588E-2</v>
      </c>
      <c r="BW62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4.8605475545115157E-2</v>
      </c>
      <c r="BY62" s="7" t="s">
        <v>91</v>
      </c>
      <c r="BZ62" s="10">
        <v>89489000</v>
      </c>
      <c r="CA62" s="36"/>
      <c r="CC62" s="7" t="s">
        <v>91</v>
      </c>
      <c r="CD62" s="10">
        <v>19242000</v>
      </c>
      <c r="CE62" s="36"/>
      <c r="CG62" s="7" t="s">
        <v>91</v>
      </c>
      <c r="CH62" s="10">
        <v>14543110815.07</v>
      </c>
      <c r="CI62" s="39"/>
      <c r="CK62" s="7" t="s">
        <v>91</v>
      </c>
      <c r="CL62" s="10">
        <v>14434379815.07</v>
      </c>
      <c r="CM62" s="39" t="str">
        <f>YEAR(CurrentMtgRatesDataTable871112131417[[#This Row],[asofdate]])&amp;"-"&amp;MONTH(CurrentMtgRatesDataTable871112131417[[#This Row],[asofdate]])</f>
        <v>2008-2</v>
      </c>
      <c r="CN62" s="39">
        <f>CurrentMtgRatesDataTable871112131417[[#This Row],[SeriesNumValue]]</f>
        <v>14434379815.07</v>
      </c>
      <c r="CO62" s="39">
        <f>VLOOKUP(CurrentMtgRatesDataTable871112131417[[#This Row],[asofdate]],BY:BZ,2,0)</f>
        <v>89489000</v>
      </c>
      <c r="CP62" s="35">
        <f>IF(VLOOKUP(CurrentMtgRatesDataTable871112131417[[#This Row],[asofdate]],CC:CD,2,0)&lt;&gt;0,VLOOKUP(CurrentMtgRatesDataTable871112131417[[#This Row],[asofdate]],CC:CD,2,0),CP61)</f>
        <v>19242000</v>
      </c>
      <c r="CQ62" s="35">
        <f>VLOOKUP(CurrentMtgRatesDataTable871112131417[[#This Row],[asofdate]],CG:CH,2,0)</f>
        <v>14543110815.07</v>
      </c>
    </row>
    <row r="63" spans="1:95" s="6" customFormat="1" ht="12.75">
      <c r="A63" s="7" t="s">
        <v>92</v>
      </c>
      <c r="B63" s="10">
        <v>2.30995938317353E-2</v>
      </c>
      <c r="C63" s="10" t="str">
        <f>YEAR(CurrentMtgRatesDataTable8[[#This Row],[asofdate]])&amp;"-"&amp;MONTH(CurrentMtgRatesDataTable8[[#This Row],[asofdate]])</f>
        <v>2008-3</v>
      </c>
      <c r="D63" s="6">
        <f>((CurrentMtgRatesDataTable8[[#This Row],[SeriesNumValue]]-$D$1)/$D$1+1)*100</f>
        <v>153.99729221156866</v>
      </c>
      <c r="G63" s="7" t="s">
        <v>92</v>
      </c>
      <c r="H63" s="10">
        <v>82.917978306429703</v>
      </c>
      <c r="I63" s="26">
        <f>VLOOKUP(CurrentMtgRatesDataTable82[[#This Row],[asofdate]],K:L,2,0)</f>
        <v>0.34182677466995598</v>
      </c>
      <c r="K63" s="7" t="s">
        <v>92</v>
      </c>
      <c r="L63" s="29">
        <v>0.34182677466995598</v>
      </c>
      <c r="O63" s="7" t="s">
        <v>92</v>
      </c>
      <c r="P63" s="10">
        <v>39.249087722264797</v>
      </c>
      <c r="Q63" s="29">
        <f>VLOOKUP(CurrentMtgRatesDataTable84[[#This Row],[asofdate]],S:T,2,0)</f>
        <v>0.31717378018460402</v>
      </c>
      <c r="S63" s="7" t="s">
        <v>92</v>
      </c>
      <c r="T63" s="10">
        <v>0.31717378018460402</v>
      </c>
      <c r="W63" s="7" t="s">
        <v>92</v>
      </c>
      <c r="X63" s="10">
        <v>730.48483560039494</v>
      </c>
      <c r="Y63" s="26">
        <f>VLOOKUP(CurrentMtgRatesDataTable86[[#This Row],[asofdate]],AA:AB,2,0)</f>
        <v>0.280579895669821</v>
      </c>
      <c r="AA63" s="7" t="s">
        <v>92</v>
      </c>
      <c r="AB63" s="10">
        <v>0.280579895669821</v>
      </c>
      <c r="AE63" s="7" t="s">
        <v>122</v>
      </c>
      <c r="AF63" s="10">
        <v>1.19817630079617E-2</v>
      </c>
      <c r="AG63" s="10" t="str">
        <f>YEAR(CurrentMtgRatesDataTable89[[#This Row],[asofdate]])&amp;"-"&amp;MONTH(CurrentMtgRatesDataTable89[[#This Row],[asofdate]])</f>
        <v>2010-9</v>
      </c>
      <c r="AH63" s="6">
        <f>((CurrentMtgRatesDataTable89[[#This Row],[SeriesNumValue]]-$D$1)/$D$1+1)*100</f>
        <v>79.878420053078003</v>
      </c>
      <c r="AI63" s="6">
        <f>CurrentMtgRatesDataTable89[[#This Row],[Index]]-AH64</f>
        <v>-3.1022324569946562</v>
      </c>
      <c r="AJ63" s="6">
        <f>VLOOKUP(CurrentMtgRatesDataTable89[[#This Row],[asofdate]],G:H,2,0)</f>
        <v>76.947328417348899</v>
      </c>
      <c r="AK63" s="6">
        <f>VLOOKUP(CurrentMtgRatesDataTable89[[#This Row],[asofdate]],K:L,2,0)</f>
        <v>9.8316403570714805E-2</v>
      </c>
      <c r="AL63" s="6">
        <f>VLOOKUP(CurrentMtgRatesDataTable89[[#This Row],[asofdate]],O:P,2,0)</f>
        <v>33.847652638763698</v>
      </c>
      <c r="AM63" s="6">
        <f>VLOOKUP(CurrentMtgRatesDataTable89[[#This Row],[asofdate]],S:T,2,0)</f>
        <v>0.28514921794130899</v>
      </c>
      <c r="AN63" s="6">
        <f>VLOOKUP(CurrentMtgRatesDataTable89[[#This Row],[asofdate]],W:X,2,0)</f>
        <v>761.77637727655701</v>
      </c>
      <c r="AO63" s="6">
        <f>VLOOKUP(CurrentMtgRatesDataTable89[[#This Row],[asofdate]],AA:AB,2,0)</f>
        <v>8.3617280532806301E-2</v>
      </c>
      <c r="AR63" s="7" t="s">
        <v>92</v>
      </c>
      <c r="AS63" s="10">
        <v>0.128134201111163</v>
      </c>
      <c r="AT63" s="36">
        <f>((CurrentMtgRatesDataTable8711[[#This Row],[SeriesNumValue]]-$D$1)/$D$1+1)*100</f>
        <v>854.22800740775335</v>
      </c>
      <c r="AU63" s="36"/>
      <c r="AW63" s="7" t="s">
        <v>92</v>
      </c>
      <c r="AX63" s="10">
        <v>0.11098315619719901</v>
      </c>
      <c r="AY63" s="36">
        <f>((CurrentMtgRatesDataTable871112[[#This Row],[SeriesNumValue]]-$D$1)/$D$1+1)*100</f>
        <v>739.8877079813268</v>
      </c>
      <c r="AZ63" s="36"/>
      <c r="BB63" s="7" t="s">
        <v>92</v>
      </c>
      <c r="BC63" s="10">
        <v>2.4612648931101499E-2</v>
      </c>
      <c r="BD63" s="39">
        <f>((CurrentMtgRatesDataTable87111213[[#This Row],[SeriesNumValue]]-$D$1)/$D$1+1)*100</f>
        <v>164.08432620734334</v>
      </c>
      <c r="BE63" s="39"/>
      <c r="BG63" s="7" t="s">
        <v>92</v>
      </c>
      <c r="BH63" s="10">
        <v>2.41539416329958E-2</v>
      </c>
      <c r="BI63" s="39">
        <f>((CurrentMtgRatesDataTable8711121314[[#This Row],[SeriesNumValue]]-$D$1)/$D$1+1)*100</f>
        <v>161.02627755330533</v>
      </c>
      <c r="BJ63" s="39" t="str">
        <f>YEAR(CurrentMtgRatesDataTable8711121314[[#This Row],[asofdate]])&amp;"-"&amp;MONTH(CurrentMtgRatesDataTable8711121314[[#This Row],[asofdate]])</f>
        <v>2008-3</v>
      </c>
      <c r="BK63" s="39">
        <f>CurrentMtgRatesDataTable8711121314[[#This Row],[SeriesNumValue]]</f>
        <v>2.41539416329958E-2</v>
      </c>
      <c r="BL63" s="39">
        <f>VLOOKUP(CurrentMtgRatesDataTable8711121314[[#This Row],[asofdate]],AR:AT,2,0)</f>
        <v>0.128134201111163</v>
      </c>
      <c r="BM63" s="35">
        <f>IF(VLOOKUP(CurrentMtgRatesDataTable8711121314[[#This Row],[asofdate]],AW:AY,2,0)&lt;&gt;0,VLOOKUP(CurrentMtgRatesDataTable8711121314[[#This Row],[asofdate]],AW:AY,2,0),BM62)</f>
        <v>0.11098315619719901</v>
      </c>
      <c r="BN63" s="35">
        <f>VLOOKUP(CurrentMtgRatesDataTable8711121314[[#This Row],[asofdate]],BB:BD,2,0)</f>
        <v>2.4612648931101499E-2</v>
      </c>
      <c r="BO63" s="35">
        <f>CurrentMtgRatesDataTable8711121314[[#This Row],[FHA]]+0.5*CurrentMtgRatesDataTable8711121314[[#This Row],[Conventional]]</f>
        <v>0.14021117192766089</v>
      </c>
      <c r="BP63" s="35">
        <f>2*CurrentMtgRatesDataTable8711121314[[#This Row],[FHA]]</f>
        <v>0.256268402222326</v>
      </c>
      <c r="BQ63" s="11">
        <f>VLOOKUP(YEAR(CurrentMtgRatesDataTable8711121314[[#This Row],[asofdate]]),OriginationVolume!$A:$N,8,FALSE)</f>
        <v>0.67052023121387283</v>
      </c>
      <c r="BR63" s="11">
        <f>VLOOKUP(YEAR(CurrentMtgRatesDataTable8711121314[[#This Row],[asofdate]]),OriginationVolume!$A:$N,9,FALSE)</f>
        <v>5.2926300578034685E-2</v>
      </c>
      <c r="BS63" s="11">
        <f>VLOOKUP(YEAR(CurrentMtgRatesDataTable8711121314[[#This Row],[asofdate]]),OriginationVolume!$A:$N,10,FALSE)</f>
        <v>0.15877890173410406</v>
      </c>
      <c r="BT63" s="11">
        <f>VLOOKUP(YEAR(CurrentMtgRatesDataTable8711121314[[#This Row],[asofdate]]),OriginationVolume!$A:$N,11,FALSE)</f>
        <v>7.0809248554913301E-2</v>
      </c>
      <c r="BU63" s="11">
        <f>VLOOKUP(YEAR(CurrentMtgRatesDataTable8711121314[[#This Row],[asofdate]]),OriginationVolume!$A:$N,12,FALSE)</f>
        <v>3.0346820809248554E-2</v>
      </c>
      <c r="BV63" s="11">
        <f>VLOOKUP(YEAR(CurrentMtgRatesDataTable8711121314[[#This Row],[asofdate]]),OriginationVolume!$A:$N,13,FALSE)</f>
        <v>1.6618497109826588E-2</v>
      </c>
      <c r="BW63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5.2638723607768667E-2</v>
      </c>
      <c r="BY63" s="7" t="s">
        <v>92</v>
      </c>
      <c r="BZ63" s="10">
        <v>94167000</v>
      </c>
      <c r="CA63" s="36"/>
      <c r="CC63" s="7" t="s">
        <v>92</v>
      </c>
      <c r="CD63" s="10">
        <v>16496000</v>
      </c>
      <c r="CE63" s="36"/>
      <c r="CG63" s="7" t="s">
        <v>92</v>
      </c>
      <c r="CH63" s="10">
        <v>11775489098.950001</v>
      </c>
      <c r="CI63" s="39"/>
      <c r="CK63" s="7" t="s">
        <v>92</v>
      </c>
      <c r="CL63" s="10">
        <v>11664826098.950001</v>
      </c>
      <c r="CM63" s="39" t="str">
        <f>YEAR(CurrentMtgRatesDataTable871112131417[[#This Row],[asofdate]])&amp;"-"&amp;MONTH(CurrentMtgRatesDataTable871112131417[[#This Row],[asofdate]])</f>
        <v>2008-3</v>
      </c>
      <c r="CN63" s="39">
        <f>CurrentMtgRatesDataTable871112131417[[#This Row],[SeriesNumValue]]</f>
        <v>11664826098.950001</v>
      </c>
      <c r="CO63" s="39">
        <f>VLOOKUP(CurrentMtgRatesDataTable871112131417[[#This Row],[asofdate]],BY:BZ,2,0)</f>
        <v>94167000</v>
      </c>
      <c r="CP63" s="35">
        <f>IF(VLOOKUP(CurrentMtgRatesDataTable871112131417[[#This Row],[asofdate]],CC:CD,2,0)&lt;&gt;0,VLOOKUP(CurrentMtgRatesDataTable871112131417[[#This Row],[asofdate]],CC:CD,2,0),CP62)</f>
        <v>16496000</v>
      </c>
      <c r="CQ63" s="35">
        <f>VLOOKUP(CurrentMtgRatesDataTable871112131417[[#This Row],[asofdate]],CG:CH,2,0)</f>
        <v>11775489098.950001</v>
      </c>
    </row>
    <row r="64" spans="1:95" s="6" customFormat="1" ht="12.75">
      <c r="A64" s="7" t="s">
        <v>93</v>
      </c>
      <c r="B64" s="10">
        <v>1.9530240031292102E-2</v>
      </c>
      <c r="C64" s="10" t="str">
        <f>YEAR(CurrentMtgRatesDataTable8[[#This Row],[asofdate]])&amp;"-"&amp;MONTH(CurrentMtgRatesDataTable8[[#This Row],[asofdate]])</f>
        <v>2008-4</v>
      </c>
      <c r="D64" s="6">
        <f>((CurrentMtgRatesDataTable8[[#This Row],[SeriesNumValue]]-$D$1)/$D$1+1)*100</f>
        <v>130.20160020861402</v>
      </c>
      <c r="G64" s="7" t="s">
        <v>93</v>
      </c>
      <c r="H64" s="10">
        <v>82.474909378130207</v>
      </c>
      <c r="I64" s="26">
        <f>VLOOKUP(CurrentMtgRatesDataTable82[[#This Row],[asofdate]],K:L,2,0)</f>
        <v>0.32032869665397601</v>
      </c>
      <c r="K64" s="7" t="s">
        <v>93</v>
      </c>
      <c r="L64" s="29">
        <v>0.32032869665397601</v>
      </c>
      <c r="O64" s="7" t="s">
        <v>93</v>
      </c>
      <c r="P64" s="10">
        <v>38.414329636092397</v>
      </c>
      <c r="Q64" s="29">
        <f>VLOOKUP(CurrentMtgRatesDataTable84[[#This Row],[asofdate]],S:T,2,0)</f>
        <v>0.300734170812334</v>
      </c>
      <c r="S64" s="7" t="s">
        <v>93</v>
      </c>
      <c r="T64" s="10">
        <v>0.300734170812334</v>
      </c>
      <c r="W64" s="7" t="s">
        <v>93</v>
      </c>
      <c r="X64" s="10">
        <v>734.110298704157</v>
      </c>
      <c r="Y64" s="26">
        <f>VLOOKUP(CurrentMtgRatesDataTable86[[#This Row],[asofdate]],AA:AB,2,0)</f>
        <v>0.25889667130801303</v>
      </c>
      <c r="AA64" s="7" t="s">
        <v>93</v>
      </c>
      <c r="AB64" s="10">
        <v>0.25889667130801303</v>
      </c>
      <c r="AE64" s="7" t="s">
        <v>121</v>
      </c>
      <c r="AF64" s="10">
        <v>1.2447097876510899E-2</v>
      </c>
      <c r="AG64" s="10" t="str">
        <f>YEAR(CurrentMtgRatesDataTable89[[#This Row],[asofdate]])&amp;"-"&amp;MONTH(CurrentMtgRatesDataTable89[[#This Row],[asofdate]])</f>
        <v>2010-8</v>
      </c>
      <c r="AH64" s="6">
        <f>((CurrentMtgRatesDataTable89[[#This Row],[SeriesNumValue]]-$D$1)/$D$1+1)*100</f>
        <v>82.980652510072659</v>
      </c>
      <c r="AI64" s="6">
        <f>CurrentMtgRatesDataTable89[[#This Row],[Index]]-AH65</f>
        <v>-0.35803871318734082</v>
      </c>
      <c r="AJ64" s="6">
        <f>VLOOKUP(CurrentMtgRatesDataTable89[[#This Row],[asofdate]],G:H,2,0)</f>
        <v>77.233235343375298</v>
      </c>
      <c r="AK64" s="6">
        <f>VLOOKUP(CurrentMtgRatesDataTable89[[#This Row],[asofdate]],K:L,2,0)</f>
        <v>0.10134986605641599</v>
      </c>
      <c r="AL64" s="6">
        <f>VLOOKUP(CurrentMtgRatesDataTable89[[#This Row],[asofdate]],O:P,2,0)</f>
        <v>34.011766218461197</v>
      </c>
      <c r="AM64" s="6">
        <f>VLOOKUP(CurrentMtgRatesDataTable89[[#This Row],[asofdate]],S:T,2,0)</f>
        <v>0.28355778919539698</v>
      </c>
      <c r="AN64" s="6">
        <f>VLOOKUP(CurrentMtgRatesDataTable89[[#This Row],[asofdate]],W:X,2,0)</f>
        <v>760.87938286905</v>
      </c>
      <c r="AO64" s="6">
        <f>VLOOKUP(CurrentMtgRatesDataTable89[[#This Row],[asofdate]],AA:AB,2,0)</f>
        <v>8.5429424015766503E-2</v>
      </c>
      <c r="AR64" s="7" t="s">
        <v>93</v>
      </c>
      <c r="AS64" s="10">
        <v>0.112280776236066</v>
      </c>
      <c r="AT64" s="36">
        <f>((CurrentMtgRatesDataTable8711[[#This Row],[SeriesNumValue]]-$D$1)/$D$1+1)*100</f>
        <v>748.53850824044002</v>
      </c>
      <c r="AU64" s="36"/>
      <c r="AW64" s="7" t="s">
        <v>93</v>
      </c>
      <c r="AX64" s="10">
        <v>9.3530245327451605E-2</v>
      </c>
      <c r="AY64" s="36">
        <f>((CurrentMtgRatesDataTable871112[[#This Row],[SeriesNumValue]]-$D$1)/$D$1+1)*100</f>
        <v>623.5349688496774</v>
      </c>
      <c r="AZ64" s="36"/>
      <c r="BB64" s="7" t="s">
        <v>93</v>
      </c>
      <c r="BC64" s="10">
        <v>2.0244664546833199E-2</v>
      </c>
      <c r="BD64" s="39">
        <f>((CurrentMtgRatesDataTable87111213[[#This Row],[SeriesNumValue]]-$D$1)/$D$1+1)*100</f>
        <v>134.96443031222134</v>
      </c>
      <c r="BE64" s="39"/>
      <c r="BG64" s="7" t="s">
        <v>93</v>
      </c>
      <c r="BH64" s="10">
        <v>1.9719070890697001E-2</v>
      </c>
      <c r="BI64" s="39">
        <f>((CurrentMtgRatesDataTable8711121314[[#This Row],[SeriesNumValue]]-$D$1)/$D$1+1)*100</f>
        <v>131.4604726046467</v>
      </c>
      <c r="BJ64" s="39" t="str">
        <f>YEAR(CurrentMtgRatesDataTable8711121314[[#This Row],[asofdate]])&amp;"-"&amp;MONTH(CurrentMtgRatesDataTable8711121314[[#This Row],[asofdate]])</f>
        <v>2008-4</v>
      </c>
      <c r="BK64" s="39">
        <f>CurrentMtgRatesDataTable8711121314[[#This Row],[SeriesNumValue]]</f>
        <v>1.9719070890697001E-2</v>
      </c>
      <c r="BL64" s="39">
        <f>VLOOKUP(CurrentMtgRatesDataTable8711121314[[#This Row],[asofdate]],AR:AT,2,0)</f>
        <v>0.112280776236066</v>
      </c>
      <c r="BM64" s="35">
        <f>IF(VLOOKUP(CurrentMtgRatesDataTable8711121314[[#This Row],[asofdate]],AW:AY,2,0)&lt;&gt;0,VLOOKUP(CurrentMtgRatesDataTable8711121314[[#This Row],[asofdate]],AW:AY,2,0),BM63)</f>
        <v>9.3530245327451605E-2</v>
      </c>
      <c r="BN64" s="35">
        <f>VLOOKUP(CurrentMtgRatesDataTable8711121314[[#This Row],[asofdate]],BB:BD,2,0)</f>
        <v>2.0244664546833199E-2</v>
      </c>
      <c r="BO64" s="35">
        <f>CurrentMtgRatesDataTable8711121314[[#This Row],[FHA]]+0.5*CurrentMtgRatesDataTable8711121314[[#This Row],[Conventional]]</f>
        <v>0.1221403116814145</v>
      </c>
      <c r="BP64" s="35">
        <f>2*CurrentMtgRatesDataTable8711121314[[#This Row],[FHA]]</f>
        <v>0.224561552472132</v>
      </c>
      <c r="BQ64" s="11">
        <f>VLOOKUP(YEAR(CurrentMtgRatesDataTable8711121314[[#This Row],[asofdate]]),OriginationVolume!$A:$N,8,FALSE)</f>
        <v>0.67052023121387283</v>
      </c>
      <c r="BR64" s="11">
        <f>VLOOKUP(YEAR(CurrentMtgRatesDataTable8711121314[[#This Row],[asofdate]]),OriginationVolume!$A:$N,9,FALSE)</f>
        <v>5.2926300578034685E-2</v>
      </c>
      <c r="BS64" s="11">
        <f>VLOOKUP(YEAR(CurrentMtgRatesDataTable8711121314[[#This Row],[asofdate]]),OriginationVolume!$A:$N,10,FALSE)</f>
        <v>0.15877890173410406</v>
      </c>
      <c r="BT64" s="11">
        <f>VLOOKUP(YEAR(CurrentMtgRatesDataTable8711121314[[#This Row],[asofdate]]),OriginationVolume!$A:$N,11,FALSE)</f>
        <v>7.0809248554913301E-2</v>
      </c>
      <c r="BU64" s="11">
        <f>VLOOKUP(YEAR(CurrentMtgRatesDataTable8711121314[[#This Row],[asofdate]]),OriginationVolume!$A:$N,12,FALSE)</f>
        <v>3.0346820809248554E-2</v>
      </c>
      <c r="BV64" s="11">
        <f>VLOOKUP(YEAR(CurrentMtgRatesDataTable8711121314[[#This Row],[asofdate]]),OriginationVolume!$A:$N,13,FALSE)</f>
        <v>1.6618497109826588E-2</v>
      </c>
      <c r="BW64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4.4834802441795447E-2</v>
      </c>
      <c r="BY64" s="7" t="s">
        <v>93</v>
      </c>
      <c r="BZ64" s="10">
        <v>133612000</v>
      </c>
      <c r="CA64" s="36"/>
      <c r="CC64" s="7" t="s">
        <v>93</v>
      </c>
      <c r="CD64" s="10">
        <v>27023000</v>
      </c>
      <c r="CE64" s="36"/>
      <c r="CG64" s="7" t="s">
        <v>93</v>
      </c>
      <c r="CH64" s="10">
        <v>13130616566.99</v>
      </c>
      <c r="CI64" s="39"/>
      <c r="CK64" s="7" t="s">
        <v>93</v>
      </c>
      <c r="CL64" s="10">
        <v>12969981566.99</v>
      </c>
      <c r="CM64" s="39" t="str">
        <f>YEAR(CurrentMtgRatesDataTable871112131417[[#This Row],[asofdate]])&amp;"-"&amp;MONTH(CurrentMtgRatesDataTable871112131417[[#This Row],[asofdate]])</f>
        <v>2008-4</v>
      </c>
      <c r="CN64" s="39">
        <f>CurrentMtgRatesDataTable871112131417[[#This Row],[SeriesNumValue]]</f>
        <v>12969981566.99</v>
      </c>
      <c r="CO64" s="39">
        <f>VLOOKUP(CurrentMtgRatesDataTable871112131417[[#This Row],[asofdate]],BY:BZ,2,0)</f>
        <v>133612000</v>
      </c>
      <c r="CP64" s="35">
        <f>IF(VLOOKUP(CurrentMtgRatesDataTable871112131417[[#This Row],[asofdate]],CC:CD,2,0)&lt;&gt;0,VLOOKUP(CurrentMtgRatesDataTable871112131417[[#This Row],[asofdate]],CC:CD,2,0),CP63)</f>
        <v>27023000</v>
      </c>
      <c r="CQ64" s="35">
        <f>VLOOKUP(CurrentMtgRatesDataTable871112131417[[#This Row],[asofdate]],CG:CH,2,0)</f>
        <v>13130616566.99</v>
      </c>
    </row>
    <row r="65" spans="1:95" s="6" customFormat="1" ht="12.75">
      <c r="A65" s="7" t="s">
        <v>94</v>
      </c>
      <c r="B65" s="10">
        <v>1.97249159652578E-2</v>
      </c>
      <c r="C65" s="10" t="str">
        <f>YEAR(CurrentMtgRatesDataTable8[[#This Row],[asofdate]])&amp;"-"&amp;MONTH(CurrentMtgRatesDataTable8[[#This Row],[asofdate]])</f>
        <v>2008-5</v>
      </c>
      <c r="D65" s="6">
        <f>((CurrentMtgRatesDataTable8[[#This Row],[SeriesNumValue]]-$D$1)/$D$1+1)*100</f>
        <v>131.49943976838534</v>
      </c>
      <c r="G65" s="7" t="s">
        <v>94</v>
      </c>
      <c r="H65" s="10">
        <v>81.659946968196707</v>
      </c>
      <c r="I65" s="26">
        <f>VLOOKUP(CurrentMtgRatesDataTable82[[#This Row],[asofdate]],K:L,2,0)</f>
        <v>0.287291706181595</v>
      </c>
      <c r="K65" s="7" t="s">
        <v>94</v>
      </c>
      <c r="L65" s="29">
        <v>0.287291706181595</v>
      </c>
      <c r="O65" s="7" t="s">
        <v>94</v>
      </c>
      <c r="P65" s="10">
        <v>38.763155801956799</v>
      </c>
      <c r="Q65" s="29">
        <f>VLOOKUP(CurrentMtgRatesDataTable84[[#This Row],[asofdate]],S:T,2,0)</f>
        <v>0.33210271281010001</v>
      </c>
      <c r="S65" s="7" t="s">
        <v>94</v>
      </c>
      <c r="T65" s="10">
        <v>0.33210271281010001</v>
      </c>
      <c r="W65" s="7" t="s">
        <v>94</v>
      </c>
      <c r="X65" s="10">
        <v>736.65104024275695</v>
      </c>
      <c r="Y65" s="26">
        <f>VLOOKUP(CurrentMtgRatesDataTable86[[#This Row],[asofdate]],AA:AB,2,0)</f>
        <v>0.24142889769505399</v>
      </c>
      <c r="AA65" s="7" t="s">
        <v>94</v>
      </c>
      <c r="AB65" s="10">
        <v>0.24142889769505399</v>
      </c>
      <c r="AE65" s="7" t="s">
        <v>120</v>
      </c>
      <c r="AF65" s="10">
        <v>1.2500803683488999E-2</v>
      </c>
      <c r="AG65" s="10" t="str">
        <f>YEAR(CurrentMtgRatesDataTable89[[#This Row],[asofdate]])&amp;"-"&amp;MONTH(CurrentMtgRatesDataTable89[[#This Row],[asofdate]])</f>
        <v>2010-7</v>
      </c>
      <c r="AH65" s="6">
        <f>((CurrentMtgRatesDataTable89[[#This Row],[SeriesNumValue]]-$D$1)/$D$1+1)*100</f>
        <v>83.33869122326</v>
      </c>
      <c r="AI65" s="6">
        <f>CurrentMtgRatesDataTable89[[#This Row],[Index]]-AH66</f>
        <v>7.4489522057166653</v>
      </c>
      <c r="AJ65" s="6">
        <f>VLOOKUP(CurrentMtgRatesDataTable89[[#This Row],[asofdate]],G:H,2,0)</f>
        <v>77.571100038590899</v>
      </c>
      <c r="AK65" s="6">
        <f>VLOOKUP(CurrentMtgRatesDataTable89[[#This Row],[asofdate]],K:L,2,0)</f>
        <v>9.7919000165780895E-2</v>
      </c>
      <c r="AL65" s="6">
        <f>VLOOKUP(CurrentMtgRatesDataTable89[[#This Row],[asofdate]],O:P,2,0)</f>
        <v>34.136052596437402</v>
      </c>
      <c r="AM65" s="6">
        <f>VLOOKUP(CurrentMtgRatesDataTable89[[#This Row],[asofdate]],S:T,2,0)</f>
        <v>0.28834659004754098</v>
      </c>
      <c r="AN65" s="6">
        <f>VLOOKUP(CurrentMtgRatesDataTable89[[#This Row],[asofdate]],W:X,2,0)</f>
        <v>761.23491599033696</v>
      </c>
      <c r="AO65" s="6">
        <f>VLOOKUP(CurrentMtgRatesDataTable89[[#This Row],[asofdate]],AA:AB,2,0)</f>
        <v>8.4136927172989803E-2</v>
      </c>
      <c r="AR65" s="7" t="s">
        <v>94</v>
      </c>
      <c r="AS65" s="10">
        <v>0.10862820934442299</v>
      </c>
      <c r="AT65" s="36">
        <f>((CurrentMtgRatesDataTable8711[[#This Row],[SeriesNumValue]]-$D$1)/$D$1+1)*100</f>
        <v>724.18806229615336</v>
      </c>
      <c r="AU65" s="36"/>
      <c r="AW65" s="7" t="s">
        <v>94</v>
      </c>
      <c r="AX65" s="10">
        <v>9.4390282645507598E-2</v>
      </c>
      <c r="AY65" s="36">
        <f>((CurrentMtgRatesDataTable871112[[#This Row],[SeriesNumValue]]-$D$1)/$D$1+1)*100</f>
        <v>629.26855097005068</v>
      </c>
      <c r="AZ65" s="36"/>
      <c r="BB65" s="7" t="s">
        <v>94</v>
      </c>
      <c r="BC65" s="10">
        <v>2.0071270678224201E-2</v>
      </c>
      <c r="BD65" s="39">
        <f>((CurrentMtgRatesDataTable87111213[[#This Row],[SeriesNumValue]]-$D$1)/$D$1+1)*100</f>
        <v>133.80847118816135</v>
      </c>
      <c r="BE65" s="39"/>
      <c r="BG65" s="7" t="s">
        <v>94</v>
      </c>
      <c r="BH65" s="10">
        <v>1.9430117842498599E-2</v>
      </c>
      <c r="BI65" s="39">
        <f>((CurrentMtgRatesDataTable8711121314[[#This Row],[SeriesNumValue]]-$D$1)/$D$1+1)*100</f>
        <v>129.53411894999064</v>
      </c>
      <c r="BJ65" s="39" t="str">
        <f>YEAR(CurrentMtgRatesDataTable8711121314[[#This Row],[asofdate]])&amp;"-"&amp;MONTH(CurrentMtgRatesDataTable8711121314[[#This Row],[asofdate]])</f>
        <v>2008-5</v>
      </c>
      <c r="BK65" s="39">
        <f>CurrentMtgRatesDataTable8711121314[[#This Row],[SeriesNumValue]]</f>
        <v>1.9430117842498599E-2</v>
      </c>
      <c r="BL65" s="39">
        <f>VLOOKUP(CurrentMtgRatesDataTable8711121314[[#This Row],[asofdate]],AR:AT,2,0)</f>
        <v>0.10862820934442299</v>
      </c>
      <c r="BM65" s="35">
        <f>IF(VLOOKUP(CurrentMtgRatesDataTable8711121314[[#This Row],[asofdate]],AW:AY,2,0)&lt;&gt;0,VLOOKUP(CurrentMtgRatesDataTable8711121314[[#This Row],[asofdate]],AW:AY,2,0),BM64)</f>
        <v>9.4390282645507598E-2</v>
      </c>
      <c r="BN65" s="35">
        <f>VLOOKUP(CurrentMtgRatesDataTable8711121314[[#This Row],[asofdate]],BB:BD,2,0)</f>
        <v>2.0071270678224201E-2</v>
      </c>
      <c r="BO65" s="35">
        <f>CurrentMtgRatesDataTable8711121314[[#This Row],[FHA]]+0.5*CurrentMtgRatesDataTable8711121314[[#This Row],[Conventional]]</f>
        <v>0.11834326826567229</v>
      </c>
      <c r="BP65" s="35">
        <f>2*CurrentMtgRatesDataTable8711121314[[#This Row],[FHA]]</f>
        <v>0.21725641868884599</v>
      </c>
      <c r="BQ65" s="11">
        <f>VLOOKUP(YEAR(CurrentMtgRatesDataTable8711121314[[#This Row],[asofdate]]),OriginationVolume!$A:$N,8,FALSE)</f>
        <v>0.67052023121387283</v>
      </c>
      <c r="BR65" s="11">
        <f>VLOOKUP(YEAR(CurrentMtgRatesDataTable8711121314[[#This Row],[asofdate]]),OriginationVolume!$A:$N,9,FALSE)</f>
        <v>5.2926300578034685E-2</v>
      </c>
      <c r="BS65" s="11">
        <f>VLOOKUP(YEAR(CurrentMtgRatesDataTable8711121314[[#This Row],[asofdate]]),OriginationVolume!$A:$N,10,FALSE)</f>
        <v>0.15877890173410406</v>
      </c>
      <c r="BT65" s="11">
        <f>VLOOKUP(YEAR(CurrentMtgRatesDataTable8711121314[[#This Row],[asofdate]]),OriginationVolume!$A:$N,11,FALSE)</f>
        <v>7.0809248554913301E-2</v>
      </c>
      <c r="BU65" s="11">
        <f>VLOOKUP(YEAR(CurrentMtgRatesDataTable8711121314[[#This Row],[asofdate]]),OriginationVolume!$A:$N,12,FALSE)</f>
        <v>3.0346820809248554E-2</v>
      </c>
      <c r="BV65" s="11">
        <f>VLOOKUP(YEAR(CurrentMtgRatesDataTable8711121314[[#This Row],[asofdate]]),OriginationVolume!$A:$N,13,FALSE)</f>
        <v>1.6618497109826588E-2</v>
      </c>
      <c r="BW65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4.3849532522128351E-2</v>
      </c>
      <c r="BY65" s="7" t="s">
        <v>94</v>
      </c>
      <c r="BZ65" s="10">
        <v>182947000</v>
      </c>
      <c r="CA65" s="36"/>
      <c r="CC65" s="7" t="s">
        <v>94</v>
      </c>
      <c r="CD65" s="10">
        <v>25233000</v>
      </c>
      <c r="CE65" s="36"/>
      <c r="CG65" s="7" t="s">
        <v>94</v>
      </c>
      <c r="CH65" s="10">
        <v>14529429316.049999</v>
      </c>
      <c r="CI65" s="39"/>
      <c r="CK65" s="7" t="s">
        <v>94</v>
      </c>
      <c r="CL65" s="10">
        <v>14321249316.049999</v>
      </c>
      <c r="CM65" s="39" t="str">
        <f>YEAR(CurrentMtgRatesDataTable871112131417[[#This Row],[asofdate]])&amp;"-"&amp;MONTH(CurrentMtgRatesDataTable871112131417[[#This Row],[asofdate]])</f>
        <v>2008-5</v>
      </c>
      <c r="CN65" s="39">
        <f>CurrentMtgRatesDataTable871112131417[[#This Row],[SeriesNumValue]]</f>
        <v>14321249316.049999</v>
      </c>
      <c r="CO65" s="39">
        <f>VLOOKUP(CurrentMtgRatesDataTable871112131417[[#This Row],[asofdate]],BY:BZ,2,0)</f>
        <v>182947000</v>
      </c>
      <c r="CP65" s="35">
        <f>IF(VLOOKUP(CurrentMtgRatesDataTable871112131417[[#This Row],[asofdate]],CC:CD,2,0)&lt;&gt;0,VLOOKUP(CurrentMtgRatesDataTable871112131417[[#This Row],[asofdate]],CC:CD,2,0),CP64)</f>
        <v>25233000</v>
      </c>
      <c r="CQ65" s="35">
        <f>VLOOKUP(CurrentMtgRatesDataTable871112131417[[#This Row],[asofdate]],CG:CH,2,0)</f>
        <v>14529429316.049999</v>
      </c>
    </row>
    <row r="66" spans="1:95" s="6" customFormat="1" ht="12.75">
      <c r="A66" s="7" t="s">
        <v>95</v>
      </c>
      <c r="B66" s="10">
        <v>1.6110623672973001E-2</v>
      </c>
      <c r="C66" s="10" t="str">
        <f>YEAR(CurrentMtgRatesDataTable8[[#This Row],[asofdate]])&amp;"-"&amp;MONTH(CurrentMtgRatesDataTable8[[#This Row],[asofdate]])</f>
        <v>2008-6</v>
      </c>
      <c r="D66" s="6">
        <f>((CurrentMtgRatesDataTable8[[#This Row],[SeriesNumValue]]-$D$1)/$D$1+1)*100</f>
        <v>107.40415781982003</v>
      </c>
      <c r="G66" s="7" t="s">
        <v>95</v>
      </c>
      <c r="H66" s="10">
        <v>80.027867651152405</v>
      </c>
      <c r="I66" s="26">
        <f>VLOOKUP(CurrentMtgRatesDataTable82[[#This Row],[asofdate]],K:L,2,0)</f>
        <v>0.22889156479952499</v>
      </c>
      <c r="K66" s="7" t="s">
        <v>95</v>
      </c>
      <c r="L66" s="29">
        <v>0.22889156479952499</v>
      </c>
      <c r="O66" s="7" t="s">
        <v>95</v>
      </c>
      <c r="P66" s="10">
        <v>38.559555713699098</v>
      </c>
      <c r="Q66" s="29">
        <f>VLOOKUP(CurrentMtgRatesDataTable84[[#This Row],[asofdate]],S:T,2,0)</f>
        <v>0.31965036017869303</v>
      </c>
      <c r="S66" s="7" t="s">
        <v>95</v>
      </c>
      <c r="T66" s="10">
        <v>0.31965036017869303</v>
      </c>
      <c r="W66" s="7" t="s">
        <v>95</v>
      </c>
      <c r="X66" s="10">
        <v>742.222862301183</v>
      </c>
      <c r="Y66" s="26">
        <f>VLOOKUP(CurrentMtgRatesDataTable86[[#This Row],[asofdate]],AA:AB,2,0)</f>
        <v>0.20023623442105001</v>
      </c>
      <c r="AA66" s="7" t="s">
        <v>95</v>
      </c>
      <c r="AB66" s="10">
        <v>0.20023623442105001</v>
      </c>
      <c r="AE66" s="7" t="s">
        <v>119</v>
      </c>
      <c r="AF66" s="10">
        <v>1.13834608526315E-2</v>
      </c>
      <c r="AG66" s="10" t="str">
        <f>YEAR(CurrentMtgRatesDataTable89[[#This Row],[asofdate]])&amp;"-"&amp;MONTH(CurrentMtgRatesDataTable89[[#This Row],[asofdate]])</f>
        <v>2010-6</v>
      </c>
      <c r="AH66" s="6">
        <f>((CurrentMtgRatesDataTable89[[#This Row],[SeriesNumValue]]-$D$1)/$D$1+1)*100</f>
        <v>75.889739017543334</v>
      </c>
      <c r="AI66" s="6">
        <f>CurrentMtgRatesDataTable89[[#This Row],[Index]]-AH67</f>
        <v>2.5745659856226553</v>
      </c>
      <c r="AJ66" s="6">
        <f>VLOOKUP(CurrentMtgRatesDataTable89[[#This Row],[asofdate]],G:H,2,0)</f>
        <v>77.252614942686094</v>
      </c>
      <c r="AK66" s="6">
        <f>VLOOKUP(CurrentMtgRatesDataTable89[[#This Row],[asofdate]],K:L,2,0)</f>
        <v>9.1166284450128102E-2</v>
      </c>
      <c r="AL66" s="6">
        <f>VLOOKUP(CurrentMtgRatesDataTable89[[#This Row],[asofdate]],O:P,2,0)</f>
        <v>34.256883100797999</v>
      </c>
      <c r="AM66" s="6">
        <f>VLOOKUP(CurrentMtgRatesDataTable89[[#This Row],[asofdate]],S:T,2,0)</f>
        <v>0.29266486570866301</v>
      </c>
      <c r="AN66" s="6">
        <f>VLOOKUP(CurrentMtgRatesDataTable89[[#This Row],[asofdate]],W:X,2,0)</f>
        <v>760.51765866488995</v>
      </c>
      <c r="AO66" s="6">
        <f>VLOOKUP(CurrentMtgRatesDataTable89[[#This Row],[asofdate]],AA:AB,2,0)</f>
        <v>8.6052426459444206E-2</v>
      </c>
      <c r="AR66" s="7" t="s">
        <v>95</v>
      </c>
      <c r="AS66" s="10">
        <v>0.101027125337702</v>
      </c>
      <c r="AT66" s="36">
        <f>((CurrentMtgRatesDataTable8711[[#This Row],[SeriesNumValue]]-$D$1)/$D$1+1)*100</f>
        <v>673.51416891801341</v>
      </c>
      <c r="AU66" s="36"/>
      <c r="AW66" s="7" t="s">
        <v>95</v>
      </c>
      <c r="AX66" s="10">
        <v>7.7078342061616595E-2</v>
      </c>
      <c r="AY66" s="36">
        <f>((CurrentMtgRatesDataTable871112[[#This Row],[SeriesNumValue]]-$D$1)/$D$1+1)*100</f>
        <v>513.85561374411066</v>
      </c>
      <c r="AZ66" s="36"/>
      <c r="BB66" s="7" t="s">
        <v>95</v>
      </c>
      <c r="BC66" s="10">
        <v>1.73104097748671E-2</v>
      </c>
      <c r="BD66" s="39">
        <f>((CurrentMtgRatesDataTable87111213[[#This Row],[SeriesNumValue]]-$D$1)/$D$1+1)*100</f>
        <v>115.40273183244733</v>
      </c>
      <c r="BE66" s="39"/>
      <c r="BG66" s="7" t="s">
        <v>95</v>
      </c>
      <c r="BH66" s="10">
        <v>1.65254347118865E-2</v>
      </c>
      <c r="BI66" s="39">
        <f>((CurrentMtgRatesDataTable8711121314[[#This Row],[SeriesNumValue]]-$D$1)/$D$1+1)*100</f>
        <v>110.16956474590999</v>
      </c>
      <c r="BJ66" s="39" t="str">
        <f>YEAR(CurrentMtgRatesDataTable8711121314[[#This Row],[asofdate]])&amp;"-"&amp;MONTH(CurrentMtgRatesDataTable8711121314[[#This Row],[asofdate]])</f>
        <v>2008-6</v>
      </c>
      <c r="BK66" s="39">
        <f>CurrentMtgRatesDataTable8711121314[[#This Row],[SeriesNumValue]]</f>
        <v>1.65254347118865E-2</v>
      </c>
      <c r="BL66" s="39">
        <f>VLOOKUP(CurrentMtgRatesDataTable8711121314[[#This Row],[asofdate]],AR:AT,2,0)</f>
        <v>0.101027125337702</v>
      </c>
      <c r="BM66" s="35">
        <f>IF(VLOOKUP(CurrentMtgRatesDataTable8711121314[[#This Row],[asofdate]],AW:AY,2,0)&lt;&gt;0,VLOOKUP(CurrentMtgRatesDataTable8711121314[[#This Row],[asofdate]],AW:AY,2,0),BM65)</f>
        <v>7.7078342061616595E-2</v>
      </c>
      <c r="BN66" s="35">
        <f>VLOOKUP(CurrentMtgRatesDataTable8711121314[[#This Row],[asofdate]],BB:BD,2,0)</f>
        <v>1.73104097748671E-2</v>
      </c>
      <c r="BO66" s="35">
        <f>CurrentMtgRatesDataTable8711121314[[#This Row],[FHA]]+0.5*CurrentMtgRatesDataTable8711121314[[#This Row],[Conventional]]</f>
        <v>0.10928984269364525</v>
      </c>
      <c r="BP66" s="35">
        <f>2*CurrentMtgRatesDataTable8711121314[[#This Row],[FHA]]</f>
        <v>0.202054250675404</v>
      </c>
      <c r="BQ66" s="11">
        <f>VLOOKUP(YEAR(CurrentMtgRatesDataTable8711121314[[#This Row],[asofdate]]),OriginationVolume!$A:$N,8,FALSE)</f>
        <v>0.67052023121387283</v>
      </c>
      <c r="BR66" s="11">
        <f>VLOOKUP(YEAR(CurrentMtgRatesDataTable8711121314[[#This Row],[asofdate]]),OriginationVolume!$A:$N,9,FALSE)</f>
        <v>5.2926300578034685E-2</v>
      </c>
      <c r="BS66" s="11">
        <f>VLOOKUP(YEAR(CurrentMtgRatesDataTable8711121314[[#This Row],[asofdate]]),OriginationVolume!$A:$N,10,FALSE)</f>
        <v>0.15877890173410406</v>
      </c>
      <c r="BT66" s="11">
        <f>VLOOKUP(YEAR(CurrentMtgRatesDataTable8711121314[[#This Row],[asofdate]]),OriginationVolume!$A:$N,11,FALSE)</f>
        <v>7.0809248554913301E-2</v>
      </c>
      <c r="BU66" s="11">
        <f>VLOOKUP(YEAR(CurrentMtgRatesDataTable8711121314[[#This Row],[asofdate]]),OriginationVolume!$A:$N,12,FALSE)</f>
        <v>3.0346820809248554E-2</v>
      </c>
      <c r="BV66" s="11">
        <f>VLOOKUP(YEAR(CurrentMtgRatesDataTable8711121314[[#This Row],[asofdate]]),OriginationVolume!$A:$N,13,FALSE)</f>
        <v>1.6618497109826588E-2</v>
      </c>
      <c r="BW66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3.9045676677771951E-2</v>
      </c>
      <c r="BY66" s="7" t="s">
        <v>95</v>
      </c>
      <c r="BZ66" s="10">
        <v>257908000</v>
      </c>
      <c r="CA66" s="36"/>
      <c r="CC66" s="7" t="s">
        <v>95</v>
      </c>
      <c r="CD66" s="10">
        <v>35354000</v>
      </c>
      <c r="CE66" s="36"/>
      <c r="CG66" s="7" t="s">
        <v>95</v>
      </c>
      <c r="CH66" s="10">
        <v>14563854951.780001</v>
      </c>
      <c r="CI66" s="39"/>
      <c r="CK66" s="7" t="s">
        <v>95</v>
      </c>
      <c r="CL66" s="10">
        <v>14270592951.780001</v>
      </c>
      <c r="CM66" s="39" t="str">
        <f>YEAR(CurrentMtgRatesDataTable871112131417[[#This Row],[asofdate]])&amp;"-"&amp;MONTH(CurrentMtgRatesDataTable871112131417[[#This Row],[asofdate]])</f>
        <v>2008-6</v>
      </c>
      <c r="CN66" s="39">
        <f>CurrentMtgRatesDataTable871112131417[[#This Row],[SeriesNumValue]]</f>
        <v>14270592951.780001</v>
      </c>
      <c r="CO66" s="39">
        <f>VLOOKUP(CurrentMtgRatesDataTable871112131417[[#This Row],[asofdate]],BY:BZ,2,0)</f>
        <v>257908000</v>
      </c>
      <c r="CP66" s="35">
        <f>IF(VLOOKUP(CurrentMtgRatesDataTable871112131417[[#This Row],[asofdate]],CC:CD,2,0)&lt;&gt;0,VLOOKUP(CurrentMtgRatesDataTable871112131417[[#This Row],[asofdate]],CC:CD,2,0),CP65)</f>
        <v>35354000</v>
      </c>
      <c r="CQ66" s="35">
        <f>VLOOKUP(CurrentMtgRatesDataTable871112131417[[#This Row],[asofdate]],CG:CH,2,0)</f>
        <v>14563854951.780001</v>
      </c>
    </row>
    <row r="67" spans="1:95" s="6" customFormat="1" ht="12.75">
      <c r="A67" s="7" t="s">
        <v>96</v>
      </c>
      <c r="B67" s="10">
        <v>1.37880127783178E-2</v>
      </c>
      <c r="C67" s="10" t="str">
        <f>YEAR(CurrentMtgRatesDataTable8[[#This Row],[asofdate]])&amp;"-"&amp;MONTH(CurrentMtgRatesDataTable8[[#This Row],[asofdate]])</f>
        <v>2008-7</v>
      </c>
      <c r="D67" s="6">
        <f>((CurrentMtgRatesDataTable8[[#This Row],[SeriesNumValue]]-$D$1)/$D$1+1)*100</f>
        <v>91.920085188785336</v>
      </c>
      <c r="G67" s="7" t="s">
        <v>96</v>
      </c>
      <c r="H67" s="10">
        <v>79.237585093986993</v>
      </c>
      <c r="I67" s="26">
        <f>VLOOKUP(CurrentMtgRatesDataTable82[[#This Row],[asofdate]],K:L,2,0)</f>
        <v>0.20291547901804699</v>
      </c>
      <c r="K67" s="7" t="s">
        <v>96</v>
      </c>
      <c r="L67" s="29">
        <v>0.20291547901804699</v>
      </c>
      <c r="O67" s="7" t="s">
        <v>96</v>
      </c>
      <c r="P67" s="10">
        <v>38.341658225407897</v>
      </c>
      <c r="Q67" s="29">
        <f>VLOOKUP(CurrentMtgRatesDataTable84[[#This Row],[asofdate]],S:T,2,0)</f>
        <v>0.30721083895763202</v>
      </c>
      <c r="S67" s="7" t="s">
        <v>96</v>
      </c>
      <c r="T67" s="10">
        <v>0.30721083895763202</v>
      </c>
      <c r="W67" s="7" t="s">
        <v>96</v>
      </c>
      <c r="X67" s="10">
        <v>744.50208803818305</v>
      </c>
      <c r="Y67" s="26">
        <f>VLOOKUP(CurrentMtgRatesDataTable86[[#This Row],[asofdate]],AA:AB,2,0)</f>
        <v>0.183242130540575</v>
      </c>
      <c r="AA67" s="7" t="s">
        <v>96</v>
      </c>
      <c r="AB67" s="10">
        <v>0.183242130540575</v>
      </c>
      <c r="AE67" s="7" t="s">
        <v>118</v>
      </c>
      <c r="AF67" s="10">
        <v>1.09972759547881E-2</v>
      </c>
      <c r="AG67" s="10" t="str">
        <f>YEAR(CurrentMtgRatesDataTable89[[#This Row],[asofdate]])&amp;"-"&amp;MONTH(CurrentMtgRatesDataTable89[[#This Row],[asofdate]])</f>
        <v>2010-5</v>
      </c>
      <c r="AH67" s="6">
        <f>((CurrentMtgRatesDataTable89[[#This Row],[SeriesNumValue]]-$D$1)/$D$1+1)*100</f>
        <v>73.315173031920679</v>
      </c>
      <c r="AI67" s="6">
        <f>CurrentMtgRatesDataTable89[[#This Row],[Index]]-AH68</f>
        <v>-9.4307829786657749E-2</v>
      </c>
      <c r="AJ67" s="6">
        <f>VLOOKUP(CurrentMtgRatesDataTable89[[#This Row],[asofdate]],G:H,2,0)</f>
        <v>77.057767341070999</v>
      </c>
      <c r="AK67" s="6">
        <f>VLOOKUP(CurrentMtgRatesDataTable89[[#This Row],[asofdate]],K:L,2,0)</f>
        <v>8.3302521575952804E-2</v>
      </c>
      <c r="AL67" s="6">
        <f>VLOOKUP(CurrentMtgRatesDataTable89[[#This Row],[asofdate]],O:P,2,0)</f>
        <v>34.4440642092299</v>
      </c>
      <c r="AM67" s="6">
        <f>VLOOKUP(CurrentMtgRatesDataTable89[[#This Row],[asofdate]],S:T,2,0)</f>
        <v>0.29885314640147098</v>
      </c>
      <c r="AN67" s="6">
        <f>VLOOKUP(CurrentMtgRatesDataTable89[[#This Row],[asofdate]],W:X,2,0)</f>
        <v>759.579566617463</v>
      </c>
      <c r="AO67" s="6">
        <f>VLOOKUP(CurrentMtgRatesDataTable89[[#This Row],[asofdate]],AA:AB,2,0)</f>
        <v>8.5642704200612693E-2</v>
      </c>
      <c r="AR67" s="7" t="s">
        <v>96</v>
      </c>
      <c r="AS67" s="10">
        <v>9.3804213372806602E-2</v>
      </c>
      <c r="AT67" s="36">
        <f>((CurrentMtgRatesDataTable8711[[#This Row],[SeriesNumValue]]-$D$1)/$D$1+1)*100</f>
        <v>625.36142248537737</v>
      </c>
      <c r="AU67" s="36"/>
      <c r="AW67" s="7" t="s">
        <v>96</v>
      </c>
      <c r="AX67" s="10">
        <v>7.5508534809422503E-2</v>
      </c>
      <c r="AY67" s="36">
        <f>((CurrentMtgRatesDataTable871112[[#This Row],[SeriesNumValue]]-$D$1)/$D$1+1)*100</f>
        <v>503.39023206281672</v>
      </c>
      <c r="AZ67" s="36"/>
      <c r="BB67" s="7" t="s">
        <v>96</v>
      </c>
      <c r="BC67" s="10">
        <v>1.5853779208908798E-2</v>
      </c>
      <c r="BD67" s="39">
        <f>((CurrentMtgRatesDataTable87111213[[#This Row],[SeriesNumValue]]-$D$1)/$D$1+1)*100</f>
        <v>105.69186139272533</v>
      </c>
      <c r="BE67" s="39"/>
      <c r="BG67" s="7" t="s">
        <v>96</v>
      </c>
      <c r="BH67" s="10">
        <v>1.50068827988702E-2</v>
      </c>
      <c r="BI67" s="39">
        <f>((CurrentMtgRatesDataTable8711121314[[#This Row],[SeriesNumValue]]-$D$1)/$D$1+1)*100</f>
        <v>100.04588532580134</v>
      </c>
      <c r="BJ67" s="39" t="str">
        <f>YEAR(CurrentMtgRatesDataTable8711121314[[#This Row],[asofdate]])&amp;"-"&amp;MONTH(CurrentMtgRatesDataTable8711121314[[#This Row],[asofdate]])</f>
        <v>2008-7</v>
      </c>
      <c r="BK67" s="39">
        <f>CurrentMtgRatesDataTable8711121314[[#This Row],[SeriesNumValue]]</f>
        <v>1.50068827988702E-2</v>
      </c>
      <c r="BL67" s="39">
        <f>VLOOKUP(CurrentMtgRatesDataTable8711121314[[#This Row],[asofdate]],AR:AT,2,0)</f>
        <v>9.3804213372806602E-2</v>
      </c>
      <c r="BM67" s="35">
        <f>IF(VLOOKUP(CurrentMtgRatesDataTable8711121314[[#This Row],[asofdate]],AW:AY,2,0)&lt;&gt;0,VLOOKUP(CurrentMtgRatesDataTable8711121314[[#This Row],[asofdate]],AW:AY,2,0),BM66)</f>
        <v>7.5508534809422503E-2</v>
      </c>
      <c r="BN67" s="35">
        <f>VLOOKUP(CurrentMtgRatesDataTable8711121314[[#This Row],[asofdate]],BB:BD,2,0)</f>
        <v>1.5853779208908798E-2</v>
      </c>
      <c r="BO67" s="35">
        <f>CurrentMtgRatesDataTable8711121314[[#This Row],[FHA]]+0.5*CurrentMtgRatesDataTable8711121314[[#This Row],[Conventional]]</f>
        <v>0.1013076547722417</v>
      </c>
      <c r="BP67" s="35">
        <f>2*CurrentMtgRatesDataTable8711121314[[#This Row],[FHA]]</f>
        <v>0.1876084267456132</v>
      </c>
      <c r="BQ67" s="11">
        <f>VLOOKUP(YEAR(CurrentMtgRatesDataTable8711121314[[#This Row],[asofdate]]),OriginationVolume!$A:$N,8,FALSE)</f>
        <v>0.67052023121387283</v>
      </c>
      <c r="BR67" s="11">
        <f>VLOOKUP(YEAR(CurrentMtgRatesDataTable8711121314[[#This Row],[asofdate]]),OriginationVolume!$A:$N,9,FALSE)</f>
        <v>5.2926300578034685E-2</v>
      </c>
      <c r="BS67" s="11">
        <f>VLOOKUP(YEAR(CurrentMtgRatesDataTable8711121314[[#This Row],[asofdate]]),OriginationVolume!$A:$N,10,FALSE)</f>
        <v>0.15877890173410406</v>
      </c>
      <c r="BT67" s="11">
        <f>VLOOKUP(YEAR(CurrentMtgRatesDataTable8711121314[[#This Row],[asofdate]]),OriginationVolume!$A:$N,11,FALSE)</f>
        <v>7.0809248554913301E-2</v>
      </c>
      <c r="BU67" s="11">
        <f>VLOOKUP(YEAR(CurrentMtgRatesDataTable8711121314[[#This Row],[asofdate]]),OriginationVolume!$A:$N,12,FALSE)</f>
        <v>3.0346820809248554E-2</v>
      </c>
      <c r="BV67" s="11">
        <f>VLOOKUP(YEAR(CurrentMtgRatesDataTable8711121314[[#This Row],[asofdate]]),OriginationVolume!$A:$N,13,FALSE)</f>
        <v>1.6618497109826588E-2</v>
      </c>
      <c r="BW67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3.620769734876339E-2</v>
      </c>
      <c r="BY67" s="7" t="s">
        <v>96</v>
      </c>
      <c r="BZ67" s="10">
        <v>300657000</v>
      </c>
      <c r="CA67" s="36"/>
      <c r="CC67" s="7" t="s">
        <v>96</v>
      </c>
      <c r="CD67" s="10">
        <v>43486000</v>
      </c>
      <c r="CE67" s="36"/>
      <c r="CG67" s="7" t="s">
        <v>96</v>
      </c>
      <c r="CH67" s="10">
        <v>14197334880.99</v>
      </c>
      <c r="CI67" s="39"/>
      <c r="CK67" s="7" t="s">
        <v>96</v>
      </c>
      <c r="CL67" s="10">
        <v>13853191880.99</v>
      </c>
      <c r="CM67" s="39" t="str">
        <f>YEAR(CurrentMtgRatesDataTable871112131417[[#This Row],[asofdate]])&amp;"-"&amp;MONTH(CurrentMtgRatesDataTable871112131417[[#This Row],[asofdate]])</f>
        <v>2008-7</v>
      </c>
      <c r="CN67" s="39">
        <f>CurrentMtgRatesDataTable871112131417[[#This Row],[SeriesNumValue]]</f>
        <v>13853191880.99</v>
      </c>
      <c r="CO67" s="39">
        <f>VLOOKUP(CurrentMtgRatesDataTable871112131417[[#This Row],[asofdate]],BY:BZ,2,0)</f>
        <v>300657000</v>
      </c>
      <c r="CP67" s="35">
        <f>IF(VLOOKUP(CurrentMtgRatesDataTable871112131417[[#This Row],[asofdate]],CC:CD,2,0)&lt;&gt;0,VLOOKUP(CurrentMtgRatesDataTable871112131417[[#This Row],[asofdate]],CC:CD,2,0),CP66)</f>
        <v>43486000</v>
      </c>
      <c r="CQ67" s="35">
        <f>VLOOKUP(CurrentMtgRatesDataTable871112131417[[#This Row],[asofdate]],CG:CH,2,0)</f>
        <v>14197334880.99</v>
      </c>
    </row>
    <row r="68" spans="1:95" s="6" customFormat="1" ht="12.75">
      <c r="A68" s="7" t="s">
        <v>97</v>
      </c>
      <c r="B68" s="10">
        <v>1.33211437358192E-2</v>
      </c>
      <c r="C68" s="10" t="str">
        <f>YEAR(CurrentMtgRatesDataTable8[[#This Row],[asofdate]])&amp;"-"&amp;MONTH(CurrentMtgRatesDataTable8[[#This Row],[asofdate]])</f>
        <v>2008-8</v>
      </c>
      <c r="D68" s="6">
        <f>((CurrentMtgRatesDataTable8[[#This Row],[SeriesNumValue]]-$D$1)/$D$1+1)*100</f>
        <v>88.807624905461338</v>
      </c>
      <c r="G68" s="7" t="s">
        <v>97</v>
      </c>
      <c r="H68" s="10">
        <v>78.848097521187</v>
      </c>
      <c r="I68" s="26">
        <f>VLOOKUP(CurrentMtgRatesDataTable82[[#This Row],[asofdate]],K:L,2,0)</f>
        <v>0.19158124136652299</v>
      </c>
      <c r="K68" s="7" t="s">
        <v>97</v>
      </c>
      <c r="L68" s="29">
        <v>0.19158124136652299</v>
      </c>
      <c r="O68" s="7" t="s">
        <v>97</v>
      </c>
      <c r="P68" s="10">
        <v>37.999181742126503</v>
      </c>
      <c r="Q68" s="29">
        <f>VLOOKUP(CurrentMtgRatesDataTable84[[#This Row],[asofdate]],S:T,2,0)</f>
        <v>0.324853201159644</v>
      </c>
      <c r="S68" s="7" t="s">
        <v>97</v>
      </c>
      <c r="T68" s="10">
        <v>0.324853201159644</v>
      </c>
      <c r="W68" s="7" t="s">
        <v>97</v>
      </c>
      <c r="X68" s="10">
        <v>746.24339258136104</v>
      </c>
      <c r="Y68" s="26">
        <f>VLOOKUP(CurrentMtgRatesDataTable86[[#This Row],[asofdate]],AA:AB,2,0)</f>
        <v>0.17315160637188701</v>
      </c>
      <c r="AA68" s="7" t="s">
        <v>97</v>
      </c>
      <c r="AB68" s="10">
        <v>0.17315160637188701</v>
      </c>
      <c r="AE68" s="7" t="s">
        <v>117</v>
      </c>
      <c r="AF68" s="10">
        <v>1.10114221292561E-2</v>
      </c>
      <c r="AG68" s="10" t="str">
        <f>YEAR(CurrentMtgRatesDataTable89[[#This Row],[asofdate]])&amp;"-"&amp;MONTH(CurrentMtgRatesDataTable89[[#This Row],[asofdate]])</f>
        <v>2010-4</v>
      </c>
      <c r="AH68" s="6">
        <f>((CurrentMtgRatesDataTable89[[#This Row],[SeriesNumValue]]-$D$1)/$D$1+1)*100</f>
        <v>73.409480861707337</v>
      </c>
      <c r="AI68" s="6">
        <f>CurrentMtgRatesDataTable89[[#This Row],[Index]]-AH69</f>
        <v>2.0852306773260096</v>
      </c>
      <c r="AJ68" s="6">
        <f>VLOOKUP(CurrentMtgRatesDataTable89[[#This Row],[asofdate]],G:H,2,0)</f>
        <v>76.502585993042302</v>
      </c>
      <c r="AK68" s="6">
        <f>VLOOKUP(CurrentMtgRatesDataTable89[[#This Row],[asofdate]],K:L,2,0)</f>
        <v>7.1784475002186002E-2</v>
      </c>
      <c r="AL68" s="6">
        <f>VLOOKUP(CurrentMtgRatesDataTable89[[#This Row],[asofdate]],O:P,2,0)</f>
        <v>34.642619302927201</v>
      </c>
      <c r="AM68" s="6">
        <f>VLOOKUP(CurrentMtgRatesDataTable89[[#This Row],[asofdate]],S:T,2,0)</f>
        <v>0.308692322041347</v>
      </c>
      <c r="AN68" s="6">
        <f>VLOOKUP(CurrentMtgRatesDataTable89[[#This Row],[asofdate]],W:X,2,0)</f>
        <v>759.84269690104395</v>
      </c>
      <c r="AO68" s="6">
        <f>VLOOKUP(CurrentMtgRatesDataTable89[[#This Row],[asofdate]],AA:AB,2,0)</f>
        <v>8.7713830080208194E-2</v>
      </c>
      <c r="AR68" s="7" t="s">
        <v>97</v>
      </c>
      <c r="AS68" s="10">
        <v>8.7395122950958998E-2</v>
      </c>
      <c r="AT68" s="36">
        <f>((CurrentMtgRatesDataTable8711[[#This Row],[SeriesNumValue]]-$D$1)/$D$1+1)*100</f>
        <v>582.63415300639338</v>
      </c>
      <c r="AU68" s="36"/>
      <c r="AW68" s="7" t="s">
        <v>97</v>
      </c>
      <c r="AX68" s="10">
        <v>7.3574608785366299E-2</v>
      </c>
      <c r="AY68" s="36">
        <f>((CurrentMtgRatesDataTable871112[[#This Row],[SeriesNumValue]]-$D$1)/$D$1+1)*100</f>
        <v>490.49739190244202</v>
      </c>
      <c r="AZ68" s="36"/>
      <c r="BB68" s="7" t="s">
        <v>97</v>
      </c>
      <c r="BC68" s="10">
        <v>1.43708935233687E-2</v>
      </c>
      <c r="BD68" s="39">
        <f>((CurrentMtgRatesDataTable87111213[[#This Row],[SeriesNumValue]]-$D$1)/$D$1+1)*100</f>
        <v>95.805956822458</v>
      </c>
      <c r="BE68" s="39"/>
      <c r="BG68" s="7" t="s">
        <v>97</v>
      </c>
      <c r="BH68" s="10">
        <v>1.3633996571414401E-2</v>
      </c>
      <c r="BI68" s="39">
        <f>((CurrentMtgRatesDataTable8711121314[[#This Row],[SeriesNumValue]]-$D$1)/$D$1+1)*100</f>
        <v>90.893310476096019</v>
      </c>
      <c r="BJ68" s="39" t="str">
        <f>YEAR(CurrentMtgRatesDataTable8711121314[[#This Row],[asofdate]])&amp;"-"&amp;MONTH(CurrentMtgRatesDataTable8711121314[[#This Row],[asofdate]])</f>
        <v>2008-8</v>
      </c>
      <c r="BK68" s="39">
        <f>CurrentMtgRatesDataTable8711121314[[#This Row],[SeriesNumValue]]</f>
        <v>1.3633996571414401E-2</v>
      </c>
      <c r="BL68" s="39">
        <f>VLOOKUP(CurrentMtgRatesDataTable8711121314[[#This Row],[asofdate]],AR:AT,2,0)</f>
        <v>8.7395122950958998E-2</v>
      </c>
      <c r="BM68" s="35">
        <f>IF(VLOOKUP(CurrentMtgRatesDataTable8711121314[[#This Row],[asofdate]],AW:AY,2,0)&lt;&gt;0,VLOOKUP(CurrentMtgRatesDataTable8711121314[[#This Row],[asofdate]],AW:AY,2,0),BM67)</f>
        <v>7.3574608785366299E-2</v>
      </c>
      <c r="BN68" s="35">
        <f>VLOOKUP(CurrentMtgRatesDataTable8711121314[[#This Row],[asofdate]],BB:BD,2,0)</f>
        <v>1.43708935233687E-2</v>
      </c>
      <c r="BO68" s="35">
        <f>CurrentMtgRatesDataTable8711121314[[#This Row],[FHA]]+0.5*CurrentMtgRatesDataTable8711121314[[#This Row],[Conventional]]</f>
        <v>9.4212121236666196E-2</v>
      </c>
      <c r="BP68" s="35">
        <f>2*CurrentMtgRatesDataTable8711121314[[#This Row],[FHA]]</f>
        <v>0.174790245901918</v>
      </c>
      <c r="BQ68" s="11">
        <f>VLOOKUP(YEAR(CurrentMtgRatesDataTable8711121314[[#This Row],[asofdate]]),OriginationVolume!$A:$N,8,FALSE)</f>
        <v>0.67052023121387283</v>
      </c>
      <c r="BR68" s="11">
        <f>VLOOKUP(YEAR(CurrentMtgRatesDataTable8711121314[[#This Row],[asofdate]]),OriginationVolume!$A:$N,9,FALSE)</f>
        <v>5.2926300578034685E-2</v>
      </c>
      <c r="BS68" s="11">
        <f>VLOOKUP(YEAR(CurrentMtgRatesDataTable8711121314[[#This Row],[asofdate]]),OriginationVolume!$A:$N,10,FALSE)</f>
        <v>0.15877890173410406</v>
      </c>
      <c r="BT68" s="11">
        <f>VLOOKUP(YEAR(CurrentMtgRatesDataTable8711121314[[#This Row],[asofdate]]),OriginationVolume!$A:$N,11,FALSE)</f>
        <v>7.0809248554913301E-2</v>
      </c>
      <c r="BU68" s="11">
        <f>VLOOKUP(YEAR(CurrentMtgRatesDataTable8711121314[[#This Row],[asofdate]]),OriginationVolume!$A:$N,12,FALSE)</f>
        <v>3.0346820809248554E-2</v>
      </c>
      <c r="BV68" s="11">
        <f>VLOOKUP(YEAR(CurrentMtgRatesDataTable8711121314[[#This Row],[asofdate]]),OriginationVolume!$A:$N,13,FALSE)</f>
        <v>1.6618497109826588E-2</v>
      </c>
      <c r="BW68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3.3641606641587128E-2</v>
      </c>
      <c r="BY68" s="7" t="s">
        <v>97</v>
      </c>
      <c r="BZ68" s="10">
        <v>288286000</v>
      </c>
      <c r="CA68" s="36"/>
      <c r="CC68" s="7" t="s">
        <v>97</v>
      </c>
      <c r="CD68" s="10">
        <v>42329000</v>
      </c>
      <c r="CE68" s="36"/>
      <c r="CG68" s="7" t="s">
        <v>97</v>
      </c>
      <c r="CH68" s="10">
        <v>14884989554.790001</v>
      </c>
      <c r="CI68" s="39"/>
      <c r="CK68" s="7" t="s">
        <v>97</v>
      </c>
      <c r="CL68" s="10">
        <v>14554374554.790001</v>
      </c>
      <c r="CM68" s="39" t="str">
        <f>YEAR(CurrentMtgRatesDataTable871112131417[[#This Row],[asofdate]])&amp;"-"&amp;MONTH(CurrentMtgRatesDataTable871112131417[[#This Row],[asofdate]])</f>
        <v>2008-8</v>
      </c>
      <c r="CN68" s="39">
        <f>CurrentMtgRatesDataTable871112131417[[#This Row],[SeriesNumValue]]</f>
        <v>14554374554.790001</v>
      </c>
      <c r="CO68" s="39">
        <f>VLOOKUP(CurrentMtgRatesDataTable871112131417[[#This Row],[asofdate]],BY:BZ,2,0)</f>
        <v>288286000</v>
      </c>
      <c r="CP68" s="35">
        <f>IF(VLOOKUP(CurrentMtgRatesDataTable871112131417[[#This Row],[asofdate]],CC:CD,2,0)&lt;&gt;0,VLOOKUP(CurrentMtgRatesDataTable871112131417[[#This Row],[asofdate]],CC:CD,2,0),CP67)</f>
        <v>42329000</v>
      </c>
      <c r="CQ68" s="35">
        <f>VLOOKUP(CurrentMtgRatesDataTable871112131417[[#This Row],[asofdate]],CG:CH,2,0)</f>
        <v>14884989554.790001</v>
      </c>
    </row>
    <row r="69" spans="1:95" s="6" customFormat="1" ht="12.75">
      <c r="A69" s="7" t="s">
        <v>98</v>
      </c>
      <c r="B69" s="10">
        <v>1.33914715739996E-2</v>
      </c>
      <c r="C69" s="10" t="str">
        <f>YEAR(CurrentMtgRatesDataTable8[[#This Row],[asofdate]])&amp;"-"&amp;MONTH(CurrentMtgRatesDataTable8[[#This Row],[asofdate]])</f>
        <v>2008-9</v>
      </c>
      <c r="D69" s="6">
        <f>((CurrentMtgRatesDataTable8[[#This Row],[SeriesNumValue]]-$D$1)/$D$1+1)*100</f>
        <v>89.276477159997341</v>
      </c>
      <c r="G69" s="7" t="s">
        <v>98</v>
      </c>
      <c r="H69" s="10">
        <v>78.2639911263947</v>
      </c>
      <c r="I69" s="26">
        <f>VLOOKUP(CurrentMtgRatesDataTable82[[#This Row],[asofdate]],K:L,2,0)</f>
        <v>0.16617522330031601</v>
      </c>
      <c r="K69" s="7" t="s">
        <v>98</v>
      </c>
      <c r="L69" s="29">
        <v>0.16617522330031601</v>
      </c>
      <c r="O69" s="7" t="s">
        <v>98</v>
      </c>
      <c r="P69" s="10">
        <v>38.161391290982401</v>
      </c>
      <c r="Q69" s="29">
        <f>VLOOKUP(CurrentMtgRatesDataTable84[[#This Row],[asofdate]],S:T,2,0)</f>
        <v>0.34039413439216898</v>
      </c>
      <c r="S69" s="7" t="s">
        <v>98</v>
      </c>
      <c r="T69" s="10">
        <v>0.34039413439216898</v>
      </c>
      <c r="W69" s="7" t="s">
        <v>98</v>
      </c>
      <c r="X69" s="10">
        <v>747.62063220995401</v>
      </c>
      <c r="Y69" s="26">
        <f>VLOOKUP(CurrentMtgRatesDataTable86[[#This Row],[asofdate]],AA:AB,2,0)</f>
        <v>0.16640580356024401</v>
      </c>
      <c r="AA69" s="7" t="s">
        <v>98</v>
      </c>
      <c r="AB69" s="10">
        <v>0.16640580356024401</v>
      </c>
      <c r="AE69" s="7" t="s">
        <v>116</v>
      </c>
      <c r="AF69" s="10">
        <v>1.06986375276572E-2</v>
      </c>
      <c r="AG69" s="10" t="str">
        <f>YEAR(CurrentMtgRatesDataTable89[[#This Row],[asofdate]])&amp;"-"&amp;MONTH(CurrentMtgRatesDataTable89[[#This Row],[asofdate]])</f>
        <v>2010-3</v>
      </c>
      <c r="AH69" s="6">
        <f>((CurrentMtgRatesDataTable89[[#This Row],[SeriesNumValue]]-$D$1)/$D$1+1)*100</f>
        <v>71.324250184381327</v>
      </c>
      <c r="AI69" s="6">
        <f>CurrentMtgRatesDataTable89[[#This Row],[Index]]-AH70</f>
        <v>1.4605171767433376</v>
      </c>
      <c r="AJ69" s="6">
        <f>VLOOKUP(CurrentMtgRatesDataTable89[[#This Row],[asofdate]],G:H,2,0)</f>
        <v>76.134896970370804</v>
      </c>
      <c r="AK69" s="6">
        <f>VLOOKUP(CurrentMtgRatesDataTable89[[#This Row],[asofdate]],K:L,2,0)</f>
        <v>6.4960577538630798E-2</v>
      </c>
      <c r="AL69" s="6">
        <f>VLOOKUP(CurrentMtgRatesDataTable89[[#This Row],[asofdate]],O:P,2,0)</f>
        <v>35.1679187610561</v>
      </c>
      <c r="AM69" s="6">
        <f>VLOOKUP(CurrentMtgRatesDataTable89[[#This Row],[asofdate]],S:T,2,0)</f>
        <v>0.32345397389146002</v>
      </c>
      <c r="AN69" s="6">
        <f>VLOOKUP(CurrentMtgRatesDataTable89[[#This Row],[asofdate]],W:X,2,0)</f>
        <v>759.42833208172897</v>
      </c>
      <c r="AO69" s="6">
        <f>VLOOKUP(CurrentMtgRatesDataTable89[[#This Row],[asofdate]],AA:AB,2,0)</f>
        <v>8.6684210231504605E-2</v>
      </c>
      <c r="AR69" s="7" t="s">
        <v>98</v>
      </c>
      <c r="AS69" s="10">
        <v>8.9057747301929793E-2</v>
      </c>
      <c r="AT69" s="36">
        <f>((CurrentMtgRatesDataTable8711[[#This Row],[SeriesNumValue]]-$D$1)/$D$1+1)*100</f>
        <v>593.71831534619866</v>
      </c>
      <c r="AU69" s="36"/>
      <c r="AW69" s="7" t="s">
        <v>98</v>
      </c>
      <c r="AX69" s="10">
        <v>7.8305822025021996E-2</v>
      </c>
      <c r="AY69" s="36">
        <f>((CurrentMtgRatesDataTable871112[[#This Row],[SeriesNumValue]]-$D$1)/$D$1+1)*100</f>
        <v>522.03881350014672</v>
      </c>
      <c r="AZ69" s="36"/>
      <c r="BB69" s="7" t="s">
        <v>98</v>
      </c>
      <c r="BC69" s="10">
        <v>1.45283586044491E-2</v>
      </c>
      <c r="BD69" s="39">
        <f>((CurrentMtgRatesDataTable87111213[[#This Row],[SeriesNumValue]]-$D$1)/$D$1+1)*100</f>
        <v>96.855724029660678</v>
      </c>
      <c r="BE69" s="39"/>
      <c r="BG69" s="7" t="s">
        <v>98</v>
      </c>
      <c r="BH69" s="10">
        <v>1.35929357011554E-2</v>
      </c>
      <c r="BI69" s="39">
        <f>((CurrentMtgRatesDataTable8711121314[[#This Row],[SeriesNumValue]]-$D$1)/$D$1+1)*100</f>
        <v>90.619571341035993</v>
      </c>
      <c r="BJ69" s="39" t="str">
        <f>YEAR(CurrentMtgRatesDataTable8711121314[[#This Row],[asofdate]])&amp;"-"&amp;MONTH(CurrentMtgRatesDataTable8711121314[[#This Row],[asofdate]])</f>
        <v>2008-9</v>
      </c>
      <c r="BK69" s="39">
        <f>CurrentMtgRatesDataTable8711121314[[#This Row],[SeriesNumValue]]</f>
        <v>1.35929357011554E-2</v>
      </c>
      <c r="BL69" s="39">
        <f>VLOOKUP(CurrentMtgRatesDataTable8711121314[[#This Row],[asofdate]],AR:AT,2,0)</f>
        <v>8.9057747301929793E-2</v>
      </c>
      <c r="BM69" s="35">
        <f>IF(VLOOKUP(CurrentMtgRatesDataTable8711121314[[#This Row],[asofdate]],AW:AY,2,0)&lt;&gt;0,VLOOKUP(CurrentMtgRatesDataTable8711121314[[#This Row],[asofdate]],AW:AY,2,0),BM68)</f>
        <v>7.8305822025021996E-2</v>
      </c>
      <c r="BN69" s="35">
        <f>VLOOKUP(CurrentMtgRatesDataTable8711121314[[#This Row],[asofdate]],BB:BD,2,0)</f>
        <v>1.45283586044491E-2</v>
      </c>
      <c r="BO69" s="35">
        <f>CurrentMtgRatesDataTable8711121314[[#This Row],[FHA]]+0.5*CurrentMtgRatesDataTable8711121314[[#This Row],[Conventional]]</f>
        <v>9.5854215152507499E-2</v>
      </c>
      <c r="BP69" s="35">
        <f>2*CurrentMtgRatesDataTable8711121314[[#This Row],[FHA]]</f>
        <v>0.17811549460385959</v>
      </c>
      <c r="BQ69" s="11">
        <f>VLOOKUP(YEAR(CurrentMtgRatesDataTable8711121314[[#This Row],[asofdate]]),OriginationVolume!$A:$N,8,FALSE)</f>
        <v>0.67052023121387283</v>
      </c>
      <c r="BR69" s="11">
        <f>VLOOKUP(YEAR(CurrentMtgRatesDataTable8711121314[[#This Row],[asofdate]]),OriginationVolume!$A:$N,9,FALSE)</f>
        <v>5.2926300578034685E-2</v>
      </c>
      <c r="BS69" s="11">
        <f>VLOOKUP(YEAR(CurrentMtgRatesDataTable8711121314[[#This Row],[asofdate]]),OriginationVolume!$A:$N,10,FALSE)</f>
        <v>0.15877890173410406</v>
      </c>
      <c r="BT69" s="11">
        <f>VLOOKUP(YEAR(CurrentMtgRatesDataTable8711121314[[#This Row],[asofdate]]),OriginationVolume!$A:$N,11,FALSE)</f>
        <v>7.0809248554913301E-2</v>
      </c>
      <c r="BU69" s="11">
        <f>VLOOKUP(YEAR(CurrentMtgRatesDataTable8711121314[[#This Row],[asofdate]]),OriginationVolume!$A:$N,12,FALSE)</f>
        <v>3.0346820809248554E-2</v>
      </c>
      <c r="BV69" s="11">
        <f>VLOOKUP(YEAR(CurrentMtgRatesDataTable8711121314[[#This Row],[asofdate]]),OriginationVolume!$A:$N,13,FALSE)</f>
        <v>1.6618497109826588E-2</v>
      </c>
      <c r="BW69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3.4230655256222153E-2</v>
      </c>
      <c r="BY69" s="7" t="s">
        <v>98</v>
      </c>
      <c r="BZ69" s="10">
        <v>303910000</v>
      </c>
      <c r="CA69" s="36"/>
      <c r="CC69" s="7" t="s">
        <v>98</v>
      </c>
      <c r="CD69" s="10">
        <v>31451000</v>
      </c>
      <c r="CE69" s="36"/>
      <c r="CG69" s="7" t="s">
        <v>98</v>
      </c>
      <c r="CH69" s="10">
        <v>12653045190.209999</v>
      </c>
      <c r="CI69" s="39"/>
      <c r="CK69" s="7" t="s">
        <v>98</v>
      </c>
      <c r="CL69" s="10">
        <v>12317684190.209999</v>
      </c>
      <c r="CM69" s="39" t="str">
        <f>YEAR(CurrentMtgRatesDataTable871112131417[[#This Row],[asofdate]])&amp;"-"&amp;MONTH(CurrentMtgRatesDataTable871112131417[[#This Row],[asofdate]])</f>
        <v>2008-9</v>
      </c>
      <c r="CN69" s="39">
        <f>CurrentMtgRatesDataTable871112131417[[#This Row],[SeriesNumValue]]</f>
        <v>12317684190.209999</v>
      </c>
      <c r="CO69" s="39">
        <f>VLOOKUP(CurrentMtgRatesDataTable871112131417[[#This Row],[asofdate]],BY:BZ,2,0)</f>
        <v>303910000</v>
      </c>
      <c r="CP69" s="35">
        <f>IF(VLOOKUP(CurrentMtgRatesDataTable871112131417[[#This Row],[asofdate]],CC:CD,2,0)&lt;&gt;0,VLOOKUP(CurrentMtgRatesDataTable871112131417[[#This Row],[asofdate]],CC:CD,2,0),CP68)</f>
        <v>31451000</v>
      </c>
      <c r="CQ69" s="35">
        <f>VLOOKUP(CurrentMtgRatesDataTable871112131417[[#This Row],[asofdate]],CG:CH,2,0)</f>
        <v>12653045190.209999</v>
      </c>
    </row>
    <row r="70" spans="1:95" s="6" customFormat="1" ht="12.75">
      <c r="A70" s="7" t="s">
        <v>99</v>
      </c>
      <c r="B70" s="10">
        <v>1.61402658354628E-2</v>
      </c>
      <c r="C70" s="10" t="str">
        <f>YEAR(CurrentMtgRatesDataTable8[[#This Row],[asofdate]])&amp;"-"&amp;MONTH(CurrentMtgRatesDataTable8[[#This Row],[asofdate]])</f>
        <v>2008-10</v>
      </c>
      <c r="D70" s="6">
        <f>((CurrentMtgRatesDataTable8[[#This Row],[SeriesNumValue]]-$D$1)/$D$1+1)*100</f>
        <v>107.60177223641867</v>
      </c>
      <c r="G70" s="7" t="s">
        <v>99</v>
      </c>
      <c r="H70" s="10">
        <v>78.3124646156392</v>
      </c>
      <c r="I70" s="26">
        <f>VLOOKUP(CurrentMtgRatesDataTable82[[#This Row],[asofdate]],K:L,2,0)</f>
        <v>0.163296777165823</v>
      </c>
      <c r="K70" s="7" t="s">
        <v>99</v>
      </c>
      <c r="L70" s="29">
        <v>0.163296777165823</v>
      </c>
      <c r="O70" s="7" t="s">
        <v>99</v>
      </c>
      <c r="P70" s="10">
        <v>37.987846513899299</v>
      </c>
      <c r="Q70" s="29">
        <f>VLOOKUP(CurrentMtgRatesDataTable84[[#This Row],[asofdate]],S:T,2,0)</f>
        <v>0.32142274521264302</v>
      </c>
      <c r="S70" s="7" t="s">
        <v>99</v>
      </c>
      <c r="T70" s="10">
        <v>0.32142274521264302</v>
      </c>
      <c r="W70" s="7" t="s">
        <v>99</v>
      </c>
      <c r="X70" s="10">
        <v>746.04867552023995</v>
      </c>
      <c r="Y70" s="26">
        <f>VLOOKUP(CurrentMtgRatesDataTable86[[#This Row],[asofdate]],AA:AB,2,0)</f>
        <v>0.17744271331476499</v>
      </c>
      <c r="AA70" s="7" t="s">
        <v>99</v>
      </c>
      <c r="AB70" s="10">
        <v>0.17744271331476499</v>
      </c>
      <c r="AE70" s="7" t="s">
        <v>115</v>
      </c>
      <c r="AF70" s="10">
        <v>1.04795599511457E-2</v>
      </c>
      <c r="AG70" s="10" t="str">
        <f>YEAR(CurrentMtgRatesDataTable89[[#This Row],[asofdate]])&amp;"-"&amp;MONTH(CurrentMtgRatesDataTable89[[#This Row],[asofdate]])</f>
        <v>2010-2</v>
      </c>
      <c r="AH70" s="6">
        <f>((CurrentMtgRatesDataTable89[[#This Row],[SeriesNumValue]]-$D$1)/$D$1+1)*100</f>
        <v>69.86373300763799</v>
      </c>
      <c r="AI70" s="6">
        <f>CurrentMtgRatesDataTable89[[#This Row],[Index]]-AH71</f>
        <v>-6.9153381097853526</v>
      </c>
      <c r="AJ70" s="6">
        <f>VLOOKUP(CurrentMtgRatesDataTable89[[#This Row],[asofdate]],G:H,2,0)</f>
        <v>76.298282025895006</v>
      </c>
      <c r="AK70" s="6">
        <f>VLOOKUP(CurrentMtgRatesDataTable89[[#This Row],[asofdate]],K:L,2,0)</f>
        <v>6.7321302893014606E-2</v>
      </c>
      <c r="AL70" s="6">
        <f>VLOOKUP(CurrentMtgRatesDataTable89[[#This Row],[asofdate]],O:P,2,0)</f>
        <v>35.350936273908701</v>
      </c>
      <c r="AM70" s="6">
        <f>VLOOKUP(CurrentMtgRatesDataTable89[[#This Row],[asofdate]],S:T,2,0)</f>
        <v>0.32605724396212699</v>
      </c>
      <c r="AN70" s="6">
        <f>VLOOKUP(CurrentMtgRatesDataTable89[[#This Row],[asofdate]],W:X,2,0)</f>
        <v>759.55067968356195</v>
      </c>
      <c r="AO70" s="6">
        <f>VLOOKUP(CurrentMtgRatesDataTable89[[#This Row],[asofdate]],AA:AB,2,0)</f>
        <v>8.9067046927094204E-2</v>
      </c>
      <c r="AR70" s="7" t="s">
        <v>99</v>
      </c>
      <c r="AS70" s="10">
        <v>8.9562512546187495E-2</v>
      </c>
      <c r="AT70" s="36">
        <f>((CurrentMtgRatesDataTable8711[[#This Row],[SeriesNumValue]]-$D$1)/$D$1+1)*100</f>
        <v>597.08341697458332</v>
      </c>
      <c r="AU70" s="36"/>
      <c r="AW70" s="7" t="s">
        <v>99</v>
      </c>
      <c r="AX70" s="10">
        <v>7.4692912532645095E-2</v>
      </c>
      <c r="AY70" s="36">
        <f>((CurrentMtgRatesDataTable871112[[#This Row],[SeriesNumValue]]-$D$1)/$D$1+1)*100</f>
        <v>497.95275021763399</v>
      </c>
      <c r="AZ70" s="36"/>
      <c r="BB70" s="7" t="s">
        <v>99</v>
      </c>
      <c r="BC70" s="10">
        <v>1.52144458053101E-2</v>
      </c>
      <c r="BD70" s="39">
        <f>((CurrentMtgRatesDataTable87111213[[#This Row],[SeriesNumValue]]-$D$1)/$D$1+1)*100</f>
        <v>101.42963870206734</v>
      </c>
      <c r="BE70" s="39"/>
      <c r="BG70" s="7" t="s">
        <v>99</v>
      </c>
      <c r="BH70" s="10">
        <v>1.4091668990269699E-2</v>
      </c>
      <c r="BI70" s="39">
        <f>((CurrentMtgRatesDataTable8711121314[[#This Row],[SeriesNumValue]]-$D$1)/$D$1+1)*100</f>
        <v>93.944459935131334</v>
      </c>
      <c r="BJ70" s="39" t="str">
        <f>YEAR(CurrentMtgRatesDataTable8711121314[[#This Row],[asofdate]])&amp;"-"&amp;MONTH(CurrentMtgRatesDataTable8711121314[[#This Row],[asofdate]])</f>
        <v>2008-10</v>
      </c>
      <c r="BK70" s="39">
        <f>CurrentMtgRatesDataTable8711121314[[#This Row],[SeriesNumValue]]</f>
        <v>1.4091668990269699E-2</v>
      </c>
      <c r="BL70" s="39">
        <f>VLOOKUP(CurrentMtgRatesDataTable8711121314[[#This Row],[asofdate]],AR:AT,2,0)</f>
        <v>8.9562512546187495E-2</v>
      </c>
      <c r="BM70" s="35">
        <f>IF(VLOOKUP(CurrentMtgRatesDataTable8711121314[[#This Row],[asofdate]],AW:AY,2,0)&lt;&gt;0,VLOOKUP(CurrentMtgRatesDataTable8711121314[[#This Row],[asofdate]],AW:AY,2,0),BM69)</f>
        <v>7.4692912532645095E-2</v>
      </c>
      <c r="BN70" s="35">
        <f>VLOOKUP(CurrentMtgRatesDataTable8711121314[[#This Row],[asofdate]],BB:BD,2,0)</f>
        <v>1.52144458053101E-2</v>
      </c>
      <c r="BO70" s="35">
        <f>CurrentMtgRatesDataTable8711121314[[#This Row],[FHA]]+0.5*CurrentMtgRatesDataTable8711121314[[#This Row],[Conventional]]</f>
        <v>9.6608347041322346E-2</v>
      </c>
      <c r="BP70" s="35">
        <f>2*CurrentMtgRatesDataTable8711121314[[#This Row],[FHA]]</f>
        <v>0.17912502509237499</v>
      </c>
      <c r="BQ70" s="11">
        <f>VLOOKUP(YEAR(CurrentMtgRatesDataTable8711121314[[#This Row],[asofdate]]),OriginationVolume!$A:$N,8,FALSE)</f>
        <v>0.67052023121387283</v>
      </c>
      <c r="BR70" s="11">
        <f>VLOOKUP(YEAR(CurrentMtgRatesDataTable8711121314[[#This Row],[asofdate]]),OriginationVolume!$A:$N,9,FALSE)</f>
        <v>5.2926300578034685E-2</v>
      </c>
      <c r="BS70" s="11">
        <f>VLOOKUP(YEAR(CurrentMtgRatesDataTable8711121314[[#This Row],[asofdate]]),OriginationVolume!$A:$N,10,FALSE)</f>
        <v>0.15877890173410406</v>
      </c>
      <c r="BT70" s="11">
        <f>VLOOKUP(YEAR(CurrentMtgRatesDataTable8711121314[[#This Row],[asofdate]]),OriginationVolume!$A:$N,11,FALSE)</f>
        <v>7.0809248554913301E-2</v>
      </c>
      <c r="BU70" s="11">
        <f>VLOOKUP(YEAR(CurrentMtgRatesDataTable8711121314[[#This Row],[asofdate]]),OriginationVolume!$A:$N,12,FALSE)</f>
        <v>3.0346820809248554E-2</v>
      </c>
      <c r="BV70" s="11">
        <f>VLOOKUP(YEAR(CurrentMtgRatesDataTable8711121314[[#This Row],[asofdate]]),OriginationVolume!$A:$N,13,FALSE)</f>
        <v>1.6618497109826588E-2</v>
      </c>
      <c r="BW70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3.452897146814872E-2</v>
      </c>
      <c r="BY70" s="7" t="s">
        <v>99</v>
      </c>
      <c r="BZ70" s="10">
        <v>271159000</v>
      </c>
      <c r="CA70" s="36"/>
      <c r="CC70" s="7" t="s">
        <v>99</v>
      </c>
      <c r="CD70" s="10">
        <v>27244000</v>
      </c>
      <c r="CE70" s="36"/>
      <c r="CG70" s="7" t="s">
        <v>99</v>
      </c>
      <c r="CH70" s="10">
        <v>9130461207.7099991</v>
      </c>
      <c r="CI70" s="39"/>
      <c r="CK70" s="7" t="s">
        <v>99</v>
      </c>
      <c r="CL70" s="10">
        <v>8832058207.7099991</v>
      </c>
      <c r="CM70" s="39" t="str">
        <f>YEAR(CurrentMtgRatesDataTable871112131417[[#This Row],[asofdate]])&amp;"-"&amp;MONTH(CurrentMtgRatesDataTable871112131417[[#This Row],[asofdate]])</f>
        <v>2008-10</v>
      </c>
      <c r="CN70" s="39">
        <f>CurrentMtgRatesDataTable871112131417[[#This Row],[SeriesNumValue]]</f>
        <v>8832058207.7099991</v>
      </c>
      <c r="CO70" s="39">
        <f>VLOOKUP(CurrentMtgRatesDataTable871112131417[[#This Row],[asofdate]],BY:BZ,2,0)</f>
        <v>271159000</v>
      </c>
      <c r="CP70" s="35">
        <f>IF(VLOOKUP(CurrentMtgRatesDataTable871112131417[[#This Row],[asofdate]],CC:CD,2,0)&lt;&gt;0,VLOOKUP(CurrentMtgRatesDataTable871112131417[[#This Row],[asofdate]],CC:CD,2,0),CP69)</f>
        <v>27244000</v>
      </c>
      <c r="CQ70" s="35">
        <f>VLOOKUP(CurrentMtgRatesDataTable871112131417[[#This Row],[asofdate]],CG:CH,2,0)</f>
        <v>9130461207.7099991</v>
      </c>
    </row>
    <row r="71" spans="1:95" s="6" customFormat="1" ht="12.75">
      <c r="A71" s="7" t="s">
        <v>100</v>
      </c>
      <c r="B71" s="10">
        <v>1.4069144322326799E-2</v>
      </c>
      <c r="C71" s="10" t="str">
        <f>YEAR(CurrentMtgRatesDataTable8[[#This Row],[asofdate]])&amp;"-"&amp;MONTH(CurrentMtgRatesDataTable8[[#This Row],[asofdate]])</f>
        <v>2008-11</v>
      </c>
      <c r="D71" s="6">
        <f>((CurrentMtgRatesDataTable8[[#This Row],[SeriesNumValue]]-$D$1)/$D$1+1)*100</f>
        <v>93.794295482178669</v>
      </c>
      <c r="G71" s="7" t="s">
        <v>100</v>
      </c>
      <c r="H71" s="10">
        <v>78.157742768007694</v>
      </c>
      <c r="I71" s="26">
        <f>VLOOKUP(CurrentMtgRatesDataTable82[[#This Row],[asofdate]],K:L,2,0)</f>
        <v>0.150953438870432</v>
      </c>
      <c r="K71" s="7" t="s">
        <v>100</v>
      </c>
      <c r="L71" s="29">
        <v>0.150953438870432</v>
      </c>
      <c r="O71" s="7" t="s">
        <v>100</v>
      </c>
      <c r="P71" s="10">
        <v>37.893642795120201</v>
      </c>
      <c r="Q71" s="29">
        <f>VLOOKUP(CurrentMtgRatesDataTable84[[#This Row],[asofdate]],S:T,2,0)</f>
        <v>0.32847350810014198</v>
      </c>
      <c r="S71" s="7" t="s">
        <v>100</v>
      </c>
      <c r="T71" s="10">
        <v>0.32847350810014198</v>
      </c>
      <c r="W71" s="7" t="s">
        <v>100</v>
      </c>
      <c r="X71" s="10">
        <v>748.10181343452996</v>
      </c>
      <c r="Y71" s="26">
        <f>VLOOKUP(CurrentMtgRatesDataTable86[[#This Row],[asofdate]],AA:AB,2,0)</f>
        <v>0.16267950338576401</v>
      </c>
      <c r="AA71" s="7" t="s">
        <v>100</v>
      </c>
      <c r="AB71" s="10">
        <v>0.16267950338576401</v>
      </c>
      <c r="AE71" s="7" t="s">
        <v>114</v>
      </c>
      <c r="AF71" s="10">
        <v>1.1516860667613499E-2</v>
      </c>
      <c r="AG71" s="10" t="str">
        <f>YEAR(CurrentMtgRatesDataTable89[[#This Row],[asofdate]])&amp;"-"&amp;MONTH(CurrentMtgRatesDataTable89[[#This Row],[asofdate]])</f>
        <v>2010-1</v>
      </c>
      <c r="AH71" s="6">
        <f>((CurrentMtgRatesDataTable89[[#This Row],[SeriesNumValue]]-$D$1)/$D$1+1)*100</f>
        <v>76.779071117423342</v>
      </c>
      <c r="AI71" s="6">
        <f>CurrentMtgRatesDataTable89[[#This Row],[Index]]-AH72</f>
        <v>-0.11923724619131804</v>
      </c>
      <c r="AJ71" s="6">
        <f>VLOOKUP(CurrentMtgRatesDataTable89[[#This Row],[asofdate]],G:H,2,0)</f>
        <v>77.043955927582999</v>
      </c>
      <c r="AK71" s="6">
        <f>VLOOKUP(CurrentMtgRatesDataTable89[[#This Row],[asofdate]],K:L,2,0)</f>
        <v>8.0692732250494503E-2</v>
      </c>
      <c r="AL71" s="6">
        <f>VLOOKUP(CurrentMtgRatesDataTable89[[#This Row],[asofdate]],O:P,2,0)</f>
        <v>35.096745322021697</v>
      </c>
      <c r="AM71" s="6">
        <f>VLOOKUP(CurrentMtgRatesDataTable89[[#This Row],[asofdate]],S:T,2,0)</f>
        <v>0.30946149081216401</v>
      </c>
      <c r="AN71" s="6">
        <f>VLOOKUP(CurrentMtgRatesDataTable89[[#This Row],[asofdate]],W:X,2,0)</f>
        <v>759.47430651200102</v>
      </c>
      <c r="AO71" s="6">
        <f>VLOOKUP(CurrentMtgRatesDataTable89[[#This Row],[asofdate]],AA:AB,2,0)</f>
        <v>8.6698257576226706E-2</v>
      </c>
      <c r="AR71" s="7" t="s">
        <v>100</v>
      </c>
      <c r="AS71" s="10">
        <v>0.103351642697491</v>
      </c>
      <c r="AT71" s="36">
        <f>((CurrentMtgRatesDataTable8711[[#This Row],[SeriesNumValue]]-$D$1)/$D$1+1)*100</f>
        <v>689.01095131660668</v>
      </c>
      <c r="AU71" s="36"/>
      <c r="AW71" s="7" t="s">
        <v>100</v>
      </c>
      <c r="AX71" s="10">
        <v>0.103441437654216</v>
      </c>
      <c r="AY71" s="36">
        <f>((CurrentMtgRatesDataTable871112[[#This Row],[SeriesNumValue]]-$D$1)/$D$1+1)*100</f>
        <v>689.60958436144006</v>
      </c>
      <c r="AZ71" s="36"/>
      <c r="BB71" s="7" t="s">
        <v>100</v>
      </c>
      <c r="BC71" s="10">
        <v>1.59643648094842E-2</v>
      </c>
      <c r="BD71" s="39">
        <f>((CurrentMtgRatesDataTable87111213[[#This Row],[SeriesNumValue]]-$D$1)/$D$1+1)*100</f>
        <v>106.42909872989468</v>
      </c>
      <c r="BE71" s="39"/>
      <c r="BG71" s="7" t="s">
        <v>100</v>
      </c>
      <c r="BH71" s="10">
        <v>1.4663344961973499E-2</v>
      </c>
      <c r="BI71" s="39">
        <f>((CurrentMtgRatesDataTable8711121314[[#This Row],[SeriesNumValue]]-$D$1)/$D$1+1)*100</f>
        <v>97.75563307982334</v>
      </c>
      <c r="BJ71" s="39" t="str">
        <f>YEAR(CurrentMtgRatesDataTable8711121314[[#This Row],[asofdate]])&amp;"-"&amp;MONTH(CurrentMtgRatesDataTable8711121314[[#This Row],[asofdate]])</f>
        <v>2008-11</v>
      </c>
      <c r="BK71" s="39">
        <f>CurrentMtgRatesDataTable8711121314[[#This Row],[SeriesNumValue]]</f>
        <v>1.4663344961973499E-2</v>
      </c>
      <c r="BL71" s="39">
        <f>VLOOKUP(CurrentMtgRatesDataTable8711121314[[#This Row],[asofdate]],AR:AT,2,0)</f>
        <v>0.103351642697491</v>
      </c>
      <c r="BM71" s="35">
        <f>IF(VLOOKUP(CurrentMtgRatesDataTable8711121314[[#This Row],[asofdate]],AW:AY,2,0)&lt;&gt;0,VLOOKUP(CurrentMtgRatesDataTable8711121314[[#This Row],[asofdate]],AW:AY,2,0),BM70)</f>
        <v>0.103441437654216</v>
      </c>
      <c r="BN71" s="35">
        <f>VLOOKUP(CurrentMtgRatesDataTable8711121314[[#This Row],[asofdate]],BB:BD,2,0)</f>
        <v>1.59643648094842E-2</v>
      </c>
      <c r="BO71" s="35">
        <f>CurrentMtgRatesDataTable8711121314[[#This Row],[FHA]]+0.5*CurrentMtgRatesDataTable8711121314[[#This Row],[Conventional]]</f>
        <v>0.11068331517847775</v>
      </c>
      <c r="BP71" s="35">
        <f>2*CurrentMtgRatesDataTable8711121314[[#This Row],[FHA]]</f>
        <v>0.20670328539498201</v>
      </c>
      <c r="BQ71" s="11">
        <f>VLOOKUP(YEAR(CurrentMtgRatesDataTable8711121314[[#This Row],[asofdate]]),OriginationVolume!$A:$N,8,FALSE)</f>
        <v>0.67052023121387283</v>
      </c>
      <c r="BR71" s="11">
        <f>VLOOKUP(YEAR(CurrentMtgRatesDataTable8711121314[[#This Row],[asofdate]]),OriginationVolume!$A:$N,9,FALSE)</f>
        <v>5.2926300578034685E-2</v>
      </c>
      <c r="BS71" s="11">
        <f>VLOOKUP(YEAR(CurrentMtgRatesDataTable8711121314[[#This Row],[asofdate]]),OriginationVolume!$A:$N,10,FALSE)</f>
        <v>0.15877890173410406</v>
      </c>
      <c r="BT71" s="11">
        <f>VLOOKUP(YEAR(CurrentMtgRatesDataTable8711121314[[#This Row],[asofdate]]),OriginationVolume!$A:$N,11,FALSE)</f>
        <v>7.0809248554913301E-2</v>
      </c>
      <c r="BU71" s="11">
        <f>VLOOKUP(YEAR(CurrentMtgRatesDataTable8711121314[[#This Row],[asofdate]]),OriginationVolume!$A:$N,12,FALSE)</f>
        <v>3.0346820809248554E-2</v>
      </c>
      <c r="BV71" s="11">
        <f>VLOOKUP(YEAR(CurrentMtgRatesDataTable8711121314[[#This Row],[asofdate]]),OriginationVolume!$A:$N,13,FALSE)</f>
        <v>1.6618497109826588E-2</v>
      </c>
      <c r="BW71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3.95491875169873E-2</v>
      </c>
      <c r="BY71" s="7" t="s">
        <v>100</v>
      </c>
      <c r="BZ71" s="10">
        <v>314563000</v>
      </c>
      <c r="CA71" s="36"/>
      <c r="CC71" s="7" t="s">
        <v>100</v>
      </c>
      <c r="CD71" s="10">
        <v>18615000</v>
      </c>
      <c r="CE71" s="36"/>
      <c r="CG71" s="7" t="s">
        <v>100</v>
      </c>
      <c r="CH71" s="10">
        <v>9734828322.3099995</v>
      </c>
      <c r="CI71" s="39"/>
      <c r="CK71" s="7" t="s">
        <v>100</v>
      </c>
      <c r="CL71" s="10">
        <v>9401650322.3099995</v>
      </c>
      <c r="CM71" s="39" t="str">
        <f>YEAR(CurrentMtgRatesDataTable871112131417[[#This Row],[asofdate]])&amp;"-"&amp;MONTH(CurrentMtgRatesDataTable871112131417[[#This Row],[asofdate]])</f>
        <v>2008-11</v>
      </c>
      <c r="CN71" s="39">
        <f>CurrentMtgRatesDataTable871112131417[[#This Row],[SeriesNumValue]]</f>
        <v>9401650322.3099995</v>
      </c>
      <c r="CO71" s="39">
        <f>VLOOKUP(CurrentMtgRatesDataTable871112131417[[#This Row],[asofdate]],BY:BZ,2,0)</f>
        <v>314563000</v>
      </c>
      <c r="CP71" s="35">
        <f>IF(VLOOKUP(CurrentMtgRatesDataTable871112131417[[#This Row],[asofdate]],CC:CD,2,0)&lt;&gt;0,VLOOKUP(CurrentMtgRatesDataTable871112131417[[#This Row],[asofdate]],CC:CD,2,0),CP70)</f>
        <v>18615000</v>
      </c>
      <c r="CQ71" s="35">
        <f>VLOOKUP(CurrentMtgRatesDataTable871112131417[[#This Row],[asofdate]],CG:CH,2,0)</f>
        <v>9734828322.3099995</v>
      </c>
    </row>
    <row r="72" spans="1:95" s="6" customFormat="1" ht="12.75">
      <c r="A72" s="7" t="s">
        <v>101</v>
      </c>
      <c r="B72" s="10">
        <v>1.3200948223923099E-2</v>
      </c>
      <c r="C72" s="10" t="str">
        <f>YEAR(CurrentMtgRatesDataTable8[[#This Row],[asofdate]])&amp;"-"&amp;MONTH(CurrentMtgRatesDataTable8[[#This Row],[asofdate]])</f>
        <v>2008-12</v>
      </c>
      <c r="D72" s="6">
        <f>((CurrentMtgRatesDataTable8[[#This Row],[SeriesNumValue]]-$D$1)/$D$1+1)*100</f>
        <v>88.006321492820661</v>
      </c>
      <c r="G72" s="7" t="s">
        <v>101</v>
      </c>
      <c r="H72" s="10">
        <v>78.085592748832795</v>
      </c>
      <c r="I72" s="26">
        <f>VLOOKUP(CurrentMtgRatesDataTable82[[#This Row],[asofdate]],K:L,2,0)</f>
        <v>0.14334661911517199</v>
      </c>
      <c r="K72" s="7" t="s">
        <v>101</v>
      </c>
      <c r="L72" s="29">
        <v>0.14334661911517199</v>
      </c>
      <c r="O72" s="7" t="s">
        <v>101</v>
      </c>
      <c r="P72" s="10">
        <v>37.863545215523096</v>
      </c>
      <c r="Q72" s="29">
        <f>VLOOKUP(CurrentMtgRatesDataTable84[[#This Row],[asofdate]],S:T,2,0)</f>
        <v>0.31869933102218601</v>
      </c>
      <c r="S72" s="7" t="s">
        <v>101</v>
      </c>
      <c r="T72" s="10">
        <v>0.31869933102218601</v>
      </c>
      <c r="W72" s="7" t="s">
        <v>101</v>
      </c>
      <c r="X72" s="10">
        <v>748.91395590109096</v>
      </c>
      <c r="Y72" s="26">
        <f>VLOOKUP(CurrentMtgRatesDataTable86[[#This Row],[asofdate]],AA:AB,2,0)</f>
        <v>0.15477413293758099</v>
      </c>
      <c r="AA72" s="7" t="s">
        <v>101</v>
      </c>
      <c r="AB72" s="10">
        <v>0.15477413293758099</v>
      </c>
      <c r="AE72" s="7" t="s">
        <v>113</v>
      </c>
      <c r="AF72" s="10">
        <v>1.15347462545422E-2</v>
      </c>
      <c r="AG72" s="10" t="str">
        <f>YEAR(CurrentMtgRatesDataTable89[[#This Row],[asofdate]])&amp;"-"&amp;MONTH(CurrentMtgRatesDataTable89[[#This Row],[asofdate]])</f>
        <v>2009-12</v>
      </c>
      <c r="AH72" s="6">
        <f>((CurrentMtgRatesDataTable89[[#This Row],[SeriesNumValue]]-$D$1)/$D$1+1)*100</f>
        <v>76.89830836361466</v>
      </c>
      <c r="AI72" s="6">
        <f>CurrentMtgRatesDataTable89[[#This Row],[Index]]-AH73</f>
        <v>-3.2726461467873378</v>
      </c>
      <c r="AJ72" s="6">
        <f>VLOOKUP(CurrentMtgRatesDataTable89[[#This Row],[asofdate]],G:H,2,0)</f>
        <v>76.821956068657499</v>
      </c>
      <c r="AK72" s="6">
        <f>VLOOKUP(CurrentMtgRatesDataTable89[[#This Row],[asofdate]],K:L,2,0)</f>
        <v>7.7684258479736798E-2</v>
      </c>
      <c r="AL72" s="6">
        <f>VLOOKUP(CurrentMtgRatesDataTable89[[#This Row],[asofdate]],O:P,2,0)</f>
        <v>35.1667301275982</v>
      </c>
      <c r="AM72" s="6">
        <f>VLOOKUP(CurrentMtgRatesDataTable89[[#This Row],[asofdate]],S:T,2,0)</f>
        <v>0.31475350404319502</v>
      </c>
      <c r="AN72" s="6">
        <f>VLOOKUP(CurrentMtgRatesDataTable89[[#This Row],[asofdate]],W:X,2,0)</f>
        <v>759.77811495225899</v>
      </c>
      <c r="AO72" s="6">
        <f>VLOOKUP(CurrentMtgRatesDataTable89[[#This Row],[asofdate]],AA:AB,2,0)</f>
        <v>8.4409413550102702E-2</v>
      </c>
      <c r="AR72" s="7" t="s">
        <v>101</v>
      </c>
      <c r="AS72" s="10">
        <v>8.3829992538756004E-2</v>
      </c>
      <c r="AT72" s="36">
        <f>((CurrentMtgRatesDataTable8711[[#This Row],[SeriesNumValue]]-$D$1)/$D$1+1)*100</f>
        <v>558.86661692504003</v>
      </c>
      <c r="AU72" s="36"/>
      <c r="AW72" s="7" t="s">
        <v>101</v>
      </c>
      <c r="AX72" s="10">
        <v>7.9089503798013702E-2</v>
      </c>
      <c r="AY72" s="36">
        <f>((CurrentMtgRatesDataTable871112[[#This Row],[SeriesNumValue]]-$D$1)/$D$1+1)*100</f>
        <v>527.26335865342469</v>
      </c>
      <c r="AZ72" s="36"/>
      <c r="BB72" s="7" t="s">
        <v>101</v>
      </c>
      <c r="BC72" s="10">
        <v>1.37691676331966E-2</v>
      </c>
      <c r="BD72" s="39">
        <f>((CurrentMtgRatesDataTable87111213[[#This Row],[SeriesNumValue]]-$D$1)/$D$1+1)*100</f>
        <v>91.794450887977334</v>
      </c>
      <c r="BE72" s="39"/>
      <c r="BG72" s="7" t="s">
        <v>101</v>
      </c>
      <c r="BH72" s="10">
        <v>1.2793965938819299E-2</v>
      </c>
      <c r="BI72" s="39">
        <f>((CurrentMtgRatesDataTable8711121314[[#This Row],[SeriesNumValue]]-$D$1)/$D$1+1)*100</f>
        <v>85.293106258795333</v>
      </c>
      <c r="BJ72" s="39" t="str">
        <f>YEAR(CurrentMtgRatesDataTable8711121314[[#This Row],[asofdate]])&amp;"-"&amp;MONTH(CurrentMtgRatesDataTable8711121314[[#This Row],[asofdate]])</f>
        <v>2008-12</v>
      </c>
      <c r="BK72" s="39">
        <f>CurrentMtgRatesDataTable8711121314[[#This Row],[SeriesNumValue]]</f>
        <v>1.2793965938819299E-2</v>
      </c>
      <c r="BL72" s="39">
        <f>VLOOKUP(CurrentMtgRatesDataTable8711121314[[#This Row],[asofdate]],AR:AT,2,0)</f>
        <v>8.3829992538756004E-2</v>
      </c>
      <c r="BM72" s="35">
        <f>IF(VLOOKUP(CurrentMtgRatesDataTable8711121314[[#This Row],[asofdate]],AW:AY,2,0)&lt;&gt;0,VLOOKUP(CurrentMtgRatesDataTable8711121314[[#This Row],[asofdate]],AW:AY,2,0),BM71)</f>
        <v>7.9089503798013702E-2</v>
      </c>
      <c r="BN72" s="35">
        <f>VLOOKUP(CurrentMtgRatesDataTable8711121314[[#This Row],[asofdate]],BB:BD,2,0)</f>
        <v>1.37691676331966E-2</v>
      </c>
      <c r="BO72" s="35">
        <f>CurrentMtgRatesDataTable8711121314[[#This Row],[FHA]]+0.5*CurrentMtgRatesDataTable8711121314[[#This Row],[Conventional]]</f>
        <v>9.0226975508165649E-2</v>
      </c>
      <c r="BP72" s="35">
        <f>2*CurrentMtgRatesDataTable8711121314[[#This Row],[FHA]]</f>
        <v>0.16765998507751201</v>
      </c>
      <c r="BQ72" s="11">
        <f>VLOOKUP(YEAR(CurrentMtgRatesDataTable8711121314[[#This Row],[asofdate]]),OriginationVolume!$A:$N,8,FALSE)</f>
        <v>0.67052023121387283</v>
      </c>
      <c r="BR72" s="11">
        <f>VLOOKUP(YEAR(CurrentMtgRatesDataTable8711121314[[#This Row],[asofdate]]),OriginationVolume!$A:$N,9,FALSE)</f>
        <v>5.2926300578034685E-2</v>
      </c>
      <c r="BS72" s="11">
        <f>VLOOKUP(YEAR(CurrentMtgRatesDataTable8711121314[[#This Row],[asofdate]]),OriginationVolume!$A:$N,10,FALSE)</f>
        <v>0.15877890173410406</v>
      </c>
      <c r="BT72" s="11">
        <f>VLOOKUP(YEAR(CurrentMtgRatesDataTable8711121314[[#This Row],[asofdate]]),OriginationVolume!$A:$N,11,FALSE)</f>
        <v>7.0809248554913301E-2</v>
      </c>
      <c r="BU72" s="11">
        <f>VLOOKUP(YEAR(CurrentMtgRatesDataTable8711121314[[#This Row],[asofdate]]),OriginationVolume!$A:$N,12,FALSE)</f>
        <v>3.0346820809248554E-2</v>
      </c>
      <c r="BV72" s="11">
        <f>VLOOKUP(YEAR(CurrentMtgRatesDataTable8711121314[[#This Row],[asofdate]]),OriginationVolume!$A:$N,13,FALSE)</f>
        <v>1.6618497109826588E-2</v>
      </c>
      <c r="BW72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3.2505251947218546E-2</v>
      </c>
      <c r="BY72" s="7" t="s">
        <v>101</v>
      </c>
      <c r="BZ72" s="10">
        <v>275184000</v>
      </c>
      <c r="CA72" s="36"/>
      <c r="CC72" s="7" t="s">
        <v>101</v>
      </c>
      <c r="CD72" s="10">
        <v>32780000</v>
      </c>
      <c r="CE72" s="36"/>
      <c r="CG72" s="7" t="s">
        <v>101</v>
      </c>
      <c r="CH72" s="10">
        <v>9613885455.2399998</v>
      </c>
      <c r="CI72" s="39"/>
      <c r="CK72" s="7" t="s">
        <v>101</v>
      </c>
      <c r="CL72" s="10">
        <v>9305921455.2399998</v>
      </c>
      <c r="CM72" s="39" t="str">
        <f>YEAR(CurrentMtgRatesDataTable871112131417[[#This Row],[asofdate]])&amp;"-"&amp;MONTH(CurrentMtgRatesDataTable871112131417[[#This Row],[asofdate]])</f>
        <v>2008-12</v>
      </c>
      <c r="CN72" s="39">
        <f>CurrentMtgRatesDataTable871112131417[[#This Row],[SeriesNumValue]]</f>
        <v>9305921455.2399998</v>
      </c>
      <c r="CO72" s="39">
        <f>VLOOKUP(CurrentMtgRatesDataTable871112131417[[#This Row],[asofdate]],BY:BZ,2,0)</f>
        <v>275184000</v>
      </c>
      <c r="CP72" s="35">
        <f>IF(VLOOKUP(CurrentMtgRatesDataTable871112131417[[#This Row],[asofdate]],CC:CD,2,0)&lt;&gt;0,VLOOKUP(CurrentMtgRatesDataTable871112131417[[#This Row],[asofdate]],CC:CD,2,0),CP71)</f>
        <v>32780000</v>
      </c>
      <c r="CQ72" s="35">
        <f>VLOOKUP(CurrentMtgRatesDataTable871112131417[[#This Row],[asofdate]],CG:CH,2,0)</f>
        <v>9613885455.2399998</v>
      </c>
    </row>
    <row r="73" spans="1:95" s="6" customFormat="1" ht="12.75">
      <c r="A73" s="7" t="s">
        <v>102</v>
      </c>
      <c r="B73" s="10">
        <v>1.74388248592952E-2</v>
      </c>
      <c r="C73" s="10" t="str">
        <f>YEAR(CurrentMtgRatesDataTable8[[#This Row],[asofdate]])&amp;"-"&amp;MONTH(CurrentMtgRatesDataTable8[[#This Row],[asofdate]])</f>
        <v>2009-1</v>
      </c>
      <c r="D73" s="6">
        <f>((CurrentMtgRatesDataTable8[[#This Row],[SeriesNumValue]]-$D$1)/$D$1+1)*100</f>
        <v>116.25883239530133</v>
      </c>
      <c r="G73" s="7" t="s">
        <v>102</v>
      </c>
      <c r="H73" s="10">
        <v>78.387697357956398</v>
      </c>
      <c r="I73" s="26">
        <f>VLOOKUP(CurrentMtgRatesDataTable82[[#This Row],[asofdate]],K:L,2,0)</f>
        <v>0.13509696863435</v>
      </c>
      <c r="K73" s="7" t="s">
        <v>102</v>
      </c>
      <c r="L73" s="29">
        <v>0.13509696863435</v>
      </c>
      <c r="O73" s="7" t="s">
        <v>102</v>
      </c>
      <c r="P73" s="10">
        <v>37.7564539019778</v>
      </c>
      <c r="Q73" s="29">
        <f>VLOOKUP(CurrentMtgRatesDataTable84[[#This Row],[asofdate]],S:T,2,0)</f>
        <v>0.33607801513818097</v>
      </c>
      <c r="S73" s="7" t="s">
        <v>102</v>
      </c>
      <c r="T73" s="10">
        <v>0.33607801513818097</v>
      </c>
      <c r="W73" s="7" t="s">
        <v>102</v>
      </c>
      <c r="X73" s="10">
        <v>747.67307981041199</v>
      </c>
      <c r="Y73" s="26">
        <f>VLOOKUP(CurrentMtgRatesDataTable86[[#This Row],[asofdate]],AA:AB,2,0)</f>
        <v>0.16220081425273</v>
      </c>
      <c r="AA73" s="7" t="s">
        <v>102</v>
      </c>
      <c r="AB73" s="10">
        <v>0.16220081425273</v>
      </c>
      <c r="AE73" s="7" t="s">
        <v>112</v>
      </c>
      <c r="AF73" s="10">
        <v>1.20256431765603E-2</v>
      </c>
      <c r="AG73" s="10" t="str">
        <f>YEAR(CurrentMtgRatesDataTable89[[#This Row],[asofdate]])&amp;"-"&amp;MONTH(CurrentMtgRatesDataTable89[[#This Row],[asofdate]])</f>
        <v>2009-11</v>
      </c>
      <c r="AH73" s="6">
        <f>((CurrentMtgRatesDataTable89[[#This Row],[SeriesNumValue]]-$D$1)/$D$1+1)*100</f>
        <v>80.170954510401998</v>
      </c>
      <c r="AI73" s="6">
        <f>CurrentMtgRatesDataTable89[[#This Row],[Index]]-AH74</f>
        <v>1.2282682165559891</v>
      </c>
      <c r="AJ73" s="6">
        <f>VLOOKUP(CurrentMtgRatesDataTable89[[#This Row],[asofdate]],G:H,2,0)</f>
        <v>76.953802685989899</v>
      </c>
      <c r="AK73" s="6">
        <f>VLOOKUP(CurrentMtgRatesDataTable89[[#This Row],[asofdate]],K:L,2,0)</f>
        <v>8.0716616689524998E-2</v>
      </c>
      <c r="AL73" s="6">
        <f>VLOOKUP(CurrentMtgRatesDataTable89[[#This Row],[asofdate]],O:P,2,0)</f>
        <v>35.3465901358419</v>
      </c>
      <c r="AM73" s="6">
        <f>VLOOKUP(CurrentMtgRatesDataTable89[[#This Row],[asofdate]],S:T,2,0)</f>
        <v>0.31708660379937997</v>
      </c>
      <c r="AN73" s="6">
        <f>VLOOKUP(CurrentMtgRatesDataTable89[[#This Row],[asofdate]],W:X,2,0)</f>
        <v>759.44591566559802</v>
      </c>
      <c r="AO73" s="6">
        <f>VLOOKUP(CurrentMtgRatesDataTable89[[#This Row],[asofdate]],AA:AB,2,0)</f>
        <v>8.7714189812880997E-2</v>
      </c>
      <c r="AR73" s="7" t="s">
        <v>102</v>
      </c>
      <c r="AS73" s="10">
        <v>9.3076853520146705E-2</v>
      </c>
      <c r="AT73" s="36">
        <f>((CurrentMtgRatesDataTable8711[[#This Row],[SeriesNumValue]]-$D$1)/$D$1+1)*100</f>
        <v>620.51235680097807</v>
      </c>
      <c r="AU73" s="36"/>
      <c r="AW73" s="7" t="s">
        <v>102</v>
      </c>
      <c r="AX73" s="10">
        <v>8.5495306297522E-2</v>
      </c>
      <c r="AY73" s="36">
        <f>((CurrentMtgRatesDataTable871112[[#This Row],[SeriesNumValue]]-$D$1)/$D$1+1)*100</f>
        <v>569.96870865014671</v>
      </c>
      <c r="AZ73" s="36"/>
      <c r="BB73" s="7" t="s">
        <v>102</v>
      </c>
      <c r="BC73" s="10">
        <v>1.49451295680741E-2</v>
      </c>
      <c r="BD73" s="39">
        <f>((CurrentMtgRatesDataTable87111213[[#This Row],[SeriesNumValue]]-$D$1)/$D$1+1)*100</f>
        <v>99.634197120494008</v>
      </c>
      <c r="BE73" s="39"/>
      <c r="BG73" s="7" t="s">
        <v>102</v>
      </c>
      <c r="BH73" s="10">
        <v>1.38638196736778E-2</v>
      </c>
      <c r="BI73" s="39">
        <f>((CurrentMtgRatesDataTable8711121314[[#This Row],[SeriesNumValue]]-$D$1)/$D$1+1)*100</f>
        <v>92.425464491185338</v>
      </c>
      <c r="BJ73" s="39" t="str">
        <f>YEAR(CurrentMtgRatesDataTable8711121314[[#This Row],[asofdate]])&amp;"-"&amp;MONTH(CurrentMtgRatesDataTable8711121314[[#This Row],[asofdate]])</f>
        <v>2009-1</v>
      </c>
      <c r="BK73" s="39">
        <f>CurrentMtgRatesDataTable8711121314[[#This Row],[SeriesNumValue]]</f>
        <v>1.38638196736778E-2</v>
      </c>
      <c r="BL73" s="39">
        <f>VLOOKUP(CurrentMtgRatesDataTable8711121314[[#This Row],[asofdate]],AR:AT,2,0)</f>
        <v>9.3076853520146705E-2</v>
      </c>
      <c r="BM73" s="35">
        <f>IF(VLOOKUP(CurrentMtgRatesDataTable8711121314[[#This Row],[asofdate]],AW:AY,2,0)&lt;&gt;0,VLOOKUP(CurrentMtgRatesDataTable8711121314[[#This Row],[asofdate]],AW:AY,2,0),BM72)</f>
        <v>8.5495306297522E-2</v>
      </c>
      <c r="BN73" s="35">
        <f>VLOOKUP(CurrentMtgRatesDataTable8711121314[[#This Row],[asofdate]],BB:BD,2,0)</f>
        <v>1.49451295680741E-2</v>
      </c>
      <c r="BO73" s="35">
        <f>CurrentMtgRatesDataTable8711121314[[#This Row],[FHA]]+0.5*CurrentMtgRatesDataTable8711121314[[#This Row],[Conventional]]</f>
        <v>0.10000876335698561</v>
      </c>
      <c r="BP73" s="35">
        <f>2*CurrentMtgRatesDataTable8711121314[[#This Row],[FHA]]</f>
        <v>0.18615370704029341</v>
      </c>
      <c r="BQ73" s="11">
        <f>VLOOKUP(YEAR(CurrentMtgRatesDataTable8711121314[[#This Row],[asofdate]]),OriginationVolume!$A:$N,8,FALSE)</f>
        <v>0.68277430358158042</v>
      </c>
      <c r="BR73" s="11">
        <f>VLOOKUP(YEAR(CurrentMtgRatesDataTable8711121314[[#This Row],[asofdate]]),OriginationVolume!$A:$N,9,FALSE)</f>
        <v>6.4098919840818641E-2</v>
      </c>
      <c r="BS73" s="11">
        <f>VLOOKUP(YEAR(CurrentMtgRatesDataTable8711121314[[#This Row],[asofdate]]),OriginationVolume!$A:$N,10,FALSE)</f>
        <v>0.19229675952245595</v>
      </c>
      <c r="BT73" s="11">
        <f>VLOOKUP(YEAR(CurrentMtgRatesDataTable8711121314[[#This Row],[asofdate]]),OriginationVolume!$A:$N,11,FALSE)</f>
        <v>5.5144968732234227E-2</v>
      </c>
      <c r="BU73" s="11">
        <f>VLOOKUP(YEAR(CurrentMtgRatesDataTable8711121314[[#This Row],[asofdate]]),OriginationVolume!$A:$N,12,FALSE)</f>
        <v>3.4110289937464467E-3</v>
      </c>
      <c r="BV73" s="11">
        <f>VLOOKUP(YEAR(CurrentMtgRatesDataTable8711121314[[#This Row],[asofdate]]),OriginationVolume!$A:$N,13,FALSE)</f>
        <v>2.2740193291642978E-3</v>
      </c>
      <c r="BW73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3.4373363748136501E-2</v>
      </c>
      <c r="BY73" s="7" t="s">
        <v>102</v>
      </c>
      <c r="BZ73" s="10">
        <v>206822000</v>
      </c>
      <c r="CA73" s="36"/>
      <c r="CC73" s="7" t="s">
        <v>102</v>
      </c>
      <c r="CD73" s="10">
        <v>22337000</v>
      </c>
      <c r="CE73" s="36"/>
      <c r="CG73" s="7" t="s">
        <v>102</v>
      </c>
      <c r="CH73" s="10">
        <v>6760565628.5100002</v>
      </c>
      <c r="CI73" s="39"/>
      <c r="CK73" s="7" t="s">
        <v>102</v>
      </c>
      <c r="CL73" s="10">
        <v>6531406628.5100002</v>
      </c>
      <c r="CM73" s="39" t="str">
        <f>YEAR(CurrentMtgRatesDataTable871112131417[[#This Row],[asofdate]])&amp;"-"&amp;MONTH(CurrentMtgRatesDataTable871112131417[[#This Row],[asofdate]])</f>
        <v>2009-1</v>
      </c>
      <c r="CN73" s="39">
        <f>CurrentMtgRatesDataTable871112131417[[#This Row],[SeriesNumValue]]</f>
        <v>6531406628.5100002</v>
      </c>
      <c r="CO73" s="39">
        <f>VLOOKUP(CurrentMtgRatesDataTable871112131417[[#This Row],[asofdate]],BY:BZ,2,0)</f>
        <v>206822000</v>
      </c>
      <c r="CP73" s="35">
        <f>IF(VLOOKUP(CurrentMtgRatesDataTable871112131417[[#This Row],[asofdate]],CC:CD,2,0)&lt;&gt;0,VLOOKUP(CurrentMtgRatesDataTable871112131417[[#This Row],[asofdate]],CC:CD,2,0),CP72)</f>
        <v>22337000</v>
      </c>
      <c r="CQ73" s="35">
        <f>VLOOKUP(CurrentMtgRatesDataTable871112131417[[#This Row],[asofdate]],CG:CH,2,0)</f>
        <v>6760565628.5100002</v>
      </c>
    </row>
    <row r="74" spans="1:95" s="6" customFormat="1" ht="12.75">
      <c r="A74" s="7" t="s">
        <v>103</v>
      </c>
      <c r="B74" s="10">
        <v>1.50923931423892E-2</v>
      </c>
      <c r="C74" s="10" t="str">
        <f>YEAR(CurrentMtgRatesDataTable8[[#This Row],[asofdate]])&amp;"-"&amp;MONTH(CurrentMtgRatesDataTable8[[#This Row],[asofdate]])</f>
        <v>2009-2</v>
      </c>
      <c r="D74" s="6">
        <f>((CurrentMtgRatesDataTable8[[#This Row],[SeriesNumValue]]-$D$1)/$D$1+1)*100</f>
        <v>100.61595428259467</v>
      </c>
      <c r="G74" s="7" t="s">
        <v>103</v>
      </c>
      <c r="H74" s="10">
        <v>77.790956229913803</v>
      </c>
      <c r="I74" s="26">
        <f>VLOOKUP(CurrentMtgRatesDataTable82[[#This Row],[asofdate]],K:L,2,0)</f>
        <v>0.12680743640067399</v>
      </c>
      <c r="K74" s="7" t="s">
        <v>103</v>
      </c>
      <c r="L74" s="29">
        <v>0.12680743640067399</v>
      </c>
      <c r="O74" s="7" t="s">
        <v>103</v>
      </c>
      <c r="P74" s="10">
        <v>36.703804548987797</v>
      </c>
      <c r="Q74" s="29">
        <f>VLOOKUP(CurrentMtgRatesDataTable84[[#This Row],[asofdate]],S:T,2,0)</f>
        <v>0.37063372190416999</v>
      </c>
      <c r="S74" s="7" t="s">
        <v>103</v>
      </c>
      <c r="T74" s="10">
        <v>0.37063372190416999</v>
      </c>
      <c r="W74" s="7" t="s">
        <v>103</v>
      </c>
      <c r="X74" s="10">
        <v>751.15781540485602</v>
      </c>
      <c r="Y74" s="26">
        <f>VLOOKUP(CurrentMtgRatesDataTable86[[#This Row],[asofdate]],AA:AB,2,0)</f>
        <v>0.14020618311049801</v>
      </c>
      <c r="AA74" s="7" t="s">
        <v>103</v>
      </c>
      <c r="AB74" s="10">
        <v>0.14020618311049801</v>
      </c>
      <c r="AE74" s="7" t="s">
        <v>111</v>
      </c>
      <c r="AF74" s="10">
        <v>1.1841402944076901E-2</v>
      </c>
      <c r="AG74" s="10" t="str">
        <f>YEAR(CurrentMtgRatesDataTable89[[#This Row],[asofdate]])&amp;"-"&amp;MONTH(CurrentMtgRatesDataTable89[[#This Row],[asofdate]])</f>
        <v>2009-10</v>
      </c>
      <c r="AH74" s="6">
        <f>((CurrentMtgRatesDataTable89[[#This Row],[SeriesNumValue]]-$D$1)/$D$1+1)*100</f>
        <v>78.942686293846009</v>
      </c>
      <c r="AI74" s="6">
        <f>CurrentMtgRatesDataTable89[[#This Row],[Index]]-AH75</f>
        <v>5.211608034234672</v>
      </c>
      <c r="AJ74" s="6">
        <f>VLOOKUP(CurrentMtgRatesDataTable89[[#This Row],[asofdate]],G:H,2,0)</f>
        <v>77.093872022529993</v>
      </c>
      <c r="AK74" s="6">
        <f>VLOOKUP(CurrentMtgRatesDataTable89[[#This Row],[asofdate]],K:L,2,0)</f>
        <v>8.1590229627374694E-2</v>
      </c>
      <c r="AL74" s="6">
        <f>VLOOKUP(CurrentMtgRatesDataTable89[[#This Row],[asofdate]],O:P,2,0)</f>
        <v>35.285355439040003</v>
      </c>
      <c r="AM74" s="6">
        <f>VLOOKUP(CurrentMtgRatesDataTable89[[#This Row],[asofdate]],S:T,2,0)</f>
        <v>0.31818274376699701</v>
      </c>
      <c r="AN74" s="6">
        <f>VLOOKUP(CurrentMtgRatesDataTable89[[#This Row],[asofdate]],W:X,2,0)</f>
        <v>759.72561555373602</v>
      </c>
      <c r="AO74" s="6">
        <f>VLOOKUP(CurrentMtgRatesDataTable89[[#This Row],[asofdate]],AA:AB,2,0)</f>
        <v>8.2438455854949605E-2</v>
      </c>
      <c r="AR74" s="7" t="s">
        <v>103</v>
      </c>
      <c r="AS74" s="10">
        <v>0.100196056372731</v>
      </c>
      <c r="AT74" s="36">
        <f>((CurrentMtgRatesDataTable8711[[#This Row],[SeriesNumValue]]-$D$1)/$D$1+1)*100</f>
        <v>667.97370915154011</v>
      </c>
      <c r="AU74" s="36"/>
      <c r="AW74" s="7" t="s">
        <v>103</v>
      </c>
      <c r="AX74" s="10">
        <v>8.9137877795202894E-2</v>
      </c>
      <c r="AY74" s="36">
        <f>((CurrentMtgRatesDataTable871112[[#This Row],[SeriesNumValue]]-$D$1)/$D$1+1)*100</f>
        <v>594.252518634686</v>
      </c>
      <c r="AZ74" s="36"/>
      <c r="BB74" s="7" t="s">
        <v>103</v>
      </c>
      <c r="BC74" s="10">
        <v>1.5468274430100499E-2</v>
      </c>
      <c r="BD74" s="39">
        <f>((CurrentMtgRatesDataTable87111213[[#This Row],[SeriesNumValue]]-$D$1)/$D$1+1)*100</f>
        <v>103.12182953400333</v>
      </c>
      <c r="BE74" s="39"/>
      <c r="BG74" s="7" t="s">
        <v>103</v>
      </c>
      <c r="BH74" s="10">
        <v>1.39907857369967E-2</v>
      </c>
      <c r="BI74" s="39">
        <f>((CurrentMtgRatesDataTable8711121314[[#This Row],[SeriesNumValue]]-$D$1)/$D$1+1)*100</f>
        <v>93.271904913311346</v>
      </c>
      <c r="BJ74" s="39" t="str">
        <f>YEAR(CurrentMtgRatesDataTable8711121314[[#This Row],[asofdate]])&amp;"-"&amp;MONTH(CurrentMtgRatesDataTable8711121314[[#This Row],[asofdate]])</f>
        <v>2009-2</v>
      </c>
      <c r="BK74" s="39">
        <f>CurrentMtgRatesDataTable8711121314[[#This Row],[SeriesNumValue]]</f>
        <v>1.39907857369967E-2</v>
      </c>
      <c r="BL74" s="39">
        <f>VLOOKUP(CurrentMtgRatesDataTable8711121314[[#This Row],[asofdate]],AR:AT,2,0)</f>
        <v>0.100196056372731</v>
      </c>
      <c r="BM74" s="35">
        <f>IF(VLOOKUP(CurrentMtgRatesDataTable8711121314[[#This Row],[asofdate]],AW:AY,2,0)&lt;&gt;0,VLOOKUP(CurrentMtgRatesDataTable8711121314[[#This Row],[asofdate]],AW:AY,2,0),BM73)</f>
        <v>8.9137877795202894E-2</v>
      </c>
      <c r="BN74" s="35">
        <f>VLOOKUP(CurrentMtgRatesDataTable8711121314[[#This Row],[asofdate]],BB:BD,2,0)</f>
        <v>1.5468274430100499E-2</v>
      </c>
      <c r="BO74" s="35">
        <f>CurrentMtgRatesDataTable8711121314[[#This Row],[FHA]]+0.5*CurrentMtgRatesDataTable8711121314[[#This Row],[Conventional]]</f>
        <v>0.10719144924122935</v>
      </c>
      <c r="BP74" s="35">
        <f>2*CurrentMtgRatesDataTable8711121314[[#This Row],[FHA]]</f>
        <v>0.20039211274546201</v>
      </c>
      <c r="BQ74" s="11">
        <f>VLOOKUP(YEAR(CurrentMtgRatesDataTable8711121314[[#This Row],[asofdate]]),OriginationVolume!$A:$N,8,FALSE)</f>
        <v>0.68277430358158042</v>
      </c>
      <c r="BR74" s="11">
        <f>VLOOKUP(YEAR(CurrentMtgRatesDataTable8711121314[[#This Row],[asofdate]]),OriginationVolume!$A:$N,9,FALSE)</f>
        <v>6.4098919840818641E-2</v>
      </c>
      <c r="BS74" s="11">
        <f>VLOOKUP(YEAR(CurrentMtgRatesDataTable8711121314[[#This Row],[asofdate]]),OriginationVolume!$A:$N,10,FALSE)</f>
        <v>0.19229675952245595</v>
      </c>
      <c r="BT74" s="11">
        <f>VLOOKUP(YEAR(CurrentMtgRatesDataTable8711121314[[#This Row],[asofdate]]),OriginationVolume!$A:$N,11,FALSE)</f>
        <v>5.5144968732234227E-2</v>
      </c>
      <c r="BU74" s="11">
        <f>VLOOKUP(YEAR(CurrentMtgRatesDataTable8711121314[[#This Row],[asofdate]]),OriginationVolume!$A:$N,12,FALSE)</f>
        <v>3.4110289937464467E-3</v>
      </c>
      <c r="BV74" s="11">
        <f>VLOOKUP(YEAR(CurrentMtgRatesDataTable8711121314[[#This Row],[asofdate]]),OriginationVolume!$A:$N,13,FALSE)</f>
        <v>2.2740193291642978E-3</v>
      </c>
      <c r="BW74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3.612641775016278E-2</v>
      </c>
      <c r="BY74" s="7" t="s">
        <v>103</v>
      </c>
      <c r="BZ74" s="10">
        <v>297508000</v>
      </c>
      <c r="CA74" s="36"/>
      <c r="CC74" s="7" t="s">
        <v>103</v>
      </c>
      <c r="CD74" s="10">
        <v>40030000</v>
      </c>
      <c r="CE74" s="36"/>
      <c r="CG74" s="7" t="s">
        <v>103</v>
      </c>
      <c r="CH74" s="10">
        <v>9577071168.3700008</v>
      </c>
      <c r="CI74" s="39"/>
      <c r="CK74" s="7" t="s">
        <v>103</v>
      </c>
      <c r="CL74" s="10">
        <v>9239533168.3700008</v>
      </c>
      <c r="CM74" s="39" t="str">
        <f>YEAR(CurrentMtgRatesDataTable871112131417[[#This Row],[asofdate]])&amp;"-"&amp;MONTH(CurrentMtgRatesDataTable871112131417[[#This Row],[asofdate]])</f>
        <v>2009-2</v>
      </c>
      <c r="CN74" s="39">
        <f>CurrentMtgRatesDataTable871112131417[[#This Row],[SeriesNumValue]]</f>
        <v>9239533168.3700008</v>
      </c>
      <c r="CO74" s="39">
        <f>VLOOKUP(CurrentMtgRatesDataTable871112131417[[#This Row],[asofdate]],BY:BZ,2,0)</f>
        <v>297508000</v>
      </c>
      <c r="CP74" s="35">
        <f>IF(VLOOKUP(CurrentMtgRatesDataTable871112131417[[#This Row],[asofdate]],CC:CD,2,0)&lt;&gt;0,VLOOKUP(CurrentMtgRatesDataTable871112131417[[#This Row],[asofdate]],CC:CD,2,0),CP73)</f>
        <v>40030000</v>
      </c>
      <c r="CQ74" s="35">
        <f>VLOOKUP(CurrentMtgRatesDataTable871112131417[[#This Row],[asofdate]],CG:CH,2,0)</f>
        <v>9577071168.3700008</v>
      </c>
    </row>
    <row r="75" spans="1:95" s="6" customFormat="1" ht="12.75">
      <c r="A75" s="7" t="s">
        <v>104</v>
      </c>
      <c r="B75" s="10">
        <v>1.19608237456295E-2</v>
      </c>
      <c r="C75" s="10" t="str">
        <f>YEAR(CurrentMtgRatesDataTable8[[#This Row],[asofdate]])&amp;"-"&amp;MONTH(CurrentMtgRatesDataTable8[[#This Row],[asofdate]])</f>
        <v>2009-3</v>
      </c>
      <c r="D75" s="6">
        <f>((CurrentMtgRatesDataTable8[[#This Row],[SeriesNumValue]]-$D$1)/$D$1+1)*100</f>
        <v>79.738824970863334</v>
      </c>
      <c r="G75" s="7" t="s">
        <v>104</v>
      </c>
      <c r="H75" s="10">
        <v>77.523640105523498</v>
      </c>
      <c r="I75" s="26">
        <f>VLOOKUP(CurrentMtgRatesDataTable82[[#This Row],[asofdate]],K:L,2,0)</f>
        <v>0.123219438030904</v>
      </c>
      <c r="K75" s="7" t="s">
        <v>104</v>
      </c>
      <c r="L75" s="29">
        <v>0.123219438030904</v>
      </c>
      <c r="O75" s="7" t="s">
        <v>104</v>
      </c>
      <c r="P75" s="10">
        <v>36.205626715771302</v>
      </c>
      <c r="Q75" s="29">
        <f>VLOOKUP(CurrentMtgRatesDataTable84[[#This Row],[asofdate]],S:T,2,0)</f>
        <v>0.36778743990558699</v>
      </c>
      <c r="S75" s="7" t="s">
        <v>104</v>
      </c>
      <c r="T75" s="10">
        <v>0.36778743990558699</v>
      </c>
      <c r="W75" s="7" t="s">
        <v>104</v>
      </c>
      <c r="X75" s="10">
        <v>753.83736768122901</v>
      </c>
      <c r="Y75" s="26">
        <f>VLOOKUP(CurrentMtgRatesDataTable86[[#This Row],[asofdate]],AA:AB,2,0)</f>
        <v>0.12367298279946699</v>
      </c>
      <c r="AA75" s="7" t="s">
        <v>104</v>
      </c>
      <c r="AB75" s="10">
        <v>0.12367298279946699</v>
      </c>
      <c r="AE75" s="7" t="s">
        <v>110</v>
      </c>
      <c r="AF75" s="10">
        <v>1.10596617389417E-2</v>
      </c>
      <c r="AG75" s="10" t="str">
        <f>YEAR(CurrentMtgRatesDataTable89[[#This Row],[asofdate]])&amp;"-"&amp;MONTH(CurrentMtgRatesDataTable89[[#This Row],[asofdate]])</f>
        <v>2009-9</v>
      </c>
      <c r="AH75" s="6">
        <f>((CurrentMtgRatesDataTable89[[#This Row],[SeriesNumValue]]-$D$1)/$D$1+1)*100</f>
        <v>73.731078259611337</v>
      </c>
      <c r="AI75" s="6">
        <f>CurrentMtgRatesDataTable89[[#This Row],[Index]]-AH76</f>
        <v>9.6538837069608689</v>
      </c>
      <c r="AJ75" s="6">
        <f>VLOOKUP(CurrentMtgRatesDataTable89[[#This Row],[asofdate]],G:H,2,0)</f>
        <v>76.886352068516302</v>
      </c>
      <c r="AK75" s="6">
        <f>VLOOKUP(CurrentMtgRatesDataTable89[[#This Row],[asofdate]],K:L,2,0)</f>
        <v>8.0808845487819705E-2</v>
      </c>
      <c r="AL75" s="6">
        <f>VLOOKUP(CurrentMtgRatesDataTable89[[#This Row],[asofdate]],O:P,2,0)</f>
        <v>35.062429359649101</v>
      </c>
      <c r="AM75" s="6">
        <f>VLOOKUP(CurrentMtgRatesDataTable89[[#This Row],[asofdate]],S:T,2,0)</f>
        <v>0.312424845490548</v>
      </c>
      <c r="AN75" s="6">
        <f>VLOOKUP(CurrentMtgRatesDataTable89[[#This Row],[asofdate]],W:X,2,0)</f>
        <v>760.53091745985296</v>
      </c>
      <c r="AO75" s="6">
        <f>VLOOKUP(CurrentMtgRatesDataTable89[[#This Row],[asofdate]],AA:AB,2,0)</f>
        <v>7.6840796476315407E-2</v>
      </c>
      <c r="AR75" s="7" t="s">
        <v>104</v>
      </c>
      <c r="AS75" s="10">
        <v>8.3237162808257104E-2</v>
      </c>
      <c r="AT75" s="36">
        <f>((CurrentMtgRatesDataTable8711[[#This Row],[SeriesNumValue]]-$D$1)/$D$1+1)*100</f>
        <v>554.91441872171401</v>
      </c>
      <c r="AU75" s="36"/>
      <c r="AW75" s="7" t="s">
        <v>104</v>
      </c>
      <c r="AX75" s="10">
        <v>6.4262861829081905E-2</v>
      </c>
      <c r="AY75" s="36">
        <f>((CurrentMtgRatesDataTable871112[[#This Row],[SeriesNumValue]]-$D$1)/$D$1+1)*100</f>
        <v>428.41907886054605</v>
      </c>
      <c r="AZ75" s="36"/>
      <c r="BB75" s="7" t="s">
        <v>104</v>
      </c>
      <c r="BC75" s="10">
        <v>1.53801119456727E-2</v>
      </c>
      <c r="BD75" s="39">
        <f>((CurrentMtgRatesDataTable87111213[[#This Row],[SeriesNumValue]]-$D$1)/$D$1+1)*100</f>
        <v>102.534079637818</v>
      </c>
      <c r="BE75" s="39"/>
      <c r="BG75" s="7" t="s">
        <v>104</v>
      </c>
      <c r="BH75" s="10">
        <v>1.2143485589171599E-2</v>
      </c>
      <c r="BI75" s="39">
        <f>((CurrentMtgRatesDataTable8711121314[[#This Row],[SeriesNumValue]]-$D$1)/$D$1+1)*100</f>
        <v>80.956570594477327</v>
      </c>
      <c r="BJ75" s="39" t="str">
        <f>YEAR(CurrentMtgRatesDataTable8711121314[[#This Row],[asofdate]])&amp;"-"&amp;MONTH(CurrentMtgRatesDataTable8711121314[[#This Row],[asofdate]])</f>
        <v>2009-3</v>
      </c>
      <c r="BK75" s="39">
        <f>CurrentMtgRatesDataTable8711121314[[#This Row],[SeriesNumValue]]</f>
        <v>1.2143485589171599E-2</v>
      </c>
      <c r="BL75" s="39">
        <f>VLOOKUP(CurrentMtgRatesDataTable8711121314[[#This Row],[asofdate]],AR:AT,2,0)</f>
        <v>8.3237162808257104E-2</v>
      </c>
      <c r="BM75" s="35">
        <f>IF(VLOOKUP(CurrentMtgRatesDataTable8711121314[[#This Row],[asofdate]],AW:AY,2,0)&lt;&gt;0,VLOOKUP(CurrentMtgRatesDataTable8711121314[[#This Row],[asofdate]],AW:AY,2,0),BM74)</f>
        <v>6.4262861829081905E-2</v>
      </c>
      <c r="BN75" s="35">
        <f>VLOOKUP(CurrentMtgRatesDataTable8711121314[[#This Row],[asofdate]],BB:BD,2,0)</f>
        <v>1.53801119456727E-2</v>
      </c>
      <c r="BO75" s="35">
        <f>CurrentMtgRatesDataTable8711121314[[#This Row],[FHA]]+0.5*CurrentMtgRatesDataTable8711121314[[#This Row],[Conventional]]</f>
        <v>8.9308905602842908E-2</v>
      </c>
      <c r="BP75" s="35">
        <f>2*CurrentMtgRatesDataTable8711121314[[#This Row],[FHA]]</f>
        <v>0.16647432561651421</v>
      </c>
      <c r="BQ75" s="11">
        <f>VLOOKUP(YEAR(CurrentMtgRatesDataTable8711121314[[#This Row],[asofdate]]),OriginationVolume!$A:$N,8,FALSE)</f>
        <v>0.68277430358158042</v>
      </c>
      <c r="BR75" s="11">
        <f>VLOOKUP(YEAR(CurrentMtgRatesDataTable8711121314[[#This Row],[asofdate]]),OriginationVolume!$A:$N,9,FALSE)</f>
        <v>6.4098919840818641E-2</v>
      </c>
      <c r="BS75" s="11">
        <f>VLOOKUP(YEAR(CurrentMtgRatesDataTable8711121314[[#This Row],[asofdate]]),OriginationVolume!$A:$N,10,FALSE)</f>
        <v>0.19229675952245595</v>
      </c>
      <c r="BT75" s="11">
        <f>VLOOKUP(YEAR(CurrentMtgRatesDataTable8711121314[[#This Row],[asofdate]]),OriginationVolume!$A:$N,11,FALSE)</f>
        <v>5.5144968732234227E-2</v>
      </c>
      <c r="BU75" s="11">
        <f>VLOOKUP(YEAR(CurrentMtgRatesDataTable8711121314[[#This Row],[asofdate]]),OriginationVolume!$A:$N,12,FALSE)</f>
        <v>3.4110289937464467E-3</v>
      </c>
      <c r="BV75" s="11">
        <f>VLOOKUP(YEAR(CurrentMtgRatesDataTable8711121314[[#This Row],[asofdate]]),OriginationVolume!$A:$N,13,FALSE)</f>
        <v>2.2740193291642978E-3</v>
      </c>
      <c r="BW75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2.9769529858982267E-2</v>
      </c>
      <c r="BY75" s="7" t="s">
        <v>104</v>
      </c>
      <c r="BZ75" s="10">
        <v>403351000</v>
      </c>
      <c r="CA75" s="36"/>
      <c r="CC75" s="7" t="s">
        <v>104</v>
      </c>
      <c r="CD75" s="10">
        <v>74556000</v>
      </c>
      <c r="CE75" s="36"/>
      <c r="CG75" s="7" t="s">
        <v>104</v>
      </c>
      <c r="CH75" s="10">
        <v>7649530609.0799999</v>
      </c>
      <c r="CI75" s="39"/>
      <c r="CK75" s="7" t="s">
        <v>104</v>
      </c>
      <c r="CL75" s="10">
        <v>7171623609.0799999</v>
      </c>
      <c r="CM75" s="39" t="str">
        <f>YEAR(CurrentMtgRatesDataTable871112131417[[#This Row],[asofdate]])&amp;"-"&amp;MONTH(CurrentMtgRatesDataTable871112131417[[#This Row],[asofdate]])</f>
        <v>2009-3</v>
      </c>
      <c r="CN75" s="39">
        <f>CurrentMtgRatesDataTable871112131417[[#This Row],[SeriesNumValue]]</f>
        <v>7171623609.0799999</v>
      </c>
      <c r="CO75" s="39">
        <f>VLOOKUP(CurrentMtgRatesDataTable871112131417[[#This Row],[asofdate]],BY:BZ,2,0)</f>
        <v>403351000</v>
      </c>
      <c r="CP75" s="35">
        <f>IF(VLOOKUP(CurrentMtgRatesDataTable871112131417[[#This Row],[asofdate]],CC:CD,2,0)&lt;&gt;0,VLOOKUP(CurrentMtgRatesDataTable871112131417[[#This Row],[asofdate]],CC:CD,2,0),CP74)</f>
        <v>74556000</v>
      </c>
      <c r="CQ75" s="35">
        <f>VLOOKUP(CurrentMtgRatesDataTable871112131417[[#This Row],[asofdate]],CG:CH,2,0)</f>
        <v>7649530609.0799999</v>
      </c>
    </row>
    <row r="76" spans="1:95" s="6" customFormat="1" ht="12.75">
      <c r="A76" s="7" t="s">
        <v>105</v>
      </c>
      <c r="B76" s="10">
        <v>1.1500605941033E-2</v>
      </c>
      <c r="C76" s="10" t="str">
        <f>YEAR(CurrentMtgRatesDataTable8[[#This Row],[asofdate]])&amp;"-"&amp;MONTH(CurrentMtgRatesDataTable8[[#This Row],[asofdate]])</f>
        <v>2009-4</v>
      </c>
      <c r="D76" s="6">
        <f>((CurrentMtgRatesDataTable8[[#This Row],[SeriesNumValue]]-$D$1)/$D$1+1)*100</f>
        <v>76.670706273553336</v>
      </c>
      <c r="G76" s="7" t="s">
        <v>105</v>
      </c>
      <c r="H76" s="10">
        <v>77.7250496197925</v>
      </c>
      <c r="I76" s="26">
        <f>VLOOKUP(CurrentMtgRatesDataTable82[[#This Row],[asofdate]],K:L,2,0)</f>
        <v>0.119470963956919</v>
      </c>
      <c r="K76" s="7" t="s">
        <v>105</v>
      </c>
      <c r="L76" s="29">
        <v>0.119470963956919</v>
      </c>
      <c r="O76" s="7" t="s">
        <v>105</v>
      </c>
      <c r="P76" s="10">
        <v>35.799246123443801</v>
      </c>
      <c r="Q76" s="29">
        <f>VLOOKUP(CurrentMtgRatesDataTable84[[#This Row],[asofdate]],S:T,2,0)</f>
        <v>0.35728737603095201</v>
      </c>
      <c r="S76" s="7" t="s">
        <v>105</v>
      </c>
      <c r="T76" s="10">
        <v>0.35728737603095201</v>
      </c>
      <c r="W76" s="7" t="s">
        <v>105</v>
      </c>
      <c r="X76" s="10">
        <v>755.70927973049299</v>
      </c>
      <c r="Y76" s="26">
        <f>VLOOKUP(CurrentMtgRatesDataTable86[[#This Row],[asofdate]],AA:AB,2,0)</f>
        <v>0.108448775058114</v>
      </c>
      <c r="AA76" s="7" t="s">
        <v>105</v>
      </c>
      <c r="AB76" s="10">
        <v>0.108448775058114</v>
      </c>
      <c r="AE76" s="7" t="s">
        <v>109</v>
      </c>
      <c r="AF76" s="10">
        <v>9.6115791828975707E-3</v>
      </c>
      <c r="AG76" s="10" t="str">
        <f>YEAR(CurrentMtgRatesDataTable89[[#This Row],[asofdate]])&amp;"-"&amp;MONTH(CurrentMtgRatesDataTable89[[#This Row],[asofdate]])</f>
        <v>2009-8</v>
      </c>
      <c r="AH76" s="6">
        <f>((CurrentMtgRatesDataTable89[[#This Row],[SeriesNumValue]]-$D$1)/$D$1+1)*100</f>
        <v>64.077194552650468</v>
      </c>
      <c r="AI76" s="6">
        <f>CurrentMtgRatesDataTable89[[#This Row],[Index]]-AH77</f>
        <v>-0.5558075932003419</v>
      </c>
      <c r="AJ76" s="6">
        <f>VLOOKUP(CurrentMtgRatesDataTable89[[#This Row],[asofdate]],G:H,2,0)</f>
        <v>76.939091357976594</v>
      </c>
      <c r="AK76" s="6">
        <f>VLOOKUP(CurrentMtgRatesDataTable89[[#This Row],[asofdate]],K:L,2,0)</f>
        <v>8.7512741345424597E-2</v>
      </c>
      <c r="AL76" s="6">
        <f>VLOOKUP(CurrentMtgRatesDataTable89[[#This Row],[asofdate]],O:P,2,0)</f>
        <v>34.610842833678603</v>
      </c>
      <c r="AM76" s="6">
        <f>VLOOKUP(CurrentMtgRatesDataTable89[[#This Row],[asofdate]],S:T,2,0)</f>
        <v>0.301359603259164</v>
      </c>
      <c r="AN76" s="6">
        <f>VLOOKUP(CurrentMtgRatesDataTable89[[#This Row],[asofdate]],W:X,2,0)</f>
        <v>761.27311365542903</v>
      </c>
      <c r="AO76" s="6">
        <f>VLOOKUP(CurrentMtgRatesDataTable89[[#This Row],[asofdate]],AA:AB,2,0)</f>
        <v>7.5174619563951994E-2</v>
      </c>
      <c r="AR76" s="7" t="s">
        <v>105</v>
      </c>
      <c r="AS76" s="10">
        <v>7.7152354316607705E-2</v>
      </c>
      <c r="AT76" s="36">
        <f>((CurrentMtgRatesDataTable8711[[#This Row],[SeriesNumValue]]-$D$1)/$D$1+1)*100</f>
        <v>514.34902877738477</v>
      </c>
      <c r="AU76" s="36"/>
      <c r="AW76" s="7" t="s">
        <v>105</v>
      </c>
      <c r="AX76" s="10">
        <v>5.8657409652671001E-2</v>
      </c>
      <c r="AY76" s="36">
        <f>((CurrentMtgRatesDataTable871112[[#This Row],[SeriesNumValue]]-$D$1)/$D$1+1)*100</f>
        <v>391.04939768447338</v>
      </c>
      <c r="AZ76" s="36"/>
      <c r="BB76" s="7" t="s">
        <v>105</v>
      </c>
      <c r="BC76" s="10">
        <v>1.47232835769587E-2</v>
      </c>
      <c r="BD76" s="39">
        <f>((CurrentMtgRatesDataTable87111213[[#This Row],[SeriesNumValue]]-$D$1)/$D$1+1)*100</f>
        <v>98.155223846391337</v>
      </c>
      <c r="BE76" s="39"/>
      <c r="BG76" s="7" t="s">
        <v>105</v>
      </c>
      <c r="BH76" s="10">
        <v>1.1109793158067399E-2</v>
      </c>
      <c r="BI76" s="39">
        <f>((CurrentMtgRatesDataTable8711121314[[#This Row],[SeriesNumValue]]-$D$1)/$D$1+1)*100</f>
        <v>74.065287720449334</v>
      </c>
      <c r="BJ76" s="39" t="str">
        <f>YEAR(CurrentMtgRatesDataTable8711121314[[#This Row],[asofdate]])&amp;"-"&amp;MONTH(CurrentMtgRatesDataTable8711121314[[#This Row],[asofdate]])</f>
        <v>2009-4</v>
      </c>
      <c r="BK76" s="39">
        <f>CurrentMtgRatesDataTable8711121314[[#This Row],[SeriesNumValue]]</f>
        <v>1.1109793158067399E-2</v>
      </c>
      <c r="BL76" s="39">
        <f>VLOOKUP(CurrentMtgRatesDataTable8711121314[[#This Row],[asofdate]],AR:AT,2,0)</f>
        <v>7.7152354316607705E-2</v>
      </c>
      <c r="BM76" s="35">
        <f>IF(VLOOKUP(CurrentMtgRatesDataTable8711121314[[#This Row],[asofdate]],AW:AY,2,0)&lt;&gt;0,VLOOKUP(CurrentMtgRatesDataTable8711121314[[#This Row],[asofdate]],AW:AY,2,0),BM75)</f>
        <v>5.8657409652671001E-2</v>
      </c>
      <c r="BN76" s="35">
        <f>VLOOKUP(CurrentMtgRatesDataTable8711121314[[#This Row],[asofdate]],BB:BD,2,0)</f>
        <v>1.47232835769587E-2</v>
      </c>
      <c r="BO76" s="35">
        <f>CurrentMtgRatesDataTable8711121314[[#This Row],[FHA]]+0.5*CurrentMtgRatesDataTable8711121314[[#This Row],[Conventional]]</f>
        <v>8.2707250895641404E-2</v>
      </c>
      <c r="BP76" s="35">
        <f>2*CurrentMtgRatesDataTable8711121314[[#This Row],[FHA]]</f>
        <v>0.15430470863321541</v>
      </c>
      <c r="BQ76" s="11">
        <f>VLOOKUP(YEAR(CurrentMtgRatesDataTable8711121314[[#This Row],[asofdate]]),OriginationVolume!$A:$N,8,FALSE)</f>
        <v>0.68277430358158042</v>
      </c>
      <c r="BR76" s="11">
        <f>VLOOKUP(YEAR(CurrentMtgRatesDataTable8711121314[[#This Row],[asofdate]]),OriginationVolume!$A:$N,9,FALSE)</f>
        <v>6.4098919840818641E-2</v>
      </c>
      <c r="BS76" s="11">
        <f>VLOOKUP(YEAR(CurrentMtgRatesDataTable8711121314[[#This Row],[asofdate]]),OriginationVolume!$A:$N,10,FALSE)</f>
        <v>0.19229675952245595</v>
      </c>
      <c r="BT76" s="11">
        <f>VLOOKUP(YEAR(CurrentMtgRatesDataTable8711121314[[#This Row],[asofdate]]),OriginationVolume!$A:$N,11,FALSE)</f>
        <v>5.5144968732234227E-2</v>
      </c>
      <c r="BU76" s="11">
        <f>VLOOKUP(YEAR(CurrentMtgRatesDataTable8711121314[[#This Row],[asofdate]]),OriginationVolume!$A:$N,12,FALSE)</f>
        <v>3.4110289937464467E-3</v>
      </c>
      <c r="BV76" s="11">
        <f>VLOOKUP(YEAR(CurrentMtgRatesDataTable8711121314[[#This Row],[asofdate]]),OriginationVolume!$A:$N,13,FALSE)</f>
        <v>2.2740193291642978E-3</v>
      </c>
      <c r="BW76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2.7427163527577837E-2</v>
      </c>
      <c r="BY76" s="7" t="s">
        <v>105</v>
      </c>
      <c r="BZ76" s="10">
        <v>486214000</v>
      </c>
      <c r="CA76" s="36"/>
      <c r="CC76" s="7" t="s">
        <v>105</v>
      </c>
      <c r="CD76" s="10">
        <v>124438000</v>
      </c>
      <c r="CE76" s="36"/>
      <c r="CG76" s="7" t="s">
        <v>105</v>
      </c>
      <c r="CH76" s="10">
        <v>8754719640.6599998</v>
      </c>
      <c r="CI76" s="39"/>
      <c r="CK76" s="7" t="s">
        <v>105</v>
      </c>
      <c r="CL76" s="10">
        <v>8144067640.6599998</v>
      </c>
      <c r="CM76" s="39" t="str">
        <f>YEAR(CurrentMtgRatesDataTable871112131417[[#This Row],[asofdate]])&amp;"-"&amp;MONTH(CurrentMtgRatesDataTable871112131417[[#This Row],[asofdate]])</f>
        <v>2009-4</v>
      </c>
      <c r="CN76" s="39">
        <f>CurrentMtgRatesDataTable871112131417[[#This Row],[SeriesNumValue]]</f>
        <v>8144067640.6599998</v>
      </c>
      <c r="CO76" s="39">
        <f>VLOOKUP(CurrentMtgRatesDataTable871112131417[[#This Row],[asofdate]],BY:BZ,2,0)</f>
        <v>486214000</v>
      </c>
      <c r="CP76" s="35">
        <f>IF(VLOOKUP(CurrentMtgRatesDataTable871112131417[[#This Row],[asofdate]],CC:CD,2,0)&lt;&gt;0,VLOOKUP(CurrentMtgRatesDataTable871112131417[[#This Row],[asofdate]],CC:CD,2,0),CP75)</f>
        <v>124438000</v>
      </c>
      <c r="CQ76" s="35">
        <f>VLOOKUP(CurrentMtgRatesDataTable871112131417[[#This Row],[asofdate]],CG:CH,2,0)</f>
        <v>8754719640.6599998</v>
      </c>
    </row>
    <row r="77" spans="1:95" s="6" customFormat="1" ht="12.75">
      <c r="A77" s="7" t="s">
        <v>106</v>
      </c>
      <c r="B77" s="10">
        <v>1.20494515545658E-2</v>
      </c>
      <c r="C77" s="10" t="str">
        <f>YEAR(CurrentMtgRatesDataTable8[[#This Row],[asofdate]])&amp;"-"&amp;MONTH(CurrentMtgRatesDataTable8[[#This Row],[asofdate]])</f>
        <v>2009-5</v>
      </c>
      <c r="D77" s="6">
        <f>((CurrentMtgRatesDataTable8[[#This Row],[SeriesNumValue]]-$D$1)/$D$1+1)*100</f>
        <v>80.329677030438674</v>
      </c>
      <c r="G77" s="7" t="s">
        <v>106</v>
      </c>
      <c r="H77" s="10">
        <v>77.621301810220103</v>
      </c>
      <c r="I77" s="26">
        <f>VLOOKUP(CurrentMtgRatesDataTable82[[#This Row],[asofdate]],K:L,2,0)</f>
        <v>0.109113667052566</v>
      </c>
      <c r="K77" s="7" t="s">
        <v>106</v>
      </c>
      <c r="L77" s="29">
        <v>0.109113667052566</v>
      </c>
      <c r="O77" s="7" t="s">
        <v>106</v>
      </c>
      <c r="P77" s="10">
        <v>35.443374053116202</v>
      </c>
      <c r="Q77" s="29">
        <f>VLOOKUP(CurrentMtgRatesDataTable84[[#This Row],[asofdate]],S:T,2,0)</f>
        <v>0.33881763844914597</v>
      </c>
      <c r="S77" s="7" t="s">
        <v>106</v>
      </c>
      <c r="T77" s="10">
        <v>0.33881763844914597</v>
      </c>
      <c r="W77" s="7" t="s">
        <v>106</v>
      </c>
      <c r="X77" s="10">
        <v>757.59605432672004</v>
      </c>
      <c r="Y77" s="26">
        <f>VLOOKUP(CurrentMtgRatesDataTable86[[#This Row],[asofdate]],AA:AB,2,0)</f>
        <v>9.2145907252402806E-2</v>
      </c>
      <c r="AA77" s="7" t="s">
        <v>106</v>
      </c>
      <c r="AB77" s="10">
        <v>9.2145907252402806E-2</v>
      </c>
      <c r="AE77" s="7" t="s">
        <v>108</v>
      </c>
      <c r="AF77" s="10">
        <v>9.6949503218776208E-3</v>
      </c>
      <c r="AG77" s="10" t="str">
        <f>YEAR(CurrentMtgRatesDataTable89[[#This Row],[asofdate]])&amp;"-"&amp;MONTH(CurrentMtgRatesDataTable89[[#This Row],[asofdate]])</f>
        <v>2009-7</v>
      </c>
      <c r="AH77" s="6">
        <f>((CurrentMtgRatesDataTable89[[#This Row],[SeriesNumValue]]-$D$1)/$D$1+1)*100</f>
        <v>64.63300214585081</v>
      </c>
      <c r="AI77" s="6">
        <f>CurrentMtgRatesDataTable89[[#This Row],[Index]]-AH78</f>
        <v>-11.33825130524184</v>
      </c>
      <c r="AJ77" s="6">
        <f>VLOOKUP(CurrentMtgRatesDataTable89[[#This Row],[asofdate]],G:H,2,0)</f>
        <v>77.2305024936758</v>
      </c>
      <c r="AK77" s="6">
        <f>VLOOKUP(CurrentMtgRatesDataTable89[[#This Row],[asofdate]],K:L,2,0)</f>
        <v>9.3108291880015001E-2</v>
      </c>
      <c r="AL77" s="6">
        <f>VLOOKUP(CurrentMtgRatesDataTable89[[#This Row],[asofdate]],O:P,2,0)</f>
        <v>34.3486666650331</v>
      </c>
      <c r="AM77" s="6">
        <f>VLOOKUP(CurrentMtgRatesDataTable89[[#This Row],[asofdate]],S:T,2,0)</f>
        <v>0.295070326807992</v>
      </c>
      <c r="AN77" s="6">
        <f>VLOOKUP(CurrentMtgRatesDataTable89[[#This Row],[asofdate]],W:X,2,0)</f>
        <v>760.65613459844997</v>
      </c>
      <c r="AO77" s="6">
        <f>VLOOKUP(CurrentMtgRatesDataTable89[[#This Row],[asofdate]],AA:AB,2,0)</f>
        <v>7.8300566764158197E-2</v>
      </c>
      <c r="AR77" s="7" t="s">
        <v>106</v>
      </c>
      <c r="AS77" s="10">
        <v>8.2111872443475398E-2</v>
      </c>
      <c r="AT77" s="36">
        <f>((CurrentMtgRatesDataTable8711[[#This Row],[SeriesNumValue]]-$D$1)/$D$1+1)*100</f>
        <v>547.41248295650269</v>
      </c>
      <c r="AU77" s="36"/>
      <c r="AW77" s="7" t="s">
        <v>106</v>
      </c>
      <c r="AX77" s="10">
        <v>6.7690700362425998E-2</v>
      </c>
      <c r="AY77" s="36">
        <f>((CurrentMtgRatesDataTable871112[[#This Row],[SeriesNumValue]]-$D$1)/$D$1+1)*100</f>
        <v>451.27133574950665</v>
      </c>
      <c r="AZ77" s="36"/>
      <c r="BB77" s="7" t="s">
        <v>106</v>
      </c>
      <c r="BC77" s="10">
        <v>1.52143957514009E-2</v>
      </c>
      <c r="BD77" s="39">
        <f>((CurrentMtgRatesDataTable87111213[[#This Row],[SeriesNumValue]]-$D$1)/$D$1+1)*100</f>
        <v>101.42930500933933</v>
      </c>
      <c r="BE77" s="39"/>
      <c r="BG77" s="7" t="s">
        <v>106</v>
      </c>
      <c r="BH77" s="10">
        <v>1.1418573341871499E-2</v>
      </c>
      <c r="BI77" s="39">
        <f>((CurrentMtgRatesDataTable8711121314[[#This Row],[SeriesNumValue]]-$D$1)/$D$1+1)*100</f>
        <v>76.12382227914334</v>
      </c>
      <c r="BJ77" s="39" t="str">
        <f>YEAR(CurrentMtgRatesDataTable8711121314[[#This Row],[asofdate]])&amp;"-"&amp;MONTH(CurrentMtgRatesDataTable8711121314[[#This Row],[asofdate]])</f>
        <v>2009-5</v>
      </c>
      <c r="BK77" s="39">
        <f>CurrentMtgRatesDataTable8711121314[[#This Row],[SeriesNumValue]]</f>
        <v>1.1418573341871499E-2</v>
      </c>
      <c r="BL77" s="39">
        <f>VLOOKUP(CurrentMtgRatesDataTable8711121314[[#This Row],[asofdate]],AR:AT,2,0)</f>
        <v>8.2111872443475398E-2</v>
      </c>
      <c r="BM77" s="35">
        <f>IF(VLOOKUP(CurrentMtgRatesDataTable8711121314[[#This Row],[asofdate]],AW:AY,2,0)&lt;&gt;0,VLOOKUP(CurrentMtgRatesDataTable8711121314[[#This Row],[asofdate]],AW:AY,2,0),BM76)</f>
        <v>6.7690700362425998E-2</v>
      </c>
      <c r="BN77" s="35">
        <f>VLOOKUP(CurrentMtgRatesDataTable8711121314[[#This Row],[asofdate]],BB:BD,2,0)</f>
        <v>1.52143957514009E-2</v>
      </c>
      <c r="BO77" s="35">
        <f>CurrentMtgRatesDataTable8711121314[[#This Row],[FHA]]+0.5*CurrentMtgRatesDataTable8711121314[[#This Row],[Conventional]]</f>
        <v>8.7821159114411143E-2</v>
      </c>
      <c r="BP77" s="35">
        <f>2*CurrentMtgRatesDataTable8711121314[[#This Row],[FHA]]</f>
        <v>0.1642237448869508</v>
      </c>
      <c r="BQ77" s="11">
        <f>VLOOKUP(YEAR(CurrentMtgRatesDataTable8711121314[[#This Row],[asofdate]]),OriginationVolume!$A:$N,8,FALSE)</f>
        <v>0.68277430358158042</v>
      </c>
      <c r="BR77" s="11">
        <f>VLOOKUP(YEAR(CurrentMtgRatesDataTable8711121314[[#This Row],[asofdate]]),OriginationVolume!$A:$N,9,FALSE)</f>
        <v>6.4098919840818641E-2</v>
      </c>
      <c r="BS77" s="11">
        <f>VLOOKUP(YEAR(CurrentMtgRatesDataTable8711121314[[#This Row],[asofdate]]),OriginationVolume!$A:$N,10,FALSE)</f>
        <v>0.19229675952245595</v>
      </c>
      <c r="BT77" s="11">
        <f>VLOOKUP(YEAR(CurrentMtgRatesDataTable8711121314[[#This Row],[asofdate]]),OriginationVolume!$A:$N,11,FALSE)</f>
        <v>5.5144968732234227E-2</v>
      </c>
      <c r="BU77" s="11">
        <f>VLOOKUP(YEAR(CurrentMtgRatesDataTable8711121314[[#This Row],[asofdate]]),OriginationVolume!$A:$N,12,FALSE)</f>
        <v>3.4110289937464467E-3</v>
      </c>
      <c r="BV77" s="11">
        <f>VLOOKUP(YEAR(CurrentMtgRatesDataTable8711121314[[#This Row],[asofdate]]),OriginationVolume!$A:$N,13,FALSE)</f>
        <v>2.2740193291642978E-3</v>
      </c>
      <c r="BW77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2.9227741587181673E-2</v>
      </c>
      <c r="BY77" s="7" t="s">
        <v>106</v>
      </c>
      <c r="BZ77" s="10">
        <v>615764000</v>
      </c>
      <c r="CA77" s="36"/>
      <c r="CC77" s="7" t="s">
        <v>106</v>
      </c>
      <c r="CD77" s="10">
        <v>137974000</v>
      </c>
      <c r="CE77" s="36"/>
      <c r="CG77" s="7" t="s">
        <v>106</v>
      </c>
      <c r="CH77" s="10">
        <v>11466280323.84</v>
      </c>
      <c r="CI77" s="39"/>
      <c r="CK77" s="7" t="s">
        <v>106</v>
      </c>
      <c r="CL77" s="10">
        <v>10712542323.84</v>
      </c>
      <c r="CM77" s="39" t="str">
        <f>YEAR(CurrentMtgRatesDataTable871112131417[[#This Row],[asofdate]])&amp;"-"&amp;MONTH(CurrentMtgRatesDataTable871112131417[[#This Row],[asofdate]])</f>
        <v>2009-5</v>
      </c>
      <c r="CN77" s="39">
        <f>CurrentMtgRatesDataTable871112131417[[#This Row],[SeriesNumValue]]</f>
        <v>10712542323.84</v>
      </c>
      <c r="CO77" s="39">
        <f>VLOOKUP(CurrentMtgRatesDataTable871112131417[[#This Row],[asofdate]],BY:BZ,2,0)</f>
        <v>615764000</v>
      </c>
      <c r="CP77" s="35">
        <f>IF(VLOOKUP(CurrentMtgRatesDataTable871112131417[[#This Row],[asofdate]],CC:CD,2,0)&lt;&gt;0,VLOOKUP(CurrentMtgRatesDataTable871112131417[[#This Row],[asofdate]],CC:CD,2,0),CP76)</f>
        <v>137974000</v>
      </c>
      <c r="CQ77" s="35">
        <f>VLOOKUP(CurrentMtgRatesDataTable871112131417[[#This Row],[asofdate]],CG:CH,2,0)</f>
        <v>11466280323.84</v>
      </c>
    </row>
    <row r="78" spans="1:95" s="6" customFormat="1" ht="12.75">
      <c r="A78" s="7" t="s">
        <v>107</v>
      </c>
      <c r="B78" s="10">
        <v>1.1395688017663899E-2</v>
      </c>
      <c r="C78" s="10" t="str">
        <f>YEAR(CurrentMtgRatesDataTable8[[#This Row],[asofdate]])&amp;"-"&amp;MONTH(CurrentMtgRatesDataTable8[[#This Row],[asofdate]])</f>
        <v>2009-6</v>
      </c>
      <c r="D78" s="6">
        <f>((CurrentMtgRatesDataTable8[[#This Row],[SeriesNumValue]]-$D$1)/$D$1+1)*100</f>
        <v>75.97125345109265</v>
      </c>
      <c r="G78" s="7" t="s">
        <v>107</v>
      </c>
      <c r="H78" s="10">
        <v>77.489860981609993</v>
      </c>
      <c r="I78" s="26">
        <f>VLOOKUP(CurrentMtgRatesDataTable82[[#This Row],[asofdate]],K:L,2,0)</f>
        <v>9.8068528914975306E-2</v>
      </c>
      <c r="K78" s="7" t="s">
        <v>107</v>
      </c>
      <c r="L78" s="29">
        <v>9.8068528914975306E-2</v>
      </c>
      <c r="O78" s="7" t="s">
        <v>107</v>
      </c>
      <c r="P78" s="10">
        <v>34.719620848565299</v>
      </c>
      <c r="Q78" s="29">
        <f>VLOOKUP(CurrentMtgRatesDataTable84[[#This Row],[asofdate]],S:T,2,0)</f>
        <v>0.30665074176726298</v>
      </c>
      <c r="S78" s="7" t="s">
        <v>107</v>
      </c>
      <c r="T78" s="10">
        <v>0.30665074176726298</v>
      </c>
      <c r="W78" s="7" t="s">
        <v>107</v>
      </c>
      <c r="X78" s="10">
        <v>759.07345235752996</v>
      </c>
      <c r="Y78" s="26">
        <f>VLOOKUP(CurrentMtgRatesDataTable86[[#This Row],[asofdate]],AA:AB,2,0)</f>
        <v>8.7513345835249307E-2</v>
      </c>
      <c r="AA78" s="7" t="s">
        <v>107</v>
      </c>
      <c r="AB78" s="10">
        <v>8.7513345835249307E-2</v>
      </c>
      <c r="AE78" s="7" t="s">
        <v>107</v>
      </c>
      <c r="AF78" s="10">
        <v>1.1395688017663899E-2</v>
      </c>
      <c r="AG78" s="10" t="str">
        <f>YEAR(CurrentMtgRatesDataTable89[[#This Row],[asofdate]])&amp;"-"&amp;MONTH(CurrentMtgRatesDataTable89[[#This Row],[asofdate]])</f>
        <v>2009-6</v>
      </c>
      <c r="AH78" s="6">
        <f>((CurrentMtgRatesDataTable89[[#This Row],[SeriesNumValue]]-$D$1)/$D$1+1)*100</f>
        <v>75.97125345109265</v>
      </c>
      <c r="AI78" s="6">
        <f>CurrentMtgRatesDataTable89[[#This Row],[Index]]-AH79</f>
        <v>-4.3584235793460238</v>
      </c>
      <c r="AJ78" s="6">
        <f>VLOOKUP(CurrentMtgRatesDataTable89[[#This Row],[asofdate]],G:H,2,0)</f>
        <v>77.489860981609993</v>
      </c>
      <c r="AK78" s="6">
        <f>VLOOKUP(CurrentMtgRatesDataTable89[[#This Row],[asofdate]],K:L,2,0)</f>
        <v>9.8068528914975306E-2</v>
      </c>
      <c r="AL78" s="6">
        <f>VLOOKUP(CurrentMtgRatesDataTable89[[#This Row],[asofdate]],O:P,2,0)</f>
        <v>34.719620848565299</v>
      </c>
      <c r="AM78" s="6">
        <f>VLOOKUP(CurrentMtgRatesDataTable89[[#This Row],[asofdate]],S:T,2,0)</f>
        <v>0.30665074176726298</v>
      </c>
      <c r="AN78" s="6">
        <f>VLOOKUP(CurrentMtgRatesDataTable89[[#This Row],[asofdate]],W:X,2,0)</f>
        <v>759.07345235752996</v>
      </c>
      <c r="AO78" s="6">
        <f>VLOOKUP(CurrentMtgRatesDataTable89[[#This Row],[asofdate]],AA:AB,2,0)</f>
        <v>8.7513345835249307E-2</v>
      </c>
      <c r="AR78" s="7" t="s">
        <v>107</v>
      </c>
      <c r="AS78" s="10">
        <v>6.6489943042899999E-2</v>
      </c>
      <c r="AT78" s="36">
        <f>((CurrentMtgRatesDataTable8711[[#This Row],[SeriesNumValue]]-$D$1)/$D$1+1)*100</f>
        <v>443.26628695266663</v>
      </c>
      <c r="AU78" s="36"/>
      <c r="AW78" s="7" t="s">
        <v>107</v>
      </c>
      <c r="AX78" s="10">
        <v>6.2547871487745293E-2</v>
      </c>
      <c r="AY78" s="36">
        <f>((CurrentMtgRatesDataTable871112[[#This Row],[SeriesNumValue]]-$D$1)/$D$1+1)*100</f>
        <v>416.98580991830198</v>
      </c>
      <c r="AZ78" s="36"/>
      <c r="BB78" s="7" t="s">
        <v>107</v>
      </c>
      <c r="BC78" s="10">
        <v>1.5473749600575E-2</v>
      </c>
      <c r="BD78" s="39">
        <f>((CurrentMtgRatesDataTable87111213[[#This Row],[SeriesNumValue]]-$D$1)/$D$1+1)*100</f>
        <v>103.15833067049999</v>
      </c>
      <c r="BE78" s="39"/>
      <c r="BG78" s="7" t="s">
        <v>107</v>
      </c>
      <c r="BH78" s="10">
        <v>1.1449481001714499E-2</v>
      </c>
      <c r="BI78" s="39">
        <f>((CurrentMtgRatesDataTable8711121314[[#This Row],[SeriesNumValue]]-$D$1)/$D$1+1)*100</f>
        <v>76.329873344763328</v>
      </c>
      <c r="BJ78" s="39" t="str">
        <f>YEAR(CurrentMtgRatesDataTable8711121314[[#This Row],[asofdate]])&amp;"-"&amp;MONTH(CurrentMtgRatesDataTable8711121314[[#This Row],[asofdate]])</f>
        <v>2009-6</v>
      </c>
      <c r="BK78" s="39">
        <f>CurrentMtgRatesDataTable8711121314[[#This Row],[SeriesNumValue]]</f>
        <v>1.1449481001714499E-2</v>
      </c>
      <c r="BL78" s="39">
        <f>VLOOKUP(CurrentMtgRatesDataTable8711121314[[#This Row],[asofdate]],AR:AT,2,0)</f>
        <v>6.6489943042899999E-2</v>
      </c>
      <c r="BM78" s="35">
        <f>IF(VLOOKUP(CurrentMtgRatesDataTable8711121314[[#This Row],[asofdate]],AW:AY,2,0)&lt;&gt;0,VLOOKUP(CurrentMtgRatesDataTable8711121314[[#This Row],[asofdate]],AW:AY,2,0),BM77)</f>
        <v>6.2547871487745293E-2</v>
      </c>
      <c r="BN78" s="35">
        <f>VLOOKUP(CurrentMtgRatesDataTable8711121314[[#This Row],[asofdate]],BB:BD,2,0)</f>
        <v>1.5473749600575E-2</v>
      </c>
      <c r="BO78" s="35">
        <f>CurrentMtgRatesDataTable8711121314[[#This Row],[FHA]]+0.5*CurrentMtgRatesDataTable8711121314[[#This Row],[Conventional]]</f>
        <v>7.2214683543757249E-2</v>
      </c>
      <c r="BP78" s="35">
        <f>2*CurrentMtgRatesDataTable8711121314[[#This Row],[FHA]]</f>
        <v>0.1329798860858</v>
      </c>
      <c r="BQ78" s="11">
        <f>VLOOKUP(YEAR(CurrentMtgRatesDataTable8711121314[[#This Row],[asofdate]]),OriginationVolume!$A:$N,8,FALSE)</f>
        <v>0.68277430358158042</v>
      </c>
      <c r="BR78" s="11">
        <f>VLOOKUP(YEAR(CurrentMtgRatesDataTable8711121314[[#This Row],[asofdate]]),OriginationVolume!$A:$N,9,FALSE)</f>
        <v>6.4098919840818641E-2</v>
      </c>
      <c r="BS78" s="11">
        <f>VLOOKUP(YEAR(CurrentMtgRatesDataTable8711121314[[#This Row],[asofdate]]),OriginationVolume!$A:$N,10,FALSE)</f>
        <v>0.19229675952245595</v>
      </c>
      <c r="BT78" s="11">
        <f>VLOOKUP(YEAR(CurrentMtgRatesDataTable8711121314[[#This Row],[asofdate]]),OriginationVolume!$A:$N,11,FALSE)</f>
        <v>5.5144968732234227E-2</v>
      </c>
      <c r="BU78" s="11">
        <f>VLOOKUP(YEAR(CurrentMtgRatesDataTable8711121314[[#This Row],[asofdate]]),OriginationVolume!$A:$N,12,FALSE)</f>
        <v>3.4110289937464467E-3</v>
      </c>
      <c r="BV78" s="11">
        <f>VLOOKUP(YEAR(CurrentMtgRatesDataTable8711121314[[#This Row],[asofdate]]),OriginationVolume!$A:$N,13,FALSE)</f>
        <v>2.2740193291642978E-3</v>
      </c>
      <c r="BW78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2.579256948853631E-2</v>
      </c>
      <c r="BY78" s="7" t="s">
        <v>107</v>
      </c>
      <c r="BZ78" s="10">
        <v>873440000</v>
      </c>
      <c r="CA78" s="36"/>
      <c r="CC78" s="7" t="s">
        <v>107</v>
      </c>
      <c r="CD78" s="10">
        <v>166008000</v>
      </c>
      <c r="CE78" s="36"/>
      <c r="CG78" s="7" t="s">
        <v>107</v>
      </c>
      <c r="CH78" s="10">
        <v>12474284900.35</v>
      </c>
      <c r="CI78" s="39"/>
      <c r="CK78" s="7" t="s">
        <v>107</v>
      </c>
      <c r="CL78" s="10">
        <v>11434836900.35</v>
      </c>
      <c r="CM78" s="39" t="str">
        <f>YEAR(CurrentMtgRatesDataTable871112131417[[#This Row],[asofdate]])&amp;"-"&amp;MONTH(CurrentMtgRatesDataTable871112131417[[#This Row],[asofdate]])</f>
        <v>2009-6</v>
      </c>
      <c r="CN78" s="39">
        <f>CurrentMtgRatesDataTable871112131417[[#This Row],[SeriesNumValue]]</f>
        <v>11434836900.35</v>
      </c>
      <c r="CO78" s="39">
        <f>VLOOKUP(CurrentMtgRatesDataTable871112131417[[#This Row],[asofdate]],BY:BZ,2,0)</f>
        <v>873440000</v>
      </c>
      <c r="CP78" s="35">
        <f>IF(VLOOKUP(CurrentMtgRatesDataTable871112131417[[#This Row],[asofdate]],CC:CD,2,0)&lt;&gt;0,VLOOKUP(CurrentMtgRatesDataTable871112131417[[#This Row],[asofdate]],CC:CD,2,0),CP77)</f>
        <v>166008000</v>
      </c>
      <c r="CQ78" s="35">
        <f>VLOOKUP(CurrentMtgRatesDataTable871112131417[[#This Row],[asofdate]],CG:CH,2,0)</f>
        <v>12474284900.35</v>
      </c>
    </row>
    <row r="79" spans="1:95" s="8" customFormat="1" ht="12.75">
      <c r="A79" s="7" t="s">
        <v>108</v>
      </c>
      <c r="B79" s="10">
        <v>9.6949503218776208E-3</v>
      </c>
      <c r="C79" s="10" t="str">
        <f>YEAR(CurrentMtgRatesDataTable8[[#This Row],[asofdate]])&amp;"-"&amp;MONTH(CurrentMtgRatesDataTable8[[#This Row],[asofdate]])</f>
        <v>2009-7</v>
      </c>
      <c r="D79" s="6">
        <f>((CurrentMtgRatesDataTable8[[#This Row],[SeriesNumValue]]-$D$1)/$D$1+1)*100</f>
        <v>64.63300214585081</v>
      </c>
      <c r="E79" s="6"/>
      <c r="G79" s="7" t="s">
        <v>108</v>
      </c>
      <c r="H79" s="10">
        <v>77.2305024936758</v>
      </c>
      <c r="I79" s="26">
        <f>VLOOKUP(CurrentMtgRatesDataTable82[[#This Row],[asofdate]],K:L,2,0)</f>
        <v>9.3108291880015001E-2</v>
      </c>
      <c r="K79" s="7" t="s">
        <v>108</v>
      </c>
      <c r="L79" s="29">
        <v>9.3108291880015001E-2</v>
      </c>
      <c r="O79" s="7" t="s">
        <v>108</v>
      </c>
      <c r="P79" s="10">
        <v>34.3486666650331</v>
      </c>
      <c r="Q79" s="29">
        <f>VLOOKUP(CurrentMtgRatesDataTable84[[#This Row],[asofdate]],S:T,2,0)</f>
        <v>0.295070326807992</v>
      </c>
      <c r="S79" s="7" t="s">
        <v>108</v>
      </c>
      <c r="T79" s="10">
        <v>0.295070326807992</v>
      </c>
      <c r="W79" s="7" t="s">
        <v>108</v>
      </c>
      <c r="X79" s="10">
        <v>760.65613459844997</v>
      </c>
      <c r="Y79" s="26">
        <f>VLOOKUP(CurrentMtgRatesDataTable86[[#This Row],[asofdate]],AA:AB,2,0)</f>
        <v>7.8300566764158197E-2</v>
      </c>
      <c r="AA79" s="7" t="s">
        <v>108</v>
      </c>
      <c r="AB79" s="10">
        <v>7.8300566764158197E-2</v>
      </c>
      <c r="AE79" s="7" t="s">
        <v>106</v>
      </c>
      <c r="AF79" s="10">
        <v>1.20494515545658E-2</v>
      </c>
      <c r="AG79" s="10" t="str">
        <f>YEAR(CurrentMtgRatesDataTable89[[#This Row],[asofdate]])&amp;"-"&amp;MONTH(CurrentMtgRatesDataTable89[[#This Row],[asofdate]])</f>
        <v>2009-5</v>
      </c>
      <c r="AH79" s="6">
        <f>((CurrentMtgRatesDataTable89[[#This Row],[SeriesNumValue]]-$D$1)/$D$1+1)*100</f>
        <v>80.329677030438674</v>
      </c>
      <c r="AI79" s="6">
        <f>CurrentMtgRatesDataTable89[[#This Row],[Index]]-AH80</f>
        <v>3.6589707568853385</v>
      </c>
      <c r="AJ79" s="6">
        <f>VLOOKUP(CurrentMtgRatesDataTable89[[#This Row],[asofdate]],G:H,2,0)</f>
        <v>77.621301810220103</v>
      </c>
      <c r="AK79" s="6">
        <f>VLOOKUP(CurrentMtgRatesDataTable89[[#This Row],[asofdate]],K:L,2,0)</f>
        <v>0.109113667052566</v>
      </c>
      <c r="AL79" s="6">
        <f>VLOOKUP(CurrentMtgRatesDataTable89[[#This Row],[asofdate]],O:P,2,0)</f>
        <v>35.443374053116202</v>
      </c>
      <c r="AM79" s="6">
        <f>VLOOKUP(CurrentMtgRatesDataTable89[[#This Row],[asofdate]],S:T,2,0)</f>
        <v>0.33881763844914597</v>
      </c>
      <c r="AN79" s="6">
        <f>VLOOKUP(CurrentMtgRatesDataTable89[[#This Row],[asofdate]],W:X,2,0)</f>
        <v>757.59605432672004</v>
      </c>
      <c r="AO79" s="6">
        <f>VLOOKUP(CurrentMtgRatesDataTable89[[#This Row],[asofdate]],AA:AB,2,0)</f>
        <v>9.2145907252402806E-2</v>
      </c>
      <c r="AR79" s="7" t="s">
        <v>108</v>
      </c>
      <c r="AS79" s="10">
        <v>6.2301954306724798E-2</v>
      </c>
      <c r="AT79" s="36">
        <f>((CurrentMtgRatesDataTable8711[[#This Row],[SeriesNumValue]]-$D$1)/$D$1+1)*100</f>
        <v>415.34636204483206</v>
      </c>
      <c r="AU79" s="36"/>
      <c r="AW79" s="7" t="s">
        <v>108</v>
      </c>
      <c r="AX79" s="10">
        <v>6.3204319708041495E-2</v>
      </c>
      <c r="AY79" s="36">
        <f>((CurrentMtgRatesDataTable871112[[#This Row],[SeriesNumValue]]-$D$1)/$D$1+1)*100</f>
        <v>421.36213138694336</v>
      </c>
      <c r="AZ79" s="36"/>
      <c r="BB79" s="7" t="s">
        <v>108</v>
      </c>
      <c r="BC79" s="10">
        <v>1.41310490857688E-2</v>
      </c>
      <c r="BD79" s="39">
        <f>((CurrentMtgRatesDataTable87111213[[#This Row],[SeriesNumValue]]-$D$1)/$D$1+1)*100</f>
        <v>94.20699390512533</v>
      </c>
      <c r="BE79" s="39"/>
      <c r="BG79" s="7" t="s">
        <v>108</v>
      </c>
      <c r="BH79" s="10">
        <v>1.0724321486784E-2</v>
      </c>
      <c r="BI79" s="39">
        <f>((CurrentMtgRatesDataTable8711121314[[#This Row],[SeriesNumValue]]-$D$1)/$D$1+1)*100</f>
        <v>71.495476578560016</v>
      </c>
      <c r="BJ79" s="39" t="str">
        <f>YEAR(CurrentMtgRatesDataTable8711121314[[#This Row],[asofdate]])&amp;"-"&amp;MONTH(CurrentMtgRatesDataTable8711121314[[#This Row],[asofdate]])</f>
        <v>2009-7</v>
      </c>
      <c r="BK79" s="39">
        <f>CurrentMtgRatesDataTable8711121314[[#This Row],[SeriesNumValue]]</f>
        <v>1.0724321486784E-2</v>
      </c>
      <c r="BL79" s="39">
        <f>VLOOKUP(CurrentMtgRatesDataTable8711121314[[#This Row],[asofdate]],AR:AT,2,0)</f>
        <v>6.2301954306724798E-2</v>
      </c>
      <c r="BM79" s="35">
        <f>IF(VLOOKUP(CurrentMtgRatesDataTable8711121314[[#This Row],[asofdate]],AW:AY,2,0)&lt;&gt;0,VLOOKUP(CurrentMtgRatesDataTable8711121314[[#This Row],[asofdate]],AW:AY,2,0),BM78)</f>
        <v>6.3204319708041495E-2</v>
      </c>
      <c r="BN79" s="35">
        <f>VLOOKUP(CurrentMtgRatesDataTable8711121314[[#This Row],[asofdate]],BB:BD,2,0)</f>
        <v>1.41310490857688E-2</v>
      </c>
      <c r="BO79" s="35">
        <f>CurrentMtgRatesDataTable8711121314[[#This Row],[FHA]]+0.5*CurrentMtgRatesDataTable8711121314[[#This Row],[Conventional]]</f>
        <v>6.7664115050116797E-2</v>
      </c>
      <c r="BP79" s="35">
        <f>2*CurrentMtgRatesDataTable8711121314[[#This Row],[FHA]]</f>
        <v>0.1246039086134496</v>
      </c>
      <c r="BQ79" s="11">
        <f>VLOOKUP(YEAR(CurrentMtgRatesDataTable8711121314[[#This Row],[asofdate]]),OriginationVolume!$A:$N,8,FALSE)</f>
        <v>0.68277430358158042</v>
      </c>
      <c r="BR79" s="11">
        <f>VLOOKUP(YEAR(CurrentMtgRatesDataTable8711121314[[#This Row],[asofdate]]),OriginationVolume!$A:$N,9,FALSE)</f>
        <v>6.4098919840818641E-2</v>
      </c>
      <c r="BS79" s="11">
        <f>VLOOKUP(YEAR(CurrentMtgRatesDataTable8711121314[[#This Row],[asofdate]]),OriginationVolume!$A:$N,10,FALSE)</f>
        <v>0.19229675952245595</v>
      </c>
      <c r="BT79" s="11">
        <f>VLOOKUP(YEAR(CurrentMtgRatesDataTable8711121314[[#This Row],[asofdate]]),OriginationVolume!$A:$N,11,FALSE)</f>
        <v>5.5144968732234227E-2</v>
      </c>
      <c r="BU79" s="11">
        <f>VLOOKUP(YEAR(CurrentMtgRatesDataTable8711121314[[#This Row],[asofdate]]),OriginationVolume!$A:$N,12,FALSE)</f>
        <v>3.4110289937464467E-3</v>
      </c>
      <c r="BV79" s="11">
        <f>VLOOKUP(YEAR(CurrentMtgRatesDataTable8711121314[[#This Row],[asofdate]]),OriginationVolume!$A:$N,13,FALSE)</f>
        <v>2.2740193291642978E-3</v>
      </c>
      <c r="BW79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2.4459632010194129E-2</v>
      </c>
      <c r="BY79" s="7" t="s">
        <v>108</v>
      </c>
      <c r="BZ79" s="10">
        <v>933343000</v>
      </c>
      <c r="CA79" s="36"/>
      <c r="CC79" s="7" t="s">
        <v>108</v>
      </c>
      <c r="CD79" s="10">
        <v>163058000</v>
      </c>
      <c r="CE79" s="36"/>
      <c r="CG79" s="7" t="s">
        <v>108</v>
      </c>
      <c r="CH79" s="10">
        <v>14867477660.629999</v>
      </c>
      <c r="CI79" s="39"/>
      <c r="CK79" s="7" t="s">
        <v>108</v>
      </c>
      <c r="CL79" s="10">
        <v>13771076660.629999</v>
      </c>
      <c r="CM79" s="39" t="str">
        <f>YEAR(CurrentMtgRatesDataTable871112131417[[#This Row],[asofdate]])&amp;"-"&amp;MONTH(CurrentMtgRatesDataTable871112131417[[#This Row],[asofdate]])</f>
        <v>2009-7</v>
      </c>
      <c r="CN79" s="39">
        <f>CurrentMtgRatesDataTable871112131417[[#This Row],[SeriesNumValue]]</f>
        <v>13771076660.629999</v>
      </c>
      <c r="CO79" s="39">
        <f>VLOOKUP(CurrentMtgRatesDataTable871112131417[[#This Row],[asofdate]],BY:BZ,2,0)</f>
        <v>933343000</v>
      </c>
      <c r="CP79" s="35">
        <f>IF(VLOOKUP(CurrentMtgRatesDataTable871112131417[[#This Row],[asofdate]],CC:CD,2,0)&lt;&gt;0,VLOOKUP(CurrentMtgRatesDataTable871112131417[[#This Row],[asofdate]],CC:CD,2,0),CP78)</f>
        <v>163058000</v>
      </c>
      <c r="CQ79" s="35">
        <f>VLOOKUP(CurrentMtgRatesDataTable871112131417[[#This Row],[asofdate]],CG:CH,2,0)</f>
        <v>14867477660.629999</v>
      </c>
    </row>
    <row r="80" spans="1:95" s="8" customFormat="1" ht="12.75">
      <c r="A80" s="7" t="s">
        <v>109</v>
      </c>
      <c r="B80" s="10">
        <v>9.6115791828975707E-3</v>
      </c>
      <c r="C80" s="10" t="str">
        <f>YEAR(CurrentMtgRatesDataTable8[[#This Row],[asofdate]])&amp;"-"&amp;MONTH(CurrentMtgRatesDataTable8[[#This Row],[asofdate]])</f>
        <v>2009-8</v>
      </c>
      <c r="D80" s="6">
        <f>((CurrentMtgRatesDataTable8[[#This Row],[SeriesNumValue]]-$D$1)/$D$1+1)*100</f>
        <v>64.077194552650468</v>
      </c>
      <c r="E80" s="6"/>
      <c r="G80" s="7" t="s">
        <v>109</v>
      </c>
      <c r="H80" s="10">
        <v>76.939091357976594</v>
      </c>
      <c r="I80" s="26">
        <f>VLOOKUP(CurrentMtgRatesDataTable82[[#This Row],[asofdate]],K:L,2,0)</f>
        <v>8.7512741345424597E-2</v>
      </c>
      <c r="K80" s="7" t="s">
        <v>109</v>
      </c>
      <c r="L80" s="29">
        <v>8.7512741345424597E-2</v>
      </c>
      <c r="O80" s="7" t="s">
        <v>109</v>
      </c>
      <c r="P80" s="10">
        <v>34.610842833678603</v>
      </c>
      <c r="Q80" s="29">
        <f>VLOOKUP(CurrentMtgRatesDataTable84[[#This Row],[asofdate]],S:T,2,0)</f>
        <v>0.301359603259164</v>
      </c>
      <c r="S80" s="7" t="s">
        <v>109</v>
      </c>
      <c r="T80" s="10">
        <v>0.301359603259164</v>
      </c>
      <c r="W80" s="7" t="s">
        <v>109</v>
      </c>
      <c r="X80" s="10">
        <v>761.27311365542903</v>
      </c>
      <c r="Y80" s="26">
        <f>VLOOKUP(CurrentMtgRatesDataTable86[[#This Row],[asofdate]],AA:AB,2,0)</f>
        <v>7.5174619563951994E-2</v>
      </c>
      <c r="AA80" s="7" t="s">
        <v>109</v>
      </c>
      <c r="AB80" s="10">
        <v>7.5174619563951994E-2</v>
      </c>
      <c r="AE80" s="7" t="s">
        <v>105</v>
      </c>
      <c r="AF80" s="10">
        <v>1.1500605941033E-2</v>
      </c>
      <c r="AG80" s="10" t="str">
        <f>YEAR(CurrentMtgRatesDataTable89[[#This Row],[asofdate]])&amp;"-"&amp;MONTH(CurrentMtgRatesDataTable89[[#This Row],[asofdate]])</f>
        <v>2009-4</v>
      </c>
      <c r="AH80" s="6">
        <f>((CurrentMtgRatesDataTable89[[#This Row],[SeriesNumValue]]-$D$1)/$D$1+1)*100</f>
        <v>76.670706273553336</v>
      </c>
      <c r="AI80" s="6">
        <f>CurrentMtgRatesDataTable89[[#This Row],[Index]]-AH81</f>
        <v>-3.0681186973099983</v>
      </c>
      <c r="AJ80" s="6">
        <f>VLOOKUP(CurrentMtgRatesDataTable89[[#This Row],[asofdate]],G:H,2,0)</f>
        <v>77.7250496197925</v>
      </c>
      <c r="AK80" s="6">
        <f>VLOOKUP(CurrentMtgRatesDataTable89[[#This Row],[asofdate]],K:L,2,0)</f>
        <v>0.119470963956919</v>
      </c>
      <c r="AL80" s="6">
        <f>VLOOKUP(CurrentMtgRatesDataTable89[[#This Row],[asofdate]],O:P,2,0)</f>
        <v>35.799246123443801</v>
      </c>
      <c r="AM80" s="6">
        <f>VLOOKUP(CurrentMtgRatesDataTable89[[#This Row],[asofdate]],S:T,2,0)</f>
        <v>0.35728737603095201</v>
      </c>
      <c r="AN80" s="6">
        <f>VLOOKUP(CurrentMtgRatesDataTable89[[#This Row],[asofdate]],W:X,2,0)</f>
        <v>755.70927973049299</v>
      </c>
      <c r="AO80" s="6">
        <f>VLOOKUP(CurrentMtgRatesDataTable89[[#This Row],[asofdate]],AA:AB,2,0)</f>
        <v>0.108448775058114</v>
      </c>
      <c r="AR80" s="7" t="s">
        <v>109</v>
      </c>
      <c r="AS80" s="10">
        <v>5.92673314950833E-2</v>
      </c>
      <c r="AT80" s="36">
        <f>((CurrentMtgRatesDataTable8711[[#This Row],[SeriesNumValue]]-$D$1)/$D$1+1)*100</f>
        <v>395.11554330055537</v>
      </c>
      <c r="AU80" s="36"/>
      <c r="AW80" s="7" t="s">
        <v>109</v>
      </c>
      <c r="AX80" s="10">
        <v>4.9912524929129003E-2</v>
      </c>
      <c r="AY80" s="36">
        <f>((CurrentMtgRatesDataTable871112[[#This Row],[SeriesNumValue]]-$D$1)/$D$1+1)*100</f>
        <v>332.75016619419335</v>
      </c>
      <c r="AZ80" s="36"/>
      <c r="BB80" s="7" t="s">
        <v>109</v>
      </c>
      <c r="BC80" s="10">
        <v>1.1388586204772001E-2</v>
      </c>
      <c r="BD80" s="39">
        <f>((CurrentMtgRatesDataTable87111213[[#This Row],[SeriesNumValue]]-$D$1)/$D$1+1)*100</f>
        <v>75.92390803181334</v>
      </c>
      <c r="BE80" s="39"/>
      <c r="BG80" s="7" t="s">
        <v>109</v>
      </c>
      <c r="BH80" s="10">
        <v>9.1456582353529603E-3</v>
      </c>
      <c r="BI80" s="39">
        <f>((CurrentMtgRatesDataTable8711121314[[#This Row],[SeriesNumValue]]-$D$1)/$D$1+1)*100</f>
        <v>60.971054902353075</v>
      </c>
      <c r="BJ80" s="39" t="str">
        <f>YEAR(CurrentMtgRatesDataTable8711121314[[#This Row],[asofdate]])&amp;"-"&amp;MONTH(CurrentMtgRatesDataTable8711121314[[#This Row],[asofdate]])</f>
        <v>2009-8</v>
      </c>
      <c r="BK80" s="39">
        <f>CurrentMtgRatesDataTable8711121314[[#This Row],[SeriesNumValue]]</f>
        <v>9.1456582353529603E-3</v>
      </c>
      <c r="BL80" s="39">
        <f>VLOOKUP(CurrentMtgRatesDataTable8711121314[[#This Row],[asofdate]],AR:AT,2,0)</f>
        <v>5.92673314950833E-2</v>
      </c>
      <c r="BM80" s="35">
        <f>IF(VLOOKUP(CurrentMtgRatesDataTable8711121314[[#This Row],[asofdate]],AW:AY,2,0)&lt;&gt;0,VLOOKUP(CurrentMtgRatesDataTable8711121314[[#This Row],[asofdate]],AW:AY,2,0),BM79)</f>
        <v>4.9912524929129003E-2</v>
      </c>
      <c r="BN80" s="35">
        <f>VLOOKUP(CurrentMtgRatesDataTable8711121314[[#This Row],[asofdate]],BB:BD,2,0)</f>
        <v>1.1388586204772001E-2</v>
      </c>
      <c r="BO80" s="35">
        <f>CurrentMtgRatesDataTable8711121314[[#This Row],[FHA]]+0.5*CurrentMtgRatesDataTable8711121314[[#This Row],[Conventional]]</f>
        <v>6.384016061275978E-2</v>
      </c>
      <c r="BP80" s="35">
        <f>2*CurrentMtgRatesDataTable8711121314[[#This Row],[FHA]]</f>
        <v>0.1185346629901666</v>
      </c>
      <c r="BQ80" s="11">
        <f>VLOOKUP(YEAR(CurrentMtgRatesDataTable8711121314[[#This Row],[asofdate]]),OriginationVolume!$A:$N,8,FALSE)</f>
        <v>0.68277430358158042</v>
      </c>
      <c r="BR80" s="11">
        <f>VLOOKUP(YEAR(CurrentMtgRatesDataTable8711121314[[#This Row],[asofdate]]),OriginationVolume!$A:$N,9,FALSE)</f>
        <v>6.4098919840818641E-2</v>
      </c>
      <c r="BS80" s="11">
        <f>VLOOKUP(YEAR(CurrentMtgRatesDataTable8711121314[[#This Row],[asofdate]]),OriginationVolume!$A:$N,10,FALSE)</f>
        <v>0.19229675952245595</v>
      </c>
      <c r="BT80" s="11">
        <f>VLOOKUP(YEAR(CurrentMtgRatesDataTable8711121314[[#This Row],[asofdate]]),OriginationVolume!$A:$N,11,FALSE)</f>
        <v>5.5144968732234227E-2</v>
      </c>
      <c r="BU80" s="11">
        <f>VLOOKUP(YEAR(CurrentMtgRatesDataTable8711121314[[#This Row],[asofdate]]),OriginationVolume!$A:$N,12,FALSE)</f>
        <v>3.4110289937464467E-3</v>
      </c>
      <c r="BV80" s="11">
        <f>VLOOKUP(YEAR(CurrentMtgRatesDataTable8711121314[[#This Row],[asofdate]]),OriginationVolume!$A:$N,13,FALSE)</f>
        <v>2.2740193291642978E-3</v>
      </c>
      <c r="BW80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2.1832322950026486E-2</v>
      </c>
      <c r="BY80" s="7" t="s">
        <v>109</v>
      </c>
      <c r="BZ80" s="10">
        <v>715813000</v>
      </c>
      <c r="CA80" s="36"/>
      <c r="CC80" s="7" t="s">
        <v>109</v>
      </c>
      <c r="CD80" s="10">
        <v>203310000</v>
      </c>
      <c r="CE80" s="36"/>
      <c r="CG80" s="7" t="s">
        <v>109</v>
      </c>
      <c r="CH80" s="10">
        <v>16706553284.77</v>
      </c>
      <c r="CI80" s="39"/>
      <c r="CK80" s="7" t="s">
        <v>109</v>
      </c>
      <c r="CL80" s="10">
        <v>15787430284.77</v>
      </c>
      <c r="CM80" s="39" t="str">
        <f>YEAR(CurrentMtgRatesDataTable871112131417[[#This Row],[asofdate]])&amp;"-"&amp;MONTH(CurrentMtgRatesDataTable871112131417[[#This Row],[asofdate]])</f>
        <v>2009-8</v>
      </c>
      <c r="CN80" s="39">
        <f>CurrentMtgRatesDataTable871112131417[[#This Row],[SeriesNumValue]]</f>
        <v>15787430284.77</v>
      </c>
      <c r="CO80" s="39">
        <f>VLOOKUP(CurrentMtgRatesDataTable871112131417[[#This Row],[asofdate]],BY:BZ,2,0)</f>
        <v>715813000</v>
      </c>
      <c r="CP80" s="35">
        <f>IF(VLOOKUP(CurrentMtgRatesDataTable871112131417[[#This Row],[asofdate]],CC:CD,2,0)&lt;&gt;0,VLOOKUP(CurrentMtgRatesDataTable871112131417[[#This Row],[asofdate]],CC:CD,2,0),CP79)</f>
        <v>203310000</v>
      </c>
      <c r="CQ80" s="35">
        <f>VLOOKUP(CurrentMtgRatesDataTable871112131417[[#This Row],[asofdate]],CG:CH,2,0)</f>
        <v>16706553284.77</v>
      </c>
    </row>
    <row r="81" spans="1:95" s="8" customFormat="1" ht="12.75">
      <c r="A81" s="7" t="s">
        <v>110</v>
      </c>
      <c r="B81" s="10">
        <v>1.10596617389417E-2</v>
      </c>
      <c r="C81" s="10" t="str">
        <f>YEAR(CurrentMtgRatesDataTable8[[#This Row],[asofdate]])&amp;"-"&amp;MONTH(CurrentMtgRatesDataTable8[[#This Row],[asofdate]])</f>
        <v>2009-9</v>
      </c>
      <c r="D81" s="6">
        <f>((CurrentMtgRatesDataTable8[[#This Row],[SeriesNumValue]]-$D$1)/$D$1+1)*100</f>
        <v>73.731078259611337</v>
      </c>
      <c r="E81" s="6"/>
      <c r="G81" s="7" t="s">
        <v>110</v>
      </c>
      <c r="H81" s="10">
        <v>76.886352068516302</v>
      </c>
      <c r="I81" s="26">
        <f>VLOOKUP(CurrentMtgRatesDataTable82[[#This Row],[asofdate]],K:L,2,0)</f>
        <v>8.0808845487819705E-2</v>
      </c>
      <c r="K81" s="7" t="s">
        <v>110</v>
      </c>
      <c r="L81" s="29">
        <v>8.0808845487819705E-2</v>
      </c>
      <c r="O81" s="7" t="s">
        <v>110</v>
      </c>
      <c r="P81" s="10">
        <v>35.062429359649101</v>
      </c>
      <c r="Q81" s="29">
        <f>VLOOKUP(CurrentMtgRatesDataTable84[[#This Row],[asofdate]],S:T,2,0)</f>
        <v>0.312424845490548</v>
      </c>
      <c r="S81" s="7" t="s">
        <v>110</v>
      </c>
      <c r="T81" s="10">
        <v>0.312424845490548</v>
      </c>
      <c r="W81" s="7" t="s">
        <v>110</v>
      </c>
      <c r="X81" s="10">
        <v>760.53091745985296</v>
      </c>
      <c r="Y81" s="26">
        <f>VLOOKUP(CurrentMtgRatesDataTable86[[#This Row],[asofdate]],AA:AB,2,0)</f>
        <v>7.6840796476315407E-2</v>
      </c>
      <c r="AA81" s="7" t="s">
        <v>110</v>
      </c>
      <c r="AB81" s="10">
        <v>7.6840796476315407E-2</v>
      </c>
      <c r="AE81" s="7" t="s">
        <v>104</v>
      </c>
      <c r="AF81" s="10">
        <v>1.19608237456295E-2</v>
      </c>
      <c r="AG81" s="10" t="str">
        <f>YEAR(CurrentMtgRatesDataTable89[[#This Row],[asofdate]])&amp;"-"&amp;MONTH(CurrentMtgRatesDataTable89[[#This Row],[asofdate]])</f>
        <v>2009-3</v>
      </c>
      <c r="AH81" s="6">
        <f>((CurrentMtgRatesDataTable89[[#This Row],[SeriesNumValue]]-$D$1)/$D$1+1)*100</f>
        <v>79.738824970863334</v>
      </c>
      <c r="AI81" s="6">
        <f>CurrentMtgRatesDataTable89[[#This Row],[Index]]-AH82</f>
        <v>-20.877129311731338</v>
      </c>
      <c r="AJ81" s="6">
        <f>VLOOKUP(CurrentMtgRatesDataTable89[[#This Row],[asofdate]],G:H,2,0)</f>
        <v>77.523640105523498</v>
      </c>
      <c r="AK81" s="6">
        <f>VLOOKUP(CurrentMtgRatesDataTable89[[#This Row],[asofdate]],K:L,2,0)</f>
        <v>0.123219438030904</v>
      </c>
      <c r="AL81" s="6">
        <f>VLOOKUP(CurrentMtgRatesDataTable89[[#This Row],[asofdate]],O:P,2,0)</f>
        <v>36.205626715771302</v>
      </c>
      <c r="AM81" s="6">
        <f>VLOOKUP(CurrentMtgRatesDataTable89[[#This Row],[asofdate]],S:T,2,0)</f>
        <v>0.36778743990558699</v>
      </c>
      <c r="AN81" s="6">
        <f>VLOOKUP(CurrentMtgRatesDataTable89[[#This Row],[asofdate]],W:X,2,0)</f>
        <v>753.83736768122901</v>
      </c>
      <c r="AO81" s="6">
        <f>VLOOKUP(CurrentMtgRatesDataTable89[[#This Row],[asofdate]],AA:AB,2,0)</f>
        <v>0.12367298279946699</v>
      </c>
      <c r="AR81" s="7" t="s">
        <v>110</v>
      </c>
      <c r="AS81" s="10">
        <v>6.8005277207944095E-2</v>
      </c>
      <c r="AT81" s="36">
        <f>((CurrentMtgRatesDataTable8711[[#This Row],[SeriesNumValue]]-$D$1)/$D$1+1)*100</f>
        <v>453.36851471962734</v>
      </c>
      <c r="AU81" s="36"/>
      <c r="AW81" s="7" t="s">
        <v>110</v>
      </c>
      <c r="AX81" s="10">
        <v>6.14172208510139E-2</v>
      </c>
      <c r="AY81" s="36">
        <f>((CurrentMtgRatesDataTable871112[[#This Row],[SeriesNumValue]]-$D$1)/$D$1+1)*100</f>
        <v>409.44813900675933</v>
      </c>
      <c r="AZ81" s="36"/>
      <c r="BB81" s="7" t="s">
        <v>110</v>
      </c>
      <c r="BC81" s="10">
        <v>1.3828378660691301E-2</v>
      </c>
      <c r="BD81" s="39">
        <f>((CurrentMtgRatesDataTable87111213[[#This Row],[SeriesNumValue]]-$D$1)/$D$1+1)*100</f>
        <v>92.189191071275346</v>
      </c>
      <c r="BE81" s="39"/>
      <c r="BG81" s="7" t="s">
        <v>110</v>
      </c>
      <c r="BH81" s="10">
        <v>1.08993077818714E-2</v>
      </c>
      <c r="BI81" s="39">
        <f>((CurrentMtgRatesDataTable8711121314[[#This Row],[SeriesNumValue]]-$D$1)/$D$1+1)*100</f>
        <v>72.66205187914268</v>
      </c>
      <c r="BJ81" s="39" t="str">
        <f>YEAR(CurrentMtgRatesDataTable8711121314[[#This Row],[asofdate]])&amp;"-"&amp;MONTH(CurrentMtgRatesDataTable8711121314[[#This Row],[asofdate]])</f>
        <v>2009-9</v>
      </c>
      <c r="BK81" s="39">
        <f>CurrentMtgRatesDataTable8711121314[[#This Row],[SeriesNumValue]]</f>
        <v>1.08993077818714E-2</v>
      </c>
      <c r="BL81" s="39">
        <f>VLOOKUP(CurrentMtgRatesDataTable8711121314[[#This Row],[asofdate]],AR:AT,2,0)</f>
        <v>6.8005277207944095E-2</v>
      </c>
      <c r="BM81" s="35">
        <f>IF(VLOOKUP(CurrentMtgRatesDataTable8711121314[[#This Row],[asofdate]],AW:AY,2,0)&lt;&gt;0,VLOOKUP(CurrentMtgRatesDataTable8711121314[[#This Row],[asofdate]],AW:AY,2,0),BM80)</f>
        <v>6.14172208510139E-2</v>
      </c>
      <c r="BN81" s="35">
        <f>VLOOKUP(CurrentMtgRatesDataTable8711121314[[#This Row],[asofdate]],BB:BD,2,0)</f>
        <v>1.3828378660691301E-2</v>
      </c>
      <c r="BO81" s="35">
        <f>CurrentMtgRatesDataTable8711121314[[#This Row],[FHA]]+0.5*CurrentMtgRatesDataTable8711121314[[#This Row],[Conventional]]</f>
        <v>7.3454931098879794E-2</v>
      </c>
      <c r="BP81" s="35">
        <f>2*CurrentMtgRatesDataTable8711121314[[#This Row],[FHA]]</f>
        <v>0.13601055441588819</v>
      </c>
      <c r="BQ81" s="11">
        <f>VLOOKUP(YEAR(CurrentMtgRatesDataTable8711121314[[#This Row],[asofdate]]),OriginationVolume!$A:$N,8,FALSE)</f>
        <v>0.68277430358158042</v>
      </c>
      <c r="BR81" s="11">
        <f>VLOOKUP(YEAR(CurrentMtgRatesDataTable8711121314[[#This Row],[asofdate]]),OriginationVolume!$A:$N,9,FALSE)</f>
        <v>6.4098919840818641E-2</v>
      </c>
      <c r="BS81" s="11">
        <f>VLOOKUP(YEAR(CurrentMtgRatesDataTable8711121314[[#This Row],[asofdate]]),OriginationVolume!$A:$N,10,FALSE)</f>
        <v>0.19229675952245595</v>
      </c>
      <c r="BT81" s="11">
        <f>VLOOKUP(YEAR(CurrentMtgRatesDataTable8711121314[[#This Row],[asofdate]]),OriginationVolume!$A:$N,11,FALSE)</f>
        <v>5.5144968732234227E-2</v>
      </c>
      <c r="BU81" s="11">
        <f>VLOOKUP(YEAR(CurrentMtgRatesDataTable8711121314[[#This Row],[asofdate]]),OriginationVolume!$A:$N,12,FALSE)</f>
        <v>3.4110289937464467E-3</v>
      </c>
      <c r="BV81" s="11">
        <f>VLOOKUP(YEAR(CurrentMtgRatesDataTable8711121314[[#This Row],[asofdate]]),OriginationVolume!$A:$N,13,FALSE)</f>
        <v>2.2740193291642978E-3</v>
      </c>
      <c r="BW81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2.561662875023582E-2</v>
      </c>
      <c r="BY81" s="7" t="s">
        <v>110</v>
      </c>
      <c r="BZ81" s="10">
        <v>770343000</v>
      </c>
      <c r="CA81" s="36"/>
      <c r="CC81" s="7" t="s">
        <v>110</v>
      </c>
      <c r="CD81" s="10">
        <v>148117000</v>
      </c>
      <c r="CE81" s="36"/>
      <c r="CG81" s="7" t="s">
        <v>110</v>
      </c>
      <c r="CH81" s="10">
        <v>15939928257.370001</v>
      </c>
      <c r="CI81" s="39"/>
      <c r="CK81" s="7" t="s">
        <v>110</v>
      </c>
      <c r="CL81" s="10">
        <v>15021468257.370001</v>
      </c>
      <c r="CM81" s="39" t="str">
        <f>YEAR(CurrentMtgRatesDataTable871112131417[[#This Row],[asofdate]])&amp;"-"&amp;MONTH(CurrentMtgRatesDataTable871112131417[[#This Row],[asofdate]])</f>
        <v>2009-9</v>
      </c>
      <c r="CN81" s="39">
        <f>CurrentMtgRatesDataTable871112131417[[#This Row],[SeriesNumValue]]</f>
        <v>15021468257.370001</v>
      </c>
      <c r="CO81" s="39">
        <f>VLOOKUP(CurrentMtgRatesDataTable871112131417[[#This Row],[asofdate]],BY:BZ,2,0)</f>
        <v>770343000</v>
      </c>
      <c r="CP81" s="35">
        <f>IF(VLOOKUP(CurrentMtgRatesDataTable871112131417[[#This Row],[asofdate]],CC:CD,2,0)&lt;&gt;0,VLOOKUP(CurrentMtgRatesDataTable871112131417[[#This Row],[asofdate]],CC:CD,2,0),CP80)</f>
        <v>148117000</v>
      </c>
      <c r="CQ81" s="35">
        <f>VLOOKUP(CurrentMtgRatesDataTable871112131417[[#This Row],[asofdate]],CG:CH,2,0)</f>
        <v>15939928257.370001</v>
      </c>
    </row>
    <row r="82" spans="1:95" s="8" customFormat="1" ht="12.75">
      <c r="A82" s="7" t="s">
        <v>111</v>
      </c>
      <c r="B82" s="10">
        <v>1.1841402944076901E-2</v>
      </c>
      <c r="C82" s="10" t="str">
        <f>YEAR(CurrentMtgRatesDataTable8[[#This Row],[asofdate]])&amp;"-"&amp;MONTH(CurrentMtgRatesDataTable8[[#This Row],[asofdate]])</f>
        <v>2009-10</v>
      </c>
      <c r="D82" s="6">
        <f>((CurrentMtgRatesDataTable8[[#This Row],[SeriesNumValue]]-$D$1)/$D$1+1)*100</f>
        <v>78.942686293846009</v>
      </c>
      <c r="E82" s="6"/>
      <c r="G82" s="7" t="s">
        <v>111</v>
      </c>
      <c r="H82" s="10">
        <v>77.093872022529993</v>
      </c>
      <c r="I82" s="26">
        <f>VLOOKUP(CurrentMtgRatesDataTable82[[#This Row],[asofdate]],K:L,2,0)</f>
        <v>8.1590229627374694E-2</v>
      </c>
      <c r="K82" s="7" t="s">
        <v>111</v>
      </c>
      <c r="L82" s="29">
        <v>8.1590229627374694E-2</v>
      </c>
      <c r="O82" s="7" t="s">
        <v>111</v>
      </c>
      <c r="P82" s="10">
        <v>35.285355439040003</v>
      </c>
      <c r="Q82" s="29">
        <f>VLOOKUP(CurrentMtgRatesDataTable84[[#This Row],[asofdate]],S:T,2,0)</f>
        <v>0.31818274376699701</v>
      </c>
      <c r="S82" s="7" t="s">
        <v>111</v>
      </c>
      <c r="T82" s="10">
        <v>0.31818274376699701</v>
      </c>
      <c r="W82" s="7" t="s">
        <v>111</v>
      </c>
      <c r="X82" s="10">
        <v>759.72561555373602</v>
      </c>
      <c r="Y82" s="26">
        <f>VLOOKUP(CurrentMtgRatesDataTable86[[#This Row],[asofdate]],AA:AB,2,0)</f>
        <v>8.2438455854949605E-2</v>
      </c>
      <c r="AA82" s="7" t="s">
        <v>111</v>
      </c>
      <c r="AB82" s="10">
        <v>8.2438455854949605E-2</v>
      </c>
      <c r="AE82" s="7" t="s">
        <v>103</v>
      </c>
      <c r="AF82" s="10">
        <v>1.50923931423892E-2</v>
      </c>
      <c r="AG82" s="10" t="str">
        <f>YEAR(CurrentMtgRatesDataTable89[[#This Row],[asofdate]])&amp;"-"&amp;MONTH(CurrentMtgRatesDataTable89[[#This Row],[asofdate]])</f>
        <v>2009-2</v>
      </c>
      <c r="AH82" s="6">
        <f>((CurrentMtgRatesDataTable89[[#This Row],[SeriesNumValue]]-$D$1)/$D$1+1)*100</f>
        <v>100.61595428259467</v>
      </c>
      <c r="AI82" s="6">
        <f>CurrentMtgRatesDataTable89[[#This Row],[Index]]-AH83</f>
        <v>-15.642878112706654</v>
      </c>
      <c r="AJ82" s="6">
        <f>VLOOKUP(CurrentMtgRatesDataTable89[[#This Row],[asofdate]],G:H,2,0)</f>
        <v>77.790956229913803</v>
      </c>
      <c r="AK82" s="6">
        <f>VLOOKUP(CurrentMtgRatesDataTable89[[#This Row],[asofdate]],K:L,2,0)</f>
        <v>0.12680743640067399</v>
      </c>
      <c r="AL82" s="6">
        <f>VLOOKUP(CurrentMtgRatesDataTable89[[#This Row],[asofdate]],O:P,2,0)</f>
        <v>36.703804548987797</v>
      </c>
      <c r="AM82" s="6">
        <f>VLOOKUP(CurrentMtgRatesDataTable89[[#This Row],[asofdate]],S:T,2,0)</f>
        <v>0.37063372190416999</v>
      </c>
      <c r="AN82" s="6">
        <f>VLOOKUP(CurrentMtgRatesDataTable89[[#This Row],[asofdate]],W:X,2,0)</f>
        <v>751.15781540485602</v>
      </c>
      <c r="AO82" s="6">
        <f>VLOOKUP(CurrentMtgRatesDataTable89[[#This Row],[asofdate]],AA:AB,2,0)</f>
        <v>0.14020618311049801</v>
      </c>
      <c r="AR82" s="7" t="s">
        <v>111</v>
      </c>
      <c r="AS82" s="10">
        <v>7.0066056895199597E-2</v>
      </c>
      <c r="AT82" s="36">
        <f>((CurrentMtgRatesDataTable8711[[#This Row],[SeriesNumValue]]-$D$1)/$D$1+1)*100</f>
        <v>467.10704596799735</v>
      </c>
      <c r="AU82" s="36"/>
      <c r="AW82" s="7" t="s">
        <v>111</v>
      </c>
      <c r="AX82" s="10">
        <v>6.1390904287183197E-2</v>
      </c>
      <c r="AY82" s="36">
        <f>((CurrentMtgRatesDataTable871112[[#This Row],[SeriesNumValue]]-$D$1)/$D$1+1)*100</f>
        <v>409.27269524788807</v>
      </c>
      <c r="AZ82" s="36"/>
      <c r="BB82" s="7" t="s">
        <v>111</v>
      </c>
      <c r="BC82" s="10">
        <v>1.42364241092544E-2</v>
      </c>
      <c r="BD82" s="39">
        <f>((CurrentMtgRatesDataTable87111213[[#This Row],[SeriesNumValue]]-$D$1)/$D$1+1)*100</f>
        <v>94.909494061695995</v>
      </c>
      <c r="BE82" s="39"/>
      <c r="BG82" s="7" t="s">
        <v>111</v>
      </c>
      <c r="BH82" s="10">
        <v>1.13315361956783E-2</v>
      </c>
      <c r="BI82" s="39">
        <f>((CurrentMtgRatesDataTable8711121314[[#This Row],[SeriesNumValue]]-$D$1)/$D$1+1)*100</f>
        <v>75.543574637855343</v>
      </c>
      <c r="BJ82" s="39" t="str">
        <f>YEAR(CurrentMtgRatesDataTable8711121314[[#This Row],[asofdate]])&amp;"-"&amp;MONTH(CurrentMtgRatesDataTable8711121314[[#This Row],[asofdate]])</f>
        <v>2009-10</v>
      </c>
      <c r="BK82" s="39">
        <f>CurrentMtgRatesDataTable8711121314[[#This Row],[SeriesNumValue]]</f>
        <v>1.13315361956783E-2</v>
      </c>
      <c r="BL82" s="39">
        <f>VLOOKUP(CurrentMtgRatesDataTable8711121314[[#This Row],[asofdate]],AR:AT,2,0)</f>
        <v>7.0066056895199597E-2</v>
      </c>
      <c r="BM82" s="35">
        <f>IF(VLOOKUP(CurrentMtgRatesDataTable8711121314[[#This Row],[asofdate]],AW:AY,2,0)&lt;&gt;0,VLOOKUP(CurrentMtgRatesDataTable8711121314[[#This Row],[asofdate]],AW:AY,2,0),BM81)</f>
        <v>6.1390904287183197E-2</v>
      </c>
      <c r="BN82" s="35">
        <f>VLOOKUP(CurrentMtgRatesDataTable8711121314[[#This Row],[asofdate]],BB:BD,2,0)</f>
        <v>1.42364241092544E-2</v>
      </c>
      <c r="BO82" s="35">
        <f>CurrentMtgRatesDataTable8711121314[[#This Row],[FHA]]+0.5*CurrentMtgRatesDataTable8711121314[[#This Row],[Conventional]]</f>
        <v>7.5731824993038752E-2</v>
      </c>
      <c r="BP82" s="35">
        <f>2*CurrentMtgRatesDataTable8711121314[[#This Row],[FHA]]</f>
        <v>0.14013211379039919</v>
      </c>
      <c r="BQ82" s="11">
        <f>VLOOKUP(YEAR(CurrentMtgRatesDataTable8711121314[[#This Row],[asofdate]]),OriginationVolume!$A:$N,8,FALSE)</f>
        <v>0.68277430358158042</v>
      </c>
      <c r="BR82" s="11">
        <f>VLOOKUP(YEAR(CurrentMtgRatesDataTable8711121314[[#This Row],[asofdate]]),OriginationVolume!$A:$N,9,FALSE)</f>
        <v>6.4098919840818641E-2</v>
      </c>
      <c r="BS82" s="11">
        <f>VLOOKUP(YEAR(CurrentMtgRatesDataTable8711121314[[#This Row],[asofdate]]),OriginationVolume!$A:$N,10,FALSE)</f>
        <v>0.19229675952245595</v>
      </c>
      <c r="BT82" s="11">
        <f>VLOOKUP(YEAR(CurrentMtgRatesDataTable8711121314[[#This Row],[asofdate]]),OriginationVolume!$A:$N,11,FALSE)</f>
        <v>5.5144968732234227E-2</v>
      </c>
      <c r="BU82" s="11">
        <f>VLOOKUP(YEAR(CurrentMtgRatesDataTable8711121314[[#This Row],[asofdate]]),OriginationVolume!$A:$N,12,FALSE)</f>
        <v>3.4110289937464467E-3</v>
      </c>
      <c r="BV82" s="11">
        <f>VLOOKUP(YEAR(CurrentMtgRatesDataTable8711121314[[#This Row],[asofdate]]),OriginationVolume!$A:$N,13,FALSE)</f>
        <v>2.2740193291642978E-3</v>
      </c>
      <c r="BW82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2.6347311876231624E-2</v>
      </c>
      <c r="BY82" s="7" t="s">
        <v>111</v>
      </c>
      <c r="BZ82" s="10">
        <v>610776000</v>
      </c>
      <c r="CA82" s="36"/>
      <c r="CC82" s="7" t="s">
        <v>111</v>
      </c>
      <c r="CD82" s="10">
        <v>142960000</v>
      </c>
      <c r="CE82" s="36"/>
      <c r="CG82" s="7" t="s">
        <v>111</v>
      </c>
      <c r="CH82" s="10">
        <v>13528722032.889999</v>
      </c>
      <c r="CI82" s="39"/>
      <c r="CK82" s="7" t="s">
        <v>111</v>
      </c>
      <c r="CL82" s="10">
        <v>12774986032.889999</v>
      </c>
      <c r="CM82" s="39" t="str">
        <f>YEAR(CurrentMtgRatesDataTable871112131417[[#This Row],[asofdate]])&amp;"-"&amp;MONTH(CurrentMtgRatesDataTable871112131417[[#This Row],[asofdate]])</f>
        <v>2009-10</v>
      </c>
      <c r="CN82" s="39">
        <f>CurrentMtgRatesDataTable871112131417[[#This Row],[SeriesNumValue]]</f>
        <v>12774986032.889999</v>
      </c>
      <c r="CO82" s="39">
        <f>VLOOKUP(CurrentMtgRatesDataTable871112131417[[#This Row],[asofdate]],BY:BZ,2,0)</f>
        <v>610776000</v>
      </c>
      <c r="CP82" s="35">
        <f>IF(VLOOKUP(CurrentMtgRatesDataTable871112131417[[#This Row],[asofdate]],CC:CD,2,0)&lt;&gt;0,VLOOKUP(CurrentMtgRatesDataTable871112131417[[#This Row],[asofdate]],CC:CD,2,0),CP81)</f>
        <v>142960000</v>
      </c>
      <c r="CQ82" s="35">
        <f>VLOOKUP(CurrentMtgRatesDataTable871112131417[[#This Row],[asofdate]],CG:CH,2,0)</f>
        <v>13528722032.889999</v>
      </c>
    </row>
    <row r="83" spans="1:95" s="8" customFormat="1" ht="12.75">
      <c r="A83" s="7" t="s">
        <v>112</v>
      </c>
      <c r="B83" s="10">
        <v>1.20256431765603E-2</v>
      </c>
      <c r="C83" s="10" t="str">
        <f>YEAR(CurrentMtgRatesDataTable8[[#This Row],[asofdate]])&amp;"-"&amp;MONTH(CurrentMtgRatesDataTable8[[#This Row],[asofdate]])</f>
        <v>2009-11</v>
      </c>
      <c r="D83" s="6">
        <f>((CurrentMtgRatesDataTable8[[#This Row],[SeriesNumValue]]-$D$1)/$D$1+1)*100</f>
        <v>80.170954510401998</v>
      </c>
      <c r="E83" s="6"/>
      <c r="G83" s="7" t="s">
        <v>112</v>
      </c>
      <c r="H83" s="10">
        <v>76.953802685989899</v>
      </c>
      <c r="I83" s="26">
        <f>VLOOKUP(CurrentMtgRatesDataTable82[[#This Row],[asofdate]],K:L,2,0)</f>
        <v>8.0716616689524998E-2</v>
      </c>
      <c r="K83" s="7" t="s">
        <v>112</v>
      </c>
      <c r="L83" s="29">
        <v>8.0716616689524998E-2</v>
      </c>
      <c r="O83" s="7" t="s">
        <v>112</v>
      </c>
      <c r="P83" s="10">
        <v>35.3465901358419</v>
      </c>
      <c r="Q83" s="29">
        <f>VLOOKUP(CurrentMtgRatesDataTable84[[#This Row],[asofdate]],S:T,2,0)</f>
        <v>0.31708660379937997</v>
      </c>
      <c r="S83" s="7" t="s">
        <v>112</v>
      </c>
      <c r="T83" s="10">
        <v>0.31708660379937997</v>
      </c>
      <c r="W83" s="7" t="s">
        <v>112</v>
      </c>
      <c r="X83" s="10">
        <v>759.44591566559802</v>
      </c>
      <c r="Y83" s="26">
        <f>VLOOKUP(CurrentMtgRatesDataTable86[[#This Row],[asofdate]],AA:AB,2,0)</f>
        <v>8.7714189812880997E-2</v>
      </c>
      <c r="AA83" s="7" t="s">
        <v>112</v>
      </c>
      <c r="AB83" s="10">
        <v>8.7714189812880997E-2</v>
      </c>
      <c r="AE83" s="7" t="s">
        <v>102</v>
      </c>
      <c r="AF83" s="10">
        <v>1.74388248592952E-2</v>
      </c>
      <c r="AG83" s="10" t="str">
        <f>YEAR(CurrentMtgRatesDataTable89[[#This Row],[asofdate]])&amp;"-"&amp;MONTH(CurrentMtgRatesDataTable89[[#This Row],[asofdate]])</f>
        <v>2009-1</v>
      </c>
      <c r="AH83" s="6">
        <f>((CurrentMtgRatesDataTable89[[#This Row],[SeriesNumValue]]-$D$1)/$D$1+1)*100</f>
        <v>116.25883239530133</v>
      </c>
      <c r="AI83" s="6">
        <f>CurrentMtgRatesDataTable89[[#This Row],[Index]]-AH84</f>
        <v>28.252510902480665</v>
      </c>
      <c r="AJ83" s="6">
        <f>VLOOKUP(CurrentMtgRatesDataTable89[[#This Row],[asofdate]],G:H,2,0)</f>
        <v>78.387697357956398</v>
      </c>
      <c r="AK83" s="6">
        <f>VLOOKUP(CurrentMtgRatesDataTable89[[#This Row],[asofdate]],K:L,2,0)</f>
        <v>0.13509696863435</v>
      </c>
      <c r="AL83" s="6">
        <f>VLOOKUP(CurrentMtgRatesDataTable89[[#This Row],[asofdate]],O:P,2,0)</f>
        <v>37.7564539019778</v>
      </c>
      <c r="AM83" s="6">
        <f>VLOOKUP(CurrentMtgRatesDataTable89[[#This Row],[asofdate]],S:T,2,0)</f>
        <v>0.33607801513818097</v>
      </c>
      <c r="AN83" s="6">
        <f>VLOOKUP(CurrentMtgRatesDataTable89[[#This Row],[asofdate]],W:X,2,0)</f>
        <v>747.67307981041199</v>
      </c>
      <c r="AO83" s="6">
        <f>VLOOKUP(CurrentMtgRatesDataTable89[[#This Row],[asofdate]],AA:AB,2,0)</f>
        <v>0.16220081425273</v>
      </c>
      <c r="AR83" s="7" t="s">
        <v>112</v>
      </c>
      <c r="AS83" s="10">
        <v>7.18039593407441E-2</v>
      </c>
      <c r="AT83" s="36">
        <f>((CurrentMtgRatesDataTable8711[[#This Row],[SeriesNumValue]]-$D$1)/$D$1+1)*100</f>
        <v>478.6930622716273</v>
      </c>
      <c r="AU83" s="36"/>
      <c r="AW83" s="7" t="s">
        <v>112</v>
      </c>
      <c r="AX83" s="10">
        <v>6.7723009407227197E-2</v>
      </c>
      <c r="AY83" s="36">
        <f>((CurrentMtgRatesDataTable871112[[#This Row],[SeriesNumValue]]-$D$1)/$D$1+1)*100</f>
        <v>451.48672938151469</v>
      </c>
      <c r="AZ83" s="36"/>
      <c r="BB83" s="7" t="s">
        <v>112</v>
      </c>
      <c r="BC83" s="10">
        <v>1.5267103901716501E-2</v>
      </c>
      <c r="BD83" s="39">
        <f>((CurrentMtgRatesDataTable87111213[[#This Row],[SeriesNumValue]]-$D$1)/$D$1+1)*100</f>
        <v>101.78069267811</v>
      </c>
      <c r="BE83" s="39"/>
      <c r="BG83" s="7" t="s">
        <v>112</v>
      </c>
      <c r="BH83" s="10">
        <v>1.17542416448183E-2</v>
      </c>
      <c r="BI83" s="39">
        <f>((CurrentMtgRatesDataTable8711121314[[#This Row],[SeriesNumValue]]-$D$1)/$D$1+1)*100</f>
        <v>78.361610965455327</v>
      </c>
      <c r="BJ83" s="39" t="str">
        <f>YEAR(CurrentMtgRatesDataTable8711121314[[#This Row],[asofdate]])&amp;"-"&amp;MONTH(CurrentMtgRatesDataTable8711121314[[#This Row],[asofdate]])</f>
        <v>2009-11</v>
      </c>
      <c r="BK83" s="39">
        <f>CurrentMtgRatesDataTable8711121314[[#This Row],[SeriesNumValue]]</f>
        <v>1.17542416448183E-2</v>
      </c>
      <c r="BL83" s="39">
        <f>VLOOKUP(CurrentMtgRatesDataTable8711121314[[#This Row],[asofdate]],AR:AT,2,0)</f>
        <v>7.18039593407441E-2</v>
      </c>
      <c r="BM83" s="35">
        <f>IF(VLOOKUP(CurrentMtgRatesDataTable8711121314[[#This Row],[asofdate]],AW:AY,2,0)&lt;&gt;0,VLOOKUP(CurrentMtgRatesDataTable8711121314[[#This Row],[asofdate]],AW:AY,2,0),BM82)</f>
        <v>6.7723009407227197E-2</v>
      </c>
      <c r="BN83" s="35">
        <f>VLOOKUP(CurrentMtgRatesDataTable8711121314[[#This Row],[asofdate]],BB:BD,2,0)</f>
        <v>1.5267103901716501E-2</v>
      </c>
      <c r="BO83" s="35">
        <f>CurrentMtgRatesDataTable8711121314[[#This Row],[FHA]]+0.5*CurrentMtgRatesDataTable8711121314[[#This Row],[Conventional]]</f>
        <v>7.7681080163153254E-2</v>
      </c>
      <c r="BP83" s="35">
        <f>2*CurrentMtgRatesDataTable8711121314[[#This Row],[FHA]]</f>
        <v>0.1436079186814882</v>
      </c>
      <c r="BQ83" s="11">
        <f>VLOOKUP(YEAR(CurrentMtgRatesDataTable8711121314[[#This Row],[asofdate]]),OriginationVolume!$A:$N,8,FALSE)</f>
        <v>0.68277430358158042</v>
      </c>
      <c r="BR83" s="11">
        <f>VLOOKUP(YEAR(CurrentMtgRatesDataTable8711121314[[#This Row],[asofdate]]),OriginationVolume!$A:$N,9,FALSE)</f>
        <v>6.4098919840818641E-2</v>
      </c>
      <c r="BS83" s="11">
        <f>VLOOKUP(YEAR(CurrentMtgRatesDataTable8711121314[[#This Row],[asofdate]]),OriginationVolume!$A:$N,10,FALSE)</f>
        <v>0.19229675952245595</v>
      </c>
      <c r="BT83" s="11">
        <f>VLOOKUP(YEAR(CurrentMtgRatesDataTable8711121314[[#This Row],[asofdate]]),OriginationVolume!$A:$N,11,FALSE)</f>
        <v>5.5144968732234227E-2</v>
      </c>
      <c r="BU83" s="11">
        <f>VLOOKUP(YEAR(CurrentMtgRatesDataTable8711121314[[#This Row],[asofdate]]),OriginationVolume!$A:$N,12,FALSE)</f>
        <v>3.4110289937464467E-3</v>
      </c>
      <c r="BV83" s="11">
        <f>VLOOKUP(YEAR(CurrentMtgRatesDataTable8711121314[[#This Row],[asofdate]]),OriginationVolume!$A:$N,13,FALSE)</f>
        <v>2.2740193291642978E-3</v>
      </c>
      <c r="BW83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2.7413861494230009E-2</v>
      </c>
      <c r="BY83" s="7" t="s">
        <v>112</v>
      </c>
      <c r="BZ83" s="10">
        <v>655657000</v>
      </c>
      <c r="CA83" s="36"/>
      <c r="CC83" s="7" t="s">
        <v>112</v>
      </c>
      <c r="CD83" s="10">
        <v>153251000</v>
      </c>
      <c r="CE83" s="36"/>
      <c r="CG83" s="7" t="s">
        <v>112</v>
      </c>
      <c r="CH83" s="10">
        <v>12690846042.559999</v>
      </c>
      <c r="CI83" s="39"/>
      <c r="CK83" s="7" t="s">
        <v>112</v>
      </c>
      <c r="CL83" s="10">
        <v>11881938042.559999</v>
      </c>
      <c r="CM83" s="39" t="str">
        <f>YEAR(CurrentMtgRatesDataTable871112131417[[#This Row],[asofdate]])&amp;"-"&amp;MONTH(CurrentMtgRatesDataTable871112131417[[#This Row],[asofdate]])</f>
        <v>2009-11</v>
      </c>
      <c r="CN83" s="39">
        <f>CurrentMtgRatesDataTable871112131417[[#This Row],[SeriesNumValue]]</f>
        <v>11881938042.559999</v>
      </c>
      <c r="CO83" s="39">
        <f>VLOOKUP(CurrentMtgRatesDataTable871112131417[[#This Row],[asofdate]],BY:BZ,2,0)</f>
        <v>655657000</v>
      </c>
      <c r="CP83" s="35">
        <f>IF(VLOOKUP(CurrentMtgRatesDataTable871112131417[[#This Row],[asofdate]],CC:CD,2,0)&lt;&gt;0,VLOOKUP(CurrentMtgRatesDataTable871112131417[[#This Row],[asofdate]],CC:CD,2,0),CP82)</f>
        <v>153251000</v>
      </c>
      <c r="CQ83" s="35">
        <f>VLOOKUP(CurrentMtgRatesDataTable871112131417[[#This Row],[asofdate]],CG:CH,2,0)</f>
        <v>12690846042.559999</v>
      </c>
    </row>
    <row r="84" spans="1:95" s="8" customFormat="1" ht="12.75">
      <c r="A84" s="7" t="s">
        <v>113</v>
      </c>
      <c r="B84" s="10">
        <v>1.15347462545422E-2</v>
      </c>
      <c r="C84" s="10" t="str">
        <f>YEAR(CurrentMtgRatesDataTable8[[#This Row],[asofdate]])&amp;"-"&amp;MONTH(CurrentMtgRatesDataTable8[[#This Row],[asofdate]])</f>
        <v>2009-12</v>
      </c>
      <c r="D84" s="6">
        <f>((CurrentMtgRatesDataTable8[[#This Row],[SeriesNumValue]]-$D$1)/$D$1+1)*100</f>
        <v>76.89830836361466</v>
      </c>
      <c r="E84" s="6"/>
      <c r="G84" s="7" t="s">
        <v>113</v>
      </c>
      <c r="H84" s="10">
        <v>76.821956068657499</v>
      </c>
      <c r="I84" s="26">
        <f>VLOOKUP(CurrentMtgRatesDataTable82[[#This Row],[asofdate]],K:L,2,0)</f>
        <v>7.7684258479736798E-2</v>
      </c>
      <c r="K84" s="7" t="s">
        <v>113</v>
      </c>
      <c r="L84" s="29">
        <v>7.7684258479736798E-2</v>
      </c>
      <c r="O84" s="7" t="s">
        <v>113</v>
      </c>
      <c r="P84" s="10">
        <v>35.1667301275982</v>
      </c>
      <c r="Q84" s="29">
        <f>VLOOKUP(CurrentMtgRatesDataTable84[[#This Row],[asofdate]],S:T,2,0)</f>
        <v>0.31475350404319502</v>
      </c>
      <c r="S84" s="7" t="s">
        <v>113</v>
      </c>
      <c r="T84" s="10">
        <v>0.31475350404319502</v>
      </c>
      <c r="W84" s="7" t="s">
        <v>113</v>
      </c>
      <c r="X84" s="10">
        <v>759.77811495225899</v>
      </c>
      <c r="Y84" s="26">
        <f>VLOOKUP(CurrentMtgRatesDataTable86[[#This Row],[asofdate]],AA:AB,2,0)</f>
        <v>8.4409413550102702E-2</v>
      </c>
      <c r="AA84" s="7" t="s">
        <v>113</v>
      </c>
      <c r="AB84" s="10">
        <v>8.4409413550102702E-2</v>
      </c>
      <c r="AE84" s="7" t="s">
        <v>101</v>
      </c>
      <c r="AF84" s="10">
        <v>1.3200948223923099E-2</v>
      </c>
      <c r="AG84" s="10" t="str">
        <f>YEAR(CurrentMtgRatesDataTable89[[#This Row],[asofdate]])&amp;"-"&amp;MONTH(CurrentMtgRatesDataTable89[[#This Row],[asofdate]])</f>
        <v>2008-12</v>
      </c>
      <c r="AH84" s="6">
        <f>((CurrentMtgRatesDataTable89[[#This Row],[SeriesNumValue]]-$D$1)/$D$1+1)*100</f>
        <v>88.006321492820661</v>
      </c>
      <c r="AI84" s="6">
        <f>CurrentMtgRatesDataTable89[[#This Row],[Index]]-AH85</f>
        <v>-5.787973989358008</v>
      </c>
      <c r="AJ84" s="6">
        <f>VLOOKUP(CurrentMtgRatesDataTable89[[#This Row],[asofdate]],G:H,2,0)</f>
        <v>78.085592748832795</v>
      </c>
      <c r="AK84" s="6">
        <f>VLOOKUP(CurrentMtgRatesDataTable89[[#This Row],[asofdate]],K:L,2,0)</f>
        <v>0.14334661911517199</v>
      </c>
      <c r="AL84" s="6">
        <f>VLOOKUP(CurrentMtgRatesDataTable89[[#This Row],[asofdate]],O:P,2,0)</f>
        <v>37.863545215523096</v>
      </c>
      <c r="AM84" s="6">
        <f>VLOOKUP(CurrentMtgRatesDataTable89[[#This Row],[asofdate]],S:T,2,0)</f>
        <v>0.31869933102218601</v>
      </c>
      <c r="AN84" s="6">
        <f>VLOOKUP(CurrentMtgRatesDataTable89[[#This Row],[asofdate]],W:X,2,0)</f>
        <v>748.91395590109096</v>
      </c>
      <c r="AO84" s="6">
        <f>VLOOKUP(CurrentMtgRatesDataTable89[[#This Row],[asofdate]],AA:AB,2,0)</f>
        <v>0.15477413293758099</v>
      </c>
      <c r="AR84" s="7" t="s">
        <v>113</v>
      </c>
      <c r="AS84" s="10">
        <v>6.7916944669552101E-2</v>
      </c>
      <c r="AT84" s="36">
        <f>((CurrentMtgRatesDataTable8711[[#This Row],[SeriesNumValue]]-$D$1)/$D$1+1)*100</f>
        <v>452.77963113034741</v>
      </c>
      <c r="AU84" s="36"/>
      <c r="AW84" s="7" t="s">
        <v>113</v>
      </c>
      <c r="AX84" s="10">
        <v>6.9173427498785203E-2</v>
      </c>
      <c r="AY84" s="36">
        <f>((CurrentMtgRatesDataTable871112[[#This Row],[SeriesNumValue]]-$D$1)/$D$1+1)*100</f>
        <v>461.15618332523474</v>
      </c>
      <c r="AZ84" s="36"/>
      <c r="BB84" s="7" t="s">
        <v>113</v>
      </c>
      <c r="BC84" s="10">
        <v>1.5764339125978199E-2</v>
      </c>
      <c r="BD84" s="39">
        <f>((CurrentMtgRatesDataTable87111213[[#This Row],[SeriesNumValue]]-$D$1)/$D$1+1)*100</f>
        <v>105.09559417318799</v>
      </c>
      <c r="BE84" s="39"/>
      <c r="BG84" s="7" t="s">
        <v>113</v>
      </c>
      <c r="BH84" s="10">
        <v>1.1259845690290701E-2</v>
      </c>
      <c r="BI84" s="39">
        <f>((CurrentMtgRatesDataTable8711121314[[#This Row],[SeriesNumValue]]-$D$1)/$D$1+1)*100</f>
        <v>75.06563793527134</v>
      </c>
      <c r="BJ84" s="39" t="str">
        <f>YEAR(CurrentMtgRatesDataTable8711121314[[#This Row],[asofdate]])&amp;"-"&amp;MONTH(CurrentMtgRatesDataTable8711121314[[#This Row],[asofdate]])</f>
        <v>2009-12</v>
      </c>
      <c r="BK84" s="39">
        <f>CurrentMtgRatesDataTable8711121314[[#This Row],[SeriesNumValue]]</f>
        <v>1.1259845690290701E-2</v>
      </c>
      <c r="BL84" s="39">
        <f>VLOOKUP(CurrentMtgRatesDataTable8711121314[[#This Row],[asofdate]],AR:AT,2,0)</f>
        <v>6.7916944669552101E-2</v>
      </c>
      <c r="BM84" s="35">
        <f>IF(VLOOKUP(CurrentMtgRatesDataTable8711121314[[#This Row],[asofdate]],AW:AY,2,0)&lt;&gt;0,VLOOKUP(CurrentMtgRatesDataTable8711121314[[#This Row],[asofdate]],AW:AY,2,0),BM83)</f>
        <v>6.9173427498785203E-2</v>
      </c>
      <c r="BN84" s="35">
        <f>VLOOKUP(CurrentMtgRatesDataTable8711121314[[#This Row],[asofdate]],BB:BD,2,0)</f>
        <v>1.5764339125978199E-2</v>
      </c>
      <c r="BO84" s="35">
        <f>CurrentMtgRatesDataTable8711121314[[#This Row],[FHA]]+0.5*CurrentMtgRatesDataTable8711121314[[#This Row],[Conventional]]</f>
        <v>7.3546867514697453E-2</v>
      </c>
      <c r="BP84" s="35">
        <f>2*CurrentMtgRatesDataTable8711121314[[#This Row],[FHA]]</f>
        <v>0.1358338893391042</v>
      </c>
      <c r="BQ84" s="11">
        <f>VLOOKUP(YEAR(CurrentMtgRatesDataTable8711121314[[#This Row],[asofdate]]),OriginationVolume!$A:$N,8,FALSE)</f>
        <v>0.68277430358158042</v>
      </c>
      <c r="BR84" s="11">
        <f>VLOOKUP(YEAR(CurrentMtgRatesDataTable8711121314[[#This Row],[asofdate]]),OriginationVolume!$A:$N,9,FALSE)</f>
        <v>6.4098919840818641E-2</v>
      </c>
      <c r="BS84" s="11">
        <f>VLOOKUP(YEAR(CurrentMtgRatesDataTable8711121314[[#This Row],[asofdate]]),OriginationVolume!$A:$N,10,FALSE)</f>
        <v>0.19229675952245595</v>
      </c>
      <c r="BT84" s="11">
        <f>VLOOKUP(YEAR(CurrentMtgRatesDataTable8711121314[[#This Row],[asofdate]]),OriginationVolume!$A:$N,11,FALSE)</f>
        <v>5.5144968732234227E-2</v>
      </c>
      <c r="BU84" s="11">
        <f>VLOOKUP(YEAR(CurrentMtgRatesDataTable8711121314[[#This Row],[asofdate]]),OriginationVolume!$A:$N,12,FALSE)</f>
        <v>3.4110289937464467E-3</v>
      </c>
      <c r="BV84" s="11">
        <f>VLOOKUP(YEAR(CurrentMtgRatesDataTable8711121314[[#This Row],[asofdate]]),OriginationVolume!$A:$N,13,FALSE)</f>
        <v>2.2740193291642978E-3</v>
      </c>
      <c r="BW84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2.6362766886529825E-2</v>
      </c>
      <c r="BY84" s="7" t="s">
        <v>113</v>
      </c>
      <c r="BZ84" s="10">
        <v>1043851000</v>
      </c>
      <c r="CA84" s="36"/>
      <c r="CC84" s="7" t="s">
        <v>113</v>
      </c>
      <c r="CD84" s="10">
        <v>147779000</v>
      </c>
      <c r="CE84" s="36"/>
      <c r="CG84" s="7" t="s">
        <v>113</v>
      </c>
      <c r="CH84" s="10">
        <v>14055645207.799999</v>
      </c>
      <c r="CI84" s="39"/>
      <c r="CK84" s="7" t="s">
        <v>113</v>
      </c>
      <c r="CL84" s="10">
        <v>12864015207.799999</v>
      </c>
      <c r="CM84" s="39" t="str">
        <f>YEAR(CurrentMtgRatesDataTable871112131417[[#This Row],[asofdate]])&amp;"-"&amp;MONTH(CurrentMtgRatesDataTable871112131417[[#This Row],[asofdate]])</f>
        <v>2009-12</v>
      </c>
      <c r="CN84" s="39">
        <f>CurrentMtgRatesDataTable871112131417[[#This Row],[SeriesNumValue]]</f>
        <v>12864015207.799999</v>
      </c>
      <c r="CO84" s="39">
        <f>VLOOKUP(CurrentMtgRatesDataTable871112131417[[#This Row],[asofdate]],BY:BZ,2,0)</f>
        <v>1043851000</v>
      </c>
      <c r="CP84" s="35">
        <f>IF(VLOOKUP(CurrentMtgRatesDataTable871112131417[[#This Row],[asofdate]],CC:CD,2,0)&lt;&gt;0,VLOOKUP(CurrentMtgRatesDataTable871112131417[[#This Row],[asofdate]],CC:CD,2,0),CP83)</f>
        <v>147779000</v>
      </c>
      <c r="CQ84" s="35">
        <f>VLOOKUP(CurrentMtgRatesDataTable871112131417[[#This Row],[asofdate]],CG:CH,2,0)</f>
        <v>14055645207.799999</v>
      </c>
    </row>
    <row r="85" spans="1:95" s="8" customFormat="1" ht="12.75">
      <c r="A85" s="7" t="s">
        <v>114</v>
      </c>
      <c r="B85" s="10">
        <v>1.1516860667613499E-2</v>
      </c>
      <c r="C85" s="10" t="str">
        <f>YEAR(CurrentMtgRatesDataTable8[[#This Row],[asofdate]])&amp;"-"&amp;MONTH(CurrentMtgRatesDataTable8[[#This Row],[asofdate]])</f>
        <v>2010-1</v>
      </c>
      <c r="D85" s="6">
        <f>((CurrentMtgRatesDataTable8[[#This Row],[SeriesNumValue]]-$D$1)/$D$1+1)*100</f>
        <v>76.779071117423342</v>
      </c>
      <c r="E85" s="6"/>
      <c r="G85" s="7" t="s">
        <v>114</v>
      </c>
      <c r="H85" s="10">
        <v>77.043955927582999</v>
      </c>
      <c r="I85" s="26">
        <f>VLOOKUP(CurrentMtgRatesDataTable82[[#This Row],[asofdate]],K:L,2,0)</f>
        <v>8.0692732250494503E-2</v>
      </c>
      <c r="K85" s="7" t="s">
        <v>114</v>
      </c>
      <c r="L85" s="29">
        <v>8.0692732250494503E-2</v>
      </c>
      <c r="O85" s="7" t="s">
        <v>114</v>
      </c>
      <c r="P85" s="10">
        <v>35.096745322021697</v>
      </c>
      <c r="Q85" s="29">
        <f>VLOOKUP(CurrentMtgRatesDataTable84[[#This Row],[asofdate]],S:T,2,0)</f>
        <v>0.30946149081216401</v>
      </c>
      <c r="S85" s="7" t="s">
        <v>114</v>
      </c>
      <c r="T85" s="10">
        <v>0.30946149081216401</v>
      </c>
      <c r="W85" s="7" t="s">
        <v>114</v>
      </c>
      <c r="X85" s="10">
        <v>759.47430651200102</v>
      </c>
      <c r="Y85" s="26">
        <f>VLOOKUP(CurrentMtgRatesDataTable86[[#This Row],[asofdate]],AA:AB,2,0)</f>
        <v>8.6698257576226706E-2</v>
      </c>
      <c r="AA85" s="7" t="s">
        <v>114</v>
      </c>
      <c r="AB85" s="10">
        <v>8.6698257576226706E-2</v>
      </c>
      <c r="AE85" s="7" t="s">
        <v>100</v>
      </c>
      <c r="AF85" s="10">
        <v>1.4069144322326799E-2</v>
      </c>
      <c r="AG85" s="10" t="str">
        <f>YEAR(CurrentMtgRatesDataTable89[[#This Row],[asofdate]])&amp;"-"&amp;MONTH(CurrentMtgRatesDataTable89[[#This Row],[asofdate]])</f>
        <v>2008-11</v>
      </c>
      <c r="AH85" s="6">
        <f>((CurrentMtgRatesDataTable89[[#This Row],[SeriesNumValue]]-$D$1)/$D$1+1)*100</f>
        <v>93.794295482178669</v>
      </c>
      <c r="AI85" s="6">
        <f>CurrentMtgRatesDataTable89[[#This Row],[Index]]-AH86</f>
        <v>-13.80747675424</v>
      </c>
      <c r="AJ85" s="6">
        <f>VLOOKUP(CurrentMtgRatesDataTable89[[#This Row],[asofdate]],G:H,2,0)</f>
        <v>78.157742768007694</v>
      </c>
      <c r="AK85" s="6">
        <f>VLOOKUP(CurrentMtgRatesDataTable89[[#This Row],[asofdate]],K:L,2,0)</f>
        <v>0.150953438870432</v>
      </c>
      <c r="AL85" s="6">
        <f>VLOOKUP(CurrentMtgRatesDataTable89[[#This Row],[asofdate]],O:P,2,0)</f>
        <v>37.893642795120201</v>
      </c>
      <c r="AM85" s="6">
        <f>VLOOKUP(CurrentMtgRatesDataTable89[[#This Row],[asofdate]],S:T,2,0)</f>
        <v>0.32847350810014198</v>
      </c>
      <c r="AN85" s="6">
        <f>VLOOKUP(CurrentMtgRatesDataTable89[[#This Row],[asofdate]],W:X,2,0)</f>
        <v>748.10181343452996</v>
      </c>
      <c r="AO85" s="6">
        <f>VLOOKUP(CurrentMtgRatesDataTable89[[#This Row],[asofdate]],AA:AB,2,0)</f>
        <v>0.16267950338576401</v>
      </c>
      <c r="AR85" s="7" t="s">
        <v>114</v>
      </c>
      <c r="AS85" s="10">
        <v>6.4104657785873306E-2</v>
      </c>
      <c r="AT85" s="36">
        <f>((CurrentMtgRatesDataTable8711[[#This Row],[SeriesNumValue]]-$D$1)/$D$1+1)*100</f>
        <v>427.36438523915547</v>
      </c>
      <c r="AU85" s="36"/>
      <c r="AW85" s="7" t="s">
        <v>114</v>
      </c>
      <c r="AX85" s="10">
        <v>6.7441193636602101E-2</v>
      </c>
      <c r="AY85" s="36">
        <f>((CurrentMtgRatesDataTable871112[[#This Row],[SeriesNumValue]]-$D$1)/$D$1+1)*100</f>
        <v>449.60795757734735</v>
      </c>
      <c r="AZ85" s="36"/>
      <c r="BB85" s="7" t="s">
        <v>114</v>
      </c>
      <c r="BC85" s="10">
        <v>1.8176199712074102E-2</v>
      </c>
      <c r="BD85" s="39">
        <f>((CurrentMtgRatesDataTable87111213[[#This Row],[SeriesNumValue]]-$D$1)/$D$1+1)*100</f>
        <v>121.17466474716068</v>
      </c>
      <c r="BE85" s="39"/>
      <c r="BG85" s="7" t="s">
        <v>114</v>
      </c>
      <c r="BH85" s="10">
        <v>1.1614952330152899E-2</v>
      </c>
      <c r="BI85" s="39">
        <f>((CurrentMtgRatesDataTable8711121314[[#This Row],[SeriesNumValue]]-$D$1)/$D$1+1)*100</f>
        <v>77.433015534352663</v>
      </c>
      <c r="BJ85" s="39" t="str">
        <f>YEAR(CurrentMtgRatesDataTable8711121314[[#This Row],[asofdate]])&amp;"-"&amp;MONTH(CurrentMtgRatesDataTable8711121314[[#This Row],[asofdate]])</f>
        <v>2010-1</v>
      </c>
      <c r="BK85" s="39">
        <f>CurrentMtgRatesDataTable8711121314[[#This Row],[SeriesNumValue]]</f>
        <v>1.1614952330152899E-2</v>
      </c>
      <c r="BL85" s="39">
        <f>VLOOKUP(CurrentMtgRatesDataTable8711121314[[#This Row],[asofdate]],AR:AT,2,0)</f>
        <v>6.4104657785873306E-2</v>
      </c>
      <c r="BM85" s="35">
        <f>IF(VLOOKUP(CurrentMtgRatesDataTable8711121314[[#This Row],[asofdate]],AW:AY,2,0)&lt;&gt;0,VLOOKUP(CurrentMtgRatesDataTable8711121314[[#This Row],[asofdate]],AW:AY,2,0),BM84)</f>
        <v>6.7441193636602101E-2</v>
      </c>
      <c r="BN85" s="35">
        <f>VLOOKUP(CurrentMtgRatesDataTable8711121314[[#This Row],[asofdate]],BB:BD,2,0)</f>
        <v>1.8176199712074102E-2</v>
      </c>
      <c r="BO85" s="35">
        <f>CurrentMtgRatesDataTable8711121314[[#This Row],[FHA]]+0.5*CurrentMtgRatesDataTable8711121314[[#This Row],[Conventional]]</f>
        <v>6.9912133950949751E-2</v>
      </c>
      <c r="BP85" s="35">
        <f>2*CurrentMtgRatesDataTable8711121314[[#This Row],[FHA]]</f>
        <v>0.12820931557174661</v>
      </c>
      <c r="BQ85" s="11">
        <f>VLOOKUP(YEAR(CurrentMtgRatesDataTable8711121314[[#This Row],[asofdate]]),OriginationVolume!$A:$N,8,FALSE)</f>
        <v>0.69070208728652749</v>
      </c>
      <c r="BR85" s="11">
        <f>VLOOKUP(YEAR(CurrentMtgRatesDataTable8711121314[[#This Row],[asofdate]]),OriginationVolume!$A:$N,9,FALSE)</f>
        <v>5.9614168247944341E-2</v>
      </c>
      <c r="BS85" s="11">
        <f>VLOOKUP(YEAR(CurrentMtgRatesDataTable8711121314[[#This Row],[asofdate]]),OriginationVolume!$A:$N,10,FALSE)</f>
        <v>0.17884250474383301</v>
      </c>
      <c r="BT85" s="11">
        <f>VLOOKUP(YEAR(CurrentMtgRatesDataTable8711121314[[#This Row],[asofdate]]),OriginationVolume!$A:$N,11,FALSE)</f>
        <v>6.5781151170145477E-2</v>
      </c>
      <c r="BU85" s="11">
        <f>VLOOKUP(YEAR(CurrentMtgRatesDataTable8711121314[[#This Row],[asofdate]]),OriginationVolume!$A:$N,12,FALSE)</f>
        <v>2.5300442757748261E-3</v>
      </c>
      <c r="BV85" s="11">
        <f>VLOOKUP(YEAR(CurrentMtgRatesDataTable8711121314[[#This Row],[asofdate]]),OriginationVolume!$A:$N,13,FALSE)</f>
        <v>2.5300442757748261E-3</v>
      </c>
      <c r="BW85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2.477286102097348E-2</v>
      </c>
      <c r="BY85" s="7" t="s">
        <v>114</v>
      </c>
      <c r="BZ85" s="10">
        <v>1653489000</v>
      </c>
      <c r="CA85" s="36"/>
      <c r="CC85" s="7" t="s">
        <v>114</v>
      </c>
      <c r="CD85" s="10">
        <v>167787000</v>
      </c>
      <c r="CE85" s="36"/>
      <c r="CG85" s="7" t="s">
        <v>114</v>
      </c>
      <c r="CH85" s="10">
        <v>14284627990.09</v>
      </c>
      <c r="CI85" s="39"/>
      <c r="CK85" s="7" t="s">
        <v>114</v>
      </c>
      <c r="CL85" s="10">
        <v>12463351990.09</v>
      </c>
      <c r="CM85" s="39" t="str">
        <f>YEAR(CurrentMtgRatesDataTable871112131417[[#This Row],[asofdate]])&amp;"-"&amp;MONTH(CurrentMtgRatesDataTable871112131417[[#This Row],[asofdate]])</f>
        <v>2010-1</v>
      </c>
      <c r="CN85" s="39">
        <f>CurrentMtgRatesDataTable871112131417[[#This Row],[SeriesNumValue]]</f>
        <v>12463351990.09</v>
      </c>
      <c r="CO85" s="39">
        <f>VLOOKUP(CurrentMtgRatesDataTable871112131417[[#This Row],[asofdate]],BY:BZ,2,0)</f>
        <v>1653489000</v>
      </c>
      <c r="CP85" s="35">
        <f>IF(VLOOKUP(CurrentMtgRatesDataTable871112131417[[#This Row],[asofdate]],CC:CD,2,0)&lt;&gt;0,VLOOKUP(CurrentMtgRatesDataTable871112131417[[#This Row],[asofdate]],CC:CD,2,0),CP84)</f>
        <v>167787000</v>
      </c>
      <c r="CQ85" s="35">
        <f>VLOOKUP(CurrentMtgRatesDataTable871112131417[[#This Row],[asofdate]],CG:CH,2,0)</f>
        <v>14284627990.09</v>
      </c>
    </row>
    <row r="86" spans="1:95" s="8" customFormat="1" ht="12.75">
      <c r="A86" s="7" t="s">
        <v>115</v>
      </c>
      <c r="B86" s="10">
        <v>1.04795599511457E-2</v>
      </c>
      <c r="C86" s="10" t="str">
        <f>YEAR(CurrentMtgRatesDataTable8[[#This Row],[asofdate]])&amp;"-"&amp;MONTH(CurrentMtgRatesDataTable8[[#This Row],[asofdate]])</f>
        <v>2010-2</v>
      </c>
      <c r="D86" s="6">
        <f>((CurrentMtgRatesDataTable8[[#This Row],[SeriesNumValue]]-$D$1)/$D$1+1)*100</f>
        <v>69.86373300763799</v>
      </c>
      <c r="E86" s="6"/>
      <c r="G86" s="7" t="s">
        <v>115</v>
      </c>
      <c r="H86" s="10">
        <v>76.298282025895006</v>
      </c>
      <c r="I86" s="26">
        <f>VLOOKUP(CurrentMtgRatesDataTable82[[#This Row],[asofdate]],K:L,2,0)</f>
        <v>6.7321302893014606E-2</v>
      </c>
      <c r="K86" s="7" t="s">
        <v>115</v>
      </c>
      <c r="L86" s="29">
        <v>6.7321302893014606E-2</v>
      </c>
      <c r="O86" s="7" t="s">
        <v>115</v>
      </c>
      <c r="P86" s="10">
        <v>35.350936273908701</v>
      </c>
      <c r="Q86" s="29">
        <f>VLOOKUP(CurrentMtgRatesDataTable84[[#This Row],[asofdate]],S:T,2,0)</f>
        <v>0.32605724396212699</v>
      </c>
      <c r="S86" s="7" t="s">
        <v>115</v>
      </c>
      <c r="T86" s="10">
        <v>0.32605724396212699</v>
      </c>
      <c r="W86" s="7" t="s">
        <v>115</v>
      </c>
      <c r="X86" s="10">
        <v>759.55067968356195</v>
      </c>
      <c r="Y86" s="26">
        <f>VLOOKUP(CurrentMtgRatesDataTable86[[#This Row],[asofdate]],AA:AB,2,0)</f>
        <v>8.9067046927094204E-2</v>
      </c>
      <c r="AA86" s="7" t="s">
        <v>115</v>
      </c>
      <c r="AB86" s="10">
        <v>8.9067046927094204E-2</v>
      </c>
      <c r="AE86" s="7" t="s">
        <v>99</v>
      </c>
      <c r="AF86" s="10">
        <v>1.61402658354628E-2</v>
      </c>
      <c r="AG86" s="10" t="str">
        <f>YEAR(CurrentMtgRatesDataTable89[[#This Row],[asofdate]])&amp;"-"&amp;MONTH(CurrentMtgRatesDataTable89[[#This Row],[asofdate]])</f>
        <v>2008-10</v>
      </c>
      <c r="AH86" s="6">
        <f>((CurrentMtgRatesDataTable89[[#This Row],[SeriesNumValue]]-$D$1)/$D$1+1)*100</f>
        <v>107.60177223641867</v>
      </c>
      <c r="AI86" s="6">
        <f>CurrentMtgRatesDataTable89[[#This Row],[Index]]-AH87</f>
        <v>18.325295076421327</v>
      </c>
      <c r="AJ86" s="6">
        <f>VLOOKUP(CurrentMtgRatesDataTable89[[#This Row],[asofdate]],G:H,2,0)</f>
        <v>78.3124646156392</v>
      </c>
      <c r="AK86" s="6">
        <f>VLOOKUP(CurrentMtgRatesDataTable89[[#This Row],[asofdate]],K:L,2,0)</f>
        <v>0.163296777165823</v>
      </c>
      <c r="AL86" s="6">
        <f>VLOOKUP(CurrentMtgRatesDataTable89[[#This Row],[asofdate]],O:P,2,0)</f>
        <v>37.987846513899299</v>
      </c>
      <c r="AM86" s="6">
        <f>VLOOKUP(CurrentMtgRatesDataTable89[[#This Row],[asofdate]],S:T,2,0)</f>
        <v>0.32142274521264302</v>
      </c>
      <c r="AN86" s="6">
        <f>VLOOKUP(CurrentMtgRatesDataTable89[[#This Row],[asofdate]],W:X,2,0)</f>
        <v>746.04867552023995</v>
      </c>
      <c r="AO86" s="6">
        <f>VLOOKUP(CurrentMtgRatesDataTable89[[#This Row],[asofdate]],AA:AB,2,0)</f>
        <v>0.17744271331476499</v>
      </c>
      <c r="AR86" s="7" t="s">
        <v>115</v>
      </c>
      <c r="AS86" s="10">
        <v>5.3141127900620498E-2</v>
      </c>
      <c r="AT86" s="36">
        <f>((CurrentMtgRatesDataTable8711[[#This Row],[SeriesNumValue]]-$D$1)/$D$1+1)*100</f>
        <v>354.27418600413665</v>
      </c>
      <c r="AU86" s="36"/>
      <c r="AW86" s="7" t="s">
        <v>115</v>
      </c>
      <c r="AX86" s="10">
        <v>5.8153942835834402E-2</v>
      </c>
      <c r="AY86" s="36">
        <f>((CurrentMtgRatesDataTable871112[[#This Row],[SeriesNumValue]]-$D$1)/$D$1+1)*100</f>
        <v>387.692952238896</v>
      </c>
      <c r="AZ86" s="36"/>
      <c r="BB86" s="7" t="s">
        <v>115</v>
      </c>
      <c r="BC86" s="10">
        <v>2.1841323139710201E-2</v>
      </c>
      <c r="BD86" s="39">
        <f>((CurrentMtgRatesDataTable87111213[[#This Row],[SeriesNumValue]]-$D$1)/$D$1+1)*100</f>
        <v>145.60882093140134</v>
      </c>
      <c r="BE86" s="39"/>
      <c r="BG86" s="7" t="s">
        <v>115</v>
      </c>
      <c r="BH86" s="10">
        <v>1.06424119489619E-2</v>
      </c>
      <c r="BI86" s="39">
        <f>((CurrentMtgRatesDataTable8711121314[[#This Row],[SeriesNumValue]]-$D$1)/$D$1+1)*100</f>
        <v>70.949412993079335</v>
      </c>
      <c r="BJ86" s="39" t="str">
        <f>YEAR(CurrentMtgRatesDataTable8711121314[[#This Row],[asofdate]])&amp;"-"&amp;MONTH(CurrentMtgRatesDataTable8711121314[[#This Row],[asofdate]])</f>
        <v>2010-2</v>
      </c>
      <c r="BK86" s="39">
        <f>CurrentMtgRatesDataTable8711121314[[#This Row],[SeriesNumValue]]</f>
        <v>1.06424119489619E-2</v>
      </c>
      <c r="BL86" s="39">
        <f>VLOOKUP(CurrentMtgRatesDataTable8711121314[[#This Row],[asofdate]],AR:AT,2,0)</f>
        <v>5.3141127900620498E-2</v>
      </c>
      <c r="BM86" s="35">
        <f>IF(VLOOKUP(CurrentMtgRatesDataTable8711121314[[#This Row],[asofdate]],AW:AY,2,0)&lt;&gt;0,VLOOKUP(CurrentMtgRatesDataTable8711121314[[#This Row],[asofdate]],AW:AY,2,0),BM85)</f>
        <v>5.8153942835834402E-2</v>
      </c>
      <c r="BN86" s="35">
        <f>VLOOKUP(CurrentMtgRatesDataTable8711121314[[#This Row],[asofdate]],BB:BD,2,0)</f>
        <v>2.1841323139710201E-2</v>
      </c>
      <c r="BO86" s="35">
        <f>CurrentMtgRatesDataTable8711121314[[#This Row],[FHA]]+0.5*CurrentMtgRatesDataTable8711121314[[#This Row],[Conventional]]</f>
        <v>5.8462333875101448E-2</v>
      </c>
      <c r="BP86" s="35">
        <f>2*CurrentMtgRatesDataTable8711121314[[#This Row],[FHA]]</f>
        <v>0.106282255801241</v>
      </c>
      <c r="BQ86" s="11">
        <f>VLOOKUP(YEAR(CurrentMtgRatesDataTable8711121314[[#This Row],[asofdate]]),OriginationVolume!$A:$N,8,FALSE)</f>
        <v>0.69070208728652749</v>
      </c>
      <c r="BR86" s="11">
        <f>VLOOKUP(YEAR(CurrentMtgRatesDataTable8711121314[[#This Row],[asofdate]]),OriginationVolume!$A:$N,9,FALSE)</f>
        <v>5.9614168247944341E-2</v>
      </c>
      <c r="BS86" s="11">
        <f>VLOOKUP(YEAR(CurrentMtgRatesDataTable8711121314[[#This Row],[asofdate]]),OriginationVolume!$A:$N,10,FALSE)</f>
        <v>0.17884250474383301</v>
      </c>
      <c r="BT86" s="11">
        <f>VLOOKUP(YEAR(CurrentMtgRatesDataTable8711121314[[#This Row],[asofdate]]),OriginationVolume!$A:$N,11,FALSE)</f>
        <v>6.5781151170145477E-2</v>
      </c>
      <c r="BU86" s="11">
        <f>VLOOKUP(YEAR(CurrentMtgRatesDataTable8711121314[[#This Row],[asofdate]]),OriginationVolume!$A:$N,12,FALSE)</f>
        <v>2.5300442757748261E-3</v>
      </c>
      <c r="BV86" s="11">
        <f>VLOOKUP(YEAR(CurrentMtgRatesDataTable8711121314[[#This Row],[asofdate]]),OriginationVolume!$A:$N,13,FALSE)</f>
        <v>2.5300442757748261E-3</v>
      </c>
      <c r="BW86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2.1438308713372326E-2</v>
      </c>
      <c r="BY86" s="7" t="s">
        <v>115</v>
      </c>
      <c r="BZ86" s="10">
        <v>3490097000</v>
      </c>
      <c r="CA86" s="36"/>
      <c r="CC86" s="7" t="s">
        <v>115</v>
      </c>
      <c r="CD86" s="10">
        <v>342052000</v>
      </c>
      <c r="CE86" s="36"/>
      <c r="CG86" s="7" t="s">
        <v>115</v>
      </c>
      <c r="CH86" s="10">
        <v>14878861003.209999</v>
      </c>
      <c r="CI86" s="39"/>
      <c r="CK86" s="7" t="s">
        <v>115</v>
      </c>
      <c r="CL86" s="10">
        <v>11046712003.209999</v>
      </c>
      <c r="CM86" s="39" t="str">
        <f>YEAR(CurrentMtgRatesDataTable871112131417[[#This Row],[asofdate]])&amp;"-"&amp;MONTH(CurrentMtgRatesDataTable871112131417[[#This Row],[asofdate]])</f>
        <v>2010-2</v>
      </c>
      <c r="CN86" s="39">
        <f>CurrentMtgRatesDataTable871112131417[[#This Row],[SeriesNumValue]]</f>
        <v>11046712003.209999</v>
      </c>
      <c r="CO86" s="39">
        <f>VLOOKUP(CurrentMtgRatesDataTable871112131417[[#This Row],[asofdate]],BY:BZ,2,0)</f>
        <v>3490097000</v>
      </c>
      <c r="CP86" s="35">
        <f>IF(VLOOKUP(CurrentMtgRatesDataTable871112131417[[#This Row],[asofdate]],CC:CD,2,0)&lt;&gt;0,VLOOKUP(CurrentMtgRatesDataTable871112131417[[#This Row],[asofdate]],CC:CD,2,0),CP85)</f>
        <v>342052000</v>
      </c>
      <c r="CQ86" s="35">
        <f>VLOOKUP(CurrentMtgRatesDataTable871112131417[[#This Row],[asofdate]],CG:CH,2,0)</f>
        <v>14878861003.209999</v>
      </c>
    </row>
    <row r="87" spans="1:95" s="8" customFormat="1" ht="12.75">
      <c r="A87" s="7" t="s">
        <v>116</v>
      </c>
      <c r="B87" s="10">
        <v>1.06986375276572E-2</v>
      </c>
      <c r="C87" s="10" t="str">
        <f>YEAR(CurrentMtgRatesDataTable8[[#This Row],[asofdate]])&amp;"-"&amp;MONTH(CurrentMtgRatesDataTable8[[#This Row],[asofdate]])</f>
        <v>2010-3</v>
      </c>
      <c r="D87" s="6">
        <f>((CurrentMtgRatesDataTable8[[#This Row],[SeriesNumValue]]-$D$1)/$D$1+1)*100</f>
        <v>71.324250184381327</v>
      </c>
      <c r="E87" s="6"/>
      <c r="G87" s="7" t="s">
        <v>116</v>
      </c>
      <c r="H87" s="10">
        <v>76.134896970370804</v>
      </c>
      <c r="I87" s="26">
        <f>VLOOKUP(CurrentMtgRatesDataTable82[[#This Row],[asofdate]],K:L,2,0)</f>
        <v>6.4960577538630798E-2</v>
      </c>
      <c r="K87" s="7" t="s">
        <v>116</v>
      </c>
      <c r="L87" s="29">
        <v>6.4960577538630798E-2</v>
      </c>
      <c r="O87" s="7" t="s">
        <v>116</v>
      </c>
      <c r="P87" s="10">
        <v>35.1679187610561</v>
      </c>
      <c r="Q87" s="29">
        <f>VLOOKUP(CurrentMtgRatesDataTable84[[#This Row],[asofdate]],S:T,2,0)</f>
        <v>0.32345397389146002</v>
      </c>
      <c r="S87" s="7" t="s">
        <v>116</v>
      </c>
      <c r="T87" s="10">
        <v>0.32345397389146002</v>
      </c>
      <c r="W87" s="7" t="s">
        <v>116</v>
      </c>
      <c r="X87" s="10">
        <v>759.42833208172897</v>
      </c>
      <c r="Y87" s="26">
        <f>VLOOKUP(CurrentMtgRatesDataTable86[[#This Row],[asofdate]],AA:AB,2,0)</f>
        <v>8.6684210231504605E-2</v>
      </c>
      <c r="AA87" s="7" t="s">
        <v>116</v>
      </c>
      <c r="AB87" s="10">
        <v>8.6684210231504605E-2</v>
      </c>
      <c r="AE87" s="7" t="s">
        <v>98</v>
      </c>
      <c r="AF87" s="10">
        <v>1.33914715739996E-2</v>
      </c>
      <c r="AG87" s="10" t="str">
        <f>YEAR(CurrentMtgRatesDataTable89[[#This Row],[asofdate]])&amp;"-"&amp;MONTH(CurrentMtgRatesDataTable89[[#This Row],[asofdate]])</f>
        <v>2008-9</v>
      </c>
      <c r="AH87" s="6">
        <f>((CurrentMtgRatesDataTable89[[#This Row],[SeriesNumValue]]-$D$1)/$D$1+1)*100</f>
        <v>89.276477159997341</v>
      </c>
      <c r="AI87" s="6">
        <f>CurrentMtgRatesDataTable89[[#This Row],[Index]]-AH88</f>
        <v>0.46885225453600299</v>
      </c>
      <c r="AJ87" s="6">
        <f>VLOOKUP(CurrentMtgRatesDataTable89[[#This Row],[asofdate]],G:H,2,0)</f>
        <v>78.2639911263947</v>
      </c>
      <c r="AK87" s="6">
        <f>VLOOKUP(CurrentMtgRatesDataTable89[[#This Row],[asofdate]],K:L,2,0)</f>
        <v>0.16617522330031601</v>
      </c>
      <c r="AL87" s="6">
        <f>VLOOKUP(CurrentMtgRatesDataTable89[[#This Row],[asofdate]],O:P,2,0)</f>
        <v>38.161391290982401</v>
      </c>
      <c r="AM87" s="6">
        <f>VLOOKUP(CurrentMtgRatesDataTable89[[#This Row],[asofdate]],S:T,2,0)</f>
        <v>0.34039413439216898</v>
      </c>
      <c r="AN87" s="6">
        <f>VLOOKUP(CurrentMtgRatesDataTable89[[#This Row],[asofdate]],W:X,2,0)</f>
        <v>747.62063220995401</v>
      </c>
      <c r="AO87" s="6">
        <f>VLOOKUP(CurrentMtgRatesDataTable89[[#This Row],[asofdate]],AA:AB,2,0)</f>
        <v>0.16640580356024401</v>
      </c>
      <c r="AR87" s="7" t="s">
        <v>116</v>
      </c>
      <c r="AS87" s="10">
        <v>4.9614369155651102E-2</v>
      </c>
      <c r="AT87" s="36">
        <f>((CurrentMtgRatesDataTable8711[[#This Row],[SeriesNumValue]]-$D$1)/$D$1+1)*100</f>
        <v>330.76246103767403</v>
      </c>
      <c r="AU87" s="36"/>
      <c r="AW87" s="7" t="s">
        <v>116</v>
      </c>
      <c r="AX87" s="10">
        <v>5.42370628751601E-2</v>
      </c>
      <c r="AY87" s="36">
        <f>((CurrentMtgRatesDataTable871112[[#This Row],[SeriesNumValue]]-$D$1)/$D$1+1)*100</f>
        <v>361.58041916773402</v>
      </c>
      <c r="AZ87" s="36"/>
      <c r="BB87" s="7" t="s">
        <v>116</v>
      </c>
      <c r="BC87" s="10">
        <v>2.7120403973857701E-2</v>
      </c>
      <c r="BD87" s="39">
        <f>((CurrentMtgRatesDataTable87111213[[#This Row],[SeriesNumValue]]-$D$1)/$D$1+1)*100</f>
        <v>180.80269315905136</v>
      </c>
      <c r="BE87" s="39"/>
      <c r="BG87" s="7" t="s">
        <v>116</v>
      </c>
      <c r="BH87" s="10">
        <v>1.05573524364265E-2</v>
      </c>
      <c r="BI87" s="39">
        <f>((CurrentMtgRatesDataTable8711121314[[#This Row],[SeriesNumValue]]-$D$1)/$D$1+1)*100</f>
        <v>70.382349576176665</v>
      </c>
      <c r="BJ87" s="39" t="str">
        <f>YEAR(CurrentMtgRatesDataTable8711121314[[#This Row],[asofdate]])&amp;"-"&amp;MONTH(CurrentMtgRatesDataTable8711121314[[#This Row],[asofdate]])</f>
        <v>2010-3</v>
      </c>
      <c r="BK87" s="39">
        <f>CurrentMtgRatesDataTable8711121314[[#This Row],[SeriesNumValue]]</f>
        <v>1.05573524364265E-2</v>
      </c>
      <c r="BL87" s="39">
        <f>VLOOKUP(CurrentMtgRatesDataTable8711121314[[#This Row],[asofdate]],AR:AT,2,0)</f>
        <v>4.9614369155651102E-2</v>
      </c>
      <c r="BM87" s="35">
        <f>IF(VLOOKUP(CurrentMtgRatesDataTable8711121314[[#This Row],[asofdate]],AW:AY,2,0)&lt;&gt;0,VLOOKUP(CurrentMtgRatesDataTable8711121314[[#This Row],[asofdate]],AW:AY,2,0),BM86)</f>
        <v>5.42370628751601E-2</v>
      </c>
      <c r="BN87" s="35">
        <f>VLOOKUP(CurrentMtgRatesDataTable8711121314[[#This Row],[asofdate]],BB:BD,2,0)</f>
        <v>2.7120403973857701E-2</v>
      </c>
      <c r="BO87" s="35">
        <f>CurrentMtgRatesDataTable8711121314[[#This Row],[FHA]]+0.5*CurrentMtgRatesDataTable8711121314[[#This Row],[Conventional]]</f>
        <v>5.4893045373864351E-2</v>
      </c>
      <c r="BP87" s="35">
        <f>2*CurrentMtgRatesDataTable8711121314[[#This Row],[FHA]]</f>
        <v>9.9228738311302203E-2</v>
      </c>
      <c r="BQ87" s="11">
        <f>VLOOKUP(YEAR(CurrentMtgRatesDataTable8711121314[[#This Row],[asofdate]]),OriginationVolume!$A:$N,8,FALSE)</f>
        <v>0.69070208728652749</v>
      </c>
      <c r="BR87" s="11">
        <f>VLOOKUP(YEAR(CurrentMtgRatesDataTable8711121314[[#This Row],[asofdate]]),OriginationVolume!$A:$N,9,FALSE)</f>
        <v>5.9614168247944341E-2</v>
      </c>
      <c r="BS87" s="11">
        <f>VLOOKUP(YEAR(CurrentMtgRatesDataTable8711121314[[#This Row],[asofdate]]),OriginationVolume!$A:$N,10,FALSE)</f>
        <v>0.17884250474383301</v>
      </c>
      <c r="BT87" s="11">
        <f>VLOOKUP(YEAR(CurrentMtgRatesDataTable8711121314[[#This Row],[asofdate]]),OriginationVolume!$A:$N,11,FALSE)</f>
        <v>6.5781151170145477E-2</v>
      </c>
      <c r="BU87" s="11">
        <f>VLOOKUP(YEAR(CurrentMtgRatesDataTable8711121314[[#This Row],[asofdate]]),OriginationVolume!$A:$N,12,FALSE)</f>
        <v>2.5300442757748261E-3</v>
      </c>
      <c r="BV87" s="11">
        <f>VLOOKUP(YEAR(CurrentMtgRatesDataTable8711121314[[#This Row],[asofdate]]),OriginationVolume!$A:$N,13,FALSE)</f>
        <v>2.5300442757748261E-3</v>
      </c>
      <c r="BW87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2.0482850539817174E-2</v>
      </c>
      <c r="BY87" s="7" t="s">
        <v>116</v>
      </c>
      <c r="BZ87" s="10">
        <v>4877017000</v>
      </c>
      <c r="CA87" s="36"/>
      <c r="CC87" s="7" t="s">
        <v>116</v>
      </c>
      <c r="CD87" s="10">
        <v>326276000</v>
      </c>
      <c r="CE87" s="36"/>
      <c r="CG87" s="7" t="s">
        <v>116</v>
      </c>
      <c r="CH87" s="10">
        <v>12729941372.379999</v>
      </c>
      <c r="CI87" s="39"/>
      <c r="CK87" s="7" t="s">
        <v>116</v>
      </c>
      <c r="CL87" s="10">
        <v>7526648372.3800001</v>
      </c>
      <c r="CM87" s="39" t="str">
        <f>YEAR(CurrentMtgRatesDataTable871112131417[[#This Row],[asofdate]])&amp;"-"&amp;MONTH(CurrentMtgRatesDataTable871112131417[[#This Row],[asofdate]])</f>
        <v>2010-3</v>
      </c>
      <c r="CN87" s="39">
        <f>CurrentMtgRatesDataTable871112131417[[#This Row],[SeriesNumValue]]</f>
        <v>7526648372.3800001</v>
      </c>
      <c r="CO87" s="39">
        <f>VLOOKUP(CurrentMtgRatesDataTable871112131417[[#This Row],[asofdate]],BY:BZ,2,0)</f>
        <v>4877017000</v>
      </c>
      <c r="CP87" s="35">
        <f>IF(VLOOKUP(CurrentMtgRatesDataTable871112131417[[#This Row],[asofdate]],CC:CD,2,0)&lt;&gt;0,VLOOKUP(CurrentMtgRatesDataTable871112131417[[#This Row],[asofdate]],CC:CD,2,0),CP86)</f>
        <v>326276000</v>
      </c>
      <c r="CQ87" s="35">
        <f>VLOOKUP(CurrentMtgRatesDataTable871112131417[[#This Row],[asofdate]],CG:CH,2,0)</f>
        <v>12729941372.379999</v>
      </c>
    </row>
    <row r="88" spans="1:95" s="8" customFormat="1" ht="12.75">
      <c r="A88" s="7" t="s">
        <v>117</v>
      </c>
      <c r="B88" s="10">
        <v>1.10114221292561E-2</v>
      </c>
      <c r="C88" s="10" t="str">
        <f>YEAR(CurrentMtgRatesDataTable8[[#This Row],[asofdate]])&amp;"-"&amp;MONTH(CurrentMtgRatesDataTable8[[#This Row],[asofdate]])</f>
        <v>2010-4</v>
      </c>
      <c r="D88" s="6">
        <f>((CurrentMtgRatesDataTable8[[#This Row],[SeriesNumValue]]-$D$1)/$D$1+1)*100</f>
        <v>73.409480861707337</v>
      </c>
      <c r="E88" s="6"/>
      <c r="G88" s="7" t="s">
        <v>117</v>
      </c>
      <c r="H88" s="10">
        <v>76.502585993042302</v>
      </c>
      <c r="I88" s="26">
        <f>VLOOKUP(CurrentMtgRatesDataTable82[[#This Row],[asofdate]],K:L,2,0)</f>
        <v>7.1784475002186002E-2</v>
      </c>
      <c r="K88" s="7" t="s">
        <v>117</v>
      </c>
      <c r="L88" s="29">
        <v>7.1784475002186002E-2</v>
      </c>
      <c r="O88" s="7" t="s">
        <v>117</v>
      </c>
      <c r="P88" s="10">
        <v>34.642619302927201</v>
      </c>
      <c r="Q88" s="29">
        <f>VLOOKUP(CurrentMtgRatesDataTable84[[#This Row],[asofdate]],S:T,2,0)</f>
        <v>0.308692322041347</v>
      </c>
      <c r="S88" s="7" t="s">
        <v>117</v>
      </c>
      <c r="T88" s="10">
        <v>0.308692322041347</v>
      </c>
      <c r="W88" s="7" t="s">
        <v>117</v>
      </c>
      <c r="X88" s="10">
        <v>759.84269690104395</v>
      </c>
      <c r="Y88" s="26">
        <f>VLOOKUP(CurrentMtgRatesDataTable86[[#This Row],[asofdate]],AA:AB,2,0)</f>
        <v>8.7713830080208194E-2</v>
      </c>
      <c r="AA88" s="7" t="s">
        <v>117</v>
      </c>
      <c r="AB88" s="10">
        <v>8.7713830080208194E-2</v>
      </c>
      <c r="AE88" s="7" t="s">
        <v>97</v>
      </c>
      <c r="AF88" s="10">
        <v>1.33211437358192E-2</v>
      </c>
      <c r="AG88" s="10" t="str">
        <f>YEAR(CurrentMtgRatesDataTable89[[#This Row],[asofdate]])&amp;"-"&amp;MONTH(CurrentMtgRatesDataTable89[[#This Row],[asofdate]])</f>
        <v>2008-8</v>
      </c>
      <c r="AH88" s="6">
        <f>((CurrentMtgRatesDataTable89[[#This Row],[SeriesNumValue]]-$D$1)/$D$1+1)*100</f>
        <v>88.807624905461338</v>
      </c>
      <c r="AI88" s="6">
        <f>CurrentMtgRatesDataTable89[[#This Row],[Index]]-AH89</f>
        <v>-3.1124602833239976</v>
      </c>
      <c r="AJ88" s="6">
        <f>VLOOKUP(CurrentMtgRatesDataTable89[[#This Row],[asofdate]],G:H,2,0)</f>
        <v>78.848097521187</v>
      </c>
      <c r="AK88" s="6">
        <f>VLOOKUP(CurrentMtgRatesDataTable89[[#This Row],[asofdate]],K:L,2,0)</f>
        <v>0.19158124136652299</v>
      </c>
      <c r="AL88" s="6">
        <f>VLOOKUP(CurrentMtgRatesDataTable89[[#This Row],[asofdate]],O:P,2,0)</f>
        <v>37.999181742126503</v>
      </c>
      <c r="AM88" s="6">
        <f>VLOOKUP(CurrentMtgRatesDataTable89[[#This Row],[asofdate]],S:T,2,0)</f>
        <v>0.324853201159644</v>
      </c>
      <c r="AN88" s="6">
        <f>VLOOKUP(CurrentMtgRatesDataTable89[[#This Row],[asofdate]],W:X,2,0)</f>
        <v>746.24339258136104</v>
      </c>
      <c r="AO88" s="6">
        <f>VLOOKUP(CurrentMtgRatesDataTable89[[#This Row],[asofdate]],AA:AB,2,0)</f>
        <v>0.17315160637188701</v>
      </c>
      <c r="AR88" s="7" t="s">
        <v>117</v>
      </c>
      <c r="AS88" s="10">
        <v>4.9938732237334402E-2</v>
      </c>
      <c r="AT88" s="36">
        <f>((CurrentMtgRatesDataTable8711[[#This Row],[SeriesNumValue]]-$D$1)/$D$1+1)*100</f>
        <v>332.92488158222937</v>
      </c>
      <c r="AU88" s="36"/>
      <c r="AW88" s="7" t="s">
        <v>117</v>
      </c>
      <c r="AX88" s="10">
        <v>5.7537915234067899E-2</v>
      </c>
      <c r="AY88" s="36">
        <f>((CurrentMtgRatesDataTable871112[[#This Row],[SeriesNumValue]]-$D$1)/$D$1+1)*100</f>
        <v>383.58610156045268</v>
      </c>
      <c r="AZ88" s="36"/>
      <c r="BB88" s="7" t="s">
        <v>117</v>
      </c>
      <c r="BC88" s="10">
        <v>2.82831318403679E-2</v>
      </c>
      <c r="BD88" s="39">
        <f>((CurrentMtgRatesDataTable87111213[[#This Row],[SeriesNumValue]]-$D$1)/$D$1+1)*100</f>
        <v>188.55421226911932</v>
      </c>
      <c r="BE88" s="39"/>
      <c r="BG88" s="7" t="s">
        <v>117</v>
      </c>
      <c r="BH88" s="10">
        <v>1.0941874131880001E-2</v>
      </c>
      <c r="BI88" s="39">
        <f>((CurrentMtgRatesDataTable8711121314[[#This Row],[SeriesNumValue]]-$D$1)/$D$1+1)*100</f>
        <v>72.945827545866678</v>
      </c>
      <c r="BJ88" s="39" t="str">
        <f>YEAR(CurrentMtgRatesDataTable8711121314[[#This Row],[asofdate]])&amp;"-"&amp;MONTH(CurrentMtgRatesDataTable8711121314[[#This Row],[asofdate]])</f>
        <v>2010-4</v>
      </c>
      <c r="BK88" s="39">
        <f>CurrentMtgRatesDataTable8711121314[[#This Row],[SeriesNumValue]]</f>
        <v>1.0941874131880001E-2</v>
      </c>
      <c r="BL88" s="39">
        <f>VLOOKUP(CurrentMtgRatesDataTable8711121314[[#This Row],[asofdate]],AR:AT,2,0)</f>
        <v>4.9938732237334402E-2</v>
      </c>
      <c r="BM88" s="35">
        <f>IF(VLOOKUP(CurrentMtgRatesDataTable8711121314[[#This Row],[asofdate]],AW:AY,2,0)&lt;&gt;0,VLOOKUP(CurrentMtgRatesDataTable8711121314[[#This Row],[asofdate]],AW:AY,2,0),BM87)</f>
        <v>5.7537915234067899E-2</v>
      </c>
      <c r="BN88" s="35">
        <f>VLOOKUP(CurrentMtgRatesDataTable8711121314[[#This Row],[asofdate]],BB:BD,2,0)</f>
        <v>2.82831318403679E-2</v>
      </c>
      <c r="BO88" s="35">
        <f>CurrentMtgRatesDataTable8711121314[[#This Row],[FHA]]+0.5*CurrentMtgRatesDataTable8711121314[[#This Row],[Conventional]]</f>
        <v>5.54096693032744E-2</v>
      </c>
      <c r="BP88" s="35">
        <f>2*CurrentMtgRatesDataTable8711121314[[#This Row],[FHA]]</f>
        <v>9.9877464474668803E-2</v>
      </c>
      <c r="BQ88" s="11">
        <f>VLOOKUP(YEAR(CurrentMtgRatesDataTable8711121314[[#This Row],[asofdate]]),OriginationVolume!$A:$N,8,FALSE)</f>
        <v>0.69070208728652749</v>
      </c>
      <c r="BR88" s="11">
        <f>VLOOKUP(YEAR(CurrentMtgRatesDataTable8711121314[[#This Row],[asofdate]]),OriginationVolume!$A:$N,9,FALSE)</f>
        <v>5.9614168247944341E-2</v>
      </c>
      <c r="BS88" s="11">
        <f>VLOOKUP(YEAR(CurrentMtgRatesDataTable8711121314[[#This Row],[asofdate]]),OriginationVolume!$A:$N,10,FALSE)</f>
        <v>0.17884250474383301</v>
      </c>
      <c r="BT88" s="11">
        <f>VLOOKUP(YEAR(CurrentMtgRatesDataTable8711121314[[#This Row],[asofdate]]),OriginationVolume!$A:$N,11,FALSE)</f>
        <v>6.5781151170145477E-2</v>
      </c>
      <c r="BU88" s="11">
        <f>VLOOKUP(YEAR(CurrentMtgRatesDataTable8711121314[[#This Row],[asofdate]]),OriginationVolume!$A:$N,12,FALSE)</f>
        <v>2.5300442757748261E-3</v>
      </c>
      <c r="BV88" s="11">
        <f>VLOOKUP(YEAR(CurrentMtgRatesDataTable8711121314[[#This Row],[asofdate]]),OriginationVolume!$A:$N,13,FALSE)</f>
        <v>2.5300442757748261E-3</v>
      </c>
      <c r="BW88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2.1031470618442415E-2</v>
      </c>
      <c r="BY88" s="7" t="s">
        <v>117</v>
      </c>
      <c r="BZ88" s="10">
        <v>5390326000</v>
      </c>
      <c r="CA88" s="36"/>
      <c r="CC88" s="7" t="s">
        <v>117</v>
      </c>
      <c r="CD88" s="10">
        <v>367123000</v>
      </c>
      <c r="CE88" s="36"/>
      <c r="CG88" s="7" t="s">
        <v>117</v>
      </c>
      <c r="CH88" s="10">
        <v>13588645038.32</v>
      </c>
      <c r="CI88" s="39"/>
      <c r="CK88" s="7" t="s">
        <v>117</v>
      </c>
      <c r="CL88" s="10">
        <v>7831196038.3199997</v>
      </c>
      <c r="CM88" s="39" t="str">
        <f>YEAR(CurrentMtgRatesDataTable871112131417[[#This Row],[asofdate]])&amp;"-"&amp;MONTH(CurrentMtgRatesDataTable871112131417[[#This Row],[asofdate]])</f>
        <v>2010-4</v>
      </c>
      <c r="CN88" s="39">
        <f>CurrentMtgRatesDataTable871112131417[[#This Row],[SeriesNumValue]]</f>
        <v>7831196038.3199997</v>
      </c>
      <c r="CO88" s="39">
        <f>VLOOKUP(CurrentMtgRatesDataTable871112131417[[#This Row],[asofdate]],BY:BZ,2,0)</f>
        <v>5390326000</v>
      </c>
      <c r="CP88" s="35">
        <f>IF(VLOOKUP(CurrentMtgRatesDataTable871112131417[[#This Row],[asofdate]],CC:CD,2,0)&lt;&gt;0,VLOOKUP(CurrentMtgRatesDataTable871112131417[[#This Row],[asofdate]],CC:CD,2,0),CP87)</f>
        <v>367123000</v>
      </c>
      <c r="CQ88" s="35">
        <f>VLOOKUP(CurrentMtgRatesDataTable871112131417[[#This Row],[asofdate]],CG:CH,2,0)</f>
        <v>13588645038.32</v>
      </c>
    </row>
    <row r="89" spans="1:95" s="8" customFormat="1" ht="12.75">
      <c r="A89" s="7" t="s">
        <v>118</v>
      </c>
      <c r="B89" s="10">
        <v>1.09972759547881E-2</v>
      </c>
      <c r="C89" s="10" t="str">
        <f>YEAR(CurrentMtgRatesDataTable8[[#This Row],[asofdate]])&amp;"-"&amp;MONTH(CurrentMtgRatesDataTable8[[#This Row],[asofdate]])</f>
        <v>2010-5</v>
      </c>
      <c r="D89" s="6">
        <f>((CurrentMtgRatesDataTable8[[#This Row],[SeriesNumValue]]-$D$1)/$D$1+1)*100</f>
        <v>73.315173031920679</v>
      </c>
      <c r="E89" s="6"/>
      <c r="G89" s="7" t="s">
        <v>118</v>
      </c>
      <c r="H89" s="10">
        <v>77.057767341070999</v>
      </c>
      <c r="I89" s="26">
        <f>VLOOKUP(CurrentMtgRatesDataTable82[[#This Row],[asofdate]],K:L,2,0)</f>
        <v>8.3302521575952804E-2</v>
      </c>
      <c r="K89" s="7" t="s">
        <v>118</v>
      </c>
      <c r="L89" s="29">
        <v>8.3302521575952804E-2</v>
      </c>
      <c r="O89" s="7" t="s">
        <v>118</v>
      </c>
      <c r="P89" s="10">
        <v>34.4440642092299</v>
      </c>
      <c r="Q89" s="29">
        <f>VLOOKUP(CurrentMtgRatesDataTable84[[#This Row],[asofdate]],S:T,2,0)</f>
        <v>0.29885314640147098</v>
      </c>
      <c r="S89" s="7" t="s">
        <v>118</v>
      </c>
      <c r="T89" s="10">
        <v>0.29885314640147098</v>
      </c>
      <c r="W89" s="7" t="s">
        <v>118</v>
      </c>
      <c r="X89" s="10">
        <v>759.579566617463</v>
      </c>
      <c r="Y89" s="26">
        <f>VLOOKUP(CurrentMtgRatesDataTable86[[#This Row],[asofdate]],AA:AB,2,0)</f>
        <v>8.5642704200612693E-2</v>
      </c>
      <c r="AA89" s="7" t="s">
        <v>118</v>
      </c>
      <c r="AB89" s="10">
        <v>8.5642704200612693E-2</v>
      </c>
      <c r="AE89" s="7" t="s">
        <v>96</v>
      </c>
      <c r="AF89" s="10">
        <v>1.37880127783178E-2</v>
      </c>
      <c r="AG89" s="10" t="str">
        <f>YEAR(CurrentMtgRatesDataTable89[[#This Row],[asofdate]])&amp;"-"&amp;MONTH(CurrentMtgRatesDataTable89[[#This Row],[asofdate]])</f>
        <v>2008-7</v>
      </c>
      <c r="AH89" s="6">
        <f>((CurrentMtgRatesDataTable89[[#This Row],[SeriesNumValue]]-$D$1)/$D$1+1)*100</f>
        <v>91.920085188785336</v>
      </c>
      <c r="AI89" s="6">
        <f>CurrentMtgRatesDataTable89[[#This Row],[Index]]-AH90</f>
        <v>-15.484072631034692</v>
      </c>
      <c r="AJ89" s="6">
        <f>VLOOKUP(CurrentMtgRatesDataTable89[[#This Row],[asofdate]],G:H,2,0)</f>
        <v>79.237585093986993</v>
      </c>
      <c r="AK89" s="6">
        <f>VLOOKUP(CurrentMtgRatesDataTable89[[#This Row],[asofdate]],K:L,2,0)</f>
        <v>0.20291547901804699</v>
      </c>
      <c r="AL89" s="6">
        <f>VLOOKUP(CurrentMtgRatesDataTable89[[#This Row],[asofdate]],O:P,2,0)</f>
        <v>38.341658225407897</v>
      </c>
      <c r="AM89" s="6">
        <f>VLOOKUP(CurrentMtgRatesDataTable89[[#This Row],[asofdate]],S:T,2,0)</f>
        <v>0.30721083895763202</v>
      </c>
      <c r="AN89" s="6">
        <f>VLOOKUP(CurrentMtgRatesDataTable89[[#This Row],[asofdate]],W:X,2,0)</f>
        <v>744.50208803818305</v>
      </c>
      <c r="AO89" s="6">
        <f>VLOOKUP(CurrentMtgRatesDataTable89[[#This Row],[asofdate]],AA:AB,2,0)</f>
        <v>0.183242130540575</v>
      </c>
      <c r="AR89" s="7" t="s">
        <v>118</v>
      </c>
      <c r="AS89" s="10">
        <v>4.9433870902870103E-2</v>
      </c>
      <c r="AT89" s="36">
        <f>((CurrentMtgRatesDataTable8711[[#This Row],[SeriesNumValue]]-$D$1)/$D$1+1)*100</f>
        <v>329.55913935246735</v>
      </c>
      <c r="AU89" s="36"/>
      <c r="AW89" s="7" t="s">
        <v>118</v>
      </c>
      <c r="AX89" s="10">
        <v>5.5631148970286398E-2</v>
      </c>
      <c r="AY89" s="36">
        <f>((CurrentMtgRatesDataTable871112[[#This Row],[SeriesNumValue]]-$D$1)/$D$1+1)*100</f>
        <v>370.87432646857599</v>
      </c>
      <c r="AZ89" s="36"/>
      <c r="BB89" s="7" t="s">
        <v>118</v>
      </c>
      <c r="BC89" s="10">
        <v>2.9777824438063202E-2</v>
      </c>
      <c r="BD89" s="39">
        <f>((CurrentMtgRatesDataTable87111213[[#This Row],[SeriesNumValue]]-$D$1)/$D$1+1)*100</f>
        <v>198.51882958708802</v>
      </c>
      <c r="BE89" s="39"/>
      <c r="BG89" s="7" t="s">
        <v>118</v>
      </c>
      <c r="BH89" s="10">
        <v>1.11922493066082E-2</v>
      </c>
      <c r="BI89" s="39">
        <f>((CurrentMtgRatesDataTable8711121314[[#This Row],[SeriesNumValue]]-$D$1)/$D$1+1)*100</f>
        <v>74.614995377387999</v>
      </c>
      <c r="BJ89" s="39" t="str">
        <f>YEAR(CurrentMtgRatesDataTable8711121314[[#This Row],[asofdate]])&amp;"-"&amp;MONTH(CurrentMtgRatesDataTable8711121314[[#This Row],[asofdate]])</f>
        <v>2010-5</v>
      </c>
      <c r="BK89" s="39">
        <f>CurrentMtgRatesDataTable8711121314[[#This Row],[SeriesNumValue]]</f>
        <v>1.11922493066082E-2</v>
      </c>
      <c r="BL89" s="39">
        <f>VLOOKUP(CurrentMtgRatesDataTable8711121314[[#This Row],[asofdate]],AR:AT,2,0)</f>
        <v>4.9433870902870103E-2</v>
      </c>
      <c r="BM89" s="35">
        <f>IF(VLOOKUP(CurrentMtgRatesDataTable8711121314[[#This Row],[asofdate]],AW:AY,2,0)&lt;&gt;0,VLOOKUP(CurrentMtgRatesDataTable8711121314[[#This Row],[asofdate]],AW:AY,2,0),BM88)</f>
        <v>5.5631148970286398E-2</v>
      </c>
      <c r="BN89" s="35">
        <f>VLOOKUP(CurrentMtgRatesDataTable8711121314[[#This Row],[asofdate]],BB:BD,2,0)</f>
        <v>2.9777824438063202E-2</v>
      </c>
      <c r="BO89" s="35">
        <f>CurrentMtgRatesDataTable8711121314[[#This Row],[FHA]]+0.5*CurrentMtgRatesDataTable8711121314[[#This Row],[Conventional]]</f>
        <v>5.5029995556174202E-2</v>
      </c>
      <c r="BP89" s="35">
        <f>2*CurrentMtgRatesDataTable8711121314[[#This Row],[FHA]]</f>
        <v>9.8867741805740206E-2</v>
      </c>
      <c r="BQ89" s="11">
        <f>VLOOKUP(YEAR(CurrentMtgRatesDataTable8711121314[[#This Row],[asofdate]]),OriginationVolume!$A:$N,8,FALSE)</f>
        <v>0.69070208728652749</v>
      </c>
      <c r="BR89" s="11">
        <f>VLOOKUP(YEAR(CurrentMtgRatesDataTable8711121314[[#This Row],[asofdate]]),OriginationVolume!$A:$N,9,FALSE)</f>
        <v>5.9614168247944341E-2</v>
      </c>
      <c r="BS89" s="11">
        <f>VLOOKUP(YEAR(CurrentMtgRatesDataTable8711121314[[#This Row],[asofdate]]),OriginationVolume!$A:$N,10,FALSE)</f>
        <v>0.17884250474383301</v>
      </c>
      <c r="BT89" s="11">
        <f>VLOOKUP(YEAR(CurrentMtgRatesDataTable8711121314[[#This Row],[asofdate]]),OriginationVolume!$A:$N,11,FALSE)</f>
        <v>6.5781151170145477E-2</v>
      </c>
      <c r="BU89" s="11">
        <f>VLOOKUP(YEAR(CurrentMtgRatesDataTable8711121314[[#This Row],[asofdate]]),OriginationVolume!$A:$N,12,FALSE)</f>
        <v>2.5300442757748261E-3</v>
      </c>
      <c r="BV89" s="11">
        <f>VLOOKUP(YEAR(CurrentMtgRatesDataTable8711121314[[#This Row],[asofdate]]),OriginationVolume!$A:$N,13,FALSE)</f>
        <v>2.5300442757748261E-3</v>
      </c>
      <c r="BW89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2.1013399056538318E-2</v>
      </c>
      <c r="BY89" s="7" t="s">
        <v>118</v>
      </c>
      <c r="BZ89" s="10">
        <v>8575167000</v>
      </c>
      <c r="CA89" s="36"/>
      <c r="CC89" s="7" t="s">
        <v>118</v>
      </c>
      <c r="CD89" s="10">
        <v>595131000</v>
      </c>
      <c r="CE89" s="36"/>
      <c r="CG89" s="7" t="s">
        <v>118</v>
      </c>
      <c r="CH89" s="10">
        <v>19740280619.880001</v>
      </c>
      <c r="CI89" s="39"/>
      <c r="CK89" s="7" t="s">
        <v>118</v>
      </c>
      <c r="CL89" s="10">
        <v>10569982619.879999</v>
      </c>
      <c r="CM89" s="39" t="str">
        <f>YEAR(CurrentMtgRatesDataTable871112131417[[#This Row],[asofdate]])&amp;"-"&amp;MONTH(CurrentMtgRatesDataTable871112131417[[#This Row],[asofdate]])</f>
        <v>2010-5</v>
      </c>
      <c r="CN89" s="39">
        <f>CurrentMtgRatesDataTable871112131417[[#This Row],[SeriesNumValue]]</f>
        <v>10569982619.879999</v>
      </c>
      <c r="CO89" s="39">
        <f>VLOOKUP(CurrentMtgRatesDataTable871112131417[[#This Row],[asofdate]],BY:BZ,2,0)</f>
        <v>8575167000</v>
      </c>
      <c r="CP89" s="35">
        <f>IF(VLOOKUP(CurrentMtgRatesDataTable871112131417[[#This Row],[asofdate]],CC:CD,2,0)&lt;&gt;0,VLOOKUP(CurrentMtgRatesDataTable871112131417[[#This Row],[asofdate]],CC:CD,2,0),CP88)</f>
        <v>595131000</v>
      </c>
      <c r="CQ89" s="35">
        <f>VLOOKUP(CurrentMtgRatesDataTable871112131417[[#This Row],[asofdate]],CG:CH,2,0)</f>
        <v>19740280619.880001</v>
      </c>
    </row>
    <row r="90" spans="1:95" s="8" customFormat="1" ht="12.75">
      <c r="A90" s="7" t="s">
        <v>119</v>
      </c>
      <c r="B90" s="10">
        <v>1.13834608526315E-2</v>
      </c>
      <c r="C90" s="10" t="str">
        <f>YEAR(CurrentMtgRatesDataTable8[[#This Row],[asofdate]])&amp;"-"&amp;MONTH(CurrentMtgRatesDataTable8[[#This Row],[asofdate]])</f>
        <v>2010-6</v>
      </c>
      <c r="D90" s="6">
        <f>((CurrentMtgRatesDataTable8[[#This Row],[SeriesNumValue]]-$D$1)/$D$1+1)*100</f>
        <v>75.889739017543334</v>
      </c>
      <c r="E90" s="6"/>
      <c r="G90" s="7" t="s">
        <v>119</v>
      </c>
      <c r="H90" s="10">
        <v>77.252614942686094</v>
      </c>
      <c r="I90" s="26">
        <f>VLOOKUP(CurrentMtgRatesDataTable82[[#This Row],[asofdate]],K:L,2,0)</f>
        <v>9.1166284450128102E-2</v>
      </c>
      <c r="K90" s="7" t="s">
        <v>119</v>
      </c>
      <c r="L90" s="29">
        <v>9.1166284450128102E-2</v>
      </c>
      <c r="O90" s="7" t="s">
        <v>119</v>
      </c>
      <c r="P90" s="10">
        <v>34.256883100797999</v>
      </c>
      <c r="Q90" s="29">
        <f>VLOOKUP(CurrentMtgRatesDataTable84[[#This Row],[asofdate]],S:T,2,0)</f>
        <v>0.29266486570866301</v>
      </c>
      <c r="S90" s="7" t="s">
        <v>119</v>
      </c>
      <c r="T90" s="10">
        <v>0.29266486570866301</v>
      </c>
      <c r="W90" s="7" t="s">
        <v>119</v>
      </c>
      <c r="X90" s="10">
        <v>760.51765866488995</v>
      </c>
      <c r="Y90" s="26">
        <f>VLOOKUP(CurrentMtgRatesDataTable86[[#This Row],[asofdate]],AA:AB,2,0)</f>
        <v>8.6052426459444206E-2</v>
      </c>
      <c r="AA90" s="7" t="s">
        <v>119</v>
      </c>
      <c r="AB90" s="10">
        <v>8.6052426459444206E-2</v>
      </c>
      <c r="AE90" s="7" t="s">
        <v>95</v>
      </c>
      <c r="AF90" s="10">
        <v>1.6110623672973001E-2</v>
      </c>
      <c r="AG90" s="10" t="str">
        <f>YEAR(CurrentMtgRatesDataTable89[[#This Row],[asofdate]])&amp;"-"&amp;MONTH(CurrentMtgRatesDataTable89[[#This Row],[asofdate]])</f>
        <v>2008-6</v>
      </c>
      <c r="AH90" s="6">
        <f>((CurrentMtgRatesDataTable89[[#This Row],[SeriesNumValue]]-$D$1)/$D$1+1)*100</f>
        <v>107.40415781982003</v>
      </c>
      <c r="AI90" s="6">
        <f>CurrentMtgRatesDataTable89[[#This Row],[Index]]-AH91</f>
        <v>-24.095281948565315</v>
      </c>
      <c r="AJ90" s="6">
        <f>VLOOKUP(CurrentMtgRatesDataTable89[[#This Row],[asofdate]],G:H,2,0)</f>
        <v>80.027867651152405</v>
      </c>
      <c r="AK90" s="6">
        <f>VLOOKUP(CurrentMtgRatesDataTable89[[#This Row],[asofdate]],K:L,2,0)</f>
        <v>0.22889156479952499</v>
      </c>
      <c r="AL90" s="6">
        <f>VLOOKUP(CurrentMtgRatesDataTable89[[#This Row],[asofdate]],O:P,2,0)</f>
        <v>38.559555713699098</v>
      </c>
      <c r="AM90" s="6">
        <f>VLOOKUP(CurrentMtgRatesDataTable89[[#This Row],[asofdate]],S:T,2,0)</f>
        <v>0.31965036017869303</v>
      </c>
      <c r="AN90" s="6">
        <f>VLOOKUP(CurrentMtgRatesDataTable89[[#This Row],[asofdate]],W:X,2,0)</f>
        <v>742.222862301183</v>
      </c>
      <c r="AO90" s="6">
        <f>VLOOKUP(CurrentMtgRatesDataTable89[[#This Row],[asofdate]],AA:AB,2,0)</f>
        <v>0.20023623442105001</v>
      </c>
      <c r="AR90" s="7" t="s">
        <v>119</v>
      </c>
      <c r="AS90" s="10">
        <v>4.7935297916397397E-2</v>
      </c>
      <c r="AT90" s="36">
        <f>((CurrentMtgRatesDataTable8711[[#This Row],[SeriesNumValue]]-$D$1)/$D$1+1)*100</f>
        <v>319.56865277598268</v>
      </c>
      <c r="AU90" s="36"/>
      <c r="AW90" s="7" t="s">
        <v>119</v>
      </c>
      <c r="AX90" s="10">
        <v>5.4544830915257102E-2</v>
      </c>
      <c r="AY90" s="36">
        <f>((CurrentMtgRatesDataTable871112[[#This Row],[SeriesNumValue]]-$D$1)/$D$1+1)*100</f>
        <v>363.63220610171402</v>
      </c>
      <c r="AZ90" s="36"/>
      <c r="BB90" s="7" t="s">
        <v>119</v>
      </c>
      <c r="BC90" s="10">
        <v>2.9211799835975001E-2</v>
      </c>
      <c r="BD90" s="39">
        <f>((CurrentMtgRatesDataTable87111213[[#This Row],[SeriesNumValue]]-$D$1)/$D$1+1)*100</f>
        <v>194.74533223983335</v>
      </c>
      <c r="BE90" s="39"/>
      <c r="BG90" s="7" t="s">
        <v>119</v>
      </c>
      <c r="BH90" s="10">
        <v>1.08068737932689E-2</v>
      </c>
      <c r="BI90" s="39">
        <f>((CurrentMtgRatesDataTable8711121314[[#This Row],[SeriesNumValue]]-$D$1)/$D$1+1)*100</f>
        <v>72.045825288459326</v>
      </c>
      <c r="BJ90" s="39" t="str">
        <f>YEAR(CurrentMtgRatesDataTable8711121314[[#This Row],[asofdate]])&amp;"-"&amp;MONTH(CurrentMtgRatesDataTable8711121314[[#This Row],[asofdate]])</f>
        <v>2010-6</v>
      </c>
      <c r="BK90" s="39">
        <f>CurrentMtgRatesDataTable8711121314[[#This Row],[SeriesNumValue]]</f>
        <v>1.08068737932689E-2</v>
      </c>
      <c r="BL90" s="39">
        <f>VLOOKUP(CurrentMtgRatesDataTable8711121314[[#This Row],[asofdate]],AR:AT,2,0)</f>
        <v>4.7935297916397397E-2</v>
      </c>
      <c r="BM90" s="35">
        <f>IF(VLOOKUP(CurrentMtgRatesDataTable8711121314[[#This Row],[asofdate]],AW:AY,2,0)&lt;&gt;0,VLOOKUP(CurrentMtgRatesDataTable8711121314[[#This Row],[asofdate]],AW:AY,2,0),BM89)</f>
        <v>5.4544830915257102E-2</v>
      </c>
      <c r="BN90" s="35">
        <f>VLOOKUP(CurrentMtgRatesDataTable8711121314[[#This Row],[asofdate]],BB:BD,2,0)</f>
        <v>2.9211799835975001E-2</v>
      </c>
      <c r="BO90" s="35">
        <f>CurrentMtgRatesDataTable8711121314[[#This Row],[FHA]]+0.5*CurrentMtgRatesDataTable8711121314[[#This Row],[Conventional]]</f>
        <v>5.3338734813031849E-2</v>
      </c>
      <c r="BP90" s="35">
        <f>2*CurrentMtgRatesDataTable8711121314[[#This Row],[FHA]]</f>
        <v>9.5870595832794794E-2</v>
      </c>
      <c r="BQ90" s="11">
        <f>VLOOKUP(YEAR(CurrentMtgRatesDataTable8711121314[[#This Row],[asofdate]]),OriginationVolume!$A:$N,8,FALSE)</f>
        <v>0.69070208728652749</v>
      </c>
      <c r="BR90" s="11">
        <f>VLOOKUP(YEAR(CurrentMtgRatesDataTable8711121314[[#This Row],[asofdate]]),OriginationVolume!$A:$N,9,FALSE)</f>
        <v>5.9614168247944341E-2</v>
      </c>
      <c r="BS90" s="11">
        <f>VLOOKUP(YEAR(CurrentMtgRatesDataTable8711121314[[#This Row],[asofdate]]),OriginationVolume!$A:$N,10,FALSE)</f>
        <v>0.17884250474383301</v>
      </c>
      <c r="BT90" s="11">
        <f>VLOOKUP(YEAR(CurrentMtgRatesDataTable8711121314[[#This Row],[asofdate]]),OriginationVolume!$A:$N,11,FALSE)</f>
        <v>6.5781151170145477E-2</v>
      </c>
      <c r="BU90" s="11">
        <f>VLOOKUP(YEAR(CurrentMtgRatesDataTable8711121314[[#This Row],[asofdate]]),OriginationVolume!$A:$N,12,FALSE)</f>
        <v>2.5300442757748261E-3</v>
      </c>
      <c r="BV90" s="11">
        <f>VLOOKUP(YEAR(CurrentMtgRatesDataTable8711121314[[#This Row],[asofdate]]),OriginationVolume!$A:$N,13,FALSE)</f>
        <v>2.5300442757748261E-3</v>
      </c>
      <c r="BW90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2.0377238569865435E-2</v>
      </c>
      <c r="BY90" s="7" t="s">
        <v>119</v>
      </c>
      <c r="BZ90" s="10">
        <v>10024425000</v>
      </c>
      <c r="CA90" s="36"/>
      <c r="CC90" s="7" t="s">
        <v>119</v>
      </c>
      <c r="CD90" s="10">
        <v>657152000</v>
      </c>
      <c r="CE90" s="36"/>
      <c r="CG90" s="7" t="s">
        <v>119</v>
      </c>
      <c r="CH90" s="10">
        <v>22513554772.990002</v>
      </c>
      <c r="CI90" s="39"/>
      <c r="CK90" s="7" t="s">
        <v>119</v>
      </c>
      <c r="CL90" s="10">
        <v>11831977772.99</v>
      </c>
      <c r="CM90" s="39" t="str">
        <f>YEAR(CurrentMtgRatesDataTable871112131417[[#This Row],[asofdate]])&amp;"-"&amp;MONTH(CurrentMtgRatesDataTable871112131417[[#This Row],[asofdate]])</f>
        <v>2010-6</v>
      </c>
      <c r="CN90" s="39">
        <f>CurrentMtgRatesDataTable871112131417[[#This Row],[SeriesNumValue]]</f>
        <v>11831977772.99</v>
      </c>
      <c r="CO90" s="39">
        <f>VLOOKUP(CurrentMtgRatesDataTable871112131417[[#This Row],[asofdate]],BY:BZ,2,0)</f>
        <v>10024425000</v>
      </c>
      <c r="CP90" s="35">
        <f>IF(VLOOKUP(CurrentMtgRatesDataTable871112131417[[#This Row],[asofdate]],CC:CD,2,0)&lt;&gt;0,VLOOKUP(CurrentMtgRatesDataTable871112131417[[#This Row],[asofdate]],CC:CD,2,0),CP89)</f>
        <v>657152000</v>
      </c>
      <c r="CQ90" s="35">
        <f>VLOOKUP(CurrentMtgRatesDataTable871112131417[[#This Row],[asofdate]],CG:CH,2,0)</f>
        <v>22513554772.990002</v>
      </c>
    </row>
    <row r="91" spans="1:95" s="8" customFormat="1" ht="12.75">
      <c r="A91" s="7" t="s">
        <v>120</v>
      </c>
      <c r="B91" s="10">
        <v>1.2500803683488999E-2</v>
      </c>
      <c r="C91" s="10" t="str">
        <f>YEAR(CurrentMtgRatesDataTable8[[#This Row],[asofdate]])&amp;"-"&amp;MONTH(CurrentMtgRatesDataTable8[[#This Row],[asofdate]])</f>
        <v>2010-7</v>
      </c>
      <c r="D91" s="6">
        <f>((CurrentMtgRatesDataTable8[[#This Row],[SeriesNumValue]]-$D$1)/$D$1+1)*100</f>
        <v>83.33869122326</v>
      </c>
      <c r="E91" s="6"/>
      <c r="G91" s="7" t="s">
        <v>120</v>
      </c>
      <c r="H91" s="10">
        <v>77.571100038590899</v>
      </c>
      <c r="I91" s="26">
        <f>VLOOKUP(CurrentMtgRatesDataTable82[[#This Row],[asofdate]],K:L,2,0)</f>
        <v>9.7919000165780895E-2</v>
      </c>
      <c r="K91" s="7" t="s">
        <v>120</v>
      </c>
      <c r="L91" s="29">
        <v>9.7919000165780895E-2</v>
      </c>
      <c r="O91" s="7" t="s">
        <v>120</v>
      </c>
      <c r="P91" s="10">
        <v>34.136052596437402</v>
      </c>
      <c r="Q91" s="29">
        <f>VLOOKUP(CurrentMtgRatesDataTable84[[#This Row],[asofdate]],S:T,2,0)</f>
        <v>0.28834659004754098</v>
      </c>
      <c r="S91" s="7" t="s">
        <v>120</v>
      </c>
      <c r="T91" s="10">
        <v>0.28834659004754098</v>
      </c>
      <c r="W91" s="7" t="s">
        <v>120</v>
      </c>
      <c r="X91" s="10">
        <v>761.23491599033696</v>
      </c>
      <c r="Y91" s="26">
        <f>VLOOKUP(CurrentMtgRatesDataTable86[[#This Row],[asofdate]],AA:AB,2,0)</f>
        <v>8.4136927172989803E-2</v>
      </c>
      <c r="AA91" s="7" t="s">
        <v>120</v>
      </c>
      <c r="AB91" s="10">
        <v>8.4136927172989803E-2</v>
      </c>
      <c r="AE91" s="7" t="s">
        <v>94</v>
      </c>
      <c r="AF91" s="10">
        <v>1.97249159652578E-2</v>
      </c>
      <c r="AG91" s="10" t="str">
        <f>YEAR(CurrentMtgRatesDataTable89[[#This Row],[asofdate]])&amp;"-"&amp;MONTH(CurrentMtgRatesDataTable89[[#This Row],[asofdate]])</f>
        <v>2008-5</v>
      </c>
      <c r="AH91" s="6">
        <f>((CurrentMtgRatesDataTable89[[#This Row],[SeriesNumValue]]-$D$1)/$D$1+1)*100</f>
        <v>131.49943976838534</v>
      </c>
      <c r="AI91" s="6">
        <f>CurrentMtgRatesDataTable89[[#This Row],[Index]]-AH92</f>
        <v>1.2978395597713188</v>
      </c>
      <c r="AJ91" s="6">
        <f>VLOOKUP(CurrentMtgRatesDataTable89[[#This Row],[asofdate]],G:H,2,0)</f>
        <v>81.659946968196707</v>
      </c>
      <c r="AK91" s="6">
        <f>VLOOKUP(CurrentMtgRatesDataTable89[[#This Row],[asofdate]],K:L,2,0)</f>
        <v>0.287291706181595</v>
      </c>
      <c r="AL91" s="6">
        <f>VLOOKUP(CurrentMtgRatesDataTable89[[#This Row],[asofdate]],O:P,2,0)</f>
        <v>38.763155801956799</v>
      </c>
      <c r="AM91" s="6">
        <f>VLOOKUP(CurrentMtgRatesDataTable89[[#This Row],[asofdate]],S:T,2,0)</f>
        <v>0.33210271281010001</v>
      </c>
      <c r="AN91" s="6">
        <f>VLOOKUP(CurrentMtgRatesDataTable89[[#This Row],[asofdate]],W:X,2,0)</f>
        <v>736.65104024275695</v>
      </c>
      <c r="AO91" s="6">
        <f>VLOOKUP(CurrentMtgRatesDataTable89[[#This Row],[asofdate]],AA:AB,2,0)</f>
        <v>0.24142889769505399</v>
      </c>
      <c r="AR91" s="7" t="s">
        <v>120</v>
      </c>
      <c r="AS91" s="10">
        <v>5.2223575477024303E-2</v>
      </c>
      <c r="AT91" s="36">
        <f>((CurrentMtgRatesDataTable8711[[#This Row],[SeriesNumValue]]-$D$1)/$D$1+1)*100</f>
        <v>348.15716984682871</v>
      </c>
      <c r="AU91" s="36"/>
      <c r="AW91" s="7" t="s">
        <v>120</v>
      </c>
      <c r="AX91" s="10">
        <v>5.9673922576363399E-2</v>
      </c>
      <c r="AY91" s="36">
        <f>((CurrentMtgRatesDataTable871112[[#This Row],[SeriesNumValue]]-$D$1)/$D$1+1)*100</f>
        <v>397.82615050908936</v>
      </c>
      <c r="AZ91" s="36"/>
      <c r="BB91" s="7" t="s">
        <v>120</v>
      </c>
      <c r="BC91" s="10">
        <v>3.2337849422777301E-2</v>
      </c>
      <c r="BD91" s="39">
        <f>((CurrentMtgRatesDataTable87111213[[#This Row],[SeriesNumValue]]-$D$1)/$D$1+1)*100</f>
        <v>215.58566281851537</v>
      </c>
      <c r="BE91" s="39"/>
      <c r="BG91" s="7" t="s">
        <v>120</v>
      </c>
      <c r="BH91" s="10">
        <v>1.19301678722133E-2</v>
      </c>
      <c r="BI91" s="39">
        <f>((CurrentMtgRatesDataTable8711121314[[#This Row],[SeriesNumValue]]-$D$1)/$D$1+1)*100</f>
        <v>79.534452481422008</v>
      </c>
      <c r="BJ91" s="39" t="str">
        <f>YEAR(CurrentMtgRatesDataTable8711121314[[#This Row],[asofdate]])&amp;"-"&amp;MONTH(CurrentMtgRatesDataTable8711121314[[#This Row],[asofdate]])</f>
        <v>2010-7</v>
      </c>
      <c r="BK91" s="39">
        <f>CurrentMtgRatesDataTable8711121314[[#This Row],[SeriesNumValue]]</f>
        <v>1.19301678722133E-2</v>
      </c>
      <c r="BL91" s="39">
        <f>VLOOKUP(CurrentMtgRatesDataTable8711121314[[#This Row],[asofdate]],AR:AT,2,0)</f>
        <v>5.2223575477024303E-2</v>
      </c>
      <c r="BM91" s="35">
        <f>IF(VLOOKUP(CurrentMtgRatesDataTable8711121314[[#This Row],[asofdate]],AW:AY,2,0)&lt;&gt;0,VLOOKUP(CurrentMtgRatesDataTable8711121314[[#This Row],[asofdate]],AW:AY,2,0),BM90)</f>
        <v>5.9673922576363399E-2</v>
      </c>
      <c r="BN91" s="35">
        <f>VLOOKUP(CurrentMtgRatesDataTable8711121314[[#This Row],[asofdate]],BB:BD,2,0)</f>
        <v>3.2337849422777301E-2</v>
      </c>
      <c r="BO91" s="35">
        <f>CurrentMtgRatesDataTable8711121314[[#This Row],[FHA]]+0.5*CurrentMtgRatesDataTable8711121314[[#This Row],[Conventional]]</f>
        <v>5.818865941313095E-2</v>
      </c>
      <c r="BP91" s="35">
        <f>2*CurrentMtgRatesDataTable8711121314[[#This Row],[FHA]]</f>
        <v>0.10444715095404861</v>
      </c>
      <c r="BQ91" s="11">
        <f>VLOOKUP(YEAR(CurrentMtgRatesDataTable8711121314[[#This Row],[asofdate]]),OriginationVolume!$A:$N,8,FALSE)</f>
        <v>0.69070208728652749</v>
      </c>
      <c r="BR91" s="11">
        <f>VLOOKUP(YEAR(CurrentMtgRatesDataTable8711121314[[#This Row],[asofdate]]),OriginationVolume!$A:$N,9,FALSE)</f>
        <v>5.9614168247944341E-2</v>
      </c>
      <c r="BS91" s="11">
        <f>VLOOKUP(YEAR(CurrentMtgRatesDataTable8711121314[[#This Row],[asofdate]]),OriginationVolume!$A:$N,10,FALSE)</f>
        <v>0.17884250474383301</v>
      </c>
      <c r="BT91" s="11">
        <f>VLOOKUP(YEAR(CurrentMtgRatesDataTable8711121314[[#This Row],[asofdate]]),OriginationVolume!$A:$N,11,FALSE)</f>
        <v>6.5781151170145477E-2</v>
      </c>
      <c r="BU91" s="11">
        <f>VLOOKUP(YEAR(CurrentMtgRatesDataTable8711121314[[#This Row],[asofdate]]),OriginationVolume!$A:$N,12,FALSE)</f>
        <v>2.5300442757748261E-3</v>
      </c>
      <c r="BV91" s="11">
        <f>VLOOKUP(YEAR(CurrentMtgRatesDataTable8711121314[[#This Row],[asofdate]]),OriginationVolume!$A:$N,13,FALSE)</f>
        <v>2.5300442757748261E-3</v>
      </c>
      <c r="BW91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2.233365413383093E-2</v>
      </c>
      <c r="BY91" s="7" t="s">
        <v>120</v>
      </c>
      <c r="BZ91" s="10">
        <v>11137448000</v>
      </c>
      <c r="CA91" s="36"/>
      <c r="CC91" s="7" t="s">
        <v>120</v>
      </c>
      <c r="CD91" s="10">
        <v>733454000</v>
      </c>
      <c r="CE91" s="36"/>
      <c r="CG91" s="7" t="s">
        <v>120</v>
      </c>
      <c r="CH91" s="10">
        <v>24879975718.720001</v>
      </c>
      <c r="CI91" s="39"/>
      <c r="CK91" s="7" t="s">
        <v>120</v>
      </c>
      <c r="CL91" s="10">
        <v>13009073718.719999</v>
      </c>
      <c r="CM91" s="39" t="str">
        <f>YEAR(CurrentMtgRatesDataTable871112131417[[#This Row],[asofdate]])&amp;"-"&amp;MONTH(CurrentMtgRatesDataTable871112131417[[#This Row],[asofdate]])</f>
        <v>2010-7</v>
      </c>
      <c r="CN91" s="39">
        <f>CurrentMtgRatesDataTable871112131417[[#This Row],[SeriesNumValue]]</f>
        <v>13009073718.719999</v>
      </c>
      <c r="CO91" s="39">
        <f>VLOOKUP(CurrentMtgRatesDataTable871112131417[[#This Row],[asofdate]],BY:BZ,2,0)</f>
        <v>11137448000</v>
      </c>
      <c r="CP91" s="35">
        <f>IF(VLOOKUP(CurrentMtgRatesDataTable871112131417[[#This Row],[asofdate]],CC:CD,2,0)&lt;&gt;0,VLOOKUP(CurrentMtgRatesDataTable871112131417[[#This Row],[asofdate]],CC:CD,2,0),CP90)</f>
        <v>733454000</v>
      </c>
      <c r="CQ91" s="35">
        <f>VLOOKUP(CurrentMtgRatesDataTable871112131417[[#This Row],[asofdate]],CG:CH,2,0)</f>
        <v>24879975718.720001</v>
      </c>
    </row>
    <row r="92" spans="1:95" s="8" customFormat="1" ht="12.75">
      <c r="A92" s="7" t="s">
        <v>121</v>
      </c>
      <c r="B92" s="10">
        <v>1.2447097876510899E-2</v>
      </c>
      <c r="C92" s="10" t="str">
        <f>YEAR(CurrentMtgRatesDataTable8[[#This Row],[asofdate]])&amp;"-"&amp;MONTH(CurrentMtgRatesDataTable8[[#This Row],[asofdate]])</f>
        <v>2010-8</v>
      </c>
      <c r="D92" s="6">
        <f>((CurrentMtgRatesDataTable8[[#This Row],[SeriesNumValue]]-$D$1)/$D$1+1)*100</f>
        <v>82.980652510072659</v>
      </c>
      <c r="E92" s="6"/>
      <c r="G92" s="7" t="s">
        <v>121</v>
      </c>
      <c r="H92" s="10">
        <v>77.233235343375298</v>
      </c>
      <c r="I92" s="26">
        <f>VLOOKUP(CurrentMtgRatesDataTable82[[#This Row],[asofdate]],K:L,2,0)</f>
        <v>0.10134986605641599</v>
      </c>
      <c r="K92" s="7" t="s">
        <v>121</v>
      </c>
      <c r="L92" s="29">
        <v>0.10134986605641599</v>
      </c>
      <c r="O92" s="7" t="s">
        <v>121</v>
      </c>
      <c r="P92" s="10">
        <v>34.011766218461197</v>
      </c>
      <c r="Q92" s="29">
        <f>VLOOKUP(CurrentMtgRatesDataTable84[[#This Row],[asofdate]],S:T,2,0)</f>
        <v>0.28355778919539698</v>
      </c>
      <c r="S92" s="7" t="s">
        <v>121</v>
      </c>
      <c r="T92" s="10">
        <v>0.28355778919539698</v>
      </c>
      <c r="W92" s="7" t="s">
        <v>121</v>
      </c>
      <c r="X92" s="10">
        <v>760.87938286905</v>
      </c>
      <c r="Y92" s="26">
        <f>VLOOKUP(CurrentMtgRatesDataTable86[[#This Row],[asofdate]],AA:AB,2,0)</f>
        <v>8.5429424015766503E-2</v>
      </c>
      <c r="AA92" s="7" t="s">
        <v>121</v>
      </c>
      <c r="AB92" s="10">
        <v>8.5429424015766503E-2</v>
      </c>
      <c r="AE92" s="7" t="s">
        <v>93</v>
      </c>
      <c r="AF92" s="10">
        <v>1.9530240031292102E-2</v>
      </c>
      <c r="AG92" s="10" t="str">
        <f>YEAR(CurrentMtgRatesDataTable89[[#This Row],[asofdate]])&amp;"-"&amp;MONTH(CurrentMtgRatesDataTable89[[#This Row],[asofdate]])</f>
        <v>2008-4</v>
      </c>
      <c r="AH92" s="6">
        <f>((CurrentMtgRatesDataTable89[[#This Row],[SeriesNumValue]]-$D$1)/$D$1+1)*100</f>
        <v>130.20160020861402</v>
      </c>
      <c r="AI92" s="6">
        <f>CurrentMtgRatesDataTable89[[#This Row],[Index]]-AH93</f>
        <v>-23.795692002954638</v>
      </c>
      <c r="AJ92" s="6">
        <f>VLOOKUP(CurrentMtgRatesDataTable89[[#This Row],[asofdate]],G:H,2,0)</f>
        <v>82.474909378130207</v>
      </c>
      <c r="AK92" s="6">
        <f>VLOOKUP(CurrentMtgRatesDataTable89[[#This Row],[asofdate]],K:L,2,0)</f>
        <v>0.32032869665397601</v>
      </c>
      <c r="AL92" s="6">
        <f>VLOOKUP(CurrentMtgRatesDataTable89[[#This Row],[asofdate]],O:P,2,0)</f>
        <v>38.414329636092397</v>
      </c>
      <c r="AM92" s="6">
        <f>VLOOKUP(CurrentMtgRatesDataTable89[[#This Row],[asofdate]],S:T,2,0)</f>
        <v>0.300734170812334</v>
      </c>
      <c r="AN92" s="6">
        <f>VLOOKUP(CurrentMtgRatesDataTable89[[#This Row],[asofdate]],W:X,2,0)</f>
        <v>734.110298704157</v>
      </c>
      <c r="AO92" s="6">
        <f>VLOOKUP(CurrentMtgRatesDataTable89[[#This Row],[asofdate]],AA:AB,2,0)</f>
        <v>0.25889667130801303</v>
      </c>
      <c r="AR92" s="7" t="s">
        <v>121</v>
      </c>
      <c r="AS92" s="10">
        <v>5.4351045253614699E-2</v>
      </c>
      <c r="AT92" s="36">
        <f>((CurrentMtgRatesDataTable8711[[#This Row],[SeriesNumValue]]-$D$1)/$D$1+1)*100</f>
        <v>362.34030169076465</v>
      </c>
      <c r="AU92" s="36"/>
      <c r="AW92" s="7" t="s">
        <v>121</v>
      </c>
      <c r="AX92" s="10">
        <v>6.0916811511753502E-2</v>
      </c>
      <c r="AY92" s="36">
        <f>((CurrentMtgRatesDataTable871112[[#This Row],[SeriesNumValue]]-$D$1)/$D$1+1)*100</f>
        <v>406.11207674502339</v>
      </c>
      <c r="AZ92" s="36"/>
      <c r="BB92" s="7" t="s">
        <v>121</v>
      </c>
      <c r="BC92" s="10">
        <v>3.3252173680331697E-2</v>
      </c>
      <c r="BD92" s="39">
        <f>((CurrentMtgRatesDataTable87111213[[#This Row],[SeriesNumValue]]-$D$1)/$D$1+1)*100</f>
        <v>221.68115786887799</v>
      </c>
      <c r="BE92" s="39"/>
      <c r="BG92" s="7" t="s">
        <v>121</v>
      </c>
      <c r="BH92" s="10">
        <v>1.1982081805722199E-2</v>
      </c>
      <c r="BI92" s="39">
        <f>((CurrentMtgRatesDataTable8711121314[[#This Row],[SeriesNumValue]]-$D$1)/$D$1+1)*100</f>
        <v>79.880545371481332</v>
      </c>
      <c r="BJ92" s="39" t="str">
        <f>YEAR(CurrentMtgRatesDataTable8711121314[[#This Row],[asofdate]])&amp;"-"&amp;MONTH(CurrentMtgRatesDataTable8711121314[[#This Row],[asofdate]])</f>
        <v>2010-8</v>
      </c>
      <c r="BK92" s="39">
        <f>CurrentMtgRatesDataTable8711121314[[#This Row],[SeriesNumValue]]</f>
        <v>1.1982081805722199E-2</v>
      </c>
      <c r="BL92" s="39">
        <f>VLOOKUP(CurrentMtgRatesDataTable8711121314[[#This Row],[asofdate]],AR:AT,2,0)</f>
        <v>5.4351045253614699E-2</v>
      </c>
      <c r="BM92" s="35">
        <f>IF(VLOOKUP(CurrentMtgRatesDataTable8711121314[[#This Row],[asofdate]],AW:AY,2,0)&lt;&gt;0,VLOOKUP(CurrentMtgRatesDataTable8711121314[[#This Row],[asofdate]],AW:AY,2,0),BM91)</f>
        <v>6.0916811511753502E-2</v>
      </c>
      <c r="BN92" s="35">
        <f>VLOOKUP(CurrentMtgRatesDataTable8711121314[[#This Row],[asofdate]],BB:BD,2,0)</f>
        <v>3.3252173680331697E-2</v>
      </c>
      <c r="BO92" s="35">
        <f>CurrentMtgRatesDataTable8711121314[[#This Row],[FHA]]+0.5*CurrentMtgRatesDataTable8711121314[[#This Row],[Conventional]]</f>
        <v>6.0342086156475801E-2</v>
      </c>
      <c r="BP92" s="35">
        <f>2*CurrentMtgRatesDataTable8711121314[[#This Row],[FHA]]</f>
        <v>0.1087020905072294</v>
      </c>
      <c r="BQ92" s="11">
        <f>VLOOKUP(YEAR(CurrentMtgRatesDataTable8711121314[[#This Row],[asofdate]]),OriginationVolume!$A:$N,8,FALSE)</f>
        <v>0.69070208728652749</v>
      </c>
      <c r="BR92" s="11">
        <f>VLOOKUP(YEAR(CurrentMtgRatesDataTable8711121314[[#This Row],[asofdate]]),OriginationVolume!$A:$N,9,FALSE)</f>
        <v>5.9614168247944341E-2</v>
      </c>
      <c r="BS92" s="11">
        <f>VLOOKUP(YEAR(CurrentMtgRatesDataTable8711121314[[#This Row],[asofdate]]),OriginationVolume!$A:$N,10,FALSE)</f>
        <v>0.17884250474383301</v>
      </c>
      <c r="BT92" s="11">
        <f>VLOOKUP(YEAR(CurrentMtgRatesDataTable8711121314[[#This Row],[asofdate]]),OriginationVolume!$A:$N,11,FALSE)</f>
        <v>6.5781151170145477E-2</v>
      </c>
      <c r="BU92" s="11">
        <f>VLOOKUP(YEAR(CurrentMtgRatesDataTable8711121314[[#This Row],[asofdate]]),OriginationVolume!$A:$N,12,FALSE)</f>
        <v>2.5300442757748261E-3</v>
      </c>
      <c r="BV92" s="11">
        <f>VLOOKUP(YEAR(CurrentMtgRatesDataTable8711121314[[#This Row],[asofdate]]),OriginationVolume!$A:$N,13,FALSE)</f>
        <v>2.5300442757748261E-3</v>
      </c>
      <c r="BW92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2.2843715418558438E-2</v>
      </c>
      <c r="BY92" s="7" t="s">
        <v>121</v>
      </c>
      <c r="BZ92" s="10">
        <v>13088231000</v>
      </c>
      <c r="CA92" s="36"/>
      <c r="CC92" s="7" t="s">
        <v>121</v>
      </c>
      <c r="CD92" s="10">
        <v>929866000</v>
      </c>
      <c r="CE92" s="36"/>
      <c r="CG92" s="7" t="s">
        <v>121</v>
      </c>
      <c r="CH92" s="10">
        <v>29569308347.779999</v>
      </c>
      <c r="CI92" s="39"/>
      <c r="CK92" s="7" t="s">
        <v>121</v>
      </c>
      <c r="CL92" s="10">
        <v>15551211347.780001</v>
      </c>
      <c r="CM92" s="39" t="str">
        <f>YEAR(CurrentMtgRatesDataTable871112131417[[#This Row],[asofdate]])&amp;"-"&amp;MONTH(CurrentMtgRatesDataTable871112131417[[#This Row],[asofdate]])</f>
        <v>2010-8</v>
      </c>
      <c r="CN92" s="39">
        <f>CurrentMtgRatesDataTable871112131417[[#This Row],[SeriesNumValue]]</f>
        <v>15551211347.780001</v>
      </c>
      <c r="CO92" s="39">
        <f>VLOOKUP(CurrentMtgRatesDataTable871112131417[[#This Row],[asofdate]],BY:BZ,2,0)</f>
        <v>13088231000</v>
      </c>
      <c r="CP92" s="35">
        <f>IF(VLOOKUP(CurrentMtgRatesDataTable871112131417[[#This Row],[asofdate]],CC:CD,2,0)&lt;&gt;0,VLOOKUP(CurrentMtgRatesDataTable871112131417[[#This Row],[asofdate]],CC:CD,2,0),CP91)</f>
        <v>929866000</v>
      </c>
      <c r="CQ92" s="35">
        <f>VLOOKUP(CurrentMtgRatesDataTable871112131417[[#This Row],[asofdate]],CG:CH,2,0)</f>
        <v>29569308347.779999</v>
      </c>
    </row>
    <row r="93" spans="1:95" s="8" customFormat="1" ht="12.75">
      <c r="A93" s="7" t="s">
        <v>122</v>
      </c>
      <c r="B93" s="10">
        <v>1.19817630079617E-2</v>
      </c>
      <c r="C93" s="10" t="str">
        <f>YEAR(CurrentMtgRatesDataTable8[[#This Row],[asofdate]])&amp;"-"&amp;MONTH(CurrentMtgRatesDataTable8[[#This Row],[asofdate]])</f>
        <v>2010-9</v>
      </c>
      <c r="D93" s="6">
        <f>((CurrentMtgRatesDataTable8[[#This Row],[SeriesNumValue]]-$D$1)/$D$1+1)*100</f>
        <v>79.878420053078003</v>
      </c>
      <c r="E93" s="6"/>
      <c r="G93" s="7" t="s">
        <v>122</v>
      </c>
      <c r="H93" s="10">
        <v>76.947328417348899</v>
      </c>
      <c r="I93" s="26">
        <f>VLOOKUP(CurrentMtgRatesDataTable82[[#This Row],[asofdate]],K:L,2,0)</f>
        <v>9.8316403570714805E-2</v>
      </c>
      <c r="K93" s="7" t="s">
        <v>122</v>
      </c>
      <c r="L93" s="29">
        <v>9.8316403570714805E-2</v>
      </c>
      <c r="O93" s="7" t="s">
        <v>122</v>
      </c>
      <c r="P93" s="10">
        <v>33.847652638763698</v>
      </c>
      <c r="Q93" s="29">
        <f>VLOOKUP(CurrentMtgRatesDataTable84[[#This Row],[asofdate]],S:T,2,0)</f>
        <v>0.28514921794130899</v>
      </c>
      <c r="S93" s="7" t="s">
        <v>122</v>
      </c>
      <c r="T93" s="10">
        <v>0.28514921794130899</v>
      </c>
      <c r="W93" s="7" t="s">
        <v>122</v>
      </c>
      <c r="X93" s="10">
        <v>761.77637727655701</v>
      </c>
      <c r="Y93" s="26">
        <f>VLOOKUP(CurrentMtgRatesDataTable86[[#This Row],[asofdate]],AA:AB,2,0)</f>
        <v>8.3617280532806301E-2</v>
      </c>
      <c r="AA93" s="7" t="s">
        <v>122</v>
      </c>
      <c r="AB93" s="10">
        <v>8.3617280532806301E-2</v>
      </c>
      <c r="AE93" s="7" t="s">
        <v>92</v>
      </c>
      <c r="AF93" s="10">
        <v>2.30995938317353E-2</v>
      </c>
      <c r="AG93" s="10" t="str">
        <f>YEAR(CurrentMtgRatesDataTable89[[#This Row],[asofdate]])&amp;"-"&amp;MONTH(CurrentMtgRatesDataTable89[[#This Row],[asofdate]])</f>
        <v>2008-3</v>
      </c>
      <c r="AH93" s="6">
        <f>((CurrentMtgRatesDataTable89[[#This Row],[SeriesNumValue]]-$D$1)/$D$1+1)*100</f>
        <v>153.99729221156866</v>
      </c>
      <c r="AI93" s="6">
        <f>CurrentMtgRatesDataTable89[[#This Row],[Index]]-AH94</f>
        <v>-19.345169508780657</v>
      </c>
      <c r="AJ93" s="6">
        <f>VLOOKUP(CurrentMtgRatesDataTable89[[#This Row],[asofdate]],G:H,2,0)</f>
        <v>82.917978306429703</v>
      </c>
      <c r="AK93" s="6">
        <f>VLOOKUP(CurrentMtgRatesDataTable89[[#This Row],[asofdate]],K:L,2,0)</f>
        <v>0.34182677466995598</v>
      </c>
      <c r="AL93" s="6">
        <f>VLOOKUP(CurrentMtgRatesDataTable89[[#This Row],[asofdate]],O:P,2,0)</f>
        <v>39.249087722264797</v>
      </c>
      <c r="AM93" s="6">
        <f>VLOOKUP(CurrentMtgRatesDataTable89[[#This Row],[asofdate]],S:T,2,0)</f>
        <v>0.31717378018460402</v>
      </c>
      <c r="AN93" s="6">
        <f>VLOOKUP(CurrentMtgRatesDataTable89[[#This Row],[asofdate]],W:X,2,0)</f>
        <v>730.48483560039494</v>
      </c>
      <c r="AO93" s="6">
        <f>VLOOKUP(CurrentMtgRatesDataTable89[[#This Row],[asofdate]],AA:AB,2,0)</f>
        <v>0.280579895669821</v>
      </c>
      <c r="AR93" s="7" t="s">
        <v>122</v>
      </c>
      <c r="AS93" s="10">
        <v>5.18039852039874E-2</v>
      </c>
      <c r="AT93" s="36">
        <f>((CurrentMtgRatesDataTable8711[[#This Row],[SeriesNumValue]]-$D$1)/$D$1+1)*100</f>
        <v>345.35990135991602</v>
      </c>
      <c r="AU93" s="36"/>
      <c r="AW93" s="7" t="s">
        <v>122</v>
      </c>
      <c r="AX93" s="10">
        <v>5.5588128111664102E-2</v>
      </c>
      <c r="AY93" s="36">
        <f>((CurrentMtgRatesDataTable871112[[#This Row],[SeriesNumValue]]-$D$1)/$D$1+1)*100</f>
        <v>370.58752074442737</v>
      </c>
      <c r="AZ93" s="36"/>
      <c r="BB93" s="7" t="s">
        <v>122</v>
      </c>
      <c r="BC93" s="10">
        <v>2.9819952826810901E-2</v>
      </c>
      <c r="BD93" s="39">
        <f>((CurrentMtgRatesDataTable87111213[[#This Row],[SeriesNumValue]]-$D$1)/$D$1+1)*100</f>
        <v>198.79968551207267</v>
      </c>
      <c r="BE93" s="39"/>
      <c r="BG93" s="7" t="s">
        <v>122</v>
      </c>
      <c r="BH93" s="10">
        <v>1.16348044415624E-2</v>
      </c>
      <c r="BI93" s="39">
        <f>((CurrentMtgRatesDataTable8711121314[[#This Row],[SeriesNumValue]]-$D$1)/$D$1+1)*100</f>
        <v>77.565362943749335</v>
      </c>
      <c r="BJ93" s="39" t="str">
        <f>YEAR(CurrentMtgRatesDataTable8711121314[[#This Row],[asofdate]])&amp;"-"&amp;MONTH(CurrentMtgRatesDataTable8711121314[[#This Row],[asofdate]])</f>
        <v>2010-9</v>
      </c>
      <c r="BK93" s="39">
        <f>CurrentMtgRatesDataTable8711121314[[#This Row],[SeriesNumValue]]</f>
        <v>1.16348044415624E-2</v>
      </c>
      <c r="BL93" s="39">
        <f>VLOOKUP(CurrentMtgRatesDataTable8711121314[[#This Row],[asofdate]],AR:AT,2,0)</f>
        <v>5.18039852039874E-2</v>
      </c>
      <c r="BM93" s="35">
        <f>IF(VLOOKUP(CurrentMtgRatesDataTable8711121314[[#This Row],[asofdate]],AW:AY,2,0)&lt;&gt;0,VLOOKUP(CurrentMtgRatesDataTable8711121314[[#This Row],[asofdate]],AW:AY,2,0),BM92)</f>
        <v>5.5588128111664102E-2</v>
      </c>
      <c r="BN93" s="35">
        <f>VLOOKUP(CurrentMtgRatesDataTable8711121314[[#This Row],[asofdate]],BB:BD,2,0)</f>
        <v>2.9819952826810901E-2</v>
      </c>
      <c r="BO93" s="35">
        <f>CurrentMtgRatesDataTable8711121314[[#This Row],[FHA]]+0.5*CurrentMtgRatesDataTable8711121314[[#This Row],[Conventional]]</f>
        <v>5.7621387424768598E-2</v>
      </c>
      <c r="BP93" s="35">
        <f>2*CurrentMtgRatesDataTable8711121314[[#This Row],[FHA]]</f>
        <v>0.1036079704079748</v>
      </c>
      <c r="BQ93" s="11">
        <f>VLOOKUP(YEAR(CurrentMtgRatesDataTable8711121314[[#This Row],[asofdate]]),OriginationVolume!$A:$N,8,FALSE)</f>
        <v>0.69070208728652749</v>
      </c>
      <c r="BR93" s="11">
        <f>VLOOKUP(YEAR(CurrentMtgRatesDataTable8711121314[[#This Row],[asofdate]]),OriginationVolume!$A:$N,9,FALSE)</f>
        <v>5.9614168247944341E-2</v>
      </c>
      <c r="BS93" s="11">
        <f>VLOOKUP(YEAR(CurrentMtgRatesDataTable8711121314[[#This Row],[asofdate]]),OriginationVolume!$A:$N,10,FALSE)</f>
        <v>0.17884250474383301</v>
      </c>
      <c r="BT93" s="11">
        <f>VLOOKUP(YEAR(CurrentMtgRatesDataTable8711121314[[#This Row],[asofdate]]),OriginationVolume!$A:$N,11,FALSE)</f>
        <v>6.5781151170145477E-2</v>
      </c>
      <c r="BU93" s="11">
        <f>VLOOKUP(YEAR(CurrentMtgRatesDataTable8711121314[[#This Row],[asofdate]]),OriginationVolume!$A:$N,12,FALSE)</f>
        <v>2.5300442757748261E-3</v>
      </c>
      <c r="BV93" s="11">
        <f>VLOOKUP(YEAR(CurrentMtgRatesDataTable8711121314[[#This Row],[asofdate]]),OriginationVolume!$A:$N,13,FALSE)</f>
        <v>2.5300442757748261E-3</v>
      </c>
      <c r="BW93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2.1788046448065389E-2</v>
      </c>
      <c r="BY93" s="7" t="s">
        <v>122</v>
      </c>
      <c r="BZ93" s="10">
        <v>7424329000</v>
      </c>
      <c r="CA93" s="36"/>
      <c r="CC93" s="7" t="s">
        <v>122</v>
      </c>
      <c r="CD93" s="10">
        <v>753346000</v>
      </c>
      <c r="CE93" s="36"/>
      <c r="CG93" s="7" t="s">
        <v>122</v>
      </c>
      <c r="CH93" s="10">
        <v>18971719558.360001</v>
      </c>
      <c r="CI93" s="39"/>
      <c r="CK93" s="7" t="s">
        <v>122</v>
      </c>
      <c r="CL93" s="10">
        <v>10794044558.360001</v>
      </c>
      <c r="CM93" s="39" t="str">
        <f>YEAR(CurrentMtgRatesDataTable871112131417[[#This Row],[asofdate]])&amp;"-"&amp;MONTH(CurrentMtgRatesDataTable871112131417[[#This Row],[asofdate]])</f>
        <v>2010-9</v>
      </c>
      <c r="CN93" s="39">
        <f>CurrentMtgRatesDataTable871112131417[[#This Row],[SeriesNumValue]]</f>
        <v>10794044558.360001</v>
      </c>
      <c r="CO93" s="39">
        <f>VLOOKUP(CurrentMtgRatesDataTable871112131417[[#This Row],[asofdate]],BY:BZ,2,0)</f>
        <v>7424329000</v>
      </c>
      <c r="CP93" s="35">
        <f>IF(VLOOKUP(CurrentMtgRatesDataTable871112131417[[#This Row],[asofdate]],CC:CD,2,0)&lt;&gt;0,VLOOKUP(CurrentMtgRatesDataTable871112131417[[#This Row],[asofdate]],CC:CD,2,0),CP92)</f>
        <v>753346000</v>
      </c>
      <c r="CQ93" s="35">
        <f>VLOOKUP(CurrentMtgRatesDataTable871112131417[[#This Row],[asofdate]],CG:CH,2,0)</f>
        <v>18971719558.360001</v>
      </c>
    </row>
    <row r="94" spans="1:95" s="8" customFormat="1" ht="12.75">
      <c r="A94" s="7" t="s">
        <v>123</v>
      </c>
      <c r="B94" s="10">
        <v>1.1696957555317499E-2</v>
      </c>
      <c r="C94" s="10" t="str">
        <f>YEAR(CurrentMtgRatesDataTable8[[#This Row],[asofdate]])&amp;"-"&amp;MONTH(CurrentMtgRatesDataTable8[[#This Row],[asofdate]])</f>
        <v>2010-10</v>
      </c>
      <c r="D94" s="6">
        <f>((CurrentMtgRatesDataTable8[[#This Row],[SeriesNumValue]]-$D$1)/$D$1+1)*100</f>
        <v>77.979717035450008</v>
      </c>
      <c r="E94" s="6"/>
      <c r="G94" s="7" t="s">
        <v>123</v>
      </c>
      <c r="H94" s="10">
        <v>77.151526909201294</v>
      </c>
      <c r="I94" s="26">
        <f>VLOOKUP(CurrentMtgRatesDataTable82[[#This Row],[asofdate]],K:L,2,0)</f>
        <v>0.103362864069172</v>
      </c>
      <c r="K94" s="7" t="s">
        <v>123</v>
      </c>
      <c r="L94" s="29">
        <v>0.103362864069172</v>
      </c>
      <c r="O94" s="7" t="s">
        <v>123</v>
      </c>
      <c r="P94" s="10">
        <v>33.5549430237973</v>
      </c>
      <c r="Q94" s="29">
        <f>VLOOKUP(CurrentMtgRatesDataTable84[[#This Row],[asofdate]],S:T,2,0)</f>
        <v>0.27453440249608202</v>
      </c>
      <c r="S94" s="7" t="s">
        <v>123</v>
      </c>
      <c r="T94" s="10">
        <v>0.27453440249608202</v>
      </c>
      <c r="W94" s="7" t="s">
        <v>123</v>
      </c>
      <c r="X94" s="10">
        <v>762.22096712183304</v>
      </c>
      <c r="Y94" s="26">
        <f>VLOOKUP(CurrentMtgRatesDataTable86[[#This Row],[asofdate]],AA:AB,2,0)</f>
        <v>8.2031114923412599E-2</v>
      </c>
      <c r="AA94" s="7" t="s">
        <v>123</v>
      </c>
      <c r="AB94" s="10">
        <v>8.2031114923412599E-2</v>
      </c>
      <c r="AE94" s="7" t="s">
        <v>91</v>
      </c>
      <c r="AF94" s="10">
        <v>2.6001369258052399E-2</v>
      </c>
      <c r="AG94" s="10" t="str">
        <f>YEAR(CurrentMtgRatesDataTable89[[#This Row],[asofdate]])&amp;"-"&amp;MONTH(CurrentMtgRatesDataTable89[[#This Row],[asofdate]])</f>
        <v>2008-2</v>
      </c>
      <c r="AH94" s="6">
        <f>((CurrentMtgRatesDataTable89[[#This Row],[SeriesNumValue]]-$D$1)/$D$1+1)*100</f>
        <v>173.34246172034932</v>
      </c>
      <c r="AI94" s="6">
        <f>CurrentMtgRatesDataTable89[[#This Row],[Index]]-AH95</f>
        <v>-1.4872001582020289</v>
      </c>
      <c r="AJ94" s="6">
        <f>VLOOKUP(CurrentMtgRatesDataTable89[[#This Row],[asofdate]],G:H,2,0)</f>
        <v>83.407523352475593</v>
      </c>
      <c r="AK94" s="6">
        <f>VLOOKUP(CurrentMtgRatesDataTable89[[#This Row],[asofdate]],K:L,2,0)</f>
        <v>0.36096554720004298</v>
      </c>
      <c r="AL94" s="6">
        <f>VLOOKUP(CurrentMtgRatesDataTable89[[#This Row],[asofdate]],O:P,2,0)</f>
        <v>39.092016446336103</v>
      </c>
      <c r="AM94" s="6">
        <f>VLOOKUP(CurrentMtgRatesDataTable89[[#This Row],[asofdate]],S:T,2,0)</f>
        <v>0.32064750057136798</v>
      </c>
      <c r="AN94" s="6">
        <f>VLOOKUP(CurrentMtgRatesDataTable89[[#This Row],[asofdate]],W:X,2,0)</f>
        <v>728.34084731165694</v>
      </c>
      <c r="AO94" s="6">
        <f>VLOOKUP(CurrentMtgRatesDataTable89[[#This Row],[asofdate]],AA:AB,2,0)</f>
        <v>0.29981088723409199</v>
      </c>
      <c r="AR94" s="7" t="s">
        <v>123</v>
      </c>
      <c r="AS94" s="10">
        <v>4.9523196065882701E-2</v>
      </c>
      <c r="AT94" s="36">
        <f>((CurrentMtgRatesDataTable8711[[#This Row],[SeriesNumValue]]-$D$1)/$D$1+1)*100</f>
        <v>330.15464043921804</v>
      </c>
      <c r="AU94" s="36"/>
      <c r="AW94" s="7" t="s">
        <v>123</v>
      </c>
      <c r="AX94" s="10">
        <v>5.3804484253040998E-2</v>
      </c>
      <c r="AY94" s="36">
        <f>((CurrentMtgRatesDataTable871112[[#This Row],[SeriesNumValue]]-$D$1)/$D$1+1)*100</f>
        <v>358.69656168694002</v>
      </c>
      <c r="AZ94" s="36"/>
      <c r="BB94" s="7" t="s">
        <v>123</v>
      </c>
      <c r="BC94" s="10">
        <v>2.91316606433819E-2</v>
      </c>
      <c r="BD94" s="39">
        <f>((CurrentMtgRatesDataTable87111213[[#This Row],[SeriesNumValue]]-$D$1)/$D$1+1)*100</f>
        <v>194.21107095587934</v>
      </c>
      <c r="BE94" s="39"/>
      <c r="BG94" s="7" t="s">
        <v>123</v>
      </c>
      <c r="BH94" s="10">
        <v>1.15064206683952E-2</v>
      </c>
      <c r="BI94" s="39">
        <f>((CurrentMtgRatesDataTable8711121314[[#This Row],[SeriesNumValue]]-$D$1)/$D$1+1)*100</f>
        <v>76.709471122634667</v>
      </c>
      <c r="BJ94" s="39" t="str">
        <f>YEAR(CurrentMtgRatesDataTable8711121314[[#This Row],[asofdate]])&amp;"-"&amp;MONTH(CurrentMtgRatesDataTable8711121314[[#This Row],[asofdate]])</f>
        <v>2010-10</v>
      </c>
      <c r="BK94" s="39">
        <f>CurrentMtgRatesDataTable8711121314[[#This Row],[SeriesNumValue]]</f>
        <v>1.15064206683952E-2</v>
      </c>
      <c r="BL94" s="39">
        <f>VLOOKUP(CurrentMtgRatesDataTable8711121314[[#This Row],[asofdate]],AR:AT,2,0)</f>
        <v>4.9523196065882701E-2</v>
      </c>
      <c r="BM94" s="35">
        <f>IF(VLOOKUP(CurrentMtgRatesDataTable8711121314[[#This Row],[asofdate]],AW:AY,2,0)&lt;&gt;0,VLOOKUP(CurrentMtgRatesDataTable8711121314[[#This Row],[asofdate]],AW:AY,2,0),BM93)</f>
        <v>5.3804484253040998E-2</v>
      </c>
      <c r="BN94" s="35">
        <f>VLOOKUP(CurrentMtgRatesDataTable8711121314[[#This Row],[asofdate]],BB:BD,2,0)</f>
        <v>2.91316606433819E-2</v>
      </c>
      <c r="BO94" s="35">
        <f>CurrentMtgRatesDataTable8711121314[[#This Row],[FHA]]+0.5*CurrentMtgRatesDataTable8711121314[[#This Row],[Conventional]]</f>
        <v>5.5276406400080302E-2</v>
      </c>
      <c r="BP94" s="35">
        <f>2*CurrentMtgRatesDataTable8711121314[[#This Row],[FHA]]</f>
        <v>9.9046392131765401E-2</v>
      </c>
      <c r="BQ94" s="11">
        <f>VLOOKUP(YEAR(CurrentMtgRatesDataTable8711121314[[#This Row],[asofdate]]),OriginationVolume!$A:$N,8,FALSE)</f>
        <v>0.69070208728652749</v>
      </c>
      <c r="BR94" s="11">
        <f>VLOOKUP(YEAR(CurrentMtgRatesDataTable8711121314[[#This Row],[asofdate]]),OriginationVolume!$A:$N,9,FALSE)</f>
        <v>5.9614168247944341E-2</v>
      </c>
      <c r="BS94" s="11">
        <f>VLOOKUP(YEAR(CurrentMtgRatesDataTable8711121314[[#This Row],[asofdate]]),OriginationVolume!$A:$N,10,FALSE)</f>
        <v>0.17884250474383301</v>
      </c>
      <c r="BT94" s="11">
        <f>VLOOKUP(YEAR(CurrentMtgRatesDataTable8711121314[[#This Row],[asofdate]]),OriginationVolume!$A:$N,11,FALSE)</f>
        <v>6.5781151170145477E-2</v>
      </c>
      <c r="BU94" s="11">
        <f>VLOOKUP(YEAR(CurrentMtgRatesDataTable8711121314[[#This Row],[asofdate]]),OriginationVolume!$A:$N,12,FALSE)</f>
        <v>2.5300442757748261E-3</v>
      </c>
      <c r="BV94" s="11">
        <f>VLOOKUP(YEAR(CurrentMtgRatesDataTable8711121314[[#This Row],[asofdate]]),OriginationVolume!$A:$N,13,FALSE)</f>
        <v>2.5300442757748261E-3</v>
      </c>
      <c r="BW94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2.1159219887416505E-2</v>
      </c>
      <c r="BY94" s="7" t="s">
        <v>123</v>
      </c>
      <c r="BZ94" s="10">
        <v>8429378000</v>
      </c>
      <c r="CA94" s="36"/>
      <c r="CC94" s="7" t="s">
        <v>123</v>
      </c>
      <c r="CD94" s="10">
        <v>881953000</v>
      </c>
      <c r="CE94" s="36"/>
      <c r="CG94" s="7" t="s">
        <v>123</v>
      </c>
      <c r="CH94" s="10">
        <v>21149620177.060001</v>
      </c>
      <c r="CI94" s="39"/>
      <c r="CK94" s="7" t="s">
        <v>123</v>
      </c>
      <c r="CL94" s="10">
        <v>11838289177.059999</v>
      </c>
      <c r="CM94" s="39" t="str">
        <f>YEAR(CurrentMtgRatesDataTable871112131417[[#This Row],[asofdate]])&amp;"-"&amp;MONTH(CurrentMtgRatesDataTable871112131417[[#This Row],[asofdate]])</f>
        <v>2010-10</v>
      </c>
      <c r="CN94" s="39">
        <f>CurrentMtgRatesDataTable871112131417[[#This Row],[SeriesNumValue]]</f>
        <v>11838289177.059999</v>
      </c>
      <c r="CO94" s="39">
        <f>VLOOKUP(CurrentMtgRatesDataTable871112131417[[#This Row],[asofdate]],BY:BZ,2,0)</f>
        <v>8429378000</v>
      </c>
      <c r="CP94" s="35">
        <f>IF(VLOOKUP(CurrentMtgRatesDataTable871112131417[[#This Row],[asofdate]],CC:CD,2,0)&lt;&gt;0,VLOOKUP(CurrentMtgRatesDataTable871112131417[[#This Row],[asofdate]],CC:CD,2,0),CP93)</f>
        <v>881953000</v>
      </c>
      <c r="CQ94" s="35">
        <f>VLOOKUP(CurrentMtgRatesDataTable871112131417[[#This Row],[asofdate]],CG:CH,2,0)</f>
        <v>21149620177.060001</v>
      </c>
    </row>
    <row r="95" spans="1:95" s="8" customFormat="1" ht="12.75">
      <c r="A95" s="7" t="s">
        <v>124</v>
      </c>
      <c r="B95" s="10">
        <v>1.1640382998122501E-2</v>
      </c>
      <c r="C95" s="10" t="str">
        <f>YEAR(CurrentMtgRatesDataTable8[[#This Row],[asofdate]])&amp;"-"&amp;MONTH(CurrentMtgRatesDataTable8[[#This Row],[asofdate]])</f>
        <v>2010-11</v>
      </c>
      <c r="D95" s="6">
        <f>((CurrentMtgRatesDataTable8[[#This Row],[SeriesNumValue]]-$D$1)/$D$1+1)*100</f>
        <v>77.602553320816668</v>
      </c>
      <c r="E95" s="6"/>
      <c r="G95" s="7" t="s">
        <v>124</v>
      </c>
      <c r="H95" s="10">
        <v>77.504038849736304</v>
      </c>
      <c r="I95" s="26">
        <f>VLOOKUP(CurrentMtgRatesDataTable82[[#This Row],[asofdate]],K:L,2,0)</f>
        <v>0.109452054433236</v>
      </c>
      <c r="K95" s="7" t="s">
        <v>124</v>
      </c>
      <c r="L95" s="29">
        <v>0.109452054433236</v>
      </c>
      <c r="O95" s="7" t="s">
        <v>124</v>
      </c>
      <c r="P95" s="10">
        <v>33.445452945927599</v>
      </c>
      <c r="Q95" s="29">
        <f>VLOOKUP(CurrentMtgRatesDataTable84[[#This Row],[asofdate]],S:T,2,0)</f>
        <v>0.27125876006071098</v>
      </c>
      <c r="S95" s="7" t="s">
        <v>124</v>
      </c>
      <c r="T95" s="10">
        <v>0.27125876006071098</v>
      </c>
      <c r="W95" s="7" t="s">
        <v>124</v>
      </c>
      <c r="X95" s="10">
        <v>762.33703010731597</v>
      </c>
      <c r="Y95" s="26">
        <f>VLOOKUP(CurrentMtgRatesDataTable86[[#This Row],[asofdate]],AA:AB,2,0)</f>
        <v>7.9203464124255996E-2</v>
      </c>
      <c r="AA95" s="7" t="s">
        <v>124</v>
      </c>
      <c r="AB95" s="10">
        <v>7.9203464124255996E-2</v>
      </c>
      <c r="AE95" s="7" t="s">
        <v>90</v>
      </c>
      <c r="AF95" s="10">
        <v>2.6224449281782702E-2</v>
      </c>
      <c r="AG95" s="10" t="str">
        <f>YEAR(CurrentMtgRatesDataTable89[[#This Row],[asofdate]])&amp;"-"&amp;MONTH(CurrentMtgRatesDataTable89[[#This Row],[asofdate]])</f>
        <v>2008-1</v>
      </c>
      <c r="AH95" s="6">
        <f>((CurrentMtgRatesDataTable89[[#This Row],[SeriesNumValue]]-$D$1)/$D$1+1)*100</f>
        <v>174.82966187855135</v>
      </c>
      <c r="AI95" s="6">
        <f>CurrentMtgRatesDataTable89[[#This Row],[Index]]-AH96</f>
        <v>1.0152975630379899</v>
      </c>
      <c r="AJ95" s="6">
        <f>VLOOKUP(CurrentMtgRatesDataTable89[[#This Row],[asofdate]],G:H,2,0)</f>
        <v>83.855010424455898</v>
      </c>
      <c r="AK95" s="6">
        <f>VLOOKUP(CurrentMtgRatesDataTable89[[#This Row],[asofdate]],K:L,2,0)</f>
        <v>0.38124492460114701</v>
      </c>
      <c r="AL95" s="6">
        <f>VLOOKUP(CurrentMtgRatesDataTable89[[#This Row],[asofdate]],O:P,2,0)</f>
        <v>39.489843297243901</v>
      </c>
      <c r="AM95" s="6">
        <f>VLOOKUP(CurrentMtgRatesDataTable89[[#This Row],[asofdate]],S:T,2,0)</f>
        <v>0.32345590393991103</v>
      </c>
      <c r="AN95" s="6">
        <f>VLOOKUP(CurrentMtgRatesDataTable89[[#This Row],[asofdate]],W:X,2,0)</f>
        <v>725.61492638754305</v>
      </c>
      <c r="AO95" s="6">
        <f>VLOOKUP(CurrentMtgRatesDataTable89[[#This Row],[asofdate]],AA:AB,2,0)</f>
        <v>0.31873013143375201</v>
      </c>
      <c r="AR95" s="7" t="s">
        <v>124</v>
      </c>
      <c r="AS95" s="10">
        <v>4.8155285513132098E-2</v>
      </c>
      <c r="AT95" s="36">
        <f>((CurrentMtgRatesDataTable8711[[#This Row],[SeriesNumValue]]-$D$1)/$D$1+1)*100</f>
        <v>321.035236754214</v>
      </c>
      <c r="AU95" s="36"/>
      <c r="AW95" s="7" t="s">
        <v>124</v>
      </c>
      <c r="AX95" s="10">
        <v>5.1146297447306997E-2</v>
      </c>
      <c r="AY95" s="36">
        <f>((CurrentMtgRatesDataTable871112[[#This Row],[SeriesNumValue]]-$D$1)/$D$1+1)*100</f>
        <v>340.97531631537998</v>
      </c>
      <c r="AZ95" s="36"/>
      <c r="BB95" s="7" t="s">
        <v>124</v>
      </c>
      <c r="BC95" s="10">
        <v>2.9381254475399399E-2</v>
      </c>
      <c r="BD95" s="39">
        <f>((CurrentMtgRatesDataTable87111213[[#This Row],[SeriesNumValue]]-$D$1)/$D$1+1)*100</f>
        <v>195.875029835996</v>
      </c>
      <c r="BE95" s="39"/>
      <c r="BG95" s="7" t="s">
        <v>124</v>
      </c>
      <c r="BH95" s="10">
        <v>1.14185357327672E-2</v>
      </c>
      <c r="BI95" s="39">
        <f>((CurrentMtgRatesDataTable8711121314[[#This Row],[SeriesNumValue]]-$D$1)/$D$1+1)*100</f>
        <v>76.123571551781339</v>
      </c>
      <c r="BJ95" s="39" t="str">
        <f>YEAR(CurrentMtgRatesDataTable8711121314[[#This Row],[asofdate]])&amp;"-"&amp;MONTH(CurrentMtgRatesDataTable8711121314[[#This Row],[asofdate]])</f>
        <v>2010-11</v>
      </c>
      <c r="BK95" s="39">
        <f>CurrentMtgRatesDataTable8711121314[[#This Row],[SeriesNumValue]]</f>
        <v>1.14185357327672E-2</v>
      </c>
      <c r="BL95" s="39">
        <f>VLOOKUP(CurrentMtgRatesDataTable8711121314[[#This Row],[asofdate]],AR:AT,2,0)</f>
        <v>4.8155285513132098E-2</v>
      </c>
      <c r="BM95" s="35">
        <f>IF(VLOOKUP(CurrentMtgRatesDataTable8711121314[[#This Row],[asofdate]],AW:AY,2,0)&lt;&gt;0,VLOOKUP(CurrentMtgRatesDataTable8711121314[[#This Row],[asofdate]],AW:AY,2,0),BM94)</f>
        <v>5.1146297447306997E-2</v>
      </c>
      <c r="BN95" s="35">
        <f>VLOOKUP(CurrentMtgRatesDataTable8711121314[[#This Row],[asofdate]],BB:BD,2,0)</f>
        <v>2.9381254475399399E-2</v>
      </c>
      <c r="BO95" s="35">
        <f>CurrentMtgRatesDataTable8711121314[[#This Row],[FHA]]+0.5*CurrentMtgRatesDataTable8711121314[[#This Row],[Conventional]]</f>
        <v>5.3864553379515699E-2</v>
      </c>
      <c r="BP95" s="35">
        <f>2*CurrentMtgRatesDataTable8711121314[[#This Row],[FHA]]</f>
        <v>9.6310571026264197E-2</v>
      </c>
      <c r="BQ95" s="11">
        <f>VLOOKUP(YEAR(CurrentMtgRatesDataTable8711121314[[#This Row],[asofdate]]),OriginationVolume!$A:$N,8,FALSE)</f>
        <v>0.69070208728652749</v>
      </c>
      <c r="BR95" s="11">
        <f>VLOOKUP(YEAR(CurrentMtgRatesDataTable8711121314[[#This Row],[asofdate]]),OriginationVolume!$A:$N,9,FALSE)</f>
        <v>5.9614168247944341E-2</v>
      </c>
      <c r="BS95" s="11">
        <f>VLOOKUP(YEAR(CurrentMtgRatesDataTable8711121314[[#This Row],[asofdate]]),OriginationVolume!$A:$N,10,FALSE)</f>
        <v>0.17884250474383301</v>
      </c>
      <c r="BT95" s="11">
        <f>VLOOKUP(YEAR(CurrentMtgRatesDataTable8711121314[[#This Row],[asofdate]]),OriginationVolume!$A:$N,11,FALSE)</f>
        <v>6.5781151170145477E-2</v>
      </c>
      <c r="BU95" s="11">
        <f>VLOOKUP(YEAR(CurrentMtgRatesDataTable8711121314[[#This Row],[asofdate]]),OriginationVolume!$A:$N,12,FALSE)</f>
        <v>2.5300442757748261E-3</v>
      </c>
      <c r="BV95" s="11">
        <f>VLOOKUP(YEAR(CurrentMtgRatesDataTable8711121314[[#This Row],[asofdate]]),OriginationVolume!$A:$N,13,FALSE)</f>
        <v>2.5300442757748261E-3</v>
      </c>
      <c r="BW95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2.0679136462529713E-2</v>
      </c>
      <c r="BY95" s="7" t="s">
        <v>124</v>
      </c>
      <c r="BZ95" s="10">
        <v>8785174000</v>
      </c>
      <c r="CA95" s="36"/>
      <c r="CC95" s="7" t="s">
        <v>124</v>
      </c>
      <c r="CD95" s="10">
        <v>999464000</v>
      </c>
      <c r="CE95" s="36"/>
      <c r="CG95" s="7" t="s">
        <v>124</v>
      </c>
      <c r="CH95" s="10">
        <v>20824544242.75</v>
      </c>
      <c r="CI95" s="39"/>
      <c r="CK95" s="7" t="s">
        <v>124</v>
      </c>
      <c r="CL95" s="10">
        <v>11039906242.75</v>
      </c>
      <c r="CM95" s="39" t="str">
        <f>YEAR(CurrentMtgRatesDataTable871112131417[[#This Row],[asofdate]])&amp;"-"&amp;MONTH(CurrentMtgRatesDataTable871112131417[[#This Row],[asofdate]])</f>
        <v>2010-11</v>
      </c>
      <c r="CN95" s="39">
        <f>CurrentMtgRatesDataTable871112131417[[#This Row],[SeriesNumValue]]</f>
        <v>11039906242.75</v>
      </c>
      <c r="CO95" s="39">
        <f>VLOOKUP(CurrentMtgRatesDataTable871112131417[[#This Row],[asofdate]],BY:BZ,2,0)</f>
        <v>8785174000</v>
      </c>
      <c r="CP95" s="35">
        <f>IF(VLOOKUP(CurrentMtgRatesDataTable871112131417[[#This Row],[asofdate]],CC:CD,2,0)&lt;&gt;0,VLOOKUP(CurrentMtgRatesDataTable871112131417[[#This Row],[asofdate]],CC:CD,2,0),CP94)</f>
        <v>999464000</v>
      </c>
      <c r="CQ95" s="35">
        <f>VLOOKUP(CurrentMtgRatesDataTable871112131417[[#This Row],[asofdate]],CG:CH,2,0)</f>
        <v>20824544242.75</v>
      </c>
    </row>
    <row r="96" spans="1:95" s="8" customFormat="1" ht="12.75">
      <c r="A96" s="7" t="s">
        <v>125</v>
      </c>
      <c r="B96" s="10">
        <v>1.1582100830378301E-2</v>
      </c>
      <c r="C96" s="10" t="str">
        <f>YEAR(CurrentMtgRatesDataTable8[[#This Row],[asofdate]])&amp;"-"&amp;MONTH(CurrentMtgRatesDataTable8[[#This Row],[asofdate]])</f>
        <v>2010-12</v>
      </c>
      <c r="D96" s="6">
        <f>((CurrentMtgRatesDataTable8[[#This Row],[SeriesNumValue]]-$D$1)/$D$1+1)*100</f>
        <v>77.214005535855335</v>
      </c>
      <c r="E96" s="6"/>
      <c r="G96" s="7" t="s">
        <v>125</v>
      </c>
      <c r="H96" s="10">
        <v>77.836804343145602</v>
      </c>
      <c r="I96" s="26">
        <f>VLOOKUP(CurrentMtgRatesDataTable82[[#This Row],[asofdate]],K:L,2,0)</f>
        <v>0.110069099887995</v>
      </c>
      <c r="K96" s="7" t="s">
        <v>125</v>
      </c>
      <c r="L96" s="29">
        <v>0.110069099887995</v>
      </c>
      <c r="O96" s="7" t="s">
        <v>125</v>
      </c>
      <c r="P96" s="10">
        <v>33.558006758585599</v>
      </c>
      <c r="Q96" s="29">
        <f>VLOOKUP(CurrentMtgRatesDataTable84[[#This Row],[asofdate]],S:T,2,0)</f>
        <v>0.27855563370943898</v>
      </c>
      <c r="S96" s="7" t="s">
        <v>125</v>
      </c>
      <c r="T96" s="10">
        <v>0.27855563370943898</v>
      </c>
      <c r="W96" s="7" t="s">
        <v>125</v>
      </c>
      <c r="X96" s="10">
        <v>762.66625999200903</v>
      </c>
      <c r="Y96" s="26">
        <f>VLOOKUP(CurrentMtgRatesDataTable86[[#This Row],[asofdate]],AA:AB,2,0)</f>
        <v>7.6528950060665193E-2</v>
      </c>
      <c r="AA96" s="7" t="s">
        <v>125</v>
      </c>
      <c r="AB96" s="10">
        <v>7.6528950060665193E-2</v>
      </c>
      <c r="AE96" s="7" t="s">
        <v>89</v>
      </c>
      <c r="AF96" s="10">
        <v>2.6072154647327001E-2</v>
      </c>
      <c r="AG96" s="10" t="str">
        <f>YEAR(CurrentMtgRatesDataTable89[[#This Row],[asofdate]])&amp;"-"&amp;MONTH(CurrentMtgRatesDataTable89[[#This Row],[asofdate]])</f>
        <v>2007-12</v>
      </c>
      <c r="AH96" s="6">
        <f>((CurrentMtgRatesDataTable89[[#This Row],[SeriesNumValue]]-$D$1)/$D$1+1)*100</f>
        <v>173.81436431551336</v>
      </c>
      <c r="AI96" s="6">
        <f>CurrentMtgRatesDataTable89[[#This Row],[Index]]-AH97</f>
        <v>1.4924642601760354</v>
      </c>
      <c r="AJ96" s="6">
        <f>VLOOKUP(CurrentMtgRatesDataTable89[[#This Row],[asofdate]],G:H,2,0)</f>
        <v>83.554435871280404</v>
      </c>
      <c r="AK96" s="6">
        <f>VLOOKUP(CurrentMtgRatesDataTable89[[#This Row],[asofdate]],K:L,2,0)</f>
        <v>0.37328154108915901</v>
      </c>
      <c r="AL96" s="6">
        <f>VLOOKUP(CurrentMtgRatesDataTable89[[#This Row],[asofdate]],O:P,2,0)</f>
        <v>39.579908349099497</v>
      </c>
      <c r="AM96" s="6">
        <f>VLOOKUP(CurrentMtgRatesDataTable89[[#This Row],[asofdate]],S:T,2,0)</f>
        <v>0.32737388737458001</v>
      </c>
      <c r="AN96" s="6">
        <f>VLOOKUP(CurrentMtgRatesDataTable89[[#This Row],[asofdate]],W:X,2,0)</f>
        <v>724.93962095695599</v>
      </c>
      <c r="AO96" s="6">
        <f>VLOOKUP(CurrentMtgRatesDataTable89[[#This Row],[asofdate]],AA:AB,2,0)</f>
        <v>0.32191401029786698</v>
      </c>
      <c r="AR96" s="7" t="s">
        <v>125</v>
      </c>
      <c r="AS96" s="10">
        <v>4.8498782379219799E-2</v>
      </c>
      <c r="AT96" s="36">
        <f>((CurrentMtgRatesDataTable8711[[#This Row],[SeriesNumValue]]-$D$1)/$D$1+1)*100</f>
        <v>323.32521586146532</v>
      </c>
      <c r="AU96" s="36"/>
      <c r="AW96" s="7" t="s">
        <v>125</v>
      </c>
      <c r="AX96" s="10">
        <v>5.3530082124945297E-2</v>
      </c>
      <c r="AY96" s="36">
        <f>((CurrentMtgRatesDataTable871112[[#This Row],[SeriesNumValue]]-$D$1)/$D$1+1)*100</f>
        <v>356.86721416630201</v>
      </c>
      <c r="AZ96" s="36"/>
      <c r="BB96" s="7" t="s">
        <v>125</v>
      </c>
      <c r="BC96" s="10">
        <v>2.9086968961933302E-2</v>
      </c>
      <c r="BD96" s="39">
        <f>((CurrentMtgRatesDataTable87111213[[#This Row],[SeriesNumValue]]-$D$1)/$D$1+1)*100</f>
        <v>193.91312641288869</v>
      </c>
      <c r="BE96" s="39"/>
      <c r="BG96" s="7" t="s">
        <v>125</v>
      </c>
      <c r="BH96" s="10">
        <v>1.16788104740246E-2</v>
      </c>
      <c r="BI96" s="39">
        <f>((CurrentMtgRatesDataTable8711121314[[#This Row],[SeriesNumValue]]-$D$1)/$D$1+1)*100</f>
        <v>77.858736493497332</v>
      </c>
      <c r="BJ96" s="39" t="str">
        <f>YEAR(CurrentMtgRatesDataTable8711121314[[#This Row],[asofdate]])&amp;"-"&amp;MONTH(CurrentMtgRatesDataTable8711121314[[#This Row],[asofdate]])</f>
        <v>2010-12</v>
      </c>
      <c r="BK96" s="39">
        <f>CurrentMtgRatesDataTable8711121314[[#This Row],[SeriesNumValue]]</f>
        <v>1.16788104740246E-2</v>
      </c>
      <c r="BL96" s="39">
        <f>VLOOKUP(CurrentMtgRatesDataTable8711121314[[#This Row],[asofdate]],AR:AT,2,0)</f>
        <v>4.8498782379219799E-2</v>
      </c>
      <c r="BM96" s="35">
        <f>IF(VLOOKUP(CurrentMtgRatesDataTable8711121314[[#This Row],[asofdate]],AW:AY,2,0)&lt;&gt;0,VLOOKUP(CurrentMtgRatesDataTable8711121314[[#This Row],[asofdate]],AW:AY,2,0),BM95)</f>
        <v>5.3530082124945297E-2</v>
      </c>
      <c r="BN96" s="35">
        <f>VLOOKUP(CurrentMtgRatesDataTable8711121314[[#This Row],[asofdate]],BB:BD,2,0)</f>
        <v>2.9086968961933302E-2</v>
      </c>
      <c r="BO96" s="35">
        <f>CurrentMtgRatesDataTable8711121314[[#This Row],[FHA]]+0.5*CurrentMtgRatesDataTable8711121314[[#This Row],[Conventional]]</f>
        <v>5.4338187616232096E-2</v>
      </c>
      <c r="BP96" s="35">
        <f>2*CurrentMtgRatesDataTable8711121314[[#This Row],[FHA]]</f>
        <v>9.6997564758439597E-2</v>
      </c>
      <c r="BQ96" s="11">
        <f>VLOOKUP(YEAR(CurrentMtgRatesDataTable8711121314[[#This Row],[asofdate]]),OriginationVolume!$A:$N,8,FALSE)</f>
        <v>0.69070208728652749</v>
      </c>
      <c r="BR96" s="11">
        <f>VLOOKUP(YEAR(CurrentMtgRatesDataTable8711121314[[#This Row],[asofdate]]),OriginationVolume!$A:$N,9,FALSE)</f>
        <v>5.9614168247944341E-2</v>
      </c>
      <c r="BS96" s="11">
        <f>VLOOKUP(YEAR(CurrentMtgRatesDataTable8711121314[[#This Row],[asofdate]]),OriginationVolume!$A:$N,10,FALSE)</f>
        <v>0.17884250474383301</v>
      </c>
      <c r="BT96" s="11">
        <f>VLOOKUP(YEAR(CurrentMtgRatesDataTable8711121314[[#This Row],[asofdate]]),OriginationVolume!$A:$N,11,FALSE)</f>
        <v>6.5781151170145477E-2</v>
      </c>
      <c r="BU96" s="11">
        <f>VLOOKUP(YEAR(CurrentMtgRatesDataTable8711121314[[#This Row],[asofdate]]),OriginationVolume!$A:$N,12,FALSE)</f>
        <v>2.5300442757748261E-3</v>
      </c>
      <c r="BV96" s="11">
        <f>VLOOKUP(YEAR(CurrentMtgRatesDataTable8711121314[[#This Row],[asofdate]]),OriginationVolume!$A:$N,13,FALSE)</f>
        <v>2.5300442757748261E-3</v>
      </c>
      <c r="BW96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2.1082505562575963E-2</v>
      </c>
      <c r="BY96" s="7" t="s">
        <v>125</v>
      </c>
      <c r="BZ96" s="10">
        <v>7860228000</v>
      </c>
      <c r="CA96" s="36"/>
      <c r="CC96" s="7" t="s">
        <v>125</v>
      </c>
      <c r="CD96" s="10">
        <v>888768000</v>
      </c>
      <c r="CE96" s="36"/>
      <c r="CG96" s="7" t="s">
        <v>125</v>
      </c>
      <c r="CH96" s="10">
        <v>19327443127.73</v>
      </c>
      <c r="CI96" s="39"/>
      <c r="CK96" s="7" t="s">
        <v>125</v>
      </c>
      <c r="CL96" s="10">
        <v>10578447127.73</v>
      </c>
      <c r="CM96" s="39" t="str">
        <f>YEAR(CurrentMtgRatesDataTable871112131417[[#This Row],[asofdate]])&amp;"-"&amp;MONTH(CurrentMtgRatesDataTable871112131417[[#This Row],[asofdate]])</f>
        <v>2010-12</v>
      </c>
      <c r="CN96" s="39">
        <f>CurrentMtgRatesDataTable871112131417[[#This Row],[SeriesNumValue]]</f>
        <v>10578447127.73</v>
      </c>
      <c r="CO96" s="39">
        <f>VLOOKUP(CurrentMtgRatesDataTable871112131417[[#This Row],[asofdate]],BY:BZ,2,0)</f>
        <v>7860228000</v>
      </c>
      <c r="CP96" s="35">
        <f>IF(VLOOKUP(CurrentMtgRatesDataTable871112131417[[#This Row],[asofdate]],CC:CD,2,0)&lt;&gt;0,VLOOKUP(CurrentMtgRatesDataTable871112131417[[#This Row],[asofdate]],CC:CD,2,0),CP95)</f>
        <v>888768000</v>
      </c>
      <c r="CQ96" s="35">
        <f>VLOOKUP(CurrentMtgRatesDataTable871112131417[[#This Row],[asofdate]],CG:CH,2,0)</f>
        <v>19327443127.73</v>
      </c>
    </row>
    <row r="97" spans="1:95" s="8" customFormat="1" ht="12.75">
      <c r="A97" s="7" t="s">
        <v>126</v>
      </c>
      <c r="B97" s="10">
        <v>1.0418312786763599E-2</v>
      </c>
      <c r="C97" s="10" t="str">
        <f>YEAR(CurrentMtgRatesDataTable8[[#This Row],[asofdate]])&amp;"-"&amp;MONTH(CurrentMtgRatesDataTable8[[#This Row],[asofdate]])</f>
        <v>2011-1</v>
      </c>
      <c r="D97" s="6">
        <f>((CurrentMtgRatesDataTable8[[#This Row],[SeriesNumValue]]-$D$1)/$D$1+1)*100</f>
        <v>69.455418578424002</v>
      </c>
      <c r="E97" s="6"/>
      <c r="G97" s="7" t="s">
        <v>126</v>
      </c>
      <c r="H97" s="10">
        <v>77.940525422506795</v>
      </c>
      <c r="I97" s="26">
        <f>VLOOKUP(CurrentMtgRatesDataTable82[[#This Row],[asofdate]],K:L,2,0)</f>
        <v>0.11795265673854601</v>
      </c>
      <c r="K97" s="7" t="s">
        <v>126</v>
      </c>
      <c r="L97" s="29">
        <v>0.11795265673854601</v>
      </c>
      <c r="O97" s="7" t="s">
        <v>126</v>
      </c>
      <c r="P97" s="10">
        <v>33.489824219735901</v>
      </c>
      <c r="Q97" s="29">
        <f>VLOOKUP(CurrentMtgRatesDataTable84[[#This Row],[asofdate]],S:T,2,0)</f>
        <v>0.27245520416456698</v>
      </c>
      <c r="S97" s="7" t="s">
        <v>126</v>
      </c>
      <c r="T97" s="10">
        <v>0.27245520416456698</v>
      </c>
      <c r="W97" s="7" t="s">
        <v>126</v>
      </c>
      <c r="X97" s="10">
        <v>762.74630346408003</v>
      </c>
      <c r="Y97" s="26">
        <f>VLOOKUP(CurrentMtgRatesDataTable86[[#This Row],[asofdate]],AA:AB,2,0)</f>
        <v>7.5937613488361505E-2</v>
      </c>
      <c r="AA97" s="7" t="s">
        <v>126</v>
      </c>
      <c r="AB97" s="10">
        <v>7.5937613488361505E-2</v>
      </c>
      <c r="AE97" s="7" t="s">
        <v>88</v>
      </c>
      <c r="AF97" s="10">
        <v>2.5848285008300598E-2</v>
      </c>
      <c r="AG97" s="10" t="str">
        <f>YEAR(CurrentMtgRatesDataTable89[[#This Row],[asofdate]])&amp;"-"&amp;MONTH(CurrentMtgRatesDataTable89[[#This Row],[asofdate]])</f>
        <v>2007-11</v>
      </c>
      <c r="AH97" s="6">
        <f>((CurrentMtgRatesDataTable89[[#This Row],[SeriesNumValue]]-$D$1)/$D$1+1)*100</f>
        <v>172.32190005533732</v>
      </c>
      <c r="AI97" s="6">
        <f>CurrentMtgRatesDataTable89[[#This Row],[Index]]-AH98</f>
        <v>2.9904955249113243</v>
      </c>
      <c r="AJ97" s="6">
        <f>VLOOKUP(CurrentMtgRatesDataTable89[[#This Row],[asofdate]],G:H,2,0)</f>
        <v>83.598180227379302</v>
      </c>
      <c r="AK97" s="6">
        <f>VLOOKUP(CurrentMtgRatesDataTable89[[#This Row],[asofdate]],K:L,2,0)</f>
        <v>0.37325443173169698</v>
      </c>
      <c r="AL97" s="6">
        <f>VLOOKUP(CurrentMtgRatesDataTable89[[#This Row],[asofdate]],O:P,2,0)</f>
        <v>39.641727438885503</v>
      </c>
      <c r="AM97" s="6">
        <f>VLOOKUP(CurrentMtgRatesDataTable89[[#This Row],[asofdate]],S:T,2,0)</f>
        <v>0.33257685736857001</v>
      </c>
      <c r="AN97" s="6">
        <f>VLOOKUP(CurrentMtgRatesDataTable89[[#This Row],[asofdate]],W:X,2,0)</f>
        <v>724.06936828744904</v>
      </c>
      <c r="AO97" s="6">
        <f>VLOOKUP(CurrentMtgRatesDataTable89[[#This Row],[asofdate]],AA:AB,2,0)</f>
        <v>0.33276857859813502</v>
      </c>
      <c r="AR97" s="7" t="s">
        <v>126</v>
      </c>
      <c r="AS97" s="10">
        <v>4.5520286505032703E-2</v>
      </c>
      <c r="AT97" s="36">
        <f>((CurrentMtgRatesDataTable8711[[#This Row],[SeriesNumValue]]-$D$1)/$D$1+1)*100</f>
        <v>303.46857670021802</v>
      </c>
      <c r="AU97" s="36"/>
      <c r="AW97" s="7" t="s">
        <v>126</v>
      </c>
      <c r="AX97" s="10">
        <v>4.8276735846155397E-2</v>
      </c>
      <c r="AY97" s="36">
        <f>((CurrentMtgRatesDataTable871112[[#This Row],[SeriesNumValue]]-$D$1)/$D$1+1)*100</f>
        <v>321.84490564103601</v>
      </c>
      <c r="AZ97" s="36"/>
      <c r="BB97" s="7" t="s">
        <v>126</v>
      </c>
      <c r="BC97" s="10">
        <v>2.6632462831635201E-2</v>
      </c>
      <c r="BD97" s="39">
        <f>((CurrentMtgRatesDataTable87111213[[#This Row],[SeriesNumValue]]-$D$1)/$D$1+1)*100</f>
        <v>177.54975221090135</v>
      </c>
      <c r="BE97" s="39"/>
      <c r="BG97" s="7" t="s">
        <v>126</v>
      </c>
      <c r="BH97" s="10">
        <v>1.09787728382045E-2</v>
      </c>
      <c r="BI97" s="39">
        <f>((CurrentMtgRatesDataTable8711121314[[#This Row],[SeriesNumValue]]-$D$1)/$D$1+1)*100</f>
        <v>73.191818921363335</v>
      </c>
      <c r="BJ97" s="39" t="str">
        <f>YEAR(CurrentMtgRatesDataTable8711121314[[#This Row],[asofdate]])&amp;"-"&amp;MONTH(CurrentMtgRatesDataTable8711121314[[#This Row],[asofdate]])</f>
        <v>2011-1</v>
      </c>
      <c r="BK97" s="39">
        <f>CurrentMtgRatesDataTable8711121314[[#This Row],[SeriesNumValue]]</f>
        <v>1.09787728382045E-2</v>
      </c>
      <c r="BL97" s="39">
        <f>VLOOKUP(CurrentMtgRatesDataTable8711121314[[#This Row],[asofdate]],AR:AT,2,0)</f>
        <v>4.5520286505032703E-2</v>
      </c>
      <c r="BM97" s="35">
        <f>IF(VLOOKUP(CurrentMtgRatesDataTable8711121314[[#This Row],[asofdate]],AW:AY,2,0)&lt;&gt;0,VLOOKUP(CurrentMtgRatesDataTable8711121314[[#This Row],[asofdate]],AW:AY,2,0),BM96)</f>
        <v>4.8276735846155397E-2</v>
      </c>
      <c r="BN97" s="35">
        <f>VLOOKUP(CurrentMtgRatesDataTable8711121314[[#This Row],[asofdate]],BB:BD,2,0)</f>
        <v>2.6632462831635201E-2</v>
      </c>
      <c r="BO97" s="35">
        <f>CurrentMtgRatesDataTable8711121314[[#This Row],[FHA]]+0.5*CurrentMtgRatesDataTable8711121314[[#This Row],[Conventional]]</f>
        <v>5.1009672924134955E-2</v>
      </c>
      <c r="BP97" s="35">
        <f>2*CurrentMtgRatesDataTable8711121314[[#This Row],[FHA]]</f>
        <v>9.1040573010065406E-2</v>
      </c>
      <c r="BQ97" s="11">
        <f>VLOOKUP(YEAR(CurrentMtgRatesDataTable8711121314[[#This Row],[asofdate]]),OriginationVolume!$A:$N,8,FALSE)</f>
        <v>0.66643598615916955</v>
      </c>
      <c r="BR97" s="11">
        <f>VLOOKUP(YEAR(CurrentMtgRatesDataTable8711121314[[#This Row],[asofdate]]),OriginationVolume!$A:$N,9,FALSE)</f>
        <v>5.0865051903114189E-2</v>
      </c>
      <c r="BS97" s="11">
        <f>VLOOKUP(YEAR(CurrentMtgRatesDataTable8711121314[[#This Row],[asofdate]]),OriginationVolume!$A:$N,10,FALSE)</f>
        <v>0.15259515570934257</v>
      </c>
      <c r="BT97" s="11">
        <f>VLOOKUP(YEAR(CurrentMtgRatesDataTable8711121314[[#This Row],[asofdate]]),OriginationVolume!$A:$N,11,FALSE)</f>
        <v>0.11764705882352941</v>
      </c>
      <c r="BU97" s="11">
        <f>VLOOKUP(YEAR(CurrentMtgRatesDataTable8711121314[[#This Row],[asofdate]]),OriginationVolume!$A:$N,12,FALSE)</f>
        <v>9.688581314878892E-3</v>
      </c>
      <c r="BV97" s="11">
        <f>VLOOKUP(YEAR(CurrentMtgRatesDataTable8711121314[[#This Row],[asofdate]]),OriginationVolume!$A:$N,13,FALSE)</f>
        <v>2.7681660899653978E-3</v>
      </c>
      <c r="BW97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1.8756270309838053E-2</v>
      </c>
      <c r="BY97" s="7" t="s">
        <v>126</v>
      </c>
      <c r="BZ97" s="10">
        <v>7185062000</v>
      </c>
      <c r="CA97" s="36"/>
      <c r="CC97" s="7" t="s">
        <v>126</v>
      </c>
      <c r="CD97" s="10">
        <v>962537000</v>
      </c>
      <c r="CE97" s="36"/>
      <c r="CG97" s="7" t="s">
        <v>126</v>
      </c>
      <c r="CH97" s="10">
        <v>18606514902.029999</v>
      </c>
      <c r="CI97" s="39"/>
      <c r="CK97" s="7" t="s">
        <v>126</v>
      </c>
      <c r="CL97" s="10">
        <v>10458915902.030001</v>
      </c>
      <c r="CM97" s="39" t="str">
        <f>YEAR(CurrentMtgRatesDataTable871112131417[[#This Row],[asofdate]])&amp;"-"&amp;MONTH(CurrentMtgRatesDataTable871112131417[[#This Row],[asofdate]])</f>
        <v>2011-1</v>
      </c>
      <c r="CN97" s="39">
        <f>CurrentMtgRatesDataTable871112131417[[#This Row],[SeriesNumValue]]</f>
        <v>10458915902.030001</v>
      </c>
      <c r="CO97" s="39">
        <f>VLOOKUP(CurrentMtgRatesDataTable871112131417[[#This Row],[asofdate]],BY:BZ,2,0)</f>
        <v>7185062000</v>
      </c>
      <c r="CP97" s="35">
        <f>IF(VLOOKUP(CurrentMtgRatesDataTable871112131417[[#This Row],[asofdate]],CC:CD,2,0)&lt;&gt;0,VLOOKUP(CurrentMtgRatesDataTable871112131417[[#This Row],[asofdate]],CC:CD,2,0),CP96)</f>
        <v>962537000</v>
      </c>
      <c r="CQ97" s="35">
        <f>VLOOKUP(CurrentMtgRatesDataTable871112131417[[#This Row],[asofdate]],CG:CH,2,0)</f>
        <v>18606514902.029999</v>
      </c>
    </row>
    <row r="98" spans="1:95" s="8" customFormat="1" ht="12.75">
      <c r="A98" s="7" t="s">
        <v>127</v>
      </c>
      <c r="B98" s="10">
        <v>1.01167964102732E-2</v>
      </c>
      <c r="C98" s="10" t="str">
        <f>YEAR(CurrentMtgRatesDataTable8[[#This Row],[asofdate]])&amp;"-"&amp;MONTH(CurrentMtgRatesDataTable8[[#This Row],[asofdate]])</f>
        <v>2011-2</v>
      </c>
      <c r="D98" s="6">
        <f>((CurrentMtgRatesDataTable8[[#This Row],[SeriesNumValue]]-$D$1)/$D$1+1)*100</f>
        <v>67.445309401821333</v>
      </c>
      <c r="E98" s="6"/>
      <c r="G98" s="7" t="s">
        <v>127</v>
      </c>
      <c r="H98" s="10">
        <v>77.808168115304795</v>
      </c>
      <c r="I98" s="26">
        <f>VLOOKUP(CurrentMtgRatesDataTable82[[#This Row],[asofdate]],K:L,2,0)</f>
        <v>0.120694975345314</v>
      </c>
      <c r="K98" s="7" t="s">
        <v>127</v>
      </c>
      <c r="L98" s="29">
        <v>0.120694975345314</v>
      </c>
      <c r="O98" s="7" t="s">
        <v>127</v>
      </c>
      <c r="P98" s="10">
        <v>33.893922973466999</v>
      </c>
      <c r="Q98" s="29">
        <f>VLOOKUP(CurrentMtgRatesDataTable84[[#This Row],[asofdate]],S:T,2,0)</f>
        <v>0.28761132381048299</v>
      </c>
      <c r="S98" s="7" t="s">
        <v>127</v>
      </c>
      <c r="T98" s="10">
        <v>0.28761132381048299</v>
      </c>
      <c r="W98" s="7" t="s">
        <v>127</v>
      </c>
      <c r="X98" s="10">
        <v>761.89442409042999</v>
      </c>
      <c r="Y98" s="26">
        <f>VLOOKUP(CurrentMtgRatesDataTable86[[#This Row],[asofdate]],AA:AB,2,0)</f>
        <v>8.1433463034412304E-2</v>
      </c>
      <c r="AA98" s="7" t="s">
        <v>127</v>
      </c>
      <c r="AB98" s="10">
        <v>8.1433463034412304E-2</v>
      </c>
      <c r="AE98" s="7" t="s">
        <v>87</v>
      </c>
      <c r="AF98" s="10">
        <v>2.5399710679563901E-2</v>
      </c>
      <c r="AG98" s="10" t="str">
        <f>YEAR(CurrentMtgRatesDataTable89[[#This Row],[asofdate]])&amp;"-"&amp;MONTH(CurrentMtgRatesDataTable89[[#This Row],[asofdate]])</f>
        <v>2007-10</v>
      </c>
      <c r="AH98" s="6">
        <f>((CurrentMtgRatesDataTable89[[#This Row],[SeriesNumValue]]-$D$1)/$D$1+1)*100</f>
        <v>169.331404530426</v>
      </c>
      <c r="AI98" s="6">
        <f>CurrentMtgRatesDataTable89[[#This Row],[Index]]-AH99</f>
        <v>14.007753034267978</v>
      </c>
      <c r="AJ98" s="6">
        <f>VLOOKUP(CurrentMtgRatesDataTable89[[#This Row],[asofdate]],G:H,2,0)</f>
        <v>83.087861444974493</v>
      </c>
      <c r="AK98" s="6">
        <f>VLOOKUP(CurrentMtgRatesDataTable89[[#This Row],[asofdate]],K:L,2,0)</f>
        <v>0.356078874246821</v>
      </c>
      <c r="AL98" s="6">
        <f>VLOOKUP(CurrentMtgRatesDataTable89[[#This Row],[asofdate]],O:P,2,0)</f>
        <v>39.155893606409002</v>
      </c>
      <c r="AM98" s="6">
        <f>VLOOKUP(CurrentMtgRatesDataTable89[[#This Row],[asofdate]],S:T,2,0)</f>
        <v>0.314858289438952</v>
      </c>
      <c r="AN98" s="6">
        <f>VLOOKUP(CurrentMtgRatesDataTable89[[#This Row],[asofdate]],W:X,2,0)</f>
        <v>725.21898138090398</v>
      </c>
      <c r="AO98" s="6">
        <f>VLOOKUP(CurrentMtgRatesDataTable89[[#This Row],[asofdate]],AA:AB,2,0)</f>
        <v>0.32561765464237102</v>
      </c>
      <c r="AR98" s="7" t="s">
        <v>127</v>
      </c>
      <c r="AS98" s="10">
        <v>4.0079471562488797E-2</v>
      </c>
      <c r="AT98" s="36">
        <f>((CurrentMtgRatesDataTable8711[[#This Row],[SeriesNumValue]]-$D$1)/$D$1+1)*100</f>
        <v>267.19647708325869</v>
      </c>
      <c r="AU98" s="36"/>
      <c r="AW98" s="7" t="s">
        <v>127</v>
      </c>
      <c r="AX98" s="10">
        <v>4.2674310047092101E-2</v>
      </c>
      <c r="AY98" s="36">
        <f>((CurrentMtgRatesDataTable871112[[#This Row],[SeriesNumValue]]-$D$1)/$D$1+1)*100</f>
        <v>284.49540031394736</v>
      </c>
      <c r="AZ98" s="36"/>
      <c r="BB98" s="7" t="s">
        <v>127</v>
      </c>
      <c r="BC98" s="10">
        <v>2.37103477873317E-2</v>
      </c>
      <c r="BD98" s="39">
        <f>((CurrentMtgRatesDataTable87111213[[#This Row],[SeriesNumValue]]-$D$1)/$D$1+1)*100</f>
        <v>158.06898524887799</v>
      </c>
      <c r="BE98" s="39"/>
      <c r="BG98" s="7" t="s">
        <v>127</v>
      </c>
      <c r="BH98" s="10">
        <v>1.01283020433927E-2</v>
      </c>
      <c r="BI98" s="39">
        <f>((CurrentMtgRatesDataTable8711121314[[#This Row],[SeriesNumValue]]-$D$1)/$D$1+1)*100</f>
        <v>67.522013622618005</v>
      </c>
      <c r="BJ98" s="39" t="str">
        <f>YEAR(CurrentMtgRatesDataTable8711121314[[#This Row],[asofdate]])&amp;"-"&amp;MONTH(CurrentMtgRatesDataTable8711121314[[#This Row],[asofdate]])</f>
        <v>2011-2</v>
      </c>
      <c r="BK98" s="39">
        <f>CurrentMtgRatesDataTable8711121314[[#This Row],[SeriesNumValue]]</f>
        <v>1.01283020433927E-2</v>
      </c>
      <c r="BL98" s="39">
        <f>VLOOKUP(CurrentMtgRatesDataTable8711121314[[#This Row],[asofdate]],AR:AT,2,0)</f>
        <v>4.0079471562488797E-2</v>
      </c>
      <c r="BM98" s="35">
        <f>IF(VLOOKUP(CurrentMtgRatesDataTable8711121314[[#This Row],[asofdate]],AW:AY,2,0)&lt;&gt;0,VLOOKUP(CurrentMtgRatesDataTable8711121314[[#This Row],[asofdate]],AW:AY,2,0),BM97)</f>
        <v>4.2674310047092101E-2</v>
      </c>
      <c r="BN98" s="35">
        <f>VLOOKUP(CurrentMtgRatesDataTable8711121314[[#This Row],[asofdate]],BB:BD,2,0)</f>
        <v>2.37103477873317E-2</v>
      </c>
      <c r="BO98" s="35">
        <f>CurrentMtgRatesDataTable8711121314[[#This Row],[FHA]]+0.5*CurrentMtgRatesDataTable8711121314[[#This Row],[Conventional]]</f>
        <v>4.5143622584185146E-2</v>
      </c>
      <c r="BP98" s="35">
        <f>2*CurrentMtgRatesDataTable8711121314[[#This Row],[FHA]]</f>
        <v>8.0158943124977594E-2</v>
      </c>
      <c r="BQ98" s="11">
        <f>VLOOKUP(YEAR(CurrentMtgRatesDataTable8711121314[[#This Row],[asofdate]]),OriginationVolume!$A:$N,8,FALSE)</f>
        <v>0.66643598615916955</v>
      </c>
      <c r="BR98" s="11">
        <f>VLOOKUP(YEAR(CurrentMtgRatesDataTable8711121314[[#This Row],[asofdate]]),OriginationVolume!$A:$N,9,FALSE)</f>
        <v>5.0865051903114189E-2</v>
      </c>
      <c r="BS98" s="11">
        <f>VLOOKUP(YEAR(CurrentMtgRatesDataTable8711121314[[#This Row],[asofdate]]),OriginationVolume!$A:$N,10,FALSE)</f>
        <v>0.15259515570934257</v>
      </c>
      <c r="BT98" s="11">
        <f>VLOOKUP(YEAR(CurrentMtgRatesDataTable8711121314[[#This Row],[asofdate]]),OriginationVolume!$A:$N,11,FALSE)</f>
        <v>0.11764705882352941</v>
      </c>
      <c r="BU98" s="11">
        <f>VLOOKUP(YEAR(CurrentMtgRatesDataTable8711121314[[#This Row],[asofdate]]),OriginationVolume!$A:$N,12,FALSE)</f>
        <v>9.688581314878892E-3</v>
      </c>
      <c r="BV98" s="11">
        <f>VLOOKUP(YEAR(CurrentMtgRatesDataTable8711121314[[#This Row],[asofdate]]),OriginationVolume!$A:$N,13,FALSE)</f>
        <v>2.7681660899653978E-3</v>
      </c>
      <c r="BW98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1.6887265032410021E-2</v>
      </c>
      <c r="BY98" s="7" t="s">
        <v>127</v>
      </c>
      <c r="BZ98" s="10">
        <v>7336184000</v>
      </c>
      <c r="CA98" s="36"/>
      <c r="CC98" s="7" t="s">
        <v>127</v>
      </c>
      <c r="CD98" s="10">
        <v>1215721000</v>
      </c>
      <c r="CE98" s="36"/>
      <c r="CG98" s="7" t="s">
        <v>127</v>
      </c>
      <c r="CH98" s="10">
        <v>19595722018.380001</v>
      </c>
      <c r="CI98" s="39"/>
      <c r="CK98" s="7" t="s">
        <v>127</v>
      </c>
      <c r="CL98" s="10">
        <v>11043817018.379999</v>
      </c>
      <c r="CM98" s="39" t="str">
        <f>YEAR(CurrentMtgRatesDataTable871112131417[[#This Row],[asofdate]])&amp;"-"&amp;MONTH(CurrentMtgRatesDataTable871112131417[[#This Row],[asofdate]])</f>
        <v>2011-2</v>
      </c>
      <c r="CN98" s="39">
        <f>CurrentMtgRatesDataTable871112131417[[#This Row],[SeriesNumValue]]</f>
        <v>11043817018.379999</v>
      </c>
      <c r="CO98" s="39">
        <f>VLOOKUP(CurrentMtgRatesDataTable871112131417[[#This Row],[asofdate]],BY:BZ,2,0)</f>
        <v>7336184000</v>
      </c>
      <c r="CP98" s="35">
        <f>IF(VLOOKUP(CurrentMtgRatesDataTable871112131417[[#This Row],[asofdate]],CC:CD,2,0)&lt;&gt;0,VLOOKUP(CurrentMtgRatesDataTable871112131417[[#This Row],[asofdate]],CC:CD,2,0),CP97)</f>
        <v>1215721000</v>
      </c>
      <c r="CQ98" s="35">
        <f>VLOOKUP(CurrentMtgRatesDataTable871112131417[[#This Row],[asofdate]],CG:CH,2,0)</f>
        <v>19595722018.380001</v>
      </c>
    </row>
    <row r="99" spans="1:95" s="8" customFormat="1" ht="12.75">
      <c r="A99" s="7" t="s">
        <v>128</v>
      </c>
      <c r="B99" s="10">
        <v>1.10515396315222E-2</v>
      </c>
      <c r="C99" s="10" t="str">
        <f>YEAR(CurrentMtgRatesDataTable8[[#This Row],[asofdate]])&amp;"-"&amp;MONTH(CurrentMtgRatesDataTable8[[#This Row],[asofdate]])</f>
        <v>2011-3</v>
      </c>
      <c r="D99" s="6">
        <f>((CurrentMtgRatesDataTable8[[#This Row],[SeriesNumValue]]-$D$1)/$D$1+1)*100</f>
        <v>73.676930876814666</v>
      </c>
      <c r="E99" s="6"/>
      <c r="G99" s="7" t="s">
        <v>128</v>
      </c>
      <c r="H99" s="10">
        <v>77.637247427666907</v>
      </c>
      <c r="I99" s="26">
        <f>VLOOKUP(CurrentMtgRatesDataTable82[[#This Row],[asofdate]],K:L,2,0)</f>
        <v>0.11718407456528999</v>
      </c>
      <c r="K99" s="7" t="s">
        <v>128</v>
      </c>
      <c r="L99" s="29">
        <v>0.11718407456528999</v>
      </c>
      <c r="O99" s="7" t="s">
        <v>128</v>
      </c>
      <c r="P99" s="10">
        <v>34.494978806655404</v>
      </c>
      <c r="Q99" s="29">
        <f>VLOOKUP(CurrentMtgRatesDataTable84[[#This Row],[asofdate]],S:T,2,0)</f>
        <v>0.31323390844316201</v>
      </c>
      <c r="S99" s="7" t="s">
        <v>128</v>
      </c>
      <c r="T99" s="10">
        <v>0.31323390844316201</v>
      </c>
      <c r="W99" s="7" t="s">
        <v>128</v>
      </c>
      <c r="X99" s="10">
        <v>760.60763213048995</v>
      </c>
      <c r="Y99" s="26">
        <f>VLOOKUP(CurrentMtgRatesDataTable86[[#This Row],[asofdate]],AA:AB,2,0)</f>
        <v>8.6065611497949293E-2</v>
      </c>
      <c r="AA99" s="7" t="s">
        <v>128</v>
      </c>
      <c r="AB99" s="10">
        <v>8.6065611497949293E-2</v>
      </c>
      <c r="AE99" s="7" t="s">
        <v>86</v>
      </c>
      <c r="AF99" s="10">
        <v>2.3298547724423701E-2</v>
      </c>
      <c r="AG99" s="10" t="str">
        <f>YEAR(CurrentMtgRatesDataTable89[[#This Row],[asofdate]])&amp;"-"&amp;MONTH(CurrentMtgRatesDataTable89[[#This Row],[asofdate]])</f>
        <v>2007-9</v>
      </c>
      <c r="AH99" s="6">
        <f>((CurrentMtgRatesDataTable89[[#This Row],[SeriesNumValue]]-$D$1)/$D$1+1)*100</f>
        <v>155.32365149615802</v>
      </c>
      <c r="AI99" s="6">
        <f>CurrentMtgRatesDataTable89[[#This Row],[Index]]-AH100</f>
        <v>17.229269371458031</v>
      </c>
      <c r="AJ99" s="6">
        <f>VLOOKUP(CurrentMtgRatesDataTable89[[#This Row],[asofdate]],G:H,2,0)</f>
        <v>82.874350662137303</v>
      </c>
      <c r="AK99" s="6">
        <f>VLOOKUP(CurrentMtgRatesDataTable89[[#This Row],[asofdate]],K:L,2,0)</f>
        <v>0.33002145591068499</v>
      </c>
      <c r="AL99" s="6">
        <f>VLOOKUP(CurrentMtgRatesDataTable89[[#This Row],[asofdate]],O:P,2,0)</f>
        <v>39.279520130665098</v>
      </c>
      <c r="AM99" s="6">
        <f>VLOOKUP(CurrentMtgRatesDataTable89[[#This Row],[asofdate]],S:T,2,0)</f>
        <v>0.31798180334842602</v>
      </c>
      <c r="AN99" s="6">
        <f>VLOOKUP(CurrentMtgRatesDataTable89[[#This Row],[asofdate]],W:X,2,0)</f>
        <v>725.50573707449803</v>
      </c>
      <c r="AO99" s="6">
        <f>VLOOKUP(CurrentMtgRatesDataTable89[[#This Row],[asofdate]],AA:AB,2,0)</f>
        <v>0.32240974299630598</v>
      </c>
      <c r="AR99" s="7" t="s">
        <v>128</v>
      </c>
      <c r="AS99" s="10">
        <v>4.3811617029674503E-2</v>
      </c>
      <c r="AT99" s="36">
        <f>((CurrentMtgRatesDataTable8711[[#This Row],[SeriesNumValue]]-$D$1)/$D$1+1)*100</f>
        <v>292.07744686449672</v>
      </c>
      <c r="AU99" s="36"/>
      <c r="AW99" s="7" t="s">
        <v>128</v>
      </c>
      <c r="AX99" s="10">
        <v>4.7347657775073798E-2</v>
      </c>
      <c r="AY99" s="36">
        <f>((CurrentMtgRatesDataTable871112[[#This Row],[SeriesNumValue]]-$D$1)/$D$1+1)*100</f>
        <v>315.65105183382531</v>
      </c>
      <c r="AZ99" s="36"/>
      <c r="BB99" s="7" t="s">
        <v>128</v>
      </c>
      <c r="BC99" s="10">
        <v>2.6289854778870098E-2</v>
      </c>
      <c r="BD99" s="39">
        <f>((CurrentMtgRatesDataTable87111213[[#This Row],[SeriesNumValue]]-$D$1)/$D$1+1)*100</f>
        <v>175.26569852580067</v>
      </c>
      <c r="BE99" s="39"/>
      <c r="BG99" s="7" t="s">
        <v>128</v>
      </c>
      <c r="BH99" s="10">
        <v>1.13508512550948E-2</v>
      </c>
      <c r="BI99" s="39">
        <f>((CurrentMtgRatesDataTable8711121314[[#This Row],[SeriesNumValue]]-$D$1)/$D$1+1)*100</f>
        <v>75.672341700631989</v>
      </c>
      <c r="BJ99" s="39" t="str">
        <f>YEAR(CurrentMtgRatesDataTable8711121314[[#This Row],[asofdate]])&amp;"-"&amp;MONTH(CurrentMtgRatesDataTable8711121314[[#This Row],[asofdate]])</f>
        <v>2011-3</v>
      </c>
      <c r="BK99" s="39">
        <f>CurrentMtgRatesDataTable8711121314[[#This Row],[SeriesNumValue]]</f>
        <v>1.13508512550948E-2</v>
      </c>
      <c r="BL99" s="39">
        <f>VLOOKUP(CurrentMtgRatesDataTable8711121314[[#This Row],[asofdate]],AR:AT,2,0)</f>
        <v>4.3811617029674503E-2</v>
      </c>
      <c r="BM99" s="35">
        <f>IF(VLOOKUP(CurrentMtgRatesDataTable8711121314[[#This Row],[asofdate]],AW:AY,2,0)&lt;&gt;0,VLOOKUP(CurrentMtgRatesDataTable8711121314[[#This Row],[asofdate]],AW:AY,2,0),BM98)</f>
        <v>4.7347657775073798E-2</v>
      </c>
      <c r="BN99" s="35">
        <f>VLOOKUP(CurrentMtgRatesDataTable8711121314[[#This Row],[asofdate]],BB:BD,2,0)</f>
        <v>2.6289854778870098E-2</v>
      </c>
      <c r="BO99" s="35">
        <f>CurrentMtgRatesDataTable8711121314[[#This Row],[FHA]]+0.5*CurrentMtgRatesDataTable8711121314[[#This Row],[Conventional]]</f>
        <v>4.9487042657221904E-2</v>
      </c>
      <c r="BP99" s="35">
        <f>2*CurrentMtgRatesDataTable8711121314[[#This Row],[FHA]]</f>
        <v>8.7623234059349006E-2</v>
      </c>
      <c r="BQ99" s="11">
        <f>VLOOKUP(YEAR(CurrentMtgRatesDataTable8711121314[[#This Row],[asofdate]]),OriginationVolume!$A:$N,8,FALSE)</f>
        <v>0.66643598615916955</v>
      </c>
      <c r="BR99" s="11">
        <f>VLOOKUP(YEAR(CurrentMtgRatesDataTable8711121314[[#This Row],[asofdate]]),OriginationVolume!$A:$N,9,FALSE)</f>
        <v>5.0865051903114189E-2</v>
      </c>
      <c r="BS99" s="11">
        <f>VLOOKUP(YEAR(CurrentMtgRatesDataTable8711121314[[#This Row],[asofdate]]),OriginationVolume!$A:$N,10,FALSE)</f>
        <v>0.15259515570934257</v>
      </c>
      <c r="BT99" s="11">
        <f>VLOOKUP(YEAR(CurrentMtgRatesDataTable8711121314[[#This Row],[asofdate]]),OriginationVolume!$A:$N,11,FALSE)</f>
        <v>0.11764705882352941</v>
      </c>
      <c r="BU99" s="11">
        <f>VLOOKUP(YEAR(CurrentMtgRatesDataTable8711121314[[#This Row],[asofdate]]),OriginationVolume!$A:$N,12,FALSE)</f>
        <v>9.688581314878892E-3</v>
      </c>
      <c r="BV99" s="11">
        <f>VLOOKUP(YEAR(CurrentMtgRatesDataTable8711121314[[#This Row],[asofdate]]),OriginationVolume!$A:$N,13,FALSE)</f>
        <v>2.7681660899653978E-3</v>
      </c>
      <c r="BW99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1.8715806510015271E-2</v>
      </c>
      <c r="BY99" s="7" t="s">
        <v>128</v>
      </c>
      <c r="BZ99" s="10">
        <v>4523772000</v>
      </c>
      <c r="CA99" s="36"/>
      <c r="CC99" s="7" t="s">
        <v>128</v>
      </c>
      <c r="CD99" s="10">
        <v>860403000</v>
      </c>
      <c r="CE99" s="36"/>
      <c r="CG99" s="7" t="s">
        <v>128</v>
      </c>
      <c r="CH99" s="10">
        <v>12517854062.799999</v>
      </c>
      <c r="CI99" s="39"/>
      <c r="CK99" s="7" t="s">
        <v>128</v>
      </c>
      <c r="CL99" s="10">
        <v>7133679062.8000002</v>
      </c>
      <c r="CM99" s="39" t="str">
        <f>YEAR(CurrentMtgRatesDataTable871112131417[[#This Row],[asofdate]])&amp;"-"&amp;MONTH(CurrentMtgRatesDataTable871112131417[[#This Row],[asofdate]])</f>
        <v>2011-3</v>
      </c>
      <c r="CN99" s="39">
        <f>CurrentMtgRatesDataTable871112131417[[#This Row],[SeriesNumValue]]</f>
        <v>7133679062.8000002</v>
      </c>
      <c r="CO99" s="39">
        <f>VLOOKUP(CurrentMtgRatesDataTable871112131417[[#This Row],[asofdate]],BY:BZ,2,0)</f>
        <v>4523772000</v>
      </c>
      <c r="CP99" s="35">
        <f>IF(VLOOKUP(CurrentMtgRatesDataTable871112131417[[#This Row],[asofdate]],CC:CD,2,0)&lt;&gt;0,VLOOKUP(CurrentMtgRatesDataTable871112131417[[#This Row],[asofdate]],CC:CD,2,0),CP98)</f>
        <v>860403000</v>
      </c>
      <c r="CQ99" s="35">
        <f>VLOOKUP(CurrentMtgRatesDataTable871112131417[[#This Row],[asofdate]],CG:CH,2,0)</f>
        <v>12517854062.799999</v>
      </c>
    </row>
    <row r="100" spans="1:95" s="8" customFormat="1" ht="12.75">
      <c r="A100" s="7" t="s">
        <v>129</v>
      </c>
      <c r="B100" s="10">
        <v>1.15246470908057E-2</v>
      </c>
      <c r="C100" s="10" t="str">
        <f>YEAR(CurrentMtgRatesDataTable8[[#This Row],[asofdate]])&amp;"-"&amp;MONTH(CurrentMtgRatesDataTable8[[#This Row],[asofdate]])</f>
        <v>2011-4</v>
      </c>
      <c r="D100" s="6">
        <f>((CurrentMtgRatesDataTable8[[#This Row],[SeriesNumValue]]-$D$1)/$D$1+1)*100</f>
        <v>76.830980605371352</v>
      </c>
      <c r="E100" s="6"/>
      <c r="G100" s="7" t="s">
        <v>129</v>
      </c>
      <c r="H100" s="10">
        <v>77.552398679092306</v>
      </c>
      <c r="I100" s="26">
        <f>VLOOKUP(CurrentMtgRatesDataTable82[[#This Row],[asofdate]],K:L,2,0)</f>
        <v>0.122639368656911</v>
      </c>
      <c r="K100" s="7" t="s">
        <v>129</v>
      </c>
      <c r="L100" s="29">
        <v>0.122639368656911</v>
      </c>
      <c r="O100" s="7" t="s">
        <v>129</v>
      </c>
      <c r="P100" s="10">
        <v>34.641342036050403</v>
      </c>
      <c r="Q100" s="29">
        <f>VLOOKUP(CurrentMtgRatesDataTable84[[#This Row],[asofdate]],S:T,2,0)</f>
        <v>0.31991524375353902</v>
      </c>
      <c r="S100" s="7" t="s">
        <v>129</v>
      </c>
      <c r="T100" s="10">
        <v>0.31991524375353902</v>
      </c>
      <c r="W100" s="7" t="s">
        <v>129</v>
      </c>
      <c r="X100" s="10">
        <v>759.50780417156102</v>
      </c>
      <c r="Y100" s="26">
        <f>VLOOKUP(CurrentMtgRatesDataTable86[[#This Row],[asofdate]],AA:AB,2,0)</f>
        <v>9.30252114514524E-2</v>
      </c>
      <c r="AA100" s="7" t="s">
        <v>129</v>
      </c>
      <c r="AB100" s="10">
        <v>9.30252114514524E-2</v>
      </c>
      <c r="AE100" s="7" t="s">
        <v>85</v>
      </c>
      <c r="AF100" s="10">
        <v>2.0714157318705E-2</v>
      </c>
      <c r="AG100" s="10" t="str">
        <f>YEAR(CurrentMtgRatesDataTable89[[#This Row],[asofdate]])&amp;"-"&amp;MONTH(CurrentMtgRatesDataTable89[[#This Row],[asofdate]])</f>
        <v>2007-8</v>
      </c>
      <c r="AH100" s="6">
        <f>((CurrentMtgRatesDataTable89[[#This Row],[SeriesNumValue]]-$D$1)/$D$1+1)*100</f>
        <v>138.09438212469999</v>
      </c>
      <c r="AI100" s="6">
        <f>CurrentMtgRatesDataTable89[[#This Row],[Index]]-AH101</f>
        <v>5.2330551800166347</v>
      </c>
      <c r="AJ100" s="6">
        <f>VLOOKUP(CurrentMtgRatesDataTable89[[#This Row],[asofdate]],G:H,2,0)</f>
        <v>82.723748146625795</v>
      </c>
      <c r="AK100" s="6">
        <f>VLOOKUP(CurrentMtgRatesDataTable89[[#This Row],[asofdate]],K:L,2,0)</f>
        <v>0.32255308239293201</v>
      </c>
      <c r="AL100" s="6">
        <f>VLOOKUP(CurrentMtgRatesDataTable89[[#This Row],[asofdate]],O:P,2,0)</f>
        <v>39.121730682626499</v>
      </c>
      <c r="AM100" s="6">
        <f>VLOOKUP(CurrentMtgRatesDataTable89[[#This Row],[asofdate]],S:T,2,0)</f>
        <v>0.31732347013787598</v>
      </c>
      <c r="AN100" s="6">
        <f>VLOOKUP(CurrentMtgRatesDataTable89[[#This Row],[asofdate]],W:X,2,0)</f>
        <v>724.80771850866597</v>
      </c>
      <c r="AO100" s="6">
        <f>VLOOKUP(CurrentMtgRatesDataTable89[[#This Row],[asofdate]],AA:AB,2,0)</f>
        <v>0.32695996607863698</v>
      </c>
      <c r="AR100" s="7" t="s">
        <v>129</v>
      </c>
      <c r="AS100" s="10">
        <v>4.3426562211492999E-2</v>
      </c>
      <c r="AT100" s="36">
        <f>((CurrentMtgRatesDataTable8711[[#This Row],[SeriesNumValue]]-$D$1)/$D$1+1)*100</f>
        <v>289.51041474328667</v>
      </c>
      <c r="AU100" s="36"/>
      <c r="AW100" s="7" t="s">
        <v>129</v>
      </c>
      <c r="AX100" s="10">
        <v>4.6889622090334801E-2</v>
      </c>
      <c r="AY100" s="36">
        <f>((CurrentMtgRatesDataTable871112[[#This Row],[SeriesNumValue]]-$D$1)/$D$1+1)*100</f>
        <v>312.59748060223205</v>
      </c>
      <c r="AZ100" s="36"/>
      <c r="BB100" s="7" t="s">
        <v>129</v>
      </c>
      <c r="BC100" s="10">
        <v>2.6604644436645002E-2</v>
      </c>
      <c r="BD100" s="39">
        <f>((CurrentMtgRatesDataTable87111213[[#This Row],[SeriesNumValue]]-$D$1)/$D$1+1)*100</f>
        <v>177.36429624430002</v>
      </c>
      <c r="BE100" s="39"/>
      <c r="BG100" s="7" t="s">
        <v>129</v>
      </c>
      <c r="BH100" s="10">
        <v>1.12627930078745E-2</v>
      </c>
      <c r="BI100" s="39">
        <f>((CurrentMtgRatesDataTable8711121314[[#This Row],[SeriesNumValue]]-$D$1)/$D$1+1)*100</f>
        <v>75.085286719163335</v>
      </c>
      <c r="BJ100" s="39" t="str">
        <f>YEAR(CurrentMtgRatesDataTable8711121314[[#This Row],[asofdate]])&amp;"-"&amp;MONTH(CurrentMtgRatesDataTable8711121314[[#This Row],[asofdate]])</f>
        <v>2011-4</v>
      </c>
      <c r="BK100" s="39">
        <f>CurrentMtgRatesDataTable8711121314[[#This Row],[SeriesNumValue]]</f>
        <v>1.12627930078745E-2</v>
      </c>
      <c r="BL100" s="39">
        <f>VLOOKUP(CurrentMtgRatesDataTable8711121314[[#This Row],[asofdate]],AR:AT,2,0)</f>
        <v>4.3426562211492999E-2</v>
      </c>
      <c r="BM100" s="35">
        <f>IF(VLOOKUP(CurrentMtgRatesDataTable8711121314[[#This Row],[asofdate]],AW:AY,2,0)&lt;&gt;0,VLOOKUP(CurrentMtgRatesDataTable8711121314[[#This Row],[asofdate]],AW:AY,2,0),BM99)</f>
        <v>4.6889622090334801E-2</v>
      </c>
      <c r="BN100" s="35">
        <f>VLOOKUP(CurrentMtgRatesDataTable8711121314[[#This Row],[asofdate]],BB:BD,2,0)</f>
        <v>2.6604644436645002E-2</v>
      </c>
      <c r="BO100" s="35">
        <f>CurrentMtgRatesDataTable8711121314[[#This Row],[FHA]]+0.5*CurrentMtgRatesDataTable8711121314[[#This Row],[Conventional]]</f>
        <v>4.9057958715430248E-2</v>
      </c>
      <c r="BP100" s="35">
        <f>2*CurrentMtgRatesDataTable8711121314[[#This Row],[FHA]]</f>
        <v>8.6853124422985997E-2</v>
      </c>
      <c r="BQ100" s="11">
        <f>VLOOKUP(YEAR(CurrentMtgRatesDataTable8711121314[[#This Row],[asofdate]]),OriginationVolume!$A:$N,8,FALSE)</f>
        <v>0.66643598615916955</v>
      </c>
      <c r="BR100" s="11">
        <f>VLOOKUP(YEAR(CurrentMtgRatesDataTable8711121314[[#This Row],[asofdate]]),OriginationVolume!$A:$N,9,FALSE)</f>
        <v>5.0865051903114189E-2</v>
      </c>
      <c r="BS100" s="11">
        <f>VLOOKUP(YEAR(CurrentMtgRatesDataTable8711121314[[#This Row],[asofdate]]),OriginationVolume!$A:$N,10,FALSE)</f>
        <v>0.15259515570934257</v>
      </c>
      <c r="BT100" s="11">
        <f>VLOOKUP(YEAR(CurrentMtgRatesDataTable8711121314[[#This Row],[asofdate]]),OriginationVolume!$A:$N,11,FALSE)</f>
        <v>0.11764705882352941</v>
      </c>
      <c r="BU100" s="11">
        <f>VLOOKUP(YEAR(CurrentMtgRatesDataTable8711121314[[#This Row],[asofdate]]),OriginationVolume!$A:$N,12,FALSE)</f>
        <v>9.688581314878892E-3</v>
      </c>
      <c r="BV100" s="11">
        <f>VLOOKUP(YEAR(CurrentMtgRatesDataTable8711121314[[#This Row],[asofdate]]),OriginationVolume!$A:$N,13,FALSE)</f>
        <v>2.7681660899653978E-3</v>
      </c>
      <c r="BW100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1.8558417016542272E-2</v>
      </c>
      <c r="BY100" s="7" t="s">
        <v>129</v>
      </c>
      <c r="BZ100" s="10">
        <v>4510409000</v>
      </c>
      <c r="CA100" s="36"/>
      <c r="CC100" s="7" t="s">
        <v>129</v>
      </c>
      <c r="CD100" s="10">
        <v>834045000</v>
      </c>
      <c r="CE100" s="36"/>
      <c r="CG100" s="7" t="s">
        <v>129</v>
      </c>
      <c r="CH100" s="10">
        <v>11968693481.92</v>
      </c>
      <c r="CI100" s="39"/>
      <c r="CK100" s="7" t="s">
        <v>129</v>
      </c>
      <c r="CL100" s="10">
        <v>6624239481.9200001</v>
      </c>
      <c r="CM100" s="39" t="str">
        <f>YEAR(CurrentMtgRatesDataTable871112131417[[#This Row],[asofdate]])&amp;"-"&amp;MONTH(CurrentMtgRatesDataTable871112131417[[#This Row],[asofdate]])</f>
        <v>2011-4</v>
      </c>
      <c r="CN100" s="39">
        <f>CurrentMtgRatesDataTable871112131417[[#This Row],[SeriesNumValue]]</f>
        <v>6624239481.9200001</v>
      </c>
      <c r="CO100" s="39">
        <f>VLOOKUP(CurrentMtgRatesDataTable871112131417[[#This Row],[asofdate]],BY:BZ,2,0)</f>
        <v>4510409000</v>
      </c>
      <c r="CP100" s="35">
        <f>IF(VLOOKUP(CurrentMtgRatesDataTable871112131417[[#This Row],[asofdate]],CC:CD,2,0)&lt;&gt;0,VLOOKUP(CurrentMtgRatesDataTable871112131417[[#This Row],[asofdate]],CC:CD,2,0),CP99)</f>
        <v>834045000</v>
      </c>
      <c r="CQ100" s="35">
        <f>VLOOKUP(CurrentMtgRatesDataTable871112131417[[#This Row],[asofdate]],CG:CH,2,0)</f>
        <v>11968693481.92</v>
      </c>
    </row>
    <row r="101" spans="1:95" s="8" customFormat="1" ht="12.75">
      <c r="A101" s="7" t="s">
        <v>130</v>
      </c>
      <c r="B101" s="10">
        <v>1.24223115520012E-2</v>
      </c>
      <c r="C101" s="10" t="str">
        <f>YEAR(CurrentMtgRatesDataTable8[[#This Row],[asofdate]])&amp;"-"&amp;MONTH(CurrentMtgRatesDataTable8[[#This Row],[asofdate]])</f>
        <v>2011-5</v>
      </c>
      <c r="D101" s="6">
        <f>((CurrentMtgRatesDataTable8[[#This Row],[SeriesNumValue]]-$D$1)/$D$1+1)*100</f>
        <v>82.815410346674668</v>
      </c>
      <c r="E101" s="6"/>
      <c r="G101" s="7" t="s">
        <v>130</v>
      </c>
      <c r="H101" s="10">
        <v>77.980484209041606</v>
      </c>
      <c r="I101" s="26">
        <f>VLOOKUP(CurrentMtgRatesDataTable82[[#This Row],[asofdate]],K:L,2,0)</f>
        <v>0.12673005781397301</v>
      </c>
      <c r="K101" s="7" t="s">
        <v>130</v>
      </c>
      <c r="L101" s="29">
        <v>0.12673005781397301</v>
      </c>
      <c r="O101" s="7" t="s">
        <v>130</v>
      </c>
      <c r="P101" s="10">
        <v>34.674706461181003</v>
      </c>
      <c r="Q101" s="29">
        <f>VLOOKUP(CurrentMtgRatesDataTable84[[#This Row],[asofdate]],S:T,2,0)</f>
        <v>0.32153280838498299</v>
      </c>
      <c r="S101" s="7" t="s">
        <v>130</v>
      </c>
      <c r="T101" s="10">
        <v>0.32153280838498299</v>
      </c>
      <c r="W101" s="7" t="s">
        <v>130</v>
      </c>
      <c r="X101" s="10">
        <v>759.97563365075803</v>
      </c>
      <c r="Y101" s="26">
        <f>VLOOKUP(CurrentMtgRatesDataTable86[[#This Row],[asofdate]],AA:AB,2,0)</f>
        <v>9.1087970583949199E-2</v>
      </c>
      <c r="AA101" s="7" t="s">
        <v>130</v>
      </c>
      <c r="AB101" s="10">
        <v>9.1087970583949199E-2</v>
      </c>
      <c r="AE101" s="7" t="s">
        <v>84</v>
      </c>
      <c r="AF101" s="10">
        <v>1.9929199041702501E-2</v>
      </c>
      <c r="AG101" s="10" t="str">
        <f>YEAR(CurrentMtgRatesDataTable89[[#This Row],[asofdate]])&amp;"-"&amp;MONTH(CurrentMtgRatesDataTable89[[#This Row],[asofdate]])</f>
        <v>2007-7</v>
      </c>
      <c r="AH101" s="6">
        <f>((CurrentMtgRatesDataTable89[[#This Row],[SeriesNumValue]]-$D$1)/$D$1+1)*100</f>
        <v>132.86132694468336</v>
      </c>
      <c r="AI101" s="6">
        <f>CurrentMtgRatesDataTable89[[#This Row],[Index]]-AH102</f>
        <v>-4.9538617214599867</v>
      </c>
      <c r="AJ101" s="6">
        <f>VLOOKUP(CurrentMtgRatesDataTable89[[#This Row],[asofdate]],G:H,2,0)</f>
        <v>82.389980586884107</v>
      </c>
      <c r="AK101" s="6">
        <f>VLOOKUP(CurrentMtgRatesDataTable89[[#This Row],[asofdate]],K:L,2,0)</f>
        <v>0.307488257472122</v>
      </c>
      <c r="AL101" s="6">
        <f>VLOOKUP(CurrentMtgRatesDataTable89[[#This Row],[asofdate]],O:P,2,0)</f>
        <v>38.351984649126003</v>
      </c>
      <c r="AM101" s="6">
        <f>VLOOKUP(CurrentMtgRatesDataTable89[[#This Row],[asofdate]],S:T,2,0)</f>
        <v>0.300185432523705</v>
      </c>
      <c r="AN101" s="6">
        <f>VLOOKUP(CurrentMtgRatesDataTable89[[#This Row],[asofdate]],W:X,2,0)</f>
        <v>724.46402286812599</v>
      </c>
      <c r="AO101" s="6">
        <f>VLOOKUP(CurrentMtgRatesDataTable89[[#This Row],[asofdate]],AA:AB,2,0)</f>
        <v>0.32994785298319101</v>
      </c>
      <c r="AR101" s="7" t="s">
        <v>130</v>
      </c>
      <c r="AS101" s="10">
        <v>4.7030864544221701E-2</v>
      </c>
      <c r="AT101" s="36">
        <f>((CurrentMtgRatesDataTable8711[[#This Row],[SeriesNumValue]]-$D$1)/$D$1+1)*100</f>
        <v>313.53909696147804</v>
      </c>
      <c r="AU101" s="36"/>
      <c r="AW101" s="7" t="s">
        <v>130</v>
      </c>
      <c r="AX101" s="10">
        <v>5.1291471977601498E-2</v>
      </c>
      <c r="AY101" s="36">
        <f>((CurrentMtgRatesDataTable871112[[#This Row],[SeriesNumValue]]-$D$1)/$D$1+1)*100</f>
        <v>341.94314651734334</v>
      </c>
      <c r="AZ101" s="36"/>
      <c r="BB101" s="7" t="s">
        <v>130</v>
      </c>
      <c r="BC101" s="10">
        <v>2.9504422857076301E-2</v>
      </c>
      <c r="BD101" s="39">
        <f>((CurrentMtgRatesDataTable87111213[[#This Row],[SeriesNumValue]]-$D$1)/$D$1+1)*100</f>
        <v>196.69615238050869</v>
      </c>
      <c r="BE101" s="39"/>
      <c r="BG101" s="7" t="s">
        <v>130</v>
      </c>
      <c r="BH101" s="10">
        <v>1.23644975040067E-2</v>
      </c>
      <c r="BI101" s="39">
        <f>((CurrentMtgRatesDataTable8711121314[[#This Row],[SeriesNumValue]]-$D$1)/$D$1+1)*100</f>
        <v>82.429983360044673</v>
      </c>
      <c r="BJ101" s="39" t="str">
        <f>YEAR(CurrentMtgRatesDataTable8711121314[[#This Row],[asofdate]])&amp;"-"&amp;MONTH(CurrentMtgRatesDataTable8711121314[[#This Row],[asofdate]])</f>
        <v>2011-5</v>
      </c>
      <c r="BK101" s="39">
        <f>CurrentMtgRatesDataTable8711121314[[#This Row],[SeriesNumValue]]</f>
        <v>1.23644975040067E-2</v>
      </c>
      <c r="BL101" s="39">
        <f>VLOOKUP(CurrentMtgRatesDataTable8711121314[[#This Row],[asofdate]],AR:AT,2,0)</f>
        <v>4.7030864544221701E-2</v>
      </c>
      <c r="BM101" s="35">
        <f>IF(VLOOKUP(CurrentMtgRatesDataTable8711121314[[#This Row],[asofdate]],AW:AY,2,0)&lt;&gt;0,VLOOKUP(CurrentMtgRatesDataTable8711121314[[#This Row],[asofdate]],AW:AY,2,0),BM100)</f>
        <v>5.1291471977601498E-2</v>
      </c>
      <c r="BN101" s="35">
        <f>VLOOKUP(CurrentMtgRatesDataTable8711121314[[#This Row],[asofdate]],BB:BD,2,0)</f>
        <v>2.9504422857076301E-2</v>
      </c>
      <c r="BO101" s="35">
        <f>CurrentMtgRatesDataTable8711121314[[#This Row],[FHA]]+0.5*CurrentMtgRatesDataTable8711121314[[#This Row],[Conventional]]</f>
        <v>5.3213113296225051E-2</v>
      </c>
      <c r="BP101" s="35">
        <f>2*CurrentMtgRatesDataTable8711121314[[#This Row],[FHA]]</f>
        <v>9.4061729088443402E-2</v>
      </c>
      <c r="BQ101" s="11">
        <f>VLOOKUP(YEAR(CurrentMtgRatesDataTable8711121314[[#This Row],[asofdate]]),OriginationVolume!$A:$N,8,FALSE)</f>
        <v>0.66643598615916955</v>
      </c>
      <c r="BR101" s="11">
        <f>VLOOKUP(YEAR(CurrentMtgRatesDataTable8711121314[[#This Row],[asofdate]]),OriginationVolume!$A:$N,9,FALSE)</f>
        <v>5.0865051903114189E-2</v>
      </c>
      <c r="BS101" s="11">
        <f>VLOOKUP(YEAR(CurrentMtgRatesDataTable8711121314[[#This Row],[asofdate]]),OriginationVolume!$A:$N,10,FALSE)</f>
        <v>0.15259515570934257</v>
      </c>
      <c r="BT101" s="11">
        <f>VLOOKUP(YEAR(CurrentMtgRatesDataTable8711121314[[#This Row],[asofdate]]),OriginationVolume!$A:$N,11,FALSE)</f>
        <v>0.11764705882352941</v>
      </c>
      <c r="BU101" s="11">
        <f>VLOOKUP(YEAR(CurrentMtgRatesDataTable8711121314[[#This Row],[asofdate]]),OriginationVolume!$A:$N,12,FALSE)</f>
        <v>9.688581314878892E-3</v>
      </c>
      <c r="BV101" s="11">
        <f>VLOOKUP(YEAR(CurrentMtgRatesDataTable8711121314[[#This Row],[asofdate]]),OriginationVolume!$A:$N,13,FALSE)</f>
        <v>2.7681660899653978E-3</v>
      </c>
      <c r="BW101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2.0256356399235374E-2</v>
      </c>
      <c r="BY101" s="7" t="s">
        <v>130</v>
      </c>
      <c r="BZ101" s="10">
        <v>6264608000</v>
      </c>
      <c r="CA101" s="36"/>
      <c r="CC101" s="7" t="s">
        <v>130</v>
      </c>
      <c r="CD101" s="10">
        <v>1068440000</v>
      </c>
      <c r="CE101" s="36"/>
      <c r="CG101" s="7" t="s">
        <v>130</v>
      </c>
      <c r="CH101" s="10">
        <v>16128105234.540001</v>
      </c>
      <c r="CI101" s="39"/>
      <c r="CK101" s="7" t="s">
        <v>130</v>
      </c>
      <c r="CL101" s="10">
        <v>8795057234.5400009</v>
      </c>
      <c r="CM101" s="39" t="str">
        <f>YEAR(CurrentMtgRatesDataTable871112131417[[#This Row],[asofdate]])&amp;"-"&amp;MONTH(CurrentMtgRatesDataTable871112131417[[#This Row],[asofdate]])</f>
        <v>2011-5</v>
      </c>
      <c r="CN101" s="39">
        <f>CurrentMtgRatesDataTable871112131417[[#This Row],[SeriesNumValue]]</f>
        <v>8795057234.5400009</v>
      </c>
      <c r="CO101" s="39">
        <f>VLOOKUP(CurrentMtgRatesDataTable871112131417[[#This Row],[asofdate]],BY:BZ,2,0)</f>
        <v>6264608000</v>
      </c>
      <c r="CP101" s="35">
        <f>IF(VLOOKUP(CurrentMtgRatesDataTable871112131417[[#This Row],[asofdate]],CC:CD,2,0)&lt;&gt;0,VLOOKUP(CurrentMtgRatesDataTable871112131417[[#This Row],[asofdate]],CC:CD,2,0),CP100)</f>
        <v>1068440000</v>
      </c>
      <c r="CQ101" s="35">
        <f>VLOOKUP(CurrentMtgRatesDataTable871112131417[[#This Row],[asofdate]],CG:CH,2,0)</f>
        <v>16128105234.540001</v>
      </c>
    </row>
    <row r="102" spans="1:95" s="8" customFormat="1" ht="12.75">
      <c r="A102" s="7" t="s">
        <v>131</v>
      </c>
      <c r="B102" s="10">
        <v>1.28257852491206E-2</v>
      </c>
      <c r="C102" s="10" t="str">
        <f>YEAR(CurrentMtgRatesDataTable8[[#This Row],[asofdate]])&amp;"-"&amp;MONTH(CurrentMtgRatesDataTable8[[#This Row],[asofdate]])</f>
        <v>2011-6</v>
      </c>
      <c r="D102" s="6">
        <f>((CurrentMtgRatesDataTable8[[#This Row],[SeriesNumValue]]-$D$1)/$D$1+1)*100</f>
        <v>85.505234994137339</v>
      </c>
      <c r="E102" s="6"/>
      <c r="G102" s="7" t="s">
        <v>131</v>
      </c>
      <c r="H102" s="10">
        <v>78.409888883979804</v>
      </c>
      <c r="I102" s="26">
        <f>VLOOKUP(CurrentMtgRatesDataTable82[[#This Row],[asofdate]],K:L,2,0)</f>
        <v>0.142076177959504</v>
      </c>
      <c r="K102" s="7" t="s">
        <v>131</v>
      </c>
      <c r="L102" s="29">
        <v>0.142076177959504</v>
      </c>
      <c r="O102" s="7" t="s">
        <v>131</v>
      </c>
      <c r="P102" s="10">
        <v>34.2529465324873</v>
      </c>
      <c r="Q102" s="29">
        <f>VLOOKUP(CurrentMtgRatesDataTable84[[#This Row],[asofdate]],S:T,2,0)</f>
        <v>0.29771300873224599</v>
      </c>
      <c r="S102" s="7" t="s">
        <v>131</v>
      </c>
      <c r="T102" s="10">
        <v>0.29771300873224599</v>
      </c>
      <c r="W102" s="7" t="s">
        <v>131</v>
      </c>
      <c r="X102" s="10">
        <v>760.82408923551498</v>
      </c>
      <c r="Y102" s="26">
        <f>VLOOKUP(CurrentMtgRatesDataTable86[[#This Row],[asofdate]],AA:AB,2,0)</f>
        <v>8.6597855232636606E-2</v>
      </c>
      <c r="AA102" s="7" t="s">
        <v>131</v>
      </c>
      <c r="AB102" s="10">
        <v>8.6597855232636606E-2</v>
      </c>
      <c r="AE102" s="7" t="s">
        <v>83</v>
      </c>
      <c r="AF102" s="10">
        <v>2.06722782999215E-2</v>
      </c>
      <c r="AG102" s="10" t="str">
        <f>YEAR(CurrentMtgRatesDataTable89[[#This Row],[asofdate]])&amp;"-"&amp;MONTH(CurrentMtgRatesDataTable89[[#This Row],[asofdate]])</f>
        <v>2007-6</v>
      </c>
      <c r="AH102" s="6">
        <f>((CurrentMtgRatesDataTable89[[#This Row],[SeriesNumValue]]-$D$1)/$D$1+1)*100</f>
        <v>137.81518866614334</v>
      </c>
      <c r="AI102" s="6">
        <f>CurrentMtgRatesDataTable89[[#This Row],[Index]]-AH103</f>
        <v>2.582213788185328</v>
      </c>
      <c r="AJ102" s="6">
        <f>VLOOKUP(CurrentMtgRatesDataTable89[[#This Row],[asofdate]],G:H,2,0)</f>
        <v>81.638859040765198</v>
      </c>
      <c r="AK102" s="6">
        <f>VLOOKUP(CurrentMtgRatesDataTable89[[#This Row],[asofdate]],K:L,2,0)</f>
        <v>0.27467745596276899</v>
      </c>
      <c r="AL102" s="6">
        <f>VLOOKUP(CurrentMtgRatesDataTable89[[#This Row],[asofdate]],O:P,2,0)</f>
        <v>37.925888931269299</v>
      </c>
      <c r="AM102" s="6">
        <f>VLOOKUP(CurrentMtgRatesDataTable89[[#This Row],[asofdate]],S:T,2,0)</f>
        <v>0.29479740023241902</v>
      </c>
      <c r="AN102" s="6">
        <f>VLOOKUP(CurrentMtgRatesDataTable89[[#This Row],[asofdate]],W:X,2,0)</f>
        <v>726.03849192935195</v>
      </c>
      <c r="AO102" s="6">
        <f>VLOOKUP(CurrentMtgRatesDataTable89[[#This Row],[asofdate]],AA:AB,2,0)</f>
        <v>0.31736070193891203</v>
      </c>
      <c r="AR102" s="7" t="s">
        <v>131</v>
      </c>
      <c r="AS102" s="10">
        <v>4.7169554670103801E-2</v>
      </c>
      <c r="AT102" s="36">
        <f>((CurrentMtgRatesDataTable8711[[#This Row],[SeriesNumValue]]-$D$1)/$D$1+1)*100</f>
        <v>314.46369780069199</v>
      </c>
      <c r="AU102" s="36"/>
      <c r="AW102" s="7" t="s">
        <v>131</v>
      </c>
      <c r="AX102" s="10">
        <v>5.1146663651552397E-2</v>
      </c>
      <c r="AY102" s="36">
        <f>((CurrentMtgRatesDataTable871112[[#This Row],[SeriesNumValue]]-$D$1)/$D$1+1)*100</f>
        <v>340.97775767701603</v>
      </c>
      <c r="AZ102" s="36"/>
      <c r="BB102" s="7" t="s">
        <v>131</v>
      </c>
      <c r="BC102" s="10">
        <v>2.9783633659662301E-2</v>
      </c>
      <c r="BD102" s="39">
        <f>((CurrentMtgRatesDataTable87111213[[#This Row],[SeriesNumValue]]-$D$1)/$D$1+1)*100</f>
        <v>198.557557731082</v>
      </c>
      <c r="BE102" s="39"/>
      <c r="BG102" s="7" t="s">
        <v>131</v>
      </c>
      <c r="BH102" s="10">
        <v>1.22665245776873E-2</v>
      </c>
      <c r="BI102" s="39">
        <f>((CurrentMtgRatesDataTable8711121314[[#This Row],[SeriesNumValue]]-$D$1)/$D$1+1)*100</f>
        <v>81.776830517915329</v>
      </c>
      <c r="BJ102" s="39" t="str">
        <f>YEAR(CurrentMtgRatesDataTable8711121314[[#This Row],[asofdate]])&amp;"-"&amp;MONTH(CurrentMtgRatesDataTable8711121314[[#This Row],[asofdate]])</f>
        <v>2011-6</v>
      </c>
      <c r="BK102" s="39">
        <f>CurrentMtgRatesDataTable8711121314[[#This Row],[SeriesNumValue]]</f>
        <v>1.22665245776873E-2</v>
      </c>
      <c r="BL102" s="39">
        <f>VLOOKUP(CurrentMtgRatesDataTable8711121314[[#This Row],[asofdate]],AR:AT,2,0)</f>
        <v>4.7169554670103801E-2</v>
      </c>
      <c r="BM102" s="35">
        <f>IF(VLOOKUP(CurrentMtgRatesDataTable8711121314[[#This Row],[asofdate]],AW:AY,2,0)&lt;&gt;0,VLOOKUP(CurrentMtgRatesDataTable8711121314[[#This Row],[asofdate]],AW:AY,2,0),BM101)</f>
        <v>5.1146663651552397E-2</v>
      </c>
      <c r="BN102" s="35">
        <f>VLOOKUP(CurrentMtgRatesDataTable8711121314[[#This Row],[asofdate]],BB:BD,2,0)</f>
        <v>2.9783633659662301E-2</v>
      </c>
      <c r="BO102" s="35">
        <f>CurrentMtgRatesDataTable8711121314[[#This Row],[FHA]]+0.5*CurrentMtgRatesDataTable8711121314[[#This Row],[Conventional]]</f>
        <v>5.3302816958947452E-2</v>
      </c>
      <c r="BP102" s="35">
        <f>2*CurrentMtgRatesDataTable8711121314[[#This Row],[FHA]]</f>
        <v>9.4339109340207603E-2</v>
      </c>
      <c r="BQ102" s="11">
        <f>VLOOKUP(YEAR(CurrentMtgRatesDataTable8711121314[[#This Row],[asofdate]]),OriginationVolume!$A:$N,8,FALSE)</f>
        <v>0.66643598615916955</v>
      </c>
      <c r="BR102" s="11">
        <f>VLOOKUP(YEAR(CurrentMtgRatesDataTable8711121314[[#This Row],[asofdate]]),OriginationVolume!$A:$N,9,FALSE)</f>
        <v>5.0865051903114189E-2</v>
      </c>
      <c r="BS102" s="11">
        <f>VLOOKUP(YEAR(CurrentMtgRatesDataTable8711121314[[#This Row],[asofdate]]),OriginationVolume!$A:$N,10,FALSE)</f>
        <v>0.15259515570934257</v>
      </c>
      <c r="BT102" s="11">
        <f>VLOOKUP(YEAR(CurrentMtgRatesDataTable8711121314[[#This Row],[asofdate]]),OriginationVolume!$A:$N,11,FALSE)</f>
        <v>0.11764705882352941</v>
      </c>
      <c r="BU102" s="11">
        <f>VLOOKUP(YEAR(CurrentMtgRatesDataTable8711121314[[#This Row],[asofdate]]),OriginationVolume!$A:$N,12,FALSE)</f>
        <v>9.688581314878892E-3</v>
      </c>
      <c r="BV102" s="11">
        <f>VLOOKUP(YEAR(CurrentMtgRatesDataTable8711121314[[#This Row],[asofdate]]),OriginationVolume!$A:$N,13,FALSE)</f>
        <v>2.7681660899653978E-3</v>
      </c>
      <c r="BW102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2.0194972183012312E-2</v>
      </c>
      <c r="BY102" s="7" t="s">
        <v>131</v>
      </c>
      <c r="BZ102" s="10">
        <v>6733364000</v>
      </c>
      <c r="CA102" s="36"/>
      <c r="CC102" s="7" t="s">
        <v>131</v>
      </c>
      <c r="CD102" s="10">
        <v>1178013000</v>
      </c>
      <c r="CE102" s="36"/>
      <c r="CG102" s="7" t="s">
        <v>131</v>
      </c>
      <c r="CH102" s="10">
        <v>17029511603.32</v>
      </c>
      <c r="CI102" s="39"/>
      <c r="CK102" s="7" t="s">
        <v>131</v>
      </c>
      <c r="CL102" s="10">
        <v>9118134603.3199997</v>
      </c>
      <c r="CM102" s="39" t="str">
        <f>YEAR(CurrentMtgRatesDataTable871112131417[[#This Row],[asofdate]])&amp;"-"&amp;MONTH(CurrentMtgRatesDataTable871112131417[[#This Row],[asofdate]])</f>
        <v>2011-6</v>
      </c>
      <c r="CN102" s="39">
        <f>CurrentMtgRatesDataTable871112131417[[#This Row],[SeriesNumValue]]</f>
        <v>9118134603.3199997</v>
      </c>
      <c r="CO102" s="39">
        <f>VLOOKUP(CurrentMtgRatesDataTable871112131417[[#This Row],[asofdate]],BY:BZ,2,0)</f>
        <v>6733364000</v>
      </c>
      <c r="CP102" s="35">
        <f>IF(VLOOKUP(CurrentMtgRatesDataTable871112131417[[#This Row],[asofdate]],CC:CD,2,0)&lt;&gt;0,VLOOKUP(CurrentMtgRatesDataTable871112131417[[#This Row],[asofdate]],CC:CD,2,0),CP101)</f>
        <v>1178013000</v>
      </c>
      <c r="CQ102" s="35">
        <f>VLOOKUP(CurrentMtgRatesDataTable871112131417[[#This Row],[asofdate]],CG:CH,2,0)</f>
        <v>17029511603.32</v>
      </c>
    </row>
    <row r="103" spans="1:95" s="8" customFormat="1" ht="12.75">
      <c r="A103" s="7" t="s">
        <v>132</v>
      </c>
      <c r="B103" s="10">
        <v>1.39403259481931E-2</v>
      </c>
      <c r="C103" s="10" t="str">
        <f>YEAR(CurrentMtgRatesDataTable8[[#This Row],[asofdate]])&amp;"-"&amp;MONTH(CurrentMtgRatesDataTable8[[#This Row],[asofdate]])</f>
        <v>2011-7</v>
      </c>
      <c r="D103" s="6">
        <f>((CurrentMtgRatesDataTable8[[#This Row],[SeriesNumValue]]-$D$1)/$D$1+1)*100</f>
        <v>92.935506321287349</v>
      </c>
      <c r="E103" s="6"/>
      <c r="G103" s="7" t="s">
        <v>132</v>
      </c>
      <c r="H103" s="10">
        <v>79.088148482736102</v>
      </c>
      <c r="I103" s="26">
        <f>VLOOKUP(CurrentMtgRatesDataTable82[[#This Row],[asofdate]],K:L,2,0)</f>
        <v>0.16308984472221</v>
      </c>
      <c r="K103" s="7" t="s">
        <v>132</v>
      </c>
      <c r="L103" s="29">
        <v>0.16308984472221</v>
      </c>
      <c r="O103" s="7" t="s">
        <v>132</v>
      </c>
      <c r="P103" s="10">
        <v>34.046479304029901</v>
      </c>
      <c r="Q103" s="29">
        <f>VLOOKUP(CurrentMtgRatesDataTable84[[#This Row],[asofdate]],S:T,2,0)</f>
        <v>0.28753119304577202</v>
      </c>
      <c r="S103" s="7" t="s">
        <v>132</v>
      </c>
      <c r="T103" s="10">
        <v>0.28753119304577202</v>
      </c>
      <c r="W103" s="7" t="s">
        <v>132</v>
      </c>
      <c r="X103" s="10">
        <v>760.10467062830696</v>
      </c>
      <c r="Y103" s="26">
        <f>VLOOKUP(CurrentMtgRatesDataTable86[[#This Row],[asofdate]],AA:AB,2,0)</f>
        <v>9.1379326760530996E-2</v>
      </c>
      <c r="AA103" s="7" t="s">
        <v>132</v>
      </c>
      <c r="AB103" s="10">
        <v>9.1379326760530996E-2</v>
      </c>
      <c r="AE103" s="7" t="s">
        <v>82</v>
      </c>
      <c r="AF103" s="10">
        <v>2.0284946231693701E-2</v>
      </c>
      <c r="AG103" s="10" t="str">
        <f>YEAR(CurrentMtgRatesDataTable89[[#This Row],[asofdate]])&amp;"-"&amp;MONTH(CurrentMtgRatesDataTable89[[#This Row],[asofdate]])</f>
        <v>2007-5</v>
      </c>
      <c r="AH103" s="6">
        <f>((CurrentMtgRatesDataTable89[[#This Row],[SeriesNumValue]]-$D$1)/$D$1+1)*100</f>
        <v>135.23297487795801</v>
      </c>
      <c r="AI103" s="6">
        <f>CurrentMtgRatesDataTable89[[#This Row],[Index]]-AH104</f>
        <v>3.0647218881340166</v>
      </c>
      <c r="AJ103" s="6">
        <f>VLOOKUP(CurrentMtgRatesDataTable89[[#This Row],[asofdate]],G:H,2,0)</f>
        <v>81.029584931334</v>
      </c>
      <c r="AK103" s="6">
        <f>VLOOKUP(CurrentMtgRatesDataTable89[[#This Row],[asofdate]],K:L,2,0)</f>
        <v>0.25075487270087099</v>
      </c>
      <c r="AL103" s="6">
        <f>VLOOKUP(CurrentMtgRatesDataTable89[[#This Row],[asofdate]],O:P,2,0)</f>
        <v>37.941075227250401</v>
      </c>
      <c r="AM103" s="6">
        <f>VLOOKUP(CurrentMtgRatesDataTable89[[#This Row],[asofdate]],S:T,2,0)</f>
        <v>0.29044045878201202</v>
      </c>
      <c r="AN103" s="6">
        <f>VLOOKUP(CurrentMtgRatesDataTable89[[#This Row],[asofdate]],W:X,2,0)</f>
        <v>726.66837558813302</v>
      </c>
      <c r="AO103" s="6">
        <f>VLOOKUP(CurrentMtgRatesDataTable89[[#This Row],[asofdate]],AA:AB,2,0)</f>
        <v>0.31243119456729701</v>
      </c>
      <c r="AR103" s="7" t="s">
        <v>132</v>
      </c>
      <c r="AS103" s="10">
        <v>5.01318953503316E-2</v>
      </c>
      <c r="AT103" s="36">
        <f>((CurrentMtgRatesDataTable8711[[#This Row],[SeriesNumValue]]-$D$1)/$D$1+1)*100</f>
        <v>334.21263566887734</v>
      </c>
      <c r="AU103" s="36"/>
      <c r="AW103" s="7" t="s">
        <v>132</v>
      </c>
      <c r="AX103" s="10">
        <v>5.2659002166967103E-2</v>
      </c>
      <c r="AY103" s="36">
        <f>((CurrentMtgRatesDataTable871112[[#This Row],[SeriesNumValue]]-$D$1)/$D$1+1)*100</f>
        <v>351.06001444644738</v>
      </c>
      <c r="AZ103" s="36"/>
      <c r="BB103" s="7" t="s">
        <v>132</v>
      </c>
      <c r="BC103" s="10">
        <v>3.1748377147821999E-2</v>
      </c>
      <c r="BD103" s="39">
        <f>((CurrentMtgRatesDataTable87111213[[#This Row],[SeriesNumValue]]-$D$1)/$D$1+1)*100</f>
        <v>211.65584765214666</v>
      </c>
      <c r="BE103" s="39"/>
      <c r="BG103" s="7" t="s">
        <v>132</v>
      </c>
      <c r="BH103" s="10">
        <v>1.3548661533222499E-2</v>
      </c>
      <c r="BI103" s="39">
        <f>((CurrentMtgRatesDataTable8711121314[[#This Row],[SeriesNumValue]]-$D$1)/$D$1+1)*100</f>
        <v>90.324410221483333</v>
      </c>
      <c r="BJ103" s="39" t="str">
        <f>YEAR(CurrentMtgRatesDataTable8711121314[[#This Row],[asofdate]])&amp;"-"&amp;MONTH(CurrentMtgRatesDataTable8711121314[[#This Row],[asofdate]])</f>
        <v>2011-7</v>
      </c>
      <c r="BK103" s="39">
        <f>CurrentMtgRatesDataTable8711121314[[#This Row],[SeriesNumValue]]</f>
        <v>1.3548661533222499E-2</v>
      </c>
      <c r="BL103" s="39">
        <f>VLOOKUP(CurrentMtgRatesDataTable8711121314[[#This Row],[asofdate]],AR:AT,2,0)</f>
        <v>5.01318953503316E-2</v>
      </c>
      <c r="BM103" s="35">
        <f>IF(VLOOKUP(CurrentMtgRatesDataTable8711121314[[#This Row],[asofdate]],AW:AY,2,0)&lt;&gt;0,VLOOKUP(CurrentMtgRatesDataTable8711121314[[#This Row],[asofdate]],AW:AY,2,0),BM102)</f>
        <v>5.2659002166967103E-2</v>
      </c>
      <c r="BN103" s="35">
        <f>VLOOKUP(CurrentMtgRatesDataTable8711121314[[#This Row],[asofdate]],BB:BD,2,0)</f>
        <v>3.1748377147821999E-2</v>
      </c>
      <c r="BO103" s="35">
        <f>CurrentMtgRatesDataTable8711121314[[#This Row],[FHA]]+0.5*CurrentMtgRatesDataTable8711121314[[#This Row],[Conventional]]</f>
        <v>5.6906226116942848E-2</v>
      </c>
      <c r="BP103" s="35">
        <f>2*CurrentMtgRatesDataTable8711121314[[#This Row],[FHA]]</f>
        <v>0.1002637907006632</v>
      </c>
      <c r="BQ103" s="11">
        <f>VLOOKUP(YEAR(CurrentMtgRatesDataTable8711121314[[#This Row],[asofdate]]),OriginationVolume!$A:$N,8,FALSE)</f>
        <v>0.66643598615916955</v>
      </c>
      <c r="BR103" s="11">
        <f>VLOOKUP(YEAR(CurrentMtgRatesDataTable8711121314[[#This Row],[asofdate]]),OriginationVolume!$A:$N,9,FALSE)</f>
        <v>5.0865051903114189E-2</v>
      </c>
      <c r="BS103" s="11">
        <f>VLOOKUP(YEAR(CurrentMtgRatesDataTable8711121314[[#This Row],[asofdate]]),OriginationVolume!$A:$N,10,FALSE)</f>
        <v>0.15259515570934257</v>
      </c>
      <c r="BT103" s="11">
        <f>VLOOKUP(YEAR(CurrentMtgRatesDataTable8711121314[[#This Row],[asofdate]]),OriginationVolume!$A:$N,11,FALSE)</f>
        <v>0.11764705882352941</v>
      </c>
      <c r="BU103" s="11">
        <f>VLOOKUP(YEAR(CurrentMtgRatesDataTable8711121314[[#This Row],[asofdate]]),OriginationVolume!$A:$N,12,FALSE)</f>
        <v>9.688581314878892E-3</v>
      </c>
      <c r="BV103" s="11">
        <f>VLOOKUP(YEAR(CurrentMtgRatesDataTable8711121314[[#This Row],[asofdate]]),OriginationVolume!$A:$N,13,FALSE)</f>
        <v>2.7681660899653978E-3</v>
      </c>
      <c r="BW103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2.1780550470312209E-2</v>
      </c>
      <c r="BY103" s="7" t="s">
        <v>132</v>
      </c>
      <c r="BZ103" s="10">
        <v>7397565000</v>
      </c>
      <c r="CA103" s="36"/>
      <c r="CC103" s="7" t="s">
        <v>132</v>
      </c>
      <c r="CD103" s="10">
        <v>1403411000</v>
      </c>
      <c r="CE103" s="36"/>
      <c r="CG103" s="7" t="s">
        <v>132</v>
      </c>
      <c r="CH103" s="10">
        <v>19200996692.759998</v>
      </c>
      <c r="CI103" s="39"/>
      <c r="CK103" s="7" t="s">
        <v>132</v>
      </c>
      <c r="CL103" s="10">
        <v>10400020692.76</v>
      </c>
      <c r="CM103" s="39" t="str">
        <f>YEAR(CurrentMtgRatesDataTable871112131417[[#This Row],[asofdate]])&amp;"-"&amp;MONTH(CurrentMtgRatesDataTable871112131417[[#This Row],[asofdate]])</f>
        <v>2011-7</v>
      </c>
      <c r="CN103" s="39">
        <f>CurrentMtgRatesDataTable871112131417[[#This Row],[SeriesNumValue]]</f>
        <v>10400020692.76</v>
      </c>
      <c r="CO103" s="39">
        <f>VLOOKUP(CurrentMtgRatesDataTable871112131417[[#This Row],[asofdate]],BY:BZ,2,0)</f>
        <v>7397565000</v>
      </c>
      <c r="CP103" s="35">
        <f>IF(VLOOKUP(CurrentMtgRatesDataTable871112131417[[#This Row],[asofdate]],CC:CD,2,0)&lt;&gt;0,VLOOKUP(CurrentMtgRatesDataTable871112131417[[#This Row],[asofdate]],CC:CD,2,0),CP102)</f>
        <v>1403411000</v>
      </c>
      <c r="CQ103" s="35">
        <f>VLOOKUP(CurrentMtgRatesDataTable871112131417[[#This Row],[asofdate]],CG:CH,2,0)</f>
        <v>19200996692.759998</v>
      </c>
    </row>
    <row r="104" spans="1:95" s="8" customFormat="1" ht="12.75">
      <c r="A104" s="7" t="s">
        <v>133</v>
      </c>
      <c r="B104" s="10">
        <v>1.34411536056156E-2</v>
      </c>
      <c r="C104" s="10" t="str">
        <f>YEAR(CurrentMtgRatesDataTable8[[#This Row],[asofdate]])&amp;"-"&amp;MONTH(CurrentMtgRatesDataTable8[[#This Row],[asofdate]])</f>
        <v>2011-8</v>
      </c>
      <c r="D104" s="6">
        <f>((CurrentMtgRatesDataTable8[[#This Row],[SeriesNumValue]]-$D$1)/$D$1+1)*100</f>
        <v>89.607690704104002</v>
      </c>
      <c r="E104" s="6"/>
      <c r="G104" s="7" t="s">
        <v>133</v>
      </c>
      <c r="H104" s="10">
        <v>79.406161699896799</v>
      </c>
      <c r="I104" s="26">
        <f>VLOOKUP(CurrentMtgRatesDataTable82[[#This Row],[asofdate]],K:L,2,0)</f>
        <v>0.17186683030413899</v>
      </c>
      <c r="K104" s="7" t="s">
        <v>133</v>
      </c>
      <c r="L104" s="29">
        <v>0.17186683030413899</v>
      </c>
      <c r="O104" s="7" t="s">
        <v>133</v>
      </c>
      <c r="P104" s="10">
        <v>33.865990712292998</v>
      </c>
      <c r="Q104" s="29">
        <f>VLOOKUP(CurrentMtgRatesDataTable84[[#This Row],[asofdate]],S:T,2,0)</f>
        <v>0.27877098117541399</v>
      </c>
      <c r="S104" s="7" t="s">
        <v>133</v>
      </c>
      <c r="T104" s="10">
        <v>0.27877098117541399</v>
      </c>
      <c r="W104" s="7" t="s">
        <v>133</v>
      </c>
      <c r="X104" s="10">
        <v>760.114475926419</v>
      </c>
      <c r="Y104" s="26">
        <f>VLOOKUP(CurrentMtgRatesDataTable86[[#This Row],[asofdate]],AA:AB,2,0)</f>
        <v>9.1570324856227001E-2</v>
      </c>
      <c r="AA104" s="7" t="s">
        <v>133</v>
      </c>
      <c r="AB104" s="10">
        <v>9.1570324856227001E-2</v>
      </c>
      <c r="AE104" s="7" t="s">
        <v>81</v>
      </c>
      <c r="AF104" s="10">
        <v>1.9825237948473601E-2</v>
      </c>
      <c r="AG104" s="10" t="str">
        <f>YEAR(CurrentMtgRatesDataTable89[[#This Row],[asofdate]])&amp;"-"&amp;MONTH(CurrentMtgRatesDataTable89[[#This Row],[asofdate]])</f>
        <v>2007-4</v>
      </c>
      <c r="AH104" s="6">
        <f>((CurrentMtgRatesDataTable89[[#This Row],[SeriesNumValue]]-$D$1)/$D$1+1)*100</f>
        <v>132.168252989824</v>
      </c>
      <c r="AI104" s="6">
        <f>CurrentMtgRatesDataTable89[[#This Row],[Index]]-AH105</f>
        <v>10.989575304721996</v>
      </c>
      <c r="AJ104" s="6">
        <f>VLOOKUP(CurrentMtgRatesDataTable89[[#This Row],[asofdate]],G:H,2,0)</f>
        <v>80.627500828568799</v>
      </c>
      <c r="AK104" s="6">
        <f>VLOOKUP(CurrentMtgRatesDataTable89[[#This Row],[asofdate]],K:L,2,0)</f>
        <v>0.23336175068755199</v>
      </c>
      <c r="AL104" s="6">
        <f>VLOOKUP(CurrentMtgRatesDataTable89[[#This Row],[asofdate]],O:P,2,0)</f>
        <v>37.946752928057499</v>
      </c>
      <c r="AM104" s="6">
        <f>VLOOKUP(CurrentMtgRatesDataTable89[[#This Row],[asofdate]],S:T,2,0)</f>
        <v>0.27418324865767502</v>
      </c>
      <c r="AN104" s="6">
        <f>VLOOKUP(CurrentMtgRatesDataTable89[[#This Row],[asofdate]],W:X,2,0)</f>
        <v>728.07226394657005</v>
      </c>
      <c r="AO104" s="6">
        <f>VLOOKUP(CurrentMtgRatesDataTable89[[#This Row],[asofdate]],AA:AB,2,0)</f>
        <v>0.30117036754250298</v>
      </c>
      <c r="AR104" s="7" t="s">
        <v>133</v>
      </c>
      <c r="AS104" s="10">
        <v>4.9767969979469202E-2</v>
      </c>
      <c r="AT104" s="36">
        <f>((CurrentMtgRatesDataTable8711[[#This Row],[SeriesNumValue]]-$D$1)/$D$1+1)*100</f>
        <v>331.78646652979472</v>
      </c>
      <c r="AU104" s="36"/>
      <c r="AW104" s="7" t="s">
        <v>133</v>
      </c>
      <c r="AX104" s="10">
        <v>5.0209840006234303E-2</v>
      </c>
      <c r="AY104" s="36">
        <f>((CurrentMtgRatesDataTable871112[[#This Row],[SeriesNumValue]]-$D$1)/$D$1+1)*100</f>
        <v>334.73226670822868</v>
      </c>
      <c r="AZ104" s="36"/>
      <c r="BB104" s="7" t="s">
        <v>133</v>
      </c>
      <c r="BC104" s="10">
        <v>3.0301931604928299E-2</v>
      </c>
      <c r="BD104" s="39">
        <f>((CurrentMtgRatesDataTable87111213[[#This Row],[SeriesNumValue]]-$D$1)/$D$1+1)*100</f>
        <v>202.01287736618866</v>
      </c>
      <c r="BE104" s="39"/>
      <c r="BG104" s="7" t="s">
        <v>133</v>
      </c>
      <c r="BH104" s="10">
        <v>1.35046347973401E-2</v>
      </c>
      <c r="BI104" s="39">
        <f>((CurrentMtgRatesDataTable8711121314[[#This Row],[SeriesNumValue]]-$D$1)/$D$1+1)*100</f>
        <v>90.030898648933999</v>
      </c>
      <c r="BJ104" s="39" t="str">
        <f>YEAR(CurrentMtgRatesDataTable8711121314[[#This Row],[asofdate]])&amp;"-"&amp;MONTH(CurrentMtgRatesDataTable8711121314[[#This Row],[asofdate]])</f>
        <v>2011-8</v>
      </c>
      <c r="BK104" s="39">
        <f>CurrentMtgRatesDataTable8711121314[[#This Row],[SeriesNumValue]]</f>
        <v>1.35046347973401E-2</v>
      </c>
      <c r="BL104" s="39">
        <f>VLOOKUP(CurrentMtgRatesDataTable8711121314[[#This Row],[asofdate]],AR:AT,2,0)</f>
        <v>4.9767969979469202E-2</v>
      </c>
      <c r="BM104" s="35">
        <f>IF(VLOOKUP(CurrentMtgRatesDataTable8711121314[[#This Row],[asofdate]],AW:AY,2,0)&lt;&gt;0,VLOOKUP(CurrentMtgRatesDataTable8711121314[[#This Row],[asofdate]],AW:AY,2,0),BM103)</f>
        <v>5.0209840006234303E-2</v>
      </c>
      <c r="BN104" s="35">
        <f>VLOOKUP(CurrentMtgRatesDataTable8711121314[[#This Row],[asofdate]],BB:BD,2,0)</f>
        <v>3.0301931604928299E-2</v>
      </c>
      <c r="BO104" s="35">
        <f>CurrentMtgRatesDataTable8711121314[[#This Row],[FHA]]+0.5*CurrentMtgRatesDataTable8711121314[[#This Row],[Conventional]]</f>
        <v>5.6520287378139251E-2</v>
      </c>
      <c r="BP104" s="35">
        <f>2*CurrentMtgRatesDataTable8711121314[[#This Row],[FHA]]</f>
        <v>9.9535939958938405E-2</v>
      </c>
      <c r="BQ104" s="11">
        <f>VLOOKUP(YEAR(CurrentMtgRatesDataTable8711121314[[#This Row],[asofdate]]),OriginationVolume!$A:$N,8,FALSE)</f>
        <v>0.66643598615916955</v>
      </c>
      <c r="BR104" s="11">
        <f>VLOOKUP(YEAR(CurrentMtgRatesDataTable8711121314[[#This Row],[asofdate]]),OriginationVolume!$A:$N,9,FALSE)</f>
        <v>5.0865051903114189E-2</v>
      </c>
      <c r="BS104" s="11">
        <f>VLOOKUP(YEAR(CurrentMtgRatesDataTable8711121314[[#This Row],[asofdate]]),OriginationVolume!$A:$N,10,FALSE)</f>
        <v>0.15259515570934257</v>
      </c>
      <c r="BT104" s="11">
        <f>VLOOKUP(YEAR(CurrentMtgRatesDataTable8711121314[[#This Row],[asofdate]]),OriginationVolume!$A:$N,11,FALSE)</f>
        <v>0.11764705882352941</v>
      </c>
      <c r="BU104" s="11">
        <f>VLOOKUP(YEAR(CurrentMtgRatesDataTable8711121314[[#This Row],[asofdate]]),OriginationVolume!$A:$N,12,FALSE)</f>
        <v>9.688581314878892E-3</v>
      </c>
      <c r="BV104" s="11">
        <f>VLOOKUP(YEAR(CurrentMtgRatesDataTable8711121314[[#This Row],[asofdate]]),OriginationVolume!$A:$N,13,FALSE)</f>
        <v>2.7681660899653978E-3</v>
      </c>
      <c r="BW104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2.1560165833527486E-2</v>
      </c>
      <c r="BY104" s="7" t="s">
        <v>133</v>
      </c>
      <c r="BZ104" s="10">
        <v>8156290000</v>
      </c>
      <c r="CA104" s="36"/>
      <c r="CC104" s="7" t="s">
        <v>133</v>
      </c>
      <c r="CD104" s="10">
        <v>1900169000</v>
      </c>
      <c r="CE104" s="36"/>
      <c r="CG104" s="7" t="s">
        <v>133</v>
      </c>
      <c r="CH104" s="10">
        <v>23478300195.93</v>
      </c>
      <c r="CI104" s="39"/>
      <c r="CK104" s="7" t="s">
        <v>133</v>
      </c>
      <c r="CL104" s="10">
        <v>13421841195.93</v>
      </c>
      <c r="CM104" s="39" t="str">
        <f>YEAR(CurrentMtgRatesDataTable871112131417[[#This Row],[asofdate]])&amp;"-"&amp;MONTH(CurrentMtgRatesDataTable871112131417[[#This Row],[asofdate]])</f>
        <v>2011-8</v>
      </c>
      <c r="CN104" s="39">
        <f>CurrentMtgRatesDataTable871112131417[[#This Row],[SeriesNumValue]]</f>
        <v>13421841195.93</v>
      </c>
      <c r="CO104" s="39">
        <f>VLOOKUP(CurrentMtgRatesDataTable871112131417[[#This Row],[asofdate]],BY:BZ,2,0)</f>
        <v>8156290000</v>
      </c>
      <c r="CP104" s="35">
        <f>IF(VLOOKUP(CurrentMtgRatesDataTable871112131417[[#This Row],[asofdate]],CC:CD,2,0)&lt;&gt;0,VLOOKUP(CurrentMtgRatesDataTable871112131417[[#This Row],[asofdate]],CC:CD,2,0),CP103)</f>
        <v>1900169000</v>
      </c>
      <c r="CQ104" s="35">
        <f>VLOOKUP(CurrentMtgRatesDataTable871112131417[[#This Row],[asofdate]],CG:CH,2,0)</f>
        <v>23478300195.93</v>
      </c>
    </row>
    <row r="105" spans="1:95" s="8" customFormat="1" ht="12.75">
      <c r="A105" s="7" t="s">
        <v>134</v>
      </c>
      <c r="B105" s="10">
        <v>1.4107184425189099E-2</v>
      </c>
      <c r="C105" s="10" t="str">
        <f>YEAR(CurrentMtgRatesDataTable8[[#This Row],[asofdate]])&amp;"-"&amp;MONTH(CurrentMtgRatesDataTable8[[#This Row],[asofdate]])</f>
        <v>2011-9</v>
      </c>
      <c r="D105" s="6">
        <f>((CurrentMtgRatesDataTable8[[#This Row],[SeriesNumValue]]-$D$1)/$D$1+1)*100</f>
        <v>94.047896167927334</v>
      </c>
      <c r="E105" s="6"/>
      <c r="G105" s="7" t="s">
        <v>134</v>
      </c>
      <c r="H105" s="10">
        <v>79.891482431871296</v>
      </c>
      <c r="I105" s="26">
        <f>VLOOKUP(CurrentMtgRatesDataTable82[[#This Row],[asofdate]],K:L,2,0)</f>
        <v>0.182786101755845</v>
      </c>
      <c r="K105" s="7" t="s">
        <v>134</v>
      </c>
      <c r="L105" s="29">
        <v>0.182786101755845</v>
      </c>
      <c r="O105" s="7" t="s">
        <v>134</v>
      </c>
      <c r="P105" s="10">
        <v>33.922965911430097</v>
      </c>
      <c r="Q105" s="29">
        <f>VLOOKUP(CurrentMtgRatesDataTable84[[#This Row],[asofdate]],S:T,2,0)</f>
        <v>0.28109165813664899</v>
      </c>
      <c r="S105" s="7" t="s">
        <v>134</v>
      </c>
      <c r="T105" s="10">
        <v>0.28109165813664899</v>
      </c>
      <c r="W105" s="7" t="s">
        <v>134</v>
      </c>
      <c r="X105" s="10">
        <v>759.69175189800796</v>
      </c>
      <c r="Y105" s="26">
        <f>VLOOKUP(CurrentMtgRatesDataTable86[[#This Row],[asofdate]],AA:AB,2,0)</f>
        <v>9.43825422999338E-2</v>
      </c>
      <c r="AA105" s="7" t="s">
        <v>134</v>
      </c>
      <c r="AB105" s="10">
        <v>9.43825422999338E-2</v>
      </c>
      <c r="AE105" s="7" t="s">
        <v>80</v>
      </c>
      <c r="AF105" s="10">
        <v>1.81768016527653E-2</v>
      </c>
      <c r="AG105" s="10" t="str">
        <f>YEAR(CurrentMtgRatesDataTable89[[#This Row],[asofdate]])&amp;"-"&amp;MONTH(CurrentMtgRatesDataTable89[[#This Row],[asofdate]])</f>
        <v>2007-3</v>
      </c>
      <c r="AH105" s="6">
        <f>((CurrentMtgRatesDataTable89[[#This Row],[SeriesNumValue]]-$D$1)/$D$1+1)*100</f>
        <v>121.178677685102</v>
      </c>
      <c r="AI105" s="6">
        <f>CurrentMtgRatesDataTable89[[#This Row],[Index]]-AH106</f>
        <v>2.735946589965323</v>
      </c>
      <c r="AJ105" s="6">
        <f>VLOOKUP(CurrentMtgRatesDataTable89[[#This Row],[asofdate]],G:H,2,0)</f>
        <v>80.020235794904707</v>
      </c>
      <c r="AK105" s="6">
        <f>VLOOKUP(CurrentMtgRatesDataTable89[[#This Row],[asofdate]],K:L,2,0)</f>
        <v>0.21711470398919</v>
      </c>
      <c r="AL105" s="6">
        <f>VLOOKUP(CurrentMtgRatesDataTable89[[#This Row],[asofdate]],O:P,2,0)</f>
        <v>37.728098878721802</v>
      </c>
      <c r="AM105" s="6">
        <f>VLOOKUP(CurrentMtgRatesDataTable89[[#This Row],[asofdate]],S:T,2,0)</f>
        <v>0.28268064836849399</v>
      </c>
      <c r="AN105" s="6">
        <f>VLOOKUP(CurrentMtgRatesDataTable89[[#This Row],[asofdate]],W:X,2,0)</f>
        <v>728.76678623201099</v>
      </c>
      <c r="AO105" s="6">
        <f>VLOOKUP(CurrentMtgRatesDataTable89[[#This Row],[asofdate]],AA:AB,2,0)</f>
        <v>0.29421874120147201</v>
      </c>
      <c r="AR105" s="7" t="s">
        <v>134</v>
      </c>
      <c r="AS105" s="10">
        <v>4.8609534038481103E-2</v>
      </c>
      <c r="AT105" s="36">
        <f>((CurrentMtgRatesDataTable8711[[#This Row],[SeriesNumValue]]-$D$1)/$D$1+1)*100</f>
        <v>324.06356025654071</v>
      </c>
      <c r="AU105" s="36"/>
      <c r="AW105" s="7" t="s">
        <v>134</v>
      </c>
      <c r="AX105" s="10">
        <v>4.7379612469321097E-2</v>
      </c>
      <c r="AY105" s="36">
        <f>((CurrentMtgRatesDataTable871112[[#This Row],[SeriesNumValue]]-$D$1)/$D$1+1)*100</f>
        <v>315.86408312880729</v>
      </c>
      <c r="AZ105" s="36"/>
      <c r="BB105" s="7" t="s">
        <v>134</v>
      </c>
      <c r="BC105" s="10">
        <v>2.9341399510707401E-2</v>
      </c>
      <c r="BD105" s="39">
        <f>((CurrentMtgRatesDataTable87111213[[#This Row],[SeriesNumValue]]-$D$1)/$D$1+1)*100</f>
        <v>195.60933007138269</v>
      </c>
      <c r="BE105" s="39"/>
      <c r="BG105" s="7" t="s">
        <v>134</v>
      </c>
      <c r="BH105" s="10">
        <v>1.3295891282051799E-2</v>
      </c>
      <c r="BI105" s="39">
        <f>((CurrentMtgRatesDataTable8711121314[[#This Row],[SeriesNumValue]]-$D$1)/$D$1+1)*100</f>
        <v>88.639275213678673</v>
      </c>
      <c r="BJ105" s="39" t="str">
        <f>YEAR(CurrentMtgRatesDataTable8711121314[[#This Row],[asofdate]])&amp;"-"&amp;MONTH(CurrentMtgRatesDataTable8711121314[[#This Row],[asofdate]])</f>
        <v>2011-9</v>
      </c>
      <c r="BK105" s="39">
        <f>CurrentMtgRatesDataTable8711121314[[#This Row],[SeriesNumValue]]</f>
        <v>1.3295891282051799E-2</v>
      </c>
      <c r="BL105" s="39">
        <f>VLOOKUP(CurrentMtgRatesDataTable8711121314[[#This Row],[asofdate]],AR:AT,2,0)</f>
        <v>4.8609534038481103E-2</v>
      </c>
      <c r="BM105" s="35">
        <f>IF(VLOOKUP(CurrentMtgRatesDataTable8711121314[[#This Row],[asofdate]],AW:AY,2,0)&lt;&gt;0,VLOOKUP(CurrentMtgRatesDataTable8711121314[[#This Row],[asofdate]],AW:AY,2,0),BM104)</f>
        <v>4.7379612469321097E-2</v>
      </c>
      <c r="BN105" s="35">
        <f>VLOOKUP(CurrentMtgRatesDataTable8711121314[[#This Row],[asofdate]],BB:BD,2,0)</f>
        <v>2.9341399510707401E-2</v>
      </c>
      <c r="BO105" s="35">
        <f>CurrentMtgRatesDataTable8711121314[[#This Row],[FHA]]+0.5*CurrentMtgRatesDataTable8711121314[[#This Row],[Conventional]]</f>
        <v>5.5257479679507004E-2</v>
      </c>
      <c r="BP105" s="35">
        <f>2*CurrentMtgRatesDataTable8711121314[[#This Row],[FHA]]</f>
        <v>9.7219068076962206E-2</v>
      </c>
      <c r="BQ105" s="11">
        <f>VLOOKUP(YEAR(CurrentMtgRatesDataTable8711121314[[#This Row],[asofdate]]),OriginationVolume!$A:$N,8,FALSE)</f>
        <v>0.66643598615916955</v>
      </c>
      <c r="BR105" s="11">
        <f>VLOOKUP(YEAR(CurrentMtgRatesDataTable8711121314[[#This Row],[asofdate]]),OriginationVolume!$A:$N,9,FALSE)</f>
        <v>5.0865051903114189E-2</v>
      </c>
      <c r="BS105" s="11">
        <f>VLOOKUP(YEAR(CurrentMtgRatesDataTable8711121314[[#This Row],[asofdate]]),OriginationVolume!$A:$N,10,FALSE)</f>
        <v>0.15259515570934257</v>
      </c>
      <c r="BT105" s="11">
        <f>VLOOKUP(YEAR(CurrentMtgRatesDataTable8711121314[[#This Row],[asofdate]]),OriginationVolume!$A:$N,11,FALSE)</f>
        <v>0.11764705882352941</v>
      </c>
      <c r="BU105" s="11">
        <f>VLOOKUP(YEAR(CurrentMtgRatesDataTable8711121314[[#This Row],[asofdate]]),OriginationVolume!$A:$N,12,FALSE)</f>
        <v>9.688581314878892E-3</v>
      </c>
      <c r="BV105" s="11">
        <f>VLOOKUP(YEAR(CurrentMtgRatesDataTable8711121314[[#This Row],[asofdate]]),OriginationVolume!$A:$N,13,FALSE)</f>
        <v>2.7681660899653978E-3</v>
      </c>
      <c r="BW105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2.1057113897831017E-2</v>
      </c>
      <c r="BY105" s="7" t="s">
        <v>134</v>
      </c>
      <c r="BZ105" s="10">
        <v>7439272000</v>
      </c>
      <c r="CA105" s="36"/>
      <c r="CC105" s="7" t="s">
        <v>134</v>
      </c>
      <c r="CD105" s="10">
        <v>1853986000</v>
      </c>
      <c r="CE105" s="36"/>
      <c r="CG105" s="7" t="s">
        <v>134</v>
      </c>
      <c r="CH105" s="10">
        <v>21651222384.169998</v>
      </c>
      <c r="CI105" s="39"/>
      <c r="CK105" s="7" t="s">
        <v>134</v>
      </c>
      <c r="CL105" s="10">
        <v>12357964384.17</v>
      </c>
      <c r="CM105" s="39" t="str">
        <f>YEAR(CurrentMtgRatesDataTable871112131417[[#This Row],[asofdate]])&amp;"-"&amp;MONTH(CurrentMtgRatesDataTable871112131417[[#This Row],[asofdate]])</f>
        <v>2011-9</v>
      </c>
      <c r="CN105" s="39">
        <f>CurrentMtgRatesDataTable871112131417[[#This Row],[SeriesNumValue]]</f>
        <v>12357964384.17</v>
      </c>
      <c r="CO105" s="39">
        <f>VLOOKUP(CurrentMtgRatesDataTable871112131417[[#This Row],[asofdate]],BY:BZ,2,0)</f>
        <v>7439272000</v>
      </c>
      <c r="CP105" s="35">
        <f>IF(VLOOKUP(CurrentMtgRatesDataTable871112131417[[#This Row],[asofdate]],CC:CD,2,0)&lt;&gt;0,VLOOKUP(CurrentMtgRatesDataTable871112131417[[#This Row],[asofdate]],CC:CD,2,0),CP104)</f>
        <v>1853986000</v>
      </c>
      <c r="CQ105" s="35">
        <f>VLOOKUP(CurrentMtgRatesDataTable871112131417[[#This Row],[asofdate]],CG:CH,2,0)</f>
        <v>21651222384.169998</v>
      </c>
    </row>
    <row r="106" spans="1:95" s="8" customFormat="1" ht="12.75">
      <c r="A106" s="7" t="s">
        <v>135</v>
      </c>
      <c r="B106" s="10">
        <v>1.50634818904279E-2</v>
      </c>
      <c r="C106" s="10" t="str">
        <f>YEAR(CurrentMtgRatesDataTable8[[#This Row],[asofdate]])&amp;"-"&amp;MONTH(CurrentMtgRatesDataTable8[[#This Row],[asofdate]])</f>
        <v>2011-10</v>
      </c>
      <c r="D106" s="6">
        <f>((CurrentMtgRatesDataTable8[[#This Row],[SeriesNumValue]]-$D$1)/$D$1+1)*100</f>
        <v>100.42321260285267</v>
      </c>
      <c r="E106" s="6"/>
      <c r="G106" s="7" t="s">
        <v>135</v>
      </c>
      <c r="H106" s="10">
        <v>79.994596225229003</v>
      </c>
      <c r="I106" s="26">
        <f>VLOOKUP(CurrentMtgRatesDataTable82[[#This Row],[asofdate]],K:L,2,0)</f>
        <v>0.19113361076392199</v>
      </c>
      <c r="K106" s="7" t="s">
        <v>135</v>
      </c>
      <c r="L106" s="29">
        <v>0.19113361076392199</v>
      </c>
      <c r="O106" s="7" t="s">
        <v>135</v>
      </c>
      <c r="P106" s="10">
        <v>33.813961578510003</v>
      </c>
      <c r="Q106" s="29">
        <f>VLOOKUP(CurrentMtgRatesDataTable84[[#This Row],[asofdate]],S:T,2,0)</f>
        <v>0.28077167132175201</v>
      </c>
      <c r="S106" s="7" t="s">
        <v>135</v>
      </c>
      <c r="T106" s="10">
        <v>0.28077167132175201</v>
      </c>
      <c r="W106" s="7" t="s">
        <v>135</v>
      </c>
      <c r="X106" s="10">
        <v>759.31450166280899</v>
      </c>
      <c r="Y106" s="26">
        <f>VLOOKUP(CurrentMtgRatesDataTable86[[#This Row],[asofdate]],AA:AB,2,0)</f>
        <v>9.5221320930123698E-2</v>
      </c>
      <c r="AA106" s="7" t="s">
        <v>135</v>
      </c>
      <c r="AB106" s="10">
        <v>9.5221320930123698E-2</v>
      </c>
      <c r="AE106" s="7" t="s">
        <v>79</v>
      </c>
      <c r="AF106" s="10">
        <v>1.77664096642705E-2</v>
      </c>
      <c r="AG106" s="10" t="str">
        <f>YEAR(CurrentMtgRatesDataTable89[[#This Row],[asofdate]])&amp;"-"&amp;MONTH(CurrentMtgRatesDataTable89[[#This Row],[asofdate]])</f>
        <v>2007-2</v>
      </c>
      <c r="AH106" s="6">
        <f>((CurrentMtgRatesDataTable89[[#This Row],[SeriesNumValue]]-$D$1)/$D$1+1)*100</f>
        <v>118.44273109513668</v>
      </c>
      <c r="AI106" s="6">
        <f>CurrentMtgRatesDataTable89[[#This Row],[Index]]-AH107</f>
        <v>-6.9214801024640025</v>
      </c>
      <c r="AJ106" s="6">
        <f>VLOOKUP(CurrentMtgRatesDataTable89[[#This Row],[asofdate]],G:H,2,0)</f>
        <v>79.719160694476898</v>
      </c>
      <c r="AK106" s="6">
        <f>VLOOKUP(CurrentMtgRatesDataTable89[[#This Row],[asofdate]],K:L,2,0)</f>
        <v>0.20262390105173</v>
      </c>
      <c r="AL106" s="6">
        <f>VLOOKUP(CurrentMtgRatesDataTable89[[#This Row],[asofdate]],O:P,2,0)</f>
        <v>37.816267865963702</v>
      </c>
      <c r="AM106" s="6">
        <f>VLOOKUP(CurrentMtgRatesDataTable89[[#This Row],[asofdate]],S:T,2,0)</f>
        <v>0.28314346572504001</v>
      </c>
      <c r="AN106" s="6">
        <f>VLOOKUP(CurrentMtgRatesDataTable89[[#This Row],[asofdate]],W:X,2,0)</f>
        <v>729.67566684049098</v>
      </c>
      <c r="AO106" s="6">
        <f>VLOOKUP(CurrentMtgRatesDataTable89[[#This Row],[asofdate]],AA:AB,2,0)</f>
        <v>0.28970756977075302</v>
      </c>
      <c r="AR106" s="7" t="s">
        <v>135</v>
      </c>
      <c r="AS106" s="10">
        <v>5.28969377612565E-2</v>
      </c>
      <c r="AT106" s="36">
        <f>((CurrentMtgRatesDataTable8711[[#This Row],[SeriesNumValue]]-$D$1)/$D$1+1)*100</f>
        <v>352.64625174171005</v>
      </c>
      <c r="AU106" s="36"/>
      <c r="AW106" s="7" t="s">
        <v>135</v>
      </c>
      <c r="AX106" s="10">
        <v>5.1907866082719203E-2</v>
      </c>
      <c r="AY106" s="36">
        <f>((CurrentMtgRatesDataTable871112[[#This Row],[SeriesNumValue]]-$D$1)/$D$1+1)*100</f>
        <v>346.05244055146136</v>
      </c>
      <c r="AZ106" s="36"/>
      <c r="BB106" s="7" t="s">
        <v>135</v>
      </c>
      <c r="BC106" s="10">
        <v>3.2241124496181599E-2</v>
      </c>
      <c r="BD106" s="39">
        <f>((CurrentMtgRatesDataTable87111213[[#This Row],[SeriesNumValue]]-$D$1)/$D$1+1)*100</f>
        <v>214.94082997454402</v>
      </c>
      <c r="BE106" s="39"/>
      <c r="BG106" s="7" t="s">
        <v>135</v>
      </c>
      <c r="BH106" s="10">
        <v>1.45289945276896E-2</v>
      </c>
      <c r="BI106" s="39">
        <f>((CurrentMtgRatesDataTable8711121314[[#This Row],[SeriesNumValue]]-$D$1)/$D$1+1)*100</f>
        <v>96.859963517930666</v>
      </c>
      <c r="BJ106" s="39" t="str">
        <f>YEAR(CurrentMtgRatesDataTable8711121314[[#This Row],[asofdate]])&amp;"-"&amp;MONTH(CurrentMtgRatesDataTable8711121314[[#This Row],[asofdate]])</f>
        <v>2011-10</v>
      </c>
      <c r="BK106" s="39">
        <f>CurrentMtgRatesDataTable8711121314[[#This Row],[SeriesNumValue]]</f>
        <v>1.45289945276896E-2</v>
      </c>
      <c r="BL106" s="39">
        <f>VLOOKUP(CurrentMtgRatesDataTable8711121314[[#This Row],[asofdate]],AR:AT,2,0)</f>
        <v>5.28969377612565E-2</v>
      </c>
      <c r="BM106" s="35">
        <f>IF(VLOOKUP(CurrentMtgRatesDataTable8711121314[[#This Row],[asofdate]],AW:AY,2,0)&lt;&gt;0,VLOOKUP(CurrentMtgRatesDataTable8711121314[[#This Row],[asofdate]],AW:AY,2,0),BM105)</f>
        <v>5.1907866082719203E-2</v>
      </c>
      <c r="BN106" s="35">
        <f>VLOOKUP(CurrentMtgRatesDataTable8711121314[[#This Row],[asofdate]],BB:BD,2,0)</f>
        <v>3.2241124496181599E-2</v>
      </c>
      <c r="BO106" s="35">
        <f>CurrentMtgRatesDataTable8711121314[[#This Row],[FHA]]+0.5*CurrentMtgRatesDataTable8711121314[[#This Row],[Conventional]]</f>
        <v>6.0161435025101302E-2</v>
      </c>
      <c r="BP106" s="35">
        <f>2*CurrentMtgRatesDataTable8711121314[[#This Row],[FHA]]</f>
        <v>0.105793875522513</v>
      </c>
      <c r="BQ106" s="11">
        <f>VLOOKUP(YEAR(CurrentMtgRatesDataTable8711121314[[#This Row],[asofdate]]),OriginationVolume!$A:$N,8,FALSE)</f>
        <v>0.66643598615916955</v>
      </c>
      <c r="BR106" s="11">
        <f>VLOOKUP(YEAR(CurrentMtgRatesDataTable8711121314[[#This Row],[asofdate]]),OriginationVolume!$A:$N,9,FALSE)</f>
        <v>5.0865051903114189E-2</v>
      </c>
      <c r="BS106" s="11">
        <f>VLOOKUP(YEAR(CurrentMtgRatesDataTable8711121314[[#This Row],[asofdate]]),OriginationVolume!$A:$N,10,FALSE)</f>
        <v>0.15259515570934257</v>
      </c>
      <c r="BT106" s="11">
        <f>VLOOKUP(YEAR(CurrentMtgRatesDataTable8711121314[[#This Row],[asofdate]]),OriginationVolume!$A:$N,11,FALSE)</f>
        <v>0.11764705882352941</v>
      </c>
      <c r="BU106" s="11">
        <f>VLOOKUP(YEAR(CurrentMtgRatesDataTable8711121314[[#This Row],[asofdate]]),OriginationVolume!$A:$N,12,FALSE)</f>
        <v>9.688581314878892E-3</v>
      </c>
      <c r="BV106" s="11">
        <f>VLOOKUP(YEAR(CurrentMtgRatesDataTable8711121314[[#This Row],[asofdate]]),OriginationVolume!$A:$N,13,FALSE)</f>
        <v>2.7681660899653978E-3</v>
      </c>
      <c r="BW106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2.2979785000519518E-2</v>
      </c>
      <c r="BY106" s="7" t="s">
        <v>135</v>
      </c>
      <c r="BZ106" s="10">
        <v>7975850000</v>
      </c>
      <c r="CA106" s="36"/>
      <c r="CC106" s="7" t="s">
        <v>135</v>
      </c>
      <c r="CD106" s="10">
        <v>2094241000</v>
      </c>
      <c r="CE106" s="36"/>
      <c r="CG106" s="7" t="s">
        <v>135</v>
      </c>
      <c r="CH106" s="10">
        <v>23348020211.02</v>
      </c>
      <c r="CI106" s="39"/>
      <c r="CK106" s="7" t="s">
        <v>135</v>
      </c>
      <c r="CL106" s="10">
        <v>13277929211.02</v>
      </c>
      <c r="CM106" s="39" t="str">
        <f>YEAR(CurrentMtgRatesDataTable871112131417[[#This Row],[asofdate]])&amp;"-"&amp;MONTH(CurrentMtgRatesDataTable871112131417[[#This Row],[asofdate]])</f>
        <v>2011-10</v>
      </c>
      <c r="CN106" s="39">
        <f>CurrentMtgRatesDataTable871112131417[[#This Row],[SeriesNumValue]]</f>
        <v>13277929211.02</v>
      </c>
      <c r="CO106" s="39">
        <f>VLOOKUP(CurrentMtgRatesDataTable871112131417[[#This Row],[asofdate]],BY:BZ,2,0)</f>
        <v>7975850000</v>
      </c>
      <c r="CP106" s="35">
        <f>IF(VLOOKUP(CurrentMtgRatesDataTable871112131417[[#This Row],[asofdate]],CC:CD,2,0)&lt;&gt;0,VLOOKUP(CurrentMtgRatesDataTable871112131417[[#This Row],[asofdate]],CC:CD,2,0),CP105)</f>
        <v>2094241000</v>
      </c>
      <c r="CQ106" s="35">
        <f>VLOOKUP(CurrentMtgRatesDataTable871112131417[[#This Row],[asofdate]],CG:CH,2,0)</f>
        <v>23348020211.02</v>
      </c>
    </row>
    <row r="107" spans="1:95" s="8" customFormat="1" ht="12.75">
      <c r="A107" s="7" t="s">
        <v>136</v>
      </c>
      <c r="B107" s="10">
        <v>1.41697690866889E-2</v>
      </c>
      <c r="C107" s="10" t="str">
        <f>YEAR(CurrentMtgRatesDataTable8[[#This Row],[asofdate]])&amp;"-"&amp;MONTH(CurrentMtgRatesDataTable8[[#This Row],[asofdate]])</f>
        <v>2011-11</v>
      </c>
      <c r="D107" s="6">
        <f>((CurrentMtgRatesDataTable8[[#This Row],[SeriesNumValue]]-$D$1)/$D$1+1)*100</f>
        <v>94.465127244592665</v>
      </c>
      <c r="E107" s="6"/>
      <c r="G107" s="7" t="s">
        <v>136</v>
      </c>
      <c r="H107" s="10">
        <v>79.992386273642197</v>
      </c>
      <c r="I107" s="26">
        <f>VLOOKUP(CurrentMtgRatesDataTable82[[#This Row],[asofdate]],K:L,2,0)</f>
        <v>0.19682779655410601</v>
      </c>
      <c r="K107" s="7" t="s">
        <v>136</v>
      </c>
      <c r="L107" s="29">
        <v>0.19682779655410601</v>
      </c>
      <c r="O107" s="7" t="s">
        <v>136</v>
      </c>
      <c r="P107" s="10">
        <v>33.733100423047397</v>
      </c>
      <c r="Q107" s="29">
        <f>VLOOKUP(CurrentMtgRatesDataTable84[[#This Row],[asofdate]],S:T,2,0)</f>
        <v>0.272868235888234</v>
      </c>
      <c r="S107" s="7" t="s">
        <v>136</v>
      </c>
      <c r="T107" s="10">
        <v>0.272868235888234</v>
      </c>
      <c r="W107" s="7" t="s">
        <v>136</v>
      </c>
      <c r="X107" s="10">
        <v>760.12898812549099</v>
      </c>
      <c r="Y107" s="26">
        <f>VLOOKUP(CurrentMtgRatesDataTable86[[#This Row],[asofdate]],AA:AB,2,0)</f>
        <v>9.1539702824597793E-2</v>
      </c>
      <c r="AA107" s="7" t="s">
        <v>136</v>
      </c>
      <c r="AB107" s="10">
        <v>9.1539702824597793E-2</v>
      </c>
      <c r="AE107" s="7" t="s">
        <v>78</v>
      </c>
      <c r="AF107" s="10">
        <v>1.88046316796401E-2</v>
      </c>
      <c r="AG107" s="10" t="str">
        <f>YEAR(CurrentMtgRatesDataTable89[[#This Row],[asofdate]])&amp;"-"&amp;MONTH(CurrentMtgRatesDataTable89[[#This Row],[asofdate]])</f>
        <v>2007-1</v>
      </c>
      <c r="AH107" s="6">
        <f>((CurrentMtgRatesDataTable89[[#This Row],[SeriesNumValue]]-$D$1)/$D$1+1)*100</f>
        <v>125.36421119760068</v>
      </c>
      <c r="AI107" s="6">
        <f>CurrentMtgRatesDataTable89[[#This Row],[Index]]-AH108</f>
        <v>4.1690730414433403</v>
      </c>
      <c r="AJ107" s="6">
        <f>VLOOKUP(CurrentMtgRatesDataTable89[[#This Row],[asofdate]],G:H,2,0)</f>
        <v>79.416377830387304</v>
      </c>
      <c r="AK107" s="6">
        <f>VLOOKUP(CurrentMtgRatesDataTable89[[#This Row],[asofdate]],K:L,2,0)</f>
        <v>0.19384333429729</v>
      </c>
      <c r="AL107" s="6">
        <f>VLOOKUP(CurrentMtgRatesDataTable89[[#This Row],[asofdate]],O:P,2,0)</f>
        <v>37.718068546956403</v>
      </c>
      <c r="AM107" s="6">
        <f>VLOOKUP(CurrentMtgRatesDataTable89[[#This Row],[asofdate]],S:T,2,0)</f>
        <v>0.27954455441237602</v>
      </c>
      <c r="AN107" s="6">
        <f>VLOOKUP(CurrentMtgRatesDataTable89[[#This Row],[asofdate]],W:X,2,0)</f>
        <v>730.47654115547095</v>
      </c>
      <c r="AO107" s="6">
        <f>VLOOKUP(CurrentMtgRatesDataTable89[[#This Row],[asofdate]],AA:AB,2,0)</f>
        <v>0.28268598353770003</v>
      </c>
      <c r="AR107" s="7" t="s">
        <v>136</v>
      </c>
      <c r="AS107" s="10">
        <v>5.2062657199863797E-2</v>
      </c>
      <c r="AT107" s="36">
        <f>((CurrentMtgRatesDataTable8711[[#This Row],[SeriesNumValue]]-$D$1)/$D$1+1)*100</f>
        <v>347.08438133242532</v>
      </c>
      <c r="AU107" s="36"/>
      <c r="AW107" s="7" t="s">
        <v>136</v>
      </c>
      <c r="AX107" s="10">
        <v>5.1315061043071201E-2</v>
      </c>
      <c r="AY107" s="36">
        <f>((CurrentMtgRatesDataTable871112[[#This Row],[SeriesNumValue]]-$D$1)/$D$1+1)*100</f>
        <v>342.10040695380803</v>
      </c>
      <c r="AZ107" s="36"/>
      <c r="BB107" s="7" t="s">
        <v>136</v>
      </c>
      <c r="BC107" s="10">
        <v>3.2302017217116299E-2</v>
      </c>
      <c r="BD107" s="39">
        <f>((CurrentMtgRatesDataTable87111213[[#This Row],[SeriesNumValue]]-$D$1)/$D$1+1)*100</f>
        <v>215.34678144744203</v>
      </c>
      <c r="BE107" s="39"/>
      <c r="BG107" s="7" t="s">
        <v>136</v>
      </c>
      <c r="BH107" s="10">
        <v>1.41537331520687E-2</v>
      </c>
      <c r="BI107" s="39">
        <f>((CurrentMtgRatesDataTable8711121314[[#This Row],[SeriesNumValue]]-$D$1)/$D$1+1)*100</f>
        <v>94.358221013791336</v>
      </c>
      <c r="BJ107" s="39" t="str">
        <f>YEAR(CurrentMtgRatesDataTable8711121314[[#This Row],[asofdate]])&amp;"-"&amp;MONTH(CurrentMtgRatesDataTable8711121314[[#This Row],[asofdate]])</f>
        <v>2011-11</v>
      </c>
      <c r="BK107" s="39">
        <f>CurrentMtgRatesDataTable8711121314[[#This Row],[SeriesNumValue]]</f>
        <v>1.41537331520687E-2</v>
      </c>
      <c r="BL107" s="39">
        <f>VLOOKUP(CurrentMtgRatesDataTable8711121314[[#This Row],[asofdate]],AR:AT,2,0)</f>
        <v>5.2062657199863797E-2</v>
      </c>
      <c r="BM107" s="35">
        <f>IF(VLOOKUP(CurrentMtgRatesDataTable8711121314[[#This Row],[asofdate]],AW:AY,2,0)&lt;&gt;0,VLOOKUP(CurrentMtgRatesDataTable8711121314[[#This Row],[asofdate]],AW:AY,2,0),BM106)</f>
        <v>5.1315061043071201E-2</v>
      </c>
      <c r="BN107" s="35">
        <f>VLOOKUP(CurrentMtgRatesDataTable8711121314[[#This Row],[asofdate]],BB:BD,2,0)</f>
        <v>3.2302017217116299E-2</v>
      </c>
      <c r="BO107" s="35">
        <f>CurrentMtgRatesDataTable8711121314[[#This Row],[FHA]]+0.5*CurrentMtgRatesDataTable8711121314[[#This Row],[Conventional]]</f>
        <v>5.9139523775898151E-2</v>
      </c>
      <c r="BP107" s="35">
        <f>2*CurrentMtgRatesDataTable8711121314[[#This Row],[FHA]]</f>
        <v>0.10412531439972759</v>
      </c>
      <c r="BQ107" s="11">
        <f>VLOOKUP(YEAR(CurrentMtgRatesDataTable8711121314[[#This Row],[asofdate]]),OriginationVolume!$A:$N,8,FALSE)</f>
        <v>0.66643598615916955</v>
      </c>
      <c r="BR107" s="11">
        <f>VLOOKUP(YEAR(CurrentMtgRatesDataTable8711121314[[#This Row],[asofdate]]),OriginationVolume!$A:$N,9,FALSE)</f>
        <v>5.0865051903114189E-2</v>
      </c>
      <c r="BS107" s="11">
        <f>VLOOKUP(YEAR(CurrentMtgRatesDataTable8711121314[[#This Row],[asofdate]]),OriginationVolume!$A:$N,10,FALSE)</f>
        <v>0.15259515570934257</v>
      </c>
      <c r="BT107" s="11">
        <f>VLOOKUP(YEAR(CurrentMtgRatesDataTable8711121314[[#This Row],[asofdate]]),OriginationVolume!$A:$N,11,FALSE)</f>
        <v>0.11764705882352941</v>
      </c>
      <c r="BU107" s="11">
        <f>VLOOKUP(YEAR(CurrentMtgRatesDataTable8711121314[[#This Row],[asofdate]]),OriginationVolume!$A:$N,12,FALSE)</f>
        <v>9.688581314878892E-3</v>
      </c>
      <c r="BV107" s="11">
        <f>VLOOKUP(YEAR(CurrentMtgRatesDataTable8711121314[[#This Row],[asofdate]]),OriginationVolume!$A:$N,13,FALSE)</f>
        <v>2.7681660899653978E-3</v>
      </c>
      <c r="BW107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2.2513568962623545E-2</v>
      </c>
      <c r="BY107" s="7" t="s">
        <v>136</v>
      </c>
      <c r="BZ107" s="10">
        <v>7806533000</v>
      </c>
      <c r="CA107" s="36"/>
      <c r="CC107" s="7" t="s">
        <v>136</v>
      </c>
      <c r="CD107" s="10">
        <v>2126623000</v>
      </c>
      <c r="CE107" s="36"/>
      <c r="CG107" s="7" t="s">
        <v>136</v>
      </c>
      <c r="CH107" s="10">
        <v>22063440657.23</v>
      </c>
      <c r="CI107" s="39"/>
      <c r="CK107" s="7" t="s">
        <v>136</v>
      </c>
      <c r="CL107" s="10">
        <v>12130284657.23</v>
      </c>
      <c r="CM107" s="39" t="str">
        <f>YEAR(CurrentMtgRatesDataTable871112131417[[#This Row],[asofdate]])&amp;"-"&amp;MONTH(CurrentMtgRatesDataTable871112131417[[#This Row],[asofdate]])</f>
        <v>2011-11</v>
      </c>
      <c r="CN107" s="39">
        <f>CurrentMtgRatesDataTable871112131417[[#This Row],[SeriesNumValue]]</f>
        <v>12130284657.23</v>
      </c>
      <c r="CO107" s="39">
        <f>VLOOKUP(CurrentMtgRatesDataTable871112131417[[#This Row],[asofdate]],BY:BZ,2,0)</f>
        <v>7806533000</v>
      </c>
      <c r="CP107" s="35">
        <f>IF(VLOOKUP(CurrentMtgRatesDataTable871112131417[[#This Row],[asofdate]],CC:CD,2,0)&lt;&gt;0,VLOOKUP(CurrentMtgRatesDataTable871112131417[[#This Row],[asofdate]],CC:CD,2,0),CP106)</f>
        <v>2126623000</v>
      </c>
      <c r="CQ107" s="35">
        <f>VLOOKUP(CurrentMtgRatesDataTable871112131417[[#This Row],[asofdate]],CG:CH,2,0)</f>
        <v>22063440657.23</v>
      </c>
    </row>
    <row r="108" spans="1:95" s="8" customFormat="1" ht="12.75">
      <c r="A108" s="7" t="s">
        <v>137</v>
      </c>
      <c r="B108" s="10">
        <v>1.3527695791264701E-2</v>
      </c>
      <c r="C108" s="10" t="str">
        <f>YEAR(CurrentMtgRatesDataTable8[[#This Row],[asofdate]])&amp;"-"&amp;MONTH(CurrentMtgRatesDataTable8[[#This Row],[asofdate]])</f>
        <v>2011-12</v>
      </c>
      <c r="D108" s="6">
        <f>((CurrentMtgRatesDataTable8[[#This Row],[SeriesNumValue]]-$D$1)/$D$1+1)*100</f>
        <v>90.184638608431342</v>
      </c>
      <c r="E108" s="6"/>
      <c r="G108" s="7" t="s">
        <v>137</v>
      </c>
      <c r="H108" s="10">
        <v>79.981224078938595</v>
      </c>
      <c r="I108" s="26">
        <f>VLOOKUP(CurrentMtgRatesDataTable82[[#This Row],[asofdate]],K:L,2,0)</f>
        <v>0.19888714369615601</v>
      </c>
      <c r="K108" s="7" t="s">
        <v>137</v>
      </c>
      <c r="L108" s="29">
        <v>0.19888714369615601</v>
      </c>
      <c r="O108" s="7" t="s">
        <v>137</v>
      </c>
      <c r="P108" s="10">
        <v>33.656293538021998</v>
      </c>
      <c r="Q108" s="29">
        <f>VLOOKUP(CurrentMtgRatesDataTable84[[#This Row],[asofdate]],S:T,2,0)</f>
        <v>0.27520420343907298</v>
      </c>
      <c r="S108" s="7" t="s">
        <v>137</v>
      </c>
      <c r="T108" s="10">
        <v>0.27520420343907298</v>
      </c>
      <c r="W108" s="7" t="s">
        <v>137</v>
      </c>
      <c r="X108" s="10">
        <v>760.09678534465195</v>
      </c>
      <c r="Y108" s="26">
        <f>VLOOKUP(CurrentMtgRatesDataTable86[[#This Row],[asofdate]],AA:AB,2,0)</f>
        <v>9.1987894872550005E-2</v>
      </c>
      <c r="AA108" s="7" t="s">
        <v>137</v>
      </c>
      <c r="AB108" s="10">
        <v>9.1987894872550005E-2</v>
      </c>
      <c r="AE108" s="7" t="s">
        <v>77</v>
      </c>
      <c r="AF108" s="10">
        <v>1.81792707234236E-2</v>
      </c>
      <c r="AG108" s="10" t="str">
        <f>YEAR(CurrentMtgRatesDataTable89[[#This Row],[asofdate]])&amp;"-"&amp;MONTH(CurrentMtgRatesDataTable89[[#This Row],[asofdate]])</f>
        <v>2006-12</v>
      </c>
      <c r="AH108" s="6">
        <f>((CurrentMtgRatesDataTable89[[#This Row],[SeriesNumValue]]-$D$1)/$D$1+1)*100</f>
        <v>121.19513815615734</v>
      </c>
      <c r="AI108" s="6">
        <f>CurrentMtgRatesDataTable89[[#This Row],[Index]]-AH109</f>
        <v>-1.0660108331313438</v>
      </c>
      <c r="AJ108" s="6">
        <f>VLOOKUP(CurrentMtgRatesDataTable89[[#This Row],[asofdate]],G:H,2,0)</f>
        <v>79.313851596089094</v>
      </c>
      <c r="AK108" s="6">
        <f>VLOOKUP(CurrentMtgRatesDataTable89[[#This Row],[asofdate]],K:L,2,0)</f>
        <v>0.18937465803638501</v>
      </c>
      <c r="AL108" s="6">
        <f>VLOOKUP(CurrentMtgRatesDataTable89[[#This Row],[asofdate]],O:P,2,0)</f>
        <v>37.784179381196402</v>
      </c>
      <c r="AM108" s="6">
        <f>VLOOKUP(CurrentMtgRatesDataTable89[[#This Row],[asofdate]],S:T,2,0)</f>
        <v>0.28453423916155701</v>
      </c>
      <c r="AN108" s="6">
        <f>VLOOKUP(CurrentMtgRatesDataTable89[[#This Row],[asofdate]],W:X,2,0)</f>
        <v>730.60339826042502</v>
      </c>
      <c r="AO108" s="6">
        <f>VLOOKUP(CurrentMtgRatesDataTable89[[#This Row],[asofdate]],AA:AB,2,0)</f>
        <v>0.28243744033441398</v>
      </c>
      <c r="AR108" s="7" t="s">
        <v>137</v>
      </c>
      <c r="AS108" s="10">
        <v>4.88513891385828E-2</v>
      </c>
      <c r="AT108" s="36">
        <f>((CurrentMtgRatesDataTable8711[[#This Row],[SeriesNumValue]]-$D$1)/$D$1+1)*100</f>
        <v>325.67592759055202</v>
      </c>
      <c r="AU108" s="36"/>
      <c r="AW108" s="7" t="s">
        <v>137</v>
      </c>
      <c r="AX108" s="10">
        <v>4.6816733514231698E-2</v>
      </c>
      <c r="AY108" s="36">
        <f>((CurrentMtgRatesDataTable871112[[#This Row],[SeriesNumValue]]-$D$1)/$D$1+1)*100</f>
        <v>312.11155676154465</v>
      </c>
      <c r="AZ108" s="36"/>
      <c r="BB108" s="7" t="s">
        <v>137</v>
      </c>
      <c r="BC108" s="10">
        <v>3.00642548892452E-2</v>
      </c>
      <c r="BD108" s="39">
        <f>((CurrentMtgRatesDataTable87111213[[#This Row],[SeriesNumValue]]-$D$1)/$D$1+1)*100</f>
        <v>200.4283659283013</v>
      </c>
      <c r="BE108" s="39"/>
      <c r="BG108" s="7" t="s">
        <v>137</v>
      </c>
      <c r="BH108" s="10">
        <v>1.3330284117289501E-2</v>
      </c>
      <c r="BI108" s="39">
        <f>((CurrentMtgRatesDataTable8711121314[[#This Row],[SeriesNumValue]]-$D$1)/$D$1+1)*100</f>
        <v>88.86856078193</v>
      </c>
      <c r="BJ108" s="39" t="str">
        <f>YEAR(CurrentMtgRatesDataTable8711121314[[#This Row],[asofdate]])&amp;"-"&amp;MONTH(CurrentMtgRatesDataTable8711121314[[#This Row],[asofdate]])</f>
        <v>2011-12</v>
      </c>
      <c r="BK108" s="39">
        <f>CurrentMtgRatesDataTable8711121314[[#This Row],[SeriesNumValue]]</f>
        <v>1.3330284117289501E-2</v>
      </c>
      <c r="BL108" s="39">
        <f>VLOOKUP(CurrentMtgRatesDataTable8711121314[[#This Row],[asofdate]],AR:AT,2,0)</f>
        <v>4.88513891385828E-2</v>
      </c>
      <c r="BM108" s="35">
        <f>IF(VLOOKUP(CurrentMtgRatesDataTable8711121314[[#This Row],[asofdate]],AW:AY,2,0)&lt;&gt;0,VLOOKUP(CurrentMtgRatesDataTable8711121314[[#This Row],[asofdate]],AW:AY,2,0),BM107)</f>
        <v>4.6816733514231698E-2</v>
      </c>
      <c r="BN108" s="35">
        <f>VLOOKUP(CurrentMtgRatesDataTable8711121314[[#This Row],[asofdate]],BB:BD,2,0)</f>
        <v>3.00642548892452E-2</v>
      </c>
      <c r="BO108" s="35">
        <f>CurrentMtgRatesDataTable8711121314[[#This Row],[FHA]]+0.5*CurrentMtgRatesDataTable8711121314[[#This Row],[Conventional]]</f>
        <v>5.5516531197227548E-2</v>
      </c>
      <c r="BP108" s="35">
        <f>2*CurrentMtgRatesDataTable8711121314[[#This Row],[FHA]]</f>
        <v>9.77027782771656E-2</v>
      </c>
      <c r="BQ108" s="11">
        <f>VLOOKUP(YEAR(CurrentMtgRatesDataTable8711121314[[#This Row],[asofdate]]),OriginationVolume!$A:$N,8,FALSE)</f>
        <v>0.66643598615916955</v>
      </c>
      <c r="BR108" s="11">
        <f>VLOOKUP(YEAR(CurrentMtgRatesDataTable8711121314[[#This Row],[asofdate]]),OriginationVolume!$A:$N,9,FALSE)</f>
        <v>5.0865051903114189E-2</v>
      </c>
      <c r="BS108" s="11">
        <f>VLOOKUP(YEAR(CurrentMtgRatesDataTable8711121314[[#This Row],[asofdate]]),OriginationVolume!$A:$N,10,FALSE)</f>
        <v>0.15259515570934257</v>
      </c>
      <c r="BT108" s="11">
        <f>VLOOKUP(YEAR(CurrentMtgRatesDataTable8711121314[[#This Row],[asofdate]]),OriginationVolume!$A:$N,11,FALSE)</f>
        <v>0.11764705882352941</v>
      </c>
      <c r="BU108" s="11">
        <f>VLOOKUP(YEAR(CurrentMtgRatesDataTable8711121314[[#This Row],[asofdate]]),OriginationVolume!$A:$N,12,FALSE)</f>
        <v>9.688581314878892E-3</v>
      </c>
      <c r="BV108" s="11">
        <f>VLOOKUP(YEAR(CurrentMtgRatesDataTable8711121314[[#This Row],[asofdate]]),OriginationVolume!$A:$N,13,FALSE)</f>
        <v>2.7681660899653978E-3</v>
      </c>
      <c r="BW108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2.1096204618070859E-2</v>
      </c>
      <c r="BY108" s="7" t="s">
        <v>137</v>
      </c>
      <c r="BZ108" s="10">
        <v>7661966000</v>
      </c>
      <c r="CA108" s="36"/>
      <c r="CC108" s="7" t="s">
        <v>137</v>
      </c>
      <c r="CD108" s="10">
        <v>2239074000</v>
      </c>
      <c r="CE108" s="36"/>
      <c r="CG108" s="7" t="s">
        <v>137</v>
      </c>
      <c r="CH108" s="10">
        <v>21813664361.48</v>
      </c>
      <c r="CI108" s="39"/>
      <c r="CK108" s="7" t="s">
        <v>137</v>
      </c>
      <c r="CL108" s="10">
        <v>11912624361.48</v>
      </c>
      <c r="CM108" s="39" t="str">
        <f>YEAR(CurrentMtgRatesDataTable871112131417[[#This Row],[asofdate]])&amp;"-"&amp;MONTH(CurrentMtgRatesDataTable871112131417[[#This Row],[asofdate]])</f>
        <v>2011-12</v>
      </c>
      <c r="CN108" s="39">
        <f>CurrentMtgRatesDataTable871112131417[[#This Row],[SeriesNumValue]]</f>
        <v>11912624361.48</v>
      </c>
      <c r="CO108" s="39">
        <f>VLOOKUP(CurrentMtgRatesDataTable871112131417[[#This Row],[asofdate]],BY:BZ,2,0)</f>
        <v>7661966000</v>
      </c>
      <c r="CP108" s="35">
        <f>IF(VLOOKUP(CurrentMtgRatesDataTable871112131417[[#This Row],[asofdate]],CC:CD,2,0)&lt;&gt;0,VLOOKUP(CurrentMtgRatesDataTable871112131417[[#This Row],[asofdate]],CC:CD,2,0),CP107)</f>
        <v>2239074000</v>
      </c>
      <c r="CQ108" s="35">
        <f>VLOOKUP(CurrentMtgRatesDataTable871112131417[[#This Row],[asofdate]],CG:CH,2,0)</f>
        <v>21813664361.48</v>
      </c>
    </row>
    <row r="109" spans="1:95" s="8" customFormat="1" ht="12.75">
      <c r="A109" s="7" t="s">
        <v>138</v>
      </c>
      <c r="B109" s="10">
        <v>1.3651022269579699E-2</v>
      </c>
      <c r="C109" s="10" t="str">
        <f>YEAR(CurrentMtgRatesDataTable8[[#This Row],[asofdate]])&amp;"-"&amp;MONTH(CurrentMtgRatesDataTable8[[#This Row],[asofdate]])</f>
        <v>2012-1</v>
      </c>
      <c r="D109" s="6">
        <f>((CurrentMtgRatesDataTable8[[#This Row],[SeriesNumValue]]-$D$1)/$D$1+1)*100</f>
        <v>91.006815130531322</v>
      </c>
      <c r="E109" s="6"/>
      <c r="G109" s="7" t="s">
        <v>138</v>
      </c>
      <c r="H109" s="10">
        <v>79.742560564501602</v>
      </c>
      <c r="I109" s="26">
        <f>VLOOKUP(CurrentMtgRatesDataTable82[[#This Row],[asofdate]],K:L,2,0)</f>
        <v>0.19475828223912001</v>
      </c>
      <c r="K109" s="7" t="s">
        <v>138</v>
      </c>
      <c r="L109" s="29">
        <v>0.19475828223912001</v>
      </c>
      <c r="O109" s="7" t="s">
        <v>138</v>
      </c>
      <c r="P109" s="10">
        <v>33.654947487508103</v>
      </c>
      <c r="Q109" s="29">
        <f>VLOOKUP(CurrentMtgRatesDataTable84[[#This Row],[asofdate]],S:T,2,0)</f>
        <v>0.27064704793311001</v>
      </c>
      <c r="S109" s="7" t="s">
        <v>138</v>
      </c>
      <c r="T109" s="10">
        <v>0.27064704793311001</v>
      </c>
      <c r="W109" s="7" t="s">
        <v>138</v>
      </c>
      <c r="X109" s="10">
        <v>760.81703076159499</v>
      </c>
      <c r="Y109" s="26">
        <f>VLOOKUP(CurrentMtgRatesDataTable86[[#This Row],[asofdate]],AA:AB,2,0)</f>
        <v>8.7258854496687799E-2</v>
      </c>
      <c r="AA109" s="7" t="s">
        <v>138</v>
      </c>
      <c r="AB109" s="10">
        <v>8.7258854496687799E-2</v>
      </c>
      <c r="AE109" s="7" t="s">
        <v>76</v>
      </c>
      <c r="AF109" s="10">
        <v>1.8339172348393301E-2</v>
      </c>
      <c r="AG109" s="10" t="str">
        <f>YEAR(CurrentMtgRatesDataTable89[[#This Row],[asofdate]])&amp;"-"&amp;MONTH(CurrentMtgRatesDataTable89[[#This Row],[asofdate]])</f>
        <v>2006-11</v>
      </c>
      <c r="AH109" s="6">
        <f>((CurrentMtgRatesDataTable89[[#This Row],[SeriesNumValue]]-$D$1)/$D$1+1)*100</f>
        <v>122.26114898928869</v>
      </c>
      <c r="AI109" s="6">
        <f>CurrentMtgRatesDataTable89[[#This Row],[Index]]-AH110</f>
        <v>-3.2907798786333302</v>
      </c>
      <c r="AJ109" s="6">
        <f>VLOOKUP(CurrentMtgRatesDataTable89[[#This Row],[asofdate]],G:H,2,0)</f>
        <v>79.427172495690101</v>
      </c>
      <c r="AK109" s="6">
        <f>VLOOKUP(CurrentMtgRatesDataTable89[[#This Row],[asofdate]],K:L,2,0)</f>
        <v>0.19239457049420899</v>
      </c>
      <c r="AL109" s="6">
        <f>VLOOKUP(CurrentMtgRatesDataTable89[[#This Row],[asofdate]],O:P,2,0)</f>
        <v>37.885607199262502</v>
      </c>
      <c r="AM109" s="6">
        <f>VLOOKUP(CurrentMtgRatesDataTable89[[#This Row],[asofdate]],S:T,2,0)</f>
        <v>0.27141833470725502</v>
      </c>
      <c r="AN109" s="6">
        <f>VLOOKUP(CurrentMtgRatesDataTable89[[#This Row],[asofdate]],W:X,2,0)</f>
        <v>730.386657340532</v>
      </c>
      <c r="AO109" s="6">
        <f>VLOOKUP(CurrentMtgRatesDataTable89[[#This Row],[asofdate]],AA:AB,2,0)</f>
        <v>0.28214362863015702</v>
      </c>
      <c r="AR109" s="7" t="s">
        <v>138</v>
      </c>
      <c r="AS109" s="10">
        <v>4.9178067070710603E-2</v>
      </c>
      <c r="AT109" s="36">
        <f>((CurrentMtgRatesDataTable8711[[#This Row],[SeriesNumValue]]-$D$1)/$D$1+1)*100</f>
        <v>327.85378047140404</v>
      </c>
      <c r="AU109" s="36"/>
      <c r="AW109" s="7" t="s">
        <v>138</v>
      </c>
      <c r="AX109" s="10">
        <v>4.6387119469580601E-2</v>
      </c>
      <c r="AY109" s="36">
        <f>((CurrentMtgRatesDataTable871112[[#This Row],[SeriesNumValue]]-$D$1)/$D$1+1)*100</f>
        <v>309.24746313053737</v>
      </c>
      <c r="AZ109" s="36"/>
      <c r="BB109" s="7" t="s">
        <v>138</v>
      </c>
      <c r="BC109" s="10">
        <v>2.9713506787696999E-2</v>
      </c>
      <c r="BD109" s="39">
        <f>((CurrentMtgRatesDataTable87111213[[#This Row],[SeriesNumValue]]-$D$1)/$D$1+1)*100</f>
        <v>198.09004525131334</v>
      </c>
      <c r="BE109" s="39"/>
      <c r="BG109" s="7" t="s">
        <v>138</v>
      </c>
      <c r="BH109" s="10">
        <v>1.3541139321708799E-2</v>
      </c>
      <c r="BI109" s="39">
        <f>((CurrentMtgRatesDataTable8711121314[[#This Row],[SeriesNumValue]]-$D$1)/$D$1+1)*100</f>
        <v>90.274262144725341</v>
      </c>
      <c r="BJ109" s="39" t="str">
        <f>YEAR(CurrentMtgRatesDataTable8711121314[[#This Row],[asofdate]])&amp;"-"&amp;MONTH(CurrentMtgRatesDataTable8711121314[[#This Row],[asofdate]])</f>
        <v>2012-1</v>
      </c>
      <c r="BK109" s="39">
        <f>CurrentMtgRatesDataTable8711121314[[#This Row],[SeriesNumValue]]</f>
        <v>1.3541139321708799E-2</v>
      </c>
      <c r="BL109" s="39">
        <f>VLOOKUP(CurrentMtgRatesDataTable8711121314[[#This Row],[asofdate]],AR:AT,2,0)</f>
        <v>4.9178067070710603E-2</v>
      </c>
      <c r="BM109" s="35">
        <f>IF(VLOOKUP(CurrentMtgRatesDataTable8711121314[[#This Row],[asofdate]],AW:AY,2,0)&lt;&gt;0,VLOOKUP(CurrentMtgRatesDataTable8711121314[[#This Row],[asofdate]],AW:AY,2,0),BM108)</f>
        <v>4.6387119469580601E-2</v>
      </c>
      <c r="BN109" s="35">
        <f>VLOOKUP(CurrentMtgRatesDataTable8711121314[[#This Row],[asofdate]],BB:BD,2,0)</f>
        <v>2.9713506787696999E-2</v>
      </c>
      <c r="BO109" s="35">
        <f>CurrentMtgRatesDataTable8711121314[[#This Row],[FHA]]+0.5*CurrentMtgRatesDataTable8711121314[[#This Row],[Conventional]]</f>
        <v>5.5948636731564999E-2</v>
      </c>
      <c r="BP109" s="35">
        <f>2*CurrentMtgRatesDataTable8711121314[[#This Row],[FHA]]</f>
        <v>9.8356134141421206E-2</v>
      </c>
      <c r="BQ109" s="11">
        <f>VLOOKUP(YEAR(CurrentMtgRatesDataTable8711121314[[#This Row],[asofdate]]),OriginationVolume!$A:$N,8,FALSE)</f>
        <v>0.69267822736030826</v>
      </c>
      <c r="BR109" s="11">
        <f>VLOOKUP(YEAR(CurrentMtgRatesDataTable8711121314[[#This Row],[asofdate]]),OriginationVolume!$A:$N,9,FALSE)</f>
        <v>4.6965317919075142E-2</v>
      </c>
      <c r="BS109" s="11">
        <f>VLOOKUP(YEAR(CurrentMtgRatesDataTable8711121314[[#This Row],[asofdate]]),OriginationVolume!$A:$N,10,FALSE)</f>
        <v>0.14089595375722544</v>
      </c>
      <c r="BT109" s="11">
        <f>VLOOKUP(YEAR(CurrentMtgRatesDataTable8711121314[[#This Row],[asofdate]]),OriginationVolume!$A:$N,11,FALSE)</f>
        <v>0.10838150289017341</v>
      </c>
      <c r="BU109" s="11">
        <f>VLOOKUP(YEAR(CurrentMtgRatesDataTable8711121314[[#This Row],[asofdate]]),OriginationVolume!$A:$N,12,FALSE)</f>
        <v>9.1522157996146436E-3</v>
      </c>
      <c r="BV109" s="11">
        <f>VLOOKUP(YEAR(CurrentMtgRatesDataTable8711121314[[#This Row],[asofdate]]),OriginationVolume!$A:$N,13,FALSE)</f>
        <v>1.9267822736030828E-3</v>
      </c>
      <c r="BW109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2.0656402742261132E-2</v>
      </c>
      <c r="BY109" s="7" t="s">
        <v>138</v>
      </c>
      <c r="BZ109" s="10">
        <v>7486376000</v>
      </c>
      <c r="CA109" s="36"/>
      <c r="CC109" s="7" t="s">
        <v>138</v>
      </c>
      <c r="CD109" s="10">
        <v>2138090000</v>
      </c>
      <c r="CE109" s="36"/>
      <c r="CG109" s="7" t="s">
        <v>138</v>
      </c>
      <c r="CH109" s="10">
        <v>21634291320.59</v>
      </c>
      <c r="CI109" s="39"/>
      <c r="CK109" s="7" t="s">
        <v>138</v>
      </c>
      <c r="CL109" s="10">
        <v>12009825320.59</v>
      </c>
      <c r="CM109" s="39" t="str">
        <f>YEAR(CurrentMtgRatesDataTable871112131417[[#This Row],[asofdate]])&amp;"-"&amp;MONTH(CurrentMtgRatesDataTable871112131417[[#This Row],[asofdate]])</f>
        <v>2012-1</v>
      </c>
      <c r="CN109" s="39">
        <f>CurrentMtgRatesDataTable871112131417[[#This Row],[SeriesNumValue]]</f>
        <v>12009825320.59</v>
      </c>
      <c r="CO109" s="39">
        <f>VLOOKUP(CurrentMtgRatesDataTable871112131417[[#This Row],[asofdate]],BY:BZ,2,0)</f>
        <v>7486376000</v>
      </c>
      <c r="CP109" s="35">
        <f>IF(VLOOKUP(CurrentMtgRatesDataTable871112131417[[#This Row],[asofdate]],CC:CD,2,0)&lt;&gt;0,VLOOKUP(CurrentMtgRatesDataTable871112131417[[#This Row],[asofdate]],CC:CD,2,0),CP108)</f>
        <v>2138090000</v>
      </c>
      <c r="CQ109" s="35">
        <f>VLOOKUP(CurrentMtgRatesDataTable871112131417[[#This Row],[asofdate]],CG:CH,2,0)</f>
        <v>21634291320.59</v>
      </c>
    </row>
    <row r="110" spans="1:95" s="8" customFormat="1" ht="12.75">
      <c r="A110" s="7" t="s">
        <v>139</v>
      </c>
      <c r="B110" s="10">
        <v>1.34731893048365E-2</v>
      </c>
      <c r="C110" s="10" t="str">
        <f>YEAR(CurrentMtgRatesDataTable8[[#This Row],[asofdate]])&amp;"-"&amp;MONTH(CurrentMtgRatesDataTable8[[#This Row],[asofdate]])</f>
        <v>2012-2</v>
      </c>
      <c r="D110" s="6">
        <f>((CurrentMtgRatesDataTable8[[#This Row],[SeriesNumValue]]-$D$1)/$D$1+1)*100</f>
        <v>89.821262032243325</v>
      </c>
      <c r="E110" s="6"/>
      <c r="G110" s="7" t="s">
        <v>139</v>
      </c>
      <c r="H110" s="10">
        <v>79.576164154337704</v>
      </c>
      <c r="I110" s="26">
        <f>VLOOKUP(CurrentMtgRatesDataTable82[[#This Row],[asofdate]],K:L,2,0)</f>
        <v>0.189625458590022</v>
      </c>
      <c r="K110" s="7" t="s">
        <v>139</v>
      </c>
      <c r="L110" s="29">
        <v>0.189625458590022</v>
      </c>
      <c r="O110" s="7" t="s">
        <v>139</v>
      </c>
      <c r="P110" s="10">
        <v>33.616267334128999</v>
      </c>
      <c r="Q110" s="29">
        <f>VLOOKUP(CurrentMtgRatesDataTable84[[#This Row],[asofdate]],S:T,2,0)</f>
        <v>0.26106465585479299</v>
      </c>
      <c r="S110" s="7" t="s">
        <v>139</v>
      </c>
      <c r="T110" s="10">
        <v>0.26106465585479299</v>
      </c>
      <c r="W110" s="7" t="s">
        <v>139</v>
      </c>
      <c r="X110" s="10">
        <v>761.114001068123</v>
      </c>
      <c r="Y110" s="26">
        <f>VLOOKUP(CurrentMtgRatesDataTable86[[#This Row],[asofdate]],AA:AB,2,0)</f>
        <v>8.6142454759982098E-2</v>
      </c>
      <c r="AA110" s="7" t="s">
        <v>139</v>
      </c>
      <c r="AB110" s="10">
        <v>8.6142454759982098E-2</v>
      </c>
      <c r="AE110" s="7" t="s">
        <v>75</v>
      </c>
      <c r="AF110" s="10">
        <v>1.8832789330188299E-2</v>
      </c>
      <c r="AG110" s="10" t="str">
        <f>YEAR(CurrentMtgRatesDataTable89[[#This Row],[asofdate]])&amp;"-"&amp;MONTH(CurrentMtgRatesDataTable89[[#This Row],[asofdate]])</f>
        <v>2006-10</v>
      </c>
      <c r="AH110" s="6">
        <f>((CurrentMtgRatesDataTable89[[#This Row],[SeriesNumValue]]-$D$1)/$D$1+1)*100</f>
        <v>125.55192886792202</v>
      </c>
      <c r="AI110" s="6">
        <f>CurrentMtgRatesDataTable89[[#This Row],[Index]]-AH111</f>
        <v>6.3485449599053396</v>
      </c>
      <c r="AJ110" s="6">
        <f>VLOOKUP(CurrentMtgRatesDataTable89[[#This Row],[asofdate]],G:H,2,0)</f>
        <v>79.136143909953105</v>
      </c>
      <c r="AK110" s="6">
        <f>VLOOKUP(CurrentMtgRatesDataTable89[[#This Row],[asofdate]],K:L,2,0)</f>
        <v>0.18540217986062499</v>
      </c>
      <c r="AL110" s="6">
        <f>VLOOKUP(CurrentMtgRatesDataTable89[[#This Row],[asofdate]],O:P,2,0)</f>
        <v>38.014001892969098</v>
      </c>
      <c r="AM110" s="6">
        <f>VLOOKUP(CurrentMtgRatesDataTable89[[#This Row],[asofdate]],S:T,2,0)</f>
        <v>0.25886862133549099</v>
      </c>
      <c r="AN110" s="6">
        <f>VLOOKUP(CurrentMtgRatesDataTable89[[#This Row],[asofdate]],W:X,2,0)</f>
        <v>731.03366702624498</v>
      </c>
      <c r="AO110" s="6">
        <f>VLOOKUP(CurrentMtgRatesDataTable89[[#This Row],[asofdate]],AA:AB,2,0)</f>
        <v>0.27921966823928501</v>
      </c>
      <c r="AR110" s="7" t="s">
        <v>139</v>
      </c>
      <c r="AS110" s="10">
        <v>4.9578391995180202E-2</v>
      </c>
      <c r="AT110" s="36">
        <f>((CurrentMtgRatesDataTable8711[[#This Row],[SeriesNumValue]]-$D$1)/$D$1+1)*100</f>
        <v>330.52261330120137</v>
      </c>
      <c r="AU110" s="36"/>
      <c r="AW110" s="7" t="s">
        <v>139</v>
      </c>
      <c r="AX110" s="10">
        <v>4.71167468684561E-2</v>
      </c>
      <c r="AY110" s="36">
        <f>((CurrentMtgRatesDataTable871112[[#This Row],[SeriesNumValue]]-$D$1)/$D$1+1)*100</f>
        <v>314.11164578970732</v>
      </c>
      <c r="AZ110" s="36"/>
      <c r="BB110" s="7" t="s">
        <v>139</v>
      </c>
      <c r="BC110" s="10">
        <v>2.95042213462617E-2</v>
      </c>
      <c r="BD110" s="39">
        <f>((CurrentMtgRatesDataTable87111213[[#This Row],[SeriesNumValue]]-$D$1)/$D$1+1)*100</f>
        <v>196.69480897507802</v>
      </c>
      <c r="BE110" s="39"/>
      <c r="BG110" s="7" t="s">
        <v>139</v>
      </c>
      <c r="BH110" s="10">
        <v>1.3375190108893801E-2</v>
      </c>
      <c r="BI110" s="39">
        <f>((CurrentMtgRatesDataTable8711121314[[#This Row],[SeriesNumValue]]-$D$1)/$D$1+1)*100</f>
        <v>89.167934059292008</v>
      </c>
      <c r="BJ110" s="39" t="str">
        <f>YEAR(CurrentMtgRatesDataTable8711121314[[#This Row],[asofdate]])&amp;"-"&amp;MONTH(CurrentMtgRatesDataTable8711121314[[#This Row],[asofdate]])</f>
        <v>2012-2</v>
      </c>
      <c r="BK110" s="39">
        <f>CurrentMtgRatesDataTable8711121314[[#This Row],[SeriesNumValue]]</f>
        <v>1.3375190108893801E-2</v>
      </c>
      <c r="BL110" s="39">
        <f>VLOOKUP(CurrentMtgRatesDataTable8711121314[[#This Row],[asofdate]],AR:AT,2,0)</f>
        <v>4.9578391995180202E-2</v>
      </c>
      <c r="BM110" s="35">
        <f>IF(VLOOKUP(CurrentMtgRatesDataTable8711121314[[#This Row],[asofdate]],AW:AY,2,0)&lt;&gt;0,VLOOKUP(CurrentMtgRatesDataTable8711121314[[#This Row],[asofdate]],AW:AY,2,0),BM109)</f>
        <v>4.71167468684561E-2</v>
      </c>
      <c r="BN110" s="35">
        <f>VLOOKUP(CurrentMtgRatesDataTable8711121314[[#This Row],[asofdate]],BB:BD,2,0)</f>
        <v>2.95042213462617E-2</v>
      </c>
      <c r="BO110" s="35">
        <f>CurrentMtgRatesDataTable8711121314[[#This Row],[FHA]]+0.5*CurrentMtgRatesDataTable8711121314[[#This Row],[Conventional]]</f>
        <v>5.6265987049627104E-2</v>
      </c>
      <c r="BP110" s="35">
        <f>2*CurrentMtgRatesDataTable8711121314[[#This Row],[FHA]]</f>
        <v>9.9156783990360403E-2</v>
      </c>
      <c r="BQ110" s="11">
        <f>VLOOKUP(YEAR(CurrentMtgRatesDataTable8711121314[[#This Row],[asofdate]]),OriginationVolume!$A:$N,8,FALSE)</f>
        <v>0.69267822736030826</v>
      </c>
      <c r="BR110" s="11">
        <f>VLOOKUP(YEAR(CurrentMtgRatesDataTable8711121314[[#This Row],[asofdate]]),OriginationVolume!$A:$N,9,FALSE)</f>
        <v>4.6965317919075142E-2</v>
      </c>
      <c r="BS110" s="11">
        <f>VLOOKUP(YEAR(CurrentMtgRatesDataTable8711121314[[#This Row],[asofdate]]),OriginationVolume!$A:$N,10,FALSE)</f>
        <v>0.14089595375722544</v>
      </c>
      <c r="BT110" s="11">
        <f>VLOOKUP(YEAR(CurrentMtgRatesDataTable8711121314[[#This Row],[asofdate]]),OriginationVolume!$A:$N,11,FALSE)</f>
        <v>0.10838150289017341</v>
      </c>
      <c r="BU110" s="11">
        <f>VLOOKUP(YEAR(CurrentMtgRatesDataTable8711121314[[#This Row],[asofdate]]),OriginationVolume!$A:$N,12,FALSE)</f>
        <v>9.1522157996146436E-3</v>
      </c>
      <c r="BV110" s="11">
        <f>VLOOKUP(YEAR(CurrentMtgRatesDataTable8711121314[[#This Row],[asofdate]]),OriginationVolume!$A:$N,13,FALSE)</f>
        <v>1.9267822736030828E-3</v>
      </c>
      <c r="BW110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2.0618585991936139E-2</v>
      </c>
      <c r="BY110" s="7" t="s">
        <v>139</v>
      </c>
      <c r="BZ110" s="10">
        <v>8000834000</v>
      </c>
      <c r="CA110" s="36"/>
      <c r="CC110" s="7" t="s">
        <v>139</v>
      </c>
      <c r="CD110" s="10">
        <v>2569710000</v>
      </c>
      <c r="CE110" s="36"/>
      <c r="CG110" s="7" t="s">
        <v>139</v>
      </c>
      <c r="CH110" s="10">
        <v>23641513148.34</v>
      </c>
      <c r="CI110" s="39"/>
      <c r="CK110" s="7" t="s">
        <v>139</v>
      </c>
      <c r="CL110" s="10">
        <v>13070969148.34</v>
      </c>
      <c r="CM110" s="39" t="str">
        <f>YEAR(CurrentMtgRatesDataTable871112131417[[#This Row],[asofdate]])&amp;"-"&amp;MONTH(CurrentMtgRatesDataTable871112131417[[#This Row],[asofdate]])</f>
        <v>2012-2</v>
      </c>
      <c r="CN110" s="39">
        <f>CurrentMtgRatesDataTable871112131417[[#This Row],[SeriesNumValue]]</f>
        <v>13070969148.34</v>
      </c>
      <c r="CO110" s="39">
        <f>VLOOKUP(CurrentMtgRatesDataTable871112131417[[#This Row],[asofdate]],BY:BZ,2,0)</f>
        <v>8000834000</v>
      </c>
      <c r="CP110" s="35">
        <f>IF(VLOOKUP(CurrentMtgRatesDataTable871112131417[[#This Row],[asofdate]],CC:CD,2,0)&lt;&gt;0,VLOOKUP(CurrentMtgRatesDataTable871112131417[[#This Row],[asofdate]],CC:CD,2,0),CP109)</f>
        <v>2569710000</v>
      </c>
      <c r="CQ110" s="35">
        <f>VLOOKUP(CurrentMtgRatesDataTable871112131417[[#This Row],[asofdate]],CG:CH,2,0)</f>
        <v>23641513148.34</v>
      </c>
    </row>
    <row r="111" spans="1:95" s="8" customFormat="1" ht="12.75">
      <c r="A111" s="7" t="s">
        <v>140</v>
      </c>
      <c r="B111" s="10">
        <v>1.3438208340839501E-2</v>
      </c>
      <c r="C111" s="10" t="str">
        <f>YEAR(CurrentMtgRatesDataTable8[[#This Row],[asofdate]])&amp;"-"&amp;MONTH(CurrentMtgRatesDataTable8[[#This Row],[asofdate]])</f>
        <v>2012-3</v>
      </c>
      <c r="D111" s="6">
        <f>((CurrentMtgRatesDataTable8[[#This Row],[SeriesNumValue]]-$D$1)/$D$1+1)*100</f>
        <v>89.588055605596679</v>
      </c>
      <c r="E111" s="6"/>
      <c r="G111" s="7" t="s">
        <v>140</v>
      </c>
      <c r="H111" s="10">
        <v>79.620695860633106</v>
      </c>
      <c r="I111" s="26">
        <f>VLOOKUP(CurrentMtgRatesDataTable82[[#This Row],[asofdate]],K:L,2,0)</f>
        <v>0.188680020444463</v>
      </c>
      <c r="K111" s="7" t="s">
        <v>140</v>
      </c>
      <c r="L111" s="29">
        <v>0.188680020444463</v>
      </c>
      <c r="O111" s="7" t="s">
        <v>140</v>
      </c>
      <c r="P111" s="10">
        <v>33.680251809150697</v>
      </c>
      <c r="Q111" s="29">
        <f>VLOOKUP(CurrentMtgRatesDataTable84[[#This Row],[asofdate]],S:T,2,0)</f>
        <v>0.267356946580733</v>
      </c>
      <c r="S111" s="7" t="s">
        <v>140</v>
      </c>
      <c r="T111" s="10">
        <v>0.267356946580733</v>
      </c>
      <c r="W111" s="7" t="s">
        <v>140</v>
      </c>
      <c r="X111" s="10">
        <v>760.52419652388801</v>
      </c>
      <c r="Y111" s="26">
        <f>VLOOKUP(CurrentMtgRatesDataTable86[[#This Row],[asofdate]],AA:AB,2,0)</f>
        <v>8.5745788275712206E-2</v>
      </c>
      <c r="AA111" s="7" t="s">
        <v>140</v>
      </c>
      <c r="AB111" s="10">
        <v>8.5745788275712206E-2</v>
      </c>
      <c r="AE111" s="7" t="s">
        <v>74</v>
      </c>
      <c r="AF111" s="10">
        <v>1.78805075862025E-2</v>
      </c>
      <c r="AG111" s="10" t="str">
        <f>YEAR(CurrentMtgRatesDataTable89[[#This Row],[asofdate]])&amp;"-"&amp;MONTH(CurrentMtgRatesDataTable89[[#This Row],[asofdate]])</f>
        <v>2006-9</v>
      </c>
      <c r="AH111" s="6">
        <f>((CurrentMtgRatesDataTable89[[#This Row],[SeriesNumValue]]-$D$1)/$D$1+1)*100</f>
        <v>119.20338390801668</v>
      </c>
      <c r="AI111" s="6">
        <f>CurrentMtgRatesDataTable89[[#This Row],[Index]]-AH112</f>
        <v>16.977283967414664</v>
      </c>
      <c r="AJ111" s="6">
        <f>VLOOKUP(CurrentMtgRatesDataTable89[[#This Row],[asofdate]],G:H,2,0)</f>
        <v>78.908862181851305</v>
      </c>
      <c r="AK111" s="6">
        <f>VLOOKUP(CurrentMtgRatesDataTable89[[#This Row],[asofdate]],K:L,2,0)</f>
        <v>0.17599985174605701</v>
      </c>
      <c r="AL111" s="6">
        <f>VLOOKUP(CurrentMtgRatesDataTable89[[#This Row],[asofdate]],O:P,2,0)</f>
        <v>37.944084729028397</v>
      </c>
      <c r="AM111" s="6">
        <f>VLOOKUP(CurrentMtgRatesDataTable89[[#This Row],[asofdate]],S:T,2,0)</f>
        <v>0.25572001484150397</v>
      </c>
      <c r="AN111" s="6">
        <f>VLOOKUP(CurrentMtgRatesDataTable89[[#This Row],[asofdate]],W:X,2,0)</f>
        <v>732.49642925119599</v>
      </c>
      <c r="AO111" s="6">
        <f>VLOOKUP(CurrentMtgRatesDataTable89[[#This Row],[asofdate]],AA:AB,2,0)</f>
        <v>0.26931657554004801</v>
      </c>
      <c r="AR111" s="7" t="s">
        <v>140</v>
      </c>
      <c r="AS111" s="10">
        <v>4.9470745177948798E-2</v>
      </c>
      <c r="AT111" s="36">
        <f>((CurrentMtgRatesDataTable8711[[#This Row],[SeriesNumValue]]-$D$1)/$D$1+1)*100</f>
        <v>329.80496785299198</v>
      </c>
      <c r="AU111" s="36"/>
      <c r="AW111" s="7" t="s">
        <v>140</v>
      </c>
      <c r="AX111" s="10">
        <v>4.6752001158217198E-2</v>
      </c>
      <c r="AY111" s="36">
        <f>((CurrentMtgRatesDataTable871112[[#This Row],[SeriesNumValue]]-$D$1)/$D$1+1)*100</f>
        <v>311.68000772144802</v>
      </c>
      <c r="AZ111" s="36"/>
      <c r="BB111" s="7" t="s">
        <v>140</v>
      </c>
      <c r="BC111" s="10">
        <v>2.92251324076724E-2</v>
      </c>
      <c r="BD111" s="39">
        <f>((CurrentMtgRatesDataTable87111213[[#This Row],[SeriesNumValue]]-$D$1)/$D$1+1)*100</f>
        <v>194.83421605114935</v>
      </c>
      <c r="BE111" s="39"/>
      <c r="BG111" s="7" t="s">
        <v>140</v>
      </c>
      <c r="BH111" s="10">
        <v>1.3368199117739499E-2</v>
      </c>
      <c r="BI111" s="39">
        <f>((CurrentMtgRatesDataTable8711121314[[#This Row],[SeriesNumValue]]-$D$1)/$D$1+1)*100</f>
        <v>89.12132745159667</v>
      </c>
      <c r="BJ111" s="39" t="str">
        <f>YEAR(CurrentMtgRatesDataTable8711121314[[#This Row],[asofdate]])&amp;"-"&amp;MONTH(CurrentMtgRatesDataTable8711121314[[#This Row],[asofdate]])</f>
        <v>2012-3</v>
      </c>
      <c r="BK111" s="39">
        <f>CurrentMtgRatesDataTable8711121314[[#This Row],[SeriesNumValue]]</f>
        <v>1.3368199117739499E-2</v>
      </c>
      <c r="BL111" s="39">
        <f>VLOOKUP(CurrentMtgRatesDataTable8711121314[[#This Row],[asofdate]],AR:AT,2,0)</f>
        <v>4.9470745177948798E-2</v>
      </c>
      <c r="BM111" s="35">
        <f>IF(VLOOKUP(CurrentMtgRatesDataTable8711121314[[#This Row],[asofdate]],AW:AY,2,0)&lt;&gt;0,VLOOKUP(CurrentMtgRatesDataTable8711121314[[#This Row],[asofdate]],AW:AY,2,0),BM110)</f>
        <v>4.6752001158217198E-2</v>
      </c>
      <c r="BN111" s="35">
        <f>VLOOKUP(CurrentMtgRatesDataTable8711121314[[#This Row],[asofdate]],BB:BD,2,0)</f>
        <v>2.92251324076724E-2</v>
      </c>
      <c r="BO111" s="35">
        <f>CurrentMtgRatesDataTable8711121314[[#This Row],[FHA]]+0.5*CurrentMtgRatesDataTable8711121314[[#This Row],[Conventional]]</f>
        <v>5.6154844736818546E-2</v>
      </c>
      <c r="BP111" s="35">
        <f>2*CurrentMtgRatesDataTable8711121314[[#This Row],[FHA]]</f>
        <v>9.8941490355897596E-2</v>
      </c>
      <c r="BQ111" s="11">
        <f>VLOOKUP(YEAR(CurrentMtgRatesDataTable8711121314[[#This Row],[asofdate]]),OriginationVolume!$A:$N,8,FALSE)</f>
        <v>0.69267822736030826</v>
      </c>
      <c r="BR111" s="11">
        <f>VLOOKUP(YEAR(CurrentMtgRatesDataTable8711121314[[#This Row],[asofdate]]),OriginationVolume!$A:$N,9,FALSE)</f>
        <v>4.6965317919075142E-2</v>
      </c>
      <c r="BS111" s="11">
        <f>VLOOKUP(YEAR(CurrentMtgRatesDataTable8711121314[[#This Row],[asofdate]]),OriginationVolume!$A:$N,10,FALSE)</f>
        <v>0.14089595375722544</v>
      </c>
      <c r="BT111" s="11">
        <f>VLOOKUP(YEAR(CurrentMtgRatesDataTable8711121314[[#This Row],[asofdate]]),OriginationVolume!$A:$N,11,FALSE)</f>
        <v>0.10838150289017341</v>
      </c>
      <c r="BU111" s="11">
        <f>VLOOKUP(YEAR(CurrentMtgRatesDataTable8711121314[[#This Row],[asofdate]]),OriginationVolume!$A:$N,12,FALSE)</f>
        <v>9.1522157996146436E-3</v>
      </c>
      <c r="BV111" s="11">
        <f>VLOOKUP(YEAR(CurrentMtgRatesDataTable8711121314[[#This Row],[asofdate]]),OriginationVolume!$A:$N,13,FALSE)</f>
        <v>1.9267822736030828E-3</v>
      </c>
      <c r="BW111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2.0579256368834356E-2</v>
      </c>
      <c r="BY111" s="7" t="s">
        <v>140</v>
      </c>
      <c r="BZ111" s="10">
        <v>5986718000</v>
      </c>
      <c r="CA111" s="36"/>
      <c r="CC111" s="7" t="s">
        <v>140</v>
      </c>
      <c r="CD111" s="10">
        <v>1778382000</v>
      </c>
      <c r="CE111" s="36"/>
      <c r="CG111" s="7" t="s">
        <v>140</v>
      </c>
      <c r="CH111" s="10">
        <v>17503960845.209999</v>
      </c>
      <c r="CI111" s="39"/>
      <c r="CK111" s="7" t="s">
        <v>140</v>
      </c>
      <c r="CL111" s="10">
        <v>9738860845.2099991</v>
      </c>
      <c r="CM111" s="39" t="str">
        <f>YEAR(CurrentMtgRatesDataTable871112131417[[#This Row],[asofdate]])&amp;"-"&amp;MONTH(CurrentMtgRatesDataTable871112131417[[#This Row],[asofdate]])</f>
        <v>2012-3</v>
      </c>
      <c r="CN111" s="39">
        <f>CurrentMtgRatesDataTable871112131417[[#This Row],[SeriesNumValue]]</f>
        <v>9738860845.2099991</v>
      </c>
      <c r="CO111" s="39">
        <f>VLOOKUP(CurrentMtgRatesDataTable871112131417[[#This Row],[asofdate]],BY:BZ,2,0)</f>
        <v>5986718000</v>
      </c>
      <c r="CP111" s="35">
        <f>IF(VLOOKUP(CurrentMtgRatesDataTable871112131417[[#This Row],[asofdate]],CC:CD,2,0)&lt;&gt;0,VLOOKUP(CurrentMtgRatesDataTable871112131417[[#This Row],[asofdate]],CC:CD,2,0),CP110)</f>
        <v>1778382000</v>
      </c>
      <c r="CQ111" s="35">
        <f>VLOOKUP(CurrentMtgRatesDataTable871112131417[[#This Row],[asofdate]],CG:CH,2,0)</f>
        <v>17503960845.209999</v>
      </c>
    </row>
    <row r="112" spans="1:95" s="8" customFormat="1" ht="12.75">
      <c r="A112" s="7" t="s">
        <v>141</v>
      </c>
      <c r="B112" s="10">
        <v>1.3231156891929901E-2</v>
      </c>
      <c r="C112" s="10" t="str">
        <f>YEAR(CurrentMtgRatesDataTable8[[#This Row],[asofdate]])&amp;"-"&amp;MONTH(CurrentMtgRatesDataTable8[[#This Row],[asofdate]])</f>
        <v>2012-4</v>
      </c>
      <c r="D112" s="6">
        <f>((CurrentMtgRatesDataTable8[[#This Row],[SeriesNumValue]]-$D$1)/$D$1+1)*100</f>
        <v>88.207712612866004</v>
      </c>
      <c r="E112" s="6"/>
      <c r="G112" s="7" t="s">
        <v>141</v>
      </c>
      <c r="H112" s="10">
        <v>79.927779566624807</v>
      </c>
      <c r="I112" s="26">
        <f>VLOOKUP(CurrentMtgRatesDataTable82[[#This Row],[asofdate]],K:L,2,0)</f>
        <v>0.19832864817753501</v>
      </c>
      <c r="K112" s="7" t="s">
        <v>141</v>
      </c>
      <c r="L112" s="29">
        <v>0.19832864817753501</v>
      </c>
      <c r="O112" s="7" t="s">
        <v>141</v>
      </c>
      <c r="P112" s="10">
        <v>33.518276945538801</v>
      </c>
      <c r="Q112" s="29">
        <f>VLOOKUP(CurrentMtgRatesDataTable84[[#This Row],[asofdate]],S:T,2,0)</f>
        <v>0.26161336953345399</v>
      </c>
      <c r="S112" s="7" t="s">
        <v>141</v>
      </c>
      <c r="T112" s="10">
        <v>0.26161336953345399</v>
      </c>
      <c r="W112" s="7" t="s">
        <v>141</v>
      </c>
      <c r="X112" s="10">
        <v>760.69983465532198</v>
      </c>
      <c r="Y112" s="26">
        <f>VLOOKUP(CurrentMtgRatesDataTable86[[#This Row],[asofdate]],AA:AB,2,0)</f>
        <v>8.3609698617037903E-2</v>
      </c>
      <c r="AA112" s="7" t="s">
        <v>141</v>
      </c>
      <c r="AB112" s="10">
        <v>8.3609698617037903E-2</v>
      </c>
      <c r="AE112" s="7" t="s">
        <v>73</v>
      </c>
      <c r="AF112" s="10">
        <v>1.5333914991090301E-2</v>
      </c>
      <c r="AG112" s="10" t="str">
        <f>YEAR(CurrentMtgRatesDataTable89[[#This Row],[asofdate]])&amp;"-"&amp;MONTH(CurrentMtgRatesDataTable89[[#This Row],[asofdate]])</f>
        <v>2006-8</v>
      </c>
      <c r="AH112" s="6">
        <f>((CurrentMtgRatesDataTable89[[#This Row],[SeriesNumValue]]-$D$1)/$D$1+1)*100</f>
        <v>102.22609994060201</v>
      </c>
      <c r="AI112" s="6">
        <f>CurrentMtgRatesDataTable89[[#This Row],[Index]]-AH113</f>
        <v>-1.0088372025119838</v>
      </c>
      <c r="AJ112" s="6">
        <f>VLOOKUP(CurrentMtgRatesDataTable89[[#This Row],[asofdate]],G:H,2,0)</f>
        <v>78.636667015447799</v>
      </c>
      <c r="AK112" s="6">
        <f>VLOOKUP(CurrentMtgRatesDataTable89[[#This Row],[asofdate]],K:L,2,0)</f>
        <v>0.16483333011769599</v>
      </c>
      <c r="AL112" s="6">
        <f>VLOOKUP(CurrentMtgRatesDataTable89[[#This Row],[asofdate]],O:P,2,0)</f>
        <v>37.652579877335498</v>
      </c>
      <c r="AM112" s="6">
        <f>VLOOKUP(CurrentMtgRatesDataTable89[[#This Row],[asofdate]],S:T,2,0)</f>
        <v>0.259163903970826</v>
      </c>
      <c r="AN112" s="6">
        <f>VLOOKUP(CurrentMtgRatesDataTable89[[#This Row],[asofdate]],W:X,2,0)</f>
        <v>733.55251588227702</v>
      </c>
      <c r="AO112" s="6">
        <f>VLOOKUP(CurrentMtgRatesDataTable89[[#This Row],[asofdate]],AA:AB,2,0)</f>
        <v>0.26015553383897599</v>
      </c>
      <c r="AR112" s="7" t="s">
        <v>141</v>
      </c>
      <c r="AS112" s="10">
        <v>4.8345406248694399E-2</v>
      </c>
      <c r="AT112" s="36">
        <f>((CurrentMtgRatesDataTable8711[[#This Row],[SeriesNumValue]]-$D$1)/$D$1+1)*100</f>
        <v>322.30270832462935</v>
      </c>
      <c r="AU112" s="36"/>
      <c r="AW112" s="7" t="s">
        <v>141</v>
      </c>
      <c r="AX112" s="10">
        <v>4.5729186390120899E-2</v>
      </c>
      <c r="AY112" s="36">
        <f>((CurrentMtgRatesDataTable871112[[#This Row],[SeriesNumValue]]-$D$1)/$D$1+1)*100</f>
        <v>304.86124260080601</v>
      </c>
      <c r="AZ112" s="36"/>
      <c r="BB112" s="7" t="s">
        <v>141</v>
      </c>
      <c r="BC112" s="10">
        <v>2.8886846875359602E-2</v>
      </c>
      <c r="BD112" s="39">
        <f>((CurrentMtgRatesDataTable87111213[[#This Row],[SeriesNumValue]]-$D$1)/$D$1+1)*100</f>
        <v>192.57897916906401</v>
      </c>
      <c r="BE112" s="39"/>
      <c r="BG112" s="7" t="s">
        <v>141</v>
      </c>
      <c r="BH112" s="10">
        <v>1.3247374772760801E-2</v>
      </c>
      <c r="BI112" s="39">
        <f>((CurrentMtgRatesDataTable8711121314[[#This Row],[SeriesNumValue]]-$D$1)/$D$1+1)*100</f>
        <v>88.315831818405343</v>
      </c>
      <c r="BJ112" s="39" t="str">
        <f>YEAR(CurrentMtgRatesDataTable8711121314[[#This Row],[asofdate]])&amp;"-"&amp;MONTH(CurrentMtgRatesDataTable8711121314[[#This Row],[asofdate]])</f>
        <v>2012-4</v>
      </c>
      <c r="BK112" s="39">
        <f>CurrentMtgRatesDataTable8711121314[[#This Row],[SeriesNumValue]]</f>
        <v>1.3247374772760801E-2</v>
      </c>
      <c r="BL112" s="39">
        <f>VLOOKUP(CurrentMtgRatesDataTable8711121314[[#This Row],[asofdate]],AR:AT,2,0)</f>
        <v>4.8345406248694399E-2</v>
      </c>
      <c r="BM112" s="35">
        <f>IF(VLOOKUP(CurrentMtgRatesDataTable8711121314[[#This Row],[asofdate]],AW:AY,2,0)&lt;&gt;0,VLOOKUP(CurrentMtgRatesDataTable8711121314[[#This Row],[asofdate]],AW:AY,2,0),BM111)</f>
        <v>4.5729186390120899E-2</v>
      </c>
      <c r="BN112" s="35">
        <f>VLOOKUP(CurrentMtgRatesDataTable8711121314[[#This Row],[asofdate]],BB:BD,2,0)</f>
        <v>2.8886846875359602E-2</v>
      </c>
      <c r="BO112" s="35">
        <f>CurrentMtgRatesDataTable8711121314[[#This Row],[FHA]]+0.5*CurrentMtgRatesDataTable8711121314[[#This Row],[Conventional]]</f>
        <v>5.4969093635074802E-2</v>
      </c>
      <c r="BP112" s="35">
        <f>2*CurrentMtgRatesDataTable8711121314[[#This Row],[FHA]]</f>
        <v>9.6690812497388798E-2</v>
      </c>
      <c r="BQ112" s="11">
        <f>VLOOKUP(YEAR(CurrentMtgRatesDataTable8711121314[[#This Row],[asofdate]]),OriginationVolume!$A:$N,8,FALSE)</f>
        <v>0.69267822736030826</v>
      </c>
      <c r="BR112" s="11">
        <f>VLOOKUP(YEAR(CurrentMtgRatesDataTable8711121314[[#This Row],[asofdate]]),OriginationVolume!$A:$N,9,FALSE)</f>
        <v>4.6965317919075142E-2</v>
      </c>
      <c r="BS112" s="11">
        <f>VLOOKUP(YEAR(CurrentMtgRatesDataTable8711121314[[#This Row],[asofdate]]),OriginationVolume!$A:$N,10,FALSE)</f>
        <v>0.14089595375722544</v>
      </c>
      <c r="BT112" s="11">
        <f>VLOOKUP(YEAR(CurrentMtgRatesDataTable8711121314[[#This Row],[asofdate]]),OriginationVolume!$A:$N,11,FALSE)</f>
        <v>0.10838150289017341</v>
      </c>
      <c r="BU112" s="11">
        <f>VLOOKUP(YEAR(CurrentMtgRatesDataTable8711121314[[#This Row],[asofdate]]),OriginationVolume!$A:$N,12,FALSE)</f>
        <v>9.1522157996146436E-3</v>
      </c>
      <c r="BV112" s="11">
        <f>VLOOKUP(YEAR(CurrentMtgRatesDataTable8711121314[[#This Row],[asofdate]]),OriginationVolume!$A:$N,13,FALSE)</f>
        <v>1.9267822736030828E-3</v>
      </c>
      <c r="BW112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2.0260687512975474E-2</v>
      </c>
      <c r="BY112" s="7" t="s">
        <v>141</v>
      </c>
      <c r="BZ112" s="10">
        <v>6802506000</v>
      </c>
      <c r="CA112" s="36"/>
      <c r="CC112" s="7" t="s">
        <v>141</v>
      </c>
      <c r="CD112" s="10">
        <v>2129724000</v>
      </c>
      <c r="CE112" s="36"/>
      <c r="CG112" s="7" t="s">
        <v>141</v>
      </c>
      <c r="CH112" s="10">
        <v>19871923589.490002</v>
      </c>
      <c r="CI112" s="39"/>
      <c r="CK112" s="7" t="s">
        <v>141</v>
      </c>
      <c r="CL112" s="10">
        <v>10939693589.49</v>
      </c>
      <c r="CM112" s="39" t="str">
        <f>YEAR(CurrentMtgRatesDataTable871112131417[[#This Row],[asofdate]])&amp;"-"&amp;MONTH(CurrentMtgRatesDataTable871112131417[[#This Row],[asofdate]])</f>
        <v>2012-4</v>
      </c>
      <c r="CN112" s="39">
        <f>CurrentMtgRatesDataTable871112131417[[#This Row],[SeriesNumValue]]</f>
        <v>10939693589.49</v>
      </c>
      <c r="CO112" s="39">
        <f>VLOOKUP(CurrentMtgRatesDataTable871112131417[[#This Row],[asofdate]],BY:BZ,2,0)</f>
        <v>6802506000</v>
      </c>
      <c r="CP112" s="35">
        <f>IF(VLOOKUP(CurrentMtgRatesDataTable871112131417[[#This Row],[asofdate]],CC:CD,2,0)&lt;&gt;0,VLOOKUP(CurrentMtgRatesDataTable871112131417[[#This Row],[asofdate]],CC:CD,2,0),CP111)</f>
        <v>2129724000</v>
      </c>
      <c r="CQ112" s="35">
        <f>VLOOKUP(CurrentMtgRatesDataTable871112131417[[#This Row],[asofdate]],CG:CH,2,0)</f>
        <v>19871923589.490002</v>
      </c>
    </row>
    <row r="113" spans="1:95" s="8" customFormat="1" ht="12.75">
      <c r="A113" s="7" t="s">
        <v>9</v>
      </c>
      <c r="B113" s="10">
        <v>1.29593289554329E-2</v>
      </c>
      <c r="C113" s="10" t="str">
        <f>YEAR(CurrentMtgRatesDataTable8[[#This Row],[asofdate]])&amp;"-"&amp;MONTH(CurrentMtgRatesDataTable8[[#This Row],[asofdate]])</f>
        <v>2012-5</v>
      </c>
      <c r="D113" s="6">
        <f>((CurrentMtgRatesDataTable8[[#This Row],[SeriesNumValue]]-$D$1)/$D$1+1)*100</f>
        <v>86.395526369552684</v>
      </c>
      <c r="E113" s="6"/>
      <c r="G113" s="7" t="s">
        <v>9</v>
      </c>
      <c r="H113" s="10">
        <v>80.039959057495395</v>
      </c>
      <c r="I113" s="26">
        <f>VLOOKUP(CurrentMtgRatesDataTable82[[#This Row],[asofdate]],K:L,2,0)</f>
        <v>0.20659910837783499</v>
      </c>
      <c r="K113" s="7" t="s">
        <v>9</v>
      </c>
      <c r="L113" s="29">
        <v>0.20659910837783499</v>
      </c>
      <c r="O113" s="7" t="s">
        <v>9</v>
      </c>
      <c r="P113" s="10">
        <v>33.384740820904597</v>
      </c>
      <c r="Q113" s="29">
        <f>VLOOKUP(CurrentMtgRatesDataTable84[[#This Row],[asofdate]],S:T,2,0)</f>
        <v>0.25395306698819098</v>
      </c>
      <c r="S113" s="7" t="s">
        <v>9</v>
      </c>
      <c r="T113" s="10">
        <v>0.25395306698819098</v>
      </c>
      <c r="W113" s="7" t="s">
        <v>9</v>
      </c>
      <c r="X113" s="10">
        <v>761.22417340280003</v>
      </c>
      <c r="Y113" s="26">
        <f>VLOOKUP(CurrentMtgRatesDataTable86[[#This Row],[asofdate]],AA:AB,2,0)</f>
        <v>8.2457761148304595E-2</v>
      </c>
      <c r="AA113" s="7" t="s">
        <v>9</v>
      </c>
      <c r="AB113" s="10">
        <v>8.2457761148304595E-2</v>
      </c>
      <c r="AE113" s="7" t="s">
        <v>72</v>
      </c>
      <c r="AF113" s="10">
        <v>1.54852405714671E-2</v>
      </c>
      <c r="AG113" s="10" t="str">
        <f>YEAR(CurrentMtgRatesDataTable89[[#This Row],[asofdate]])&amp;"-"&amp;MONTH(CurrentMtgRatesDataTable89[[#This Row],[asofdate]])</f>
        <v>2006-7</v>
      </c>
      <c r="AH113" s="6">
        <f>((CurrentMtgRatesDataTable89[[#This Row],[SeriesNumValue]]-$D$1)/$D$1+1)*100</f>
        <v>103.234937143114</v>
      </c>
      <c r="AI113" s="6">
        <f>CurrentMtgRatesDataTable89[[#This Row],[Index]]-AH114</f>
        <v>1.5206343493393319</v>
      </c>
      <c r="AJ113" s="6">
        <f>VLOOKUP(CurrentMtgRatesDataTable89[[#This Row],[asofdate]],G:H,2,0)</f>
        <v>78.765290924066704</v>
      </c>
      <c r="AK113" s="6">
        <f>VLOOKUP(CurrentMtgRatesDataTable89[[#This Row],[asofdate]],K:L,2,0)</f>
        <v>0.16509874727797</v>
      </c>
      <c r="AL113" s="6">
        <f>VLOOKUP(CurrentMtgRatesDataTable89[[#This Row],[asofdate]],O:P,2,0)</f>
        <v>37.630284650424002</v>
      </c>
      <c r="AM113" s="6">
        <f>VLOOKUP(CurrentMtgRatesDataTable89[[#This Row],[asofdate]],S:T,2,0)</f>
        <v>0.25385801090037102</v>
      </c>
      <c r="AN113" s="6">
        <f>VLOOKUP(CurrentMtgRatesDataTable89[[#This Row],[asofdate]],W:X,2,0)</f>
        <v>732.98461213720498</v>
      </c>
      <c r="AO113" s="6">
        <f>VLOOKUP(CurrentMtgRatesDataTable89[[#This Row],[asofdate]],AA:AB,2,0)</f>
        <v>0.26404056393812197</v>
      </c>
      <c r="AR113" s="7" t="s">
        <v>9</v>
      </c>
      <c r="AS113" s="10">
        <v>4.7200576073014297E-2</v>
      </c>
      <c r="AT113" s="36">
        <f>((CurrentMtgRatesDataTable8711[[#This Row],[SeriesNumValue]]-$D$1)/$D$1+1)*100</f>
        <v>314.67050715342867</v>
      </c>
      <c r="AU113" s="36"/>
      <c r="AW113" s="7" t="s">
        <v>9</v>
      </c>
      <c r="AX113" s="10">
        <v>4.3987919201613497E-2</v>
      </c>
      <c r="AY113" s="36">
        <f>((CurrentMtgRatesDataTable871112[[#This Row],[SeriesNumValue]]-$D$1)/$D$1+1)*100</f>
        <v>293.25279467742337</v>
      </c>
      <c r="AZ113" s="36"/>
      <c r="BB113" s="7" t="s">
        <v>9</v>
      </c>
      <c r="BC113" s="10">
        <v>2.7973207610378199E-2</v>
      </c>
      <c r="BD113" s="39">
        <f>((CurrentMtgRatesDataTable87111213[[#This Row],[SeriesNumValue]]-$D$1)/$D$1+1)*100</f>
        <v>186.48805073585467</v>
      </c>
      <c r="BE113" s="39"/>
      <c r="BG113" s="7" t="s">
        <v>9</v>
      </c>
      <c r="BH113" s="10">
        <v>1.28225727158472E-2</v>
      </c>
      <c r="BI113" s="39">
        <f>((CurrentMtgRatesDataTable8711121314[[#This Row],[SeriesNumValue]]-$D$1)/$D$1+1)*100</f>
        <v>85.483818105647998</v>
      </c>
      <c r="BJ113" s="39" t="str">
        <f>YEAR(CurrentMtgRatesDataTable8711121314[[#This Row],[asofdate]])&amp;"-"&amp;MONTH(CurrentMtgRatesDataTable8711121314[[#This Row],[asofdate]])</f>
        <v>2012-5</v>
      </c>
      <c r="BK113" s="39">
        <f>CurrentMtgRatesDataTable8711121314[[#This Row],[SeriesNumValue]]</f>
        <v>1.28225727158472E-2</v>
      </c>
      <c r="BL113" s="39">
        <f>VLOOKUP(CurrentMtgRatesDataTable8711121314[[#This Row],[asofdate]],AR:AT,2,0)</f>
        <v>4.7200576073014297E-2</v>
      </c>
      <c r="BM113" s="35">
        <f>IF(VLOOKUP(CurrentMtgRatesDataTable8711121314[[#This Row],[asofdate]],AW:AY,2,0)&lt;&gt;0,VLOOKUP(CurrentMtgRatesDataTable8711121314[[#This Row],[asofdate]],AW:AY,2,0),BM112)</f>
        <v>4.3987919201613497E-2</v>
      </c>
      <c r="BN113" s="35">
        <f>VLOOKUP(CurrentMtgRatesDataTable8711121314[[#This Row],[asofdate]],BB:BD,2,0)</f>
        <v>2.7973207610378199E-2</v>
      </c>
      <c r="BO113" s="35">
        <f>CurrentMtgRatesDataTable8711121314[[#This Row],[FHA]]+0.5*CurrentMtgRatesDataTable8711121314[[#This Row],[Conventional]]</f>
        <v>5.36118624309379E-2</v>
      </c>
      <c r="BP113" s="35">
        <f>2*CurrentMtgRatesDataTable8711121314[[#This Row],[FHA]]</f>
        <v>9.4401152146028594E-2</v>
      </c>
      <c r="BQ113" s="11">
        <f>VLOOKUP(YEAR(CurrentMtgRatesDataTable8711121314[[#This Row],[asofdate]]),OriginationVolume!$A:$N,8,FALSE)</f>
        <v>0.69267822736030826</v>
      </c>
      <c r="BR113" s="11">
        <f>VLOOKUP(YEAR(CurrentMtgRatesDataTable8711121314[[#This Row],[asofdate]]),OriginationVolume!$A:$N,9,FALSE)</f>
        <v>4.6965317919075142E-2</v>
      </c>
      <c r="BS113" s="11">
        <f>VLOOKUP(YEAR(CurrentMtgRatesDataTable8711121314[[#This Row],[asofdate]]),OriginationVolume!$A:$N,10,FALSE)</f>
        <v>0.14089595375722544</v>
      </c>
      <c r="BT113" s="11">
        <f>VLOOKUP(YEAR(CurrentMtgRatesDataTable8711121314[[#This Row],[asofdate]]),OriginationVolume!$A:$N,11,FALSE)</f>
        <v>0.10838150289017341</v>
      </c>
      <c r="BU113" s="11">
        <f>VLOOKUP(YEAR(CurrentMtgRatesDataTable8711121314[[#This Row],[asofdate]]),OriginationVolume!$A:$N,12,FALSE)</f>
        <v>9.1522157996146436E-3</v>
      </c>
      <c r="BV113" s="11">
        <f>VLOOKUP(YEAR(CurrentMtgRatesDataTable8711121314[[#This Row],[asofdate]]),OriginationVolume!$A:$N,13,FALSE)</f>
        <v>1.9267822736030828E-3</v>
      </c>
      <c r="BW113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1.9660481235423802E-2</v>
      </c>
      <c r="BY113" s="7" t="s">
        <v>9</v>
      </c>
      <c r="BZ113" s="10">
        <v>9101987000</v>
      </c>
      <c r="CA113" s="36"/>
      <c r="CC113" s="7" t="s">
        <v>9</v>
      </c>
      <c r="CD113" s="10">
        <v>2746106000</v>
      </c>
      <c r="CE113" s="36"/>
      <c r="CG113" s="7" t="s">
        <v>9</v>
      </c>
      <c r="CH113" s="10">
        <v>26497760667.029999</v>
      </c>
      <c r="CI113" s="39"/>
      <c r="CK113" s="7" t="s">
        <v>9</v>
      </c>
      <c r="CL113" s="10">
        <v>14649667667.030001</v>
      </c>
      <c r="CM113" s="39" t="str">
        <f>YEAR(CurrentMtgRatesDataTable871112131417[[#This Row],[asofdate]])&amp;"-"&amp;MONTH(CurrentMtgRatesDataTable871112131417[[#This Row],[asofdate]])</f>
        <v>2012-5</v>
      </c>
      <c r="CN113" s="39">
        <f>CurrentMtgRatesDataTable871112131417[[#This Row],[SeriesNumValue]]</f>
        <v>14649667667.030001</v>
      </c>
      <c r="CO113" s="39">
        <f>VLOOKUP(CurrentMtgRatesDataTable871112131417[[#This Row],[asofdate]],BY:BZ,2,0)</f>
        <v>9101987000</v>
      </c>
      <c r="CP113" s="35">
        <f>IF(VLOOKUP(CurrentMtgRatesDataTable871112131417[[#This Row],[asofdate]],CC:CD,2,0)&lt;&gt;0,VLOOKUP(CurrentMtgRatesDataTable871112131417[[#This Row],[asofdate]],CC:CD,2,0),CP112)</f>
        <v>2746106000</v>
      </c>
      <c r="CQ113" s="35">
        <f>VLOOKUP(CurrentMtgRatesDataTable871112131417[[#This Row],[asofdate]],CG:CH,2,0)</f>
        <v>26497760667.029999</v>
      </c>
    </row>
    <row r="114" spans="1:95" s="8" customFormat="1" ht="12.75">
      <c r="A114" s="7" t="s">
        <v>17</v>
      </c>
      <c r="B114" s="10">
        <v>1.3682182088131E-2</v>
      </c>
      <c r="C114" s="10" t="str">
        <f>YEAR(CurrentMtgRatesDataTable8[[#This Row],[asofdate]])&amp;"-"&amp;MONTH(CurrentMtgRatesDataTable8[[#This Row],[asofdate]])</f>
        <v>2012-6</v>
      </c>
      <c r="D114" s="6">
        <f>((CurrentMtgRatesDataTable8[[#This Row],[SeriesNumValue]]-$D$1)/$D$1+1)*100</f>
        <v>91.214547254206664</v>
      </c>
      <c r="E114" s="6"/>
      <c r="G114" s="7" t="s">
        <v>17</v>
      </c>
      <c r="H114" s="10">
        <v>80.204489012117605</v>
      </c>
      <c r="I114" s="26">
        <f>VLOOKUP(CurrentMtgRatesDataTable82[[#This Row],[asofdate]],K:L,2,0)</f>
        <v>0.21265774870120199</v>
      </c>
      <c r="K114" s="7" t="s">
        <v>17</v>
      </c>
      <c r="L114" s="29">
        <v>0.21265774870120199</v>
      </c>
      <c r="O114" s="7" t="s">
        <v>17</v>
      </c>
      <c r="P114" s="10">
        <v>33.320338476894001</v>
      </c>
      <c r="Q114" s="29">
        <f>VLOOKUP(CurrentMtgRatesDataTable84[[#This Row],[asofdate]],S:T,2,0)</f>
        <v>0.25766810760182601</v>
      </c>
      <c r="S114" s="7" t="s">
        <v>17</v>
      </c>
      <c r="T114" s="10">
        <v>0.25766810760182601</v>
      </c>
      <c r="W114" s="7" t="s">
        <v>17</v>
      </c>
      <c r="X114" s="10">
        <v>761.68341085260897</v>
      </c>
      <c r="Y114" s="26">
        <f>VLOOKUP(CurrentMtgRatesDataTable86[[#This Row],[asofdate]],AA:AB,2,0)</f>
        <v>8.1933479384901697E-2</v>
      </c>
      <c r="AA114" s="7" t="s">
        <v>17</v>
      </c>
      <c r="AB114" s="10">
        <v>8.1933479384901697E-2</v>
      </c>
      <c r="AE114" s="7" t="s">
        <v>71</v>
      </c>
      <c r="AF114" s="10">
        <v>1.52571454190662E-2</v>
      </c>
      <c r="AG114" s="10" t="str">
        <f>YEAR(CurrentMtgRatesDataTable89[[#This Row],[asofdate]])&amp;"-"&amp;MONTH(CurrentMtgRatesDataTable89[[#This Row],[asofdate]])</f>
        <v>2006-6</v>
      </c>
      <c r="AH114" s="6">
        <f>((CurrentMtgRatesDataTable89[[#This Row],[SeriesNumValue]]-$D$1)/$D$1+1)*100</f>
        <v>101.71430279377466</v>
      </c>
      <c r="AI114" s="6">
        <f>CurrentMtgRatesDataTable89[[#This Row],[Index]]-AH115</f>
        <v>0.89733289491599066</v>
      </c>
      <c r="AJ114" s="6">
        <f>VLOOKUP(CurrentMtgRatesDataTable89[[#This Row],[asofdate]],G:H,2,0)</f>
        <v>78.735532502303599</v>
      </c>
      <c r="AK114" s="6">
        <f>VLOOKUP(CurrentMtgRatesDataTable89[[#This Row],[asofdate]],K:L,2,0)</f>
        <v>0.166487927243791</v>
      </c>
      <c r="AL114" s="6">
        <f>VLOOKUP(CurrentMtgRatesDataTable89[[#This Row],[asofdate]],O:P,2,0)</f>
        <v>37.284968784457597</v>
      </c>
      <c r="AM114" s="6">
        <f>VLOOKUP(CurrentMtgRatesDataTable89[[#This Row],[asofdate]],S:T,2,0)</f>
        <v>0.250967229847814</v>
      </c>
      <c r="AN114" s="6">
        <f>VLOOKUP(CurrentMtgRatesDataTable89[[#This Row],[asofdate]],W:X,2,0)</f>
        <v>732.29576439030302</v>
      </c>
      <c r="AO114" s="6">
        <f>VLOOKUP(CurrentMtgRatesDataTable89[[#This Row],[asofdate]],AA:AB,2,0)</f>
        <v>0.26924096627271599</v>
      </c>
      <c r="AR114" s="7" t="s">
        <v>17</v>
      </c>
      <c r="AS114" s="10">
        <v>4.87455541273265E-2</v>
      </c>
      <c r="AT114" s="36">
        <f>((CurrentMtgRatesDataTable8711[[#This Row],[SeriesNumValue]]-$D$1)/$D$1+1)*100</f>
        <v>324.97036084884337</v>
      </c>
      <c r="AU114" s="36"/>
      <c r="AW114" s="7" t="s">
        <v>17</v>
      </c>
      <c r="AX114" s="10">
        <v>4.4928326738978099E-2</v>
      </c>
      <c r="AY114" s="36">
        <f>((CurrentMtgRatesDataTable871112[[#This Row],[SeriesNumValue]]-$D$1)/$D$1+1)*100</f>
        <v>299.522178259854</v>
      </c>
      <c r="AZ114" s="36"/>
      <c r="BB114" s="7" t="s">
        <v>17</v>
      </c>
      <c r="BC114" s="10">
        <v>2.9030036671829799E-2</v>
      </c>
      <c r="BD114" s="39">
        <f>((CurrentMtgRatesDataTable87111213[[#This Row],[SeriesNumValue]]-$D$1)/$D$1+1)*100</f>
        <v>193.53357781219867</v>
      </c>
      <c r="BE114" s="39"/>
      <c r="BG114" s="7" t="s">
        <v>17</v>
      </c>
      <c r="BH114" s="10">
        <v>1.34595905180787E-2</v>
      </c>
      <c r="BI114" s="39">
        <f>((CurrentMtgRatesDataTable8711121314[[#This Row],[SeriesNumValue]]-$D$1)/$D$1+1)*100</f>
        <v>89.730603453858009</v>
      </c>
      <c r="BJ114" s="39" t="str">
        <f>YEAR(CurrentMtgRatesDataTable8711121314[[#This Row],[asofdate]])&amp;"-"&amp;MONTH(CurrentMtgRatesDataTable8711121314[[#This Row],[asofdate]])</f>
        <v>2012-6</v>
      </c>
      <c r="BK114" s="39">
        <f>CurrentMtgRatesDataTable8711121314[[#This Row],[SeriesNumValue]]</f>
        <v>1.34595905180787E-2</v>
      </c>
      <c r="BL114" s="39">
        <f>VLOOKUP(CurrentMtgRatesDataTable8711121314[[#This Row],[asofdate]],AR:AT,2,0)</f>
        <v>4.87455541273265E-2</v>
      </c>
      <c r="BM114" s="35">
        <f>IF(VLOOKUP(CurrentMtgRatesDataTable8711121314[[#This Row],[asofdate]],AW:AY,2,0)&lt;&gt;0,VLOOKUP(CurrentMtgRatesDataTable8711121314[[#This Row],[asofdate]],AW:AY,2,0),BM113)</f>
        <v>4.4928326738978099E-2</v>
      </c>
      <c r="BN114" s="35">
        <f>VLOOKUP(CurrentMtgRatesDataTable8711121314[[#This Row],[asofdate]],BB:BD,2,0)</f>
        <v>2.9030036671829799E-2</v>
      </c>
      <c r="BO114" s="35">
        <f>CurrentMtgRatesDataTable8711121314[[#This Row],[FHA]]+0.5*CurrentMtgRatesDataTable8711121314[[#This Row],[Conventional]]</f>
        <v>5.5475349386365849E-2</v>
      </c>
      <c r="BP114" s="35">
        <f>2*CurrentMtgRatesDataTable8711121314[[#This Row],[FHA]]</f>
        <v>9.7491108254653E-2</v>
      </c>
      <c r="BQ114" s="11">
        <f>VLOOKUP(YEAR(CurrentMtgRatesDataTable8711121314[[#This Row],[asofdate]]),OriginationVolume!$A:$N,8,FALSE)</f>
        <v>0.69267822736030826</v>
      </c>
      <c r="BR114" s="11">
        <f>VLOOKUP(YEAR(CurrentMtgRatesDataTable8711121314[[#This Row],[asofdate]]),OriginationVolume!$A:$N,9,FALSE)</f>
        <v>4.6965317919075142E-2</v>
      </c>
      <c r="BS114" s="11">
        <f>VLOOKUP(YEAR(CurrentMtgRatesDataTable8711121314[[#This Row],[asofdate]]),OriginationVolume!$A:$N,10,FALSE)</f>
        <v>0.14089595375722544</v>
      </c>
      <c r="BT114" s="11">
        <f>VLOOKUP(YEAR(CurrentMtgRatesDataTable8711121314[[#This Row],[asofdate]]),OriginationVolume!$A:$N,11,FALSE)</f>
        <v>0.10838150289017341</v>
      </c>
      <c r="BU114" s="11">
        <f>VLOOKUP(YEAR(CurrentMtgRatesDataTable8711121314[[#This Row],[asofdate]]),OriginationVolume!$A:$N,12,FALSE)</f>
        <v>9.1522157996146436E-3</v>
      </c>
      <c r="BV114" s="11">
        <f>VLOOKUP(YEAR(CurrentMtgRatesDataTable8711121314[[#This Row],[asofdate]]),OriginationVolume!$A:$N,13,FALSE)</f>
        <v>1.9267822736030828E-3</v>
      </c>
      <c r="BW114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2.0455626947118406E-2</v>
      </c>
      <c r="BY114" s="7" t="s">
        <v>17</v>
      </c>
      <c r="BZ114" s="10">
        <v>9457697000</v>
      </c>
      <c r="CA114" s="36"/>
      <c r="CC114" s="7" t="s">
        <v>17</v>
      </c>
      <c r="CD114" s="10">
        <v>2848847000</v>
      </c>
      <c r="CE114" s="36"/>
      <c r="CG114" s="7" t="s">
        <v>17</v>
      </c>
      <c r="CH114" s="10">
        <v>28552816390.639999</v>
      </c>
      <c r="CI114" s="39"/>
      <c r="CK114" s="7" t="s">
        <v>17</v>
      </c>
      <c r="CL114" s="10">
        <v>16246272390.639999</v>
      </c>
      <c r="CM114" s="39" t="str">
        <f>YEAR(CurrentMtgRatesDataTable871112131417[[#This Row],[asofdate]])&amp;"-"&amp;MONTH(CurrentMtgRatesDataTable871112131417[[#This Row],[asofdate]])</f>
        <v>2012-6</v>
      </c>
      <c r="CN114" s="39">
        <f>CurrentMtgRatesDataTable871112131417[[#This Row],[SeriesNumValue]]</f>
        <v>16246272390.639999</v>
      </c>
      <c r="CO114" s="39">
        <f>VLOOKUP(CurrentMtgRatesDataTable871112131417[[#This Row],[asofdate]],BY:BZ,2,0)</f>
        <v>9457697000</v>
      </c>
      <c r="CP114" s="35">
        <f>IF(VLOOKUP(CurrentMtgRatesDataTable871112131417[[#This Row],[asofdate]],CC:CD,2,0)&lt;&gt;0,VLOOKUP(CurrentMtgRatesDataTable871112131417[[#This Row],[asofdate]],CC:CD,2,0),CP113)</f>
        <v>2848847000</v>
      </c>
      <c r="CQ114" s="35">
        <f>VLOOKUP(CurrentMtgRatesDataTable871112131417[[#This Row],[asofdate]],CG:CH,2,0)</f>
        <v>28552816390.639999</v>
      </c>
    </row>
    <row r="115" spans="1:95" s="8" customFormat="1" ht="12.75">
      <c r="A115" s="7" t="s">
        <v>142</v>
      </c>
      <c r="B115" s="10">
        <v>1.41908284025984E-2</v>
      </c>
      <c r="C115" s="10" t="str">
        <f>YEAR(CurrentMtgRatesDataTable8[[#This Row],[asofdate]])&amp;"-"&amp;MONTH(CurrentMtgRatesDataTable8[[#This Row],[asofdate]])</f>
        <v>2012-7</v>
      </c>
      <c r="D115" s="6">
        <f>((CurrentMtgRatesDataTable8[[#This Row],[SeriesNumValue]]-$D$1)/$D$1+1)*100</f>
        <v>94.605522683989335</v>
      </c>
      <c r="E115" s="6"/>
      <c r="G115" s="7" t="s">
        <v>142</v>
      </c>
      <c r="H115" s="10">
        <v>80.424238430996297</v>
      </c>
      <c r="I115" s="26">
        <f>VLOOKUP(CurrentMtgRatesDataTable82[[#This Row],[asofdate]],K:L,2,0)</f>
        <v>0.22455297260877299</v>
      </c>
      <c r="K115" s="7" t="s">
        <v>142</v>
      </c>
      <c r="L115" s="29">
        <v>0.22455297260877299</v>
      </c>
      <c r="O115" s="7" t="s">
        <v>142</v>
      </c>
      <c r="P115" s="10">
        <v>33.121553145547502</v>
      </c>
      <c r="Q115" s="29">
        <f>VLOOKUP(CurrentMtgRatesDataTable84[[#This Row],[asofdate]],S:T,2,0)</f>
        <v>0.25450284175931598</v>
      </c>
      <c r="S115" s="7" t="s">
        <v>142</v>
      </c>
      <c r="T115" s="10">
        <v>0.25450284175931598</v>
      </c>
      <c r="W115" s="7" t="s">
        <v>142</v>
      </c>
      <c r="X115" s="10">
        <v>761.324488050215</v>
      </c>
      <c r="Y115" s="26">
        <f>VLOOKUP(CurrentMtgRatesDataTable86[[#This Row],[asofdate]],AA:AB,2,0)</f>
        <v>8.4418496999786194E-2</v>
      </c>
      <c r="AA115" s="7" t="s">
        <v>142</v>
      </c>
      <c r="AB115" s="10">
        <v>8.4418496999786194E-2</v>
      </c>
      <c r="AE115" s="7" t="s">
        <v>70</v>
      </c>
      <c r="AF115" s="10">
        <v>1.51225454848288E-2</v>
      </c>
      <c r="AG115" s="10" t="str">
        <f>YEAR(CurrentMtgRatesDataTable89[[#This Row],[asofdate]])&amp;"-"&amp;MONTH(CurrentMtgRatesDataTable89[[#This Row],[asofdate]])</f>
        <v>2006-5</v>
      </c>
      <c r="AH115" s="6">
        <f>((CurrentMtgRatesDataTable89[[#This Row],[SeriesNumValue]]-$D$1)/$D$1+1)*100</f>
        <v>100.81696989885867</v>
      </c>
      <c r="AI115" s="6">
        <f>CurrentMtgRatesDataTable89[[#This Row],[Index]]-AH116</f>
        <v>-4.8568161930513298</v>
      </c>
      <c r="AJ115" s="6">
        <f>VLOOKUP(CurrentMtgRatesDataTable89[[#This Row],[asofdate]],G:H,2,0)</f>
        <v>78.594347051939593</v>
      </c>
      <c r="AK115" s="6">
        <f>VLOOKUP(CurrentMtgRatesDataTable89[[#This Row],[asofdate]],K:L,2,0)</f>
        <v>0.16247581027591801</v>
      </c>
      <c r="AL115" s="6">
        <f>VLOOKUP(CurrentMtgRatesDataTable89[[#This Row],[asofdate]],O:P,2,0)</f>
        <v>37.455662044979697</v>
      </c>
      <c r="AM115" s="6">
        <f>VLOOKUP(CurrentMtgRatesDataTable89[[#This Row],[asofdate]],S:T,2,0)</f>
        <v>0.25530695689293598</v>
      </c>
      <c r="AN115" s="6">
        <f>VLOOKUP(CurrentMtgRatesDataTable89[[#This Row],[asofdate]],W:X,2,0)</f>
        <v>732.220369288553</v>
      </c>
      <c r="AO115" s="6">
        <f>VLOOKUP(CurrentMtgRatesDataTable89[[#This Row],[asofdate]],AA:AB,2,0)</f>
        <v>0.269545751649933</v>
      </c>
      <c r="AR115" s="7" t="s">
        <v>142</v>
      </c>
      <c r="AS115" s="10">
        <v>5.01526295017918E-2</v>
      </c>
      <c r="AT115" s="36">
        <f>((CurrentMtgRatesDataTable8711[[#This Row],[SeriesNumValue]]-$D$1)/$D$1+1)*100</f>
        <v>334.35086334527864</v>
      </c>
      <c r="AU115" s="36"/>
      <c r="AW115" s="7" t="s">
        <v>142</v>
      </c>
      <c r="AX115" s="10">
        <v>4.52225899073396E-2</v>
      </c>
      <c r="AY115" s="36">
        <f>((CurrentMtgRatesDataTable871112[[#This Row],[SeriesNumValue]]-$D$1)/$D$1+1)*100</f>
        <v>301.48393271559735</v>
      </c>
      <c r="AZ115" s="36"/>
      <c r="BB115" s="7" t="s">
        <v>142</v>
      </c>
      <c r="BC115" s="10">
        <v>2.9559605426103301E-2</v>
      </c>
      <c r="BD115" s="39">
        <f>((CurrentMtgRatesDataTable87111213[[#This Row],[SeriesNumValue]]-$D$1)/$D$1+1)*100</f>
        <v>197.06403617402202</v>
      </c>
      <c r="BE115" s="39"/>
      <c r="BG115" s="7" t="s">
        <v>142</v>
      </c>
      <c r="BH115" s="10">
        <v>1.38760274451609E-2</v>
      </c>
      <c r="BI115" s="39">
        <f>((CurrentMtgRatesDataTable8711121314[[#This Row],[SeriesNumValue]]-$D$1)/$D$1+1)*100</f>
        <v>92.506849634406009</v>
      </c>
      <c r="BJ115" s="39" t="str">
        <f>YEAR(CurrentMtgRatesDataTable8711121314[[#This Row],[asofdate]])&amp;"-"&amp;MONTH(CurrentMtgRatesDataTable8711121314[[#This Row],[asofdate]])</f>
        <v>2012-7</v>
      </c>
      <c r="BK115" s="39">
        <f>CurrentMtgRatesDataTable8711121314[[#This Row],[SeriesNumValue]]</f>
        <v>1.38760274451609E-2</v>
      </c>
      <c r="BL115" s="39">
        <f>VLOOKUP(CurrentMtgRatesDataTable8711121314[[#This Row],[asofdate]],AR:AT,2,0)</f>
        <v>5.01526295017918E-2</v>
      </c>
      <c r="BM115" s="35">
        <f>IF(VLOOKUP(CurrentMtgRatesDataTable8711121314[[#This Row],[asofdate]],AW:AY,2,0)&lt;&gt;0,VLOOKUP(CurrentMtgRatesDataTable8711121314[[#This Row],[asofdate]],AW:AY,2,0),BM114)</f>
        <v>4.52225899073396E-2</v>
      </c>
      <c r="BN115" s="35">
        <f>VLOOKUP(CurrentMtgRatesDataTable8711121314[[#This Row],[asofdate]],BB:BD,2,0)</f>
        <v>2.9559605426103301E-2</v>
      </c>
      <c r="BO115" s="35">
        <f>CurrentMtgRatesDataTable8711121314[[#This Row],[FHA]]+0.5*CurrentMtgRatesDataTable8711121314[[#This Row],[Conventional]]</f>
        <v>5.7090643224372253E-2</v>
      </c>
      <c r="BP115" s="35">
        <f>2*CurrentMtgRatesDataTable8711121314[[#This Row],[FHA]]</f>
        <v>0.1003052590035836</v>
      </c>
      <c r="BQ115" s="11">
        <f>VLOOKUP(YEAR(CurrentMtgRatesDataTable8711121314[[#This Row],[asofdate]]),OriginationVolume!$A:$N,8,FALSE)</f>
        <v>0.69267822736030826</v>
      </c>
      <c r="BR115" s="11">
        <f>VLOOKUP(YEAR(CurrentMtgRatesDataTable8711121314[[#This Row],[asofdate]]),OriginationVolume!$A:$N,9,FALSE)</f>
        <v>4.6965317919075142E-2</v>
      </c>
      <c r="BS115" s="11">
        <f>VLOOKUP(YEAR(CurrentMtgRatesDataTable8711121314[[#This Row],[asofdate]]),OriginationVolume!$A:$N,10,FALSE)</f>
        <v>0.14089595375722544</v>
      </c>
      <c r="BT115" s="11">
        <f>VLOOKUP(YEAR(CurrentMtgRatesDataTable8711121314[[#This Row],[asofdate]]),OriginationVolume!$A:$N,11,FALSE)</f>
        <v>0.10838150289017341</v>
      </c>
      <c r="BU115" s="11">
        <f>VLOOKUP(YEAR(CurrentMtgRatesDataTable8711121314[[#This Row],[asofdate]]),OriginationVolume!$A:$N,12,FALSE)</f>
        <v>9.1522157996146436E-3</v>
      </c>
      <c r="BV115" s="11">
        <f>VLOOKUP(YEAR(CurrentMtgRatesDataTable8711121314[[#This Row],[asofdate]]),OriginationVolume!$A:$N,13,FALSE)</f>
        <v>1.9267822736030828E-3</v>
      </c>
      <c r="BW115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2.1021494963304289E-2</v>
      </c>
      <c r="BY115" s="7" t="s">
        <v>142</v>
      </c>
      <c r="BZ115" s="10">
        <v>10628814000</v>
      </c>
      <c r="CA115" s="36"/>
      <c r="CC115" s="7" t="s">
        <v>142</v>
      </c>
      <c r="CD115" s="10">
        <v>3569092000</v>
      </c>
      <c r="CE115" s="36"/>
      <c r="CG115" s="7" t="s">
        <v>142</v>
      </c>
      <c r="CH115" s="10">
        <v>33983864651.150002</v>
      </c>
      <c r="CI115" s="39"/>
      <c r="CK115" s="7" t="s">
        <v>142</v>
      </c>
      <c r="CL115" s="10">
        <v>19785958651.150002</v>
      </c>
      <c r="CM115" s="39" t="str">
        <f>YEAR(CurrentMtgRatesDataTable871112131417[[#This Row],[asofdate]])&amp;"-"&amp;MONTH(CurrentMtgRatesDataTable871112131417[[#This Row],[asofdate]])</f>
        <v>2012-7</v>
      </c>
      <c r="CN115" s="39">
        <f>CurrentMtgRatesDataTable871112131417[[#This Row],[SeriesNumValue]]</f>
        <v>19785958651.150002</v>
      </c>
      <c r="CO115" s="39">
        <f>VLOOKUP(CurrentMtgRatesDataTable871112131417[[#This Row],[asofdate]],BY:BZ,2,0)</f>
        <v>10628814000</v>
      </c>
      <c r="CP115" s="35">
        <f>IF(VLOOKUP(CurrentMtgRatesDataTable871112131417[[#This Row],[asofdate]],CC:CD,2,0)&lt;&gt;0,VLOOKUP(CurrentMtgRatesDataTable871112131417[[#This Row],[asofdate]],CC:CD,2,0),CP114)</f>
        <v>3569092000</v>
      </c>
      <c r="CQ115" s="35">
        <f>VLOOKUP(CurrentMtgRatesDataTable871112131417[[#This Row],[asofdate]],CG:CH,2,0)</f>
        <v>33983864651.150002</v>
      </c>
    </row>
    <row r="116" spans="1:95" s="8" customFormat="1" ht="12.75">
      <c r="A116" s="7" t="s">
        <v>6</v>
      </c>
      <c r="B116" s="10">
        <v>1.42525975058555E-2</v>
      </c>
      <c r="C116" s="10" t="str">
        <f>YEAR(CurrentMtgRatesDataTable8[[#This Row],[asofdate]])&amp;"-"&amp;MONTH(CurrentMtgRatesDataTable8[[#This Row],[asofdate]])</f>
        <v>2012-8</v>
      </c>
      <c r="D116" s="6">
        <f>((CurrentMtgRatesDataTable8[[#This Row],[SeriesNumValue]]-$D$1)/$D$1+1)*100</f>
        <v>95.017316705703337</v>
      </c>
      <c r="E116" s="6"/>
      <c r="G116" s="7" t="s">
        <v>6</v>
      </c>
      <c r="H116" s="10">
        <v>80.519349568409496</v>
      </c>
      <c r="I116" s="26">
        <f>VLOOKUP(CurrentMtgRatesDataTable82[[#This Row],[asofdate]],K:L,2,0)</f>
        <v>0.230359293851325</v>
      </c>
      <c r="K116" s="7" t="s">
        <v>6</v>
      </c>
      <c r="L116" s="29">
        <v>0.230359293851325</v>
      </c>
      <c r="O116" s="7" t="s">
        <v>6</v>
      </c>
      <c r="P116" s="10">
        <v>32.914525130729601</v>
      </c>
      <c r="Q116" s="29">
        <f>VLOOKUP(CurrentMtgRatesDataTable84[[#This Row],[asofdate]],S:T,2,0)</f>
        <v>0.24575163744130599</v>
      </c>
      <c r="S116" s="7" t="s">
        <v>6</v>
      </c>
      <c r="T116" s="10">
        <v>0.24575163744130599</v>
      </c>
      <c r="W116" s="7" t="s">
        <v>6</v>
      </c>
      <c r="X116" s="10">
        <v>761.20950224818</v>
      </c>
      <c r="Y116" s="26">
        <f>VLOOKUP(CurrentMtgRatesDataTable86[[#This Row],[asofdate]],AA:AB,2,0)</f>
        <v>8.33927063634268E-2</v>
      </c>
      <c r="AA116" s="7" t="s">
        <v>6</v>
      </c>
      <c r="AB116" s="10">
        <v>8.33927063634268E-2</v>
      </c>
      <c r="AE116" s="7" t="s">
        <v>69</v>
      </c>
      <c r="AF116" s="10">
        <v>1.5851067913786501E-2</v>
      </c>
      <c r="AG116" s="10" t="str">
        <f>YEAR(CurrentMtgRatesDataTable89[[#This Row],[asofdate]])&amp;"-"&amp;MONTH(CurrentMtgRatesDataTable89[[#This Row],[asofdate]])</f>
        <v>2006-4</v>
      </c>
      <c r="AH116" s="6">
        <f>((CurrentMtgRatesDataTable89[[#This Row],[SeriesNumValue]]-$D$1)/$D$1+1)*100</f>
        <v>105.67378609191</v>
      </c>
      <c r="AI116" s="6">
        <f>CurrentMtgRatesDataTable89[[#This Row],[Index]]-AH117</f>
        <v>-2.2260070397053511</v>
      </c>
      <c r="AJ116" s="6">
        <f>VLOOKUP(CurrentMtgRatesDataTable89[[#This Row],[asofdate]],G:H,2,0)</f>
        <v>78.671898299829707</v>
      </c>
      <c r="AK116" s="6">
        <f>VLOOKUP(CurrentMtgRatesDataTable89[[#This Row],[asofdate]],K:L,2,0)</f>
        <v>0.163030939666403</v>
      </c>
      <c r="AL116" s="6">
        <f>VLOOKUP(CurrentMtgRatesDataTable89[[#This Row],[asofdate]],O:P,2,0)</f>
        <v>37.352589752049496</v>
      </c>
      <c r="AM116" s="6">
        <f>VLOOKUP(CurrentMtgRatesDataTable89[[#This Row],[asofdate]],S:T,2,0)</f>
        <v>0.25720646817190801</v>
      </c>
      <c r="AN116" s="6">
        <f>VLOOKUP(CurrentMtgRatesDataTable89[[#This Row],[asofdate]],W:X,2,0)</f>
        <v>731.37187888597202</v>
      </c>
      <c r="AO116" s="6">
        <f>VLOOKUP(CurrentMtgRatesDataTable89[[#This Row],[asofdate]],AA:AB,2,0)</f>
        <v>0.27172244359806702</v>
      </c>
      <c r="AR116" s="7" t="s">
        <v>6</v>
      </c>
      <c r="AS116" s="10">
        <v>5.0920901691329901E-2</v>
      </c>
      <c r="AT116" s="36">
        <f>((CurrentMtgRatesDataTable8711[[#This Row],[SeriesNumValue]]-$D$1)/$D$1+1)*100</f>
        <v>339.47267794219937</v>
      </c>
      <c r="AU116" s="36"/>
      <c r="AW116" s="7" t="s">
        <v>6</v>
      </c>
      <c r="AX116" s="10">
        <v>4.48731934408561E-2</v>
      </c>
      <c r="AY116" s="36">
        <f>((CurrentMtgRatesDataTable871112[[#This Row],[SeriesNumValue]]-$D$1)/$D$1+1)*100</f>
        <v>299.15462293904068</v>
      </c>
      <c r="AZ116" s="36"/>
      <c r="BB116" s="7" t="s">
        <v>6</v>
      </c>
      <c r="BC116" s="10">
        <v>2.88786046475875E-2</v>
      </c>
      <c r="BD116" s="39">
        <f>((CurrentMtgRatesDataTable87111213[[#This Row],[SeriesNumValue]]-$D$1)/$D$1+1)*100</f>
        <v>192.52403098391667</v>
      </c>
      <c r="BE116" s="39"/>
      <c r="BG116" s="7" t="s">
        <v>6</v>
      </c>
      <c r="BH116" s="10">
        <v>1.4000643367963099E-2</v>
      </c>
      <c r="BI116" s="39">
        <f>((CurrentMtgRatesDataTable8711121314[[#This Row],[SeriesNumValue]]-$D$1)/$D$1+1)*100</f>
        <v>93.337622453087334</v>
      </c>
      <c r="BJ116" s="39" t="str">
        <f>YEAR(CurrentMtgRatesDataTable8711121314[[#This Row],[asofdate]])&amp;"-"&amp;MONTH(CurrentMtgRatesDataTable8711121314[[#This Row],[asofdate]])</f>
        <v>2012-8</v>
      </c>
      <c r="BK116" s="39">
        <f>CurrentMtgRatesDataTable8711121314[[#This Row],[SeriesNumValue]]</f>
        <v>1.4000643367963099E-2</v>
      </c>
      <c r="BL116" s="39">
        <f>VLOOKUP(CurrentMtgRatesDataTable8711121314[[#This Row],[asofdate]],AR:AT,2,0)</f>
        <v>5.0920901691329901E-2</v>
      </c>
      <c r="BM116" s="35">
        <f>IF(VLOOKUP(CurrentMtgRatesDataTable8711121314[[#This Row],[asofdate]],AW:AY,2,0)&lt;&gt;0,VLOOKUP(CurrentMtgRatesDataTable8711121314[[#This Row],[asofdate]],AW:AY,2,0),BM115)</f>
        <v>4.48731934408561E-2</v>
      </c>
      <c r="BN116" s="35">
        <f>VLOOKUP(CurrentMtgRatesDataTable8711121314[[#This Row],[asofdate]],BB:BD,2,0)</f>
        <v>2.88786046475875E-2</v>
      </c>
      <c r="BO116" s="35">
        <f>CurrentMtgRatesDataTable8711121314[[#This Row],[FHA]]+0.5*CurrentMtgRatesDataTable8711121314[[#This Row],[Conventional]]</f>
        <v>5.7921223375311449E-2</v>
      </c>
      <c r="BP116" s="35">
        <f>2*CurrentMtgRatesDataTable8711121314[[#This Row],[FHA]]</f>
        <v>0.1018418033826598</v>
      </c>
      <c r="BQ116" s="11">
        <f>VLOOKUP(YEAR(CurrentMtgRatesDataTable8711121314[[#This Row],[asofdate]]),OriginationVolume!$A:$N,8,FALSE)</f>
        <v>0.69267822736030826</v>
      </c>
      <c r="BR116" s="11">
        <f>VLOOKUP(YEAR(CurrentMtgRatesDataTable8711121314[[#This Row],[asofdate]]),OriginationVolume!$A:$N,9,FALSE)</f>
        <v>4.6965317919075142E-2</v>
      </c>
      <c r="BS116" s="11">
        <f>VLOOKUP(YEAR(CurrentMtgRatesDataTable8711121314[[#This Row],[asofdate]]),OriginationVolume!$A:$N,10,FALSE)</f>
        <v>0.14089595375722544</v>
      </c>
      <c r="BT116" s="11">
        <f>VLOOKUP(YEAR(CurrentMtgRatesDataTable8711121314[[#This Row],[asofdate]]),OriginationVolume!$A:$N,11,FALSE)</f>
        <v>0.10838150289017341</v>
      </c>
      <c r="BU116" s="11">
        <f>VLOOKUP(YEAR(CurrentMtgRatesDataTable8711121314[[#This Row],[asofdate]]),OriginationVolume!$A:$N,12,FALSE)</f>
        <v>9.1522157996146436E-3</v>
      </c>
      <c r="BV116" s="11">
        <f>VLOOKUP(YEAR(CurrentMtgRatesDataTable8711121314[[#This Row],[asofdate]]),OriginationVolume!$A:$N,13,FALSE)</f>
        <v>1.9267822736030828E-3</v>
      </c>
      <c r="BW116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2.1223718922823539E-2</v>
      </c>
      <c r="BY116" s="7" t="s">
        <v>6</v>
      </c>
      <c r="BZ116" s="10">
        <v>10625133000</v>
      </c>
      <c r="CA116" s="36"/>
      <c r="CC116" s="7" t="s">
        <v>6</v>
      </c>
      <c r="CD116" s="10">
        <v>4002029000</v>
      </c>
      <c r="CE116" s="36"/>
      <c r="CG116" s="7" t="s">
        <v>6</v>
      </c>
      <c r="CH116" s="10">
        <v>36673421394.889999</v>
      </c>
      <c r="CI116" s="39"/>
      <c r="CK116" s="7" t="s">
        <v>6</v>
      </c>
      <c r="CL116" s="10">
        <v>22046259394.889999</v>
      </c>
      <c r="CM116" s="39" t="str">
        <f>YEAR(CurrentMtgRatesDataTable871112131417[[#This Row],[asofdate]])&amp;"-"&amp;MONTH(CurrentMtgRatesDataTable871112131417[[#This Row],[asofdate]])</f>
        <v>2012-8</v>
      </c>
      <c r="CN116" s="39">
        <f>CurrentMtgRatesDataTable871112131417[[#This Row],[SeriesNumValue]]</f>
        <v>22046259394.889999</v>
      </c>
      <c r="CO116" s="39">
        <f>VLOOKUP(CurrentMtgRatesDataTable871112131417[[#This Row],[asofdate]],BY:BZ,2,0)</f>
        <v>10625133000</v>
      </c>
      <c r="CP116" s="35">
        <f>IF(VLOOKUP(CurrentMtgRatesDataTable871112131417[[#This Row],[asofdate]],CC:CD,2,0)&lt;&gt;0,VLOOKUP(CurrentMtgRatesDataTable871112131417[[#This Row],[asofdate]],CC:CD,2,0),CP115)</f>
        <v>4002029000</v>
      </c>
      <c r="CQ116" s="35">
        <f>VLOOKUP(CurrentMtgRatesDataTable871112131417[[#This Row],[asofdate]],CG:CH,2,0)</f>
        <v>36673421394.889999</v>
      </c>
    </row>
    <row r="117" spans="1:95" s="8" customFormat="1" ht="12.75">
      <c r="A117" s="7" t="s">
        <v>143</v>
      </c>
      <c r="B117" s="10">
        <v>1.4331186185642801E-2</v>
      </c>
      <c r="C117" s="10" t="str">
        <f>YEAR(CurrentMtgRatesDataTable8[[#This Row],[asofdate]])&amp;"-"&amp;MONTH(CurrentMtgRatesDataTable8[[#This Row],[asofdate]])</f>
        <v>2012-9</v>
      </c>
      <c r="D117" s="6">
        <f>((CurrentMtgRatesDataTable8[[#This Row],[SeriesNumValue]]-$D$1)/$D$1+1)*100</f>
        <v>95.541241237618678</v>
      </c>
      <c r="E117" s="6"/>
      <c r="G117" s="7" t="s">
        <v>143</v>
      </c>
      <c r="H117" s="10">
        <v>80.773410645998595</v>
      </c>
      <c r="I117" s="26">
        <f>VLOOKUP(CurrentMtgRatesDataTable82[[#This Row],[asofdate]],K:L,2,0)</f>
        <v>0.241996859508816</v>
      </c>
      <c r="K117" s="7" t="s">
        <v>143</v>
      </c>
      <c r="L117" s="29">
        <v>0.241996859508816</v>
      </c>
      <c r="O117" s="7" t="s">
        <v>143</v>
      </c>
      <c r="P117" s="10">
        <v>32.834955899021203</v>
      </c>
      <c r="Q117" s="29">
        <f>VLOOKUP(CurrentMtgRatesDataTable84[[#This Row],[asofdate]],S:T,2,0)</f>
        <v>0.24307109211674099</v>
      </c>
      <c r="S117" s="7" t="s">
        <v>143</v>
      </c>
      <c r="T117" s="10">
        <v>0.24307109211674099</v>
      </c>
      <c r="W117" s="7" t="s">
        <v>143</v>
      </c>
      <c r="X117" s="10">
        <v>760.56723023696497</v>
      </c>
      <c r="Y117" s="26">
        <f>VLOOKUP(CurrentMtgRatesDataTable86[[#This Row],[asofdate]],AA:AB,2,0)</f>
        <v>8.9152463717376507E-2</v>
      </c>
      <c r="AA117" s="7" t="s">
        <v>143</v>
      </c>
      <c r="AB117" s="10">
        <v>8.9152463717376507E-2</v>
      </c>
      <c r="AE117" s="7" t="s">
        <v>68</v>
      </c>
      <c r="AF117" s="10">
        <v>1.6184968969742301E-2</v>
      </c>
      <c r="AG117" s="10" t="str">
        <f>YEAR(CurrentMtgRatesDataTable89[[#This Row],[asofdate]])&amp;"-"&amp;MONTH(CurrentMtgRatesDataTable89[[#This Row],[asofdate]])</f>
        <v>2006-3</v>
      </c>
      <c r="AH117" s="6">
        <f>((CurrentMtgRatesDataTable89[[#This Row],[SeriesNumValue]]-$D$1)/$D$1+1)*100</f>
        <v>107.89979313161535</v>
      </c>
      <c r="AI117" s="6">
        <f>CurrentMtgRatesDataTable89[[#This Row],[Index]]-AH118</f>
        <v>-4.3545995827426509</v>
      </c>
      <c r="AJ117" s="6">
        <f>VLOOKUP(CurrentMtgRatesDataTable89[[#This Row],[asofdate]],G:H,2,0)</f>
        <v>78.229708672132205</v>
      </c>
      <c r="AK117" s="6">
        <f>VLOOKUP(CurrentMtgRatesDataTable89[[#This Row],[asofdate]],K:L,2,0)</f>
        <v>0.15991961797697701</v>
      </c>
      <c r="AL117" s="6">
        <f>VLOOKUP(CurrentMtgRatesDataTable89[[#This Row],[asofdate]],O:P,2,0)</f>
        <v>37.377683504176403</v>
      </c>
      <c r="AM117" s="6">
        <f>VLOOKUP(CurrentMtgRatesDataTable89[[#This Row],[asofdate]],S:T,2,0)</f>
        <v>0.25876564659608398</v>
      </c>
      <c r="AN117" s="6">
        <f>VLOOKUP(CurrentMtgRatesDataTable89[[#This Row],[asofdate]],W:X,2,0)</f>
        <v>731.463093282675</v>
      </c>
      <c r="AO117" s="6">
        <f>VLOOKUP(CurrentMtgRatesDataTable89[[#This Row],[asofdate]],AA:AB,2,0)</f>
        <v>0.27099622377881499</v>
      </c>
      <c r="AR117" s="7" t="s">
        <v>143</v>
      </c>
      <c r="AS117" s="10">
        <v>5.1164146729042799E-2</v>
      </c>
      <c r="AT117" s="36">
        <f>((CurrentMtgRatesDataTable8711[[#This Row],[SeriesNumValue]]-$D$1)/$D$1+1)*100</f>
        <v>341.09431152695203</v>
      </c>
      <c r="AU117" s="36"/>
      <c r="AW117" s="7" t="s">
        <v>143</v>
      </c>
      <c r="AX117" s="10">
        <v>4.5942757786631101E-2</v>
      </c>
      <c r="AY117" s="36">
        <f>((CurrentMtgRatesDataTable871112[[#This Row],[SeriesNumValue]]-$D$1)/$D$1+1)*100</f>
        <v>306.28505191087402</v>
      </c>
      <c r="AZ117" s="36"/>
      <c r="BB117" s="7" t="s">
        <v>143</v>
      </c>
      <c r="BC117" s="10">
        <v>2.8612422400761998E-2</v>
      </c>
      <c r="BD117" s="39">
        <f>((CurrentMtgRatesDataTable87111213[[#This Row],[SeriesNumValue]]-$D$1)/$D$1+1)*100</f>
        <v>190.74948267174668</v>
      </c>
      <c r="BE117" s="39"/>
      <c r="BG117" s="7" t="s">
        <v>143</v>
      </c>
      <c r="BH117" s="10">
        <v>1.4333792880612499E-2</v>
      </c>
      <c r="BI117" s="39">
        <f>((CurrentMtgRatesDataTable8711121314[[#This Row],[SeriesNumValue]]-$D$1)/$D$1+1)*100</f>
        <v>95.558619204083328</v>
      </c>
      <c r="BJ117" s="39" t="str">
        <f>YEAR(CurrentMtgRatesDataTable8711121314[[#This Row],[asofdate]])&amp;"-"&amp;MONTH(CurrentMtgRatesDataTable8711121314[[#This Row],[asofdate]])</f>
        <v>2012-9</v>
      </c>
      <c r="BK117" s="39">
        <f>CurrentMtgRatesDataTable8711121314[[#This Row],[SeriesNumValue]]</f>
        <v>1.4333792880612499E-2</v>
      </c>
      <c r="BL117" s="39">
        <f>VLOOKUP(CurrentMtgRatesDataTable8711121314[[#This Row],[asofdate]],AR:AT,2,0)</f>
        <v>5.1164146729042799E-2</v>
      </c>
      <c r="BM117" s="35">
        <f>IF(VLOOKUP(CurrentMtgRatesDataTable8711121314[[#This Row],[asofdate]],AW:AY,2,0)&lt;&gt;0,VLOOKUP(CurrentMtgRatesDataTable8711121314[[#This Row],[asofdate]],AW:AY,2,0),BM116)</f>
        <v>4.5942757786631101E-2</v>
      </c>
      <c r="BN117" s="35">
        <f>VLOOKUP(CurrentMtgRatesDataTable8711121314[[#This Row],[asofdate]],BB:BD,2,0)</f>
        <v>2.8612422400761998E-2</v>
      </c>
      <c r="BO117" s="35">
        <f>CurrentMtgRatesDataTable8711121314[[#This Row],[FHA]]+0.5*CurrentMtgRatesDataTable8711121314[[#This Row],[Conventional]]</f>
        <v>5.8331043169349048E-2</v>
      </c>
      <c r="BP117" s="35">
        <f>2*CurrentMtgRatesDataTable8711121314[[#This Row],[FHA]]</f>
        <v>0.1023282934580856</v>
      </c>
      <c r="BQ117" s="11">
        <f>VLOOKUP(YEAR(CurrentMtgRatesDataTable8711121314[[#This Row],[asofdate]]),OriginationVolume!$A:$N,8,FALSE)</f>
        <v>0.69267822736030826</v>
      </c>
      <c r="BR117" s="11">
        <f>VLOOKUP(YEAR(CurrentMtgRatesDataTable8711121314[[#This Row],[asofdate]]),OriginationVolume!$A:$N,9,FALSE)</f>
        <v>4.6965317919075142E-2</v>
      </c>
      <c r="BS117" s="11">
        <f>VLOOKUP(YEAR(CurrentMtgRatesDataTable8711121314[[#This Row],[asofdate]]),OriginationVolume!$A:$N,10,FALSE)</f>
        <v>0.14089595375722544</v>
      </c>
      <c r="BT117" s="11">
        <f>VLOOKUP(YEAR(CurrentMtgRatesDataTable8711121314[[#This Row],[asofdate]]),OriginationVolume!$A:$N,11,FALSE)</f>
        <v>0.10838150289017341</v>
      </c>
      <c r="BU117" s="11">
        <f>VLOOKUP(YEAR(CurrentMtgRatesDataTable8711121314[[#This Row],[asofdate]]),OriginationVolume!$A:$N,12,FALSE)</f>
        <v>9.1522157996146436E-3</v>
      </c>
      <c r="BV117" s="11">
        <f>VLOOKUP(YEAR(CurrentMtgRatesDataTable8711121314[[#This Row],[asofdate]]),OriginationVolume!$A:$N,13,FALSE)</f>
        <v>1.9267822736030828E-3</v>
      </c>
      <c r="BW117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2.1579784372326646E-2</v>
      </c>
      <c r="BY117" s="7" t="s">
        <v>143</v>
      </c>
      <c r="BZ117" s="10">
        <v>10227130000</v>
      </c>
      <c r="CA117" s="36"/>
      <c r="CC117" s="7" t="s">
        <v>143</v>
      </c>
      <c r="CD117" s="10">
        <v>3998582000</v>
      </c>
      <c r="CE117" s="36"/>
      <c r="CG117" s="7" t="s">
        <v>143</v>
      </c>
      <c r="CH117" s="10">
        <v>34780704202.900002</v>
      </c>
      <c r="CI117" s="39"/>
      <c r="CK117" s="7" t="s">
        <v>143</v>
      </c>
      <c r="CL117" s="10">
        <v>20554992202.900002</v>
      </c>
      <c r="CM117" s="39" t="str">
        <f>YEAR(CurrentMtgRatesDataTable871112131417[[#This Row],[asofdate]])&amp;"-"&amp;MONTH(CurrentMtgRatesDataTable871112131417[[#This Row],[asofdate]])</f>
        <v>2012-9</v>
      </c>
      <c r="CN117" s="39">
        <f>CurrentMtgRatesDataTable871112131417[[#This Row],[SeriesNumValue]]</f>
        <v>20554992202.900002</v>
      </c>
      <c r="CO117" s="39">
        <f>VLOOKUP(CurrentMtgRatesDataTable871112131417[[#This Row],[asofdate]],BY:BZ,2,0)</f>
        <v>10227130000</v>
      </c>
      <c r="CP117" s="35">
        <f>IF(VLOOKUP(CurrentMtgRatesDataTable871112131417[[#This Row],[asofdate]],CC:CD,2,0)&lt;&gt;0,VLOOKUP(CurrentMtgRatesDataTable871112131417[[#This Row],[asofdate]],CC:CD,2,0),CP116)</f>
        <v>3998582000</v>
      </c>
      <c r="CQ117" s="35">
        <f>VLOOKUP(CurrentMtgRatesDataTable871112131417[[#This Row],[asofdate]],CG:CH,2,0)</f>
        <v>34780704202.900002</v>
      </c>
    </row>
    <row r="118" spans="1:95" s="8" customFormat="1" ht="12.75">
      <c r="A118" s="7" t="s">
        <v>14</v>
      </c>
      <c r="B118" s="10">
        <v>1.3918998812950801E-2</v>
      </c>
      <c r="C118" s="10" t="str">
        <f>YEAR(CurrentMtgRatesDataTable8[[#This Row],[asofdate]])&amp;"-"&amp;MONTH(CurrentMtgRatesDataTable8[[#This Row],[asofdate]])</f>
        <v>2012-10</v>
      </c>
      <c r="D118" s="6">
        <f>((CurrentMtgRatesDataTable8[[#This Row],[SeriesNumValue]]-$D$1)/$D$1+1)*100</f>
        <v>92.793325419672001</v>
      </c>
      <c r="E118" s="6"/>
      <c r="G118" s="7" t="s">
        <v>14</v>
      </c>
      <c r="H118" s="10">
        <v>80.704770486074295</v>
      </c>
      <c r="I118" s="26">
        <f>VLOOKUP(CurrentMtgRatesDataTable82[[#This Row],[asofdate]],K:L,2,0)</f>
        <v>0.238438717743543</v>
      </c>
      <c r="K118" s="7" t="s">
        <v>14</v>
      </c>
      <c r="L118" s="29">
        <v>0.238438717743543</v>
      </c>
      <c r="O118" s="7" t="s">
        <v>14</v>
      </c>
      <c r="P118" s="10">
        <v>32.877349478281303</v>
      </c>
      <c r="Q118" s="29">
        <f>VLOOKUP(CurrentMtgRatesDataTable84[[#This Row],[asofdate]],S:T,2,0)</f>
        <v>0.245849111984763</v>
      </c>
      <c r="S118" s="7" t="s">
        <v>14</v>
      </c>
      <c r="T118" s="10">
        <v>0.245849111984763</v>
      </c>
      <c r="W118" s="7" t="s">
        <v>14</v>
      </c>
      <c r="X118" s="10">
        <v>760.08866980815606</v>
      </c>
      <c r="Y118" s="26">
        <f>VLOOKUP(CurrentMtgRatesDataTable86[[#This Row],[asofdate]],AA:AB,2,0)</f>
        <v>8.8547559149405805E-2</v>
      </c>
      <c r="AA118" s="7" t="s">
        <v>14</v>
      </c>
      <c r="AB118" s="10">
        <v>8.8547559149405805E-2</v>
      </c>
      <c r="AE118" s="7" t="s">
        <v>67</v>
      </c>
      <c r="AF118" s="10">
        <v>1.6838158907153698E-2</v>
      </c>
      <c r="AG118" s="10" t="str">
        <f>YEAR(CurrentMtgRatesDataTable89[[#This Row],[asofdate]])&amp;"-"&amp;MONTH(CurrentMtgRatesDataTable89[[#This Row],[asofdate]])</f>
        <v>2006-2</v>
      </c>
      <c r="AH118" s="6">
        <f>((CurrentMtgRatesDataTable89[[#This Row],[SeriesNumValue]]-$D$1)/$D$1+1)*100</f>
        <v>112.254392714358</v>
      </c>
      <c r="AI118" s="6">
        <f>CurrentMtgRatesDataTable89[[#This Row],[Index]]-AH119</f>
        <v>11.681889455375327</v>
      </c>
      <c r="AJ118" s="6">
        <f>VLOOKUP(CurrentMtgRatesDataTable89[[#This Row],[asofdate]],G:H,2,0)</f>
        <v>78.311410497829897</v>
      </c>
      <c r="AK118" s="6">
        <f>VLOOKUP(CurrentMtgRatesDataTable89[[#This Row],[asofdate]],K:L,2,0)</f>
        <v>0.159607300246077</v>
      </c>
      <c r="AL118" s="6">
        <f>VLOOKUP(CurrentMtgRatesDataTable89[[#This Row],[asofdate]],O:P,2,0)</f>
        <v>37.5015329261158</v>
      </c>
      <c r="AM118" s="6">
        <f>VLOOKUP(CurrentMtgRatesDataTable89[[#This Row],[asofdate]],S:T,2,0)</f>
        <v>0.25603886611316801</v>
      </c>
      <c r="AN118" s="6">
        <f>VLOOKUP(CurrentMtgRatesDataTable89[[#This Row],[asofdate]],W:X,2,0)</f>
        <v>730.87413747932897</v>
      </c>
      <c r="AO118" s="6">
        <f>VLOOKUP(CurrentMtgRatesDataTable89[[#This Row],[asofdate]],AA:AB,2,0)</f>
        <v>0.275428135379714</v>
      </c>
      <c r="AR118" s="7" t="s">
        <v>14</v>
      </c>
      <c r="AS118" s="10">
        <v>4.8689499032941203E-2</v>
      </c>
      <c r="AT118" s="36">
        <f>((CurrentMtgRatesDataTable8711[[#This Row],[SeriesNumValue]]-$D$1)/$D$1+1)*100</f>
        <v>324.596660219608</v>
      </c>
      <c r="AU118" s="36"/>
      <c r="AW118" s="7" t="s">
        <v>14</v>
      </c>
      <c r="AX118" s="10">
        <v>4.3904772572709201E-2</v>
      </c>
      <c r="AY118" s="36">
        <f>((CurrentMtgRatesDataTable871112[[#This Row],[SeriesNumValue]]-$D$1)/$D$1+1)*100</f>
        <v>292.69848381806139</v>
      </c>
      <c r="AZ118" s="36"/>
      <c r="BB118" s="7" t="s">
        <v>14</v>
      </c>
      <c r="BC118" s="10">
        <v>2.52363064977612E-2</v>
      </c>
      <c r="BD118" s="39">
        <f>((CurrentMtgRatesDataTable87111213[[#This Row],[SeriesNumValue]]-$D$1)/$D$1+1)*100</f>
        <v>168.24204331840801</v>
      </c>
      <c r="BE118" s="39"/>
      <c r="BG118" s="7" t="s">
        <v>14</v>
      </c>
      <c r="BH118" s="10">
        <v>1.36711529187892E-2</v>
      </c>
      <c r="BI118" s="39">
        <f>((CurrentMtgRatesDataTable8711121314[[#This Row],[SeriesNumValue]]-$D$1)/$D$1+1)*100</f>
        <v>91.14101945859467</v>
      </c>
      <c r="BJ118" s="39" t="str">
        <f>YEAR(CurrentMtgRatesDataTable8711121314[[#This Row],[asofdate]])&amp;"-"&amp;MONTH(CurrentMtgRatesDataTable8711121314[[#This Row],[asofdate]])</f>
        <v>2012-10</v>
      </c>
      <c r="BK118" s="39">
        <f>CurrentMtgRatesDataTable8711121314[[#This Row],[SeriesNumValue]]</f>
        <v>1.36711529187892E-2</v>
      </c>
      <c r="BL118" s="39">
        <f>VLOOKUP(CurrentMtgRatesDataTable8711121314[[#This Row],[asofdate]],AR:AT,2,0)</f>
        <v>4.8689499032941203E-2</v>
      </c>
      <c r="BM118" s="35">
        <f>IF(VLOOKUP(CurrentMtgRatesDataTable8711121314[[#This Row],[asofdate]],AW:AY,2,0)&lt;&gt;0,VLOOKUP(CurrentMtgRatesDataTable8711121314[[#This Row],[asofdate]],AW:AY,2,0),BM117)</f>
        <v>4.3904772572709201E-2</v>
      </c>
      <c r="BN118" s="35">
        <f>VLOOKUP(CurrentMtgRatesDataTable8711121314[[#This Row],[asofdate]],BB:BD,2,0)</f>
        <v>2.52363064977612E-2</v>
      </c>
      <c r="BO118" s="35">
        <f>CurrentMtgRatesDataTable8711121314[[#This Row],[FHA]]+0.5*CurrentMtgRatesDataTable8711121314[[#This Row],[Conventional]]</f>
        <v>5.5525075492335804E-2</v>
      </c>
      <c r="BP118" s="35">
        <f>2*CurrentMtgRatesDataTable8711121314[[#This Row],[FHA]]</f>
        <v>9.7378998065882405E-2</v>
      </c>
      <c r="BQ118" s="11">
        <f>VLOOKUP(YEAR(CurrentMtgRatesDataTable8711121314[[#This Row],[asofdate]]),OriginationVolume!$A:$N,8,FALSE)</f>
        <v>0.69267822736030826</v>
      </c>
      <c r="BR118" s="11">
        <f>VLOOKUP(YEAR(CurrentMtgRatesDataTable8711121314[[#This Row],[asofdate]]),OriginationVolume!$A:$N,9,FALSE)</f>
        <v>4.6965317919075142E-2</v>
      </c>
      <c r="BS118" s="11">
        <f>VLOOKUP(YEAR(CurrentMtgRatesDataTable8711121314[[#This Row],[asofdate]]),OriginationVolume!$A:$N,10,FALSE)</f>
        <v>0.14089595375722544</v>
      </c>
      <c r="BT118" s="11">
        <f>VLOOKUP(YEAR(CurrentMtgRatesDataTable8711121314[[#This Row],[asofdate]]),OriginationVolume!$A:$N,11,FALSE)</f>
        <v>0.10838150289017341</v>
      </c>
      <c r="BU118" s="11">
        <f>VLOOKUP(YEAR(CurrentMtgRatesDataTable8711121314[[#This Row],[asofdate]]),OriginationVolume!$A:$N,12,FALSE)</f>
        <v>9.1522157996146436E-3</v>
      </c>
      <c r="BV118" s="11">
        <f>VLOOKUP(YEAR(CurrentMtgRatesDataTable8711121314[[#This Row],[asofdate]]),OriginationVolume!$A:$N,13,FALSE)</f>
        <v>1.9267822736030828E-3</v>
      </c>
      <c r="BW118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2.0569370676078419E-2</v>
      </c>
      <c r="BY118" s="7" t="s">
        <v>14</v>
      </c>
      <c r="BZ118" s="10">
        <v>10905972000</v>
      </c>
      <c r="CA118" s="36"/>
      <c r="CC118" s="7" t="s">
        <v>14</v>
      </c>
      <c r="CD118" s="10">
        <v>4291042000</v>
      </c>
      <c r="CE118" s="36"/>
      <c r="CG118" s="7" t="s">
        <v>14</v>
      </c>
      <c r="CH118" s="10">
        <v>36532079130.620003</v>
      </c>
      <c r="CI118" s="39"/>
      <c r="CK118" s="7" t="s">
        <v>14</v>
      </c>
      <c r="CL118" s="10">
        <v>21335065130.619999</v>
      </c>
      <c r="CM118" s="39" t="str">
        <f>YEAR(CurrentMtgRatesDataTable871112131417[[#This Row],[asofdate]])&amp;"-"&amp;MONTH(CurrentMtgRatesDataTable871112131417[[#This Row],[asofdate]])</f>
        <v>2012-10</v>
      </c>
      <c r="CN118" s="39">
        <f>CurrentMtgRatesDataTable871112131417[[#This Row],[SeriesNumValue]]</f>
        <v>21335065130.619999</v>
      </c>
      <c r="CO118" s="39">
        <f>VLOOKUP(CurrentMtgRatesDataTable871112131417[[#This Row],[asofdate]],BY:BZ,2,0)</f>
        <v>10905972000</v>
      </c>
      <c r="CP118" s="35">
        <f>IF(VLOOKUP(CurrentMtgRatesDataTable871112131417[[#This Row],[asofdate]],CC:CD,2,0)&lt;&gt;0,VLOOKUP(CurrentMtgRatesDataTable871112131417[[#This Row],[asofdate]],CC:CD,2,0),CP117)</f>
        <v>4291042000</v>
      </c>
      <c r="CQ118" s="35">
        <f>VLOOKUP(CurrentMtgRatesDataTable871112131417[[#This Row],[asofdate]],CG:CH,2,0)</f>
        <v>36532079130.620003</v>
      </c>
    </row>
    <row r="119" spans="1:95" s="8" customFormat="1" ht="12.75">
      <c r="A119" s="7" t="s">
        <v>22</v>
      </c>
      <c r="B119" s="10">
        <v>1.4659989209711699E-2</v>
      </c>
      <c r="C119" s="10" t="str">
        <f>YEAR(CurrentMtgRatesDataTable8[[#This Row],[asofdate]])&amp;"-"&amp;MONTH(CurrentMtgRatesDataTable8[[#This Row],[asofdate]])</f>
        <v>2012-11</v>
      </c>
      <c r="D119" s="6">
        <f>((CurrentMtgRatesDataTable8[[#This Row],[SeriesNumValue]]-$D$1)/$D$1+1)*100</f>
        <v>97.733261398078</v>
      </c>
      <c r="E119" s="6"/>
      <c r="G119" s="7" t="s">
        <v>22</v>
      </c>
      <c r="H119" s="10">
        <v>80.842723933208603</v>
      </c>
      <c r="I119" s="26">
        <f>VLOOKUP(CurrentMtgRatesDataTable82[[#This Row],[asofdate]],K:L,2,0)</f>
        <v>0.24248385553367199</v>
      </c>
      <c r="K119" s="7" t="s">
        <v>22</v>
      </c>
      <c r="L119" s="29">
        <v>0.24248385553367199</v>
      </c>
      <c r="O119" s="7" t="s">
        <v>22</v>
      </c>
      <c r="P119" s="10">
        <v>33.068410827015398</v>
      </c>
      <c r="Q119" s="29">
        <f>VLOOKUP(CurrentMtgRatesDataTable84[[#This Row],[asofdate]],S:T,2,0)</f>
        <v>0.253860792116615</v>
      </c>
      <c r="S119" s="7" t="s">
        <v>22</v>
      </c>
      <c r="T119" s="10">
        <v>0.253860792116615</v>
      </c>
      <c r="W119" s="7" t="s">
        <v>22</v>
      </c>
      <c r="X119" s="10">
        <v>760.12787217411596</v>
      </c>
      <c r="Y119" s="26">
        <f>VLOOKUP(CurrentMtgRatesDataTable86[[#This Row],[asofdate]],AA:AB,2,0)</f>
        <v>8.6906513841812402E-2</v>
      </c>
      <c r="AA119" s="7" t="s">
        <v>22</v>
      </c>
      <c r="AB119" s="10">
        <v>8.6906513841812402E-2</v>
      </c>
      <c r="AE119" s="7" t="s">
        <v>66</v>
      </c>
      <c r="AF119" s="10">
        <v>1.50858754888474E-2</v>
      </c>
      <c r="AG119" s="10" t="str">
        <f>YEAR(CurrentMtgRatesDataTable89[[#This Row],[asofdate]])&amp;"-"&amp;MONTH(CurrentMtgRatesDataTable89[[#This Row],[asofdate]])</f>
        <v>2006-1</v>
      </c>
      <c r="AH119" s="6">
        <f>((CurrentMtgRatesDataTable89[[#This Row],[SeriesNumValue]]-$D$1)/$D$1+1)*100</f>
        <v>100.57250325898268</v>
      </c>
      <c r="AI119" s="6">
        <f>CurrentMtgRatesDataTable89[[#This Row],[Index]]-AH120</f>
        <v>-0.79516469480398655</v>
      </c>
      <c r="AJ119" s="6">
        <f>VLOOKUP(CurrentMtgRatesDataTable89[[#This Row],[asofdate]],G:H,2,0)</f>
        <v>78.128194732343104</v>
      </c>
      <c r="AK119" s="6">
        <f>VLOOKUP(CurrentMtgRatesDataTable89[[#This Row],[asofdate]],K:L,2,0)</f>
        <v>0.159637174596993</v>
      </c>
      <c r="AL119" s="6">
        <f>VLOOKUP(CurrentMtgRatesDataTable89[[#This Row],[asofdate]],O:P,2,0)</f>
        <v>37.352959429809502</v>
      </c>
      <c r="AM119" s="6">
        <f>VLOOKUP(CurrentMtgRatesDataTable89[[#This Row],[asofdate]],S:T,2,0)</f>
        <v>0.25185729465780399</v>
      </c>
      <c r="AN119" s="6">
        <f>VLOOKUP(CurrentMtgRatesDataTable89[[#This Row],[asofdate]],W:X,2,0)</f>
        <v>731.84119056548502</v>
      </c>
      <c r="AO119" s="6">
        <f>VLOOKUP(CurrentMtgRatesDataTable89[[#This Row],[asofdate]],AA:AB,2,0)</f>
        <v>0.27252886688316702</v>
      </c>
      <c r="AR119" s="7" t="s">
        <v>22</v>
      </c>
      <c r="AS119" s="10">
        <v>5.0126620688003297E-2</v>
      </c>
      <c r="AT119" s="36">
        <f>((CurrentMtgRatesDataTable8711[[#This Row],[SeriesNumValue]]-$D$1)/$D$1+1)*100</f>
        <v>334.17747125335529</v>
      </c>
      <c r="AU119" s="36"/>
      <c r="AW119" s="7" t="s">
        <v>22</v>
      </c>
      <c r="AX119" s="10">
        <v>4.4982903840556802E-2</v>
      </c>
      <c r="AY119" s="36">
        <f>((CurrentMtgRatesDataTable871112[[#This Row],[SeriesNumValue]]-$D$1)/$D$1+1)*100</f>
        <v>299.88602560371203</v>
      </c>
      <c r="AZ119" s="36"/>
      <c r="BB119" s="7" t="s">
        <v>22</v>
      </c>
      <c r="BC119" s="10">
        <v>2.6163714470855599E-2</v>
      </c>
      <c r="BD119" s="39">
        <f>((CurrentMtgRatesDataTable87111213[[#This Row],[SeriesNumValue]]-$D$1)/$D$1+1)*100</f>
        <v>174.42476313903734</v>
      </c>
      <c r="BE119" s="39"/>
      <c r="BG119" s="7" t="s">
        <v>22</v>
      </c>
      <c r="BH119" s="10">
        <v>1.43868581919379E-2</v>
      </c>
      <c r="BI119" s="39">
        <f>((CurrentMtgRatesDataTable8711121314[[#This Row],[SeriesNumValue]]-$D$1)/$D$1+1)*100</f>
        <v>95.912387946252679</v>
      </c>
      <c r="BJ119" s="39" t="str">
        <f>YEAR(CurrentMtgRatesDataTable8711121314[[#This Row],[asofdate]])&amp;"-"&amp;MONTH(CurrentMtgRatesDataTable8711121314[[#This Row],[asofdate]])</f>
        <v>2012-11</v>
      </c>
      <c r="BK119" s="39">
        <f>CurrentMtgRatesDataTable8711121314[[#This Row],[SeriesNumValue]]</f>
        <v>1.43868581919379E-2</v>
      </c>
      <c r="BL119" s="39">
        <f>VLOOKUP(CurrentMtgRatesDataTable8711121314[[#This Row],[asofdate]],AR:AT,2,0)</f>
        <v>5.0126620688003297E-2</v>
      </c>
      <c r="BM119" s="35">
        <f>IF(VLOOKUP(CurrentMtgRatesDataTable8711121314[[#This Row],[asofdate]],AW:AY,2,0)&lt;&gt;0,VLOOKUP(CurrentMtgRatesDataTable8711121314[[#This Row],[asofdate]],AW:AY,2,0),BM118)</f>
        <v>4.4982903840556802E-2</v>
      </c>
      <c r="BN119" s="35">
        <f>VLOOKUP(CurrentMtgRatesDataTable8711121314[[#This Row],[asofdate]],BB:BD,2,0)</f>
        <v>2.6163714470855599E-2</v>
      </c>
      <c r="BO119" s="35">
        <f>CurrentMtgRatesDataTable8711121314[[#This Row],[FHA]]+0.5*CurrentMtgRatesDataTable8711121314[[#This Row],[Conventional]]</f>
        <v>5.7320049783972246E-2</v>
      </c>
      <c r="BP119" s="35">
        <f>2*CurrentMtgRatesDataTable8711121314[[#This Row],[FHA]]</f>
        <v>0.10025324137600659</v>
      </c>
      <c r="BQ119" s="11">
        <f>VLOOKUP(YEAR(CurrentMtgRatesDataTable8711121314[[#This Row],[asofdate]]),OriginationVolume!$A:$N,8,FALSE)</f>
        <v>0.69267822736030826</v>
      </c>
      <c r="BR119" s="11">
        <f>VLOOKUP(YEAR(CurrentMtgRatesDataTable8711121314[[#This Row],[asofdate]]),OriginationVolume!$A:$N,9,FALSE)</f>
        <v>4.6965317919075142E-2</v>
      </c>
      <c r="BS119" s="11">
        <f>VLOOKUP(YEAR(CurrentMtgRatesDataTable8711121314[[#This Row],[asofdate]]),OriginationVolume!$A:$N,10,FALSE)</f>
        <v>0.14089595375722544</v>
      </c>
      <c r="BT119" s="11">
        <f>VLOOKUP(YEAR(CurrentMtgRatesDataTable8711121314[[#This Row],[asofdate]]),OriginationVolume!$A:$N,11,FALSE)</f>
        <v>0.10838150289017341</v>
      </c>
      <c r="BU119" s="11">
        <f>VLOOKUP(YEAR(CurrentMtgRatesDataTable8711121314[[#This Row],[asofdate]]),OriginationVolume!$A:$N,12,FALSE)</f>
        <v>9.1522157996146436E-3</v>
      </c>
      <c r="BV119" s="11">
        <f>VLOOKUP(YEAR(CurrentMtgRatesDataTable8711121314[[#This Row],[asofdate]]),OriginationVolume!$A:$N,13,FALSE)</f>
        <v>1.9267822736030828E-3</v>
      </c>
      <c r="BW119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2.1417778786265645E-2</v>
      </c>
      <c r="BY119" s="7" t="s">
        <v>22</v>
      </c>
      <c r="BZ119" s="10">
        <v>9366610000</v>
      </c>
      <c r="CA119" s="36"/>
      <c r="CC119" s="7" t="s">
        <v>22</v>
      </c>
      <c r="CD119" s="10">
        <v>3638477000</v>
      </c>
      <c r="CE119" s="36"/>
      <c r="CG119" s="7" t="s">
        <v>22</v>
      </c>
      <c r="CH119" s="10">
        <v>31660314796.400002</v>
      </c>
      <c r="CI119" s="39"/>
      <c r="CK119" s="7" t="s">
        <v>22</v>
      </c>
      <c r="CL119" s="10">
        <v>18655227796.400002</v>
      </c>
      <c r="CM119" s="39" t="str">
        <f>YEAR(CurrentMtgRatesDataTable871112131417[[#This Row],[asofdate]])&amp;"-"&amp;MONTH(CurrentMtgRatesDataTable871112131417[[#This Row],[asofdate]])</f>
        <v>2012-11</v>
      </c>
      <c r="CN119" s="39">
        <f>CurrentMtgRatesDataTable871112131417[[#This Row],[SeriesNumValue]]</f>
        <v>18655227796.400002</v>
      </c>
      <c r="CO119" s="39">
        <f>VLOOKUP(CurrentMtgRatesDataTable871112131417[[#This Row],[asofdate]],BY:BZ,2,0)</f>
        <v>9366610000</v>
      </c>
      <c r="CP119" s="35">
        <f>IF(VLOOKUP(CurrentMtgRatesDataTable871112131417[[#This Row],[asofdate]],CC:CD,2,0)&lt;&gt;0,VLOOKUP(CurrentMtgRatesDataTable871112131417[[#This Row],[asofdate]],CC:CD,2,0),CP118)</f>
        <v>3638477000</v>
      </c>
      <c r="CQ119" s="35">
        <f>VLOOKUP(CurrentMtgRatesDataTable871112131417[[#This Row],[asofdate]],CG:CH,2,0)</f>
        <v>31660314796.400002</v>
      </c>
    </row>
    <row r="120" spans="1:95" s="8" customFormat="1" ht="12.75">
      <c r="A120" s="7" t="s">
        <v>144</v>
      </c>
      <c r="B120" s="10">
        <v>1.4541719345645E-2</v>
      </c>
      <c r="C120" s="10" t="str">
        <f>YEAR(CurrentMtgRatesDataTable8[[#This Row],[asofdate]])&amp;"-"&amp;MONTH(CurrentMtgRatesDataTable8[[#This Row],[asofdate]])</f>
        <v>2012-12</v>
      </c>
      <c r="D120" s="6">
        <f>((CurrentMtgRatesDataTable8[[#This Row],[SeriesNumValue]]-$D$1)/$D$1+1)*100</f>
        <v>96.944795637633348</v>
      </c>
      <c r="E120" s="6"/>
      <c r="G120" s="7" t="s">
        <v>144</v>
      </c>
      <c r="H120" s="10">
        <v>80.865784595501793</v>
      </c>
      <c r="I120" s="26">
        <f>VLOOKUP(CurrentMtgRatesDataTable82[[#This Row],[asofdate]],K:L,2,0)</f>
        <v>0.245636407958499</v>
      </c>
      <c r="K120" s="7" t="s">
        <v>144</v>
      </c>
      <c r="L120" s="29">
        <v>0.245636407958499</v>
      </c>
      <c r="O120" s="7" t="s">
        <v>144</v>
      </c>
      <c r="P120" s="10">
        <v>33.076526998952403</v>
      </c>
      <c r="Q120" s="29">
        <f>VLOOKUP(CurrentMtgRatesDataTable84[[#This Row],[asofdate]],S:T,2,0)</f>
        <v>0.25543495238191299</v>
      </c>
      <c r="S120" s="7" t="s">
        <v>144</v>
      </c>
      <c r="T120" s="10">
        <v>0.25543495238191299</v>
      </c>
      <c r="W120" s="7" t="s">
        <v>144</v>
      </c>
      <c r="X120" s="10">
        <v>759.90495172723502</v>
      </c>
      <c r="Y120" s="26">
        <f>VLOOKUP(CurrentMtgRatesDataTable86[[#This Row],[asofdate]],AA:AB,2,0)</f>
        <v>8.9195476981251895E-2</v>
      </c>
      <c r="AA120" s="7" t="s">
        <v>144</v>
      </c>
      <c r="AB120" s="10">
        <v>8.9195476981251895E-2</v>
      </c>
      <c r="AE120" s="7" t="s">
        <v>65</v>
      </c>
      <c r="AF120" s="10">
        <v>1.5205150193068E-2</v>
      </c>
      <c r="AG120" s="10" t="str">
        <f>YEAR(CurrentMtgRatesDataTable89[[#This Row],[asofdate]])&amp;"-"&amp;MONTH(CurrentMtgRatesDataTable89[[#This Row],[asofdate]])</f>
        <v>2005-12</v>
      </c>
      <c r="AH120" s="6">
        <f>((CurrentMtgRatesDataTable89[[#This Row],[SeriesNumValue]]-$D$1)/$D$1+1)*100</f>
        <v>101.36766795378666</v>
      </c>
      <c r="AI120" s="6">
        <f>CurrentMtgRatesDataTable89[[#This Row],[Index]]-AH121</f>
        <v>-19.915191230685352</v>
      </c>
      <c r="AJ120" s="6">
        <f>VLOOKUP(CurrentMtgRatesDataTable89[[#This Row],[asofdate]],G:H,2,0)</f>
        <v>78.7208769661856</v>
      </c>
      <c r="AK120" s="6">
        <f>VLOOKUP(CurrentMtgRatesDataTable89[[#This Row],[asofdate]],K:L,2,0)</f>
        <v>0.174025887847987</v>
      </c>
      <c r="AL120" s="6">
        <f>VLOOKUP(CurrentMtgRatesDataTable89[[#This Row],[asofdate]],O:P,2,0)</f>
        <v>37.331752401609997</v>
      </c>
      <c r="AM120" s="6">
        <f>VLOOKUP(CurrentMtgRatesDataTable89[[#This Row],[asofdate]],S:T,2,0)</f>
        <v>0.20745068367851</v>
      </c>
      <c r="AN120" s="6">
        <f>VLOOKUP(CurrentMtgRatesDataTable89[[#This Row],[asofdate]],W:X,2,0)</f>
        <v>730.26522367447501</v>
      </c>
      <c r="AO120" s="6">
        <f>VLOOKUP(CurrentMtgRatesDataTable89[[#This Row],[asofdate]],AA:AB,2,0)</f>
        <v>0.28542044215849499</v>
      </c>
      <c r="AR120" s="7" t="s">
        <v>144</v>
      </c>
      <c r="AS120" s="10">
        <v>5.01747604460736E-2</v>
      </c>
      <c r="AT120" s="36">
        <f>((CurrentMtgRatesDataTable8711[[#This Row],[SeriesNumValue]]-$D$1)/$D$1+1)*100</f>
        <v>334.498402973824</v>
      </c>
      <c r="AU120" s="36"/>
      <c r="AW120" s="7" t="s">
        <v>144</v>
      </c>
      <c r="AX120" s="10">
        <v>4.4889553215802097E-2</v>
      </c>
      <c r="AY120" s="36">
        <f>((CurrentMtgRatesDataTable871112[[#This Row],[SeriesNumValue]]-$D$1)/$D$1+1)*100</f>
        <v>299.26368810534728</v>
      </c>
      <c r="AZ120" s="36"/>
      <c r="BB120" s="7" t="s">
        <v>144</v>
      </c>
      <c r="BC120" s="10">
        <v>2.6164273361528299E-2</v>
      </c>
      <c r="BD120" s="39">
        <f>((CurrentMtgRatesDataTable87111213[[#This Row],[SeriesNumValue]]-$D$1)/$D$1+1)*100</f>
        <v>174.42848907685533</v>
      </c>
      <c r="BE120" s="39"/>
      <c r="BG120" s="7" t="s">
        <v>144</v>
      </c>
      <c r="BH120" s="10">
        <v>1.44275123819479E-2</v>
      </c>
      <c r="BI120" s="39">
        <f>((CurrentMtgRatesDataTable8711121314[[#This Row],[SeriesNumValue]]-$D$1)/$D$1+1)*100</f>
        <v>96.183415879652671</v>
      </c>
      <c r="BJ120" s="39" t="str">
        <f>YEAR(CurrentMtgRatesDataTable8711121314[[#This Row],[asofdate]])&amp;"-"&amp;MONTH(CurrentMtgRatesDataTable8711121314[[#This Row],[asofdate]])</f>
        <v>2012-12</v>
      </c>
      <c r="BK120" s="39">
        <f>CurrentMtgRatesDataTable8711121314[[#This Row],[SeriesNumValue]]</f>
        <v>1.44275123819479E-2</v>
      </c>
      <c r="BL120" s="39">
        <f>VLOOKUP(CurrentMtgRatesDataTable8711121314[[#This Row],[asofdate]],AR:AT,2,0)</f>
        <v>5.01747604460736E-2</v>
      </c>
      <c r="BM120" s="35">
        <f>IF(VLOOKUP(CurrentMtgRatesDataTable8711121314[[#This Row],[asofdate]],AW:AY,2,0)&lt;&gt;0,VLOOKUP(CurrentMtgRatesDataTable8711121314[[#This Row],[asofdate]],AW:AY,2,0),BM119)</f>
        <v>4.4889553215802097E-2</v>
      </c>
      <c r="BN120" s="35">
        <f>VLOOKUP(CurrentMtgRatesDataTable8711121314[[#This Row],[asofdate]],BB:BD,2,0)</f>
        <v>2.6164273361528299E-2</v>
      </c>
      <c r="BO120" s="35">
        <f>CurrentMtgRatesDataTable8711121314[[#This Row],[FHA]]+0.5*CurrentMtgRatesDataTable8711121314[[#This Row],[Conventional]]</f>
        <v>5.7388516637047554E-2</v>
      </c>
      <c r="BP120" s="35">
        <f>2*CurrentMtgRatesDataTable8711121314[[#This Row],[FHA]]</f>
        <v>0.1003495208921472</v>
      </c>
      <c r="BQ120" s="11">
        <f>VLOOKUP(YEAR(CurrentMtgRatesDataTable8711121314[[#This Row],[asofdate]]),OriginationVolume!$A:$N,8,FALSE)</f>
        <v>0.69267822736030826</v>
      </c>
      <c r="BR120" s="11">
        <f>VLOOKUP(YEAR(CurrentMtgRatesDataTable8711121314[[#This Row],[asofdate]]),OriginationVolume!$A:$N,9,FALSE)</f>
        <v>4.6965317919075142E-2</v>
      </c>
      <c r="BS120" s="11">
        <f>VLOOKUP(YEAR(CurrentMtgRatesDataTable8711121314[[#This Row],[asofdate]]),OriginationVolume!$A:$N,10,FALSE)</f>
        <v>0.14089595375722544</v>
      </c>
      <c r="BT120" s="11">
        <f>VLOOKUP(YEAR(CurrentMtgRatesDataTable8711121314[[#This Row],[asofdate]]),OriginationVolume!$A:$N,11,FALSE)</f>
        <v>0.10838150289017341</v>
      </c>
      <c r="BU120" s="11">
        <f>VLOOKUP(YEAR(CurrentMtgRatesDataTable8711121314[[#This Row],[asofdate]]),OriginationVolume!$A:$N,12,FALSE)</f>
        <v>9.1522157996146436E-3</v>
      </c>
      <c r="BV120" s="11">
        <f>VLOOKUP(YEAR(CurrentMtgRatesDataTable8711121314[[#This Row],[asofdate]]),OriginationVolume!$A:$N,13,FALSE)</f>
        <v>1.9267822736030828E-3</v>
      </c>
      <c r="BW120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2.1453555809185492E-2</v>
      </c>
      <c r="BY120" s="7" t="s">
        <v>144</v>
      </c>
      <c r="BZ120" s="10">
        <v>9589008000</v>
      </c>
      <c r="CA120" s="36"/>
      <c r="CC120" s="7" t="s">
        <v>144</v>
      </c>
      <c r="CD120" s="10">
        <v>3805829000</v>
      </c>
      <c r="CE120" s="36"/>
      <c r="CG120" s="7" t="s">
        <v>144</v>
      </c>
      <c r="CH120" s="10">
        <v>32504840877.98</v>
      </c>
      <c r="CI120" s="39"/>
      <c r="CK120" s="7" t="s">
        <v>144</v>
      </c>
      <c r="CL120" s="10">
        <v>19110003877.98</v>
      </c>
      <c r="CM120" s="39" t="str">
        <f>YEAR(CurrentMtgRatesDataTable871112131417[[#This Row],[asofdate]])&amp;"-"&amp;MONTH(CurrentMtgRatesDataTable871112131417[[#This Row],[asofdate]])</f>
        <v>2012-12</v>
      </c>
      <c r="CN120" s="39">
        <f>CurrentMtgRatesDataTable871112131417[[#This Row],[SeriesNumValue]]</f>
        <v>19110003877.98</v>
      </c>
      <c r="CO120" s="39">
        <f>VLOOKUP(CurrentMtgRatesDataTable871112131417[[#This Row],[asofdate]],BY:BZ,2,0)</f>
        <v>9589008000</v>
      </c>
      <c r="CP120" s="35">
        <f>IF(VLOOKUP(CurrentMtgRatesDataTable871112131417[[#This Row],[asofdate]],CC:CD,2,0)&lt;&gt;0,VLOOKUP(CurrentMtgRatesDataTable871112131417[[#This Row],[asofdate]],CC:CD,2,0),CP119)</f>
        <v>3805829000</v>
      </c>
      <c r="CQ120" s="35">
        <f>VLOOKUP(CurrentMtgRatesDataTable871112131417[[#This Row],[asofdate]],CG:CH,2,0)</f>
        <v>32504840877.98</v>
      </c>
    </row>
    <row r="121" spans="1:95" s="8" customFormat="1" ht="12.75">
      <c r="A121" s="7" t="s">
        <v>145</v>
      </c>
      <c r="B121" s="10">
        <v>1.4335152659645699E-2</v>
      </c>
      <c r="C121" s="10" t="str">
        <f>YEAR(CurrentMtgRatesDataTable8[[#This Row],[asofdate]])&amp;"-"&amp;MONTH(CurrentMtgRatesDataTable8[[#This Row],[asofdate]])</f>
        <v>2013-1</v>
      </c>
      <c r="D121" s="6">
        <f>((CurrentMtgRatesDataTable8[[#This Row],[SeriesNumValue]]-$D$1)/$D$1+1)*100</f>
        <v>95.567684397638004</v>
      </c>
      <c r="E121" s="6"/>
      <c r="G121" s="7" t="s">
        <v>145</v>
      </c>
      <c r="H121" s="10">
        <v>80.9254459604293</v>
      </c>
      <c r="I121" s="26">
        <f>VLOOKUP(CurrentMtgRatesDataTable82[[#This Row],[asofdate]],K:L,2,0)</f>
        <v>0.24750843494761501</v>
      </c>
      <c r="K121" s="7" t="s">
        <v>145</v>
      </c>
      <c r="L121" s="29">
        <v>0.24750843494761501</v>
      </c>
      <c r="O121" s="7" t="s">
        <v>145</v>
      </c>
      <c r="P121" s="10">
        <v>33.1249469903779</v>
      </c>
      <c r="Q121" s="29">
        <f>VLOOKUP(CurrentMtgRatesDataTable84[[#This Row],[asofdate]],S:T,2,0)</f>
        <v>0.255612831060195</v>
      </c>
      <c r="S121" s="7" t="s">
        <v>145</v>
      </c>
      <c r="T121" s="10">
        <v>0.255612831060195</v>
      </c>
      <c r="W121" s="7" t="s">
        <v>145</v>
      </c>
      <c r="X121" s="10">
        <v>759.65139395201004</v>
      </c>
      <c r="Y121" s="26">
        <f>VLOOKUP(CurrentMtgRatesDataTable86[[#This Row],[asofdate]],AA:AB,2,0)</f>
        <v>8.7851184039050303E-2</v>
      </c>
      <c r="AA121" s="7" t="s">
        <v>145</v>
      </c>
      <c r="AB121" s="10">
        <v>8.7851184039050303E-2</v>
      </c>
      <c r="AE121" s="7" t="s">
        <v>64</v>
      </c>
      <c r="AF121" s="10">
        <v>1.8192428877670801E-2</v>
      </c>
      <c r="AG121" s="10" t="str">
        <f>YEAR(CurrentMtgRatesDataTable89[[#This Row],[asofdate]])&amp;"-"&amp;MONTH(CurrentMtgRatesDataTable89[[#This Row],[asofdate]])</f>
        <v>2005-11</v>
      </c>
      <c r="AH121" s="6">
        <f>((CurrentMtgRatesDataTable89[[#This Row],[SeriesNumValue]]-$D$1)/$D$1+1)*100</f>
        <v>121.28285918447202</v>
      </c>
      <c r="AI121" s="6">
        <f>CurrentMtgRatesDataTable89[[#This Row],[Index]]-AH122</f>
        <v>-5.2736780293620029</v>
      </c>
      <c r="AJ121" s="6">
        <f>VLOOKUP(CurrentMtgRatesDataTable89[[#This Row],[asofdate]],G:H,2,0)</f>
        <v>79.707877334763694</v>
      </c>
      <c r="AK121" s="6">
        <f>VLOOKUP(CurrentMtgRatesDataTable89[[#This Row],[asofdate]],K:L,2,0)</f>
        <v>0.20403530410173701</v>
      </c>
      <c r="AL121" s="6">
        <f>VLOOKUP(CurrentMtgRatesDataTable89[[#This Row],[asofdate]],O:P,2,0)</f>
        <v>37.292560707621398</v>
      </c>
      <c r="AM121" s="6">
        <f>VLOOKUP(CurrentMtgRatesDataTable89[[#This Row],[asofdate]],S:T,2,0)</f>
        <v>9.4940112137955404E-2</v>
      </c>
      <c r="AN121" s="6">
        <f>VLOOKUP(CurrentMtgRatesDataTable89[[#This Row],[asofdate]],W:X,2,0)</f>
        <v>728.31425128392505</v>
      </c>
      <c r="AO121" s="6">
        <f>VLOOKUP(CurrentMtgRatesDataTable89[[#This Row],[asofdate]],AA:AB,2,0)</f>
        <v>0.29282399528074898</v>
      </c>
      <c r="AR121" s="7" t="s">
        <v>145</v>
      </c>
      <c r="AS121" s="10">
        <v>4.9156981992146E-2</v>
      </c>
      <c r="AT121" s="36">
        <f>((CurrentMtgRatesDataTable8711[[#This Row],[SeriesNumValue]]-$D$1)/$D$1+1)*100</f>
        <v>327.71321328097332</v>
      </c>
      <c r="AU121" s="36"/>
      <c r="AW121" s="7" t="s">
        <v>145</v>
      </c>
      <c r="AX121" s="10">
        <v>4.39098469008933E-2</v>
      </c>
      <c r="AY121" s="36">
        <f>((CurrentMtgRatesDataTable871112[[#This Row],[SeriesNumValue]]-$D$1)/$D$1+1)*100</f>
        <v>292.73231267262202</v>
      </c>
      <c r="AZ121" s="36"/>
      <c r="BB121" s="7" t="s">
        <v>145</v>
      </c>
      <c r="BC121" s="10">
        <v>2.5806870465320299E-2</v>
      </c>
      <c r="BD121" s="39">
        <f>((CurrentMtgRatesDataTable87111213[[#This Row],[SeriesNumValue]]-$D$1)/$D$1+1)*100</f>
        <v>172.04580310213532</v>
      </c>
      <c r="BE121" s="39"/>
      <c r="BG121" s="7" t="s">
        <v>145</v>
      </c>
      <c r="BH121" s="10">
        <v>1.4271463873293099E-2</v>
      </c>
      <c r="BI121" s="39">
        <f>((CurrentMtgRatesDataTable8711121314[[#This Row],[SeriesNumValue]]-$D$1)/$D$1+1)*100</f>
        <v>95.143092488620667</v>
      </c>
      <c r="BJ121" s="39" t="str">
        <f>YEAR(CurrentMtgRatesDataTable8711121314[[#This Row],[asofdate]])&amp;"-"&amp;MONTH(CurrentMtgRatesDataTable8711121314[[#This Row],[asofdate]])</f>
        <v>2013-1</v>
      </c>
      <c r="BK121" s="39">
        <f>CurrentMtgRatesDataTable8711121314[[#This Row],[SeriesNumValue]]</f>
        <v>1.4271463873293099E-2</v>
      </c>
      <c r="BL121" s="39">
        <f>VLOOKUP(CurrentMtgRatesDataTable8711121314[[#This Row],[asofdate]],AR:AT,2,0)</f>
        <v>4.9156981992146E-2</v>
      </c>
      <c r="BM121" s="35">
        <f>IF(VLOOKUP(CurrentMtgRatesDataTable8711121314[[#This Row],[asofdate]],AW:AY,2,0)&lt;&gt;0,VLOOKUP(CurrentMtgRatesDataTable8711121314[[#This Row],[asofdate]],AW:AY,2,0),BM120)</f>
        <v>4.39098469008933E-2</v>
      </c>
      <c r="BN121" s="35">
        <f>VLOOKUP(CurrentMtgRatesDataTable8711121314[[#This Row],[asofdate]],BB:BD,2,0)</f>
        <v>2.5806870465320299E-2</v>
      </c>
      <c r="BO121" s="35">
        <f>CurrentMtgRatesDataTable8711121314[[#This Row],[FHA]]+0.5*CurrentMtgRatesDataTable8711121314[[#This Row],[Conventional]]</f>
        <v>5.6292713928792551E-2</v>
      </c>
      <c r="BP121" s="35">
        <f>2*CurrentMtgRatesDataTable8711121314[[#This Row],[FHA]]</f>
        <v>9.8313963984291999E-2</v>
      </c>
      <c r="BQ121" s="11">
        <f>VLOOKUP(YEAR(CurrentMtgRatesDataTable8711121314[[#This Row],[asofdate]]),OriginationVolume!$A:$N,8,FALSE)</f>
        <v>0.64153005464480872</v>
      </c>
      <c r="BR121" s="11">
        <f>VLOOKUP(YEAR(CurrentMtgRatesDataTable8711121314[[#This Row],[asofdate]]),OriginationVolume!$A:$N,9,FALSE)</f>
        <v>0.05</v>
      </c>
      <c r="BS121" s="11">
        <f>VLOOKUP(YEAR(CurrentMtgRatesDataTable8711121314[[#This Row],[asofdate]]),OriginationVolume!$A:$N,10,FALSE)</f>
        <v>0.15</v>
      </c>
      <c r="BT121" s="11">
        <f>VLOOKUP(YEAR(CurrentMtgRatesDataTable8711121314[[#This Row],[asofdate]]),OriginationVolume!$A:$N,11,FALSE)</f>
        <v>0.14863387978142076</v>
      </c>
      <c r="BU121" s="11">
        <f>VLOOKUP(YEAR(CurrentMtgRatesDataTable8711121314[[#This Row],[asofdate]]),OriginationVolume!$A:$N,12,FALSE)</f>
        <v>7.6502732240437158E-3</v>
      </c>
      <c r="BV121" s="11">
        <f>VLOOKUP(YEAR(CurrentMtgRatesDataTable8711121314[[#This Row],[asofdate]]),OriginationVolume!$A:$N,13,FALSE)</f>
        <v>2.185792349726776E-3</v>
      </c>
      <c r="BW121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2.149138424043601E-2</v>
      </c>
      <c r="BY121" s="7" t="s">
        <v>145</v>
      </c>
      <c r="BZ121" s="10">
        <v>9109521000</v>
      </c>
      <c r="CA121" s="36"/>
      <c r="CC121" s="7" t="s">
        <v>145</v>
      </c>
      <c r="CD121" s="10">
        <v>3642429000</v>
      </c>
      <c r="CE121" s="36"/>
      <c r="CG121" s="7" t="s">
        <v>145</v>
      </c>
      <c r="CH121" s="10">
        <v>30640581342.310001</v>
      </c>
      <c r="CI121" s="39"/>
      <c r="CK121" s="7" t="s">
        <v>145</v>
      </c>
      <c r="CL121" s="10">
        <v>17888631342.310001</v>
      </c>
      <c r="CM121" s="39" t="str">
        <f>YEAR(CurrentMtgRatesDataTable871112131417[[#This Row],[asofdate]])&amp;"-"&amp;MONTH(CurrentMtgRatesDataTable871112131417[[#This Row],[asofdate]])</f>
        <v>2013-1</v>
      </c>
      <c r="CN121" s="39">
        <f>CurrentMtgRatesDataTable871112131417[[#This Row],[SeriesNumValue]]</f>
        <v>17888631342.310001</v>
      </c>
      <c r="CO121" s="39">
        <f>VLOOKUP(CurrentMtgRatesDataTable871112131417[[#This Row],[asofdate]],BY:BZ,2,0)</f>
        <v>9109521000</v>
      </c>
      <c r="CP121" s="35">
        <f>IF(VLOOKUP(CurrentMtgRatesDataTable871112131417[[#This Row],[asofdate]],CC:CD,2,0)&lt;&gt;0,VLOOKUP(CurrentMtgRatesDataTable871112131417[[#This Row],[asofdate]],CC:CD,2,0),CP120)</f>
        <v>3642429000</v>
      </c>
      <c r="CQ121" s="35">
        <f>VLOOKUP(CurrentMtgRatesDataTable871112131417[[#This Row],[asofdate]],CG:CH,2,0)</f>
        <v>30640581342.310001</v>
      </c>
    </row>
    <row r="122" spans="1:95" s="8" customFormat="1" ht="12.75">
      <c r="A122" s="7" t="s">
        <v>18</v>
      </c>
      <c r="B122" s="10">
        <v>1.41313947384549E-2</v>
      </c>
      <c r="C122" s="10" t="str">
        <f>YEAR(CurrentMtgRatesDataTable8[[#This Row],[asofdate]])&amp;"-"&amp;MONTH(CurrentMtgRatesDataTable8[[#This Row],[asofdate]])</f>
        <v>2013-2</v>
      </c>
      <c r="D122" s="6">
        <f>((CurrentMtgRatesDataTable8[[#This Row],[SeriesNumValue]]-$D$1)/$D$1+1)*100</f>
        <v>94.209298256365997</v>
      </c>
      <c r="E122" s="6"/>
      <c r="G122" s="7" t="s">
        <v>18</v>
      </c>
      <c r="H122" s="10">
        <v>80.800079255792397</v>
      </c>
      <c r="I122" s="26">
        <f>VLOOKUP(CurrentMtgRatesDataTable82[[#This Row],[asofdate]],K:L,2,0)</f>
        <v>0.248337726838911</v>
      </c>
      <c r="K122" s="7" t="s">
        <v>18</v>
      </c>
      <c r="L122" s="29">
        <v>0.248337726838911</v>
      </c>
      <c r="O122" s="7" t="s">
        <v>18</v>
      </c>
      <c r="P122" s="10">
        <v>33.236988614541303</v>
      </c>
      <c r="Q122" s="29">
        <f>VLOOKUP(CurrentMtgRatesDataTable84[[#This Row],[asofdate]],S:T,2,0)</f>
        <v>0.26462985808078898</v>
      </c>
      <c r="S122" s="7" t="s">
        <v>18</v>
      </c>
      <c r="T122" s="10">
        <v>0.26462985808078898</v>
      </c>
      <c r="W122" s="7" t="s">
        <v>18</v>
      </c>
      <c r="X122" s="10">
        <v>758.83203277396206</v>
      </c>
      <c r="Y122" s="26">
        <f>VLOOKUP(CurrentMtgRatesDataTable86[[#This Row],[asofdate]],AA:AB,2,0)</f>
        <v>9.5024813225718804E-2</v>
      </c>
      <c r="AA122" s="7" t="s">
        <v>18</v>
      </c>
      <c r="AB122" s="10">
        <v>9.5024813225718804E-2</v>
      </c>
      <c r="AE122" s="7" t="s">
        <v>63</v>
      </c>
      <c r="AF122" s="10">
        <v>1.89834805820751E-2</v>
      </c>
      <c r="AG122" s="10" t="str">
        <f>YEAR(CurrentMtgRatesDataTable89[[#This Row],[asofdate]])&amp;"-"&amp;MONTH(CurrentMtgRatesDataTable89[[#This Row],[asofdate]])</f>
        <v>2005-10</v>
      </c>
      <c r="AH122" s="6">
        <f>((CurrentMtgRatesDataTable89[[#This Row],[SeriesNumValue]]-$D$1)/$D$1+1)*100</f>
        <v>126.55653721383402</v>
      </c>
      <c r="AI122" s="6">
        <f>CurrentMtgRatesDataTable89[[#This Row],[Index]]-AH123</f>
        <v>4.2880653348506854</v>
      </c>
      <c r="AJ122" s="6">
        <f>VLOOKUP(CurrentMtgRatesDataTable89[[#This Row],[asofdate]],G:H,2,0)</f>
        <v>79.923493325865195</v>
      </c>
      <c r="AK122" s="6">
        <f>VLOOKUP(CurrentMtgRatesDataTable89[[#This Row],[asofdate]],K:L,2,0)</f>
        <v>0.21644067259883701</v>
      </c>
      <c r="AL122" s="6">
        <f>VLOOKUP(CurrentMtgRatesDataTable89[[#This Row],[asofdate]],O:P,2,0)</f>
        <v>36.383653975406801</v>
      </c>
      <c r="AM122" s="6">
        <f>VLOOKUP(CurrentMtgRatesDataTable89[[#This Row],[asofdate]],S:T,2,0)</f>
        <v>4.7987353312741503E-2</v>
      </c>
      <c r="AN122" s="6">
        <f>VLOOKUP(CurrentMtgRatesDataTable89[[#This Row],[asofdate]],W:X,2,0)</f>
        <v>726.92812366023202</v>
      </c>
      <c r="AO122" s="6">
        <f>VLOOKUP(CurrentMtgRatesDataTable89[[#This Row],[asofdate]],AA:AB,2,0)</f>
        <v>0.307866686997112</v>
      </c>
      <c r="AR122" s="7" t="s">
        <v>18</v>
      </c>
      <c r="AS122" s="10">
        <v>4.83999856771603E-2</v>
      </c>
      <c r="AT122" s="36">
        <f>((CurrentMtgRatesDataTable8711[[#This Row],[SeriesNumValue]]-$D$1)/$D$1+1)*100</f>
        <v>322.66657118106872</v>
      </c>
      <c r="AU122" s="36"/>
      <c r="AW122" s="7" t="s">
        <v>18</v>
      </c>
      <c r="AX122" s="10">
        <v>4.4121631138438998E-2</v>
      </c>
      <c r="AY122" s="36">
        <f>((CurrentMtgRatesDataTable871112[[#This Row],[SeriesNumValue]]-$D$1)/$D$1+1)*100</f>
        <v>294.14420758959335</v>
      </c>
      <c r="AZ122" s="36"/>
      <c r="BB122" s="7" t="s">
        <v>18</v>
      </c>
      <c r="BC122" s="10">
        <v>2.5297205207147799E-2</v>
      </c>
      <c r="BD122" s="39">
        <f>((CurrentMtgRatesDataTable87111213[[#This Row],[SeriesNumValue]]-$D$1)/$D$1+1)*100</f>
        <v>168.64803471431867</v>
      </c>
      <c r="BE122" s="39"/>
      <c r="BG122" s="7" t="s">
        <v>18</v>
      </c>
      <c r="BH122" s="10">
        <v>1.4186851428333201E-2</v>
      </c>
      <c r="BI122" s="39">
        <f>((CurrentMtgRatesDataTable8711121314[[#This Row],[SeriesNumValue]]-$D$1)/$D$1+1)*100</f>
        <v>94.579009522221341</v>
      </c>
      <c r="BJ122" s="39" t="str">
        <f>YEAR(CurrentMtgRatesDataTable8711121314[[#This Row],[asofdate]])&amp;"-"&amp;MONTH(CurrentMtgRatesDataTable8711121314[[#This Row],[asofdate]])</f>
        <v>2013-2</v>
      </c>
      <c r="BK122" s="39">
        <f>CurrentMtgRatesDataTable8711121314[[#This Row],[SeriesNumValue]]</f>
        <v>1.4186851428333201E-2</v>
      </c>
      <c r="BL122" s="39">
        <f>VLOOKUP(CurrentMtgRatesDataTable8711121314[[#This Row],[asofdate]],AR:AT,2,0)</f>
        <v>4.83999856771603E-2</v>
      </c>
      <c r="BM122" s="35">
        <f>IF(VLOOKUP(CurrentMtgRatesDataTable8711121314[[#This Row],[asofdate]],AW:AY,2,0)&lt;&gt;0,VLOOKUP(CurrentMtgRatesDataTable8711121314[[#This Row],[asofdate]],AW:AY,2,0),BM121)</f>
        <v>4.4121631138438998E-2</v>
      </c>
      <c r="BN122" s="35">
        <f>VLOOKUP(CurrentMtgRatesDataTable8711121314[[#This Row],[asofdate]],BB:BD,2,0)</f>
        <v>2.5297205207147799E-2</v>
      </c>
      <c r="BO122" s="35">
        <f>CurrentMtgRatesDataTable8711121314[[#This Row],[FHA]]+0.5*CurrentMtgRatesDataTable8711121314[[#This Row],[Conventional]]</f>
        <v>5.5493411391326901E-2</v>
      </c>
      <c r="BP122" s="35">
        <f>2*CurrentMtgRatesDataTable8711121314[[#This Row],[FHA]]</f>
        <v>9.6799971354320599E-2</v>
      </c>
      <c r="BQ122" s="11">
        <f>VLOOKUP(YEAR(CurrentMtgRatesDataTable8711121314[[#This Row],[asofdate]]),OriginationVolume!$A:$N,8,FALSE)</f>
        <v>0.64153005464480872</v>
      </c>
      <c r="BR122" s="11">
        <f>VLOOKUP(YEAR(CurrentMtgRatesDataTable8711121314[[#This Row],[asofdate]]),OriginationVolume!$A:$N,9,FALSE)</f>
        <v>0.05</v>
      </c>
      <c r="BS122" s="11">
        <f>VLOOKUP(YEAR(CurrentMtgRatesDataTable8711121314[[#This Row],[asofdate]]),OriginationVolume!$A:$N,10,FALSE)</f>
        <v>0.15</v>
      </c>
      <c r="BT122" s="11">
        <f>VLOOKUP(YEAR(CurrentMtgRatesDataTable8711121314[[#This Row],[asofdate]]),OriginationVolume!$A:$N,11,FALSE)</f>
        <v>0.14863387978142076</v>
      </c>
      <c r="BU122" s="11">
        <f>VLOOKUP(YEAR(CurrentMtgRatesDataTable8711121314[[#This Row],[asofdate]]),OriginationVolume!$A:$N,12,FALSE)</f>
        <v>7.6502732240437158E-3</v>
      </c>
      <c r="BV122" s="11">
        <f>VLOOKUP(YEAR(CurrentMtgRatesDataTable8711121314[[#This Row],[asofdate]]),OriginationVolume!$A:$N,13,FALSE)</f>
        <v>2.185792349726776E-3</v>
      </c>
      <c r="BW122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2.131214214634608E-2</v>
      </c>
      <c r="BY122" s="7" t="s">
        <v>18</v>
      </c>
      <c r="BZ122" s="10">
        <v>8934122000</v>
      </c>
      <c r="CA122" s="36"/>
      <c r="CC122" s="7" t="s">
        <v>18</v>
      </c>
      <c r="CD122" s="10">
        <v>3681776000</v>
      </c>
      <c r="CE122" s="36"/>
      <c r="CG122" s="7" t="s">
        <v>18</v>
      </c>
      <c r="CH122" s="10">
        <v>30895488742.830002</v>
      </c>
      <c r="CI122" s="39"/>
      <c r="CK122" s="7" t="s">
        <v>18</v>
      </c>
      <c r="CL122" s="10">
        <v>18279590742.830002</v>
      </c>
      <c r="CM122" s="39" t="str">
        <f>YEAR(CurrentMtgRatesDataTable871112131417[[#This Row],[asofdate]])&amp;"-"&amp;MONTH(CurrentMtgRatesDataTable871112131417[[#This Row],[asofdate]])</f>
        <v>2013-2</v>
      </c>
      <c r="CN122" s="39">
        <f>CurrentMtgRatesDataTable871112131417[[#This Row],[SeriesNumValue]]</f>
        <v>18279590742.830002</v>
      </c>
      <c r="CO122" s="39">
        <f>VLOOKUP(CurrentMtgRatesDataTable871112131417[[#This Row],[asofdate]],BY:BZ,2,0)</f>
        <v>8934122000</v>
      </c>
      <c r="CP122" s="35">
        <f>IF(VLOOKUP(CurrentMtgRatesDataTable871112131417[[#This Row],[asofdate]],CC:CD,2,0)&lt;&gt;0,VLOOKUP(CurrentMtgRatesDataTable871112131417[[#This Row],[asofdate]],CC:CD,2,0),CP121)</f>
        <v>3681776000</v>
      </c>
      <c r="CQ122" s="35">
        <f>VLOOKUP(CurrentMtgRatesDataTable871112131417[[#This Row],[asofdate]],CG:CH,2,0)</f>
        <v>30895488742.830002</v>
      </c>
    </row>
    <row r="123" spans="1:95" s="8" customFormat="1" ht="12.75">
      <c r="A123" s="7" t="s">
        <v>19</v>
      </c>
      <c r="B123" s="10">
        <v>1.3987396579261201E-2</v>
      </c>
      <c r="C123" s="10" t="str">
        <f>YEAR(CurrentMtgRatesDataTable8[[#This Row],[asofdate]])&amp;"-"&amp;MONTH(CurrentMtgRatesDataTable8[[#This Row],[asofdate]])</f>
        <v>2013-3</v>
      </c>
      <c r="D123" s="6">
        <f>((CurrentMtgRatesDataTable8[[#This Row],[SeriesNumValue]]-$D$1)/$D$1+1)*100</f>
        <v>93.249310528408017</v>
      </c>
      <c r="E123" s="6"/>
      <c r="G123" s="7" t="s">
        <v>19</v>
      </c>
      <c r="H123" s="10">
        <v>81.043675117375997</v>
      </c>
      <c r="I123" s="26">
        <f>VLOOKUP(CurrentMtgRatesDataTable82[[#This Row],[asofdate]],K:L,2,0)</f>
        <v>0.24920567214137601</v>
      </c>
      <c r="K123" s="7" t="s">
        <v>19</v>
      </c>
      <c r="L123" s="29">
        <v>0.24920567214137601</v>
      </c>
      <c r="O123" s="7" t="s">
        <v>19</v>
      </c>
      <c r="P123" s="10">
        <v>33.429210541255898</v>
      </c>
      <c r="Q123" s="29">
        <f>VLOOKUP(CurrentMtgRatesDataTable84[[#This Row],[asofdate]],S:T,2,0)</f>
        <v>0.26777968249987799</v>
      </c>
      <c r="S123" s="7" t="s">
        <v>19</v>
      </c>
      <c r="T123" s="10">
        <v>0.26777968249987799</v>
      </c>
      <c r="W123" s="7" t="s">
        <v>19</v>
      </c>
      <c r="X123" s="10">
        <v>758.30996785926004</v>
      </c>
      <c r="Y123" s="26">
        <f>VLOOKUP(CurrentMtgRatesDataTable86[[#This Row],[asofdate]],AA:AB,2,0)</f>
        <v>9.6988005222013604E-2</v>
      </c>
      <c r="AA123" s="7" t="s">
        <v>19</v>
      </c>
      <c r="AB123" s="10">
        <v>9.6988005222013604E-2</v>
      </c>
      <c r="AE123" s="7" t="s">
        <v>62</v>
      </c>
      <c r="AF123" s="10">
        <v>1.8340270781847499E-2</v>
      </c>
      <c r="AG123" s="10" t="str">
        <f>YEAR(CurrentMtgRatesDataTable89[[#This Row],[asofdate]])&amp;"-"&amp;MONTH(CurrentMtgRatesDataTable89[[#This Row],[asofdate]])</f>
        <v>2005-9</v>
      </c>
      <c r="AH123" s="6">
        <f>((CurrentMtgRatesDataTable89[[#This Row],[SeriesNumValue]]-$D$1)/$D$1+1)*100</f>
        <v>122.26847187898333</v>
      </c>
      <c r="AI123" s="6">
        <f>CurrentMtgRatesDataTable89[[#This Row],[Index]]-AH124</f>
        <v>-8.6933922804073376</v>
      </c>
      <c r="AJ123" s="6">
        <f>VLOOKUP(CurrentMtgRatesDataTable89[[#This Row],[asofdate]],G:H,2,0)</f>
        <v>79.800127622255999</v>
      </c>
      <c r="AK123" s="6">
        <f>VLOOKUP(CurrentMtgRatesDataTable89[[#This Row],[asofdate]],K:L,2,0)</f>
        <v>0.20901707282761001</v>
      </c>
      <c r="AL123" s="6">
        <f>VLOOKUP(CurrentMtgRatesDataTable89[[#This Row],[asofdate]],O:P,2,0)</f>
        <v>35.1480749189747</v>
      </c>
      <c r="AM123" s="6">
        <f>VLOOKUP(CurrentMtgRatesDataTable89[[#This Row],[asofdate]],S:T,2,0)</f>
        <v>2.68399820380428E-2</v>
      </c>
      <c r="AN123" s="6">
        <f>VLOOKUP(CurrentMtgRatesDataTable89[[#This Row],[asofdate]],W:X,2,0)</f>
        <v>728.11888488396903</v>
      </c>
      <c r="AO123" s="6">
        <f>VLOOKUP(CurrentMtgRatesDataTable89[[#This Row],[asofdate]],AA:AB,2,0)</f>
        <v>0.29226453331797803</v>
      </c>
      <c r="AR123" s="7" t="s">
        <v>19</v>
      </c>
      <c r="AS123" s="10">
        <v>4.8162877188679197E-2</v>
      </c>
      <c r="AT123" s="36">
        <f>((CurrentMtgRatesDataTable8711[[#This Row],[SeriesNumValue]]-$D$1)/$D$1+1)*100</f>
        <v>321.08584792452797</v>
      </c>
      <c r="AU123" s="36"/>
      <c r="AW123" s="7" t="s">
        <v>19</v>
      </c>
      <c r="AX123" s="10">
        <v>4.3393988731490002E-2</v>
      </c>
      <c r="AY123" s="36">
        <f>((CurrentMtgRatesDataTable871112[[#This Row],[SeriesNumValue]]-$D$1)/$D$1+1)*100</f>
        <v>289.2932582099333</v>
      </c>
      <c r="AZ123" s="36"/>
      <c r="BB123" s="7" t="s">
        <v>19</v>
      </c>
      <c r="BC123" s="10">
        <v>2.5268895814262501E-2</v>
      </c>
      <c r="BD123" s="39">
        <f>((CurrentMtgRatesDataTable87111213[[#This Row],[SeriesNumValue]]-$D$1)/$D$1+1)*100</f>
        <v>168.45930542841668</v>
      </c>
      <c r="BE123" s="39"/>
      <c r="BG123" s="7" t="s">
        <v>19</v>
      </c>
      <c r="BH123" s="10">
        <v>1.4205148918397199E-2</v>
      </c>
      <c r="BI123" s="39">
        <f>((CurrentMtgRatesDataTable8711121314[[#This Row],[SeriesNumValue]]-$D$1)/$D$1+1)*100</f>
        <v>94.700992789314668</v>
      </c>
      <c r="BJ123" s="39" t="str">
        <f>YEAR(CurrentMtgRatesDataTable8711121314[[#This Row],[asofdate]])&amp;"-"&amp;MONTH(CurrentMtgRatesDataTable8711121314[[#This Row],[asofdate]])</f>
        <v>2013-3</v>
      </c>
      <c r="BK123" s="39">
        <f>CurrentMtgRatesDataTable8711121314[[#This Row],[SeriesNumValue]]</f>
        <v>1.4205148918397199E-2</v>
      </c>
      <c r="BL123" s="39">
        <f>VLOOKUP(CurrentMtgRatesDataTable8711121314[[#This Row],[asofdate]],AR:AT,2,0)</f>
        <v>4.8162877188679197E-2</v>
      </c>
      <c r="BM123" s="35">
        <f>IF(VLOOKUP(CurrentMtgRatesDataTable8711121314[[#This Row],[asofdate]],AW:AY,2,0)&lt;&gt;0,VLOOKUP(CurrentMtgRatesDataTable8711121314[[#This Row],[asofdate]],AW:AY,2,0),BM122)</f>
        <v>4.3393988731490002E-2</v>
      </c>
      <c r="BN123" s="35">
        <f>VLOOKUP(CurrentMtgRatesDataTable8711121314[[#This Row],[asofdate]],BB:BD,2,0)</f>
        <v>2.5268895814262501E-2</v>
      </c>
      <c r="BO123" s="35">
        <f>CurrentMtgRatesDataTable8711121314[[#This Row],[FHA]]+0.5*CurrentMtgRatesDataTable8711121314[[#This Row],[Conventional]]</f>
        <v>5.52654516478778E-2</v>
      </c>
      <c r="BP123" s="35">
        <f>2*CurrentMtgRatesDataTable8711121314[[#This Row],[FHA]]</f>
        <v>9.6325754377358394E-2</v>
      </c>
      <c r="BQ123" s="11">
        <f>VLOOKUP(YEAR(CurrentMtgRatesDataTable8711121314[[#This Row],[asofdate]]),OriginationVolume!$A:$N,8,FALSE)</f>
        <v>0.64153005464480872</v>
      </c>
      <c r="BR123" s="11">
        <f>VLOOKUP(YEAR(CurrentMtgRatesDataTable8711121314[[#This Row],[asofdate]]),OriginationVolume!$A:$N,9,FALSE)</f>
        <v>0.05</v>
      </c>
      <c r="BS123" s="11">
        <f>VLOOKUP(YEAR(CurrentMtgRatesDataTable8711121314[[#This Row],[asofdate]]),OriginationVolume!$A:$N,10,FALSE)</f>
        <v>0.15</v>
      </c>
      <c r="BT123" s="11">
        <f>VLOOKUP(YEAR(CurrentMtgRatesDataTable8711121314[[#This Row],[asofdate]]),OriginationVolume!$A:$N,11,FALSE)</f>
        <v>0.14863387978142076</v>
      </c>
      <c r="BU123" s="11">
        <f>VLOOKUP(YEAR(CurrentMtgRatesDataTable8711121314[[#This Row],[asofdate]]),OriginationVolume!$A:$N,12,FALSE)</f>
        <v>7.6502732240437158E-3</v>
      </c>
      <c r="BV123" s="11">
        <f>VLOOKUP(YEAR(CurrentMtgRatesDataTable8711121314[[#This Row],[asofdate]]),OriginationVolume!$A:$N,13,FALSE)</f>
        <v>2.185792349726776E-3</v>
      </c>
      <c r="BW123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2.125187127530374E-2</v>
      </c>
      <c r="BY123" s="7" t="s">
        <v>19</v>
      </c>
      <c r="BZ123" s="10">
        <v>7294344000</v>
      </c>
      <c r="CA123" s="36"/>
      <c r="CC123" s="7" t="s">
        <v>19</v>
      </c>
      <c r="CD123" s="10">
        <v>2847845000</v>
      </c>
      <c r="CE123" s="36"/>
      <c r="CG123" s="7" t="s">
        <v>19</v>
      </c>
      <c r="CH123" s="10">
        <v>24189070034.529999</v>
      </c>
      <c r="CI123" s="39"/>
      <c r="CK123" s="7" t="s">
        <v>19</v>
      </c>
      <c r="CL123" s="10">
        <v>14046881034.530001</v>
      </c>
      <c r="CM123" s="39" t="str">
        <f>YEAR(CurrentMtgRatesDataTable871112131417[[#This Row],[asofdate]])&amp;"-"&amp;MONTH(CurrentMtgRatesDataTable871112131417[[#This Row],[asofdate]])</f>
        <v>2013-3</v>
      </c>
      <c r="CN123" s="39">
        <f>CurrentMtgRatesDataTable871112131417[[#This Row],[SeriesNumValue]]</f>
        <v>14046881034.530001</v>
      </c>
      <c r="CO123" s="39">
        <f>VLOOKUP(CurrentMtgRatesDataTable871112131417[[#This Row],[asofdate]],BY:BZ,2,0)</f>
        <v>7294344000</v>
      </c>
      <c r="CP123" s="35">
        <f>IF(VLOOKUP(CurrentMtgRatesDataTable871112131417[[#This Row],[asofdate]],CC:CD,2,0)&lt;&gt;0,VLOOKUP(CurrentMtgRatesDataTable871112131417[[#This Row],[asofdate]],CC:CD,2,0),CP122)</f>
        <v>2847845000</v>
      </c>
      <c r="CQ123" s="35">
        <f>VLOOKUP(CurrentMtgRatesDataTable871112131417[[#This Row],[asofdate]],CG:CH,2,0)</f>
        <v>24189070034.529999</v>
      </c>
    </row>
    <row r="124" spans="1:95" s="8" customFormat="1" ht="12.75">
      <c r="A124" s="7" t="s">
        <v>15</v>
      </c>
      <c r="B124" s="10">
        <v>1.4081346589350801E-2</v>
      </c>
      <c r="C124" s="10" t="str">
        <f>YEAR(CurrentMtgRatesDataTable8[[#This Row],[asofdate]])&amp;"-"&amp;MONTH(CurrentMtgRatesDataTable8[[#This Row],[asofdate]])</f>
        <v>2013-4</v>
      </c>
      <c r="D124" s="6">
        <f>((CurrentMtgRatesDataTable8[[#This Row],[SeriesNumValue]]-$D$1)/$D$1+1)*100</f>
        <v>93.875643929005335</v>
      </c>
      <c r="E124" s="6"/>
      <c r="G124" s="7" t="s">
        <v>15</v>
      </c>
      <c r="H124" s="10">
        <v>81.199799681071894</v>
      </c>
      <c r="I124" s="26">
        <f>VLOOKUP(CurrentMtgRatesDataTable82[[#This Row],[asofdate]],K:L,2,0)</f>
        <v>0.25702421178178703</v>
      </c>
      <c r="K124" s="7" t="s">
        <v>15</v>
      </c>
      <c r="L124" s="29">
        <v>0.25702421178178703</v>
      </c>
      <c r="O124" s="7" t="s">
        <v>15</v>
      </c>
      <c r="P124" s="10">
        <v>33.479006651971702</v>
      </c>
      <c r="Q124" s="29">
        <f>VLOOKUP(CurrentMtgRatesDataTable84[[#This Row],[asofdate]],S:T,2,0)</f>
        <v>0.26708469414027702</v>
      </c>
      <c r="S124" s="7" t="s">
        <v>15</v>
      </c>
      <c r="T124" s="10">
        <v>0.26708469414027702</v>
      </c>
      <c r="W124" s="7" t="s">
        <v>15</v>
      </c>
      <c r="X124" s="10">
        <v>758.50153581532902</v>
      </c>
      <c r="Y124" s="26">
        <f>VLOOKUP(CurrentMtgRatesDataTable86[[#This Row],[asofdate]],AA:AB,2,0)</f>
        <v>9.1597013504822702E-2</v>
      </c>
      <c r="AA124" s="7" t="s">
        <v>15</v>
      </c>
      <c r="AB124" s="10">
        <v>9.1597013504822702E-2</v>
      </c>
      <c r="AE124" s="7" t="s">
        <v>61</v>
      </c>
      <c r="AF124" s="10">
        <v>1.9644279623908599E-2</v>
      </c>
      <c r="AG124" s="10" t="str">
        <f>YEAR(CurrentMtgRatesDataTable89[[#This Row],[asofdate]])&amp;"-"&amp;MONTH(CurrentMtgRatesDataTable89[[#This Row],[asofdate]])</f>
        <v>2005-8</v>
      </c>
      <c r="AH124" s="6">
        <f>((CurrentMtgRatesDataTable89[[#This Row],[SeriesNumValue]]-$D$1)/$D$1+1)*100</f>
        <v>130.96186415939067</v>
      </c>
      <c r="AI124" s="6">
        <f>CurrentMtgRatesDataTable89[[#This Row],[Index]]-AH125</f>
        <v>-11.073182021811334</v>
      </c>
      <c r="AJ124" s="6">
        <f>VLOOKUP(CurrentMtgRatesDataTable89[[#This Row],[asofdate]],G:H,2,0)</f>
        <v>79.8624128683972</v>
      </c>
      <c r="AK124" s="6">
        <f>VLOOKUP(CurrentMtgRatesDataTable89[[#This Row],[asofdate]],K:L,2,0)</f>
        <v>0.214649589433586</v>
      </c>
      <c r="AL124" s="6">
        <f>VLOOKUP(CurrentMtgRatesDataTable89[[#This Row],[asofdate]],O:P,2,0)</f>
        <v>35.077215179314997</v>
      </c>
      <c r="AM124" s="6">
        <f>VLOOKUP(CurrentMtgRatesDataTable89[[#This Row],[asofdate]],S:T,2,0)</f>
        <v>2.0740391863012599E-2</v>
      </c>
      <c r="AN124" s="6">
        <f>VLOOKUP(CurrentMtgRatesDataTable89[[#This Row],[asofdate]],W:X,2,0)</f>
        <v>727.32930770411701</v>
      </c>
      <c r="AO124" s="6">
        <f>VLOOKUP(CurrentMtgRatesDataTable89[[#This Row],[asofdate]],AA:AB,2,0)</f>
        <v>0.30540869486486999</v>
      </c>
      <c r="AR124" s="7" t="s">
        <v>15</v>
      </c>
      <c r="AS124" s="10">
        <v>4.7048443962686003E-2</v>
      </c>
      <c r="AT124" s="36">
        <f>((CurrentMtgRatesDataTable8711[[#This Row],[SeriesNumValue]]-$D$1)/$D$1+1)*100</f>
        <v>313.65629308457335</v>
      </c>
      <c r="AU124" s="36"/>
      <c r="AW124" s="7" t="s">
        <v>15</v>
      </c>
      <c r="AX124" s="10">
        <v>4.2668851038634797E-2</v>
      </c>
      <c r="AY124" s="36">
        <f>((CurrentMtgRatesDataTable871112[[#This Row],[SeriesNumValue]]-$D$1)/$D$1+1)*100</f>
        <v>284.45900692423197</v>
      </c>
      <c r="AZ124" s="36"/>
      <c r="BB124" s="7" t="s">
        <v>15</v>
      </c>
      <c r="BC124" s="10">
        <v>2.4194226674924001E-2</v>
      </c>
      <c r="BD124" s="39">
        <f>((CurrentMtgRatesDataTable87111213[[#This Row],[SeriesNumValue]]-$D$1)/$D$1+1)*100</f>
        <v>161.29484449949337</v>
      </c>
      <c r="BE124" s="39"/>
      <c r="BG124" s="7" t="s">
        <v>15</v>
      </c>
      <c r="BH124" s="10">
        <v>1.40763601235394E-2</v>
      </c>
      <c r="BI124" s="39">
        <f>((CurrentMtgRatesDataTable8711121314[[#This Row],[SeriesNumValue]]-$D$1)/$D$1+1)*100</f>
        <v>93.842400823596009</v>
      </c>
      <c r="BJ124" s="39" t="str">
        <f>YEAR(CurrentMtgRatesDataTable8711121314[[#This Row],[asofdate]])&amp;"-"&amp;MONTH(CurrentMtgRatesDataTable8711121314[[#This Row],[asofdate]])</f>
        <v>2013-4</v>
      </c>
      <c r="BK124" s="39">
        <f>CurrentMtgRatesDataTable8711121314[[#This Row],[SeriesNumValue]]</f>
        <v>1.40763601235394E-2</v>
      </c>
      <c r="BL124" s="39">
        <f>VLOOKUP(CurrentMtgRatesDataTable8711121314[[#This Row],[asofdate]],AR:AT,2,0)</f>
        <v>4.7048443962686003E-2</v>
      </c>
      <c r="BM124" s="35">
        <f>IF(VLOOKUP(CurrentMtgRatesDataTable8711121314[[#This Row],[asofdate]],AW:AY,2,0)&lt;&gt;0,VLOOKUP(CurrentMtgRatesDataTable8711121314[[#This Row],[asofdate]],AW:AY,2,0),BM123)</f>
        <v>4.2668851038634797E-2</v>
      </c>
      <c r="BN124" s="35">
        <f>VLOOKUP(CurrentMtgRatesDataTable8711121314[[#This Row],[asofdate]],BB:BD,2,0)</f>
        <v>2.4194226674924001E-2</v>
      </c>
      <c r="BO124" s="35">
        <f>CurrentMtgRatesDataTable8711121314[[#This Row],[FHA]]+0.5*CurrentMtgRatesDataTable8711121314[[#This Row],[Conventional]]</f>
        <v>5.4086624024455701E-2</v>
      </c>
      <c r="BP124" s="35">
        <f>2*CurrentMtgRatesDataTable8711121314[[#This Row],[FHA]]</f>
        <v>9.4096887925372005E-2</v>
      </c>
      <c r="BQ124" s="11">
        <f>VLOOKUP(YEAR(CurrentMtgRatesDataTable8711121314[[#This Row],[asofdate]]),OriginationVolume!$A:$N,8,FALSE)</f>
        <v>0.64153005464480872</v>
      </c>
      <c r="BR124" s="11">
        <f>VLOOKUP(YEAR(CurrentMtgRatesDataTable8711121314[[#This Row],[asofdate]]),OriginationVolume!$A:$N,9,FALSE)</f>
        <v>0.05</v>
      </c>
      <c r="BS124" s="11">
        <f>VLOOKUP(YEAR(CurrentMtgRatesDataTable8711121314[[#This Row],[asofdate]]),OriginationVolume!$A:$N,10,FALSE)</f>
        <v>0.15</v>
      </c>
      <c r="BT124" s="11">
        <f>VLOOKUP(YEAR(CurrentMtgRatesDataTable8711121314[[#This Row],[asofdate]]),OriginationVolume!$A:$N,11,FALSE)</f>
        <v>0.14863387978142076</v>
      </c>
      <c r="BU124" s="11">
        <f>VLOOKUP(YEAR(CurrentMtgRatesDataTable8711121314[[#This Row],[asofdate]]),OriginationVolume!$A:$N,12,FALSE)</f>
        <v>7.6502732240437158E-3</v>
      </c>
      <c r="BV124" s="11">
        <f>VLOOKUP(YEAR(CurrentMtgRatesDataTable8711121314[[#This Row],[asofdate]]),OriginationVolume!$A:$N,13,FALSE)</f>
        <v>2.185792349726776E-3</v>
      </c>
      <c r="BW124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2.0932794953264607E-2</v>
      </c>
      <c r="BY124" s="7" t="s">
        <v>15</v>
      </c>
      <c r="BZ124" s="10">
        <v>7200749000</v>
      </c>
      <c r="CA124" s="36"/>
      <c r="CC124" s="7" t="s">
        <v>15</v>
      </c>
      <c r="CD124" s="10">
        <v>2986035000</v>
      </c>
      <c r="CE124" s="36"/>
      <c r="CG124" s="7" t="s">
        <v>15</v>
      </c>
      <c r="CH124" s="10">
        <v>24826686214.599998</v>
      </c>
      <c r="CI124" s="39"/>
      <c r="CK124" s="7" t="s">
        <v>15</v>
      </c>
      <c r="CL124" s="10">
        <v>14639902214.6</v>
      </c>
      <c r="CM124" s="39" t="str">
        <f>YEAR(CurrentMtgRatesDataTable871112131417[[#This Row],[asofdate]])&amp;"-"&amp;MONTH(CurrentMtgRatesDataTable871112131417[[#This Row],[asofdate]])</f>
        <v>2013-4</v>
      </c>
      <c r="CN124" s="39">
        <f>CurrentMtgRatesDataTable871112131417[[#This Row],[SeriesNumValue]]</f>
        <v>14639902214.6</v>
      </c>
      <c r="CO124" s="39">
        <f>VLOOKUP(CurrentMtgRatesDataTable871112131417[[#This Row],[asofdate]],BY:BZ,2,0)</f>
        <v>7200749000</v>
      </c>
      <c r="CP124" s="35">
        <f>IF(VLOOKUP(CurrentMtgRatesDataTable871112131417[[#This Row],[asofdate]],CC:CD,2,0)&lt;&gt;0,VLOOKUP(CurrentMtgRatesDataTable871112131417[[#This Row],[asofdate]],CC:CD,2,0),CP123)</f>
        <v>2986035000</v>
      </c>
      <c r="CQ124" s="35">
        <f>VLOOKUP(CurrentMtgRatesDataTable871112131417[[#This Row],[asofdate]],CG:CH,2,0)</f>
        <v>24826686214.599998</v>
      </c>
    </row>
    <row r="125" spans="1:95" s="8" customFormat="1" ht="12.75">
      <c r="A125" s="7" t="s">
        <v>7</v>
      </c>
      <c r="B125" s="10">
        <v>1.48366985334087E-2</v>
      </c>
      <c r="C125" s="10" t="str">
        <f>YEAR(CurrentMtgRatesDataTable8[[#This Row],[asofdate]])&amp;"-"&amp;MONTH(CurrentMtgRatesDataTable8[[#This Row],[asofdate]])</f>
        <v>2013-5</v>
      </c>
      <c r="D125" s="6">
        <f>((CurrentMtgRatesDataTable8[[#This Row],[SeriesNumValue]]-$D$1)/$D$1+1)*100</f>
        <v>98.911323556058008</v>
      </c>
      <c r="E125" s="6"/>
      <c r="G125" s="7" t="s">
        <v>7</v>
      </c>
      <c r="H125" s="10">
        <v>81.325179322753797</v>
      </c>
      <c r="I125" s="26">
        <f>VLOOKUP(CurrentMtgRatesDataTable82[[#This Row],[asofdate]],K:L,2,0)</f>
        <v>0.262825288107358</v>
      </c>
      <c r="K125" s="7" t="s">
        <v>7</v>
      </c>
      <c r="L125" s="29">
        <v>0.262825288107358</v>
      </c>
      <c r="O125" s="7" t="s">
        <v>7</v>
      </c>
      <c r="P125" s="10">
        <v>33.5566306336381</v>
      </c>
      <c r="Q125" s="29">
        <f>VLOOKUP(CurrentMtgRatesDataTable84[[#This Row],[asofdate]],S:T,2,0)</f>
        <v>0.26794335903761601</v>
      </c>
      <c r="S125" s="7" t="s">
        <v>7</v>
      </c>
      <c r="T125" s="10">
        <v>0.26794335903761601</v>
      </c>
      <c r="W125" s="7" t="s">
        <v>7</v>
      </c>
      <c r="X125" s="10">
        <v>758.42291222221195</v>
      </c>
      <c r="Y125" s="26">
        <f>VLOOKUP(CurrentMtgRatesDataTable86[[#This Row],[asofdate]],AA:AB,2,0)</f>
        <v>9.3295068554112501E-2</v>
      </c>
      <c r="AA125" s="7" t="s">
        <v>7</v>
      </c>
      <c r="AB125" s="10">
        <v>9.3295068554112501E-2</v>
      </c>
      <c r="AE125" s="7" t="s">
        <v>60</v>
      </c>
      <c r="AF125" s="10">
        <v>2.1305256927180299E-2</v>
      </c>
      <c r="AG125" s="10" t="str">
        <f>YEAR(CurrentMtgRatesDataTable89[[#This Row],[asofdate]])&amp;"-"&amp;MONTH(CurrentMtgRatesDataTable89[[#This Row],[asofdate]])</f>
        <v>2005-7</v>
      </c>
      <c r="AH125" s="6">
        <f>((CurrentMtgRatesDataTable89[[#This Row],[SeriesNumValue]]-$D$1)/$D$1+1)*100</f>
        <v>142.03504618120201</v>
      </c>
      <c r="AI125" s="6">
        <f>CurrentMtgRatesDataTable89[[#This Row],[Index]]-AH126</f>
        <v>3.1544608154299851</v>
      </c>
      <c r="AJ125" s="6">
        <f>VLOOKUP(CurrentMtgRatesDataTable89[[#This Row],[asofdate]],G:H,2,0)</f>
        <v>80.924093980399604</v>
      </c>
      <c r="AK125" s="6">
        <f>VLOOKUP(CurrentMtgRatesDataTable89[[#This Row],[asofdate]],K:L,2,0)</f>
        <v>0.234948394132272</v>
      </c>
      <c r="AL125" s="6">
        <f>VLOOKUP(CurrentMtgRatesDataTable89[[#This Row],[asofdate]],O:P,2,0)</f>
        <v>35.622831536056303</v>
      </c>
      <c r="AM125" s="6">
        <f>VLOOKUP(CurrentMtgRatesDataTable89[[#This Row],[asofdate]],S:T,2,0)</f>
        <v>2.39749129907815E-2</v>
      </c>
      <c r="AN125" s="6">
        <f>VLOOKUP(CurrentMtgRatesDataTable89[[#This Row],[asofdate]],W:X,2,0)</f>
        <v>725.24515758187999</v>
      </c>
      <c r="AO125" s="6">
        <f>VLOOKUP(CurrentMtgRatesDataTable89[[#This Row],[asofdate]],AA:AB,2,0)</f>
        <v>0.31626561898460898</v>
      </c>
      <c r="AR125" s="7" t="s">
        <v>7</v>
      </c>
      <c r="AS125" s="10">
        <v>4.8564626706116498E-2</v>
      </c>
      <c r="AT125" s="36">
        <f>((CurrentMtgRatesDataTable8711[[#This Row],[SeriesNumValue]]-$D$1)/$D$1+1)*100</f>
        <v>323.7641780407767</v>
      </c>
      <c r="AU125" s="36"/>
      <c r="AW125" s="7" t="s">
        <v>7</v>
      </c>
      <c r="AX125" s="10">
        <v>4.2284506095958602E-2</v>
      </c>
      <c r="AY125" s="36">
        <f>((CurrentMtgRatesDataTable871112[[#This Row],[SeriesNumValue]]-$D$1)/$D$1+1)*100</f>
        <v>281.89670730639068</v>
      </c>
      <c r="AZ125" s="36"/>
      <c r="BB125" s="7" t="s">
        <v>7</v>
      </c>
      <c r="BC125" s="10">
        <v>2.4376745764779099E-2</v>
      </c>
      <c r="BD125" s="39">
        <f>((CurrentMtgRatesDataTable87111213[[#This Row],[SeriesNumValue]]-$D$1)/$D$1+1)*100</f>
        <v>162.51163843186066</v>
      </c>
      <c r="BE125" s="39"/>
      <c r="BG125" s="7" t="s">
        <v>7</v>
      </c>
      <c r="BH125" s="10">
        <v>1.4536398607508799E-2</v>
      </c>
      <c r="BI125" s="39">
        <f>((CurrentMtgRatesDataTable8711121314[[#This Row],[SeriesNumValue]]-$D$1)/$D$1+1)*100</f>
        <v>96.909324050058672</v>
      </c>
      <c r="BJ125" s="39" t="str">
        <f>YEAR(CurrentMtgRatesDataTable8711121314[[#This Row],[asofdate]])&amp;"-"&amp;MONTH(CurrentMtgRatesDataTable8711121314[[#This Row],[asofdate]])</f>
        <v>2013-5</v>
      </c>
      <c r="BK125" s="39">
        <f>CurrentMtgRatesDataTable8711121314[[#This Row],[SeriesNumValue]]</f>
        <v>1.4536398607508799E-2</v>
      </c>
      <c r="BL125" s="39">
        <f>VLOOKUP(CurrentMtgRatesDataTable8711121314[[#This Row],[asofdate]],AR:AT,2,0)</f>
        <v>4.8564626706116498E-2</v>
      </c>
      <c r="BM125" s="35">
        <f>IF(VLOOKUP(CurrentMtgRatesDataTable8711121314[[#This Row],[asofdate]],AW:AY,2,0)&lt;&gt;0,VLOOKUP(CurrentMtgRatesDataTable8711121314[[#This Row],[asofdate]],AW:AY,2,0),BM124)</f>
        <v>4.2284506095958602E-2</v>
      </c>
      <c r="BN125" s="35">
        <f>VLOOKUP(CurrentMtgRatesDataTable8711121314[[#This Row],[asofdate]],BB:BD,2,0)</f>
        <v>2.4376745764779099E-2</v>
      </c>
      <c r="BO125" s="35">
        <f>CurrentMtgRatesDataTable8711121314[[#This Row],[FHA]]+0.5*CurrentMtgRatesDataTable8711121314[[#This Row],[Conventional]]</f>
        <v>5.5832826009870898E-2</v>
      </c>
      <c r="BP125" s="35">
        <f>2*CurrentMtgRatesDataTable8711121314[[#This Row],[FHA]]</f>
        <v>9.7129253412232996E-2</v>
      </c>
      <c r="BQ125" s="11">
        <f>VLOOKUP(YEAR(CurrentMtgRatesDataTable8711121314[[#This Row],[asofdate]]),OriginationVolume!$A:$N,8,FALSE)</f>
        <v>0.64153005464480872</v>
      </c>
      <c r="BR125" s="11">
        <f>VLOOKUP(YEAR(CurrentMtgRatesDataTable8711121314[[#This Row],[asofdate]]),OriginationVolume!$A:$N,9,FALSE)</f>
        <v>0.05</v>
      </c>
      <c r="BS125" s="11">
        <f>VLOOKUP(YEAR(CurrentMtgRatesDataTable8711121314[[#This Row],[asofdate]]),OriginationVolume!$A:$N,10,FALSE)</f>
        <v>0.15</v>
      </c>
      <c r="BT125" s="11">
        <f>VLOOKUP(YEAR(CurrentMtgRatesDataTable8711121314[[#This Row],[asofdate]]),OriginationVolume!$A:$N,11,FALSE)</f>
        <v>0.14863387978142076</v>
      </c>
      <c r="BU125" s="11">
        <f>VLOOKUP(YEAR(CurrentMtgRatesDataTable8711121314[[#This Row],[asofdate]]),OriginationVolume!$A:$N,12,FALSE)</f>
        <v>7.6502732240437158E-3</v>
      </c>
      <c r="BV125" s="11">
        <f>VLOOKUP(YEAR(CurrentMtgRatesDataTable8711121314[[#This Row],[asofdate]]),OriginationVolume!$A:$N,13,FALSE)</f>
        <v>2.185792349726776E-3</v>
      </c>
      <c r="BW125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2.1524497979701664E-2</v>
      </c>
      <c r="BY125" s="7" t="s">
        <v>7</v>
      </c>
      <c r="BZ125" s="10">
        <v>9446655000</v>
      </c>
      <c r="CA125" s="36"/>
      <c r="CC125" s="7" t="s">
        <v>7</v>
      </c>
      <c r="CD125" s="10">
        <v>3923858000</v>
      </c>
      <c r="CE125" s="36"/>
      <c r="CG125" s="7" t="s">
        <v>7</v>
      </c>
      <c r="CH125" s="10">
        <v>33624158715.84</v>
      </c>
      <c r="CI125" s="39"/>
      <c r="CK125" s="7" t="s">
        <v>7</v>
      </c>
      <c r="CL125" s="10">
        <v>20253645715.84</v>
      </c>
      <c r="CM125" s="39" t="str">
        <f>YEAR(CurrentMtgRatesDataTable871112131417[[#This Row],[asofdate]])&amp;"-"&amp;MONTH(CurrentMtgRatesDataTable871112131417[[#This Row],[asofdate]])</f>
        <v>2013-5</v>
      </c>
      <c r="CN125" s="39">
        <f>CurrentMtgRatesDataTable871112131417[[#This Row],[SeriesNumValue]]</f>
        <v>20253645715.84</v>
      </c>
      <c r="CO125" s="39">
        <f>VLOOKUP(CurrentMtgRatesDataTable871112131417[[#This Row],[asofdate]],BY:BZ,2,0)</f>
        <v>9446655000</v>
      </c>
      <c r="CP125" s="35">
        <f>IF(VLOOKUP(CurrentMtgRatesDataTable871112131417[[#This Row],[asofdate]],CC:CD,2,0)&lt;&gt;0,VLOOKUP(CurrentMtgRatesDataTable871112131417[[#This Row],[asofdate]],CC:CD,2,0),CP124)</f>
        <v>3923858000</v>
      </c>
      <c r="CQ125" s="35">
        <f>VLOOKUP(CurrentMtgRatesDataTable871112131417[[#This Row],[asofdate]],CG:CH,2,0)</f>
        <v>33624158715.84</v>
      </c>
    </row>
    <row r="126" spans="1:95" s="8" customFormat="1" ht="12.75">
      <c r="A126" s="7" t="s">
        <v>146</v>
      </c>
      <c r="B126" s="10">
        <v>1.5413706581738599E-2</v>
      </c>
      <c r="C126" s="10" t="str">
        <f>YEAR(CurrentMtgRatesDataTable8[[#This Row],[asofdate]])&amp;"-"&amp;MONTH(CurrentMtgRatesDataTable8[[#This Row],[asofdate]])</f>
        <v>2013-6</v>
      </c>
      <c r="D126" s="6">
        <f>((CurrentMtgRatesDataTable8[[#This Row],[SeriesNumValue]]-$D$1)/$D$1+1)*100</f>
        <v>102.75804387825733</v>
      </c>
      <c r="E126" s="6"/>
      <c r="G126" s="7" t="s">
        <v>146</v>
      </c>
      <c r="H126" s="10">
        <v>81.560995062085496</v>
      </c>
      <c r="I126" s="26">
        <f>VLOOKUP(CurrentMtgRatesDataTable82[[#This Row],[asofdate]],K:L,2,0)</f>
        <v>0.27245016612395301</v>
      </c>
      <c r="K126" s="7" t="s">
        <v>146</v>
      </c>
      <c r="L126" s="29">
        <v>0.27245016612395301</v>
      </c>
      <c r="O126" s="7" t="s">
        <v>146</v>
      </c>
      <c r="P126" s="10">
        <v>33.442751747550503</v>
      </c>
      <c r="Q126" s="29">
        <f>VLOOKUP(CurrentMtgRatesDataTable84[[#This Row],[asofdate]],S:T,2,0)</f>
        <v>0.26164688930527003</v>
      </c>
      <c r="S126" s="7" t="s">
        <v>146</v>
      </c>
      <c r="T126" s="10">
        <v>0.26164688930527003</v>
      </c>
      <c r="W126" s="7" t="s">
        <v>146</v>
      </c>
      <c r="X126" s="10">
        <v>758.39409782383098</v>
      </c>
      <c r="Y126" s="26">
        <f>VLOOKUP(CurrentMtgRatesDataTable86[[#This Row],[asofdate]],AA:AB,2,0)</f>
        <v>9.4257525505838602E-2</v>
      </c>
      <c r="AA126" s="7" t="s">
        <v>146</v>
      </c>
      <c r="AB126" s="10">
        <v>9.4257525505838602E-2</v>
      </c>
      <c r="AE126" s="7" t="s">
        <v>59</v>
      </c>
      <c r="AF126" s="10">
        <v>2.0832087804865802E-2</v>
      </c>
      <c r="AG126" s="10" t="str">
        <f>YEAR(CurrentMtgRatesDataTable89[[#This Row],[asofdate]])&amp;"-"&amp;MONTH(CurrentMtgRatesDataTable89[[#This Row],[asofdate]])</f>
        <v>2005-6</v>
      </c>
      <c r="AH126" s="6">
        <f>((CurrentMtgRatesDataTable89[[#This Row],[SeriesNumValue]]-$D$1)/$D$1+1)*100</f>
        <v>138.88058536577202</v>
      </c>
      <c r="AI126" s="6">
        <f>CurrentMtgRatesDataTable89[[#This Row],[Index]]-AH127</f>
        <v>16.902729397636676</v>
      </c>
      <c r="AJ126" s="6">
        <f>VLOOKUP(CurrentMtgRatesDataTable89[[#This Row],[asofdate]],G:H,2,0)</f>
        <v>80.948951507975195</v>
      </c>
      <c r="AK126" s="6">
        <f>VLOOKUP(CurrentMtgRatesDataTable89[[#This Row],[asofdate]],K:L,2,0)</f>
        <v>0.24199028870644701</v>
      </c>
      <c r="AL126" s="6">
        <f>VLOOKUP(CurrentMtgRatesDataTable89[[#This Row],[asofdate]],O:P,2,0)</f>
        <v>36.1993382197549</v>
      </c>
      <c r="AM126" s="6">
        <f>VLOOKUP(CurrentMtgRatesDataTable89[[#This Row],[asofdate]],S:T,2,0)</f>
        <v>2.4888563661056001E-2</v>
      </c>
      <c r="AN126" s="6">
        <f>VLOOKUP(CurrentMtgRatesDataTable89[[#This Row],[asofdate]],W:X,2,0)</f>
        <v>724.54450005986598</v>
      </c>
      <c r="AO126" s="6">
        <f>VLOOKUP(CurrentMtgRatesDataTable89[[#This Row],[asofdate]],AA:AB,2,0)</f>
        <v>0.31915669681855002</v>
      </c>
      <c r="AR126" s="7" t="s">
        <v>146</v>
      </c>
      <c r="AS126" s="10">
        <v>5.0915054900666903E-2</v>
      </c>
      <c r="AT126" s="36">
        <f>((CurrentMtgRatesDataTable8711[[#This Row],[SeriesNumValue]]-$D$1)/$D$1+1)*100</f>
        <v>339.43369933777939</v>
      </c>
      <c r="AU126" s="36"/>
      <c r="AW126" s="7" t="s">
        <v>146</v>
      </c>
      <c r="AX126" s="10">
        <v>4.3999613211472499E-2</v>
      </c>
      <c r="AY126" s="36">
        <f>((CurrentMtgRatesDataTable871112[[#This Row],[SeriesNumValue]]-$D$1)/$D$1+1)*100</f>
        <v>293.33075474315001</v>
      </c>
      <c r="AZ126" s="36"/>
      <c r="BB126" s="7" t="s">
        <v>146</v>
      </c>
      <c r="BC126" s="10">
        <v>2.55210242403539E-2</v>
      </c>
      <c r="BD126" s="39">
        <f>((CurrentMtgRatesDataTable87111213[[#This Row],[SeriesNumValue]]-$D$1)/$D$1+1)*100</f>
        <v>170.14016160235934</v>
      </c>
      <c r="BE126" s="39"/>
      <c r="BG126" s="7" t="s">
        <v>146</v>
      </c>
      <c r="BH126" s="10">
        <v>1.5513831385549501E-2</v>
      </c>
      <c r="BI126" s="39">
        <f>((CurrentMtgRatesDataTable8711121314[[#This Row],[SeriesNumValue]]-$D$1)/$D$1+1)*100</f>
        <v>103.42554257033001</v>
      </c>
      <c r="BJ126" s="39" t="str">
        <f>YEAR(CurrentMtgRatesDataTable8711121314[[#This Row],[asofdate]])&amp;"-"&amp;MONTH(CurrentMtgRatesDataTable8711121314[[#This Row],[asofdate]])</f>
        <v>2013-6</v>
      </c>
      <c r="BK126" s="39">
        <f>CurrentMtgRatesDataTable8711121314[[#This Row],[SeriesNumValue]]</f>
        <v>1.5513831385549501E-2</v>
      </c>
      <c r="BL126" s="39">
        <f>VLOOKUP(CurrentMtgRatesDataTable8711121314[[#This Row],[asofdate]],AR:AT,2,0)</f>
        <v>5.0915054900666903E-2</v>
      </c>
      <c r="BM126" s="35">
        <f>IF(VLOOKUP(CurrentMtgRatesDataTable8711121314[[#This Row],[asofdate]],AW:AY,2,0)&lt;&gt;0,VLOOKUP(CurrentMtgRatesDataTable8711121314[[#This Row],[asofdate]],AW:AY,2,0),BM125)</f>
        <v>4.3999613211472499E-2</v>
      </c>
      <c r="BN126" s="35">
        <f>VLOOKUP(CurrentMtgRatesDataTable8711121314[[#This Row],[asofdate]],BB:BD,2,0)</f>
        <v>2.55210242403539E-2</v>
      </c>
      <c r="BO126" s="35">
        <f>CurrentMtgRatesDataTable8711121314[[#This Row],[FHA]]+0.5*CurrentMtgRatesDataTable8711121314[[#This Row],[Conventional]]</f>
        <v>5.8671970593441654E-2</v>
      </c>
      <c r="BP126" s="35">
        <f>2*CurrentMtgRatesDataTable8711121314[[#This Row],[FHA]]</f>
        <v>0.10183010980133381</v>
      </c>
      <c r="BQ126" s="11">
        <f>VLOOKUP(YEAR(CurrentMtgRatesDataTable8711121314[[#This Row],[asofdate]]),OriginationVolume!$A:$N,8,FALSE)</f>
        <v>0.64153005464480872</v>
      </c>
      <c r="BR126" s="11">
        <f>VLOOKUP(YEAR(CurrentMtgRatesDataTable8711121314[[#This Row],[asofdate]]),OriginationVolume!$A:$N,9,FALSE)</f>
        <v>0.05</v>
      </c>
      <c r="BS126" s="11">
        <f>VLOOKUP(YEAR(CurrentMtgRatesDataTable8711121314[[#This Row],[asofdate]]),OriginationVolume!$A:$N,10,FALSE)</f>
        <v>0.15</v>
      </c>
      <c r="BT126" s="11">
        <f>VLOOKUP(YEAR(CurrentMtgRatesDataTable8711121314[[#This Row],[asofdate]]),OriginationVolume!$A:$N,11,FALSE)</f>
        <v>0.14863387978142076</v>
      </c>
      <c r="BU126" s="11">
        <f>VLOOKUP(YEAR(CurrentMtgRatesDataTable8711121314[[#This Row],[asofdate]]),OriginationVolume!$A:$N,12,FALSE)</f>
        <v>7.6502732240437158E-3</v>
      </c>
      <c r="BV126" s="11">
        <f>VLOOKUP(YEAR(CurrentMtgRatesDataTable8711121314[[#This Row],[asofdate]]),OriginationVolume!$A:$N,13,FALSE)</f>
        <v>2.185792349726776E-3</v>
      </c>
      <c r="BW126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2.2767145021913057E-2</v>
      </c>
      <c r="BY126" s="7" t="s">
        <v>146</v>
      </c>
      <c r="BZ126" s="10">
        <v>10361546000</v>
      </c>
      <c r="CA126" s="36"/>
      <c r="CC126" s="7" t="s">
        <v>146</v>
      </c>
      <c r="CD126" s="10">
        <v>4269305000</v>
      </c>
      <c r="CE126" s="36"/>
      <c r="CG126" s="7" t="s">
        <v>146</v>
      </c>
      <c r="CH126" s="10">
        <v>37565043769.32</v>
      </c>
      <c r="CI126" s="39"/>
      <c r="CK126" s="7" t="s">
        <v>146</v>
      </c>
      <c r="CL126" s="10">
        <v>22934192769.32</v>
      </c>
      <c r="CM126" s="39" t="str">
        <f>YEAR(CurrentMtgRatesDataTable871112131417[[#This Row],[asofdate]])&amp;"-"&amp;MONTH(CurrentMtgRatesDataTable871112131417[[#This Row],[asofdate]])</f>
        <v>2013-6</v>
      </c>
      <c r="CN126" s="39">
        <f>CurrentMtgRatesDataTable871112131417[[#This Row],[SeriesNumValue]]</f>
        <v>22934192769.32</v>
      </c>
      <c r="CO126" s="39">
        <f>VLOOKUP(CurrentMtgRatesDataTable871112131417[[#This Row],[asofdate]],BY:BZ,2,0)</f>
        <v>10361546000</v>
      </c>
      <c r="CP126" s="35">
        <f>IF(VLOOKUP(CurrentMtgRatesDataTable871112131417[[#This Row],[asofdate]],CC:CD,2,0)&lt;&gt;0,VLOOKUP(CurrentMtgRatesDataTable871112131417[[#This Row],[asofdate]],CC:CD,2,0),CP125)</f>
        <v>4269305000</v>
      </c>
      <c r="CQ126" s="35">
        <f>VLOOKUP(CurrentMtgRatesDataTable871112131417[[#This Row],[asofdate]],CG:CH,2,0)</f>
        <v>37565043769.32</v>
      </c>
    </row>
    <row r="127" spans="1:95" s="8" customFormat="1" ht="12.75">
      <c r="A127" s="7" t="s">
        <v>10</v>
      </c>
      <c r="B127" s="10">
        <v>1.3647562689271499E-2</v>
      </c>
      <c r="C127" s="10" t="str">
        <f>YEAR(CurrentMtgRatesDataTable8[[#This Row],[asofdate]])&amp;"-"&amp;MONTH(CurrentMtgRatesDataTable8[[#This Row],[asofdate]])</f>
        <v>2013-7</v>
      </c>
      <c r="D127" s="6">
        <f>((CurrentMtgRatesDataTable8[[#This Row],[SeriesNumValue]]-$D$1)/$D$1+1)*100</f>
        <v>90.983751261809999</v>
      </c>
      <c r="E127" s="6"/>
      <c r="G127" s="7" t="s">
        <v>10</v>
      </c>
      <c r="H127" s="10">
        <v>81.788158152840097</v>
      </c>
      <c r="I127" s="26">
        <f>VLOOKUP(CurrentMtgRatesDataTable82[[#This Row],[asofdate]],K:L,2,0)</f>
        <v>0.28535356918134203</v>
      </c>
      <c r="K127" s="7" t="s">
        <v>10</v>
      </c>
      <c r="L127" s="29">
        <v>0.28535356918134203</v>
      </c>
      <c r="O127" s="7" t="s">
        <v>10</v>
      </c>
      <c r="P127" s="10">
        <v>33.228820554415002</v>
      </c>
      <c r="Q127" s="29">
        <f>VLOOKUP(CurrentMtgRatesDataTable84[[#This Row],[asofdate]],S:T,2,0)</f>
        <v>0.25208629868176302</v>
      </c>
      <c r="S127" s="7" t="s">
        <v>10</v>
      </c>
      <c r="T127" s="10">
        <v>0.25208629868176302</v>
      </c>
      <c r="W127" s="7" t="s">
        <v>10</v>
      </c>
      <c r="X127" s="10">
        <v>758.28630946198598</v>
      </c>
      <c r="Y127" s="26">
        <f>VLOOKUP(CurrentMtgRatesDataTable86[[#This Row],[asofdate]],AA:AB,2,0)</f>
        <v>9.6568724354419794E-2</v>
      </c>
      <c r="AA127" s="7" t="s">
        <v>10</v>
      </c>
      <c r="AB127" s="10">
        <v>9.6568724354419794E-2</v>
      </c>
      <c r="AE127" s="7" t="s">
        <v>58</v>
      </c>
      <c r="AF127" s="10">
        <v>1.8296678395220301E-2</v>
      </c>
      <c r="AG127" s="10" t="str">
        <f>YEAR(CurrentMtgRatesDataTable89[[#This Row],[asofdate]])&amp;"-"&amp;MONTH(CurrentMtgRatesDataTable89[[#This Row],[asofdate]])</f>
        <v>2005-5</v>
      </c>
      <c r="AH127" s="6">
        <f>((CurrentMtgRatesDataTable89[[#This Row],[SeriesNumValue]]-$D$1)/$D$1+1)*100</f>
        <v>121.97785596813534</v>
      </c>
      <c r="AI127" s="6">
        <f>CurrentMtgRatesDataTable89[[#This Row],[Index]]-AH128</f>
        <v>-10.866807213664657</v>
      </c>
      <c r="AJ127" s="6">
        <f>VLOOKUP(CurrentMtgRatesDataTable89[[#This Row],[asofdate]],G:H,2,0)</f>
        <v>80.691921534860796</v>
      </c>
      <c r="AK127" s="6">
        <f>VLOOKUP(CurrentMtgRatesDataTable89[[#This Row],[asofdate]],K:L,2,0)</f>
        <v>0.234305230431572</v>
      </c>
      <c r="AL127" s="6">
        <f>VLOOKUP(CurrentMtgRatesDataTable89[[#This Row],[asofdate]],O:P,2,0)</f>
        <v>36.327186002251203</v>
      </c>
      <c r="AM127" s="6">
        <f>VLOOKUP(CurrentMtgRatesDataTable89[[#This Row],[asofdate]],S:T,2,0)</f>
        <v>2.02201237207651E-2</v>
      </c>
      <c r="AN127" s="6">
        <f>VLOOKUP(CurrentMtgRatesDataTable89[[#This Row],[asofdate]],W:X,2,0)</f>
        <v>725.45547752792004</v>
      </c>
      <c r="AO127" s="6">
        <f>VLOOKUP(CurrentMtgRatesDataTable89[[#This Row],[asofdate]],AA:AB,2,0)</f>
        <v>0.31191876727622397</v>
      </c>
      <c r="AR127" s="7" t="s">
        <v>10</v>
      </c>
      <c r="AS127" s="10">
        <v>4.8400476857025899E-2</v>
      </c>
      <c r="AT127" s="36">
        <f>((CurrentMtgRatesDataTable8711[[#This Row],[SeriesNumValue]]-$D$1)/$D$1+1)*100</f>
        <v>322.66984571350599</v>
      </c>
      <c r="AU127" s="36"/>
      <c r="AW127" s="7" t="s">
        <v>10</v>
      </c>
      <c r="AX127" s="10">
        <v>4.0382987212321503E-2</v>
      </c>
      <c r="AY127" s="36">
        <f>((CurrentMtgRatesDataTable871112[[#This Row],[SeriesNumValue]]-$D$1)/$D$1+1)*100</f>
        <v>269.21991474881003</v>
      </c>
      <c r="AZ127" s="36"/>
      <c r="BB127" s="7" t="s">
        <v>10</v>
      </c>
      <c r="BC127" s="10">
        <v>2.3348464514678501E-2</v>
      </c>
      <c r="BD127" s="39">
        <f>((CurrentMtgRatesDataTable87111213[[#This Row],[SeriesNumValue]]-$D$1)/$D$1+1)*100</f>
        <v>155.65643009785668</v>
      </c>
      <c r="BE127" s="39"/>
      <c r="BG127" s="7" t="s">
        <v>10</v>
      </c>
      <c r="BH127" s="10">
        <v>1.4664753361722E-2</v>
      </c>
      <c r="BI127" s="39">
        <f>((CurrentMtgRatesDataTable8711121314[[#This Row],[SeriesNumValue]]-$D$1)/$D$1+1)*100</f>
        <v>97.765022411480004</v>
      </c>
      <c r="BJ127" s="39" t="str">
        <f>YEAR(CurrentMtgRatesDataTable8711121314[[#This Row],[asofdate]])&amp;"-"&amp;MONTH(CurrentMtgRatesDataTable8711121314[[#This Row],[asofdate]])</f>
        <v>2013-7</v>
      </c>
      <c r="BK127" s="39">
        <f>CurrentMtgRatesDataTable8711121314[[#This Row],[SeriesNumValue]]</f>
        <v>1.4664753361722E-2</v>
      </c>
      <c r="BL127" s="39">
        <f>VLOOKUP(CurrentMtgRatesDataTable8711121314[[#This Row],[asofdate]],AR:AT,2,0)</f>
        <v>4.8400476857025899E-2</v>
      </c>
      <c r="BM127" s="35">
        <f>IF(VLOOKUP(CurrentMtgRatesDataTable8711121314[[#This Row],[asofdate]],AW:AY,2,0)&lt;&gt;0,VLOOKUP(CurrentMtgRatesDataTable8711121314[[#This Row],[asofdate]],AW:AY,2,0),BM126)</f>
        <v>4.0382987212321503E-2</v>
      </c>
      <c r="BN127" s="35">
        <f>VLOOKUP(CurrentMtgRatesDataTable8711121314[[#This Row],[asofdate]],BB:BD,2,0)</f>
        <v>2.3348464514678501E-2</v>
      </c>
      <c r="BO127" s="35">
        <f>CurrentMtgRatesDataTable8711121314[[#This Row],[FHA]]+0.5*CurrentMtgRatesDataTable8711121314[[#This Row],[Conventional]]</f>
        <v>5.5732853537886901E-2</v>
      </c>
      <c r="BP127" s="35">
        <f>2*CurrentMtgRatesDataTable8711121314[[#This Row],[FHA]]</f>
        <v>9.6800953714051799E-2</v>
      </c>
      <c r="BQ127" s="11">
        <f>VLOOKUP(YEAR(CurrentMtgRatesDataTable8711121314[[#This Row],[asofdate]]),OriginationVolume!$A:$N,8,FALSE)</f>
        <v>0.64153005464480872</v>
      </c>
      <c r="BR127" s="11">
        <f>VLOOKUP(YEAR(CurrentMtgRatesDataTable8711121314[[#This Row],[asofdate]]),OriginationVolume!$A:$N,9,FALSE)</f>
        <v>0.05</v>
      </c>
      <c r="BS127" s="11">
        <f>VLOOKUP(YEAR(CurrentMtgRatesDataTable8711121314[[#This Row],[asofdate]]),OriginationVolume!$A:$N,10,FALSE)</f>
        <v>0.15</v>
      </c>
      <c r="BT127" s="11">
        <f>VLOOKUP(YEAR(CurrentMtgRatesDataTable8711121314[[#This Row],[asofdate]]),OriginationVolume!$A:$N,11,FALSE)</f>
        <v>0.14863387978142076</v>
      </c>
      <c r="BU127" s="11">
        <f>VLOOKUP(YEAR(CurrentMtgRatesDataTable8711121314[[#This Row],[asofdate]]),OriginationVolume!$A:$N,12,FALSE)</f>
        <v>7.6502732240437158E-3</v>
      </c>
      <c r="BV127" s="11">
        <f>VLOOKUP(YEAR(CurrentMtgRatesDataTable8711121314[[#This Row],[asofdate]]),OriginationVolume!$A:$N,13,FALSE)</f>
        <v>2.185792349726776E-3</v>
      </c>
      <c r="BW127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2.1504738444053366E-2</v>
      </c>
      <c r="BY127" s="7" t="s">
        <v>10</v>
      </c>
      <c r="BZ127" s="10">
        <v>11097451000</v>
      </c>
      <c r="CA127" s="36"/>
      <c r="CC127" s="7" t="s">
        <v>10</v>
      </c>
      <c r="CD127" s="10">
        <v>5171751000</v>
      </c>
      <c r="CE127" s="36"/>
      <c r="CG127" s="7" t="s">
        <v>10</v>
      </c>
      <c r="CH127" s="10">
        <v>44312165499.870003</v>
      </c>
      <c r="CI127" s="39"/>
      <c r="CK127" s="7" t="s">
        <v>10</v>
      </c>
      <c r="CL127" s="10">
        <v>28042963499.869999</v>
      </c>
      <c r="CM127" s="39" t="str">
        <f>YEAR(CurrentMtgRatesDataTable871112131417[[#This Row],[asofdate]])&amp;"-"&amp;MONTH(CurrentMtgRatesDataTable871112131417[[#This Row],[asofdate]])</f>
        <v>2013-7</v>
      </c>
      <c r="CN127" s="39">
        <f>CurrentMtgRatesDataTable871112131417[[#This Row],[SeriesNumValue]]</f>
        <v>28042963499.869999</v>
      </c>
      <c r="CO127" s="39">
        <f>VLOOKUP(CurrentMtgRatesDataTable871112131417[[#This Row],[asofdate]],BY:BZ,2,0)</f>
        <v>11097451000</v>
      </c>
      <c r="CP127" s="35">
        <f>IF(VLOOKUP(CurrentMtgRatesDataTable871112131417[[#This Row],[asofdate]],CC:CD,2,0)&lt;&gt;0,VLOOKUP(CurrentMtgRatesDataTable871112131417[[#This Row],[asofdate]],CC:CD,2,0),CP126)</f>
        <v>5171751000</v>
      </c>
      <c r="CQ127" s="35">
        <f>VLOOKUP(CurrentMtgRatesDataTable871112131417[[#This Row],[asofdate]],CG:CH,2,0)</f>
        <v>44312165499.870003</v>
      </c>
    </row>
    <row r="128" spans="1:95" s="8" customFormat="1" ht="12.75">
      <c r="A128" s="7" t="s">
        <v>23</v>
      </c>
      <c r="B128" s="10">
        <v>1.2469920234914901E-2</v>
      </c>
      <c r="C128" s="10" t="str">
        <f>YEAR(CurrentMtgRatesDataTable8[[#This Row],[asofdate]])&amp;"-"&amp;MONTH(CurrentMtgRatesDataTable8[[#This Row],[asofdate]])</f>
        <v>2013-8</v>
      </c>
      <c r="D128" s="6">
        <f>((CurrentMtgRatesDataTable8[[#This Row],[SeriesNumValue]]-$D$1)/$D$1+1)*100</f>
        <v>83.132801566099346</v>
      </c>
      <c r="E128" s="6"/>
      <c r="G128" s="7" t="s">
        <v>23</v>
      </c>
      <c r="H128" s="10">
        <v>81.827547469885204</v>
      </c>
      <c r="I128" s="26">
        <f>VLOOKUP(CurrentMtgRatesDataTable82[[#This Row],[asofdate]],K:L,2,0)</f>
        <v>0.28462114980755299</v>
      </c>
      <c r="K128" s="7" t="s">
        <v>23</v>
      </c>
      <c r="L128" s="29">
        <v>0.28462114980755299</v>
      </c>
      <c r="O128" s="7" t="s">
        <v>23</v>
      </c>
      <c r="P128" s="10">
        <v>33.415238721331797</v>
      </c>
      <c r="Q128" s="29">
        <f>VLOOKUP(CurrentMtgRatesDataTable84[[#This Row],[asofdate]],S:T,2,0)</f>
        <v>0.26111500363976398</v>
      </c>
      <c r="S128" s="7" t="s">
        <v>23</v>
      </c>
      <c r="T128" s="10">
        <v>0.26111500363976398</v>
      </c>
      <c r="W128" s="7" t="s">
        <v>23</v>
      </c>
      <c r="X128" s="10">
        <v>757.91787250439097</v>
      </c>
      <c r="Y128" s="26">
        <f>VLOOKUP(CurrentMtgRatesDataTable86[[#This Row],[asofdate]],AA:AB,2,0)</f>
        <v>9.7421246941441803E-2</v>
      </c>
      <c r="AA128" s="7" t="s">
        <v>23</v>
      </c>
      <c r="AB128" s="10">
        <v>9.7421246941441803E-2</v>
      </c>
      <c r="AE128" s="7" t="s">
        <v>57</v>
      </c>
      <c r="AF128" s="10">
        <v>1.992669947727E-2</v>
      </c>
      <c r="AG128" s="10" t="str">
        <f>YEAR(CurrentMtgRatesDataTable89[[#This Row],[asofdate]])&amp;"-"&amp;MONTH(CurrentMtgRatesDataTable89[[#This Row],[asofdate]])</f>
        <v>2005-4</v>
      </c>
      <c r="AH128" s="6">
        <f>((CurrentMtgRatesDataTable89[[#This Row],[SeriesNumValue]]-$D$1)/$D$1+1)*100</f>
        <v>132.8446631818</v>
      </c>
      <c r="AI128" s="6">
        <f>CurrentMtgRatesDataTable89[[#This Row],[Index]]-AH129</f>
        <v>-4.0947310402020207</v>
      </c>
      <c r="AJ128" s="6">
        <f>VLOOKUP(CurrentMtgRatesDataTable89[[#This Row],[asofdate]],G:H,2,0)</f>
        <v>80.895125662890706</v>
      </c>
      <c r="AK128" s="6">
        <f>VLOOKUP(CurrentMtgRatesDataTable89[[#This Row],[asofdate]],K:L,2,0)</f>
        <v>0.245931688961815</v>
      </c>
      <c r="AL128" s="6">
        <f>VLOOKUP(CurrentMtgRatesDataTable89[[#This Row],[asofdate]],O:P,2,0)</f>
        <v>36.597130219793101</v>
      </c>
      <c r="AM128" s="6">
        <f>VLOOKUP(CurrentMtgRatesDataTable89[[#This Row],[asofdate]],S:T,2,0)</f>
        <v>2.0414171190781299E-2</v>
      </c>
      <c r="AN128" s="6">
        <f>VLOOKUP(CurrentMtgRatesDataTable89[[#This Row],[asofdate]],W:X,2,0)</f>
        <v>725.25839259543602</v>
      </c>
      <c r="AO128" s="6">
        <f>VLOOKUP(CurrentMtgRatesDataTable89[[#This Row],[asofdate]],AA:AB,2,0)</f>
        <v>0.31175809732214199</v>
      </c>
      <c r="AR128" s="7" t="s">
        <v>23</v>
      </c>
      <c r="AS128" s="10">
        <v>4.3075210687433897E-2</v>
      </c>
      <c r="AT128" s="36">
        <f>((CurrentMtgRatesDataTable8711[[#This Row],[SeriesNumValue]]-$D$1)/$D$1+1)*100</f>
        <v>287.16807124955932</v>
      </c>
      <c r="AU128" s="36"/>
      <c r="AW128" s="7" t="s">
        <v>23</v>
      </c>
      <c r="AX128" s="10">
        <v>3.4542716001929402E-2</v>
      </c>
      <c r="AY128" s="36">
        <f>((CurrentMtgRatesDataTable871112[[#This Row],[SeriesNumValue]]-$D$1)/$D$1+1)*100</f>
        <v>230.28477334619603</v>
      </c>
      <c r="AZ128" s="36"/>
      <c r="BB128" s="7" t="s">
        <v>23</v>
      </c>
      <c r="BC128" s="10">
        <v>2.0163804934787099E-2</v>
      </c>
      <c r="BD128" s="39">
        <f>((CurrentMtgRatesDataTable87111213[[#This Row],[SeriesNumValue]]-$D$1)/$D$1+1)*100</f>
        <v>134.42536623191398</v>
      </c>
      <c r="BE128" s="39"/>
      <c r="BG128" s="7" t="s">
        <v>23</v>
      </c>
      <c r="BH128" s="10">
        <v>1.28803683488304E-2</v>
      </c>
      <c r="BI128" s="39">
        <f>((CurrentMtgRatesDataTable8711121314[[#This Row],[SeriesNumValue]]-$D$1)/$D$1+1)*100</f>
        <v>85.869122325536011</v>
      </c>
      <c r="BJ128" s="39" t="str">
        <f>YEAR(CurrentMtgRatesDataTable8711121314[[#This Row],[asofdate]])&amp;"-"&amp;MONTH(CurrentMtgRatesDataTable8711121314[[#This Row],[asofdate]])</f>
        <v>2013-8</v>
      </c>
      <c r="BK128" s="39">
        <f>CurrentMtgRatesDataTable8711121314[[#This Row],[SeriesNumValue]]</f>
        <v>1.28803683488304E-2</v>
      </c>
      <c r="BL128" s="39">
        <f>VLOOKUP(CurrentMtgRatesDataTable8711121314[[#This Row],[asofdate]],AR:AT,2,0)</f>
        <v>4.3075210687433897E-2</v>
      </c>
      <c r="BM128" s="35">
        <f>IF(VLOOKUP(CurrentMtgRatesDataTable8711121314[[#This Row],[asofdate]],AW:AY,2,0)&lt;&gt;0,VLOOKUP(CurrentMtgRatesDataTable8711121314[[#This Row],[asofdate]],AW:AY,2,0),BM127)</f>
        <v>3.4542716001929402E-2</v>
      </c>
      <c r="BN128" s="35">
        <f>VLOOKUP(CurrentMtgRatesDataTable8711121314[[#This Row],[asofdate]],BB:BD,2,0)</f>
        <v>2.0163804934787099E-2</v>
      </c>
      <c r="BO128" s="35">
        <f>CurrentMtgRatesDataTable8711121314[[#This Row],[FHA]]+0.5*CurrentMtgRatesDataTable8711121314[[#This Row],[Conventional]]</f>
        <v>4.9515394861849096E-2</v>
      </c>
      <c r="BP128" s="35">
        <f>2*CurrentMtgRatesDataTable8711121314[[#This Row],[FHA]]</f>
        <v>8.6150421374867794E-2</v>
      </c>
      <c r="BQ128" s="11">
        <f>VLOOKUP(YEAR(CurrentMtgRatesDataTable8711121314[[#This Row],[asofdate]]),OriginationVolume!$A:$N,8,FALSE)</f>
        <v>0.64153005464480872</v>
      </c>
      <c r="BR128" s="11">
        <f>VLOOKUP(YEAR(CurrentMtgRatesDataTable8711121314[[#This Row],[asofdate]]),OriginationVolume!$A:$N,9,FALSE)</f>
        <v>0.05</v>
      </c>
      <c r="BS128" s="11">
        <f>VLOOKUP(YEAR(CurrentMtgRatesDataTable8711121314[[#This Row],[asofdate]]),OriginationVolume!$A:$N,10,FALSE)</f>
        <v>0.15</v>
      </c>
      <c r="BT128" s="11">
        <f>VLOOKUP(YEAR(CurrentMtgRatesDataTable8711121314[[#This Row],[asofdate]]),OriginationVolume!$A:$N,11,FALSE)</f>
        <v>0.14863387978142076</v>
      </c>
      <c r="BU128" s="11">
        <f>VLOOKUP(YEAR(CurrentMtgRatesDataTable8711121314[[#This Row],[asofdate]]),OriginationVolume!$A:$N,12,FALSE)</f>
        <v>7.6502732240437158E-3</v>
      </c>
      <c r="BV128" s="11">
        <f>VLOOKUP(YEAR(CurrentMtgRatesDataTable8711121314[[#This Row],[asofdate]]),OriginationVolume!$A:$N,13,FALSE)</f>
        <v>2.185792349726776E-3</v>
      </c>
      <c r="BW128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1.8933133166038937E-2</v>
      </c>
      <c r="BY128" s="7" t="s">
        <v>23</v>
      </c>
      <c r="BZ128" s="10">
        <v>10991380000</v>
      </c>
      <c r="CA128" s="36"/>
      <c r="CC128" s="7" t="s">
        <v>23</v>
      </c>
      <c r="CD128" s="10">
        <v>5603397000</v>
      </c>
      <c r="CE128" s="36"/>
      <c r="CG128" s="7" t="s">
        <v>23</v>
      </c>
      <c r="CH128" s="10">
        <v>46605442149.639999</v>
      </c>
      <c r="CI128" s="39"/>
      <c r="CK128" s="7" t="s">
        <v>23</v>
      </c>
      <c r="CL128" s="10">
        <v>30010665149.639999</v>
      </c>
      <c r="CM128" s="39" t="str">
        <f>YEAR(CurrentMtgRatesDataTable871112131417[[#This Row],[asofdate]])&amp;"-"&amp;MONTH(CurrentMtgRatesDataTable871112131417[[#This Row],[asofdate]])</f>
        <v>2013-8</v>
      </c>
      <c r="CN128" s="39">
        <f>CurrentMtgRatesDataTable871112131417[[#This Row],[SeriesNumValue]]</f>
        <v>30010665149.639999</v>
      </c>
      <c r="CO128" s="39">
        <f>VLOOKUP(CurrentMtgRatesDataTable871112131417[[#This Row],[asofdate]],BY:BZ,2,0)</f>
        <v>10991380000</v>
      </c>
      <c r="CP128" s="35">
        <f>IF(VLOOKUP(CurrentMtgRatesDataTable871112131417[[#This Row],[asofdate]],CC:CD,2,0)&lt;&gt;0,VLOOKUP(CurrentMtgRatesDataTable871112131417[[#This Row],[asofdate]],CC:CD,2,0),CP127)</f>
        <v>5603397000</v>
      </c>
      <c r="CQ128" s="35">
        <f>VLOOKUP(CurrentMtgRatesDataTable871112131417[[#This Row],[asofdate]],CG:CH,2,0)</f>
        <v>46605442149.639999</v>
      </c>
    </row>
    <row r="129" spans="1:95" s="8" customFormat="1" ht="12.75">
      <c r="A129" s="7" t="s">
        <v>147</v>
      </c>
      <c r="B129" s="10">
        <v>1.3768461724071E-2</v>
      </c>
      <c r="C129" s="10" t="str">
        <f>YEAR(CurrentMtgRatesDataTable8[[#This Row],[asofdate]])&amp;"-"&amp;MONTH(CurrentMtgRatesDataTable8[[#This Row],[asofdate]])</f>
        <v>2013-9</v>
      </c>
      <c r="D129" s="6">
        <f>((CurrentMtgRatesDataTable8[[#This Row],[SeriesNumValue]]-$D$1)/$D$1+1)*100</f>
        <v>91.789744827140012</v>
      </c>
      <c r="E129" s="6"/>
      <c r="G129" s="7" t="s">
        <v>147</v>
      </c>
      <c r="H129" s="10">
        <v>81.917771600137101</v>
      </c>
      <c r="I129" s="26">
        <f>VLOOKUP(CurrentMtgRatesDataTable82[[#This Row],[asofdate]],K:L,2,0)</f>
        <v>0.29030501171380202</v>
      </c>
      <c r="K129" s="7" t="s">
        <v>147</v>
      </c>
      <c r="L129" s="29">
        <v>0.29030501171380202</v>
      </c>
      <c r="O129" s="7" t="s">
        <v>147</v>
      </c>
      <c r="P129" s="10">
        <v>34.041078566184702</v>
      </c>
      <c r="Q129" s="29">
        <f>VLOOKUP(CurrentMtgRatesDataTable84[[#This Row],[asofdate]],S:T,2,0)</f>
        <v>0.28421617550554501</v>
      </c>
      <c r="S129" s="7" t="s">
        <v>147</v>
      </c>
      <c r="T129" s="10">
        <v>0.28421617550554501</v>
      </c>
      <c r="W129" s="7" t="s">
        <v>147</v>
      </c>
      <c r="X129" s="10">
        <v>756.653444016501</v>
      </c>
      <c r="Y129" s="26">
        <f>VLOOKUP(CurrentMtgRatesDataTable86[[#This Row],[asofdate]],AA:AB,2,0)</f>
        <v>0.10239949086036899</v>
      </c>
      <c r="AA129" s="7" t="s">
        <v>147</v>
      </c>
      <c r="AB129" s="10">
        <v>0.10239949086036899</v>
      </c>
      <c r="AE129" s="7" t="s">
        <v>56</v>
      </c>
      <c r="AF129" s="10">
        <v>2.0540909133300301E-2</v>
      </c>
      <c r="AG129" s="10" t="str">
        <f>YEAR(CurrentMtgRatesDataTable89[[#This Row],[asofdate]])&amp;"-"&amp;MONTH(CurrentMtgRatesDataTable89[[#This Row],[asofdate]])</f>
        <v>2005-3</v>
      </c>
      <c r="AH129" s="6">
        <f>((CurrentMtgRatesDataTable89[[#This Row],[SeriesNumValue]]-$D$1)/$D$1+1)*100</f>
        <v>136.93939422200202</v>
      </c>
      <c r="AI129" s="6">
        <f>CurrentMtgRatesDataTable89[[#This Row],[Index]]-AH130</f>
        <v>-1.5405355407626473</v>
      </c>
      <c r="AJ129" s="6">
        <f>VLOOKUP(CurrentMtgRatesDataTable89[[#This Row],[asofdate]],G:H,2,0)</f>
        <v>80.932832463711193</v>
      </c>
      <c r="AK129" s="6">
        <f>VLOOKUP(CurrentMtgRatesDataTable89[[#This Row],[asofdate]],K:L,2,0)</f>
        <v>0.249163412035458</v>
      </c>
      <c r="AL129" s="6">
        <f>VLOOKUP(CurrentMtgRatesDataTable89[[#This Row],[asofdate]],O:P,2,0)</f>
        <v>36.536528015982903</v>
      </c>
      <c r="AM129" s="6">
        <f>VLOOKUP(CurrentMtgRatesDataTable89[[#This Row],[asofdate]],S:T,2,0)</f>
        <v>2.2787597421070799E-2</v>
      </c>
      <c r="AN129" s="6">
        <f>VLOOKUP(CurrentMtgRatesDataTable89[[#This Row],[asofdate]],W:X,2,0)</f>
        <v>723.64106546829998</v>
      </c>
      <c r="AO129" s="6">
        <f>VLOOKUP(CurrentMtgRatesDataTable89[[#This Row],[asofdate]],AA:AB,2,0)</f>
        <v>0.325365720667595</v>
      </c>
      <c r="AR129" s="7" t="s">
        <v>147</v>
      </c>
      <c r="AS129" s="10">
        <v>4.59432838113287E-2</v>
      </c>
      <c r="AT129" s="36">
        <f>((CurrentMtgRatesDataTable8711[[#This Row],[SeriesNumValue]]-$D$1)/$D$1+1)*100</f>
        <v>306.28855874219136</v>
      </c>
      <c r="AU129" s="36"/>
      <c r="AW129" s="7" t="s">
        <v>147</v>
      </c>
      <c r="AX129" s="10">
        <v>3.6128492494755901E-2</v>
      </c>
      <c r="AY129" s="36">
        <f>((CurrentMtgRatesDataTable871112[[#This Row],[SeriesNumValue]]-$D$1)/$D$1+1)*100</f>
        <v>240.856616631706</v>
      </c>
      <c r="AZ129" s="36"/>
      <c r="BB129" s="7" t="s">
        <v>147</v>
      </c>
      <c r="BC129" s="10">
        <v>2.1507462507157401E-2</v>
      </c>
      <c r="BD129" s="39">
        <f>((CurrentMtgRatesDataTable87111213[[#This Row],[SeriesNumValue]]-$D$1)/$D$1+1)*100</f>
        <v>143.38308338104935</v>
      </c>
      <c r="BE129" s="39"/>
      <c r="BG129" s="7" t="s">
        <v>147</v>
      </c>
      <c r="BH129" s="10">
        <v>1.3852929718571799E-2</v>
      </c>
      <c r="BI129" s="39">
        <f>((CurrentMtgRatesDataTable8711121314[[#This Row],[SeriesNumValue]]-$D$1)/$D$1+1)*100</f>
        <v>92.352864790478662</v>
      </c>
      <c r="BJ129" s="39" t="str">
        <f>YEAR(CurrentMtgRatesDataTable8711121314[[#This Row],[asofdate]])&amp;"-"&amp;MONTH(CurrentMtgRatesDataTable8711121314[[#This Row],[asofdate]])</f>
        <v>2013-9</v>
      </c>
      <c r="BK129" s="39">
        <f>CurrentMtgRatesDataTable8711121314[[#This Row],[SeriesNumValue]]</f>
        <v>1.3852929718571799E-2</v>
      </c>
      <c r="BL129" s="39">
        <f>VLOOKUP(CurrentMtgRatesDataTable8711121314[[#This Row],[asofdate]],AR:AT,2,0)</f>
        <v>4.59432838113287E-2</v>
      </c>
      <c r="BM129" s="35">
        <f>IF(VLOOKUP(CurrentMtgRatesDataTable8711121314[[#This Row],[asofdate]],AW:AY,2,0)&lt;&gt;0,VLOOKUP(CurrentMtgRatesDataTable8711121314[[#This Row],[asofdate]],AW:AY,2,0),BM128)</f>
        <v>3.6128492494755901E-2</v>
      </c>
      <c r="BN129" s="35">
        <f>VLOOKUP(CurrentMtgRatesDataTable8711121314[[#This Row],[asofdate]],BB:BD,2,0)</f>
        <v>2.1507462507157401E-2</v>
      </c>
      <c r="BO129" s="35">
        <f>CurrentMtgRatesDataTable8711121314[[#This Row],[FHA]]+0.5*CurrentMtgRatesDataTable8711121314[[#This Row],[Conventional]]</f>
        <v>5.28697486706146E-2</v>
      </c>
      <c r="BP129" s="35">
        <f>2*CurrentMtgRatesDataTable8711121314[[#This Row],[FHA]]</f>
        <v>9.18865676226574E-2</v>
      </c>
      <c r="BQ129" s="11">
        <f>VLOOKUP(YEAR(CurrentMtgRatesDataTable8711121314[[#This Row],[asofdate]]),OriginationVolume!$A:$N,8,FALSE)</f>
        <v>0.64153005464480872</v>
      </c>
      <c r="BR129" s="11">
        <f>VLOOKUP(YEAR(CurrentMtgRatesDataTable8711121314[[#This Row],[asofdate]]),OriginationVolume!$A:$N,9,FALSE)</f>
        <v>0.05</v>
      </c>
      <c r="BS129" s="11">
        <f>VLOOKUP(YEAR(CurrentMtgRatesDataTable8711121314[[#This Row],[asofdate]]),OriginationVolume!$A:$N,10,FALSE)</f>
        <v>0.15</v>
      </c>
      <c r="BT129" s="11">
        <f>VLOOKUP(YEAR(CurrentMtgRatesDataTable8711121314[[#This Row],[asofdate]]),OriginationVolume!$A:$N,11,FALSE)</f>
        <v>0.14863387978142076</v>
      </c>
      <c r="BU129" s="11">
        <f>VLOOKUP(YEAR(CurrentMtgRatesDataTable8711121314[[#This Row],[asofdate]]),OriginationVolume!$A:$N,12,FALSE)</f>
        <v>7.6502732240437158E-3</v>
      </c>
      <c r="BV129" s="11">
        <f>VLOOKUP(YEAR(CurrentMtgRatesDataTable8711121314[[#This Row],[asofdate]]),OriginationVolume!$A:$N,13,FALSE)</f>
        <v>2.185792349726776E-3</v>
      </c>
      <c r="BW129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2.0249315625362811E-2</v>
      </c>
      <c r="BY129" s="7" t="s">
        <v>147</v>
      </c>
      <c r="BZ129" s="10">
        <v>10661815000</v>
      </c>
      <c r="CA129" s="36"/>
      <c r="CC129" s="7" t="s">
        <v>147</v>
      </c>
      <c r="CD129" s="10">
        <v>5775907000</v>
      </c>
      <c r="CE129" s="36"/>
      <c r="CG129" s="7" t="s">
        <v>147</v>
      </c>
      <c r="CH129" s="10">
        <v>46218367857.099998</v>
      </c>
      <c r="CI129" s="39"/>
      <c r="CK129" s="7" t="s">
        <v>147</v>
      </c>
      <c r="CL129" s="10">
        <v>29780645857.099998</v>
      </c>
      <c r="CM129" s="39" t="str">
        <f>YEAR(CurrentMtgRatesDataTable871112131417[[#This Row],[asofdate]])&amp;"-"&amp;MONTH(CurrentMtgRatesDataTable871112131417[[#This Row],[asofdate]])</f>
        <v>2013-9</v>
      </c>
      <c r="CN129" s="39">
        <f>CurrentMtgRatesDataTable871112131417[[#This Row],[SeriesNumValue]]</f>
        <v>29780645857.099998</v>
      </c>
      <c r="CO129" s="39">
        <f>VLOOKUP(CurrentMtgRatesDataTable871112131417[[#This Row],[asofdate]],BY:BZ,2,0)</f>
        <v>10661815000</v>
      </c>
      <c r="CP129" s="35">
        <f>IF(VLOOKUP(CurrentMtgRatesDataTable871112131417[[#This Row],[asofdate]],CC:CD,2,0)&lt;&gt;0,VLOOKUP(CurrentMtgRatesDataTable871112131417[[#This Row],[asofdate]],CC:CD,2,0),CP128)</f>
        <v>5775907000</v>
      </c>
      <c r="CQ129" s="35">
        <f>VLOOKUP(CurrentMtgRatesDataTable871112131417[[#This Row],[asofdate]],CG:CH,2,0)</f>
        <v>46218367857.099998</v>
      </c>
    </row>
    <row r="130" spans="1:95" s="8" customFormat="1" ht="12.75">
      <c r="A130" s="7" t="s">
        <v>11</v>
      </c>
      <c r="B130" s="10">
        <v>1.5156340459755E-2</v>
      </c>
      <c r="C130" s="10" t="str">
        <f>YEAR(CurrentMtgRatesDataTable8[[#This Row],[asofdate]])&amp;"-"&amp;MONTH(CurrentMtgRatesDataTable8[[#This Row],[asofdate]])</f>
        <v>2013-10</v>
      </c>
      <c r="D130" s="6">
        <f>((CurrentMtgRatesDataTable8[[#This Row],[SeriesNumValue]]-$D$1)/$D$1+1)*100</f>
        <v>101.0422697317</v>
      </c>
      <c r="E130" s="6"/>
      <c r="G130" s="7" t="s">
        <v>11</v>
      </c>
      <c r="H130" s="10">
        <v>81.926585922395802</v>
      </c>
      <c r="I130" s="26">
        <f>VLOOKUP(CurrentMtgRatesDataTable82[[#This Row],[asofdate]],K:L,2,0)</f>
        <v>0.29249498292353099</v>
      </c>
      <c r="K130" s="7" t="s">
        <v>11</v>
      </c>
      <c r="L130" s="29">
        <v>0.29249498292353099</v>
      </c>
      <c r="O130" s="7" t="s">
        <v>11</v>
      </c>
      <c r="P130" s="10">
        <v>34.357406516104902</v>
      </c>
      <c r="Q130" s="29">
        <f>VLOOKUP(CurrentMtgRatesDataTable84[[#This Row],[asofdate]],S:T,2,0)</f>
        <v>0.29325545251212798</v>
      </c>
      <c r="S130" s="7" t="s">
        <v>11</v>
      </c>
      <c r="T130" s="10">
        <v>0.29325545251212798</v>
      </c>
      <c r="W130" s="7" t="s">
        <v>11</v>
      </c>
      <c r="X130" s="10">
        <v>755.18299575253604</v>
      </c>
      <c r="Y130" s="26">
        <f>VLOOKUP(CurrentMtgRatesDataTable86[[#This Row],[asofdate]],AA:AB,2,0)</f>
        <v>0.111573251117844</v>
      </c>
      <c r="AA130" s="7" t="s">
        <v>11</v>
      </c>
      <c r="AB130" s="10">
        <v>0.111573251117844</v>
      </c>
      <c r="AE130" s="7" t="s">
        <v>55</v>
      </c>
      <c r="AF130" s="10">
        <v>2.0771989464414699E-2</v>
      </c>
      <c r="AG130" s="10" t="str">
        <f>YEAR(CurrentMtgRatesDataTable89[[#This Row],[asofdate]])&amp;"-"&amp;MONTH(CurrentMtgRatesDataTable89[[#This Row],[asofdate]])</f>
        <v>2005-2</v>
      </c>
      <c r="AH130" s="6">
        <f>((CurrentMtgRatesDataTable89[[#This Row],[SeriesNumValue]]-$D$1)/$D$1+1)*100</f>
        <v>138.47992976276467</v>
      </c>
      <c r="AI130" s="6">
        <f>CurrentMtgRatesDataTable89[[#This Row],[Index]]-AH131</f>
        <v>-1.8273430075039983</v>
      </c>
      <c r="AJ130" s="6">
        <f>VLOOKUP(CurrentMtgRatesDataTable89[[#This Row],[asofdate]],G:H,2,0)</f>
        <v>80.988234268140602</v>
      </c>
      <c r="AK130" s="6">
        <f>VLOOKUP(CurrentMtgRatesDataTable89[[#This Row],[asofdate]],K:L,2,0)</f>
        <v>0.26359078536765701</v>
      </c>
      <c r="AL130" s="6">
        <f>VLOOKUP(CurrentMtgRatesDataTable89[[#This Row],[asofdate]],O:P,2,0)</f>
        <v>36.021234313297398</v>
      </c>
      <c r="AM130" s="6">
        <f>VLOOKUP(CurrentMtgRatesDataTable89[[#This Row],[asofdate]],S:T,2,0)</f>
        <v>2.15048269951971E-2</v>
      </c>
      <c r="AN130" s="6">
        <f>VLOOKUP(CurrentMtgRatesDataTable89[[#This Row],[asofdate]],W:X,2,0)</f>
        <v>721.85201991281099</v>
      </c>
      <c r="AO130" s="6">
        <f>VLOOKUP(CurrentMtgRatesDataTable89[[#This Row],[asofdate]],AA:AB,2,0)</f>
        <v>0.33234768002944598</v>
      </c>
      <c r="AR130" s="7" t="s">
        <v>11</v>
      </c>
      <c r="AS130" s="10">
        <v>5.0301606990154298E-2</v>
      </c>
      <c r="AT130" s="36">
        <f>((CurrentMtgRatesDataTable8711[[#This Row],[SeriesNumValue]]-$D$1)/$D$1+1)*100</f>
        <v>335.34404660102865</v>
      </c>
      <c r="AU130" s="36"/>
      <c r="AW130" s="7" t="s">
        <v>11</v>
      </c>
      <c r="AX130" s="10">
        <v>3.97317518471954E-2</v>
      </c>
      <c r="AY130" s="36">
        <f>((CurrentMtgRatesDataTable871112[[#This Row],[SeriesNumValue]]-$D$1)/$D$1+1)*100</f>
        <v>264.87834564796935</v>
      </c>
      <c r="AZ130" s="36"/>
      <c r="BB130" s="7" t="s">
        <v>11</v>
      </c>
      <c r="BC130" s="10">
        <v>2.3411747429402299E-2</v>
      </c>
      <c r="BD130" s="39">
        <f>((CurrentMtgRatesDataTable87111213[[#This Row],[SeriesNumValue]]-$D$1)/$D$1+1)*100</f>
        <v>156.07831619601532</v>
      </c>
      <c r="BE130" s="39"/>
      <c r="BG130" s="7" t="s">
        <v>11</v>
      </c>
      <c r="BH130" s="10">
        <v>1.51215279764365E-2</v>
      </c>
      <c r="BI130" s="39">
        <f>((CurrentMtgRatesDataTable8711121314[[#This Row],[SeriesNumValue]]-$D$1)/$D$1+1)*100</f>
        <v>100.81018650957667</v>
      </c>
      <c r="BJ130" s="39" t="str">
        <f>YEAR(CurrentMtgRatesDataTable8711121314[[#This Row],[asofdate]])&amp;"-"&amp;MONTH(CurrentMtgRatesDataTable8711121314[[#This Row],[asofdate]])</f>
        <v>2013-10</v>
      </c>
      <c r="BK130" s="39">
        <f>CurrentMtgRatesDataTable8711121314[[#This Row],[SeriesNumValue]]</f>
        <v>1.51215279764365E-2</v>
      </c>
      <c r="BL130" s="39">
        <f>VLOOKUP(CurrentMtgRatesDataTable8711121314[[#This Row],[asofdate]],AR:AT,2,0)</f>
        <v>5.0301606990154298E-2</v>
      </c>
      <c r="BM130" s="35">
        <f>IF(VLOOKUP(CurrentMtgRatesDataTable8711121314[[#This Row],[asofdate]],AW:AY,2,0)&lt;&gt;0,VLOOKUP(CurrentMtgRatesDataTable8711121314[[#This Row],[asofdate]],AW:AY,2,0),BM129)</f>
        <v>3.97317518471954E-2</v>
      </c>
      <c r="BN130" s="35">
        <f>VLOOKUP(CurrentMtgRatesDataTable8711121314[[#This Row],[asofdate]],BB:BD,2,0)</f>
        <v>2.3411747429402299E-2</v>
      </c>
      <c r="BO130" s="35">
        <f>CurrentMtgRatesDataTable8711121314[[#This Row],[FHA]]+0.5*CurrentMtgRatesDataTable8711121314[[#This Row],[Conventional]]</f>
        <v>5.7862370978372546E-2</v>
      </c>
      <c r="BP130" s="35">
        <f>2*CurrentMtgRatesDataTable8711121314[[#This Row],[FHA]]</f>
        <v>0.1006032139803086</v>
      </c>
      <c r="BQ130" s="11">
        <f>VLOOKUP(YEAR(CurrentMtgRatesDataTable8711121314[[#This Row],[asofdate]]),OriginationVolume!$A:$N,8,FALSE)</f>
        <v>0.64153005464480872</v>
      </c>
      <c r="BR130" s="11">
        <f>VLOOKUP(YEAR(CurrentMtgRatesDataTable8711121314[[#This Row],[asofdate]]),OriginationVolume!$A:$N,9,FALSE)</f>
        <v>0.05</v>
      </c>
      <c r="BS130" s="11">
        <f>VLOOKUP(YEAR(CurrentMtgRatesDataTable8711121314[[#This Row],[asofdate]]),OriginationVolume!$A:$N,10,FALSE)</f>
        <v>0.15</v>
      </c>
      <c r="BT130" s="11">
        <f>VLOOKUP(YEAR(CurrentMtgRatesDataTable8711121314[[#This Row],[asofdate]]),OriginationVolume!$A:$N,11,FALSE)</f>
        <v>0.14863387978142076</v>
      </c>
      <c r="BU130" s="11">
        <f>VLOOKUP(YEAR(CurrentMtgRatesDataTable8711121314[[#This Row],[asofdate]]),OriginationVolume!$A:$N,12,FALSE)</f>
        <v>7.6502732240437158E-3</v>
      </c>
      <c r="BV130" s="11">
        <f>VLOOKUP(YEAR(CurrentMtgRatesDataTable8711121314[[#This Row],[asofdate]]),OriginationVolume!$A:$N,13,FALSE)</f>
        <v>2.185792349726776E-3</v>
      </c>
      <c r="BW130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2.2142875364131891E-2</v>
      </c>
      <c r="BY130" s="7" t="s">
        <v>11</v>
      </c>
      <c r="BZ130" s="10">
        <v>10036843000</v>
      </c>
      <c r="CA130" s="36"/>
      <c r="CC130" s="7" t="s">
        <v>11</v>
      </c>
      <c r="CD130" s="10">
        <v>5564810000</v>
      </c>
      <c r="CE130" s="36"/>
      <c r="CG130" s="7" t="s">
        <v>11</v>
      </c>
      <c r="CH130" s="10">
        <v>44316539758.709999</v>
      </c>
      <c r="CI130" s="39"/>
      <c r="CK130" s="7" t="s">
        <v>11</v>
      </c>
      <c r="CL130" s="10">
        <v>28714886758.709999</v>
      </c>
      <c r="CM130" s="39" t="str">
        <f>YEAR(CurrentMtgRatesDataTable871112131417[[#This Row],[asofdate]])&amp;"-"&amp;MONTH(CurrentMtgRatesDataTable871112131417[[#This Row],[asofdate]])</f>
        <v>2013-10</v>
      </c>
      <c r="CN130" s="39">
        <f>CurrentMtgRatesDataTable871112131417[[#This Row],[SeriesNumValue]]</f>
        <v>28714886758.709999</v>
      </c>
      <c r="CO130" s="39">
        <f>VLOOKUP(CurrentMtgRatesDataTable871112131417[[#This Row],[asofdate]],BY:BZ,2,0)</f>
        <v>10036843000</v>
      </c>
      <c r="CP130" s="35">
        <f>IF(VLOOKUP(CurrentMtgRatesDataTable871112131417[[#This Row],[asofdate]],CC:CD,2,0)&lt;&gt;0,VLOOKUP(CurrentMtgRatesDataTable871112131417[[#This Row],[asofdate]],CC:CD,2,0),CP129)</f>
        <v>5564810000</v>
      </c>
      <c r="CQ130" s="35">
        <f>VLOOKUP(CurrentMtgRatesDataTable871112131417[[#This Row],[asofdate]],CG:CH,2,0)</f>
        <v>44316539758.709999</v>
      </c>
    </row>
    <row r="131" spans="1:95" s="8" customFormat="1" ht="12.75">
      <c r="A131" s="7" t="s">
        <v>20</v>
      </c>
      <c r="B131" s="10">
        <v>1.6601946320048199E-2</v>
      </c>
      <c r="C131" s="10" t="str">
        <f>YEAR(CurrentMtgRatesDataTable8[[#This Row],[asofdate]])&amp;"-"&amp;MONTH(CurrentMtgRatesDataTable8[[#This Row],[asofdate]])</f>
        <v>2013-11</v>
      </c>
      <c r="D131" s="6">
        <f>((CurrentMtgRatesDataTable8[[#This Row],[SeriesNumValue]]-$D$1)/$D$1+1)*100</f>
        <v>110.67964213365467</v>
      </c>
      <c r="E131" s="6"/>
      <c r="G131" s="7" t="s">
        <v>20</v>
      </c>
      <c r="H131" s="10">
        <v>81.996335409421604</v>
      </c>
      <c r="I131" s="26">
        <f>VLOOKUP(CurrentMtgRatesDataTable82[[#This Row],[asofdate]],K:L,2,0)</f>
        <v>0.29852906705149401</v>
      </c>
      <c r="K131" s="7" t="s">
        <v>20</v>
      </c>
      <c r="L131" s="29">
        <v>0.29852906705149401</v>
      </c>
      <c r="O131" s="7" t="s">
        <v>20</v>
      </c>
      <c r="P131" s="10">
        <v>34.6478974941895</v>
      </c>
      <c r="Q131" s="29">
        <f>VLOOKUP(CurrentMtgRatesDataTable84[[#This Row],[asofdate]],S:T,2,0)</f>
        <v>0.30468729593251298</v>
      </c>
      <c r="S131" s="7" t="s">
        <v>20</v>
      </c>
      <c r="T131" s="10">
        <v>0.30468729593251298</v>
      </c>
      <c r="W131" s="7" t="s">
        <v>20</v>
      </c>
      <c r="X131" s="10">
        <v>754.18465937431802</v>
      </c>
      <c r="Y131" s="26">
        <f>VLOOKUP(CurrentMtgRatesDataTable86[[#This Row],[asofdate]],AA:AB,2,0)</f>
        <v>0.118031852586022</v>
      </c>
      <c r="AA131" s="7" t="s">
        <v>20</v>
      </c>
      <c r="AB131" s="10">
        <v>0.118031852586022</v>
      </c>
      <c r="AE131" s="7" t="s">
        <v>54</v>
      </c>
      <c r="AF131" s="10">
        <v>2.10460909155403E-2</v>
      </c>
      <c r="AG131" s="10" t="str">
        <f>YEAR(CurrentMtgRatesDataTable89[[#This Row],[asofdate]])&amp;"-"&amp;MONTH(CurrentMtgRatesDataTable89[[#This Row],[asofdate]])</f>
        <v>2005-1</v>
      </c>
      <c r="AH131" s="6">
        <f>((CurrentMtgRatesDataTable89[[#This Row],[SeriesNumValue]]-$D$1)/$D$1+1)*100</f>
        <v>140.30727277026867</v>
      </c>
      <c r="AI131" s="6">
        <f>CurrentMtgRatesDataTable89[[#This Row],[Index]]-AH132</f>
        <v>-0.84402962013999172</v>
      </c>
      <c r="AJ131" s="6">
        <f>VLOOKUP(CurrentMtgRatesDataTable89[[#This Row],[asofdate]],G:H,2,0)</f>
        <v>81.184090206536396</v>
      </c>
      <c r="AK131" s="6">
        <f>VLOOKUP(CurrentMtgRatesDataTable89[[#This Row],[asofdate]],K:L,2,0)</f>
        <v>0.27546927529221299</v>
      </c>
      <c r="AL131" s="6">
        <f>VLOOKUP(CurrentMtgRatesDataTable89[[#This Row],[asofdate]],O:P,2,0)</f>
        <v>36.113002367630003</v>
      </c>
      <c r="AM131" s="6">
        <f>VLOOKUP(CurrentMtgRatesDataTable89[[#This Row],[asofdate]],S:T,2,0)</f>
        <v>2.1384716547729901E-2</v>
      </c>
      <c r="AN131" s="6">
        <f>VLOOKUP(CurrentMtgRatesDataTable89[[#This Row],[asofdate]],W:X,2,0)</f>
        <v>721.96599739441297</v>
      </c>
      <c r="AO131" s="6">
        <f>VLOOKUP(CurrentMtgRatesDataTable89[[#This Row],[asofdate]],AA:AB,2,0)</f>
        <v>0.32923258254458498</v>
      </c>
      <c r="AR131" s="7" t="s">
        <v>20</v>
      </c>
      <c r="AS131" s="10">
        <v>5.28326536481473E-2</v>
      </c>
      <c r="AT131" s="36">
        <f>((CurrentMtgRatesDataTable8711[[#This Row],[SeriesNumValue]]-$D$1)/$D$1+1)*100</f>
        <v>352.21769098764872</v>
      </c>
      <c r="AU131" s="36"/>
      <c r="AW131" s="7" t="s">
        <v>20</v>
      </c>
      <c r="AX131" s="10">
        <v>4.2534373017318799E-2</v>
      </c>
      <c r="AY131" s="36">
        <f>((CurrentMtgRatesDataTable871112[[#This Row],[SeriesNumValue]]-$D$1)/$D$1+1)*100</f>
        <v>283.56248678212535</v>
      </c>
      <c r="AZ131" s="36"/>
      <c r="BB131" s="7" t="s">
        <v>20</v>
      </c>
      <c r="BC131" s="10">
        <v>2.4966672353050799E-2</v>
      </c>
      <c r="BD131" s="39">
        <f>((CurrentMtgRatesDataTable87111213[[#This Row],[SeriesNumValue]]-$D$1)/$D$1+1)*100</f>
        <v>166.44448235367199</v>
      </c>
      <c r="BE131" s="39"/>
      <c r="BG131" s="7" t="s">
        <v>20</v>
      </c>
      <c r="BH131" s="10">
        <v>1.5960902616382399E-2</v>
      </c>
      <c r="BI131" s="39">
        <f>((CurrentMtgRatesDataTable8711121314[[#This Row],[SeriesNumValue]]-$D$1)/$D$1+1)*100</f>
        <v>106.40601744254934</v>
      </c>
      <c r="BJ131" s="39" t="str">
        <f>YEAR(CurrentMtgRatesDataTable8711121314[[#This Row],[asofdate]])&amp;"-"&amp;MONTH(CurrentMtgRatesDataTable8711121314[[#This Row],[asofdate]])</f>
        <v>2013-11</v>
      </c>
      <c r="BK131" s="39">
        <f>CurrentMtgRatesDataTable8711121314[[#This Row],[SeriesNumValue]]</f>
        <v>1.5960902616382399E-2</v>
      </c>
      <c r="BL131" s="39">
        <f>VLOOKUP(CurrentMtgRatesDataTable8711121314[[#This Row],[asofdate]],AR:AT,2,0)</f>
        <v>5.28326536481473E-2</v>
      </c>
      <c r="BM131" s="35">
        <f>IF(VLOOKUP(CurrentMtgRatesDataTable8711121314[[#This Row],[asofdate]],AW:AY,2,0)&lt;&gt;0,VLOOKUP(CurrentMtgRatesDataTable8711121314[[#This Row],[asofdate]],AW:AY,2,0),BM130)</f>
        <v>4.2534373017318799E-2</v>
      </c>
      <c r="BN131" s="35">
        <f>VLOOKUP(CurrentMtgRatesDataTable8711121314[[#This Row],[asofdate]],BB:BD,2,0)</f>
        <v>2.4966672353050799E-2</v>
      </c>
      <c r="BO131" s="35">
        <f>CurrentMtgRatesDataTable8711121314[[#This Row],[FHA]]+0.5*CurrentMtgRatesDataTable8711121314[[#This Row],[Conventional]]</f>
        <v>6.0813104956338501E-2</v>
      </c>
      <c r="BP131" s="35">
        <f>2*CurrentMtgRatesDataTable8711121314[[#This Row],[FHA]]</f>
        <v>0.1056653072962946</v>
      </c>
      <c r="BQ131" s="11">
        <f>VLOOKUP(YEAR(CurrentMtgRatesDataTable8711121314[[#This Row],[asofdate]]),OriginationVolume!$A:$N,8,FALSE)</f>
        <v>0.64153005464480872</v>
      </c>
      <c r="BR131" s="11">
        <f>VLOOKUP(YEAR(CurrentMtgRatesDataTable8711121314[[#This Row],[asofdate]]),OriginationVolume!$A:$N,9,FALSE)</f>
        <v>0.05</v>
      </c>
      <c r="BS131" s="11">
        <f>VLOOKUP(YEAR(CurrentMtgRatesDataTable8711121314[[#This Row],[asofdate]]),OriginationVolume!$A:$N,10,FALSE)</f>
        <v>0.15</v>
      </c>
      <c r="BT131" s="11">
        <f>VLOOKUP(YEAR(CurrentMtgRatesDataTable8711121314[[#This Row],[asofdate]]),OriginationVolume!$A:$N,11,FALSE)</f>
        <v>0.14863387978142076</v>
      </c>
      <c r="BU131" s="11">
        <f>VLOOKUP(YEAR(CurrentMtgRatesDataTable8711121314[[#This Row],[asofdate]]),OriginationVolume!$A:$N,12,FALSE)</f>
        <v>7.6502732240437158E-3</v>
      </c>
      <c r="BV131" s="11">
        <f>VLOOKUP(YEAR(CurrentMtgRatesDataTable8711121314[[#This Row],[asofdate]]),OriginationVolume!$A:$N,13,FALSE)</f>
        <v>2.185792349726776E-3</v>
      </c>
      <c r="BW131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2.3359545595280855E-2</v>
      </c>
      <c r="BY131" s="7" t="s">
        <v>20</v>
      </c>
      <c r="BZ131" s="10">
        <v>8699123000</v>
      </c>
      <c r="CA131" s="36"/>
      <c r="CC131" s="7" t="s">
        <v>20</v>
      </c>
      <c r="CD131" s="10">
        <v>4691710000</v>
      </c>
      <c r="CE131" s="36"/>
      <c r="CG131" s="7" t="s">
        <v>20</v>
      </c>
      <c r="CH131" s="10">
        <v>37258942631.82</v>
      </c>
      <c r="CI131" s="39"/>
      <c r="CK131" s="7" t="s">
        <v>20</v>
      </c>
      <c r="CL131" s="10">
        <v>23868109631.82</v>
      </c>
      <c r="CM131" s="39" t="str">
        <f>YEAR(CurrentMtgRatesDataTable871112131417[[#This Row],[asofdate]])&amp;"-"&amp;MONTH(CurrentMtgRatesDataTable871112131417[[#This Row],[asofdate]])</f>
        <v>2013-11</v>
      </c>
      <c r="CN131" s="39">
        <f>CurrentMtgRatesDataTable871112131417[[#This Row],[SeriesNumValue]]</f>
        <v>23868109631.82</v>
      </c>
      <c r="CO131" s="39">
        <f>VLOOKUP(CurrentMtgRatesDataTable871112131417[[#This Row],[asofdate]],BY:BZ,2,0)</f>
        <v>8699123000</v>
      </c>
      <c r="CP131" s="35">
        <f>IF(VLOOKUP(CurrentMtgRatesDataTable871112131417[[#This Row],[asofdate]],CC:CD,2,0)&lt;&gt;0,VLOOKUP(CurrentMtgRatesDataTable871112131417[[#This Row],[asofdate]],CC:CD,2,0),CP130)</f>
        <v>4691710000</v>
      </c>
      <c r="CQ131" s="35">
        <f>VLOOKUP(CurrentMtgRatesDataTable871112131417[[#This Row],[asofdate]],CG:CH,2,0)</f>
        <v>37258942631.82</v>
      </c>
    </row>
    <row r="132" spans="1:95" s="8" customFormat="1" ht="12.75">
      <c r="A132" s="7" t="s">
        <v>148</v>
      </c>
      <c r="B132" s="10">
        <v>1.74052809343711E-2</v>
      </c>
      <c r="C132" s="10" t="str">
        <f>YEAR(CurrentMtgRatesDataTable8[[#This Row],[asofdate]])&amp;"-"&amp;MONTH(CurrentMtgRatesDataTable8[[#This Row],[asofdate]])</f>
        <v>2013-12</v>
      </c>
      <c r="D132" s="6">
        <f>((CurrentMtgRatesDataTable8[[#This Row],[SeriesNumValue]]-$D$1)/$D$1+1)*100</f>
        <v>116.03520622914067</v>
      </c>
      <c r="E132" s="6"/>
      <c r="G132" s="7" t="s">
        <v>148</v>
      </c>
      <c r="H132" s="10">
        <v>81.889913557659895</v>
      </c>
      <c r="I132" s="26">
        <f>VLOOKUP(CurrentMtgRatesDataTable82[[#This Row],[asofdate]],K:L,2,0)</f>
        <v>0.29679403380057001</v>
      </c>
      <c r="K132" s="7" t="s">
        <v>148</v>
      </c>
      <c r="L132" s="29">
        <v>0.29679403380057001</v>
      </c>
      <c r="O132" s="7" t="s">
        <v>148</v>
      </c>
      <c r="P132" s="10">
        <v>34.626736713885698</v>
      </c>
      <c r="Q132" s="29">
        <f>VLOOKUP(CurrentMtgRatesDataTable84[[#This Row],[asofdate]],S:T,2,0)</f>
        <v>0.30500668615603299</v>
      </c>
      <c r="S132" s="7" t="s">
        <v>148</v>
      </c>
      <c r="T132" s="10">
        <v>0.30500668615603299</v>
      </c>
      <c r="W132" s="7" t="s">
        <v>148</v>
      </c>
      <c r="X132" s="10">
        <v>753.468255047605</v>
      </c>
      <c r="Y132" s="26">
        <f>VLOOKUP(CurrentMtgRatesDataTable86[[#This Row],[asofdate]],AA:AB,2,0)</f>
        <v>0.122565766652004</v>
      </c>
      <c r="AA132" s="7" t="s">
        <v>148</v>
      </c>
      <c r="AB132" s="10">
        <v>0.122565766652004</v>
      </c>
      <c r="AE132" s="7" t="s">
        <v>53</v>
      </c>
      <c r="AF132" s="10">
        <v>2.11726953585613E-2</v>
      </c>
      <c r="AG132" s="10" t="str">
        <f>YEAR(CurrentMtgRatesDataTable89[[#This Row],[asofdate]])&amp;"-"&amp;MONTH(CurrentMtgRatesDataTable89[[#This Row],[asofdate]])</f>
        <v>2004-12</v>
      </c>
      <c r="AH132" s="6">
        <f>((CurrentMtgRatesDataTable89[[#This Row],[SeriesNumValue]]-$D$1)/$D$1+1)*100</f>
        <v>141.15130239040866</v>
      </c>
      <c r="AI132" s="6">
        <f>CurrentMtgRatesDataTable89[[#This Row],[Index]]-AH133</f>
        <v>-4.8121102030293628</v>
      </c>
      <c r="AJ132" s="6">
        <f>VLOOKUP(CurrentMtgRatesDataTable89[[#This Row],[asofdate]],G:H,2,0)</f>
        <v>80.785488014978796</v>
      </c>
      <c r="AK132" s="6">
        <f>VLOOKUP(CurrentMtgRatesDataTable89[[#This Row],[asofdate]],K:L,2,0)</f>
        <v>0.25927423449241599</v>
      </c>
      <c r="AL132" s="6">
        <f>VLOOKUP(CurrentMtgRatesDataTable89[[#This Row],[asofdate]],O:P,2,0)</f>
        <v>36.111274732319899</v>
      </c>
      <c r="AM132" s="6">
        <f>VLOOKUP(CurrentMtgRatesDataTable89[[#This Row],[asofdate]],S:T,2,0)</f>
        <v>2.0322416607770299E-2</v>
      </c>
      <c r="AN132" s="6">
        <f>VLOOKUP(CurrentMtgRatesDataTable89[[#This Row],[asofdate]],W:X,2,0)</f>
        <v>721.50859125420595</v>
      </c>
      <c r="AO132" s="6">
        <f>VLOOKUP(CurrentMtgRatesDataTable89[[#This Row],[asofdate]],AA:AB,2,0)</f>
        <v>0.33226636417420502</v>
      </c>
      <c r="AR132" s="7" t="s">
        <v>148</v>
      </c>
      <c r="AS132" s="10">
        <v>5.8020706017923598E-2</v>
      </c>
      <c r="AT132" s="36">
        <f>((CurrentMtgRatesDataTable8711[[#This Row],[SeriesNumValue]]-$D$1)/$D$1+1)*100</f>
        <v>386.80470678615734</v>
      </c>
      <c r="AU132" s="36"/>
      <c r="AW132" s="7" t="s">
        <v>148</v>
      </c>
      <c r="AX132" s="10">
        <v>4.6547078626505201E-2</v>
      </c>
      <c r="AY132" s="36">
        <f>((CurrentMtgRatesDataTable871112[[#This Row],[SeriesNumValue]]-$D$1)/$D$1+1)*100</f>
        <v>310.31385751003467</v>
      </c>
      <c r="AZ132" s="36"/>
      <c r="BB132" s="7" t="s">
        <v>148</v>
      </c>
      <c r="BC132" s="10">
        <v>2.7542770105444501E-2</v>
      </c>
      <c r="BD132" s="39">
        <f>((CurrentMtgRatesDataTable87111213[[#This Row],[SeriesNumValue]]-$D$1)/$D$1+1)*100</f>
        <v>183.61846736963003</v>
      </c>
      <c r="BE132" s="39"/>
      <c r="BG132" s="7" t="s">
        <v>148</v>
      </c>
      <c r="BH132" s="10">
        <v>1.7515607394978299E-2</v>
      </c>
      <c r="BI132" s="39">
        <f>((CurrentMtgRatesDataTable8711121314[[#This Row],[SeriesNumValue]]-$D$1)/$D$1+1)*100</f>
        <v>116.770715966522</v>
      </c>
      <c r="BJ132" s="39" t="str">
        <f>YEAR(CurrentMtgRatesDataTable8711121314[[#This Row],[asofdate]])&amp;"-"&amp;MONTH(CurrentMtgRatesDataTable8711121314[[#This Row],[asofdate]])</f>
        <v>2013-12</v>
      </c>
      <c r="BK132" s="39">
        <f>CurrentMtgRatesDataTable8711121314[[#This Row],[SeriesNumValue]]</f>
        <v>1.7515607394978299E-2</v>
      </c>
      <c r="BL132" s="39">
        <f>VLOOKUP(CurrentMtgRatesDataTable8711121314[[#This Row],[asofdate]],AR:AT,2,0)</f>
        <v>5.8020706017923598E-2</v>
      </c>
      <c r="BM132" s="35">
        <f>IF(VLOOKUP(CurrentMtgRatesDataTable8711121314[[#This Row],[asofdate]],AW:AY,2,0)&lt;&gt;0,VLOOKUP(CurrentMtgRatesDataTable8711121314[[#This Row],[asofdate]],AW:AY,2,0),BM131)</f>
        <v>4.6547078626505201E-2</v>
      </c>
      <c r="BN132" s="35">
        <f>VLOOKUP(CurrentMtgRatesDataTable8711121314[[#This Row],[asofdate]],BB:BD,2,0)</f>
        <v>2.7542770105444501E-2</v>
      </c>
      <c r="BO132" s="35">
        <f>CurrentMtgRatesDataTable8711121314[[#This Row],[FHA]]+0.5*CurrentMtgRatesDataTable8711121314[[#This Row],[Conventional]]</f>
        <v>6.6778509715412743E-2</v>
      </c>
      <c r="BP132" s="35">
        <f>2*CurrentMtgRatesDataTable8711121314[[#This Row],[FHA]]</f>
        <v>0.1160414120358472</v>
      </c>
      <c r="BQ132" s="11">
        <f>VLOOKUP(YEAR(CurrentMtgRatesDataTable8711121314[[#This Row],[asofdate]]),OriginationVolume!$A:$N,8,FALSE)</f>
        <v>0.64153005464480872</v>
      </c>
      <c r="BR132" s="11">
        <f>VLOOKUP(YEAR(CurrentMtgRatesDataTable8711121314[[#This Row],[asofdate]]),OriginationVolume!$A:$N,9,FALSE)</f>
        <v>0.05</v>
      </c>
      <c r="BS132" s="11">
        <f>VLOOKUP(YEAR(CurrentMtgRatesDataTable8711121314[[#This Row],[asofdate]]),OriginationVolume!$A:$N,10,FALSE)</f>
        <v>0.15</v>
      </c>
      <c r="BT132" s="11">
        <f>VLOOKUP(YEAR(CurrentMtgRatesDataTable8711121314[[#This Row],[asofdate]]),OriginationVolume!$A:$N,11,FALSE)</f>
        <v>0.14863387978142076</v>
      </c>
      <c r="BU132" s="11">
        <f>VLOOKUP(YEAR(CurrentMtgRatesDataTable8711121314[[#This Row],[asofdate]]),OriginationVolume!$A:$N,12,FALSE)</f>
        <v>7.6502732240437158E-3</v>
      </c>
      <c r="BV132" s="11">
        <f>VLOOKUP(YEAR(CurrentMtgRatesDataTable8711121314[[#This Row],[asofdate]]),OriginationVolume!$A:$N,13,FALSE)</f>
        <v>2.185792349726776E-3</v>
      </c>
      <c r="BW132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2.5635177362591827E-2</v>
      </c>
      <c r="BY132" s="7" t="s">
        <v>148</v>
      </c>
      <c r="BZ132" s="10">
        <v>8631008000</v>
      </c>
      <c r="CA132" s="36"/>
      <c r="CC132" s="7" t="s">
        <v>148</v>
      </c>
      <c r="CD132" s="10">
        <v>4587111000</v>
      </c>
      <c r="CE132" s="36"/>
      <c r="CG132" s="7" t="s">
        <v>148</v>
      </c>
      <c r="CH132" s="10">
        <v>36403153126.440002</v>
      </c>
      <c r="CI132" s="39"/>
      <c r="CK132" s="7" t="s">
        <v>148</v>
      </c>
      <c r="CL132" s="10">
        <v>23185034126.439999</v>
      </c>
      <c r="CM132" s="39" t="str">
        <f>YEAR(CurrentMtgRatesDataTable871112131417[[#This Row],[asofdate]])&amp;"-"&amp;MONTH(CurrentMtgRatesDataTable871112131417[[#This Row],[asofdate]])</f>
        <v>2013-12</v>
      </c>
      <c r="CN132" s="39">
        <f>CurrentMtgRatesDataTable871112131417[[#This Row],[SeriesNumValue]]</f>
        <v>23185034126.439999</v>
      </c>
      <c r="CO132" s="39">
        <f>VLOOKUP(CurrentMtgRatesDataTable871112131417[[#This Row],[asofdate]],BY:BZ,2,0)</f>
        <v>8631008000</v>
      </c>
      <c r="CP132" s="35">
        <f>IF(VLOOKUP(CurrentMtgRatesDataTable871112131417[[#This Row],[asofdate]],CC:CD,2,0)&lt;&gt;0,VLOOKUP(CurrentMtgRatesDataTable871112131417[[#This Row],[asofdate]],CC:CD,2,0),CP131)</f>
        <v>4587111000</v>
      </c>
      <c r="CQ132" s="35">
        <f>VLOOKUP(CurrentMtgRatesDataTable871112131417[[#This Row],[asofdate]],CG:CH,2,0)</f>
        <v>36403153126.440002</v>
      </c>
    </row>
    <row r="133" spans="1:95" s="8" customFormat="1" ht="12.75">
      <c r="A133" s="7" t="s">
        <v>149</v>
      </c>
      <c r="B133" s="10">
        <v>1.5698185728227902E-2</v>
      </c>
      <c r="C133" s="10" t="str">
        <f>YEAR(CurrentMtgRatesDataTable8[[#This Row],[asofdate]])&amp;"-"&amp;MONTH(CurrentMtgRatesDataTable8[[#This Row],[asofdate]])</f>
        <v>2014-1</v>
      </c>
      <c r="D133" s="6">
        <f>((CurrentMtgRatesDataTable8[[#This Row],[SeriesNumValue]]-$D$1)/$D$1+1)*100</f>
        <v>104.65457152151936</v>
      </c>
      <c r="E133" s="6"/>
      <c r="G133" s="7" t="s">
        <v>149</v>
      </c>
      <c r="H133" s="10">
        <v>81.982052928115394</v>
      </c>
      <c r="I133" s="26">
        <f>VLOOKUP(CurrentMtgRatesDataTable82[[#This Row],[asofdate]],K:L,2,0)</f>
        <v>0.299194151155105</v>
      </c>
      <c r="K133" s="7" t="s">
        <v>149</v>
      </c>
      <c r="L133" s="29">
        <v>0.299194151155105</v>
      </c>
      <c r="O133" s="7" t="s">
        <v>149</v>
      </c>
      <c r="P133" s="10">
        <v>34.566720754788797</v>
      </c>
      <c r="Q133" s="29">
        <f>VLOOKUP(CurrentMtgRatesDataTable84[[#This Row],[asofdate]],S:T,2,0)</f>
        <v>0.30216401668491399</v>
      </c>
      <c r="S133" s="7" t="s">
        <v>149</v>
      </c>
      <c r="T133" s="10">
        <v>0.30216401668491399</v>
      </c>
      <c r="W133" s="7" t="s">
        <v>149</v>
      </c>
      <c r="X133" s="10">
        <v>753.53265606586206</v>
      </c>
      <c r="Y133" s="26">
        <f>VLOOKUP(CurrentMtgRatesDataTable86[[#This Row],[asofdate]],AA:AB,2,0)</f>
        <v>0.12335834868330101</v>
      </c>
      <c r="AA133" s="7" t="s">
        <v>149</v>
      </c>
      <c r="AB133" s="10">
        <v>0.12335834868330101</v>
      </c>
      <c r="AE133" s="7" t="s">
        <v>52</v>
      </c>
      <c r="AF133" s="10">
        <v>2.18945118890157E-2</v>
      </c>
      <c r="AG133" s="10" t="str">
        <f>YEAR(CurrentMtgRatesDataTable89[[#This Row],[asofdate]])&amp;"-"&amp;MONTH(CurrentMtgRatesDataTable89[[#This Row],[asofdate]])</f>
        <v>2004-11</v>
      </c>
      <c r="AH133" s="6">
        <f>((CurrentMtgRatesDataTable89[[#This Row],[SeriesNumValue]]-$D$1)/$D$1+1)*100</f>
        <v>145.96341259343802</v>
      </c>
      <c r="AI133" s="6">
        <f>CurrentMtgRatesDataTable89[[#This Row],[Index]]-AH134</f>
        <v>-4.2427682041106607</v>
      </c>
      <c r="AJ133" s="6">
        <f>VLOOKUP(CurrentMtgRatesDataTable89[[#This Row],[asofdate]],G:H,2,0)</f>
        <v>81.059375355118405</v>
      </c>
      <c r="AK133" s="6">
        <f>VLOOKUP(CurrentMtgRatesDataTable89[[#This Row],[asofdate]],K:L,2,0)</f>
        <v>0.27010544272213999</v>
      </c>
      <c r="AL133" s="6">
        <f>VLOOKUP(CurrentMtgRatesDataTable89[[#This Row],[asofdate]],O:P,2,0)</f>
        <v>36.037229832655903</v>
      </c>
      <c r="AM133" s="6">
        <f>VLOOKUP(CurrentMtgRatesDataTable89[[#This Row],[asofdate]],S:T,2,0)</f>
        <v>2.3836089043189498E-2</v>
      </c>
      <c r="AN133" s="6">
        <f>VLOOKUP(CurrentMtgRatesDataTable89[[#This Row],[asofdate]],W:X,2,0)</f>
        <v>720.95368415043401</v>
      </c>
      <c r="AO133" s="6">
        <f>VLOOKUP(CurrentMtgRatesDataTable89[[#This Row],[asofdate]],AA:AB,2,0)</f>
        <v>0.341747031945347</v>
      </c>
      <c r="AR133" s="7" t="s">
        <v>149</v>
      </c>
      <c r="AS133" s="10">
        <v>5.3732575289805497E-2</v>
      </c>
      <c r="AT133" s="36">
        <f>((CurrentMtgRatesDataTable8711[[#This Row],[SeriesNumValue]]-$D$1)/$D$1+1)*100</f>
        <v>358.21716859870332</v>
      </c>
      <c r="AU133" s="36"/>
      <c r="AW133" s="7" t="s">
        <v>149</v>
      </c>
      <c r="AX133" s="10">
        <v>4.33860973163313E-2</v>
      </c>
      <c r="AY133" s="36">
        <f>((CurrentMtgRatesDataTable871112[[#This Row],[SeriesNumValue]]-$D$1)/$D$1+1)*100</f>
        <v>289.24064877554201</v>
      </c>
      <c r="AZ133" s="36"/>
      <c r="BB133" s="7" t="s">
        <v>149</v>
      </c>
      <c r="BC133" s="10">
        <v>2.5488779254130799E-2</v>
      </c>
      <c r="BD133" s="39">
        <f>((CurrentMtgRatesDataTable87111213[[#This Row],[SeriesNumValue]]-$D$1)/$D$1+1)*100</f>
        <v>169.92519502753868</v>
      </c>
      <c r="BE133" s="39"/>
      <c r="BG133" s="7" t="s">
        <v>149</v>
      </c>
      <c r="BH133" s="10">
        <v>1.6092987998410201E-2</v>
      </c>
      <c r="BI133" s="39">
        <f>((CurrentMtgRatesDataTable8711121314[[#This Row],[SeriesNumValue]]-$D$1)/$D$1+1)*100</f>
        <v>107.28658665606801</v>
      </c>
      <c r="BJ133" s="39" t="str">
        <f>YEAR(CurrentMtgRatesDataTable8711121314[[#This Row],[asofdate]])&amp;"-"&amp;MONTH(CurrentMtgRatesDataTable8711121314[[#This Row],[asofdate]])</f>
        <v>2014-1</v>
      </c>
      <c r="BK133" s="39">
        <f>CurrentMtgRatesDataTable8711121314[[#This Row],[SeriesNumValue]]</f>
        <v>1.6092987998410201E-2</v>
      </c>
      <c r="BL133" s="39">
        <f>VLOOKUP(CurrentMtgRatesDataTable8711121314[[#This Row],[asofdate]],AR:AT,2,0)</f>
        <v>5.3732575289805497E-2</v>
      </c>
      <c r="BM133" s="35">
        <f>IF(VLOOKUP(CurrentMtgRatesDataTable8711121314[[#This Row],[asofdate]],AW:AY,2,0)&lt;&gt;0,VLOOKUP(CurrentMtgRatesDataTable8711121314[[#This Row],[asofdate]],AW:AY,2,0),BM132)</f>
        <v>4.33860973163313E-2</v>
      </c>
      <c r="BN133" s="35">
        <f>VLOOKUP(CurrentMtgRatesDataTable8711121314[[#This Row],[asofdate]],BB:BD,2,0)</f>
        <v>2.5488779254130799E-2</v>
      </c>
      <c r="BO133" s="35">
        <f>CurrentMtgRatesDataTable8711121314[[#This Row],[FHA]]+0.5*CurrentMtgRatesDataTable8711121314[[#This Row],[Conventional]]</f>
        <v>6.1779069289010599E-2</v>
      </c>
      <c r="BP133" s="35">
        <f>2*CurrentMtgRatesDataTable8711121314[[#This Row],[FHA]]</f>
        <v>0.10746515057961099</v>
      </c>
      <c r="BQ133" s="11">
        <f>VLOOKUP(YEAR(CurrentMtgRatesDataTable8711121314[[#This Row],[asofdate]]),OriginationVolume!$A:$N,8,FALSE)</f>
        <v>0.55517536355859709</v>
      </c>
      <c r="BR133" s="11">
        <f>VLOOKUP(YEAR(CurrentMtgRatesDataTable8711121314[[#This Row],[asofdate]]),OriginationVolume!$A:$N,9,FALSE)</f>
        <v>5.9238665526090674E-2</v>
      </c>
      <c r="BS133" s="11">
        <f>VLOOKUP(YEAR(CurrentMtgRatesDataTable8711121314[[#This Row],[asofdate]]),OriginationVolume!$A:$N,10,FALSE)</f>
        <v>0.17771599657827203</v>
      </c>
      <c r="BT133" s="11">
        <f>VLOOKUP(YEAR(CurrentMtgRatesDataTable8711121314[[#This Row],[asofdate]]),OriginationVolume!$A:$N,11,FALSE)</f>
        <v>0.20102651839178784</v>
      </c>
      <c r="BU133" s="11">
        <f>VLOOKUP(YEAR(CurrentMtgRatesDataTable8711121314[[#This Row],[asofdate]]),OriginationVolume!$A:$N,12,FALSE)</f>
        <v>3.4217279726261761E-3</v>
      </c>
      <c r="BV133" s="11">
        <f>VLOOKUP(YEAR(CurrentMtgRatesDataTable8711121314[[#This Row],[asofdate]]),OriginationVolume!$A:$N,13,FALSE)</f>
        <v>3.4217279726261761E-3</v>
      </c>
      <c r="BW133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2.4867928165681903E-2</v>
      </c>
      <c r="BY133" s="7" t="s">
        <v>149</v>
      </c>
      <c r="BZ133" s="10">
        <v>7490924000</v>
      </c>
      <c r="CA133" s="36"/>
      <c r="CC133" s="7" t="s">
        <v>149</v>
      </c>
      <c r="CD133" s="10">
        <v>4016989000</v>
      </c>
      <c r="CE133" s="36"/>
      <c r="CG133" s="7" t="s">
        <v>149</v>
      </c>
      <c r="CH133" s="10">
        <v>31415157431.299999</v>
      </c>
      <c r="CI133" s="39"/>
      <c r="CK133" s="7" t="s">
        <v>149</v>
      </c>
      <c r="CL133" s="10">
        <v>19907244431.299999</v>
      </c>
      <c r="CM133" s="39" t="str">
        <f>YEAR(CurrentMtgRatesDataTable871112131417[[#This Row],[asofdate]])&amp;"-"&amp;MONTH(CurrentMtgRatesDataTable871112131417[[#This Row],[asofdate]])</f>
        <v>2014-1</v>
      </c>
      <c r="CN133" s="39">
        <f>CurrentMtgRatesDataTable871112131417[[#This Row],[SeriesNumValue]]</f>
        <v>19907244431.299999</v>
      </c>
      <c r="CO133" s="39">
        <f>VLOOKUP(CurrentMtgRatesDataTable871112131417[[#This Row],[asofdate]],BY:BZ,2,0)</f>
        <v>7490924000</v>
      </c>
      <c r="CP133" s="35">
        <f>IF(VLOOKUP(CurrentMtgRatesDataTable871112131417[[#This Row],[asofdate]],CC:CD,2,0)&lt;&gt;0,VLOOKUP(CurrentMtgRatesDataTable871112131417[[#This Row],[asofdate]],CC:CD,2,0),CP132)</f>
        <v>4016989000</v>
      </c>
      <c r="CQ133" s="35">
        <f>VLOOKUP(CurrentMtgRatesDataTable871112131417[[#This Row],[asofdate]],CG:CH,2,0)</f>
        <v>31415157431.299999</v>
      </c>
    </row>
    <row r="134" spans="1:95" s="8" customFormat="1" ht="12.75">
      <c r="A134" s="7" t="s">
        <v>150</v>
      </c>
      <c r="B134" s="10">
        <v>1.55164512382632E-2</v>
      </c>
      <c r="C134" s="10" t="str">
        <f>YEAR(CurrentMtgRatesDataTable8[[#This Row],[asofdate]])&amp;"-"&amp;MONTH(CurrentMtgRatesDataTable8[[#This Row],[asofdate]])</f>
        <v>2014-2</v>
      </c>
      <c r="D134" s="6">
        <f>((CurrentMtgRatesDataTable8[[#This Row],[SeriesNumValue]]-$D$1)/$D$1+1)*100</f>
        <v>103.443008255088</v>
      </c>
      <c r="E134" s="6"/>
      <c r="G134" s="7" t="s">
        <v>150</v>
      </c>
      <c r="H134" s="10">
        <v>82.054188818201595</v>
      </c>
      <c r="I134" s="26">
        <f>VLOOKUP(CurrentMtgRatesDataTable82[[#This Row],[asofdate]],K:L,2,0)</f>
        <v>0.29731849479854999</v>
      </c>
      <c r="K134" s="7" t="s">
        <v>150</v>
      </c>
      <c r="L134" s="29">
        <v>0.29731849479854999</v>
      </c>
      <c r="O134" s="7" t="s">
        <v>150</v>
      </c>
      <c r="P134" s="10">
        <v>34.760538975541799</v>
      </c>
      <c r="Q134" s="29">
        <f>VLOOKUP(CurrentMtgRatesDataTable84[[#This Row],[asofdate]],S:T,2,0)</f>
        <v>0.31113505275696202</v>
      </c>
      <c r="S134" s="7" t="s">
        <v>150</v>
      </c>
      <c r="T134" s="10">
        <v>0.31113505275696202</v>
      </c>
      <c r="W134" s="7" t="s">
        <v>150</v>
      </c>
      <c r="X134" s="10">
        <v>752.81192436969502</v>
      </c>
      <c r="Y134" s="26">
        <f>VLOOKUP(CurrentMtgRatesDataTable86[[#This Row],[asofdate]],AA:AB,2,0)</f>
        <v>0.12799062962632901</v>
      </c>
      <c r="AA134" s="7" t="s">
        <v>150</v>
      </c>
      <c r="AB134" s="10">
        <v>0.12799062962632901</v>
      </c>
      <c r="AE134" s="7" t="s">
        <v>51</v>
      </c>
      <c r="AF134" s="10">
        <v>2.25309271196323E-2</v>
      </c>
      <c r="AG134" s="10" t="str">
        <f>YEAR(CurrentMtgRatesDataTable89[[#This Row],[asofdate]])&amp;"-"&amp;MONTH(CurrentMtgRatesDataTable89[[#This Row],[asofdate]])</f>
        <v>2004-10</v>
      </c>
      <c r="AH134" s="6">
        <f>((CurrentMtgRatesDataTable89[[#This Row],[SeriesNumValue]]-$D$1)/$D$1+1)*100</f>
        <v>150.20618079754868</v>
      </c>
      <c r="AI134" s="6">
        <f>CurrentMtgRatesDataTable89[[#This Row],[Index]]-AH135</f>
        <v>-4.5912796032726249</v>
      </c>
      <c r="AJ134" s="6">
        <f>VLOOKUP(CurrentMtgRatesDataTable89[[#This Row],[asofdate]],G:H,2,0)</f>
        <v>81.278021286029201</v>
      </c>
      <c r="AK134" s="6">
        <f>VLOOKUP(CurrentMtgRatesDataTable89[[#This Row],[asofdate]],K:L,2,0)</f>
        <v>0.276682221848848</v>
      </c>
      <c r="AL134" s="6">
        <f>VLOOKUP(CurrentMtgRatesDataTable89[[#This Row],[asofdate]],O:P,2,0)</f>
        <v>36.140491978410601</v>
      </c>
      <c r="AM134" s="6">
        <f>VLOOKUP(CurrentMtgRatesDataTable89[[#This Row],[asofdate]],S:T,2,0)</f>
        <v>2.2700215079383398E-2</v>
      </c>
      <c r="AN134" s="6">
        <f>VLOOKUP(CurrentMtgRatesDataTable89[[#This Row],[asofdate]],W:X,2,0)</f>
        <v>720.93113561545397</v>
      </c>
      <c r="AO134" s="6">
        <f>VLOOKUP(CurrentMtgRatesDataTable89[[#This Row],[asofdate]],AA:AB,2,0)</f>
        <v>0.33728725379950802</v>
      </c>
      <c r="AR134" s="7" t="s">
        <v>150</v>
      </c>
      <c r="AS134" s="10">
        <v>5.0638509422985097E-2</v>
      </c>
      <c r="AT134" s="36">
        <f>((CurrentMtgRatesDataTable8711[[#This Row],[SeriesNumValue]]-$D$1)/$D$1+1)*100</f>
        <v>337.59006281990065</v>
      </c>
      <c r="AU134" s="36"/>
      <c r="AW134" s="7" t="s">
        <v>150</v>
      </c>
      <c r="AX134" s="10">
        <v>3.9774229888142401E-2</v>
      </c>
      <c r="AY134" s="36">
        <f>((CurrentMtgRatesDataTable871112[[#This Row],[SeriesNumValue]]-$D$1)/$D$1+1)*100</f>
        <v>265.16153258761602</v>
      </c>
      <c r="AZ134" s="36"/>
      <c r="BB134" s="7" t="s">
        <v>150</v>
      </c>
      <c r="BC134" s="10">
        <v>2.4148287648052699E-2</v>
      </c>
      <c r="BD134" s="39">
        <f>((CurrentMtgRatesDataTable87111213[[#This Row],[SeriesNumValue]]-$D$1)/$D$1+1)*100</f>
        <v>160.98858432035135</v>
      </c>
      <c r="BE134" s="39"/>
      <c r="BG134" s="7" t="s">
        <v>150</v>
      </c>
      <c r="BH134" s="10">
        <v>1.5423133326643799E-2</v>
      </c>
      <c r="BI134" s="39">
        <f>((CurrentMtgRatesDataTable8711121314[[#This Row],[SeriesNumValue]]-$D$1)/$D$1+1)*100</f>
        <v>102.82088884429199</v>
      </c>
      <c r="BJ134" s="39" t="str">
        <f>YEAR(CurrentMtgRatesDataTable8711121314[[#This Row],[asofdate]])&amp;"-"&amp;MONTH(CurrentMtgRatesDataTable8711121314[[#This Row],[asofdate]])</f>
        <v>2014-2</v>
      </c>
      <c r="BK134" s="39">
        <f>CurrentMtgRatesDataTable8711121314[[#This Row],[SeriesNumValue]]</f>
        <v>1.5423133326643799E-2</v>
      </c>
      <c r="BL134" s="39">
        <f>VLOOKUP(CurrentMtgRatesDataTable8711121314[[#This Row],[asofdate]],AR:AT,2,0)</f>
        <v>5.0638509422985097E-2</v>
      </c>
      <c r="BM134" s="35">
        <f>IF(VLOOKUP(CurrentMtgRatesDataTable8711121314[[#This Row],[asofdate]],AW:AY,2,0)&lt;&gt;0,VLOOKUP(CurrentMtgRatesDataTable8711121314[[#This Row],[asofdate]],AW:AY,2,0),BM133)</f>
        <v>3.9774229888142401E-2</v>
      </c>
      <c r="BN134" s="35">
        <f>VLOOKUP(CurrentMtgRatesDataTable8711121314[[#This Row],[asofdate]],BB:BD,2,0)</f>
        <v>2.4148287648052699E-2</v>
      </c>
      <c r="BO134" s="35">
        <f>CurrentMtgRatesDataTable8711121314[[#This Row],[FHA]]+0.5*CurrentMtgRatesDataTable8711121314[[#This Row],[Conventional]]</f>
        <v>5.8350076086306997E-2</v>
      </c>
      <c r="BP134" s="35">
        <f>2*CurrentMtgRatesDataTable8711121314[[#This Row],[FHA]]</f>
        <v>0.10127701884597019</v>
      </c>
      <c r="BQ134" s="11">
        <f>VLOOKUP(YEAR(CurrentMtgRatesDataTable8711121314[[#This Row],[asofdate]]),OriginationVolume!$A:$N,8,FALSE)</f>
        <v>0.55517536355859709</v>
      </c>
      <c r="BR134" s="11">
        <f>VLOOKUP(YEAR(CurrentMtgRatesDataTable8711121314[[#This Row],[asofdate]]),OriginationVolume!$A:$N,9,FALSE)</f>
        <v>5.9238665526090674E-2</v>
      </c>
      <c r="BS134" s="11">
        <f>VLOOKUP(YEAR(CurrentMtgRatesDataTable8711121314[[#This Row],[asofdate]]),OriginationVolume!$A:$N,10,FALSE)</f>
        <v>0.17771599657827203</v>
      </c>
      <c r="BT134" s="11">
        <f>VLOOKUP(YEAR(CurrentMtgRatesDataTable8711121314[[#This Row],[asofdate]]),OriginationVolume!$A:$N,11,FALSE)</f>
        <v>0.20102651839178784</v>
      </c>
      <c r="BU134" s="11">
        <f>VLOOKUP(YEAR(CurrentMtgRatesDataTable8711121314[[#This Row],[asofdate]]),OriginationVolume!$A:$N,12,FALSE)</f>
        <v>3.4217279726261761E-3</v>
      </c>
      <c r="BV134" s="11">
        <f>VLOOKUP(YEAR(CurrentMtgRatesDataTable8711121314[[#This Row],[asofdate]]),OriginationVolume!$A:$N,13,FALSE)</f>
        <v>3.4217279726261761E-3</v>
      </c>
      <c r="BW134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2.3564648411344088E-2</v>
      </c>
      <c r="BY134" s="7" t="s">
        <v>150</v>
      </c>
      <c r="BZ134" s="10">
        <v>7633351000</v>
      </c>
      <c r="CA134" s="36"/>
      <c r="CC134" s="7" t="s">
        <v>150</v>
      </c>
      <c r="CD134" s="10">
        <v>4349519000</v>
      </c>
      <c r="CE134" s="36"/>
      <c r="CG134" s="7" t="s">
        <v>150</v>
      </c>
      <c r="CH134" s="10">
        <v>32524796703.040001</v>
      </c>
      <c r="CI134" s="39"/>
      <c r="CK134" s="7" t="s">
        <v>150</v>
      </c>
      <c r="CL134" s="10">
        <v>20541926703.040001</v>
      </c>
      <c r="CM134" s="39" t="str">
        <f>YEAR(CurrentMtgRatesDataTable871112131417[[#This Row],[asofdate]])&amp;"-"&amp;MONTH(CurrentMtgRatesDataTable871112131417[[#This Row],[asofdate]])</f>
        <v>2014-2</v>
      </c>
      <c r="CN134" s="39">
        <f>CurrentMtgRatesDataTable871112131417[[#This Row],[SeriesNumValue]]</f>
        <v>20541926703.040001</v>
      </c>
      <c r="CO134" s="39">
        <f>VLOOKUP(CurrentMtgRatesDataTable871112131417[[#This Row],[asofdate]],BY:BZ,2,0)</f>
        <v>7633351000</v>
      </c>
      <c r="CP134" s="35">
        <f>IF(VLOOKUP(CurrentMtgRatesDataTable871112131417[[#This Row],[asofdate]],CC:CD,2,0)&lt;&gt;0,VLOOKUP(CurrentMtgRatesDataTable871112131417[[#This Row],[asofdate]],CC:CD,2,0),CP133)</f>
        <v>4349519000</v>
      </c>
      <c r="CQ134" s="35">
        <f>VLOOKUP(CurrentMtgRatesDataTable871112131417[[#This Row],[asofdate]],CG:CH,2,0)</f>
        <v>32524796703.040001</v>
      </c>
    </row>
    <row r="135" spans="1:95" s="8" customFormat="1" ht="12.75">
      <c r="A135" s="7" t="s">
        <v>151</v>
      </c>
      <c r="B135" s="10">
        <v>1.6884764231063599E-2</v>
      </c>
      <c r="C135" s="10" t="str">
        <f>YEAR(CurrentMtgRatesDataTable8[[#This Row],[asofdate]])&amp;"-"&amp;MONTH(CurrentMtgRatesDataTable8[[#This Row],[asofdate]])</f>
        <v>2014-3</v>
      </c>
      <c r="D135" s="6">
        <f>((CurrentMtgRatesDataTable8[[#This Row],[SeriesNumValue]]-$D$1)/$D$1+1)*100</f>
        <v>112.56509487375732</v>
      </c>
      <c r="E135" s="6"/>
      <c r="G135" s="7" t="s">
        <v>151</v>
      </c>
      <c r="H135" s="10">
        <v>81.851194537145602</v>
      </c>
      <c r="I135" s="26">
        <f>VLOOKUP(CurrentMtgRatesDataTable82[[#This Row],[asofdate]],K:L,2,0)</f>
        <v>0.29247281839506201</v>
      </c>
      <c r="K135" s="7" t="s">
        <v>151</v>
      </c>
      <c r="L135" s="29">
        <v>0.29247281839506201</v>
      </c>
      <c r="O135" s="7" t="s">
        <v>151</v>
      </c>
      <c r="P135" s="10">
        <v>35.096621359252701</v>
      </c>
      <c r="Q135" s="29">
        <f>VLOOKUP(CurrentMtgRatesDataTable84[[#This Row],[asofdate]],S:T,2,0)</f>
        <v>0.32592044220524802</v>
      </c>
      <c r="S135" s="7" t="s">
        <v>151</v>
      </c>
      <c r="T135" s="10">
        <v>0.32592044220524802</v>
      </c>
      <c r="W135" s="7" t="s">
        <v>151</v>
      </c>
      <c r="X135" s="10">
        <v>752.01745988927803</v>
      </c>
      <c r="Y135" s="26">
        <f>VLOOKUP(CurrentMtgRatesDataTable86[[#This Row],[asofdate]],AA:AB,2,0)</f>
        <v>0.13383175443081299</v>
      </c>
      <c r="AA135" s="7" t="s">
        <v>151</v>
      </c>
      <c r="AB135" s="10">
        <v>0.13383175443081299</v>
      </c>
      <c r="AE135" s="7" t="s">
        <v>50</v>
      </c>
      <c r="AF135" s="10">
        <v>2.3219619060123198E-2</v>
      </c>
      <c r="AG135" s="10" t="str">
        <f>YEAR(CurrentMtgRatesDataTable89[[#This Row],[asofdate]])&amp;"-"&amp;MONTH(CurrentMtgRatesDataTable89[[#This Row],[asofdate]])</f>
        <v>2004-9</v>
      </c>
      <c r="AH135" s="6">
        <f>((CurrentMtgRatesDataTable89[[#This Row],[SeriesNumValue]]-$D$1)/$D$1+1)*100</f>
        <v>154.79746040082131</v>
      </c>
      <c r="AI135" s="6">
        <f>CurrentMtgRatesDataTable89[[#This Row],[Index]]-AH136</f>
        <v>15.724453355831287</v>
      </c>
      <c r="AJ135" s="6">
        <f>VLOOKUP(CurrentMtgRatesDataTable89[[#This Row],[asofdate]],G:H,2,0)</f>
        <v>81.575997037203607</v>
      </c>
      <c r="AK135" s="6">
        <f>VLOOKUP(CurrentMtgRatesDataTable89[[#This Row],[asofdate]],K:L,2,0)</f>
        <v>0.28350793370687299</v>
      </c>
      <c r="AL135" s="6">
        <f>VLOOKUP(CurrentMtgRatesDataTable89[[#This Row],[asofdate]],O:P,2,0)</f>
        <v>36.725585962012303</v>
      </c>
      <c r="AM135" s="6">
        <f>VLOOKUP(CurrentMtgRatesDataTable89[[#This Row],[asofdate]],S:T,2,0)</f>
        <v>2.4399357804312901E-2</v>
      </c>
      <c r="AN135" s="6">
        <f>VLOOKUP(CurrentMtgRatesDataTable89[[#This Row],[asofdate]],W:X,2,0)</f>
        <v>719.79489214723901</v>
      </c>
      <c r="AO135" s="6">
        <f>VLOOKUP(CurrentMtgRatesDataTable89[[#This Row],[asofdate]],AA:AB,2,0)</f>
        <v>0.34861427310826099</v>
      </c>
      <c r="AR135" s="7" t="s">
        <v>151</v>
      </c>
      <c r="AS135" s="10">
        <v>5.3963745614458901E-2</v>
      </c>
      <c r="AT135" s="36">
        <f>((CurrentMtgRatesDataTable8711[[#This Row],[SeriesNumValue]]-$D$1)/$D$1+1)*100</f>
        <v>359.75830409639269</v>
      </c>
      <c r="AU135" s="36"/>
      <c r="AW135" s="7" t="s">
        <v>151</v>
      </c>
      <c r="AX135" s="10">
        <v>4.1916679311245E-2</v>
      </c>
      <c r="AY135" s="36">
        <f>((CurrentMtgRatesDataTable871112[[#This Row],[SeriesNumValue]]-$D$1)/$D$1+1)*100</f>
        <v>279.44452874163335</v>
      </c>
      <c r="AZ135" s="36"/>
      <c r="BB135" s="7" t="s">
        <v>151</v>
      </c>
      <c r="BC135" s="10">
        <v>2.61621554469573E-2</v>
      </c>
      <c r="BD135" s="39">
        <f>((CurrentMtgRatesDataTable87111213[[#This Row],[SeriesNumValue]]-$D$1)/$D$1+1)*100</f>
        <v>174.41436964638203</v>
      </c>
      <c r="BE135" s="39"/>
      <c r="BG135" s="7" t="s">
        <v>151</v>
      </c>
      <c r="BH135" s="10">
        <v>1.64709134882766E-2</v>
      </c>
      <c r="BI135" s="39">
        <f>((CurrentMtgRatesDataTable8711121314[[#This Row],[SeriesNumValue]]-$D$1)/$D$1+1)*100</f>
        <v>109.80608992184399</v>
      </c>
      <c r="BJ135" s="39" t="str">
        <f>YEAR(CurrentMtgRatesDataTable8711121314[[#This Row],[asofdate]])&amp;"-"&amp;MONTH(CurrentMtgRatesDataTable8711121314[[#This Row],[asofdate]])</f>
        <v>2014-3</v>
      </c>
      <c r="BK135" s="39">
        <f>CurrentMtgRatesDataTable8711121314[[#This Row],[SeriesNumValue]]</f>
        <v>1.64709134882766E-2</v>
      </c>
      <c r="BL135" s="39">
        <f>VLOOKUP(CurrentMtgRatesDataTable8711121314[[#This Row],[asofdate]],AR:AT,2,0)</f>
        <v>5.3963745614458901E-2</v>
      </c>
      <c r="BM135" s="35">
        <f>IF(VLOOKUP(CurrentMtgRatesDataTable8711121314[[#This Row],[asofdate]],AW:AY,2,0)&lt;&gt;0,VLOOKUP(CurrentMtgRatesDataTable8711121314[[#This Row],[asofdate]],AW:AY,2,0),BM134)</f>
        <v>4.1916679311245E-2</v>
      </c>
      <c r="BN135" s="35">
        <f>VLOOKUP(CurrentMtgRatesDataTable8711121314[[#This Row],[asofdate]],BB:BD,2,0)</f>
        <v>2.61621554469573E-2</v>
      </c>
      <c r="BO135" s="35">
        <f>CurrentMtgRatesDataTable8711121314[[#This Row],[FHA]]+0.5*CurrentMtgRatesDataTable8711121314[[#This Row],[Conventional]]</f>
        <v>6.2199202358597203E-2</v>
      </c>
      <c r="BP135" s="35">
        <f>2*CurrentMtgRatesDataTable8711121314[[#This Row],[FHA]]</f>
        <v>0.1079274912289178</v>
      </c>
      <c r="BQ135" s="11">
        <f>VLOOKUP(YEAR(CurrentMtgRatesDataTable8711121314[[#This Row],[asofdate]]),OriginationVolume!$A:$N,8,FALSE)</f>
        <v>0.55517536355859709</v>
      </c>
      <c r="BR135" s="11">
        <f>VLOOKUP(YEAR(CurrentMtgRatesDataTable8711121314[[#This Row],[asofdate]]),OriginationVolume!$A:$N,9,FALSE)</f>
        <v>5.9238665526090674E-2</v>
      </c>
      <c r="BS135" s="11">
        <f>VLOOKUP(YEAR(CurrentMtgRatesDataTable8711121314[[#This Row],[asofdate]]),OriginationVolume!$A:$N,10,FALSE)</f>
        <v>0.17771599657827203</v>
      </c>
      <c r="BT135" s="11">
        <f>VLOOKUP(YEAR(CurrentMtgRatesDataTable8711121314[[#This Row],[asofdate]]),OriginationVolume!$A:$N,11,FALSE)</f>
        <v>0.20102651839178784</v>
      </c>
      <c r="BU135" s="11">
        <f>VLOOKUP(YEAR(CurrentMtgRatesDataTable8711121314[[#This Row],[asofdate]]),OriginationVolume!$A:$N,12,FALSE)</f>
        <v>3.4217279726261761E-3</v>
      </c>
      <c r="BV135" s="11">
        <f>VLOOKUP(YEAR(CurrentMtgRatesDataTable8711121314[[#This Row],[asofdate]]),OriginationVolume!$A:$N,13,FALSE)</f>
        <v>3.4217279726261761E-3</v>
      </c>
      <c r="BW135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2.5110772020268714E-2</v>
      </c>
      <c r="BY135" s="7" t="s">
        <v>151</v>
      </c>
      <c r="BZ135" s="10">
        <v>5523702000</v>
      </c>
      <c r="CA135" s="36"/>
      <c r="CC135" s="7" t="s">
        <v>151</v>
      </c>
      <c r="CD135" s="10">
        <v>3098723000</v>
      </c>
      <c r="CE135" s="36"/>
      <c r="CG135" s="7" t="s">
        <v>151</v>
      </c>
      <c r="CH135" s="10">
        <v>22456066645.990002</v>
      </c>
      <c r="CI135" s="39"/>
      <c r="CK135" s="7" t="s">
        <v>151</v>
      </c>
      <c r="CL135" s="10">
        <v>13833641645.99</v>
      </c>
      <c r="CM135" s="39" t="str">
        <f>YEAR(CurrentMtgRatesDataTable871112131417[[#This Row],[asofdate]])&amp;"-"&amp;MONTH(CurrentMtgRatesDataTable871112131417[[#This Row],[asofdate]])</f>
        <v>2014-3</v>
      </c>
      <c r="CN135" s="39">
        <f>CurrentMtgRatesDataTable871112131417[[#This Row],[SeriesNumValue]]</f>
        <v>13833641645.99</v>
      </c>
      <c r="CO135" s="39">
        <f>VLOOKUP(CurrentMtgRatesDataTable871112131417[[#This Row],[asofdate]],BY:BZ,2,0)</f>
        <v>5523702000</v>
      </c>
      <c r="CP135" s="35">
        <f>IF(VLOOKUP(CurrentMtgRatesDataTable871112131417[[#This Row],[asofdate]],CC:CD,2,0)&lt;&gt;0,VLOOKUP(CurrentMtgRatesDataTable871112131417[[#This Row],[asofdate]],CC:CD,2,0),CP134)</f>
        <v>3098723000</v>
      </c>
      <c r="CQ135" s="35">
        <f>VLOOKUP(CurrentMtgRatesDataTable871112131417[[#This Row],[asofdate]],CG:CH,2,0)</f>
        <v>22456066645.990002</v>
      </c>
    </row>
    <row r="136" spans="1:95" s="8" customFormat="1" ht="12.75">
      <c r="A136" s="7" t="s">
        <v>12</v>
      </c>
      <c r="B136" s="10">
        <v>1.7375950434527401E-2</v>
      </c>
      <c r="C136" s="10" t="str">
        <f>YEAR(CurrentMtgRatesDataTable8[[#This Row],[asofdate]])&amp;"-"&amp;MONTH(CurrentMtgRatesDataTable8[[#This Row],[asofdate]])</f>
        <v>2014-4</v>
      </c>
      <c r="D136" s="6">
        <f>((CurrentMtgRatesDataTable8[[#This Row],[SeriesNumValue]]-$D$1)/$D$1+1)*100</f>
        <v>115.83966956351601</v>
      </c>
      <c r="E136" s="6"/>
      <c r="G136" s="7" t="s">
        <v>12</v>
      </c>
      <c r="H136" s="10">
        <v>82.221632922201394</v>
      </c>
      <c r="I136" s="26">
        <f>VLOOKUP(CurrentMtgRatesDataTable82[[#This Row],[asofdate]],K:L,2,0)</f>
        <v>0.302228602571813</v>
      </c>
      <c r="K136" s="7" t="s">
        <v>12</v>
      </c>
      <c r="L136" s="29">
        <v>0.302228602571813</v>
      </c>
      <c r="O136" s="7" t="s">
        <v>12</v>
      </c>
      <c r="P136" s="10">
        <v>34.816199864300501</v>
      </c>
      <c r="Q136" s="29">
        <f>VLOOKUP(CurrentMtgRatesDataTable84[[#This Row],[asofdate]],S:T,2,0)</f>
        <v>0.30845170445324599</v>
      </c>
      <c r="S136" s="7" t="s">
        <v>12</v>
      </c>
      <c r="T136" s="10">
        <v>0.30845170445324599</v>
      </c>
      <c r="W136" s="7" t="s">
        <v>12</v>
      </c>
      <c r="X136" s="10">
        <v>751.46240213519695</v>
      </c>
      <c r="Y136" s="26">
        <f>VLOOKUP(CurrentMtgRatesDataTable86[[#This Row],[asofdate]],AA:AB,2,0)</f>
        <v>0.136759922124324</v>
      </c>
      <c r="AA136" s="7" t="s">
        <v>12</v>
      </c>
      <c r="AB136" s="10">
        <v>0.136759922124324</v>
      </c>
      <c r="AE136" s="7" t="s">
        <v>49</v>
      </c>
      <c r="AF136" s="10">
        <v>2.0860951056748501E-2</v>
      </c>
      <c r="AG136" s="10" t="str">
        <f>YEAR(CurrentMtgRatesDataTable89[[#This Row],[asofdate]])&amp;"-"&amp;MONTH(CurrentMtgRatesDataTable89[[#This Row],[asofdate]])</f>
        <v>2004-8</v>
      </c>
      <c r="AH136" s="6">
        <f>((CurrentMtgRatesDataTable89[[#This Row],[SeriesNumValue]]-$D$1)/$D$1+1)*100</f>
        <v>139.07300704499002</v>
      </c>
      <c r="AI136" s="6">
        <f>CurrentMtgRatesDataTable89[[#This Row],[Index]]-AH137</f>
        <v>23.851179858696014</v>
      </c>
      <c r="AJ136" s="6">
        <f>VLOOKUP(CurrentMtgRatesDataTable89[[#This Row],[asofdate]],G:H,2,0)</f>
        <v>81.370157030041597</v>
      </c>
      <c r="AK136" s="6">
        <f>VLOOKUP(CurrentMtgRatesDataTable89[[#This Row],[asofdate]],K:L,2,0)</f>
        <v>0.28323862382710902</v>
      </c>
      <c r="AL136" s="6">
        <f>VLOOKUP(CurrentMtgRatesDataTable89[[#This Row],[asofdate]],O:P,2,0)</f>
        <v>36.203803583517697</v>
      </c>
      <c r="AM136" s="6">
        <f>VLOOKUP(CurrentMtgRatesDataTable89[[#This Row],[asofdate]],S:T,2,0)</f>
        <v>2.66844067861104E-2</v>
      </c>
      <c r="AN136" s="6">
        <f>VLOOKUP(CurrentMtgRatesDataTable89[[#This Row],[asofdate]],W:X,2,0)</f>
        <v>720.06039635737204</v>
      </c>
      <c r="AO136" s="6">
        <f>VLOOKUP(CurrentMtgRatesDataTable89[[#This Row],[asofdate]],AA:AB,2,0)</f>
        <v>0.34681408931864999</v>
      </c>
      <c r="AR136" s="7" t="s">
        <v>12</v>
      </c>
      <c r="AS136" s="10">
        <v>5.64173982878792E-2</v>
      </c>
      <c r="AT136" s="36">
        <f>((CurrentMtgRatesDataTable8711[[#This Row],[SeriesNumValue]]-$D$1)/$D$1+1)*100</f>
        <v>376.11598858586132</v>
      </c>
      <c r="AU136" s="36"/>
      <c r="AW136" s="7" t="s">
        <v>12</v>
      </c>
      <c r="AX136" s="10">
        <v>4.4487411594855697E-2</v>
      </c>
      <c r="AY136" s="36">
        <f>((CurrentMtgRatesDataTable871112[[#This Row],[SeriesNumValue]]-$D$1)/$D$1+1)*100</f>
        <v>296.58274396570465</v>
      </c>
      <c r="AZ136" s="36"/>
      <c r="BB136" s="7" t="s">
        <v>12</v>
      </c>
      <c r="BC136" s="10">
        <v>2.73206228023559E-2</v>
      </c>
      <c r="BD136" s="39">
        <f>((CurrentMtgRatesDataTable87111213[[#This Row],[SeriesNumValue]]-$D$1)/$D$1+1)*100</f>
        <v>182.13748534903937</v>
      </c>
      <c r="BE136" s="39"/>
      <c r="BG136" s="7" t="s">
        <v>12</v>
      </c>
      <c r="BH136" s="10">
        <v>1.73785950978117E-2</v>
      </c>
      <c r="BI136" s="39">
        <f>((CurrentMtgRatesDataTable8711121314[[#This Row],[SeriesNumValue]]-$D$1)/$D$1+1)*100</f>
        <v>115.857300652078</v>
      </c>
      <c r="BJ136" s="39" t="str">
        <f>YEAR(CurrentMtgRatesDataTable8711121314[[#This Row],[asofdate]])&amp;"-"&amp;MONTH(CurrentMtgRatesDataTable8711121314[[#This Row],[asofdate]])</f>
        <v>2014-4</v>
      </c>
      <c r="BK136" s="39">
        <f>CurrentMtgRatesDataTable8711121314[[#This Row],[SeriesNumValue]]</f>
        <v>1.73785950978117E-2</v>
      </c>
      <c r="BL136" s="39">
        <f>VLOOKUP(CurrentMtgRatesDataTable8711121314[[#This Row],[asofdate]],AR:AT,2,0)</f>
        <v>5.64173982878792E-2</v>
      </c>
      <c r="BM136" s="35">
        <f>IF(VLOOKUP(CurrentMtgRatesDataTable8711121314[[#This Row],[asofdate]],AW:AY,2,0)&lt;&gt;0,VLOOKUP(CurrentMtgRatesDataTable8711121314[[#This Row],[asofdate]],AW:AY,2,0),BM135)</f>
        <v>4.4487411594855697E-2</v>
      </c>
      <c r="BN136" s="35">
        <f>VLOOKUP(CurrentMtgRatesDataTable8711121314[[#This Row],[asofdate]],BB:BD,2,0)</f>
        <v>2.73206228023559E-2</v>
      </c>
      <c r="BO136" s="35">
        <f>CurrentMtgRatesDataTable8711121314[[#This Row],[FHA]]+0.5*CurrentMtgRatesDataTable8711121314[[#This Row],[Conventional]]</f>
        <v>6.510669583678505E-2</v>
      </c>
      <c r="BP136" s="35">
        <f>2*CurrentMtgRatesDataTable8711121314[[#This Row],[FHA]]</f>
        <v>0.1128347965757584</v>
      </c>
      <c r="BQ136" s="11">
        <f>VLOOKUP(YEAR(CurrentMtgRatesDataTable8711121314[[#This Row],[asofdate]]),OriginationVolume!$A:$N,8,FALSE)</f>
        <v>0.55517536355859709</v>
      </c>
      <c r="BR136" s="11">
        <f>VLOOKUP(YEAR(CurrentMtgRatesDataTable8711121314[[#This Row],[asofdate]]),OriginationVolume!$A:$N,9,FALSE)</f>
        <v>5.9238665526090674E-2</v>
      </c>
      <c r="BS136" s="11">
        <f>VLOOKUP(YEAR(CurrentMtgRatesDataTable8711121314[[#This Row],[asofdate]]),OriginationVolume!$A:$N,10,FALSE)</f>
        <v>0.17771599657827203</v>
      </c>
      <c r="BT136" s="11">
        <f>VLOOKUP(YEAR(CurrentMtgRatesDataTable8711121314[[#This Row],[asofdate]]),OriginationVolume!$A:$N,11,FALSE)</f>
        <v>0.20102651839178784</v>
      </c>
      <c r="BU136" s="11">
        <f>VLOOKUP(YEAR(CurrentMtgRatesDataTable8711121314[[#This Row],[asofdate]]),OriginationVolume!$A:$N,12,FALSE)</f>
        <v>3.4217279726261761E-3</v>
      </c>
      <c r="BV136" s="11">
        <f>VLOOKUP(YEAR(CurrentMtgRatesDataTable8711121314[[#This Row],[asofdate]]),OriginationVolume!$A:$N,13,FALSE)</f>
        <v>3.4217279726261761E-3</v>
      </c>
      <c r="BW136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2.6412242757370724E-2</v>
      </c>
      <c r="BY136" s="7" t="s">
        <v>12</v>
      </c>
      <c r="BZ136" s="10">
        <v>5599340000</v>
      </c>
      <c r="CA136" s="36"/>
      <c r="CC136" s="7" t="s">
        <v>12</v>
      </c>
      <c r="CD136" s="10">
        <v>3325977000</v>
      </c>
      <c r="CE136" s="36"/>
      <c r="CG136" s="7" t="s">
        <v>12</v>
      </c>
      <c r="CH136" s="10">
        <v>23623473762.130001</v>
      </c>
      <c r="CI136" s="39"/>
      <c r="CK136" s="7" t="s">
        <v>12</v>
      </c>
      <c r="CL136" s="10">
        <v>14698156762.129999</v>
      </c>
      <c r="CM136" s="39" t="str">
        <f>YEAR(CurrentMtgRatesDataTable871112131417[[#This Row],[asofdate]])&amp;"-"&amp;MONTH(CurrentMtgRatesDataTable871112131417[[#This Row],[asofdate]])</f>
        <v>2014-4</v>
      </c>
      <c r="CN136" s="39">
        <f>CurrentMtgRatesDataTable871112131417[[#This Row],[SeriesNumValue]]</f>
        <v>14698156762.129999</v>
      </c>
      <c r="CO136" s="39">
        <f>VLOOKUP(CurrentMtgRatesDataTable871112131417[[#This Row],[asofdate]],BY:BZ,2,0)</f>
        <v>5599340000</v>
      </c>
      <c r="CP136" s="35">
        <f>IF(VLOOKUP(CurrentMtgRatesDataTable871112131417[[#This Row],[asofdate]],CC:CD,2,0)&lt;&gt;0,VLOOKUP(CurrentMtgRatesDataTable871112131417[[#This Row],[asofdate]],CC:CD,2,0),CP135)</f>
        <v>3325977000</v>
      </c>
      <c r="CQ136" s="35">
        <f>VLOOKUP(CurrentMtgRatesDataTable871112131417[[#This Row],[asofdate]],CG:CH,2,0)</f>
        <v>23623473762.130001</v>
      </c>
    </row>
    <row r="137" spans="1:95" s="8" customFormat="1" ht="12.75">
      <c r="A137" s="7" t="s">
        <v>24</v>
      </c>
      <c r="B137" s="10">
        <v>1.7108265313383102E-2</v>
      </c>
      <c r="C137" s="10" t="str">
        <f>YEAR(CurrentMtgRatesDataTable8[[#This Row],[asofdate]])&amp;"-"&amp;MONTH(CurrentMtgRatesDataTable8[[#This Row],[asofdate]])</f>
        <v>2014-5</v>
      </c>
      <c r="D137" s="6">
        <f>((CurrentMtgRatesDataTable8[[#This Row],[SeriesNumValue]]-$D$1)/$D$1+1)*100</f>
        <v>114.0551020892207</v>
      </c>
      <c r="E137" s="6"/>
      <c r="G137" s="7" t="s">
        <v>24</v>
      </c>
      <c r="H137" s="10">
        <v>82.444770178795594</v>
      </c>
      <c r="I137" s="26">
        <f>VLOOKUP(CurrentMtgRatesDataTable82[[#This Row],[asofdate]],K:L,2,0)</f>
        <v>0.30811744878997599</v>
      </c>
      <c r="K137" s="7" t="s">
        <v>24</v>
      </c>
      <c r="L137" s="29">
        <v>0.30811744878997599</v>
      </c>
      <c r="O137" s="7" t="s">
        <v>24</v>
      </c>
      <c r="P137" s="10">
        <v>34.675439008071699</v>
      </c>
      <c r="Q137" s="29">
        <f>VLOOKUP(CurrentMtgRatesDataTable84[[#This Row],[asofdate]],S:T,2,0)</f>
        <v>0.29976463477048398</v>
      </c>
      <c r="S137" s="7" t="s">
        <v>24</v>
      </c>
      <c r="T137" s="10">
        <v>0.29976463477048398</v>
      </c>
      <c r="W137" s="7" t="s">
        <v>24</v>
      </c>
      <c r="X137" s="10">
        <v>751.61350922535496</v>
      </c>
      <c r="Y137" s="26">
        <f>VLOOKUP(CurrentMtgRatesDataTable86[[#This Row],[asofdate]],AA:AB,2,0)</f>
        <v>0.13767192714339599</v>
      </c>
      <c r="AA137" s="7" t="s">
        <v>24</v>
      </c>
      <c r="AB137" s="10">
        <v>0.13767192714339599</v>
      </c>
      <c r="AE137" s="7" t="s">
        <v>48</v>
      </c>
      <c r="AF137" s="10">
        <v>1.72832740779441E-2</v>
      </c>
      <c r="AG137" s="10" t="str">
        <f>YEAR(CurrentMtgRatesDataTable89[[#This Row],[asofdate]])&amp;"-"&amp;MONTH(CurrentMtgRatesDataTable89[[#This Row],[asofdate]])</f>
        <v>2004-7</v>
      </c>
      <c r="AH137" s="6">
        <f>((CurrentMtgRatesDataTable89[[#This Row],[SeriesNumValue]]-$D$1)/$D$1+1)*100</f>
        <v>115.22182718629401</v>
      </c>
      <c r="AI137" s="6">
        <f>CurrentMtgRatesDataTable89[[#This Row],[Index]]-AH138</f>
        <v>-0.36867647624532651</v>
      </c>
      <c r="AJ137" s="6">
        <f>VLOOKUP(CurrentMtgRatesDataTable89[[#This Row],[asofdate]],G:H,2,0)</f>
        <v>80.928474194542702</v>
      </c>
      <c r="AK137" s="6">
        <f>VLOOKUP(CurrentMtgRatesDataTable89[[#This Row],[asofdate]],K:L,2,0)</f>
        <v>0.26657924381296499</v>
      </c>
      <c r="AL137" s="6">
        <f>VLOOKUP(CurrentMtgRatesDataTable89[[#This Row],[asofdate]],O:P,2,0)</f>
        <v>34.997883140806501</v>
      </c>
      <c r="AM137" s="6">
        <f>VLOOKUP(CurrentMtgRatesDataTable89[[#This Row],[asofdate]],S:T,2,0)</f>
        <v>1.9710786588140499E-2</v>
      </c>
      <c r="AN137" s="6">
        <f>VLOOKUP(CurrentMtgRatesDataTable89[[#This Row],[asofdate]],W:X,2,0)</f>
        <v>722.99550607406604</v>
      </c>
      <c r="AO137" s="6">
        <f>VLOOKUP(CurrentMtgRatesDataTable89[[#This Row],[asofdate]],AA:AB,2,0)</f>
        <v>0.32135696326174201</v>
      </c>
      <c r="AR137" s="7" t="s">
        <v>24</v>
      </c>
      <c r="AS137" s="10">
        <v>5.6079401787069001E-2</v>
      </c>
      <c r="AT137" s="36">
        <f>((CurrentMtgRatesDataTable8711[[#This Row],[SeriesNumValue]]-$D$1)/$D$1+1)*100</f>
        <v>373.86267858046</v>
      </c>
      <c r="AU137" s="36"/>
      <c r="AW137" s="7" t="s">
        <v>24</v>
      </c>
      <c r="AX137" s="10">
        <v>4.3190796110447502E-2</v>
      </c>
      <c r="AY137" s="36">
        <f>((CurrentMtgRatesDataTable871112[[#This Row],[SeriesNumValue]]-$D$1)/$D$1+1)*100</f>
        <v>287.9386407363167</v>
      </c>
      <c r="AZ137" s="36"/>
      <c r="BB137" s="7" t="s">
        <v>24</v>
      </c>
      <c r="BC137" s="10">
        <v>2.6757400763266801E-2</v>
      </c>
      <c r="BD137" s="39">
        <f>((CurrentMtgRatesDataTable87111213[[#This Row],[SeriesNumValue]]-$D$1)/$D$1+1)*100</f>
        <v>178.38267175511203</v>
      </c>
      <c r="BE137" s="39"/>
      <c r="BG137" s="7" t="s">
        <v>24</v>
      </c>
      <c r="BH137" s="10">
        <v>1.7042595501706601E-2</v>
      </c>
      <c r="BI137" s="39">
        <f>((CurrentMtgRatesDataTable8711121314[[#This Row],[SeriesNumValue]]-$D$1)/$D$1+1)*100</f>
        <v>113.61730334471068</v>
      </c>
      <c r="BJ137" s="39" t="str">
        <f>YEAR(CurrentMtgRatesDataTable8711121314[[#This Row],[asofdate]])&amp;"-"&amp;MONTH(CurrentMtgRatesDataTable8711121314[[#This Row],[asofdate]])</f>
        <v>2014-5</v>
      </c>
      <c r="BK137" s="39">
        <f>CurrentMtgRatesDataTable8711121314[[#This Row],[SeriesNumValue]]</f>
        <v>1.7042595501706601E-2</v>
      </c>
      <c r="BL137" s="39">
        <f>VLOOKUP(CurrentMtgRatesDataTable8711121314[[#This Row],[asofdate]],AR:AT,2,0)</f>
        <v>5.6079401787069001E-2</v>
      </c>
      <c r="BM137" s="35">
        <f>IF(VLOOKUP(CurrentMtgRatesDataTable8711121314[[#This Row],[asofdate]],AW:AY,2,0)&lt;&gt;0,VLOOKUP(CurrentMtgRatesDataTable8711121314[[#This Row],[asofdate]],AW:AY,2,0),BM136)</f>
        <v>4.3190796110447502E-2</v>
      </c>
      <c r="BN137" s="35">
        <f>VLOOKUP(CurrentMtgRatesDataTable8711121314[[#This Row],[asofdate]],BB:BD,2,0)</f>
        <v>2.6757400763266801E-2</v>
      </c>
      <c r="BO137" s="35">
        <f>CurrentMtgRatesDataTable8711121314[[#This Row],[FHA]]+0.5*CurrentMtgRatesDataTable8711121314[[#This Row],[Conventional]]</f>
        <v>6.4600699537922301E-2</v>
      </c>
      <c r="BP137" s="35">
        <f>2*CurrentMtgRatesDataTable8711121314[[#This Row],[FHA]]</f>
        <v>0.112158803574138</v>
      </c>
      <c r="BQ137" s="11">
        <f>VLOOKUP(YEAR(CurrentMtgRatesDataTable8711121314[[#This Row],[asofdate]]),OriginationVolume!$A:$N,8,FALSE)</f>
        <v>0.55517536355859709</v>
      </c>
      <c r="BR137" s="11">
        <f>VLOOKUP(YEAR(CurrentMtgRatesDataTable8711121314[[#This Row],[asofdate]]),OriginationVolume!$A:$N,9,FALSE)</f>
        <v>5.9238665526090674E-2</v>
      </c>
      <c r="BS137" s="11">
        <f>VLOOKUP(YEAR(CurrentMtgRatesDataTable8711121314[[#This Row],[asofdate]]),OriginationVolume!$A:$N,10,FALSE)</f>
        <v>0.17771599657827203</v>
      </c>
      <c r="BT137" s="11">
        <f>VLOOKUP(YEAR(CurrentMtgRatesDataTable8711121314[[#This Row],[asofdate]]),OriginationVolume!$A:$N,11,FALSE)</f>
        <v>0.20102651839178784</v>
      </c>
      <c r="BU137" s="11">
        <f>VLOOKUP(YEAR(CurrentMtgRatesDataTable8711121314[[#This Row],[asofdate]]),OriginationVolume!$A:$N,12,FALSE)</f>
        <v>3.4217279726261761E-3</v>
      </c>
      <c r="BV137" s="11">
        <f>VLOOKUP(YEAR(CurrentMtgRatesDataTable8711121314[[#This Row],[asofdate]]),OriginationVolume!$A:$N,13,FALSE)</f>
        <v>3.4217279726261761E-3</v>
      </c>
      <c r="BW137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2.601723762863041E-2</v>
      </c>
      <c r="BY137" s="7" t="s">
        <v>24</v>
      </c>
      <c r="BZ137" s="10">
        <v>7401653000</v>
      </c>
      <c r="CA137" s="36"/>
      <c r="CC137" s="7" t="s">
        <v>24</v>
      </c>
      <c r="CD137" s="10">
        <v>4375315000</v>
      </c>
      <c r="CE137" s="36"/>
      <c r="CG137" s="7" t="s">
        <v>24</v>
      </c>
      <c r="CH137" s="10">
        <v>31416513528.869999</v>
      </c>
      <c r="CI137" s="39"/>
      <c r="CK137" s="7" t="s">
        <v>24</v>
      </c>
      <c r="CL137" s="10">
        <v>19639545528.869999</v>
      </c>
      <c r="CM137" s="39" t="str">
        <f>YEAR(CurrentMtgRatesDataTable871112131417[[#This Row],[asofdate]])&amp;"-"&amp;MONTH(CurrentMtgRatesDataTable871112131417[[#This Row],[asofdate]])</f>
        <v>2014-5</v>
      </c>
      <c r="CN137" s="39">
        <f>CurrentMtgRatesDataTable871112131417[[#This Row],[SeriesNumValue]]</f>
        <v>19639545528.869999</v>
      </c>
      <c r="CO137" s="39">
        <f>VLOOKUP(CurrentMtgRatesDataTable871112131417[[#This Row],[asofdate]],BY:BZ,2,0)</f>
        <v>7401653000</v>
      </c>
      <c r="CP137" s="35">
        <f>IF(VLOOKUP(CurrentMtgRatesDataTable871112131417[[#This Row],[asofdate]],CC:CD,2,0)&lt;&gt;0,VLOOKUP(CurrentMtgRatesDataTable871112131417[[#This Row],[asofdate]],CC:CD,2,0),CP136)</f>
        <v>4375315000</v>
      </c>
      <c r="CQ137" s="35">
        <f>VLOOKUP(CurrentMtgRatesDataTable871112131417[[#This Row],[asofdate]],CG:CH,2,0)</f>
        <v>31416513528.869999</v>
      </c>
    </row>
    <row r="138" spans="1:95" s="8" customFormat="1" ht="12.75">
      <c r="A138" s="7" t="s">
        <v>152</v>
      </c>
      <c r="B138" s="10">
        <v>1.8082572305789399E-2</v>
      </c>
      <c r="C138" s="10" t="str">
        <f>YEAR(CurrentMtgRatesDataTable8[[#This Row],[asofdate]])&amp;"-"&amp;MONTH(CurrentMtgRatesDataTable8[[#This Row],[asofdate]])</f>
        <v>2014-6</v>
      </c>
      <c r="D138" s="6">
        <f>((CurrentMtgRatesDataTable8[[#This Row],[SeriesNumValue]]-$D$1)/$D$1+1)*100</f>
        <v>120.550482038596</v>
      </c>
      <c r="E138" s="6"/>
      <c r="G138" s="7" t="s">
        <v>152</v>
      </c>
      <c r="H138" s="10">
        <v>82.674402698184494</v>
      </c>
      <c r="I138" s="26">
        <f>VLOOKUP(CurrentMtgRatesDataTable82[[#This Row],[asofdate]],K:L,2,0)</f>
        <v>0.31529051664060898</v>
      </c>
      <c r="K138" s="7" t="s">
        <v>152</v>
      </c>
      <c r="L138" s="29">
        <v>0.31529051664060898</v>
      </c>
      <c r="O138" s="7" t="s">
        <v>152</v>
      </c>
      <c r="P138" s="10">
        <v>34.658856260085599</v>
      </c>
      <c r="Q138" s="29">
        <f>VLOOKUP(CurrentMtgRatesDataTable84[[#This Row],[asofdate]],S:T,2,0)</f>
        <v>0.298833133468625</v>
      </c>
      <c r="S138" s="7" t="s">
        <v>152</v>
      </c>
      <c r="T138" s="10">
        <v>0.298833133468625</v>
      </c>
      <c r="W138" s="7" t="s">
        <v>152</v>
      </c>
      <c r="X138" s="10">
        <v>751.34175746954998</v>
      </c>
      <c r="Y138" s="26">
        <f>VLOOKUP(CurrentMtgRatesDataTable86[[#This Row],[asofdate]],AA:AB,2,0)</f>
        <v>0.140406014613213</v>
      </c>
      <c r="AA138" s="7" t="s">
        <v>152</v>
      </c>
      <c r="AB138" s="10">
        <v>0.140406014613213</v>
      </c>
      <c r="AE138" s="7" t="s">
        <v>47</v>
      </c>
      <c r="AF138" s="10">
        <v>1.73385755493809E-2</v>
      </c>
      <c r="AG138" s="10" t="str">
        <f>YEAR(CurrentMtgRatesDataTable89[[#This Row],[asofdate]])&amp;"-"&amp;MONTH(CurrentMtgRatesDataTable89[[#This Row],[asofdate]])</f>
        <v>2004-6</v>
      </c>
      <c r="AH138" s="6">
        <f>((CurrentMtgRatesDataTable89[[#This Row],[SeriesNumValue]]-$D$1)/$D$1+1)*100</f>
        <v>115.59050366253933</v>
      </c>
      <c r="AI138" s="6">
        <f>CurrentMtgRatesDataTable89[[#This Row],[Index]]-AH139</f>
        <v>-26.203773071490673</v>
      </c>
      <c r="AJ138" s="6">
        <f>VLOOKUP(CurrentMtgRatesDataTable89[[#This Row],[asofdate]],G:H,2,0)</f>
        <v>80.961446646453098</v>
      </c>
      <c r="AK138" s="6">
        <f>VLOOKUP(CurrentMtgRatesDataTable89[[#This Row],[asofdate]],K:L,2,0)</f>
        <v>0.25982658462066799</v>
      </c>
      <c r="AL138" s="6">
        <f>VLOOKUP(CurrentMtgRatesDataTable89[[#This Row],[asofdate]],O:P,2,0)</f>
        <v>35.515935884053597</v>
      </c>
      <c r="AM138" s="6">
        <f>VLOOKUP(CurrentMtgRatesDataTable89[[#This Row],[asofdate]],S:T,2,0)</f>
        <v>1.8930552643063699E-2</v>
      </c>
      <c r="AN138" s="6">
        <f>VLOOKUP(CurrentMtgRatesDataTable89[[#This Row],[asofdate]],W:X,2,0)</f>
        <v>724.09334327372198</v>
      </c>
      <c r="AO138" s="6">
        <f>VLOOKUP(CurrentMtgRatesDataTable89[[#This Row],[asofdate]],AA:AB,2,0)</f>
        <v>0.31186678823312403</v>
      </c>
      <c r="AR138" s="7" t="s">
        <v>152</v>
      </c>
      <c r="AS138" s="10">
        <v>5.7150634619079502E-2</v>
      </c>
      <c r="AT138" s="36">
        <f>((CurrentMtgRatesDataTable8711[[#This Row],[SeriesNumValue]]-$D$1)/$D$1+1)*100</f>
        <v>381.00423079386331</v>
      </c>
      <c r="AU138" s="36"/>
      <c r="AW138" s="7" t="s">
        <v>152</v>
      </c>
      <c r="AX138" s="10">
        <v>4.3374642953449401E-2</v>
      </c>
      <c r="AY138" s="36">
        <f>((CurrentMtgRatesDataTable871112[[#This Row],[SeriesNumValue]]-$D$1)/$D$1+1)*100</f>
        <v>289.1642863563294</v>
      </c>
      <c r="AZ138" s="36"/>
      <c r="BB138" s="7" t="s">
        <v>152</v>
      </c>
      <c r="BC138" s="10">
        <v>2.7414493556132999E-2</v>
      </c>
      <c r="BD138" s="39">
        <f>((CurrentMtgRatesDataTable87111213[[#This Row],[SeriesNumValue]]-$D$1)/$D$1+1)*100</f>
        <v>182.76329037422002</v>
      </c>
      <c r="BE138" s="39"/>
      <c r="BG138" s="7" t="s">
        <v>152</v>
      </c>
      <c r="BH138" s="10">
        <v>1.7496590906512201E-2</v>
      </c>
      <c r="BI138" s="39">
        <f>((CurrentMtgRatesDataTable8711121314[[#This Row],[SeriesNumValue]]-$D$1)/$D$1+1)*100</f>
        <v>116.64393937674802</v>
      </c>
      <c r="BJ138" s="39" t="str">
        <f>YEAR(CurrentMtgRatesDataTable8711121314[[#This Row],[asofdate]])&amp;"-"&amp;MONTH(CurrentMtgRatesDataTable8711121314[[#This Row],[asofdate]])</f>
        <v>2014-6</v>
      </c>
      <c r="BK138" s="39">
        <f>CurrentMtgRatesDataTable8711121314[[#This Row],[SeriesNumValue]]</f>
        <v>1.7496590906512201E-2</v>
      </c>
      <c r="BL138" s="39">
        <f>VLOOKUP(CurrentMtgRatesDataTable8711121314[[#This Row],[asofdate]],AR:AT,2,0)</f>
        <v>5.7150634619079502E-2</v>
      </c>
      <c r="BM138" s="35">
        <f>IF(VLOOKUP(CurrentMtgRatesDataTable8711121314[[#This Row],[asofdate]],AW:AY,2,0)&lt;&gt;0,VLOOKUP(CurrentMtgRatesDataTable8711121314[[#This Row],[asofdate]],AW:AY,2,0),BM137)</f>
        <v>4.3374642953449401E-2</v>
      </c>
      <c r="BN138" s="35">
        <f>VLOOKUP(CurrentMtgRatesDataTable8711121314[[#This Row],[asofdate]],BB:BD,2,0)</f>
        <v>2.7414493556132999E-2</v>
      </c>
      <c r="BO138" s="35">
        <f>CurrentMtgRatesDataTable8711121314[[#This Row],[FHA]]+0.5*CurrentMtgRatesDataTable8711121314[[#This Row],[Conventional]]</f>
        <v>6.5898930072335604E-2</v>
      </c>
      <c r="BP138" s="35">
        <f>2*CurrentMtgRatesDataTable8711121314[[#This Row],[FHA]]</f>
        <v>0.114301269238159</v>
      </c>
      <c r="BQ138" s="11">
        <f>VLOOKUP(YEAR(CurrentMtgRatesDataTable8711121314[[#This Row],[asofdate]]),OriginationVolume!$A:$N,8,FALSE)</f>
        <v>0.55517536355859709</v>
      </c>
      <c r="BR138" s="11">
        <f>VLOOKUP(YEAR(CurrentMtgRatesDataTable8711121314[[#This Row],[asofdate]]),OriginationVolume!$A:$N,9,FALSE)</f>
        <v>5.9238665526090674E-2</v>
      </c>
      <c r="BS138" s="11">
        <f>VLOOKUP(YEAR(CurrentMtgRatesDataTable8711121314[[#This Row],[asofdate]]),OriginationVolume!$A:$N,10,FALSE)</f>
        <v>0.17771599657827203</v>
      </c>
      <c r="BT138" s="11">
        <f>VLOOKUP(YEAR(CurrentMtgRatesDataTable8711121314[[#This Row],[asofdate]]),OriginationVolume!$A:$N,11,FALSE)</f>
        <v>0.20102651839178784</v>
      </c>
      <c r="BU138" s="11">
        <f>VLOOKUP(YEAR(CurrentMtgRatesDataTable8711121314[[#This Row],[asofdate]]),OriginationVolume!$A:$N,12,FALSE)</f>
        <v>3.4217279726261761E-3</v>
      </c>
      <c r="BV138" s="11">
        <f>VLOOKUP(YEAR(CurrentMtgRatesDataTable8711121314[[#This Row],[asofdate]]),OriginationVolume!$A:$N,13,FALSE)</f>
        <v>3.4217279726261761E-3</v>
      </c>
      <c r="BW138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2.6573588986517453E-2</v>
      </c>
      <c r="BY138" s="7" t="s">
        <v>152</v>
      </c>
      <c r="BZ138" s="10">
        <v>8406591000</v>
      </c>
      <c r="CA138" s="36"/>
      <c r="CC138" s="7" t="s">
        <v>152</v>
      </c>
      <c r="CD138" s="10">
        <v>4827460000</v>
      </c>
      <c r="CE138" s="36"/>
      <c r="CG138" s="7" t="s">
        <v>152</v>
      </c>
      <c r="CH138" s="10">
        <v>35087895001.290001</v>
      </c>
      <c r="CI138" s="39"/>
      <c r="CK138" s="7" t="s">
        <v>152</v>
      </c>
      <c r="CL138" s="10">
        <v>21853844001.290001</v>
      </c>
      <c r="CM138" s="39" t="str">
        <f>YEAR(CurrentMtgRatesDataTable871112131417[[#This Row],[asofdate]])&amp;"-"&amp;MONTH(CurrentMtgRatesDataTable871112131417[[#This Row],[asofdate]])</f>
        <v>2014-6</v>
      </c>
      <c r="CN138" s="39">
        <f>CurrentMtgRatesDataTable871112131417[[#This Row],[SeriesNumValue]]</f>
        <v>21853844001.290001</v>
      </c>
      <c r="CO138" s="39">
        <f>VLOOKUP(CurrentMtgRatesDataTable871112131417[[#This Row],[asofdate]],BY:BZ,2,0)</f>
        <v>8406591000</v>
      </c>
      <c r="CP138" s="35">
        <f>IF(VLOOKUP(CurrentMtgRatesDataTable871112131417[[#This Row],[asofdate]],CC:CD,2,0)&lt;&gt;0,VLOOKUP(CurrentMtgRatesDataTable871112131417[[#This Row],[asofdate]],CC:CD,2,0),CP137)</f>
        <v>4827460000</v>
      </c>
      <c r="CQ138" s="35">
        <f>VLOOKUP(CurrentMtgRatesDataTable871112131417[[#This Row],[asofdate]],CG:CH,2,0)</f>
        <v>35087895001.290001</v>
      </c>
    </row>
    <row r="139" spans="1:95" s="8" customFormat="1" ht="12.75">
      <c r="A139" s="7" t="s">
        <v>13</v>
      </c>
      <c r="B139" s="10">
        <v>1.85862565826246E-2</v>
      </c>
      <c r="C139" s="10" t="str">
        <f>YEAR(CurrentMtgRatesDataTable8[[#This Row],[asofdate]])&amp;"-"&amp;MONTH(CurrentMtgRatesDataTable8[[#This Row],[asofdate]])</f>
        <v>2014-7</v>
      </c>
      <c r="D139" s="6">
        <f>((CurrentMtgRatesDataTable8[[#This Row],[SeriesNumValue]]-$D$1)/$D$1+1)*100</f>
        <v>123.90837721749735</v>
      </c>
      <c r="E139" s="6"/>
      <c r="G139" s="7" t="s">
        <v>13</v>
      </c>
      <c r="H139" s="10">
        <v>82.820685947159305</v>
      </c>
      <c r="I139" s="26">
        <f>VLOOKUP(CurrentMtgRatesDataTable82[[#This Row],[asofdate]],K:L,2,0)</f>
        <v>0.318890965784143</v>
      </c>
      <c r="K139" s="7" t="s">
        <v>13</v>
      </c>
      <c r="L139" s="29">
        <v>0.318890965784143</v>
      </c>
      <c r="O139" s="7" t="s">
        <v>13</v>
      </c>
      <c r="P139" s="10">
        <v>34.4686582543032</v>
      </c>
      <c r="Q139" s="29">
        <f>VLOOKUP(CurrentMtgRatesDataTable84[[#This Row],[asofdate]],S:T,2,0)</f>
        <v>0.29227305708170098</v>
      </c>
      <c r="S139" s="7" t="s">
        <v>13</v>
      </c>
      <c r="T139" s="10">
        <v>0.29227305708170098</v>
      </c>
      <c r="W139" s="7" t="s">
        <v>13</v>
      </c>
      <c r="X139" s="10">
        <v>751.34370293627205</v>
      </c>
      <c r="Y139" s="26">
        <f>VLOOKUP(CurrentMtgRatesDataTable86[[#This Row],[asofdate]],AA:AB,2,0)</f>
        <v>0.14279391661367599</v>
      </c>
      <c r="AA139" s="7" t="s">
        <v>13</v>
      </c>
      <c r="AB139" s="10">
        <v>0.14279391661367599</v>
      </c>
      <c r="AE139" s="7" t="s">
        <v>46</v>
      </c>
      <c r="AF139" s="10">
        <v>2.1269141510104499E-2</v>
      </c>
      <c r="AG139" s="10" t="str">
        <f>YEAR(CurrentMtgRatesDataTable89[[#This Row],[asofdate]])&amp;"-"&amp;MONTH(CurrentMtgRatesDataTable89[[#This Row],[asofdate]])</f>
        <v>2004-5</v>
      </c>
      <c r="AH139" s="6">
        <f>((CurrentMtgRatesDataTable89[[#This Row],[SeriesNumValue]]-$D$1)/$D$1+1)*100</f>
        <v>141.79427673403001</v>
      </c>
      <c r="AI139" s="6">
        <f>CurrentMtgRatesDataTable89[[#This Row],[Index]]-AH140</f>
        <v>-2.5422019632153479</v>
      </c>
      <c r="AJ139" s="6">
        <f>VLOOKUP(CurrentMtgRatesDataTable89[[#This Row],[asofdate]],G:H,2,0)</f>
        <v>81.176434819561706</v>
      </c>
      <c r="AK139" s="6">
        <f>VLOOKUP(CurrentMtgRatesDataTable89[[#This Row],[asofdate]],K:L,2,0)</f>
        <v>0.27051249930375898</v>
      </c>
      <c r="AL139" s="6">
        <f>VLOOKUP(CurrentMtgRatesDataTable89[[#This Row],[asofdate]],O:P,2,0)</f>
        <v>35.983860754805796</v>
      </c>
      <c r="AM139" s="6">
        <f>VLOOKUP(CurrentMtgRatesDataTable89[[#This Row],[asofdate]],S:T,2,0)</f>
        <v>2.0473067086164198E-2</v>
      </c>
      <c r="AN139" s="6">
        <f>VLOOKUP(CurrentMtgRatesDataTable89[[#This Row],[asofdate]],W:X,2,0)</f>
        <v>723.07301547125496</v>
      </c>
      <c r="AO139" s="6">
        <f>VLOOKUP(CurrentMtgRatesDataTable89[[#This Row],[asofdate]],AA:AB,2,0)</f>
        <v>0.31650083814304297</v>
      </c>
      <c r="AR139" s="7" t="s">
        <v>13</v>
      </c>
      <c r="AS139" s="10">
        <v>6.0279482404130599E-2</v>
      </c>
      <c r="AT139" s="36">
        <f>((CurrentMtgRatesDataTable8711[[#This Row],[SeriesNumValue]]-$D$1)/$D$1+1)*100</f>
        <v>401.86321602753736</v>
      </c>
      <c r="AU139" s="36"/>
      <c r="AW139" s="7" t="s">
        <v>13</v>
      </c>
      <c r="AX139" s="10">
        <v>4.57339776962047E-2</v>
      </c>
      <c r="AY139" s="36">
        <f>((CurrentMtgRatesDataTable871112[[#This Row],[SeriesNumValue]]-$D$1)/$D$1+1)*100</f>
        <v>304.89318464136466</v>
      </c>
      <c r="AZ139" s="36"/>
      <c r="BB139" s="7" t="s">
        <v>13</v>
      </c>
      <c r="BC139" s="10">
        <v>2.86164559652493E-2</v>
      </c>
      <c r="BD139" s="39">
        <f>((CurrentMtgRatesDataTable87111213[[#This Row],[SeriesNumValue]]-$D$1)/$D$1+1)*100</f>
        <v>190.77637310166199</v>
      </c>
      <c r="BE139" s="39"/>
      <c r="BG139" s="7" t="s">
        <v>13</v>
      </c>
      <c r="BH139" s="10">
        <v>1.84803007349175E-2</v>
      </c>
      <c r="BI139" s="39">
        <f>((CurrentMtgRatesDataTable8711121314[[#This Row],[SeriesNumValue]]-$D$1)/$D$1+1)*100</f>
        <v>123.20200489945002</v>
      </c>
      <c r="BJ139" s="39" t="str">
        <f>YEAR(CurrentMtgRatesDataTable8711121314[[#This Row],[asofdate]])&amp;"-"&amp;MONTH(CurrentMtgRatesDataTable8711121314[[#This Row],[asofdate]])</f>
        <v>2014-7</v>
      </c>
      <c r="BK139" s="39">
        <f>CurrentMtgRatesDataTable8711121314[[#This Row],[SeriesNumValue]]</f>
        <v>1.84803007349175E-2</v>
      </c>
      <c r="BL139" s="39">
        <f>VLOOKUP(CurrentMtgRatesDataTable8711121314[[#This Row],[asofdate]],AR:AT,2,0)</f>
        <v>6.0279482404130599E-2</v>
      </c>
      <c r="BM139" s="35">
        <f>IF(VLOOKUP(CurrentMtgRatesDataTable8711121314[[#This Row],[asofdate]],AW:AY,2,0)&lt;&gt;0,VLOOKUP(CurrentMtgRatesDataTable8711121314[[#This Row],[asofdate]],AW:AY,2,0),BM138)</f>
        <v>4.57339776962047E-2</v>
      </c>
      <c r="BN139" s="35">
        <f>VLOOKUP(CurrentMtgRatesDataTable8711121314[[#This Row],[asofdate]],BB:BD,2,0)</f>
        <v>2.86164559652493E-2</v>
      </c>
      <c r="BO139" s="35">
        <f>CurrentMtgRatesDataTable8711121314[[#This Row],[FHA]]+0.5*CurrentMtgRatesDataTable8711121314[[#This Row],[Conventional]]</f>
        <v>6.9519632771589346E-2</v>
      </c>
      <c r="BP139" s="35">
        <f>2*CurrentMtgRatesDataTable8711121314[[#This Row],[FHA]]</f>
        <v>0.1205589648082612</v>
      </c>
      <c r="BQ139" s="11">
        <f>VLOOKUP(YEAR(CurrentMtgRatesDataTable8711121314[[#This Row],[asofdate]]),OriginationVolume!$A:$N,8,FALSE)</f>
        <v>0.55517536355859709</v>
      </c>
      <c r="BR139" s="11">
        <f>VLOOKUP(YEAR(CurrentMtgRatesDataTable8711121314[[#This Row],[asofdate]]),OriginationVolume!$A:$N,9,FALSE)</f>
        <v>5.9238665526090674E-2</v>
      </c>
      <c r="BS139" s="11">
        <f>VLOOKUP(YEAR(CurrentMtgRatesDataTable8711121314[[#This Row],[asofdate]]),OriginationVolume!$A:$N,10,FALSE)</f>
        <v>0.17771599657827203</v>
      </c>
      <c r="BT139" s="11">
        <f>VLOOKUP(YEAR(CurrentMtgRatesDataTable8711121314[[#This Row],[asofdate]]),OriginationVolume!$A:$N,11,FALSE)</f>
        <v>0.20102651839178784</v>
      </c>
      <c r="BU139" s="11">
        <f>VLOOKUP(YEAR(CurrentMtgRatesDataTable8711121314[[#This Row],[asofdate]]),OriginationVolume!$A:$N,12,FALSE)</f>
        <v>3.4217279726261761E-3</v>
      </c>
      <c r="BV139" s="11">
        <f>VLOOKUP(YEAR(CurrentMtgRatesDataTable8711121314[[#This Row],[asofdate]]),OriginationVolume!$A:$N,13,FALSE)</f>
        <v>3.4217279726261761E-3</v>
      </c>
      <c r="BW139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2.8047083545685865E-2</v>
      </c>
      <c r="BY139" s="7" t="s">
        <v>13</v>
      </c>
      <c r="BZ139" s="10">
        <v>9332118000</v>
      </c>
      <c r="CA139" s="36"/>
      <c r="CC139" s="7" t="s">
        <v>13</v>
      </c>
      <c r="CD139" s="10">
        <v>5686986000</v>
      </c>
      <c r="CE139" s="36"/>
      <c r="CG139" s="7" t="s">
        <v>13</v>
      </c>
      <c r="CH139" s="10">
        <v>40789409119.690002</v>
      </c>
      <c r="CI139" s="39"/>
      <c r="CK139" s="7" t="s">
        <v>13</v>
      </c>
      <c r="CL139" s="10">
        <v>25770305119.689999</v>
      </c>
      <c r="CM139" s="39" t="str">
        <f>YEAR(CurrentMtgRatesDataTable871112131417[[#This Row],[asofdate]])&amp;"-"&amp;MONTH(CurrentMtgRatesDataTable871112131417[[#This Row],[asofdate]])</f>
        <v>2014-7</v>
      </c>
      <c r="CN139" s="39">
        <f>CurrentMtgRatesDataTable871112131417[[#This Row],[SeriesNumValue]]</f>
        <v>25770305119.689999</v>
      </c>
      <c r="CO139" s="39">
        <f>VLOOKUP(CurrentMtgRatesDataTable871112131417[[#This Row],[asofdate]],BY:BZ,2,0)</f>
        <v>9332118000</v>
      </c>
      <c r="CP139" s="35">
        <f>IF(VLOOKUP(CurrentMtgRatesDataTable871112131417[[#This Row],[asofdate]],CC:CD,2,0)&lt;&gt;0,VLOOKUP(CurrentMtgRatesDataTable871112131417[[#This Row],[asofdate]],CC:CD,2,0),CP138)</f>
        <v>5686986000</v>
      </c>
      <c r="CQ139" s="35">
        <f>VLOOKUP(CurrentMtgRatesDataTable871112131417[[#This Row],[asofdate]],CG:CH,2,0)</f>
        <v>40789409119.690002</v>
      </c>
    </row>
    <row r="140" spans="1:95" s="8" customFormat="1" ht="12.75">
      <c r="A140" s="7" t="s">
        <v>21</v>
      </c>
      <c r="B140" s="10">
        <v>1.78251707128806E-2</v>
      </c>
      <c r="C140" s="10" t="str">
        <f>YEAR(CurrentMtgRatesDataTable8[[#This Row],[asofdate]])&amp;"-"&amp;MONTH(CurrentMtgRatesDataTable8[[#This Row],[asofdate]])</f>
        <v>2014-8</v>
      </c>
      <c r="D140" s="6">
        <f>((CurrentMtgRatesDataTable8[[#This Row],[SeriesNumValue]]-$D$1)/$D$1+1)*100</f>
        <v>118.83447141920401</v>
      </c>
      <c r="E140" s="6"/>
      <c r="G140" s="7" t="s">
        <v>21</v>
      </c>
      <c r="H140" s="10">
        <v>82.756707604475196</v>
      </c>
      <c r="I140" s="26">
        <f>VLOOKUP(CurrentMtgRatesDataTable82[[#This Row],[asofdate]],K:L,2,0)</f>
        <v>0.31712089095884999</v>
      </c>
      <c r="K140" s="7" t="s">
        <v>21</v>
      </c>
      <c r="L140" s="29">
        <v>0.31712089095884999</v>
      </c>
      <c r="O140" s="7" t="s">
        <v>21</v>
      </c>
      <c r="P140" s="10">
        <v>34.322739398973098</v>
      </c>
      <c r="Q140" s="29">
        <f>VLOOKUP(CurrentMtgRatesDataTable84[[#This Row],[asofdate]],S:T,2,0)</f>
        <v>0.28910327833000299</v>
      </c>
      <c r="S140" s="7" t="s">
        <v>21</v>
      </c>
      <c r="T140" s="10">
        <v>0.28910327833000299</v>
      </c>
      <c r="W140" s="7" t="s">
        <v>21</v>
      </c>
      <c r="X140" s="10">
        <v>751.498973209101</v>
      </c>
      <c r="Y140" s="26">
        <f>VLOOKUP(CurrentMtgRatesDataTable86[[#This Row],[asofdate]],AA:AB,2,0)</f>
        <v>0.14209050325703601</v>
      </c>
      <c r="AA140" s="7" t="s">
        <v>21</v>
      </c>
      <c r="AB140" s="10">
        <v>0.14209050325703601</v>
      </c>
      <c r="AE140" s="7" t="s">
        <v>45</v>
      </c>
      <c r="AF140" s="10">
        <v>2.1650471804586801E-2</v>
      </c>
      <c r="AG140" s="10" t="str">
        <f>YEAR(CurrentMtgRatesDataTable89[[#This Row],[asofdate]])&amp;"-"&amp;MONTH(CurrentMtgRatesDataTable89[[#This Row],[asofdate]])</f>
        <v>2004-4</v>
      </c>
      <c r="AH140" s="6">
        <f>((CurrentMtgRatesDataTable89[[#This Row],[SeriesNumValue]]-$D$1)/$D$1+1)*100</f>
        <v>144.33647869724535</v>
      </c>
      <c r="AI140" s="6">
        <f>CurrentMtgRatesDataTable89[[#This Row],[Index]]-AH141</f>
        <v>5.2423705586766971</v>
      </c>
      <c r="AJ140" s="6">
        <f>VLOOKUP(CurrentMtgRatesDataTable89[[#This Row],[asofdate]],G:H,2,0)</f>
        <v>81.281712793482995</v>
      </c>
      <c r="AK140" s="6">
        <f>VLOOKUP(CurrentMtgRatesDataTable89[[#This Row],[asofdate]],K:L,2,0)</f>
        <v>0.27539401933822999</v>
      </c>
      <c r="AL140" s="6">
        <f>VLOOKUP(CurrentMtgRatesDataTable89[[#This Row],[asofdate]],O:P,2,0)</f>
        <v>35.641148466163102</v>
      </c>
      <c r="AM140" s="6">
        <f>VLOOKUP(CurrentMtgRatesDataTable89[[#This Row],[asofdate]],S:T,2,0)</f>
        <v>2.1383212133889301E-2</v>
      </c>
      <c r="AN140" s="6">
        <f>VLOOKUP(CurrentMtgRatesDataTable89[[#This Row],[asofdate]],W:X,2,0)</f>
        <v>721.56682125767895</v>
      </c>
      <c r="AO140" s="6">
        <f>VLOOKUP(CurrentMtgRatesDataTable89[[#This Row],[asofdate]],AA:AB,2,0)</f>
        <v>0.32412171144143798</v>
      </c>
      <c r="AR140" s="7" t="s">
        <v>21</v>
      </c>
      <c r="AS140" s="10">
        <v>5.9039886698822097E-2</v>
      </c>
      <c r="AT140" s="36">
        <f>((CurrentMtgRatesDataTable8711[[#This Row],[SeriesNumValue]]-$D$1)/$D$1+1)*100</f>
        <v>393.59924465881397</v>
      </c>
      <c r="AU140" s="36"/>
      <c r="AW140" s="7" t="s">
        <v>21</v>
      </c>
      <c r="AX140" s="10">
        <v>4.34006018726504E-2</v>
      </c>
      <c r="AY140" s="36">
        <f>((CurrentMtgRatesDataTable871112[[#This Row],[SeriesNumValue]]-$D$1)/$D$1+1)*100</f>
        <v>289.33734581766936</v>
      </c>
      <c r="AZ140" s="36"/>
      <c r="BB140" s="7" t="s">
        <v>21</v>
      </c>
      <c r="BC140" s="10">
        <v>2.7045210237171501E-2</v>
      </c>
      <c r="BD140" s="39">
        <f>((CurrentMtgRatesDataTable87111213[[#This Row],[SeriesNumValue]]-$D$1)/$D$1+1)*100</f>
        <v>180.30140158114335</v>
      </c>
      <c r="BE140" s="39"/>
      <c r="BG140" s="7" t="s">
        <v>21</v>
      </c>
      <c r="BH140" s="10">
        <v>1.7708516972218001E-2</v>
      </c>
      <c r="BI140" s="39">
        <f>((CurrentMtgRatesDataTable8711121314[[#This Row],[SeriesNumValue]]-$D$1)/$D$1+1)*100</f>
        <v>118.05677981478668</v>
      </c>
      <c r="BJ140" s="39" t="str">
        <f>YEAR(CurrentMtgRatesDataTable8711121314[[#This Row],[asofdate]])&amp;"-"&amp;MONTH(CurrentMtgRatesDataTable8711121314[[#This Row],[asofdate]])</f>
        <v>2014-8</v>
      </c>
      <c r="BK140" s="39">
        <f>CurrentMtgRatesDataTable8711121314[[#This Row],[SeriesNumValue]]</f>
        <v>1.7708516972218001E-2</v>
      </c>
      <c r="BL140" s="39">
        <f>VLOOKUP(CurrentMtgRatesDataTable8711121314[[#This Row],[asofdate]],AR:AT,2,0)</f>
        <v>5.9039886698822097E-2</v>
      </c>
      <c r="BM140" s="35">
        <f>IF(VLOOKUP(CurrentMtgRatesDataTable8711121314[[#This Row],[asofdate]],AW:AY,2,0)&lt;&gt;0,VLOOKUP(CurrentMtgRatesDataTable8711121314[[#This Row],[asofdate]],AW:AY,2,0),BM139)</f>
        <v>4.34006018726504E-2</v>
      </c>
      <c r="BN140" s="35">
        <f>VLOOKUP(CurrentMtgRatesDataTable8711121314[[#This Row],[asofdate]],BB:BD,2,0)</f>
        <v>2.7045210237171501E-2</v>
      </c>
      <c r="BO140" s="35">
        <f>CurrentMtgRatesDataTable8711121314[[#This Row],[FHA]]+0.5*CurrentMtgRatesDataTable8711121314[[#This Row],[Conventional]]</f>
        <v>6.7894145184931101E-2</v>
      </c>
      <c r="BP140" s="35">
        <f>2*CurrentMtgRatesDataTable8711121314[[#This Row],[FHA]]</f>
        <v>0.11807977339764419</v>
      </c>
      <c r="BQ140" s="11">
        <f>VLOOKUP(YEAR(CurrentMtgRatesDataTable8711121314[[#This Row],[asofdate]]),OriginationVolume!$A:$N,8,FALSE)</f>
        <v>0.55517536355859709</v>
      </c>
      <c r="BR140" s="11">
        <f>VLOOKUP(YEAR(CurrentMtgRatesDataTable8711121314[[#This Row],[asofdate]]),OriginationVolume!$A:$N,9,FALSE)</f>
        <v>5.9238665526090674E-2</v>
      </c>
      <c r="BS140" s="11">
        <f>VLOOKUP(YEAR(CurrentMtgRatesDataTable8711121314[[#This Row],[asofdate]]),OriginationVolume!$A:$N,10,FALSE)</f>
        <v>0.17771599657827203</v>
      </c>
      <c r="BT140" s="11">
        <f>VLOOKUP(YEAR(CurrentMtgRatesDataTable8711121314[[#This Row],[asofdate]]),OriginationVolume!$A:$N,11,FALSE)</f>
        <v>0.20102651839178784</v>
      </c>
      <c r="BU140" s="11">
        <f>VLOOKUP(YEAR(CurrentMtgRatesDataTable8711121314[[#This Row],[asofdate]]),OriginationVolume!$A:$N,12,FALSE)</f>
        <v>3.4217279726261761E-3</v>
      </c>
      <c r="BV140" s="11">
        <f>VLOOKUP(YEAR(CurrentMtgRatesDataTable8711121314[[#This Row],[asofdate]]),OriginationVolume!$A:$N,13,FALSE)</f>
        <v>3.4217279726261761E-3</v>
      </c>
      <c r="BW140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2.709089206084888E-2</v>
      </c>
      <c r="BY140" s="7" t="s">
        <v>21</v>
      </c>
      <c r="BZ140" s="10">
        <v>9988061000</v>
      </c>
      <c r="CA140" s="36"/>
      <c r="CC140" s="7" t="s">
        <v>21</v>
      </c>
      <c r="CD140" s="10">
        <v>6417534000</v>
      </c>
      <c r="CE140" s="36"/>
      <c r="CG140" s="7" t="s">
        <v>21</v>
      </c>
      <c r="CH140" s="10">
        <v>46031403352.970001</v>
      </c>
      <c r="CI140" s="39"/>
      <c r="CK140" s="7" t="s">
        <v>21</v>
      </c>
      <c r="CL140" s="10">
        <v>29625808352.970001</v>
      </c>
      <c r="CM140" s="39" t="str">
        <f>YEAR(CurrentMtgRatesDataTable871112131417[[#This Row],[asofdate]])&amp;"-"&amp;MONTH(CurrentMtgRatesDataTable871112131417[[#This Row],[asofdate]])</f>
        <v>2014-8</v>
      </c>
      <c r="CN140" s="39">
        <f>CurrentMtgRatesDataTable871112131417[[#This Row],[SeriesNumValue]]</f>
        <v>29625808352.970001</v>
      </c>
      <c r="CO140" s="39">
        <f>VLOOKUP(CurrentMtgRatesDataTable871112131417[[#This Row],[asofdate]],BY:BZ,2,0)</f>
        <v>9988061000</v>
      </c>
      <c r="CP140" s="35">
        <f>IF(VLOOKUP(CurrentMtgRatesDataTable871112131417[[#This Row],[asofdate]],CC:CD,2,0)&lt;&gt;0,VLOOKUP(CurrentMtgRatesDataTable871112131417[[#This Row],[asofdate]],CC:CD,2,0),CP139)</f>
        <v>6417534000</v>
      </c>
      <c r="CQ140" s="35">
        <f>VLOOKUP(CurrentMtgRatesDataTable871112131417[[#This Row],[asofdate]],CG:CH,2,0)</f>
        <v>46031403352.970001</v>
      </c>
    </row>
    <row r="141" spans="1:95" s="8" customFormat="1" ht="12.75">
      <c r="A141" s="7" t="s">
        <v>153</v>
      </c>
      <c r="B141" s="10">
        <v>1.7808186457583499E-2</v>
      </c>
      <c r="C141" s="10" t="str">
        <f>YEAR(CurrentMtgRatesDataTable8[[#This Row],[asofdate]])&amp;"-"&amp;MONTH(CurrentMtgRatesDataTable8[[#This Row],[asofdate]])</f>
        <v>2014-9</v>
      </c>
      <c r="D141" s="6">
        <f>((CurrentMtgRatesDataTable8[[#This Row],[SeriesNumValue]]-$D$1)/$D$1+1)*100</f>
        <v>118.72124305055667</v>
      </c>
      <c r="E141" s="6"/>
      <c r="G141" s="7" t="s">
        <v>153</v>
      </c>
      <c r="H141" s="10">
        <v>82.692210236918498</v>
      </c>
      <c r="I141" s="26">
        <f>VLOOKUP(CurrentMtgRatesDataTable82[[#This Row],[asofdate]],K:L,2,0)</f>
        <v>0.31232376366550701</v>
      </c>
      <c r="K141" s="7" t="s">
        <v>153</v>
      </c>
      <c r="L141" s="29">
        <v>0.31232376366550701</v>
      </c>
      <c r="O141" s="7" t="s">
        <v>153</v>
      </c>
      <c r="P141" s="10">
        <v>34.444270971612397</v>
      </c>
      <c r="Q141" s="29">
        <f>VLOOKUP(CurrentMtgRatesDataTable84[[#This Row],[asofdate]],S:T,2,0)</f>
        <v>0.29253583430136998</v>
      </c>
      <c r="S141" s="7" t="s">
        <v>153</v>
      </c>
      <c r="T141" s="10">
        <v>0.29253583430136998</v>
      </c>
      <c r="W141" s="7" t="s">
        <v>153</v>
      </c>
      <c r="X141" s="10">
        <v>750.91192928423595</v>
      </c>
      <c r="Y141" s="26">
        <f>VLOOKUP(CurrentMtgRatesDataTable86[[#This Row],[asofdate]],AA:AB,2,0)</f>
        <v>0.14664067232707501</v>
      </c>
      <c r="AA141" s="7" t="s">
        <v>153</v>
      </c>
      <c r="AB141" s="10">
        <v>0.14664067232707501</v>
      </c>
      <c r="AE141" s="7" t="s">
        <v>44</v>
      </c>
      <c r="AF141" s="10">
        <v>2.0864116220785298E-2</v>
      </c>
      <c r="AG141" s="10" t="str">
        <f>YEAR(CurrentMtgRatesDataTable89[[#This Row],[asofdate]])&amp;"-"&amp;MONTH(CurrentMtgRatesDataTable89[[#This Row],[asofdate]])</f>
        <v>2004-3</v>
      </c>
      <c r="AH141" s="6">
        <f>((CurrentMtgRatesDataTable89[[#This Row],[SeriesNumValue]]-$D$1)/$D$1+1)*100</f>
        <v>139.09410813856866</v>
      </c>
      <c r="AI141" s="6">
        <f>CurrentMtgRatesDataTable89[[#This Row],[Index]]-AH142</f>
        <v>0.9470668245772913</v>
      </c>
      <c r="AJ141" s="6">
        <f>VLOOKUP(CurrentMtgRatesDataTable89[[#This Row],[asofdate]],G:H,2,0)</f>
        <v>80.826462677668502</v>
      </c>
      <c r="AK141" s="6">
        <f>VLOOKUP(CurrentMtgRatesDataTable89[[#This Row],[asofdate]],K:L,2,0)</f>
        <v>0.26366024772207802</v>
      </c>
      <c r="AL141" s="6">
        <f>VLOOKUP(CurrentMtgRatesDataTable89[[#This Row],[asofdate]],O:P,2,0)</f>
        <v>33.128991607908802</v>
      </c>
      <c r="AM141" s="6">
        <f>VLOOKUP(CurrentMtgRatesDataTable89[[#This Row],[asofdate]],S:T,2,0)</f>
        <v>2.4328764311436001E-2</v>
      </c>
      <c r="AN141" s="6">
        <f>VLOOKUP(CurrentMtgRatesDataTable89[[#This Row],[asofdate]],W:X,2,0)</f>
        <v>722.9204500907</v>
      </c>
      <c r="AO141" s="6">
        <f>VLOOKUP(CurrentMtgRatesDataTable89[[#This Row],[asofdate]],AA:AB,2,0)</f>
        <v>0.32020990049907999</v>
      </c>
      <c r="AR141" s="7" t="s">
        <v>153</v>
      </c>
      <c r="AS141" s="10">
        <v>5.9232734324811201E-2</v>
      </c>
      <c r="AT141" s="36">
        <f>((CurrentMtgRatesDataTable8711[[#This Row],[SeriesNumValue]]-$D$1)/$D$1+1)*100</f>
        <v>394.88489549874134</v>
      </c>
      <c r="AU141" s="36"/>
      <c r="AW141" s="7" t="s">
        <v>153</v>
      </c>
      <c r="AX141" s="10">
        <v>4.3732377941726401E-2</v>
      </c>
      <c r="AY141" s="36">
        <f>((CurrentMtgRatesDataTable871112[[#This Row],[SeriesNumValue]]-$D$1)/$D$1+1)*100</f>
        <v>291.54918627817602</v>
      </c>
      <c r="AZ141" s="36"/>
      <c r="BB141" s="7" t="s">
        <v>153</v>
      </c>
      <c r="BC141" s="10">
        <v>2.7187170721383502E-2</v>
      </c>
      <c r="BD141" s="39">
        <f>((CurrentMtgRatesDataTable87111213[[#This Row],[SeriesNumValue]]-$D$1)/$D$1+1)*100</f>
        <v>181.24780480922337</v>
      </c>
      <c r="BE141" s="39"/>
      <c r="BG141" s="7" t="s">
        <v>153</v>
      </c>
      <c r="BH141" s="10">
        <v>1.7686077599562498E-2</v>
      </c>
      <c r="BI141" s="39">
        <f>((CurrentMtgRatesDataTable8711121314[[#This Row],[SeriesNumValue]]-$D$1)/$D$1+1)*100</f>
        <v>117.90718399708334</v>
      </c>
      <c r="BJ141" s="39" t="str">
        <f>YEAR(CurrentMtgRatesDataTable8711121314[[#This Row],[asofdate]])&amp;"-"&amp;MONTH(CurrentMtgRatesDataTable8711121314[[#This Row],[asofdate]])</f>
        <v>2014-9</v>
      </c>
      <c r="BK141" s="39">
        <f>CurrentMtgRatesDataTable8711121314[[#This Row],[SeriesNumValue]]</f>
        <v>1.7686077599562498E-2</v>
      </c>
      <c r="BL141" s="39">
        <f>VLOOKUP(CurrentMtgRatesDataTable8711121314[[#This Row],[asofdate]],AR:AT,2,0)</f>
        <v>5.9232734324811201E-2</v>
      </c>
      <c r="BM141" s="35">
        <f>IF(VLOOKUP(CurrentMtgRatesDataTable8711121314[[#This Row],[asofdate]],AW:AY,2,0)&lt;&gt;0,VLOOKUP(CurrentMtgRatesDataTable8711121314[[#This Row],[asofdate]],AW:AY,2,0),BM140)</f>
        <v>4.3732377941726401E-2</v>
      </c>
      <c r="BN141" s="35">
        <f>VLOOKUP(CurrentMtgRatesDataTable8711121314[[#This Row],[asofdate]],BB:BD,2,0)</f>
        <v>2.7187170721383502E-2</v>
      </c>
      <c r="BO141" s="35">
        <f>CurrentMtgRatesDataTable8711121314[[#This Row],[FHA]]+0.5*CurrentMtgRatesDataTable8711121314[[#This Row],[Conventional]]</f>
        <v>6.8075773124592454E-2</v>
      </c>
      <c r="BP141" s="35">
        <f>2*CurrentMtgRatesDataTable8711121314[[#This Row],[FHA]]</f>
        <v>0.1184654686496224</v>
      </c>
      <c r="BQ141" s="11">
        <f>VLOOKUP(YEAR(CurrentMtgRatesDataTable8711121314[[#This Row],[asofdate]]),OriginationVolume!$A:$N,8,FALSE)</f>
        <v>0.55517536355859709</v>
      </c>
      <c r="BR141" s="11">
        <f>VLOOKUP(YEAR(CurrentMtgRatesDataTable8711121314[[#This Row],[asofdate]]),OriginationVolume!$A:$N,9,FALSE)</f>
        <v>5.9238665526090674E-2</v>
      </c>
      <c r="BS141" s="11">
        <f>VLOOKUP(YEAR(CurrentMtgRatesDataTable8711121314[[#This Row],[asofdate]]),OriginationVolume!$A:$N,10,FALSE)</f>
        <v>0.17771599657827203</v>
      </c>
      <c r="BT141" s="11">
        <f>VLOOKUP(YEAR(CurrentMtgRatesDataTable8711121314[[#This Row],[asofdate]]),OriginationVolume!$A:$N,11,FALSE)</f>
        <v>0.20102651839178784</v>
      </c>
      <c r="BU141" s="11">
        <f>VLOOKUP(YEAR(CurrentMtgRatesDataTable8711121314[[#This Row],[asofdate]]),OriginationVolume!$A:$N,12,FALSE)</f>
        <v>3.4217279726261761E-3</v>
      </c>
      <c r="BV141" s="11">
        <f>VLOOKUP(YEAR(CurrentMtgRatesDataTable8711121314[[#This Row],[asofdate]]),OriginationVolume!$A:$N,13,FALSE)</f>
        <v>3.4217279726261761E-3</v>
      </c>
      <c r="BW141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2.7129790670277321E-2</v>
      </c>
      <c r="BY141" s="7" t="s">
        <v>153</v>
      </c>
      <c r="BZ141" s="10">
        <v>10033277000</v>
      </c>
      <c r="CA141" s="36"/>
      <c r="CC141" s="7" t="s">
        <v>153</v>
      </c>
      <c r="CD141" s="10">
        <v>6356926000</v>
      </c>
      <c r="CE141" s="36"/>
      <c r="CG141" s="7" t="s">
        <v>153</v>
      </c>
      <c r="CH141" s="10">
        <v>45574789343.559998</v>
      </c>
      <c r="CI141" s="39"/>
      <c r="CK141" s="7" t="s">
        <v>153</v>
      </c>
      <c r="CL141" s="10">
        <v>29184586343.560001</v>
      </c>
      <c r="CM141" s="39" t="str">
        <f>YEAR(CurrentMtgRatesDataTable871112131417[[#This Row],[asofdate]])&amp;"-"&amp;MONTH(CurrentMtgRatesDataTable871112131417[[#This Row],[asofdate]])</f>
        <v>2014-9</v>
      </c>
      <c r="CN141" s="39">
        <f>CurrentMtgRatesDataTable871112131417[[#This Row],[SeriesNumValue]]</f>
        <v>29184586343.560001</v>
      </c>
      <c r="CO141" s="39">
        <f>VLOOKUP(CurrentMtgRatesDataTable871112131417[[#This Row],[asofdate]],BY:BZ,2,0)</f>
        <v>10033277000</v>
      </c>
      <c r="CP141" s="35">
        <f>IF(VLOOKUP(CurrentMtgRatesDataTable871112131417[[#This Row],[asofdate]],CC:CD,2,0)&lt;&gt;0,VLOOKUP(CurrentMtgRatesDataTable871112131417[[#This Row],[asofdate]],CC:CD,2,0),CP140)</f>
        <v>6356926000</v>
      </c>
      <c r="CQ141" s="35">
        <f>VLOOKUP(CurrentMtgRatesDataTable871112131417[[#This Row],[asofdate]],CG:CH,2,0)</f>
        <v>45574789343.559998</v>
      </c>
    </row>
    <row r="142" spans="1:95" s="8" customFormat="1" ht="12.75">
      <c r="A142" s="7" t="s">
        <v>8</v>
      </c>
      <c r="B142" s="10">
        <v>1.78819828081676E-2</v>
      </c>
      <c r="C142" s="10" t="str">
        <f>YEAR(CurrentMtgRatesDataTable8[[#This Row],[asofdate]])&amp;"-"&amp;MONTH(CurrentMtgRatesDataTable8[[#This Row],[asofdate]])</f>
        <v>2014-10</v>
      </c>
      <c r="D142" s="6">
        <f>((CurrentMtgRatesDataTable8[[#This Row],[SeriesNumValue]]-$D$1)/$D$1+1)*100</f>
        <v>119.21321872111734</v>
      </c>
      <c r="E142" s="6"/>
      <c r="G142" s="7" t="s">
        <v>8</v>
      </c>
      <c r="H142" s="10">
        <v>82.721770883828398</v>
      </c>
      <c r="I142" s="26">
        <f>VLOOKUP(CurrentMtgRatesDataTable82[[#This Row],[asofdate]],K:L,2,0)</f>
        <v>0.31567362475419602</v>
      </c>
      <c r="K142" s="7" t="s">
        <v>8</v>
      </c>
      <c r="L142" s="29">
        <v>0.31567362475419602</v>
      </c>
      <c r="O142" s="7" t="s">
        <v>8</v>
      </c>
      <c r="P142" s="10">
        <v>34.609191959171703</v>
      </c>
      <c r="Q142" s="29">
        <f>VLOOKUP(CurrentMtgRatesDataTable84[[#This Row],[asofdate]],S:T,2,0)</f>
        <v>0.30128149535438498</v>
      </c>
      <c r="S142" s="7" t="s">
        <v>8</v>
      </c>
      <c r="T142" s="10">
        <v>0.30128149535438498</v>
      </c>
      <c r="W142" s="7" t="s">
        <v>8</v>
      </c>
      <c r="X142" s="10">
        <v>750.89361801650398</v>
      </c>
      <c r="Y142" s="26">
        <f>VLOOKUP(CurrentMtgRatesDataTable86[[#This Row],[asofdate]],AA:AB,2,0)</f>
        <v>0.14738678015895099</v>
      </c>
      <c r="AA142" s="7" t="s">
        <v>8</v>
      </c>
      <c r="AB142" s="10">
        <v>0.14738678015895099</v>
      </c>
      <c r="AE142" s="7" t="s">
        <v>43</v>
      </c>
      <c r="AF142" s="10">
        <v>2.0722056197098701E-2</v>
      </c>
      <c r="AG142" s="10" t="str">
        <f>YEAR(CurrentMtgRatesDataTable89[[#This Row],[asofdate]])&amp;"-"&amp;MONTH(CurrentMtgRatesDataTable89[[#This Row],[asofdate]])</f>
        <v>2004-2</v>
      </c>
      <c r="AH142" s="6">
        <f>((CurrentMtgRatesDataTable89[[#This Row],[SeriesNumValue]]-$D$1)/$D$1+1)*100</f>
        <v>138.14704131399137</v>
      </c>
      <c r="AI142" s="6">
        <f>CurrentMtgRatesDataTable89[[#This Row],[Index]]-AH143</f>
        <v>-4.6609955109479699</v>
      </c>
      <c r="AJ142" s="6">
        <f>VLOOKUP(CurrentMtgRatesDataTable89[[#This Row],[asofdate]],G:H,2,0)</f>
        <v>81.113652198567294</v>
      </c>
      <c r="AK142" s="6">
        <f>VLOOKUP(CurrentMtgRatesDataTable89[[#This Row],[asofdate]],K:L,2,0)</f>
        <v>0.279273746865356</v>
      </c>
      <c r="AL142" s="6">
        <f>VLOOKUP(CurrentMtgRatesDataTable89[[#This Row],[asofdate]],O:P,2,0)</f>
        <v>34.270437676693597</v>
      </c>
      <c r="AM142" s="6">
        <f>VLOOKUP(CurrentMtgRatesDataTable89[[#This Row],[asofdate]],S:T,2,0)</f>
        <v>2.56930597823848E-2</v>
      </c>
      <c r="AN142" s="6">
        <f>VLOOKUP(CurrentMtgRatesDataTable89[[#This Row],[asofdate]],W:X,2,0)</f>
        <v>721.12735756326401</v>
      </c>
      <c r="AO142" s="6">
        <f>VLOOKUP(CurrentMtgRatesDataTable89[[#This Row],[asofdate]],AA:AB,2,0)</f>
        <v>0.33004652003424001</v>
      </c>
      <c r="AR142" s="7" t="s">
        <v>8</v>
      </c>
      <c r="AS142" s="10">
        <v>6.0455601405621499E-2</v>
      </c>
      <c r="AT142" s="36">
        <f>((CurrentMtgRatesDataTable8711[[#This Row],[SeriesNumValue]]-$D$1)/$D$1+1)*100</f>
        <v>403.03734270414333</v>
      </c>
      <c r="AU142" s="36"/>
      <c r="AW142" s="7" t="s">
        <v>8</v>
      </c>
      <c r="AX142" s="10">
        <v>4.4866368406642501E-2</v>
      </c>
      <c r="AY142" s="36">
        <f>((CurrentMtgRatesDataTable871112[[#This Row],[SeriesNumValue]]-$D$1)/$D$1+1)*100</f>
        <v>299.10912271095003</v>
      </c>
      <c r="AZ142" s="36"/>
      <c r="BB142" s="7" t="s">
        <v>8</v>
      </c>
      <c r="BC142" s="10">
        <v>2.7586762423134799E-2</v>
      </c>
      <c r="BD142" s="39">
        <f>((CurrentMtgRatesDataTable87111213[[#This Row],[SeriesNumValue]]-$D$1)/$D$1+1)*100</f>
        <v>183.91174948756532</v>
      </c>
      <c r="BE142" s="39"/>
      <c r="BG142" s="7" t="s">
        <v>8</v>
      </c>
      <c r="BH142" s="10">
        <v>1.7911224377334799E-2</v>
      </c>
      <c r="BI142" s="39">
        <f>((CurrentMtgRatesDataTable8711121314[[#This Row],[SeriesNumValue]]-$D$1)/$D$1+1)*100</f>
        <v>119.40816251556532</v>
      </c>
      <c r="BJ142" s="39" t="str">
        <f>YEAR(CurrentMtgRatesDataTable8711121314[[#This Row],[asofdate]])&amp;"-"&amp;MONTH(CurrentMtgRatesDataTable8711121314[[#This Row],[asofdate]])</f>
        <v>2014-10</v>
      </c>
      <c r="BK142" s="39">
        <f>CurrentMtgRatesDataTable8711121314[[#This Row],[SeriesNumValue]]</f>
        <v>1.7911224377334799E-2</v>
      </c>
      <c r="BL142" s="39">
        <f>VLOOKUP(CurrentMtgRatesDataTable8711121314[[#This Row],[asofdate]],AR:AT,2,0)</f>
        <v>6.0455601405621499E-2</v>
      </c>
      <c r="BM142" s="35">
        <f>IF(VLOOKUP(CurrentMtgRatesDataTable8711121314[[#This Row],[asofdate]],AW:AY,2,0)&lt;&gt;0,VLOOKUP(CurrentMtgRatesDataTable8711121314[[#This Row],[asofdate]],AW:AY,2,0),BM141)</f>
        <v>4.4866368406642501E-2</v>
      </c>
      <c r="BN142" s="35">
        <f>VLOOKUP(CurrentMtgRatesDataTable8711121314[[#This Row],[asofdate]],BB:BD,2,0)</f>
        <v>2.7586762423134799E-2</v>
      </c>
      <c r="BO142" s="35">
        <f>CurrentMtgRatesDataTable8711121314[[#This Row],[FHA]]+0.5*CurrentMtgRatesDataTable8711121314[[#This Row],[Conventional]]</f>
        <v>6.9411213594288895E-2</v>
      </c>
      <c r="BP142" s="35">
        <f>2*CurrentMtgRatesDataTable8711121314[[#This Row],[FHA]]</f>
        <v>0.120911202811243</v>
      </c>
      <c r="BQ142" s="11">
        <f>VLOOKUP(YEAR(CurrentMtgRatesDataTable8711121314[[#This Row],[asofdate]]),OriginationVolume!$A:$N,8,FALSE)</f>
        <v>0.55517536355859709</v>
      </c>
      <c r="BR142" s="11">
        <f>VLOOKUP(YEAR(CurrentMtgRatesDataTable8711121314[[#This Row],[asofdate]]),OriginationVolume!$A:$N,9,FALSE)</f>
        <v>5.9238665526090674E-2</v>
      </c>
      <c r="BS142" s="11">
        <f>VLOOKUP(YEAR(CurrentMtgRatesDataTable8711121314[[#This Row],[asofdate]]),OriginationVolume!$A:$N,10,FALSE)</f>
        <v>0.17771599657827203</v>
      </c>
      <c r="BT142" s="11">
        <f>VLOOKUP(YEAR(CurrentMtgRatesDataTable8711121314[[#This Row],[asofdate]]),OriginationVolume!$A:$N,11,FALSE)</f>
        <v>0.20102651839178784</v>
      </c>
      <c r="BU142" s="11">
        <f>VLOOKUP(YEAR(CurrentMtgRatesDataTable8711121314[[#This Row],[asofdate]]),OriginationVolume!$A:$N,12,FALSE)</f>
        <v>3.4217279726261761E-3</v>
      </c>
      <c r="BV142" s="11">
        <f>VLOOKUP(YEAR(CurrentMtgRatesDataTable8711121314[[#This Row],[asofdate]]),OriginationVolume!$A:$N,13,FALSE)</f>
        <v>3.4217279726261761E-3</v>
      </c>
      <c r="BW142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2.7597484362159065E-2</v>
      </c>
      <c r="BY142" s="7" t="s">
        <v>8</v>
      </c>
      <c r="BZ142" s="10">
        <v>9306528000</v>
      </c>
      <c r="CA142" s="36"/>
      <c r="CC142" s="7" t="s">
        <v>8</v>
      </c>
      <c r="CD142" s="10">
        <v>5964777000</v>
      </c>
      <c r="CE142" s="36"/>
      <c r="CG142" s="7" t="s">
        <v>8</v>
      </c>
      <c r="CH142" s="10">
        <v>42626835553.860001</v>
      </c>
      <c r="CI142" s="39"/>
      <c r="CK142" s="7" t="s">
        <v>8</v>
      </c>
      <c r="CL142" s="10">
        <v>27355530553.860001</v>
      </c>
      <c r="CM142" s="39" t="str">
        <f>YEAR(CurrentMtgRatesDataTable871112131417[[#This Row],[asofdate]])&amp;"-"&amp;MONTH(CurrentMtgRatesDataTable871112131417[[#This Row],[asofdate]])</f>
        <v>2014-10</v>
      </c>
      <c r="CN142" s="39">
        <f>CurrentMtgRatesDataTable871112131417[[#This Row],[SeriesNumValue]]</f>
        <v>27355530553.860001</v>
      </c>
      <c r="CO142" s="39">
        <f>VLOOKUP(CurrentMtgRatesDataTable871112131417[[#This Row],[asofdate]],BY:BZ,2,0)</f>
        <v>9306528000</v>
      </c>
      <c r="CP142" s="35">
        <f>IF(VLOOKUP(CurrentMtgRatesDataTable871112131417[[#This Row],[asofdate]],CC:CD,2,0)&lt;&gt;0,VLOOKUP(CurrentMtgRatesDataTable871112131417[[#This Row],[asofdate]],CC:CD,2,0),CP141)</f>
        <v>5964777000</v>
      </c>
      <c r="CQ142" s="35">
        <f>VLOOKUP(CurrentMtgRatesDataTable871112131417[[#This Row],[asofdate]],CG:CH,2,0)</f>
        <v>42626835553.860001</v>
      </c>
    </row>
    <row r="143" spans="1:95" s="8" customFormat="1" ht="12.75">
      <c r="A143" s="7" t="s">
        <v>154</v>
      </c>
      <c r="B143" s="10">
        <v>1.8450502596294101E-2</v>
      </c>
      <c r="C143" s="10" t="str">
        <f>YEAR(CurrentMtgRatesDataTable8[[#This Row],[asofdate]])&amp;"-"&amp;MONTH(CurrentMtgRatesDataTable8[[#This Row],[asofdate]])</f>
        <v>2014-11</v>
      </c>
      <c r="D143" s="6">
        <f>((CurrentMtgRatesDataTable8[[#This Row],[SeriesNumValue]]-$D$1)/$D$1+1)*100</f>
        <v>123.00335064196068</v>
      </c>
      <c r="E143" s="6"/>
      <c r="G143" s="7" t="s">
        <v>154</v>
      </c>
      <c r="H143" s="10">
        <v>82.803884256575003</v>
      </c>
      <c r="I143" s="26">
        <f>VLOOKUP(CurrentMtgRatesDataTable82[[#This Row],[asofdate]],K:L,2,0)</f>
        <v>0.32254787448740702</v>
      </c>
      <c r="K143" s="7" t="s">
        <v>154</v>
      </c>
      <c r="L143" s="29">
        <v>0.32254787448740702</v>
      </c>
      <c r="O143" s="7" t="s">
        <v>154</v>
      </c>
      <c r="P143" s="10">
        <v>34.798083340824199</v>
      </c>
      <c r="Q143" s="29">
        <f>VLOOKUP(CurrentMtgRatesDataTable84[[#This Row],[asofdate]],S:T,2,0)</f>
        <v>0.309418365078864</v>
      </c>
      <c r="S143" s="7" t="s">
        <v>154</v>
      </c>
      <c r="T143" s="10">
        <v>0.309418365078864</v>
      </c>
      <c r="W143" s="7" t="s">
        <v>154</v>
      </c>
      <c r="X143" s="10">
        <v>749.74150806912701</v>
      </c>
      <c r="Y143" s="26">
        <f>VLOOKUP(CurrentMtgRatesDataTable86[[#This Row],[asofdate]],AA:AB,2,0)</f>
        <v>0.15611748121786001</v>
      </c>
      <c r="AA143" s="7" t="s">
        <v>154</v>
      </c>
      <c r="AB143" s="10">
        <v>0.15611748121786001</v>
      </c>
      <c r="AE143" s="7" t="s">
        <v>42</v>
      </c>
      <c r="AF143" s="10">
        <v>2.14212055237409E-2</v>
      </c>
      <c r="AG143" s="10" t="str">
        <f>YEAR(CurrentMtgRatesDataTable89[[#This Row],[asofdate]])&amp;"-"&amp;MONTH(CurrentMtgRatesDataTable89[[#This Row],[asofdate]])</f>
        <v>2004-1</v>
      </c>
      <c r="AH143" s="6">
        <f>((CurrentMtgRatesDataTable89[[#This Row],[SeriesNumValue]]-$D$1)/$D$1+1)*100</f>
        <v>142.80803682493934</v>
      </c>
      <c r="AI143" s="6">
        <f>CurrentMtgRatesDataTable89[[#This Row],[Index]]-AH144</f>
        <v>-2.7261115394026945</v>
      </c>
      <c r="AJ143" s="6">
        <f>VLOOKUP(CurrentMtgRatesDataTable89[[#This Row],[asofdate]],G:H,2,0)</f>
        <v>81.566299959188299</v>
      </c>
      <c r="AK143" s="6">
        <f>VLOOKUP(CurrentMtgRatesDataTable89[[#This Row],[asofdate]],K:L,2,0)</f>
        <v>0.29070058027366003</v>
      </c>
      <c r="AL143" s="6">
        <f>VLOOKUP(CurrentMtgRatesDataTable89[[#This Row],[asofdate]],O:P,2,0)</f>
        <v>36.105752730096498</v>
      </c>
      <c r="AM143" s="6">
        <f>VLOOKUP(CurrentMtgRatesDataTable89[[#This Row],[asofdate]],S:T,2,0)</f>
        <v>2.07685482202341E-2</v>
      </c>
      <c r="AN143" s="6">
        <f>VLOOKUP(CurrentMtgRatesDataTable89[[#This Row],[asofdate]],W:X,2,0)</f>
        <v>720.53281333500604</v>
      </c>
      <c r="AO143" s="6">
        <f>VLOOKUP(CurrentMtgRatesDataTable89[[#This Row],[asofdate]],AA:AB,2,0)</f>
        <v>0.33824400161048002</v>
      </c>
      <c r="AR143" s="7" t="s">
        <v>154</v>
      </c>
      <c r="AS143" s="10">
        <v>5.9874562188320497E-2</v>
      </c>
      <c r="AT143" s="36">
        <f>((CurrentMtgRatesDataTable8711[[#This Row],[SeriesNumValue]]-$D$1)/$D$1+1)*100</f>
        <v>399.16374792213662</v>
      </c>
      <c r="AU143" s="36"/>
      <c r="AW143" s="7" t="s">
        <v>154</v>
      </c>
      <c r="AX143" s="10">
        <v>4.4860699739032402E-2</v>
      </c>
      <c r="AY143" s="36">
        <f>((CurrentMtgRatesDataTable871112[[#This Row],[SeriesNumValue]]-$D$1)/$D$1+1)*100</f>
        <v>299.0713315935493</v>
      </c>
      <c r="AZ143" s="36"/>
      <c r="BB143" s="7" t="s">
        <v>154</v>
      </c>
      <c r="BC143" s="10">
        <v>2.7955056947931701E-2</v>
      </c>
      <c r="BD143" s="39">
        <f>((CurrentMtgRatesDataTable87111213[[#This Row],[SeriesNumValue]]-$D$1)/$D$1+1)*100</f>
        <v>186.36704631954467</v>
      </c>
      <c r="BE143" s="39"/>
      <c r="BG143" s="7" t="s">
        <v>154</v>
      </c>
      <c r="BH143" s="10">
        <v>1.7995520073933E-2</v>
      </c>
      <c r="BI143" s="39">
        <f>((CurrentMtgRatesDataTable8711121314[[#This Row],[SeriesNumValue]]-$D$1)/$D$1+1)*100</f>
        <v>119.97013382621999</v>
      </c>
      <c r="BJ143" s="39" t="str">
        <f>YEAR(CurrentMtgRatesDataTable8711121314[[#This Row],[asofdate]])&amp;"-"&amp;MONTH(CurrentMtgRatesDataTable8711121314[[#This Row],[asofdate]])</f>
        <v>2014-11</v>
      </c>
      <c r="BK143" s="39">
        <f>CurrentMtgRatesDataTable8711121314[[#This Row],[SeriesNumValue]]</f>
        <v>1.7995520073933E-2</v>
      </c>
      <c r="BL143" s="39">
        <f>VLOOKUP(CurrentMtgRatesDataTable8711121314[[#This Row],[asofdate]],AR:AT,2,0)</f>
        <v>5.9874562188320497E-2</v>
      </c>
      <c r="BM143" s="35">
        <f>IF(VLOOKUP(CurrentMtgRatesDataTable8711121314[[#This Row],[asofdate]],AW:AY,2,0)&lt;&gt;0,VLOOKUP(CurrentMtgRatesDataTable8711121314[[#This Row],[asofdate]],AW:AY,2,0),BM142)</f>
        <v>4.4860699739032402E-2</v>
      </c>
      <c r="BN143" s="35">
        <f>VLOOKUP(CurrentMtgRatesDataTable8711121314[[#This Row],[asofdate]],BB:BD,2,0)</f>
        <v>2.7955056947931701E-2</v>
      </c>
      <c r="BO143" s="35">
        <f>CurrentMtgRatesDataTable8711121314[[#This Row],[FHA]]+0.5*CurrentMtgRatesDataTable8711121314[[#This Row],[Conventional]]</f>
        <v>6.8872322225286997E-2</v>
      </c>
      <c r="BP143" s="35">
        <f>2*CurrentMtgRatesDataTable8711121314[[#This Row],[FHA]]</f>
        <v>0.11974912437664099</v>
      </c>
      <c r="BQ143" s="11">
        <f>VLOOKUP(YEAR(CurrentMtgRatesDataTable8711121314[[#This Row],[asofdate]]),OriginationVolume!$A:$N,8,FALSE)</f>
        <v>0.55517536355859709</v>
      </c>
      <c r="BR143" s="11">
        <f>VLOOKUP(YEAR(CurrentMtgRatesDataTable8711121314[[#This Row],[asofdate]]),OriginationVolume!$A:$N,9,FALSE)</f>
        <v>5.9238665526090674E-2</v>
      </c>
      <c r="BS143" s="11">
        <f>VLOOKUP(YEAR(CurrentMtgRatesDataTable8711121314[[#This Row],[asofdate]]),OriginationVolume!$A:$N,10,FALSE)</f>
        <v>0.17771599657827203</v>
      </c>
      <c r="BT143" s="11">
        <f>VLOOKUP(YEAR(CurrentMtgRatesDataTable8711121314[[#This Row],[asofdate]]),OriginationVolume!$A:$N,11,FALSE)</f>
        <v>0.20102651839178784</v>
      </c>
      <c r="BU143" s="11">
        <f>VLOOKUP(YEAR(CurrentMtgRatesDataTable8711121314[[#This Row],[asofdate]]),OriginationVolume!$A:$N,12,FALSE)</f>
        <v>3.4217279726261761E-3</v>
      </c>
      <c r="BV143" s="11">
        <f>VLOOKUP(YEAR(CurrentMtgRatesDataTable8711121314[[#This Row],[asofdate]]),OriginationVolume!$A:$N,13,FALSE)</f>
        <v>3.4217279726261761E-3</v>
      </c>
      <c r="BW143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2.7551812902751119E-2</v>
      </c>
      <c r="BY143" s="7" t="s">
        <v>154</v>
      </c>
      <c r="BZ143" s="10">
        <v>8864973000</v>
      </c>
      <c r="CA143" s="36"/>
      <c r="CC143" s="7" t="s">
        <v>154</v>
      </c>
      <c r="CD143" s="10">
        <v>5607829000</v>
      </c>
      <c r="CE143" s="36"/>
      <c r="CG143" s="7" t="s">
        <v>154</v>
      </c>
      <c r="CH143" s="10">
        <v>39172729918.940002</v>
      </c>
      <c r="CI143" s="39"/>
      <c r="CK143" s="7" t="s">
        <v>154</v>
      </c>
      <c r="CL143" s="10">
        <v>24699927918.939999</v>
      </c>
      <c r="CM143" s="39" t="str">
        <f>YEAR(CurrentMtgRatesDataTable871112131417[[#This Row],[asofdate]])&amp;"-"&amp;MONTH(CurrentMtgRatesDataTable871112131417[[#This Row],[asofdate]])</f>
        <v>2014-11</v>
      </c>
      <c r="CN143" s="39">
        <f>CurrentMtgRatesDataTable871112131417[[#This Row],[SeriesNumValue]]</f>
        <v>24699927918.939999</v>
      </c>
      <c r="CO143" s="39">
        <f>VLOOKUP(CurrentMtgRatesDataTable871112131417[[#This Row],[asofdate]],BY:BZ,2,0)</f>
        <v>8864973000</v>
      </c>
      <c r="CP143" s="35">
        <f>IF(VLOOKUP(CurrentMtgRatesDataTable871112131417[[#This Row],[asofdate]],CC:CD,2,0)&lt;&gt;0,VLOOKUP(CurrentMtgRatesDataTable871112131417[[#This Row],[asofdate]],CC:CD,2,0),CP142)</f>
        <v>5607829000</v>
      </c>
      <c r="CQ143" s="35">
        <f>VLOOKUP(CurrentMtgRatesDataTable871112131417[[#This Row],[asofdate]],CG:CH,2,0)</f>
        <v>39172729918.940002</v>
      </c>
    </row>
    <row r="144" spans="1:95" s="8" customFormat="1" ht="12.75">
      <c r="A144" s="7" t="s">
        <v>16</v>
      </c>
      <c r="B144" s="10">
        <v>1.8848009868152601E-2</v>
      </c>
      <c r="C144" s="10" t="str">
        <f>YEAR(CurrentMtgRatesDataTable8[[#This Row],[asofdate]])&amp;"-"&amp;MONTH(CurrentMtgRatesDataTable8[[#This Row],[asofdate]])</f>
        <v>2014-12</v>
      </c>
      <c r="D144" s="6">
        <f>((CurrentMtgRatesDataTable8[[#This Row],[SeriesNumValue]]-$D$1)/$D$1+1)*100</f>
        <v>125.65339912101734</v>
      </c>
      <c r="E144" s="6"/>
      <c r="G144" s="7" t="s">
        <v>16</v>
      </c>
      <c r="H144" s="10">
        <v>82.648163721352205</v>
      </c>
      <c r="I144" s="26">
        <f>VLOOKUP(CurrentMtgRatesDataTable82[[#This Row],[asofdate]],K:L,2,0)</f>
        <v>0.318264635028014</v>
      </c>
      <c r="K144" s="7" t="s">
        <v>16</v>
      </c>
      <c r="L144" s="29">
        <v>0.318264635028014</v>
      </c>
      <c r="O144" s="7" t="s">
        <v>16</v>
      </c>
      <c r="P144" s="10">
        <v>34.846015078951801</v>
      </c>
      <c r="Q144" s="29">
        <f>VLOOKUP(CurrentMtgRatesDataTable84[[#This Row],[asofdate]],S:T,2,0)</f>
        <v>0.31245467786157399</v>
      </c>
      <c r="S144" s="7" t="s">
        <v>16</v>
      </c>
      <c r="T144" s="10">
        <v>0.31245467786157399</v>
      </c>
      <c r="W144" s="7" t="s">
        <v>16</v>
      </c>
      <c r="X144" s="10">
        <v>749.85349083339599</v>
      </c>
      <c r="Y144" s="26">
        <f>VLOOKUP(CurrentMtgRatesDataTable86[[#This Row],[asofdate]],AA:AB,2,0)</f>
        <v>0.154702803202766</v>
      </c>
      <c r="AA144" s="7" t="s">
        <v>16</v>
      </c>
      <c r="AB144" s="10">
        <v>0.154702803202766</v>
      </c>
      <c r="AE144" s="7" t="s">
        <v>41</v>
      </c>
      <c r="AF144" s="10">
        <v>2.18301222546513E-2</v>
      </c>
      <c r="AG144" s="10" t="str">
        <f>YEAR(CurrentMtgRatesDataTable89[[#This Row],[asofdate]])&amp;"-"&amp;MONTH(CurrentMtgRatesDataTable89[[#This Row],[asofdate]])</f>
        <v>2003-12</v>
      </c>
      <c r="AH144" s="6">
        <f>((CurrentMtgRatesDataTable89[[#This Row],[SeriesNumValue]]-$D$1)/$D$1+1)*100</f>
        <v>145.53414836434203</v>
      </c>
      <c r="AI144" s="6">
        <f>CurrentMtgRatesDataTable89[[#This Row],[Index]]-AH145</f>
        <v>1.7067364409953711</v>
      </c>
      <c r="AJ144" s="6">
        <f>VLOOKUP(CurrentMtgRatesDataTable89[[#This Row],[asofdate]],G:H,2,0)</f>
        <v>81.864228322339997</v>
      </c>
      <c r="AK144" s="6">
        <f>VLOOKUP(CurrentMtgRatesDataTable89[[#This Row],[asofdate]],K:L,2,0)</f>
        <v>0.29608287862933402</v>
      </c>
      <c r="AL144" s="6">
        <f>VLOOKUP(CurrentMtgRatesDataTable89[[#This Row],[asofdate]],O:P,2,0)</f>
        <v>36.5193753202172</v>
      </c>
      <c r="AM144" s="6">
        <f>VLOOKUP(CurrentMtgRatesDataTable89[[#This Row],[asofdate]],S:T,2,0)</f>
        <v>2.16589958788652E-2</v>
      </c>
      <c r="AN144" s="6">
        <f>VLOOKUP(CurrentMtgRatesDataTable89[[#This Row],[asofdate]],W:X,2,0)</f>
        <v>720.40995221006699</v>
      </c>
      <c r="AO144" s="6">
        <f>VLOOKUP(CurrentMtgRatesDataTable89[[#This Row],[asofdate]],AA:AB,2,0)</f>
        <v>0.33962917429332001</v>
      </c>
      <c r="AR144" s="7" t="s">
        <v>16</v>
      </c>
      <c r="AS144" s="10">
        <v>6.2400887079476899E-2</v>
      </c>
      <c r="AT144" s="36">
        <f>((CurrentMtgRatesDataTable8711[[#This Row],[SeriesNumValue]]-$D$1)/$D$1+1)*100</f>
        <v>416.00591386317933</v>
      </c>
      <c r="AU144" s="36"/>
      <c r="AW144" s="7" t="s">
        <v>16</v>
      </c>
      <c r="AX144" s="10">
        <v>4.68738925155835E-2</v>
      </c>
      <c r="AY144" s="36">
        <f>((CurrentMtgRatesDataTable871112[[#This Row],[SeriesNumValue]]-$D$1)/$D$1+1)*100</f>
        <v>312.49261677055665</v>
      </c>
      <c r="AZ144" s="36"/>
      <c r="BB144" s="7" t="s">
        <v>16</v>
      </c>
      <c r="BC144" s="10">
        <v>2.91850030439786E-2</v>
      </c>
      <c r="BD144" s="39">
        <f>((CurrentMtgRatesDataTable87111213[[#This Row],[SeriesNumValue]]-$D$1)/$D$1+1)*100</f>
        <v>194.56668695985732</v>
      </c>
      <c r="BE144" s="39"/>
      <c r="BG144" s="7" t="s">
        <v>16</v>
      </c>
      <c r="BH144" s="10">
        <v>1.8702407855327199E-2</v>
      </c>
      <c r="BI144" s="39">
        <f>((CurrentMtgRatesDataTable8711121314[[#This Row],[SeriesNumValue]]-$D$1)/$D$1+1)*100</f>
        <v>124.68271903551467</v>
      </c>
      <c r="BJ144" s="39" t="str">
        <f>YEAR(CurrentMtgRatesDataTable8711121314[[#This Row],[asofdate]])&amp;"-"&amp;MONTH(CurrentMtgRatesDataTable8711121314[[#This Row],[asofdate]])</f>
        <v>2014-12</v>
      </c>
      <c r="BK144" s="39">
        <f>CurrentMtgRatesDataTable8711121314[[#This Row],[SeriesNumValue]]</f>
        <v>1.8702407855327199E-2</v>
      </c>
      <c r="BL144" s="39">
        <f>VLOOKUP(CurrentMtgRatesDataTable8711121314[[#This Row],[asofdate]],AR:AT,2,0)</f>
        <v>6.2400887079476899E-2</v>
      </c>
      <c r="BM144" s="35">
        <f>IF(VLOOKUP(CurrentMtgRatesDataTable8711121314[[#This Row],[asofdate]],AW:AY,2,0)&lt;&gt;0,VLOOKUP(CurrentMtgRatesDataTable8711121314[[#This Row],[asofdate]],AW:AY,2,0),BM143)</f>
        <v>4.68738925155835E-2</v>
      </c>
      <c r="BN144" s="35">
        <f>VLOOKUP(CurrentMtgRatesDataTable8711121314[[#This Row],[asofdate]],BB:BD,2,0)</f>
        <v>2.91850030439786E-2</v>
      </c>
      <c r="BO144" s="35">
        <f>CurrentMtgRatesDataTable8711121314[[#This Row],[FHA]]+0.5*CurrentMtgRatesDataTable8711121314[[#This Row],[Conventional]]</f>
        <v>7.17520910071405E-2</v>
      </c>
      <c r="BP144" s="35">
        <f>2*CurrentMtgRatesDataTable8711121314[[#This Row],[FHA]]</f>
        <v>0.1248017741589538</v>
      </c>
      <c r="BQ144" s="11">
        <f>VLOOKUP(YEAR(CurrentMtgRatesDataTable8711121314[[#This Row],[asofdate]]),OriginationVolume!$A:$N,8,FALSE)</f>
        <v>0.55517536355859709</v>
      </c>
      <c r="BR144" s="11">
        <f>VLOOKUP(YEAR(CurrentMtgRatesDataTable8711121314[[#This Row],[asofdate]]),OriginationVolume!$A:$N,9,FALSE)</f>
        <v>5.9238665526090674E-2</v>
      </c>
      <c r="BS144" s="11">
        <f>VLOOKUP(YEAR(CurrentMtgRatesDataTable8711121314[[#This Row],[asofdate]]),OriginationVolume!$A:$N,10,FALSE)</f>
        <v>0.17771599657827203</v>
      </c>
      <c r="BT144" s="11">
        <f>VLOOKUP(YEAR(CurrentMtgRatesDataTable8711121314[[#This Row],[asofdate]]),OriginationVolume!$A:$N,11,FALSE)</f>
        <v>0.20102651839178784</v>
      </c>
      <c r="BU144" s="11">
        <f>VLOOKUP(YEAR(CurrentMtgRatesDataTable8711121314[[#This Row],[asofdate]]),OriginationVolume!$A:$N,12,FALSE)</f>
        <v>3.4217279726261761E-3</v>
      </c>
      <c r="BV144" s="11">
        <f>VLOOKUP(YEAR(CurrentMtgRatesDataTable8711121314[[#This Row],[asofdate]]),OriginationVolume!$A:$N,13,FALSE)</f>
        <v>3.4217279726261761E-3</v>
      </c>
      <c r="BW144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2.8681732551102741E-2</v>
      </c>
      <c r="BY144" s="7" t="s">
        <v>16</v>
      </c>
      <c r="BZ144" s="10">
        <v>8858380000</v>
      </c>
      <c r="CA144" s="36"/>
      <c r="CC144" s="7" t="s">
        <v>16</v>
      </c>
      <c r="CD144" s="10">
        <v>5486375000</v>
      </c>
      <c r="CE144" s="36"/>
      <c r="CG144" s="7" t="s">
        <v>16</v>
      </c>
      <c r="CH144" s="10">
        <v>38719282119.989998</v>
      </c>
      <c r="CI144" s="39"/>
      <c r="CK144" s="7" t="s">
        <v>16</v>
      </c>
      <c r="CL144" s="10">
        <v>24374527119.990002</v>
      </c>
      <c r="CM144" s="39" t="str">
        <f>YEAR(CurrentMtgRatesDataTable871112131417[[#This Row],[asofdate]])&amp;"-"&amp;MONTH(CurrentMtgRatesDataTable871112131417[[#This Row],[asofdate]])</f>
        <v>2014-12</v>
      </c>
      <c r="CN144" s="39">
        <f>CurrentMtgRatesDataTable871112131417[[#This Row],[SeriesNumValue]]</f>
        <v>24374527119.990002</v>
      </c>
      <c r="CO144" s="39">
        <f>VLOOKUP(CurrentMtgRatesDataTable871112131417[[#This Row],[asofdate]],BY:BZ,2,0)</f>
        <v>8858380000</v>
      </c>
      <c r="CP144" s="35">
        <f>IF(VLOOKUP(CurrentMtgRatesDataTable871112131417[[#This Row],[asofdate]],CC:CD,2,0)&lt;&gt;0,VLOOKUP(CurrentMtgRatesDataTable871112131417[[#This Row],[asofdate]],CC:CD,2,0),CP143)</f>
        <v>5486375000</v>
      </c>
      <c r="CQ144" s="35">
        <f>VLOOKUP(CurrentMtgRatesDataTable871112131417[[#This Row],[asofdate]],CG:CH,2,0)</f>
        <v>38719282119.989998</v>
      </c>
    </row>
    <row r="145" spans="1:95" s="8" customFormat="1" ht="12.75">
      <c r="A145" s="7" t="s">
        <v>155</v>
      </c>
      <c r="B145" s="10">
        <v>1.8665764870618599E-2</v>
      </c>
      <c r="C145" s="10" t="str">
        <f>YEAR(CurrentMtgRatesDataTable8[[#This Row],[asofdate]])&amp;"-"&amp;MONTH(CurrentMtgRatesDataTable8[[#This Row],[asofdate]])</f>
        <v>2015-1</v>
      </c>
      <c r="D145" s="6">
        <f>((CurrentMtgRatesDataTable8[[#This Row],[SeriesNumValue]]-$D$1)/$D$1+1)*100</f>
        <v>124.43843247079067</v>
      </c>
      <c r="E145" s="6"/>
      <c r="G145" s="7" t="s">
        <v>155</v>
      </c>
      <c r="H145" s="10">
        <v>82.726547150692298</v>
      </c>
      <c r="I145" s="26">
        <f>VLOOKUP(CurrentMtgRatesDataTable82[[#This Row],[asofdate]],K:L,2,0)</f>
        <v>0.32029318763412001</v>
      </c>
      <c r="K145" s="7" t="s">
        <v>155</v>
      </c>
      <c r="L145" s="29">
        <v>0.32029318763412001</v>
      </c>
      <c r="O145" s="7" t="s">
        <v>155</v>
      </c>
      <c r="P145" s="10">
        <v>34.824509834090797</v>
      </c>
      <c r="Q145" s="29">
        <f>VLOOKUP(CurrentMtgRatesDataTable84[[#This Row],[asofdate]],S:T,2,0)</f>
        <v>0.31220120325231998</v>
      </c>
      <c r="S145" s="7" t="s">
        <v>155</v>
      </c>
      <c r="T145" s="10">
        <v>0.31220120325231998</v>
      </c>
      <c r="W145" s="7" t="s">
        <v>155</v>
      </c>
      <c r="X145" s="10">
        <v>749.71315485187995</v>
      </c>
      <c r="Y145" s="26">
        <f>VLOOKUP(CurrentMtgRatesDataTable86[[#This Row],[asofdate]],AA:AB,2,0)</f>
        <v>0.15558820493379799</v>
      </c>
      <c r="AA145" s="7" t="s">
        <v>155</v>
      </c>
      <c r="AB145" s="10">
        <v>0.15558820493379799</v>
      </c>
      <c r="AE145" s="7" t="s">
        <v>40</v>
      </c>
      <c r="AF145" s="10">
        <v>2.1574111788502E-2</v>
      </c>
      <c r="AG145" s="10" t="str">
        <f>YEAR(CurrentMtgRatesDataTable89[[#This Row],[asofdate]])&amp;"-"&amp;MONTH(CurrentMtgRatesDataTable89[[#This Row],[asofdate]])</f>
        <v>2003-11</v>
      </c>
      <c r="AH145" s="6">
        <f>((CurrentMtgRatesDataTable89[[#This Row],[SeriesNumValue]]-$D$1)/$D$1+1)*100</f>
        <v>143.82741192334666</v>
      </c>
      <c r="AI145" s="6">
        <f>CurrentMtgRatesDataTable89[[#This Row],[Index]]-AH146</f>
        <v>33.164769922987986</v>
      </c>
      <c r="AJ145" s="6">
        <f>VLOOKUP(CurrentMtgRatesDataTable89[[#This Row],[asofdate]],G:H,2,0)</f>
        <v>81.964228940536998</v>
      </c>
      <c r="AK145" s="6">
        <f>VLOOKUP(CurrentMtgRatesDataTable89[[#This Row],[asofdate]],K:L,2,0)</f>
        <v>0.30202605452215497</v>
      </c>
      <c r="AL145" s="6">
        <f>VLOOKUP(CurrentMtgRatesDataTable89[[#This Row],[asofdate]],O:P,2,0)</f>
        <v>35.411302149846499</v>
      </c>
      <c r="AM145" s="6">
        <f>VLOOKUP(CurrentMtgRatesDataTable89[[#This Row],[asofdate]],S:T,2,0)</f>
        <v>2.1167569446924599E-2</v>
      </c>
      <c r="AN145" s="6">
        <f>VLOOKUP(CurrentMtgRatesDataTable89[[#This Row],[asofdate]],W:X,2,0)</f>
        <v>719.09071003198596</v>
      </c>
      <c r="AO145" s="6">
        <f>VLOOKUP(CurrentMtgRatesDataTable89[[#This Row],[asofdate]],AA:AB,2,0)</f>
        <v>0.34444111149615098</v>
      </c>
      <c r="AR145" s="7" t="s">
        <v>155</v>
      </c>
      <c r="AS145" s="10">
        <v>6.0841622906473401E-2</v>
      </c>
      <c r="AT145" s="36">
        <f>((CurrentMtgRatesDataTable8711[[#This Row],[SeriesNumValue]]-$D$1)/$D$1+1)*100</f>
        <v>405.61081937648942</v>
      </c>
      <c r="AU145" s="36"/>
      <c r="AW145" s="7" t="s">
        <v>155</v>
      </c>
      <c r="AX145" s="10">
        <v>4.65732522111236E-2</v>
      </c>
      <c r="AY145" s="36">
        <f>((CurrentMtgRatesDataTable871112[[#This Row],[SeriesNumValue]]-$D$1)/$D$1+1)*100</f>
        <v>310.48834807415733</v>
      </c>
      <c r="AZ145" s="36"/>
      <c r="BB145" s="7" t="s">
        <v>155</v>
      </c>
      <c r="BC145" s="10">
        <v>2.8601910427867201E-2</v>
      </c>
      <c r="BD145" s="39">
        <f>((CurrentMtgRatesDataTable87111213[[#This Row],[SeriesNumValue]]-$D$1)/$D$1+1)*100</f>
        <v>190.67940285244802</v>
      </c>
      <c r="BE145" s="39"/>
      <c r="BG145" s="7" t="s">
        <v>155</v>
      </c>
      <c r="BH145" s="10">
        <v>1.8273129064639401E-2</v>
      </c>
      <c r="BI145" s="39">
        <f>((CurrentMtgRatesDataTable8711121314[[#This Row],[SeriesNumValue]]-$D$1)/$D$1+1)*100</f>
        <v>121.82086043092934</v>
      </c>
      <c r="BJ145" s="39" t="str">
        <f>YEAR(CurrentMtgRatesDataTable8711121314[[#This Row],[asofdate]])&amp;"-"&amp;MONTH(CurrentMtgRatesDataTable8711121314[[#This Row],[asofdate]])</f>
        <v>2015-1</v>
      </c>
      <c r="BK145" s="39">
        <f>CurrentMtgRatesDataTable8711121314[[#This Row],[SeriesNumValue]]</f>
        <v>1.8273129064639401E-2</v>
      </c>
      <c r="BL145" s="39">
        <f>VLOOKUP(CurrentMtgRatesDataTable8711121314[[#This Row],[asofdate]],AR:AT,2,0)</f>
        <v>6.0841622906473401E-2</v>
      </c>
      <c r="BM145" s="35">
        <f>IF(VLOOKUP(CurrentMtgRatesDataTable8711121314[[#This Row],[asofdate]],AW:AY,2,0)&lt;&gt;0,VLOOKUP(CurrentMtgRatesDataTable8711121314[[#This Row],[asofdate]],AW:AY,2,0),BM144)</f>
        <v>4.65732522111236E-2</v>
      </c>
      <c r="BN145" s="35">
        <f>VLOOKUP(CurrentMtgRatesDataTable8711121314[[#This Row],[asofdate]],BB:BD,2,0)</f>
        <v>2.8601910427867201E-2</v>
      </c>
      <c r="BO145" s="35">
        <f>CurrentMtgRatesDataTable8711121314[[#This Row],[FHA]]+0.5*CurrentMtgRatesDataTable8711121314[[#This Row],[Conventional]]</f>
        <v>6.9978187438793096E-2</v>
      </c>
      <c r="BP145" s="35">
        <f>2*CurrentMtgRatesDataTable8711121314[[#This Row],[FHA]]</f>
        <v>0.1216832458129468</v>
      </c>
      <c r="BQ145" s="11">
        <f>VLOOKUP(YEAR(CurrentMtgRatesDataTable8711121314[[#This Row],[asofdate]]),OriginationVolume!$A:$N,8,FALSE)</f>
        <v>0.54906832298136643</v>
      </c>
      <c r="BR145" s="11">
        <f>VLOOKUP(YEAR(CurrentMtgRatesDataTable8711121314[[#This Row],[asofdate]]),OriginationVolume!$A:$N,9,FALSE)</f>
        <v>6.0869565217391307E-2</v>
      </c>
      <c r="BS145" s="11">
        <f>VLOOKUP(YEAR(CurrentMtgRatesDataTable8711121314[[#This Row],[asofdate]]),OriginationVolume!$A:$N,10,FALSE)</f>
        <v>0.18260869565217391</v>
      </c>
      <c r="BT145" s="11">
        <f>VLOOKUP(YEAR(CurrentMtgRatesDataTable8711121314[[#This Row],[asofdate]]),OriginationVolume!$A:$N,11,FALSE)</f>
        <v>0.20248447204968945</v>
      </c>
      <c r="BU145" s="11">
        <f>VLOOKUP(YEAR(CurrentMtgRatesDataTable8711121314[[#This Row],[asofdate]]),OriginationVolume!$A:$N,12,FALSE)</f>
        <v>2.4844720496894411E-3</v>
      </c>
      <c r="BV145" s="11">
        <f>VLOOKUP(YEAR(CurrentMtgRatesDataTable8711121314[[#This Row],[asofdate]]),OriginationVolume!$A:$N,13,FALSE)</f>
        <v>2.4844720496894411E-3</v>
      </c>
      <c r="BW145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2.8154501709573867E-2</v>
      </c>
      <c r="BY145" s="7" t="s">
        <v>155</v>
      </c>
      <c r="BZ145" s="10">
        <v>7407106000</v>
      </c>
      <c r="CA145" s="36"/>
      <c r="CC145" s="7" t="s">
        <v>155</v>
      </c>
      <c r="CD145" s="10">
        <v>4582030000</v>
      </c>
      <c r="CE145" s="36"/>
      <c r="CG145" s="7" t="s">
        <v>155</v>
      </c>
      <c r="CH145" s="10">
        <v>32344105601.049999</v>
      </c>
      <c r="CI145" s="39"/>
      <c r="CK145" s="7" t="s">
        <v>155</v>
      </c>
      <c r="CL145" s="10">
        <v>20354969601.049999</v>
      </c>
      <c r="CM145" s="39" t="str">
        <f>YEAR(CurrentMtgRatesDataTable871112131417[[#This Row],[asofdate]])&amp;"-"&amp;MONTH(CurrentMtgRatesDataTable871112131417[[#This Row],[asofdate]])</f>
        <v>2015-1</v>
      </c>
      <c r="CN145" s="39">
        <f>CurrentMtgRatesDataTable871112131417[[#This Row],[SeriesNumValue]]</f>
        <v>20354969601.049999</v>
      </c>
      <c r="CO145" s="39">
        <f>VLOOKUP(CurrentMtgRatesDataTable871112131417[[#This Row],[asofdate]],BY:BZ,2,0)</f>
        <v>7407106000</v>
      </c>
      <c r="CP145" s="35">
        <f>IF(VLOOKUP(CurrentMtgRatesDataTable871112131417[[#This Row],[asofdate]],CC:CD,2,0)&lt;&gt;0,VLOOKUP(CurrentMtgRatesDataTable871112131417[[#This Row],[asofdate]],CC:CD,2,0),CP144)</f>
        <v>4582030000</v>
      </c>
      <c r="CQ145" s="35">
        <f>VLOOKUP(CurrentMtgRatesDataTable871112131417[[#This Row],[asofdate]],CG:CH,2,0)</f>
        <v>32344105601.049999</v>
      </c>
    </row>
    <row r="146" spans="1:95" s="8" customFormat="1" ht="12.75">
      <c r="A146" s="7" t="s">
        <v>156</v>
      </c>
      <c r="B146" s="10">
        <v>1.9502418205538101E-2</v>
      </c>
      <c r="C146" s="10" t="str">
        <f>YEAR(CurrentMtgRatesDataTable8[[#This Row],[asofdate]])&amp;"-"&amp;MONTH(CurrentMtgRatesDataTable8[[#This Row],[asofdate]])</f>
        <v>2015-2</v>
      </c>
      <c r="D146" s="6">
        <f>((CurrentMtgRatesDataTable8[[#This Row],[SeriesNumValue]]-$D$1)/$D$1+1)*100</f>
        <v>130.01612137025401</v>
      </c>
      <c r="E146" s="6"/>
      <c r="G146" s="7" t="s">
        <v>156</v>
      </c>
      <c r="H146" s="10">
        <v>82.797442291647002</v>
      </c>
      <c r="I146" s="26">
        <f>VLOOKUP(CurrentMtgRatesDataTable82[[#This Row],[asofdate]],K:L,2,0)</f>
        <v>0.32639568948507103</v>
      </c>
      <c r="K146" s="7" t="s">
        <v>156</v>
      </c>
      <c r="L146" s="29">
        <v>0.32639568948507103</v>
      </c>
      <c r="O146" s="7" t="s">
        <v>156</v>
      </c>
      <c r="P146" s="10">
        <v>34.977091666452097</v>
      </c>
      <c r="Q146" s="29">
        <f>VLOOKUP(CurrentMtgRatesDataTable84[[#This Row],[asofdate]],S:T,2,0)</f>
        <v>0.31891544150436202</v>
      </c>
      <c r="S146" s="7" t="s">
        <v>156</v>
      </c>
      <c r="T146" s="10">
        <v>0.31891544150436202</v>
      </c>
      <c r="W146" s="7" t="s">
        <v>156</v>
      </c>
      <c r="X146" s="10">
        <v>749.19541878162897</v>
      </c>
      <c r="Y146" s="26">
        <f>VLOOKUP(CurrentMtgRatesDataTable86[[#This Row],[asofdate]],AA:AB,2,0)</f>
        <v>0.15820396976652601</v>
      </c>
      <c r="AA146" s="7" t="s">
        <v>156</v>
      </c>
      <c r="AB146" s="10">
        <v>0.15820396976652601</v>
      </c>
      <c r="AE146" s="7" t="s">
        <v>39</v>
      </c>
      <c r="AF146" s="10">
        <v>1.65993963000538E-2</v>
      </c>
      <c r="AG146" s="10" t="str">
        <f>YEAR(CurrentMtgRatesDataTable89[[#This Row],[asofdate]])&amp;"-"&amp;MONTH(CurrentMtgRatesDataTable89[[#This Row],[asofdate]])</f>
        <v>2003-10</v>
      </c>
      <c r="AH146" s="6">
        <f>((CurrentMtgRatesDataTable89[[#This Row],[SeriesNumValue]]-$D$1)/$D$1+1)*100</f>
        <v>110.66264200035867</v>
      </c>
      <c r="AI146" s="6">
        <f>CurrentMtgRatesDataTable89[[#This Row],[Index]]-AH147</f>
        <v>-6.1485520092919757</v>
      </c>
      <c r="AJ146" s="6">
        <f>VLOOKUP(CurrentMtgRatesDataTable89[[#This Row],[asofdate]],G:H,2,0)</f>
        <v>81.320760062110907</v>
      </c>
      <c r="AK146" s="6">
        <f>VLOOKUP(CurrentMtgRatesDataTable89[[#This Row],[asofdate]],K:L,2,0)</f>
        <v>0.277259359255842</v>
      </c>
      <c r="AL146" s="6">
        <f>VLOOKUP(CurrentMtgRatesDataTable89[[#This Row],[asofdate]],O:P,2,0)</f>
        <v>34.340700588560999</v>
      </c>
      <c r="AM146" s="6">
        <f>VLOOKUP(CurrentMtgRatesDataTable89[[#This Row],[asofdate]],S:T,2,0)</f>
        <v>1.60589800396303E-2</v>
      </c>
      <c r="AN146" s="6">
        <f>VLOOKUP(CurrentMtgRatesDataTable89[[#This Row],[asofdate]],W:X,2,0)</f>
        <v>722.36621872594401</v>
      </c>
      <c r="AO146" s="6">
        <f>VLOOKUP(CurrentMtgRatesDataTable89[[#This Row],[asofdate]],AA:AB,2,0)</f>
        <v>0.32553899803949699</v>
      </c>
      <c r="AR146" s="7" t="s">
        <v>156</v>
      </c>
      <c r="AS146" s="10">
        <v>6.2622998242086406E-2</v>
      </c>
      <c r="AT146" s="36">
        <f>((CurrentMtgRatesDataTable8711[[#This Row],[SeriesNumValue]]-$D$1)/$D$1+1)*100</f>
        <v>417.48665494724276</v>
      </c>
      <c r="AU146" s="36"/>
      <c r="AW146" s="7" t="s">
        <v>156</v>
      </c>
      <c r="AX146" s="10">
        <v>4.7552411446694302E-2</v>
      </c>
      <c r="AY146" s="36">
        <f>((CurrentMtgRatesDataTable871112[[#This Row],[SeriesNumValue]]-$D$1)/$D$1+1)*100</f>
        <v>317.01607631129536</v>
      </c>
      <c r="AZ146" s="36"/>
      <c r="BB146" s="7" t="s">
        <v>156</v>
      </c>
      <c r="BC146" s="10">
        <v>2.9706495876540399E-2</v>
      </c>
      <c r="BD146" s="39">
        <f>((CurrentMtgRatesDataTable87111213[[#This Row],[SeriesNumValue]]-$D$1)/$D$1+1)*100</f>
        <v>198.04330584360267</v>
      </c>
      <c r="BE146" s="39"/>
      <c r="BG146" s="7" t="s">
        <v>156</v>
      </c>
      <c r="BH146" s="10">
        <v>1.8941540337179898E-2</v>
      </c>
      <c r="BI146" s="39">
        <f>((CurrentMtgRatesDataTable8711121314[[#This Row],[SeriesNumValue]]-$D$1)/$D$1+1)*100</f>
        <v>126.27693558119933</v>
      </c>
      <c r="BJ146" s="39" t="str">
        <f>YEAR(CurrentMtgRatesDataTable8711121314[[#This Row],[asofdate]])&amp;"-"&amp;MONTH(CurrentMtgRatesDataTable8711121314[[#This Row],[asofdate]])</f>
        <v>2015-2</v>
      </c>
      <c r="BK146" s="39">
        <f>CurrentMtgRatesDataTable8711121314[[#This Row],[SeriesNumValue]]</f>
        <v>1.8941540337179898E-2</v>
      </c>
      <c r="BL146" s="39">
        <f>VLOOKUP(CurrentMtgRatesDataTable8711121314[[#This Row],[asofdate]],AR:AT,2,0)</f>
        <v>6.2622998242086406E-2</v>
      </c>
      <c r="BM146" s="35">
        <f>IF(VLOOKUP(CurrentMtgRatesDataTable8711121314[[#This Row],[asofdate]],AW:AY,2,0)&lt;&gt;0,VLOOKUP(CurrentMtgRatesDataTable8711121314[[#This Row],[asofdate]],AW:AY,2,0),BM145)</f>
        <v>4.7552411446694302E-2</v>
      </c>
      <c r="BN146" s="35">
        <f>VLOOKUP(CurrentMtgRatesDataTable8711121314[[#This Row],[asofdate]],BB:BD,2,0)</f>
        <v>2.9706495876540399E-2</v>
      </c>
      <c r="BO146" s="35">
        <f>CurrentMtgRatesDataTable8711121314[[#This Row],[FHA]]+0.5*CurrentMtgRatesDataTable8711121314[[#This Row],[Conventional]]</f>
        <v>7.2093768410676357E-2</v>
      </c>
      <c r="BP146" s="35">
        <f>2*CurrentMtgRatesDataTable8711121314[[#This Row],[FHA]]</f>
        <v>0.12524599648417281</v>
      </c>
      <c r="BQ146" s="11">
        <f>VLOOKUP(YEAR(CurrentMtgRatesDataTable8711121314[[#This Row],[asofdate]]),OriginationVolume!$A:$N,8,FALSE)</f>
        <v>0.54906832298136643</v>
      </c>
      <c r="BR146" s="11">
        <f>VLOOKUP(YEAR(CurrentMtgRatesDataTable8711121314[[#This Row],[asofdate]]),OriginationVolume!$A:$N,9,FALSE)</f>
        <v>6.0869565217391307E-2</v>
      </c>
      <c r="BS146" s="11">
        <f>VLOOKUP(YEAR(CurrentMtgRatesDataTable8711121314[[#This Row],[asofdate]]),OriginationVolume!$A:$N,10,FALSE)</f>
        <v>0.18260869565217391</v>
      </c>
      <c r="BT146" s="11">
        <f>VLOOKUP(YEAR(CurrentMtgRatesDataTable8711121314[[#This Row],[asofdate]]),OriginationVolume!$A:$N,11,FALSE)</f>
        <v>0.20248447204968945</v>
      </c>
      <c r="BU146" s="11">
        <f>VLOOKUP(YEAR(CurrentMtgRatesDataTable8711121314[[#This Row],[asofdate]]),OriginationVolume!$A:$N,12,FALSE)</f>
        <v>2.4844720496894411E-3</v>
      </c>
      <c r="BV146" s="11">
        <f>VLOOKUP(YEAR(CurrentMtgRatesDataTable8711121314[[#This Row],[asofdate]]),OriginationVolume!$A:$N,13,FALSE)</f>
        <v>2.4844720496894411E-3</v>
      </c>
      <c r="BW146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2.9055851349389143E-2</v>
      </c>
      <c r="BY146" s="7" t="s">
        <v>156</v>
      </c>
      <c r="BZ146" s="10">
        <v>8367088000</v>
      </c>
      <c r="CA146" s="36"/>
      <c r="CC146" s="7" t="s">
        <v>156</v>
      </c>
      <c r="CD146" s="10">
        <v>5404946000</v>
      </c>
      <c r="CE146" s="36"/>
      <c r="CG146" s="7" t="s">
        <v>156</v>
      </c>
      <c r="CH146" s="10">
        <v>36532780903.989998</v>
      </c>
      <c r="CI146" s="39"/>
      <c r="CK146" s="7" t="s">
        <v>156</v>
      </c>
      <c r="CL146" s="10">
        <v>22760746903.990002</v>
      </c>
      <c r="CM146" s="39" t="str">
        <f>YEAR(CurrentMtgRatesDataTable871112131417[[#This Row],[asofdate]])&amp;"-"&amp;MONTH(CurrentMtgRatesDataTable871112131417[[#This Row],[asofdate]])</f>
        <v>2015-2</v>
      </c>
      <c r="CN146" s="39">
        <f>CurrentMtgRatesDataTable871112131417[[#This Row],[SeriesNumValue]]</f>
        <v>22760746903.990002</v>
      </c>
      <c r="CO146" s="39">
        <f>VLOOKUP(CurrentMtgRatesDataTable871112131417[[#This Row],[asofdate]],BY:BZ,2,0)</f>
        <v>8367088000</v>
      </c>
      <c r="CP146" s="35">
        <f>IF(VLOOKUP(CurrentMtgRatesDataTable871112131417[[#This Row],[asofdate]],CC:CD,2,0)&lt;&gt;0,VLOOKUP(CurrentMtgRatesDataTable871112131417[[#This Row],[asofdate]],CC:CD,2,0),CP145)</f>
        <v>5404946000</v>
      </c>
      <c r="CQ146" s="35">
        <f>VLOOKUP(CurrentMtgRatesDataTable871112131417[[#This Row],[asofdate]],CG:CH,2,0)</f>
        <v>36532780903.989998</v>
      </c>
    </row>
    <row r="147" spans="1:95" s="8" customFormat="1" ht="12.75">
      <c r="A147" s="7" t="s">
        <v>157</v>
      </c>
      <c r="B147" s="10">
        <v>1.9353094342445299E-2</v>
      </c>
      <c r="C147" s="10" t="str">
        <f>YEAR(CurrentMtgRatesDataTable8[[#This Row],[asofdate]])&amp;"-"&amp;MONTH(CurrentMtgRatesDataTable8[[#This Row],[asofdate]])</f>
        <v>2015-3</v>
      </c>
      <c r="D147" s="6">
        <f>((CurrentMtgRatesDataTable8[[#This Row],[SeriesNumValue]]-$D$1)/$D$1+1)*100</f>
        <v>129.02062894963532</v>
      </c>
      <c r="E147" s="6"/>
      <c r="G147" s="7" t="s">
        <v>157</v>
      </c>
      <c r="H147" s="10">
        <v>82.670412455831396</v>
      </c>
      <c r="I147" s="26">
        <f>VLOOKUP(CurrentMtgRatesDataTable82[[#This Row],[asofdate]],K:L,2,0)</f>
        <v>0.31944629098959199</v>
      </c>
      <c r="K147" s="7" t="s">
        <v>157</v>
      </c>
      <c r="L147" s="29">
        <v>0.31944629098959199</v>
      </c>
      <c r="O147" s="7" t="s">
        <v>157</v>
      </c>
      <c r="P147" s="10">
        <v>35.030167018357901</v>
      </c>
      <c r="Q147" s="29">
        <f>VLOOKUP(CurrentMtgRatesDataTable84[[#This Row],[asofdate]],S:T,2,0)</f>
        <v>0.32259034578546503</v>
      </c>
      <c r="S147" s="7" t="s">
        <v>157</v>
      </c>
      <c r="T147" s="10">
        <v>0.32259034578546503</v>
      </c>
      <c r="W147" s="7" t="s">
        <v>157</v>
      </c>
      <c r="X147" s="10">
        <v>749.12841065391603</v>
      </c>
      <c r="Y147" s="26">
        <f>VLOOKUP(CurrentMtgRatesDataTable86[[#This Row],[asofdate]],AA:AB,2,0)</f>
        <v>0.16075689815949701</v>
      </c>
      <c r="AA147" s="7" t="s">
        <v>157</v>
      </c>
      <c r="AB147" s="10">
        <v>0.16075689815949701</v>
      </c>
      <c r="AE147" s="7" t="s">
        <v>38</v>
      </c>
      <c r="AF147" s="10">
        <v>1.7521679101447599E-2</v>
      </c>
      <c r="AG147" s="10" t="str">
        <f>YEAR(CurrentMtgRatesDataTable89[[#This Row],[asofdate]])&amp;"-"&amp;MONTH(CurrentMtgRatesDataTable89[[#This Row],[asofdate]])</f>
        <v>2003-9</v>
      </c>
      <c r="AH147" s="6">
        <f>((CurrentMtgRatesDataTable89[[#This Row],[SeriesNumValue]]-$D$1)/$D$1+1)*100</f>
        <v>116.81119400965065</v>
      </c>
      <c r="AI147" s="6">
        <f>CurrentMtgRatesDataTable89[[#This Row],[Index]]-AH148</f>
        <v>-27.004643606159362</v>
      </c>
      <c r="AJ147" s="6">
        <f>VLOOKUP(CurrentMtgRatesDataTable89[[#This Row],[asofdate]],G:H,2,0)</f>
        <v>81.227017736325195</v>
      </c>
      <c r="AK147" s="6">
        <f>VLOOKUP(CurrentMtgRatesDataTable89[[#This Row],[asofdate]],K:L,2,0)</f>
        <v>0.26227784163185702</v>
      </c>
      <c r="AL147" s="6">
        <f>VLOOKUP(CurrentMtgRatesDataTable89[[#This Row],[asofdate]],O:P,2,0)</f>
        <v>33.486119352874702</v>
      </c>
      <c r="AM147" s="6">
        <f>VLOOKUP(CurrentMtgRatesDataTable89[[#This Row],[asofdate]],S:T,2,0)</f>
        <v>1.3995634497627101E-2</v>
      </c>
      <c r="AN147" s="6">
        <f>VLOOKUP(CurrentMtgRatesDataTable89[[#This Row],[asofdate]],W:X,2,0)</f>
        <v>724.69367741606698</v>
      </c>
      <c r="AO147" s="6">
        <f>VLOOKUP(CurrentMtgRatesDataTable89[[#This Row],[asofdate]],AA:AB,2,0)</f>
        <v>0.30671224499643901</v>
      </c>
      <c r="AR147" s="7" t="s">
        <v>157</v>
      </c>
      <c r="AS147" s="10">
        <v>6.6263717165098004E-2</v>
      </c>
      <c r="AT147" s="36">
        <f>((CurrentMtgRatesDataTable8711[[#This Row],[SeriesNumValue]]-$D$1)/$D$1+1)*100</f>
        <v>441.75811443398663</v>
      </c>
      <c r="AU147" s="36"/>
      <c r="AW147" s="7" t="s">
        <v>157</v>
      </c>
      <c r="AX147" s="10">
        <v>4.9418960876341803E-2</v>
      </c>
      <c r="AY147" s="36">
        <f>((CurrentMtgRatesDataTable871112[[#This Row],[SeriesNumValue]]-$D$1)/$D$1+1)*100</f>
        <v>329.45973917561207</v>
      </c>
      <c r="AZ147" s="36"/>
      <c r="BB147" s="7" t="s">
        <v>157</v>
      </c>
      <c r="BC147" s="10">
        <v>3.0273579841232901E-2</v>
      </c>
      <c r="BD147" s="39">
        <f>((CurrentMtgRatesDataTable87111213[[#This Row],[SeriesNumValue]]-$D$1)/$D$1+1)*100</f>
        <v>201.82386560821931</v>
      </c>
      <c r="BE147" s="39"/>
      <c r="BG147" s="7" t="s">
        <v>157</v>
      </c>
      <c r="BH147" s="10">
        <v>1.9426549529739E-2</v>
      </c>
      <c r="BI147" s="39">
        <f>((CurrentMtgRatesDataTable8711121314[[#This Row],[SeriesNumValue]]-$D$1)/$D$1+1)*100</f>
        <v>129.51033019826002</v>
      </c>
      <c r="BJ147" s="39" t="str">
        <f>YEAR(CurrentMtgRatesDataTable8711121314[[#This Row],[asofdate]])&amp;"-"&amp;MONTH(CurrentMtgRatesDataTable8711121314[[#This Row],[asofdate]])</f>
        <v>2015-3</v>
      </c>
      <c r="BK147" s="39">
        <f>CurrentMtgRatesDataTable8711121314[[#This Row],[SeriesNumValue]]</f>
        <v>1.9426549529739E-2</v>
      </c>
      <c r="BL147" s="39">
        <f>VLOOKUP(CurrentMtgRatesDataTable8711121314[[#This Row],[asofdate]],AR:AT,2,0)</f>
        <v>6.6263717165098004E-2</v>
      </c>
      <c r="BM147" s="35">
        <f>IF(VLOOKUP(CurrentMtgRatesDataTable8711121314[[#This Row],[asofdate]],AW:AY,2,0)&lt;&gt;0,VLOOKUP(CurrentMtgRatesDataTable8711121314[[#This Row],[asofdate]],AW:AY,2,0),BM146)</f>
        <v>4.9418960876341803E-2</v>
      </c>
      <c r="BN147" s="35">
        <f>VLOOKUP(CurrentMtgRatesDataTable8711121314[[#This Row],[asofdate]],BB:BD,2,0)</f>
        <v>3.0273579841232901E-2</v>
      </c>
      <c r="BO147" s="35">
        <f>CurrentMtgRatesDataTable8711121314[[#This Row],[FHA]]+0.5*CurrentMtgRatesDataTable8711121314[[#This Row],[Conventional]]</f>
        <v>7.59769919299675E-2</v>
      </c>
      <c r="BP147" s="35">
        <f>2*CurrentMtgRatesDataTable8711121314[[#This Row],[FHA]]</f>
        <v>0.13252743433019601</v>
      </c>
      <c r="BQ147" s="11">
        <f>VLOOKUP(YEAR(CurrentMtgRatesDataTable8711121314[[#This Row],[asofdate]]),OriginationVolume!$A:$N,8,FALSE)</f>
        <v>0.54906832298136643</v>
      </c>
      <c r="BR147" s="11">
        <f>VLOOKUP(YEAR(CurrentMtgRatesDataTable8711121314[[#This Row],[asofdate]]),OriginationVolume!$A:$N,9,FALSE)</f>
        <v>6.0869565217391307E-2</v>
      </c>
      <c r="BS147" s="11">
        <f>VLOOKUP(YEAR(CurrentMtgRatesDataTable8711121314[[#This Row],[asofdate]]),OriginationVolume!$A:$N,10,FALSE)</f>
        <v>0.18260869565217391</v>
      </c>
      <c r="BT147" s="11">
        <f>VLOOKUP(YEAR(CurrentMtgRatesDataTable8711121314[[#This Row],[asofdate]]),OriginationVolume!$A:$N,11,FALSE)</f>
        <v>0.20248447204968945</v>
      </c>
      <c r="BU147" s="11">
        <f>VLOOKUP(YEAR(CurrentMtgRatesDataTable8711121314[[#This Row],[asofdate]]),OriginationVolume!$A:$N,12,FALSE)</f>
        <v>2.4844720496894411E-3</v>
      </c>
      <c r="BV147" s="11">
        <f>VLOOKUP(YEAR(CurrentMtgRatesDataTable8711121314[[#This Row],[asofdate]]),OriginationVolume!$A:$N,13,FALSE)</f>
        <v>2.4844720496894411E-3</v>
      </c>
      <c r="BW147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3.0226542638785808E-2</v>
      </c>
      <c r="BY147" s="7" t="s">
        <v>157</v>
      </c>
      <c r="BZ147" s="10">
        <v>5462043000</v>
      </c>
      <c r="CA147" s="36"/>
      <c r="CC147" s="7" t="s">
        <v>157</v>
      </c>
      <c r="CD147" s="10">
        <v>3593740000</v>
      </c>
      <c r="CE147" s="36"/>
      <c r="CG147" s="7" t="s">
        <v>157</v>
      </c>
      <c r="CH147" s="10">
        <v>24933874986</v>
      </c>
      <c r="CI147" s="39"/>
      <c r="CK147" s="7" t="s">
        <v>157</v>
      </c>
      <c r="CL147" s="10">
        <v>15878091986</v>
      </c>
      <c r="CM147" s="39" t="str">
        <f>YEAR(CurrentMtgRatesDataTable871112131417[[#This Row],[asofdate]])&amp;"-"&amp;MONTH(CurrentMtgRatesDataTable871112131417[[#This Row],[asofdate]])</f>
        <v>2015-3</v>
      </c>
      <c r="CN147" s="39">
        <f>CurrentMtgRatesDataTable871112131417[[#This Row],[SeriesNumValue]]</f>
        <v>15878091986</v>
      </c>
      <c r="CO147" s="39">
        <f>VLOOKUP(CurrentMtgRatesDataTable871112131417[[#This Row],[asofdate]],BY:BZ,2,0)</f>
        <v>5462043000</v>
      </c>
      <c r="CP147" s="35">
        <f>IF(VLOOKUP(CurrentMtgRatesDataTable871112131417[[#This Row],[asofdate]],CC:CD,2,0)&lt;&gt;0,VLOOKUP(CurrentMtgRatesDataTable871112131417[[#This Row],[asofdate]],CC:CD,2,0),CP146)</f>
        <v>3593740000</v>
      </c>
      <c r="CQ147" s="35">
        <f>VLOOKUP(CurrentMtgRatesDataTable871112131417[[#This Row],[asofdate]],CG:CH,2,0)</f>
        <v>24933874986</v>
      </c>
    </row>
    <row r="148" spans="1:95" s="8" customFormat="1" ht="12.75">
      <c r="A148" s="7" t="s">
        <v>29</v>
      </c>
      <c r="B148" s="10">
        <v>1.7730220299065898E-2</v>
      </c>
      <c r="C148" s="10" t="str">
        <f>YEAR(CurrentMtgRatesDataTable8[[#This Row],[asofdate]])&amp;"-"&amp;MONTH(CurrentMtgRatesDataTable8[[#This Row],[asofdate]])</f>
        <v>2015-4</v>
      </c>
      <c r="D148" s="6">
        <f>((CurrentMtgRatesDataTable8[[#This Row],[SeriesNumValue]]-$D$1)/$D$1+1)*100</f>
        <v>118.20146866043932</v>
      </c>
      <c r="E148" s="6"/>
      <c r="G148" s="7" t="s">
        <v>29</v>
      </c>
      <c r="H148" s="10">
        <v>82.944046147233095</v>
      </c>
      <c r="I148" s="26">
        <f>VLOOKUP(CurrentMtgRatesDataTable82[[#This Row],[asofdate]],K:L,2,0)</f>
        <v>0.32942245001412301</v>
      </c>
      <c r="K148" s="7" t="s">
        <v>29</v>
      </c>
      <c r="L148" s="29">
        <v>0.32942245001412301</v>
      </c>
      <c r="O148" s="7" t="s">
        <v>29</v>
      </c>
      <c r="P148" s="10">
        <v>34.5918772932</v>
      </c>
      <c r="Q148" s="29">
        <f>VLOOKUP(CurrentMtgRatesDataTable84[[#This Row],[asofdate]],S:T,2,0)</f>
        <v>0.302200706894452</v>
      </c>
      <c r="S148" s="7" t="s">
        <v>29</v>
      </c>
      <c r="T148" s="10">
        <v>0.302200706894452</v>
      </c>
      <c r="W148" s="7" t="s">
        <v>29</v>
      </c>
      <c r="X148" s="10">
        <v>750.551434296298</v>
      </c>
      <c r="Y148" s="26">
        <f>VLOOKUP(CurrentMtgRatesDataTable86[[#This Row],[asofdate]],AA:AB,2,0)</f>
        <v>0.14698447110622201</v>
      </c>
      <c r="AA148" s="7" t="s">
        <v>29</v>
      </c>
      <c r="AB148" s="10">
        <v>0.14698447110622201</v>
      </c>
      <c r="AE148" s="7" t="s">
        <v>37</v>
      </c>
      <c r="AF148" s="10">
        <v>2.1572375642371501E-2</v>
      </c>
      <c r="AG148" s="10" t="str">
        <f>YEAR(CurrentMtgRatesDataTable89[[#This Row],[asofdate]])&amp;"-"&amp;MONTH(CurrentMtgRatesDataTable89[[#This Row],[asofdate]])</f>
        <v>2003-8</v>
      </c>
      <c r="AH148" s="6">
        <f>((CurrentMtgRatesDataTable89[[#This Row],[SeriesNumValue]]-$D$1)/$D$1+1)*100</f>
        <v>143.81583761581001</v>
      </c>
      <c r="AI148" s="6">
        <f>CurrentMtgRatesDataTable89[[#This Row],[Index]]-AH149</f>
        <v>-7.0524786470119807</v>
      </c>
      <c r="AJ148" s="6">
        <f>VLOOKUP(CurrentMtgRatesDataTable89[[#This Row],[asofdate]],G:H,2,0)</f>
        <v>81.296483519552396</v>
      </c>
      <c r="AK148" s="6">
        <f>VLOOKUP(CurrentMtgRatesDataTable89[[#This Row],[asofdate]],K:L,2,0)</f>
        <v>0.26159531298609601</v>
      </c>
      <c r="AL148" s="6">
        <f>VLOOKUP(CurrentMtgRatesDataTable89[[#This Row],[asofdate]],O:P,2,0)</f>
        <v>33.501180220584502</v>
      </c>
      <c r="AM148" s="6">
        <f>VLOOKUP(CurrentMtgRatesDataTable89[[#This Row],[asofdate]],S:T,2,0)</f>
        <v>1.3216576425238401E-2</v>
      </c>
      <c r="AN148" s="6">
        <f>VLOOKUP(CurrentMtgRatesDataTable89[[#This Row],[asofdate]],W:X,2,0)</f>
        <v>724.12904796089799</v>
      </c>
      <c r="AO148" s="6">
        <f>VLOOKUP(CurrentMtgRatesDataTable89[[#This Row],[asofdate]],AA:AB,2,0)</f>
        <v>0.310151776706795</v>
      </c>
      <c r="AR148" s="7" t="s">
        <v>29</v>
      </c>
      <c r="AS148" s="10">
        <v>6.1486236715359202E-2</v>
      </c>
      <c r="AT148" s="36">
        <f>((CurrentMtgRatesDataTable8711[[#This Row],[SeriesNumValue]]-$D$1)/$D$1+1)*100</f>
        <v>409.90824476906135</v>
      </c>
      <c r="AU148" s="36"/>
      <c r="AW148" s="7" t="s">
        <v>29</v>
      </c>
      <c r="AX148" s="10">
        <v>4.7615630618715099E-2</v>
      </c>
      <c r="AY148" s="36">
        <f>((CurrentMtgRatesDataTable871112[[#This Row],[SeriesNumValue]]-$D$1)/$D$1+1)*100</f>
        <v>317.43753745810068</v>
      </c>
      <c r="AZ148" s="36"/>
      <c r="BB148" s="7" t="s">
        <v>29</v>
      </c>
      <c r="BC148" s="10">
        <v>2.9032528308857102E-2</v>
      </c>
      <c r="BD148" s="39">
        <f>((CurrentMtgRatesDataTable87111213[[#This Row],[SeriesNumValue]]-$D$1)/$D$1+1)*100</f>
        <v>193.55018872571401</v>
      </c>
      <c r="BE148" s="39"/>
      <c r="BG148" s="7" t="s">
        <v>29</v>
      </c>
      <c r="BH148" s="10">
        <v>1.7817477432637101E-2</v>
      </c>
      <c r="BI148" s="39">
        <f>((CurrentMtgRatesDataTable8711121314[[#This Row],[SeriesNumValue]]-$D$1)/$D$1+1)*100</f>
        <v>118.78318288424734</v>
      </c>
      <c r="BJ148" s="39" t="str">
        <f>YEAR(CurrentMtgRatesDataTable8711121314[[#This Row],[asofdate]])&amp;"-"&amp;MONTH(CurrentMtgRatesDataTable8711121314[[#This Row],[asofdate]])</f>
        <v>2015-4</v>
      </c>
      <c r="BK148" s="39">
        <f>CurrentMtgRatesDataTable8711121314[[#This Row],[SeriesNumValue]]</f>
        <v>1.7817477432637101E-2</v>
      </c>
      <c r="BL148" s="39">
        <f>VLOOKUP(CurrentMtgRatesDataTable8711121314[[#This Row],[asofdate]],AR:AT,2,0)</f>
        <v>6.1486236715359202E-2</v>
      </c>
      <c r="BM148" s="35">
        <f>IF(VLOOKUP(CurrentMtgRatesDataTable8711121314[[#This Row],[asofdate]],AW:AY,2,0)&lt;&gt;0,VLOOKUP(CurrentMtgRatesDataTable8711121314[[#This Row],[asofdate]],AW:AY,2,0),BM147)</f>
        <v>4.7615630618715099E-2</v>
      </c>
      <c r="BN148" s="35">
        <f>VLOOKUP(CurrentMtgRatesDataTable8711121314[[#This Row],[asofdate]],BB:BD,2,0)</f>
        <v>2.9032528308857102E-2</v>
      </c>
      <c r="BO148" s="35">
        <f>CurrentMtgRatesDataTable8711121314[[#This Row],[FHA]]+0.5*CurrentMtgRatesDataTable8711121314[[#This Row],[Conventional]]</f>
        <v>7.0394975431677748E-2</v>
      </c>
      <c r="BP148" s="35">
        <f>2*CurrentMtgRatesDataTable8711121314[[#This Row],[FHA]]</f>
        <v>0.1229724734307184</v>
      </c>
      <c r="BQ148" s="11">
        <f>VLOOKUP(YEAR(CurrentMtgRatesDataTable8711121314[[#This Row],[asofdate]]),OriginationVolume!$A:$N,8,FALSE)</f>
        <v>0.54906832298136643</v>
      </c>
      <c r="BR148" s="11">
        <f>VLOOKUP(YEAR(CurrentMtgRatesDataTable8711121314[[#This Row],[asofdate]]),OriginationVolume!$A:$N,9,FALSE)</f>
        <v>6.0869565217391307E-2</v>
      </c>
      <c r="BS148" s="11">
        <f>VLOOKUP(YEAR(CurrentMtgRatesDataTable8711121314[[#This Row],[asofdate]]),OriginationVolume!$A:$N,10,FALSE)</f>
        <v>0.18260869565217391</v>
      </c>
      <c r="BT148" s="11">
        <f>VLOOKUP(YEAR(CurrentMtgRatesDataTable8711121314[[#This Row],[asofdate]]),OriginationVolume!$A:$N,11,FALSE)</f>
        <v>0.20248447204968945</v>
      </c>
      <c r="BU148" s="11">
        <f>VLOOKUP(YEAR(CurrentMtgRatesDataTable8711121314[[#This Row],[asofdate]]),OriginationVolume!$A:$N,12,FALSE)</f>
        <v>2.4844720496894411E-3</v>
      </c>
      <c r="BV148" s="11">
        <f>VLOOKUP(YEAR(CurrentMtgRatesDataTable8711121314[[#This Row],[asofdate]]),OriginationVolume!$A:$N,13,FALSE)</f>
        <v>2.4844720496894411E-3</v>
      </c>
      <c r="BW148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2.799745520738519E-2</v>
      </c>
      <c r="BY148" s="7" t="s">
        <v>29</v>
      </c>
      <c r="BZ148" s="10">
        <v>7189366000</v>
      </c>
      <c r="CA148" s="36"/>
      <c r="CC148" s="7" t="s">
        <v>29</v>
      </c>
      <c r="CD148" s="10">
        <v>3934514000</v>
      </c>
      <c r="CE148" s="36"/>
      <c r="CG148" s="7" t="s">
        <v>29</v>
      </c>
      <c r="CH148" s="10">
        <v>28438741301.779999</v>
      </c>
      <c r="CI148" s="39"/>
      <c r="CK148" s="7" t="s">
        <v>29</v>
      </c>
      <c r="CL148" s="10">
        <v>17314861301.779999</v>
      </c>
      <c r="CM148" s="39" t="str">
        <f>YEAR(CurrentMtgRatesDataTable871112131417[[#This Row],[asofdate]])&amp;"-"&amp;MONTH(CurrentMtgRatesDataTable871112131417[[#This Row],[asofdate]])</f>
        <v>2015-4</v>
      </c>
      <c r="CN148" s="39">
        <f>CurrentMtgRatesDataTable871112131417[[#This Row],[SeriesNumValue]]</f>
        <v>17314861301.779999</v>
      </c>
      <c r="CO148" s="39">
        <f>VLOOKUP(CurrentMtgRatesDataTable871112131417[[#This Row],[asofdate]],BY:BZ,2,0)</f>
        <v>7189366000</v>
      </c>
      <c r="CP148" s="35">
        <f>IF(VLOOKUP(CurrentMtgRatesDataTable871112131417[[#This Row],[asofdate]],CC:CD,2,0)&lt;&gt;0,VLOOKUP(CurrentMtgRatesDataTable871112131417[[#This Row],[asofdate]],CC:CD,2,0),CP147)</f>
        <v>3934514000</v>
      </c>
      <c r="CQ148" s="35">
        <f>VLOOKUP(CurrentMtgRatesDataTable871112131417[[#This Row],[asofdate]],CG:CH,2,0)</f>
        <v>28438741301.779999</v>
      </c>
    </row>
    <row r="149" spans="1:95" s="8" customFormat="1" ht="12.75">
      <c r="A149" s="7" t="s">
        <v>30</v>
      </c>
      <c r="B149" s="10">
        <v>1.79100237130203E-2</v>
      </c>
      <c r="C149" s="10" t="str">
        <f>YEAR(CurrentMtgRatesDataTable8[[#This Row],[asofdate]])&amp;"-"&amp;MONTH(CurrentMtgRatesDataTable8[[#This Row],[asofdate]])</f>
        <v>2015-5</v>
      </c>
      <c r="D149" s="6">
        <f>((CurrentMtgRatesDataTable8[[#This Row],[SeriesNumValue]]-$D$1)/$D$1+1)*100</f>
        <v>119.40015808680199</v>
      </c>
      <c r="E149" s="6"/>
      <c r="G149" s="7" t="s">
        <v>30</v>
      </c>
      <c r="H149" s="10">
        <v>82.914251622219993</v>
      </c>
      <c r="I149" s="26">
        <f>VLOOKUP(CurrentMtgRatesDataTable82[[#This Row],[asofdate]],K:L,2,0)</f>
        <v>0.32905687634557701</v>
      </c>
      <c r="K149" s="7" t="s">
        <v>30</v>
      </c>
      <c r="L149" s="29">
        <v>0.32905687634557701</v>
      </c>
      <c r="O149" s="7" t="s">
        <v>30</v>
      </c>
      <c r="P149" s="10">
        <v>34.608345578366901</v>
      </c>
      <c r="Q149" s="29">
        <f>VLOOKUP(CurrentMtgRatesDataTable84[[#This Row],[asofdate]],S:T,2,0)</f>
        <v>0.30210027734452</v>
      </c>
      <c r="S149" s="7" t="s">
        <v>30</v>
      </c>
      <c r="T149" s="10">
        <v>0.30210027734452</v>
      </c>
      <c r="W149" s="7" t="s">
        <v>30</v>
      </c>
      <c r="X149" s="10">
        <v>751.42302592643603</v>
      </c>
      <c r="Y149" s="26">
        <f>VLOOKUP(CurrentMtgRatesDataTable86[[#This Row],[asofdate]],AA:AB,2,0)</f>
        <v>0.14202706216225799</v>
      </c>
      <c r="AA149" s="7" t="s">
        <v>30</v>
      </c>
      <c r="AB149" s="10">
        <v>0.14202706216225799</v>
      </c>
      <c r="AE149" s="7" t="s">
        <v>36</v>
      </c>
      <c r="AF149" s="10">
        <v>2.2630247439423299E-2</v>
      </c>
      <c r="AG149" s="10" t="str">
        <f>YEAR(CurrentMtgRatesDataTable89[[#This Row],[asofdate]])&amp;"-"&amp;MONTH(CurrentMtgRatesDataTable89[[#This Row],[asofdate]])</f>
        <v>2003-7</v>
      </c>
      <c r="AH149" s="6">
        <f>((CurrentMtgRatesDataTable89[[#This Row],[SeriesNumValue]]-$D$1)/$D$1+1)*100</f>
        <v>150.86831626282199</v>
      </c>
      <c r="AI149" s="6">
        <f>CurrentMtgRatesDataTable89[[#This Row],[Index]]-AH150</f>
        <v>10.773195673281975</v>
      </c>
      <c r="AJ149" s="6">
        <f>VLOOKUP(CurrentMtgRatesDataTable89[[#This Row],[asofdate]],G:H,2,0)</f>
        <v>81.557650650953207</v>
      </c>
      <c r="AK149" s="6">
        <f>VLOOKUP(CurrentMtgRatesDataTable89[[#This Row],[asofdate]],K:L,2,0)</f>
        <v>0.271915360199874</v>
      </c>
      <c r="AL149" s="6">
        <f>VLOOKUP(CurrentMtgRatesDataTable89[[#This Row],[asofdate]],O:P,2,0)</f>
        <v>34.144864022931102</v>
      </c>
      <c r="AM149" s="6">
        <f>VLOOKUP(CurrentMtgRatesDataTable89[[#This Row],[asofdate]],S:T,2,0)</f>
        <v>1.2643328295785501E-2</v>
      </c>
      <c r="AN149" s="6">
        <f>VLOOKUP(CurrentMtgRatesDataTable89[[#This Row],[asofdate]],W:X,2,0)</f>
        <v>722.25913495194504</v>
      </c>
      <c r="AO149" s="6">
        <f>VLOOKUP(CurrentMtgRatesDataTable89[[#This Row],[asofdate]],AA:AB,2,0)</f>
        <v>0.32364561822268501</v>
      </c>
      <c r="AR149" s="7" t="s">
        <v>30</v>
      </c>
      <c r="AS149" s="10">
        <v>6.0306400919081203E-2</v>
      </c>
      <c r="AT149" s="36">
        <f>((CurrentMtgRatesDataTable8711[[#This Row],[SeriesNumValue]]-$D$1)/$D$1+1)*100</f>
        <v>402.04267279387471</v>
      </c>
      <c r="AU149" s="36"/>
      <c r="AW149" s="7" t="s">
        <v>30</v>
      </c>
      <c r="AX149" s="10">
        <v>4.77608855292758E-2</v>
      </c>
      <c r="AY149" s="36">
        <f>((CurrentMtgRatesDataTable871112[[#This Row],[SeriesNumValue]]-$D$1)/$D$1+1)*100</f>
        <v>318.40590352850535</v>
      </c>
      <c r="AZ149" s="36"/>
      <c r="BB149" s="7" t="s">
        <v>30</v>
      </c>
      <c r="BC149" s="10">
        <v>2.92433920784574E-2</v>
      </c>
      <c r="BD149" s="39">
        <f>((CurrentMtgRatesDataTable87111213[[#This Row],[SeriesNumValue]]-$D$1)/$D$1+1)*100</f>
        <v>194.955947189716</v>
      </c>
      <c r="BE149" s="39"/>
      <c r="BG149" s="7" t="s">
        <v>30</v>
      </c>
      <c r="BH149" s="10">
        <v>1.75796444520223E-2</v>
      </c>
      <c r="BI149" s="39">
        <f>((CurrentMtgRatesDataTable8711121314[[#This Row],[SeriesNumValue]]-$D$1)/$D$1+1)*100</f>
        <v>117.19762968014867</v>
      </c>
      <c r="BJ149" s="39" t="str">
        <f>YEAR(CurrentMtgRatesDataTable8711121314[[#This Row],[asofdate]])&amp;"-"&amp;MONTH(CurrentMtgRatesDataTable8711121314[[#This Row],[asofdate]])</f>
        <v>2015-5</v>
      </c>
      <c r="BK149" s="39">
        <f>CurrentMtgRatesDataTable8711121314[[#This Row],[SeriesNumValue]]</f>
        <v>1.75796444520223E-2</v>
      </c>
      <c r="BL149" s="39">
        <f>VLOOKUP(CurrentMtgRatesDataTable8711121314[[#This Row],[asofdate]],AR:AT,2,0)</f>
        <v>6.0306400919081203E-2</v>
      </c>
      <c r="BM149" s="35">
        <f>IF(VLOOKUP(CurrentMtgRatesDataTable8711121314[[#This Row],[asofdate]],AW:AY,2,0)&lt;&gt;0,VLOOKUP(CurrentMtgRatesDataTable8711121314[[#This Row],[asofdate]],AW:AY,2,0),BM148)</f>
        <v>4.77608855292758E-2</v>
      </c>
      <c r="BN149" s="35">
        <f>VLOOKUP(CurrentMtgRatesDataTable8711121314[[#This Row],[asofdate]],BB:BD,2,0)</f>
        <v>2.92433920784574E-2</v>
      </c>
      <c r="BO149" s="35">
        <f>CurrentMtgRatesDataTable8711121314[[#This Row],[FHA]]+0.5*CurrentMtgRatesDataTable8711121314[[#This Row],[Conventional]]</f>
        <v>6.9096223145092353E-2</v>
      </c>
      <c r="BP149" s="35">
        <f>2*CurrentMtgRatesDataTable8711121314[[#This Row],[FHA]]</f>
        <v>0.12061280183816241</v>
      </c>
      <c r="BQ149" s="11">
        <f>VLOOKUP(YEAR(CurrentMtgRatesDataTable8711121314[[#This Row],[asofdate]]),OriginationVolume!$A:$N,8,FALSE)</f>
        <v>0.54906832298136643</v>
      </c>
      <c r="BR149" s="11">
        <f>VLOOKUP(YEAR(CurrentMtgRatesDataTable8711121314[[#This Row],[asofdate]]),OriginationVolume!$A:$N,9,FALSE)</f>
        <v>6.0869565217391307E-2</v>
      </c>
      <c r="BS149" s="11">
        <f>VLOOKUP(YEAR(CurrentMtgRatesDataTable8711121314[[#This Row],[asofdate]]),OriginationVolume!$A:$N,10,FALSE)</f>
        <v>0.18260869565217391</v>
      </c>
      <c r="BT149" s="11">
        <f>VLOOKUP(YEAR(CurrentMtgRatesDataTable8711121314[[#This Row],[asofdate]]),OriginationVolume!$A:$N,11,FALSE)</f>
        <v>0.20248447204968945</v>
      </c>
      <c r="BU149" s="11">
        <f>VLOOKUP(YEAR(CurrentMtgRatesDataTable8711121314[[#This Row],[asofdate]]),OriginationVolume!$A:$N,12,FALSE)</f>
        <v>2.4844720496894411E-3</v>
      </c>
      <c r="BV149" s="11">
        <f>VLOOKUP(YEAR(CurrentMtgRatesDataTable8711121314[[#This Row],[asofdate]]),OriginationVolume!$A:$N,13,FALSE)</f>
        <v>2.4844720496894411E-3</v>
      </c>
      <c r="BW149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2.7603015241589379E-2</v>
      </c>
      <c r="BY149" s="7" t="s">
        <v>30</v>
      </c>
      <c r="BZ149" s="10">
        <v>11143471000</v>
      </c>
      <c r="CA149" s="36"/>
      <c r="CC149" s="7" t="s">
        <v>30</v>
      </c>
      <c r="CD149" s="10">
        <v>5496675000</v>
      </c>
      <c r="CE149" s="36"/>
      <c r="CG149" s="7" t="s">
        <v>30</v>
      </c>
      <c r="CH149" s="10">
        <v>41010466755.290001</v>
      </c>
      <c r="CI149" s="39"/>
      <c r="CK149" s="7" t="s">
        <v>30</v>
      </c>
      <c r="CL149" s="10">
        <v>24370320755.290001</v>
      </c>
      <c r="CM149" s="39" t="str">
        <f>YEAR(CurrentMtgRatesDataTable871112131417[[#This Row],[asofdate]])&amp;"-"&amp;MONTH(CurrentMtgRatesDataTable871112131417[[#This Row],[asofdate]])</f>
        <v>2015-5</v>
      </c>
      <c r="CN149" s="39">
        <f>CurrentMtgRatesDataTable871112131417[[#This Row],[SeriesNumValue]]</f>
        <v>24370320755.290001</v>
      </c>
      <c r="CO149" s="39">
        <f>VLOOKUP(CurrentMtgRatesDataTable871112131417[[#This Row],[asofdate]],BY:BZ,2,0)</f>
        <v>11143471000</v>
      </c>
      <c r="CP149" s="35">
        <f>IF(VLOOKUP(CurrentMtgRatesDataTable871112131417[[#This Row],[asofdate]],CC:CD,2,0)&lt;&gt;0,VLOOKUP(CurrentMtgRatesDataTable871112131417[[#This Row],[asofdate]],CC:CD,2,0),CP148)</f>
        <v>5496675000</v>
      </c>
      <c r="CQ149" s="35">
        <f>VLOOKUP(CurrentMtgRatesDataTable871112131417[[#This Row],[asofdate]],CG:CH,2,0)</f>
        <v>41010466755.290001</v>
      </c>
    </row>
    <row r="150" spans="1:95" s="8" customFormat="1" ht="12.75">
      <c r="A150" s="7" t="s">
        <v>31</v>
      </c>
      <c r="B150" s="10">
        <v>1.7843633851479499E-2</v>
      </c>
      <c r="C150" s="10" t="str">
        <f>YEAR(CurrentMtgRatesDataTable8[[#This Row],[asofdate]])&amp;"-"&amp;MONTH(CurrentMtgRatesDataTable8[[#This Row],[asofdate]])</f>
        <v>2015-6</v>
      </c>
      <c r="D150" s="6">
        <f>((CurrentMtgRatesDataTable8[[#This Row],[SeriesNumValue]]-$D$1)/$D$1+1)*100</f>
        <v>118.95755900986333</v>
      </c>
      <c r="E150" s="6"/>
      <c r="G150" s="7" t="s">
        <v>31</v>
      </c>
      <c r="H150" s="10">
        <v>82.9819085141187</v>
      </c>
      <c r="I150" s="26">
        <f>VLOOKUP(CurrentMtgRatesDataTable82[[#This Row],[asofdate]],K:L,2,0)</f>
        <v>0.32889571790605499</v>
      </c>
      <c r="K150" s="7" t="s">
        <v>31</v>
      </c>
      <c r="L150" s="29">
        <v>0.32889571790605499</v>
      </c>
      <c r="O150" s="7" t="s">
        <v>31</v>
      </c>
      <c r="P150" s="10">
        <v>34.4808601960058</v>
      </c>
      <c r="Q150" s="29">
        <f>VLOOKUP(CurrentMtgRatesDataTable84[[#This Row],[asofdate]],S:T,2,0)</f>
        <v>0.29706452342619799</v>
      </c>
      <c r="S150" s="7" t="s">
        <v>31</v>
      </c>
      <c r="T150" s="10">
        <v>0.29706452342619799</v>
      </c>
      <c r="W150" s="7" t="s">
        <v>31</v>
      </c>
      <c r="X150" s="10">
        <v>751.75513731710396</v>
      </c>
      <c r="Y150" s="26">
        <f>VLOOKUP(CurrentMtgRatesDataTable86[[#This Row],[asofdate]],AA:AB,2,0)</f>
        <v>0.14208337458509299</v>
      </c>
      <c r="AA150" s="7" t="s">
        <v>31</v>
      </c>
      <c r="AB150" s="10">
        <v>0.14208337458509299</v>
      </c>
      <c r="AE150" s="7" t="s">
        <v>35</v>
      </c>
      <c r="AF150" s="10">
        <v>2.1014268088431001E-2</v>
      </c>
      <c r="AG150" s="10" t="str">
        <f>YEAR(CurrentMtgRatesDataTable89[[#This Row],[asofdate]])&amp;"-"&amp;MONTH(CurrentMtgRatesDataTable89[[#This Row],[asofdate]])</f>
        <v>2003-6</v>
      </c>
      <c r="AH150" s="6">
        <f>((CurrentMtgRatesDataTable89[[#This Row],[SeriesNumValue]]-$D$1)/$D$1+1)*100</f>
        <v>140.09512058954002</v>
      </c>
      <c r="AI150" s="6">
        <f>CurrentMtgRatesDataTable89[[#This Row],[Index]]-AH151</f>
        <v>-3.2606182587846604</v>
      </c>
      <c r="AJ150" s="6">
        <f>VLOOKUP(CurrentMtgRatesDataTable89[[#This Row],[asofdate]],G:H,2,0)</f>
        <v>81.618502130391803</v>
      </c>
      <c r="AK150" s="6">
        <f>VLOOKUP(CurrentMtgRatesDataTable89[[#This Row],[asofdate]],K:L,2,0)</f>
        <v>0.26817431712256601</v>
      </c>
      <c r="AL150" s="6">
        <f>VLOOKUP(CurrentMtgRatesDataTable89[[#This Row],[asofdate]],O:P,2,0)</f>
        <v>33.725544414496198</v>
      </c>
      <c r="AM150" s="6">
        <f>VLOOKUP(CurrentMtgRatesDataTable89[[#This Row],[asofdate]],S:T,2,0)</f>
        <v>1.1152224581714301E-2</v>
      </c>
      <c r="AN150" s="6">
        <f>VLOOKUP(CurrentMtgRatesDataTable89[[#This Row],[asofdate]],W:X,2,0)</f>
        <v>722.76732830110905</v>
      </c>
      <c r="AO150" s="6">
        <f>VLOOKUP(CurrentMtgRatesDataTable89[[#This Row],[asofdate]],AA:AB,2,0)</f>
        <v>0.31742951631942301</v>
      </c>
      <c r="AR150" s="7" t="s">
        <v>31</v>
      </c>
      <c r="AS150" s="10">
        <v>6.1448839793864403E-2</v>
      </c>
      <c r="AT150" s="36">
        <f>((CurrentMtgRatesDataTable8711[[#This Row],[SeriesNumValue]]-$D$1)/$D$1+1)*100</f>
        <v>409.65893195909598</v>
      </c>
      <c r="AU150" s="36"/>
      <c r="AW150" s="7" t="s">
        <v>31</v>
      </c>
      <c r="AX150" s="10">
        <v>4.8892254020369799E-2</v>
      </c>
      <c r="AY150" s="36">
        <f>((CurrentMtgRatesDataTable871112[[#This Row],[SeriesNumValue]]-$D$1)/$D$1+1)*100</f>
        <v>325.94836013579868</v>
      </c>
      <c r="AZ150" s="36"/>
      <c r="BB150" s="7" t="s">
        <v>31</v>
      </c>
      <c r="BC150" s="10">
        <v>3.0500849360639699E-2</v>
      </c>
      <c r="BD150" s="39">
        <f>((CurrentMtgRatesDataTable87111213[[#This Row],[SeriesNumValue]]-$D$1)/$D$1+1)*100</f>
        <v>203.338995737598</v>
      </c>
      <c r="BE150" s="39"/>
      <c r="BG150" s="7" t="s">
        <v>31</v>
      </c>
      <c r="BH150" s="10">
        <v>1.8308992119838299E-2</v>
      </c>
      <c r="BI150" s="39">
        <f>((CurrentMtgRatesDataTable8711121314[[#This Row],[SeriesNumValue]]-$D$1)/$D$1+1)*100</f>
        <v>122.05994746558866</v>
      </c>
      <c r="BJ150" s="39" t="str">
        <f>YEAR(CurrentMtgRatesDataTable8711121314[[#This Row],[asofdate]])&amp;"-"&amp;MONTH(CurrentMtgRatesDataTable8711121314[[#This Row],[asofdate]])</f>
        <v>2015-6</v>
      </c>
      <c r="BK150" s="39">
        <f>CurrentMtgRatesDataTable8711121314[[#This Row],[SeriesNumValue]]</f>
        <v>1.8308992119838299E-2</v>
      </c>
      <c r="BL150" s="39">
        <f>VLOOKUP(CurrentMtgRatesDataTable8711121314[[#This Row],[asofdate]],AR:AT,2,0)</f>
        <v>6.1448839793864403E-2</v>
      </c>
      <c r="BM150" s="35">
        <f>IF(VLOOKUP(CurrentMtgRatesDataTable8711121314[[#This Row],[asofdate]],AW:AY,2,0)&lt;&gt;0,VLOOKUP(CurrentMtgRatesDataTable8711121314[[#This Row],[asofdate]],AW:AY,2,0),BM149)</f>
        <v>4.8892254020369799E-2</v>
      </c>
      <c r="BN150" s="35">
        <f>VLOOKUP(CurrentMtgRatesDataTable8711121314[[#This Row],[asofdate]],BB:BD,2,0)</f>
        <v>3.0500849360639699E-2</v>
      </c>
      <c r="BO150" s="35">
        <f>CurrentMtgRatesDataTable8711121314[[#This Row],[FHA]]+0.5*CurrentMtgRatesDataTable8711121314[[#This Row],[Conventional]]</f>
        <v>7.0603335853783547E-2</v>
      </c>
      <c r="BP150" s="35">
        <f>2*CurrentMtgRatesDataTable8711121314[[#This Row],[FHA]]</f>
        <v>0.12289767958772881</v>
      </c>
      <c r="BQ150" s="11">
        <f>VLOOKUP(YEAR(CurrentMtgRatesDataTable8711121314[[#This Row],[asofdate]]),OriginationVolume!$A:$N,8,FALSE)</f>
        <v>0.54906832298136643</v>
      </c>
      <c r="BR150" s="11">
        <f>VLOOKUP(YEAR(CurrentMtgRatesDataTable8711121314[[#This Row],[asofdate]]),OriginationVolume!$A:$N,9,FALSE)</f>
        <v>6.0869565217391307E-2</v>
      </c>
      <c r="BS150" s="11">
        <f>VLOOKUP(YEAR(CurrentMtgRatesDataTable8711121314[[#This Row],[asofdate]]),OriginationVolume!$A:$N,10,FALSE)</f>
        <v>0.18260869565217391</v>
      </c>
      <c r="BT150" s="11">
        <f>VLOOKUP(YEAR(CurrentMtgRatesDataTable8711121314[[#This Row],[asofdate]]),OriginationVolume!$A:$N,11,FALSE)</f>
        <v>0.20248447204968945</v>
      </c>
      <c r="BU150" s="11">
        <f>VLOOKUP(YEAR(CurrentMtgRatesDataTable8711121314[[#This Row],[asofdate]]),OriginationVolume!$A:$N,12,FALSE)</f>
        <v>2.4844720496894411E-3</v>
      </c>
      <c r="BV150" s="11">
        <f>VLOOKUP(YEAR(CurrentMtgRatesDataTable8711121314[[#This Row],[asofdate]]),OriginationVolume!$A:$N,13,FALSE)</f>
        <v>2.4844720496894411E-3</v>
      </c>
      <c r="BW150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2.8438064795132157E-2</v>
      </c>
      <c r="BY150" s="7" t="s">
        <v>31</v>
      </c>
      <c r="BZ150" s="10">
        <v>12438370000</v>
      </c>
      <c r="CA150" s="36"/>
      <c r="CC150" s="7" t="s">
        <v>31</v>
      </c>
      <c r="CD150" s="10">
        <v>5696623000</v>
      </c>
      <c r="CE150" s="36"/>
      <c r="CG150" s="7" t="s">
        <v>31</v>
      </c>
      <c r="CH150" s="10">
        <v>43960342880.019997</v>
      </c>
      <c r="CI150" s="39"/>
      <c r="CK150" s="7" t="s">
        <v>31</v>
      </c>
      <c r="CL150" s="10">
        <v>25825349880.02</v>
      </c>
      <c r="CM150" s="39" t="str">
        <f>YEAR(CurrentMtgRatesDataTable871112131417[[#This Row],[asofdate]])&amp;"-"&amp;MONTH(CurrentMtgRatesDataTable871112131417[[#This Row],[asofdate]])</f>
        <v>2015-6</v>
      </c>
      <c r="CN150" s="39">
        <f>CurrentMtgRatesDataTable871112131417[[#This Row],[SeriesNumValue]]</f>
        <v>25825349880.02</v>
      </c>
      <c r="CO150" s="39">
        <f>VLOOKUP(CurrentMtgRatesDataTable871112131417[[#This Row],[asofdate]],BY:BZ,2,0)</f>
        <v>12438370000</v>
      </c>
      <c r="CP150" s="35">
        <f>IF(VLOOKUP(CurrentMtgRatesDataTable871112131417[[#This Row],[asofdate]],CC:CD,2,0)&lt;&gt;0,VLOOKUP(CurrentMtgRatesDataTable871112131417[[#This Row],[asofdate]],CC:CD,2,0),CP149)</f>
        <v>5696623000</v>
      </c>
      <c r="CQ150" s="35">
        <f>VLOOKUP(CurrentMtgRatesDataTable871112131417[[#This Row],[asofdate]],CG:CH,2,0)</f>
        <v>43960342880.019997</v>
      </c>
    </row>
    <row r="151" spans="1:95" s="8" customFormat="1" ht="12.75">
      <c r="A151" s="31" t="s">
        <v>179</v>
      </c>
      <c r="B151" s="32">
        <v>1.6458059896986101E-2</v>
      </c>
      <c r="C151" s="33" t="str">
        <f>YEAR(CurrentMtgRatesDataTable8[[#This Row],[asofdate]])&amp;"-"&amp;MONTH(CurrentMtgRatesDataTable8[[#This Row],[asofdate]])</f>
        <v>2015-7</v>
      </c>
      <c r="D151" s="11">
        <f>((CurrentMtgRatesDataTable8[[#This Row],[SeriesNumValue]]-$D$1)/$D$1+1)*100</f>
        <v>109.72039931324066</v>
      </c>
      <c r="E151" s="6"/>
      <c r="G151" s="31" t="s">
        <v>179</v>
      </c>
      <c r="H151" s="32">
        <v>83.002963149384598</v>
      </c>
      <c r="I151" s="26">
        <f>VLOOKUP(CurrentMtgRatesDataTable82[[#This Row],[asofdate]],K:L,2,0)</f>
        <v>0.32916665260221001</v>
      </c>
      <c r="K151" s="31" t="s">
        <v>179</v>
      </c>
      <c r="L151" s="34">
        <v>0.32916665260221001</v>
      </c>
      <c r="O151" s="31" t="s">
        <v>179</v>
      </c>
      <c r="P151" s="32">
        <v>34.176472196339503</v>
      </c>
      <c r="Q151" s="29">
        <f>VLOOKUP(CurrentMtgRatesDataTable84[[#This Row],[asofdate]],S:T,2,0)</f>
        <v>0.28482112233552798</v>
      </c>
      <c r="S151" s="31" t="s">
        <v>179</v>
      </c>
      <c r="T151" s="32">
        <v>0.28482112233552798</v>
      </c>
      <c r="W151" s="31" t="s">
        <v>179</v>
      </c>
      <c r="X151" s="32">
        <v>752.47879843973897</v>
      </c>
      <c r="Y151" s="26">
        <f>VLOOKUP(CurrentMtgRatesDataTable86[[#This Row],[asofdate]],AA:AB,2,0)</f>
        <v>0.138264539709097</v>
      </c>
      <c r="AA151" s="31" t="s">
        <v>179</v>
      </c>
      <c r="AB151" s="32">
        <v>0.138264539709097</v>
      </c>
      <c r="AE151" s="31" t="s">
        <v>33</v>
      </c>
      <c r="AF151" s="32">
        <v>2.1503360827248699E-2</v>
      </c>
      <c r="AG151" s="33" t="str">
        <f>YEAR(CurrentMtgRatesDataTable89[[#This Row],[asofdate]])&amp;"-"&amp;MONTH(CurrentMtgRatesDataTable89[[#This Row],[asofdate]])</f>
        <v>2003-5</v>
      </c>
      <c r="AH151" s="11">
        <f>((CurrentMtgRatesDataTable89[[#This Row],[SeriesNumValue]]-$D$1)/$D$1+1)*100</f>
        <v>143.35573884832468</v>
      </c>
      <c r="AI151" s="11">
        <f>CurrentMtgRatesDataTable89[[#This Row],[Index]]-AH152</f>
        <v>143.35573884832468</v>
      </c>
      <c r="AJ151" s="11">
        <f>VLOOKUP(CurrentMtgRatesDataTable89[[#This Row],[asofdate]],G:H,2,0)</f>
        <v>81.538852649696196</v>
      </c>
      <c r="AK151" s="11">
        <f>VLOOKUP(CurrentMtgRatesDataTable89[[#This Row],[asofdate]],K:L,2,0)</f>
        <v>0.27376208038861399</v>
      </c>
      <c r="AL151" s="11">
        <f>VLOOKUP(CurrentMtgRatesDataTable89[[#This Row],[asofdate]],O:P,2,0)</f>
        <v>33.491005416991001</v>
      </c>
      <c r="AM151" s="11">
        <f>VLOOKUP(CurrentMtgRatesDataTable89[[#This Row],[asofdate]],S:T,2,0)</f>
        <v>1.32135014796563E-2</v>
      </c>
      <c r="AN151" s="11">
        <f>VLOOKUP(CurrentMtgRatesDataTable89[[#This Row],[asofdate]],W:X,2,0)</f>
        <v>721.81850787939095</v>
      </c>
      <c r="AO151" s="11">
        <f>VLOOKUP(CurrentMtgRatesDataTable89[[#This Row],[asofdate]],AA:AB,2,0)</f>
        <v>0.32555257693198197</v>
      </c>
      <c r="AR151" s="31" t="s">
        <v>179</v>
      </c>
      <c r="AS151" s="32">
        <v>5.5814197233407602E-2</v>
      </c>
      <c r="AT151" s="37">
        <f>((CurrentMtgRatesDataTable8711[[#This Row],[SeriesNumValue]]-$D$1)/$D$1+1)*100</f>
        <v>372.09464822271735</v>
      </c>
      <c r="AU151" s="37"/>
      <c r="AW151" s="31" t="s">
        <v>179</v>
      </c>
      <c r="AX151" s="32">
        <v>4.4194488795020699E-2</v>
      </c>
      <c r="AY151" s="37">
        <f>((CurrentMtgRatesDataTable871112[[#This Row],[SeriesNumValue]]-$D$1)/$D$1+1)*100</f>
        <v>294.62992530013798</v>
      </c>
      <c r="AZ151" s="37"/>
      <c r="BB151" s="31" t="s">
        <v>179</v>
      </c>
      <c r="BC151" s="32">
        <v>2.7139039518248701E-2</v>
      </c>
      <c r="BD151" s="39">
        <f>((CurrentMtgRatesDataTable87111213[[#This Row],[SeriesNumValue]]-$D$1)/$D$1+1)*100</f>
        <v>180.92693012165802</v>
      </c>
      <c r="BE151" s="39"/>
      <c r="BG151" s="31" t="s">
        <v>179</v>
      </c>
      <c r="BH151" s="32">
        <v>1.67906224223657E-2</v>
      </c>
      <c r="BI151" s="39">
        <f>((CurrentMtgRatesDataTable8711121314[[#This Row],[SeriesNumValue]]-$D$1)/$D$1+1)*100</f>
        <v>111.93748281577133</v>
      </c>
      <c r="BJ151" s="39" t="str">
        <f>YEAR(CurrentMtgRatesDataTable8711121314[[#This Row],[asofdate]])&amp;"-"&amp;MONTH(CurrentMtgRatesDataTable8711121314[[#This Row],[asofdate]])</f>
        <v>2015-7</v>
      </c>
      <c r="BK151" s="39">
        <f>CurrentMtgRatesDataTable8711121314[[#This Row],[SeriesNumValue]]</f>
        <v>1.67906224223657E-2</v>
      </c>
      <c r="BL151" s="39">
        <f>VLOOKUP(CurrentMtgRatesDataTable8711121314[[#This Row],[asofdate]],AR:AT,2,0)</f>
        <v>5.5814197233407602E-2</v>
      </c>
      <c r="BM151" s="35">
        <f>IF(VLOOKUP(CurrentMtgRatesDataTable8711121314[[#This Row],[asofdate]],AW:AY,2,0)&lt;&gt;0,VLOOKUP(CurrentMtgRatesDataTable8711121314[[#This Row],[asofdate]],AW:AY,2,0),BM150)</f>
        <v>4.4194488795020699E-2</v>
      </c>
      <c r="BN151" s="35">
        <f>VLOOKUP(CurrentMtgRatesDataTable8711121314[[#This Row],[asofdate]],BB:BD,2,0)</f>
        <v>2.7139039518248701E-2</v>
      </c>
      <c r="BO151" s="35">
        <f>CurrentMtgRatesDataTable8711121314[[#This Row],[FHA]]+0.5*CurrentMtgRatesDataTable8711121314[[#This Row],[Conventional]]</f>
        <v>6.4209508444590446E-2</v>
      </c>
      <c r="BP151" s="35">
        <f>2*CurrentMtgRatesDataTable8711121314[[#This Row],[FHA]]</f>
        <v>0.1116283944668152</v>
      </c>
      <c r="BQ151" s="11">
        <f>VLOOKUP(YEAR(CurrentMtgRatesDataTable8711121314[[#This Row],[asofdate]]),OriginationVolume!$A:$N,8,FALSE)</f>
        <v>0.54906832298136643</v>
      </c>
      <c r="BR151" s="11">
        <f>VLOOKUP(YEAR(CurrentMtgRatesDataTable8711121314[[#This Row],[asofdate]]),OriginationVolume!$A:$N,9,FALSE)</f>
        <v>6.0869565217391307E-2</v>
      </c>
      <c r="BS151" s="11">
        <f>VLOOKUP(YEAR(CurrentMtgRatesDataTable8711121314[[#This Row],[asofdate]]),OriginationVolume!$A:$N,10,FALSE)</f>
        <v>0.18260869565217391</v>
      </c>
      <c r="BT151" s="11">
        <f>VLOOKUP(YEAR(CurrentMtgRatesDataTable8711121314[[#This Row],[asofdate]]),OriginationVolume!$A:$N,11,FALSE)</f>
        <v>0.20248447204968945</v>
      </c>
      <c r="BU151" s="11">
        <f>VLOOKUP(YEAR(CurrentMtgRatesDataTable8711121314[[#This Row],[asofdate]]),OriginationVolume!$A:$N,12,FALSE)</f>
        <v>2.4844720496894411E-3</v>
      </c>
      <c r="BV151" s="11">
        <f>VLOOKUP(YEAR(CurrentMtgRatesDataTable8711121314[[#This Row],[asofdate]]),OriginationVolume!$A:$N,13,FALSE)</f>
        <v>2.4844720496894411E-3</v>
      </c>
      <c r="BW151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2.5938160640522973E-2</v>
      </c>
      <c r="BY151" s="31" t="s">
        <v>179</v>
      </c>
      <c r="BZ151" s="32">
        <v>12190922000</v>
      </c>
      <c r="CA151" s="37"/>
      <c r="CC151" s="31" t="s">
        <v>179</v>
      </c>
      <c r="CD151" s="32">
        <v>6074207000</v>
      </c>
      <c r="CE151" s="37"/>
      <c r="CG151" s="31" t="s">
        <v>179</v>
      </c>
      <c r="CH151" s="32">
        <v>46474622381.669998</v>
      </c>
      <c r="CI151" s="39"/>
      <c r="CK151" s="31" t="s">
        <v>179</v>
      </c>
      <c r="CL151" s="32">
        <v>28209493381.669998</v>
      </c>
      <c r="CM151" s="39" t="str">
        <f>YEAR(CurrentMtgRatesDataTable871112131417[[#This Row],[asofdate]])&amp;"-"&amp;MONTH(CurrentMtgRatesDataTable871112131417[[#This Row],[asofdate]])</f>
        <v>2015-7</v>
      </c>
      <c r="CN151" s="39">
        <f>CurrentMtgRatesDataTable871112131417[[#This Row],[SeriesNumValue]]</f>
        <v>28209493381.669998</v>
      </c>
      <c r="CO151" s="39">
        <f>VLOOKUP(CurrentMtgRatesDataTable871112131417[[#This Row],[asofdate]],BY:BZ,2,0)</f>
        <v>12190922000</v>
      </c>
      <c r="CP151" s="35">
        <f>IF(VLOOKUP(CurrentMtgRatesDataTable871112131417[[#This Row],[asofdate]],CC:CD,2,0)&lt;&gt;0,VLOOKUP(CurrentMtgRatesDataTable871112131417[[#This Row],[asofdate]],CC:CD,2,0),CP150)</f>
        <v>6074207000</v>
      </c>
      <c r="CQ151" s="35">
        <f>VLOOKUP(CurrentMtgRatesDataTable871112131417[[#This Row],[asofdate]],CG:CH,2,0)</f>
        <v>46474622381.669998</v>
      </c>
    </row>
    <row r="152" spans="1:95">
      <c r="A152" s="6"/>
      <c r="B152" s="6"/>
      <c r="C152" s="6"/>
      <c r="D152" s="6"/>
      <c r="E152" s="6"/>
      <c r="I152" s="27"/>
      <c r="Y152" s="27"/>
      <c r="AJ152" s="8"/>
      <c r="AK152" s="8"/>
      <c r="AL152" s="8"/>
      <c r="AM152" s="8"/>
      <c r="AN152" s="8"/>
      <c r="AO152" s="8"/>
    </row>
    <row r="153" spans="1:95">
      <c r="A153" s="6"/>
      <c r="B153" s="6"/>
      <c r="C153" s="6"/>
      <c r="D153" s="6"/>
      <c r="E153" s="6"/>
    </row>
    <row r="154" spans="1:95">
      <c r="A154" s="6"/>
      <c r="B154" s="6"/>
      <c r="C154" s="6"/>
      <c r="D154" s="6"/>
      <c r="E154" s="6"/>
    </row>
    <row r="155" spans="1:95">
      <c r="A155" s="6"/>
      <c r="B155" s="6"/>
      <c r="C155" s="6"/>
      <c r="D155" s="6"/>
      <c r="E155" s="6"/>
    </row>
    <row r="156" spans="1:95">
      <c r="A156" s="6"/>
      <c r="B156" s="6"/>
      <c r="C156" s="6"/>
      <c r="D156" s="6"/>
      <c r="E156" s="6"/>
    </row>
    <row r="157" spans="1:95">
      <c r="A157" s="6"/>
      <c r="B157" s="6"/>
      <c r="C157" s="6"/>
      <c r="D157" s="6"/>
      <c r="E157" s="6"/>
    </row>
    <row r="158" spans="1:95">
      <c r="A158" s="6"/>
      <c r="B158" s="6"/>
      <c r="C158" s="6"/>
      <c r="D158" s="6"/>
      <c r="E158" s="6"/>
    </row>
    <row r="159" spans="1:95">
      <c r="A159" s="6"/>
      <c r="B159" s="6"/>
      <c r="C159" s="6"/>
      <c r="D159" s="6"/>
      <c r="E159" s="6"/>
    </row>
    <row r="160" spans="1:95">
      <c r="A160" s="6"/>
      <c r="B160" s="6"/>
      <c r="C160" s="6"/>
      <c r="D160" s="6"/>
      <c r="E160" s="6"/>
    </row>
    <row r="161" spans="1:5">
      <c r="A161" s="6"/>
      <c r="B161" s="6"/>
      <c r="C161" s="6"/>
      <c r="D161" s="6"/>
      <c r="E161" s="6"/>
    </row>
    <row r="162" spans="1:5">
      <c r="A162" s="6"/>
      <c r="B162" s="6"/>
      <c r="C162" s="6"/>
      <c r="D162" s="6"/>
      <c r="E162" s="6"/>
    </row>
    <row r="163" spans="1:5">
      <c r="A163" s="6"/>
      <c r="B163" s="6"/>
      <c r="C163" s="6"/>
      <c r="D163" s="6"/>
      <c r="E163" s="6"/>
    </row>
    <row r="164" spans="1:5">
      <c r="A164" s="6"/>
      <c r="B164" s="6"/>
      <c r="C164" s="6"/>
      <c r="D164" s="6"/>
      <c r="E164" s="6"/>
    </row>
    <row r="165" spans="1:5">
      <c r="A165" s="6"/>
      <c r="B165" s="6"/>
      <c r="C165" s="6"/>
      <c r="D165" s="6"/>
      <c r="E165" s="6"/>
    </row>
    <row r="166" spans="1:5">
      <c r="A166" s="6"/>
      <c r="B166" s="6"/>
      <c r="C166" s="6"/>
      <c r="D166" s="6"/>
      <c r="E166" s="6"/>
    </row>
    <row r="167" spans="1:5">
      <c r="A167" s="6"/>
      <c r="B167" s="6"/>
      <c r="C167" s="6"/>
      <c r="D167" s="6"/>
      <c r="E167" s="6"/>
    </row>
    <row r="168" spans="1:5">
      <c r="A168" s="6"/>
      <c r="B168" s="6"/>
      <c r="C168" s="6"/>
      <c r="D168" s="6"/>
      <c r="E168" s="6"/>
    </row>
    <row r="169" spans="1:5">
      <c r="A169" s="6"/>
      <c r="B169" s="6"/>
      <c r="C169" s="6"/>
      <c r="D169" s="6"/>
      <c r="E169" s="6"/>
    </row>
    <row r="170" spans="1:5">
      <c r="A170" s="6"/>
      <c r="B170" s="6"/>
      <c r="C170" s="6"/>
      <c r="D170" s="6"/>
      <c r="E170" s="6"/>
    </row>
    <row r="171" spans="1:5">
      <c r="A171" s="6"/>
      <c r="B171" s="6"/>
      <c r="C171" s="6"/>
      <c r="D171" s="6"/>
      <c r="E171" s="6"/>
    </row>
    <row r="172" spans="1:5">
      <c r="A172" s="6"/>
      <c r="B172" s="6"/>
      <c r="C172" s="6"/>
      <c r="D172" s="6"/>
      <c r="E172" s="6"/>
    </row>
    <row r="173" spans="1:5">
      <c r="A173" s="6"/>
      <c r="B173" s="6"/>
      <c r="C173" s="6"/>
      <c r="D173" s="6"/>
      <c r="E173" s="6"/>
    </row>
    <row r="174" spans="1:5">
      <c r="A174" s="6"/>
      <c r="B174" s="6"/>
      <c r="C174" s="6"/>
      <c r="D174" s="6"/>
      <c r="E174" s="6"/>
    </row>
    <row r="175" spans="1:5">
      <c r="A175" s="6"/>
      <c r="B175" s="6"/>
      <c r="C175" s="6"/>
      <c r="D175" s="6"/>
      <c r="E175" s="6"/>
    </row>
    <row r="176" spans="1:5">
      <c r="A176" s="6"/>
      <c r="B176" s="6"/>
      <c r="C176" s="6"/>
      <c r="D176" s="6"/>
      <c r="E176" s="6"/>
    </row>
    <row r="177" spans="1:5">
      <c r="A177" s="6"/>
      <c r="B177" s="6"/>
      <c r="C177" s="6"/>
      <c r="D177" s="6"/>
      <c r="E177" s="6"/>
    </row>
    <row r="178" spans="1:5">
      <c r="A178" s="6"/>
      <c r="B178" s="6"/>
      <c r="C178" s="6"/>
      <c r="D178" s="6"/>
      <c r="E178" s="6"/>
    </row>
    <row r="179" spans="1:5">
      <c r="A179" s="6"/>
      <c r="B179" s="6"/>
      <c r="C179" s="6"/>
      <c r="D179" s="6"/>
      <c r="E179" s="6"/>
    </row>
    <row r="180" spans="1:5">
      <c r="A180" s="6"/>
      <c r="B180" s="6"/>
      <c r="C180" s="6"/>
      <c r="D180" s="6"/>
      <c r="E180" s="6"/>
    </row>
    <row r="181" spans="1:5">
      <c r="A181" s="6"/>
      <c r="B181" s="6"/>
      <c r="C181" s="6"/>
      <c r="D181" s="6"/>
      <c r="E181" s="6"/>
    </row>
    <row r="182" spans="1:5">
      <c r="A182" s="6"/>
      <c r="B182" s="6"/>
      <c r="C182" s="6"/>
      <c r="D182" s="6"/>
      <c r="E182" s="6"/>
    </row>
    <row r="183" spans="1:5">
      <c r="A183" s="6"/>
      <c r="B183" s="6"/>
      <c r="C183" s="6"/>
      <c r="D183" s="6"/>
      <c r="E183" s="6"/>
    </row>
    <row r="184" spans="1:5">
      <c r="A184" s="6"/>
      <c r="B184" s="6"/>
      <c r="C184" s="6"/>
      <c r="D184" s="6"/>
      <c r="E184" s="6"/>
    </row>
    <row r="185" spans="1:5">
      <c r="A185" s="6"/>
      <c r="B185" s="6"/>
      <c r="C185" s="6"/>
      <c r="D185" s="6"/>
      <c r="E185" s="6"/>
    </row>
    <row r="186" spans="1:5">
      <c r="A186" s="6"/>
      <c r="B186" s="6"/>
      <c r="C186" s="6"/>
      <c r="D186" s="6"/>
      <c r="E186" s="6"/>
    </row>
    <row r="187" spans="1:5">
      <c r="A187" s="6"/>
      <c r="B187" s="6"/>
      <c r="C187" s="6"/>
      <c r="D187" s="6"/>
      <c r="E187" s="6"/>
    </row>
    <row r="188" spans="1:5">
      <c r="A188" s="6"/>
      <c r="B188" s="6"/>
      <c r="C188" s="6"/>
      <c r="D188" s="6"/>
      <c r="E188" s="6"/>
    </row>
    <row r="189" spans="1:5">
      <c r="A189" s="6"/>
      <c r="B189" s="6"/>
      <c r="C189" s="6"/>
      <c r="D189" s="6"/>
      <c r="E189" s="6"/>
    </row>
    <row r="190" spans="1:5">
      <c r="A190" s="6"/>
      <c r="B190" s="6"/>
      <c r="C190" s="6"/>
      <c r="D190" s="6"/>
      <c r="E190" s="6"/>
    </row>
    <row r="191" spans="1:5">
      <c r="A191" s="8"/>
      <c r="B191" s="8"/>
      <c r="C191" s="8"/>
      <c r="D191" s="8"/>
      <c r="E191" s="8"/>
    </row>
    <row r="192" spans="1:5">
      <c r="A192" s="8"/>
      <c r="B192" s="8"/>
      <c r="C192" s="8"/>
      <c r="D192" s="8"/>
      <c r="E192" s="8"/>
    </row>
    <row r="193" spans="1:5">
      <c r="A193" s="8"/>
      <c r="B193" s="8"/>
      <c r="C193" s="8"/>
      <c r="D193" s="8"/>
      <c r="E193" s="8"/>
    </row>
    <row r="194" spans="1:5">
      <c r="A194" s="8"/>
      <c r="B194" s="8"/>
      <c r="C194" s="8"/>
      <c r="D194" s="8"/>
      <c r="E194" s="8"/>
    </row>
    <row r="195" spans="1:5">
      <c r="A195" s="8"/>
      <c r="B195" s="8"/>
      <c r="C195" s="8"/>
      <c r="D195" s="8"/>
      <c r="E195" s="8"/>
    </row>
    <row r="196" spans="1:5">
      <c r="A196" s="8"/>
      <c r="B196" s="8"/>
      <c r="C196" s="8"/>
      <c r="D196" s="8"/>
      <c r="E196" s="8"/>
    </row>
    <row r="197" spans="1:5">
      <c r="A197" s="8"/>
      <c r="B197" s="8"/>
      <c r="C197" s="8"/>
      <c r="D197" s="8"/>
      <c r="E197" s="8"/>
    </row>
    <row r="198" spans="1:5">
      <c r="A198" s="8"/>
      <c r="B198" s="8"/>
      <c r="C198" s="8"/>
      <c r="D198" s="8"/>
      <c r="E198" s="8"/>
    </row>
    <row r="199" spans="1:5">
      <c r="A199" s="8"/>
      <c r="B199" s="8"/>
      <c r="C199" s="8"/>
      <c r="D199" s="8"/>
      <c r="E199" s="8"/>
    </row>
    <row r="200" spans="1:5">
      <c r="A200" s="8"/>
      <c r="B200" s="8"/>
      <c r="C200" s="8"/>
      <c r="D200" s="8"/>
      <c r="E200" s="8"/>
    </row>
    <row r="201" spans="1:5">
      <c r="A201" s="8"/>
      <c r="B201" s="8"/>
      <c r="C201" s="8"/>
      <c r="D201" s="8"/>
      <c r="E201" s="8"/>
    </row>
    <row r="202" spans="1:5">
      <c r="A202" s="8"/>
      <c r="B202" s="8"/>
      <c r="C202" s="8"/>
      <c r="D202" s="8"/>
      <c r="E202" s="8"/>
    </row>
    <row r="203" spans="1:5">
      <c r="A203" s="8"/>
      <c r="B203" s="8"/>
      <c r="C203" s="8"/>
      <c r="D203" s="8"/>
      <c r="E203" s="8"/>
    </row>
    <row r="204" spans="1:5">
      <c r="A204" s="8"/>
      <c r="B204" s="8"/>
      <c r="C204" s="8"/>
      <c r="D204" s="8"/>
      <c r="E204" s="8"/>
    </row>
    <row r="205" spans="1:5">
      <c r="A205" s="8"/>
      <c r="B205" s="8"/>
      <c r="C205" s="8"/>
      <c r="D205" s="8"/>
      <c r="E205" s="8"/>
    </row>
    <row r="206" spans="1:5">
      <c r="A206" s="8"/>
      <c r="B206" s="8"/>
      <c r="C206" s="8"/>
      <c r="D206" s="8"/>
      <c r="E206" s="8"/>
    </row>
    <row r="207" spans="1:5">
      <c r="A207" s="8"/>
      <c r="B207" s="8"/>
      <c r="C207" s="8"/>
      <c r="D207" s="8"/>
      <c r="E207" s="8"/>
    </row>
    <row r="208" spans="1:5">
      <c r="A208" s="8"/>
      <c r="B208" s="8"/>
      <c r="C208" s="8"/>
      <c r="D208" s="8"/>
      <c r="E208" s="8"/>
    </row>
    <row r="209" spans="1:5">
      <c r="A209" s="8"/>
      <c r="B209" s="8"/>
      <c r="C209" s="8"/>
      <c r="D209" s="8"/>
      <c r="E209" s="8"/>
    </row>
    <row r="210" spans="1:5">
      <c r="A210" s="8"/>
      <c r="B210" s="8"/>
      <c r="C210" s="8"/>
      <c r="D210" s="8"/>
      <c r="E210" s="8"/>
    </row>
    <row r="211" spans="1:5">
      <c r="A211" s="8"/>
      <c r="B211" s="8"/>
      <c r="C211" s="8"/>
      <c r="D211" s="8"/>
      <c r="E211" s="8"/>
    </row>
    <row r="212" spans="1:5">
      <c r="A212" s="8"/>
      <c r="B212" s="8"/>
      <c r="C212" s="8"/>
      <c r="D212" s="8"/>
      <c r="E212" s="8"/>
    </row>
    <row r="213" spans="1:5">
      <c r="A213" s="8"/>
      <c r="B213" s="8"/>
      <c r="C213" s="8"/>
      <c r="D213" s="8"/>
      <c r="E213" s="8"/>
    </row>
    <row r="214" spans="1:5">
      <c r="A214" s="8"/>
      <c r="B214" s="8"/>
      <c r="C214" s="8"/>
      <c r="D214" s="8"/>
      <c r="E214" s="8"/>
    </row>
    <row r="215" spans="1:5">
      <c r="A215" s="8"/>
      <c r="B215" s="8"/>
      <c r="C215" s="8"/>
      <c r="D215" s="8"/>
      <c r="E215" s="8"/>
    </row>
    <row r="216" spans="1:5">
      <c r="A216" s="8"/>
      <c r="B216" s="8"/>
      <c r="C216" s="8"/>
      <c r="D216" s="8"/>
      <c r="E216" s="8"/>
    </row>
    <row r="217" spans="1:5">
      <c r="A217" s="8"/>
      <c r="B217" s="8"/>
      <c r="C217" s="8"/>
      <c r="D217" s="8"/>
      <c r="E217" s="8"/>
    </row>
    <row r="218" spans="1:5">
      <c r="A218" s="8"/>
      <c r="B218" s="8"/>
      <c r="C218" s="8"/>
      <c r="D218" s="8"/>
      <c r="E218" s="8"/>
    </row>
    <row r="219" spans="1:5">
      <c r="A219" s="8"/>
      <c r="B219" s="8"/>
      <c r="C219" s="8"/>
      <c r="D219" s="8"/>
      <c r="E219" s="8"/>
    </row>
    <row r="220" spans="1:5">
      <c r="A220" s="8"/>
      <c r="B220" s="8"/>
      <c r="C220" s="8"/>
      <c r="D220" s="8"/>
      <c r="E220" s="8"/>
    </row>
    <row r="221" spans="1:5">
      <c r="A221" s="8"/>
      <c r="B221" s="8"/>
      <c r="C221" s="8"/>
      <c r="D221" s="8"/>
      <c r="E221" s="8"/>
    </row>
    <row r="222" spans="1:5">
      <c r="A222" s="8"/>
      <c r="B222" s="8"/>
      <c r="C222" s="8"/>
      <c r="D222" s="8"/>
      <c r="E222" s="8"/>
    </row>
    <row r="223" spans="1:5">
      <c r="A223" s="8"/>
      <c r="B223" s="8"/>
      <c r="C223" s="8"/>
      <c r="D223" s="8"/>
      <c r="E223" s="8"/>
    </row>
    <row r="224" spans="1:5">
      <c r="A224" s="8"/>
      <c r="B224" s="8"/>
      <c r="C224" s="8"/>
      <c r="D224" s="8"/>
      <c r="E224" s="8"/>
    </row>
    <row r="225" spans="1:5">
      <c r="A225" s="8"/>
      <c r="B225" s="8"/>
      <c r="C225" s="8"/>
      <c r="D225" s="8"/>
      <c r="E225" s="8"/>
    </row>
    <row r="226" spans="1:5">
      <c r="A226" s="8"/>
      <c r="B226" s="8"/>
      <c r="C226" s="8"/>
      <c r="D226" s="8"/>
      <c r="E226" s="8"/>
    </row>
    <row r="227" spans="1:5">
      <c r="A227" s="8"/>
      <c r="B227" s="8"/>
      <c r="C227" s="8"/>
      <c r="D227" s="8"/>
      <c r="E227" s="8"/>
    </row>
    <row r="228" spans="1:5">
      <c r="A228" s="8"/>
      <c r="B228" s="8"/>
      <c r="C228" s="8"/>
      <c r="D228" s="8"/>
      <c r="E228" s="8"/>
    </row>
    <row r="229" spans="1:5">
      <c r="A229" s="8"/>
      <c r="B229" s="8"/>
      <c r="C229" s="8"/>
      <c r="D229" s="8"/>
      <c r="E229" s="8"/>
    </row>
    <row r="230" spans="1:5">
      <c r="A230" s="8"/>
      <c r="B230" s="8"/>
      <c r="C230" s="8"/>
      <c r="D230" s="8"/>
      <c r="E230" s="8"/>
    </row>
    <row r="231" spans="1:5">
      <c r="A231" s="8"/>
      <c r="B231" s="8"/>
      <c r="C231" s="8"/>
      <c r="D231" s="8"/>
      <c r="E231" s="8"/>
    </row>
    <row r="232" spans="1:5">
      <c r="A232" s="8"/>
      <c r="B232" s="8"/>
      <c r="C232" s="8"/>
      <c r="D232" s="8"/>
      <c r="E232" s="8"/>
    </row>
    <row r="233" spans="1:5">
      <c r="A233" s="8"/>
      <c r="B233" s="8"/>
      <c r="C233" s="8"/>
      <c r="D233" s="8"/>
      <c r="E233" s="8"/>
    </row>
    <row r="234" spans="1:5">
      <c r="A234" s="8"/>
      <c r="B234" s="8"/>
      <c r="C234" s="8"/>
      <c r="D234" s="8"/>
      <c r="E234" s="8"/>
    </row>
    <row r="235" spans="1:5">
      <c r="A235" s="8"/>
      <c r="B235" s="8"/>
      <c r="C235" s="8"/>
      <c r="D235" s="8"/>
      <c r="E235" s="8"/>
    </row>
    <row r="236" spans="1:5">
      <c r="A236" s="8"/>
      <c r="B236" s="8"/>
      <c r="C236" s="8"/>
      <c r="D236" s="8"/>
      <c r="E236" s="8"/>
    </row>
    <row r="237" spans="1:5">
      <c r="A237" s="8"/>
      <c r="B237" s="8"/>
      <c r="C237" s="8"/>
      <c r="D237" s="8"/>
      <c r="E237" s="8"/>
    </row>
    <row r="238" spans="1:5">
      <c r="A238" s="8"/>
      <c r="B238" s="8"/>
      <c r="C238" s="8"/>
      <c r="D238" s="8"/>
      <c r="E238" s="8"/>
    </row>
    <row r="239" spans="1:5">
      <c r="A239" s="8"/>
      <c r="B239" s="8"/>
      <c r="C239" s="8"/>
      <c r="D239" s="8"/>
      <c r="E239" s="8"/>
    </row>
    <row r="240" spans="1:5">
      <c r="A240" s="8"/>
      <c r="B240" s="8"/>
      <c r="C240" s="8"/>
      <c r="D240" s="8"/>
      <c r="E240" s="8"/>
    </row>
    <row r="241" spans="1:5">
      <c r="A241" s="8"/>
      <c r="B241" s="8"/>
      <c r="C241" s="8"/>
      <c r="D241" s="8"/>
      <c r="E241" s="8"/>
    </row>
    <row r="242" spans="1:5">
      <c r="A242" s="8"/>
      <c r="B242" s="8"/>
      <c r="C242" s="8"/>
      <c r="D242" s="8"/>
      <c r="E242" s="8"/>
    </row>
    <row r="243" spans="1:5">
      <c r="A243" s="8"/>
      <c r="B243" s="8"/>
      <c r="C243" s="8"/>
      <c r="D243" s="8"/>
      <c r="E243" s="8"/>
    </row>
    <row r="244" spans="1:5">
      <c r="A244" s="8"/>
      <c r="B244" s="8"/>
      <c r="C244" s="8"/>
      <c r="D244" s="8"/>
      <c r="E244" s="8"/>
    </row>
    <row r="245" spans="1:5">
      <c r="A245" s="8"/>
      <c r="B245" s="8"/>
      <c r="C245" s="8"/>
      <c r="D245" s="8"/>
      <c r="E245" s="8"/>
    </row>
    <row r="246" spans="1:5">
      <c r="A246" s="8"/>
      <c r="B246" s="8"/>
      <c r="C246" s="8"/>
      <c r="D246" s="8"/>
      <c r="E246" s="8"/>
    </row>
    <row r="247" spans="1:5">
      <c r="A247" s="8"/>
      <c r="B247" s="8"/>
      <c r="C247" s="8"/>
      <c r="D247" s="8"/>
      <c r="E247" s="8"/>
    </row>
    <row r="248" spans="1:5">
      <c r="A248" s="8"/>
      <c r="B248" s="8"/>
      <c r="C248" s="8"/>
      <c r="D248" s="8"/>
      <c r="E248" s="8"/>
    </row>
    <row r="249" spans="1:5">
      <c r="A249" s="8"/>
      <c r="B249" s="8"/>
      <c r="C249" s="8"/>
      <c r="D249" s="8"/>
      <c r="E249" s="8"/>
    </row>
    <row r="250" spans="1:5">
      <c r="A250" s="8"/>
      <c r="B250" s="8"/>
      <c r="C250" s="8"/>
      <c r="D250" s="8"/>
      <c r="E250" s="8"/>
    </row>
    <row r="251" spans="1:5">
      <c r="A251" s="8"/>
      <c r="B251" s="8"/>
      <c r="C251" s="8"/>
      <c r="D251" s="8"/>
      <c r="E251" s="8"/>
    </row>
    <row r="252" spans="1:5">
      <c r="A252" s="8"/>
      <c r="B252" s="8"/>
      <c r="C252" s="8"/>
      <c r="D252" s="8"/>
      <c r="E252" s="8"/>
    </row>
    <row r="253" spans="1:5">
      <c r="A253" s="8"/>
      <c r="B253" s="8"/>
      <c r="C253" s="8"/>
      <c r="D253" s="8"/>
      <c r="E253" s="8"/>
    </row>
    <row r="254" spans="1:5">
      <c r="A254" s="8"/>
      <c r="B254" s="8"/>
      <c r="C254" s="8"/>
      <c r="D254" s="8"/>
      <c r="E254" s="8"/>
    </row>
    <row r="255" spans="1:5">
      <c r="A255" s="8"/>
      <c r="B255" s="8"/>
      <c r="C255" s="8"/>
      <c r="D255" s="8"/>
      <c r="E255" s="8"/>
    </row>
    <row r="256" spans="1:5">
      <c r="A256" s="8"/>
      <c r="B256" s="8"/>
      <c r="C256" s="8"/>
      <c r="D256" s="8"/>
      <c r="E256" s="8"/>
    </row>
    <row r="257" spans="1:5">
      <c r="A257" s="8"/>
      <c r="B257" s="8"/>
      <c r="C257" s="8"/>
      <c r="D257" s="8"/>
      <c r="E257" s="8"/>
    </row>
    <row r="258" spans="1:5">
      <c r="A258" s="8"/>
      <c r="B258" s="8"/>
      <c r="C258" s="8"/>
      <c r="D258" s="8"/>
      <c r="E258" s="8"/>
    </row>
    <row r="259" spans="1:5">
      <c r="A259" s="8"/>
      <c r="B259" s="8"/>
      <c r="C259" s="8"/>
      <c r="D259" s="8"/>
      <c r="E259" s="8"/>
    </row>
    <row r="260" spans="1:5">
      <c r="A260" s="8"/>
      <c r="B260" s="8"/>
      <c r="C260" s="8"/>
      <c r="D260" s="8"/>
      <c r="E260" s="8"/>
    </row>
    <row r="261" spans="1:5">
      <c r="A261" s="8"/>
      <c r="B261" s="8"/>
      <c r="C261" s="8"/>
      <c r="D261" s="8"/>
      <c r="E261" s="8"/>
    </row>
    <row r="262" spans="1:5">
      <c r="A262" s="8"/>
      <c r="B262" s="8"/>
      <c r="C262" s="8"/>
      <c r="D262" s="8"/>
      <c r="E262" s="8"/>
    </row>
    <row r="263" spans="1:5">
      <c r="A263" s="8"/>
      <c r="B263" s="8"/>
      <c r="C263" s="8"/>
      <c r="D263" s="8"/>
      <c r="E263" s="8"/>
    </row>
  </sheetData>
  <pageMargins left="0.7" right="0.7" top="0.75" bottom="0.75" header="0.3" footer="0.3"/>
  <pageSetup orientation="portrait" horizontalDpi="300" verticalDpi="300" r:id="rId1"/>
  <tableParts count="16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4"/>
  <sheetViews>
    <sheetView workbookViewId="0">
      <selection activeCell="H2" sqref="H2"/>
    </sheetView>
  </sheetViews>
  <sheetFormatPr defaultRowHeight="15"/>
  <cols>
    <col min="1" max="1" width="9.28515625" bestFit="1" customWidth="1"/>
    <col min="2" max="2" width="12.85546875" bestFit="1" customWidth="1"/>
    <col min="3" max="3" width="9.42578125" bestFit="1" customWidth="1"/>
    <col min="4" max="4" width="8.28515625" bestFit="1" customWidth="1"/>
    <col min="5" max="5" width="7" bestFit="1" customWidth="1"/>
    <col min="6" max="6" width="11" bestFit="1" customWidth="1"/>
    <col min="7" max="7" width="7" bestFit="1" customWidth="1"/>
    <col min="8" max="8" width="16.140625" bestFit="1" customWidth="1"/>
    <col min="9" max="9" width="8.140625" bestFit="1" customWidth="1"/>
    <col min="11" max="11" width="11.42578125" bestFit="1" customWidth="1"/>
    <col min="12" max="12" width="10.140625" bestFit="1" customWidth="1"/>
    <col min="13" max="13" width="14.28515625" bestFit="1" customWidth="1"/>
  </cols>
  <sheetData>
    <row r="1" spans="1:14">
      <c r="H1" s="44">
        <v>1</v>
      </c>
      <c r="I1" s="44">
        <v>0.25</v>
      </c>
      <c r="J1" s="44">
        <v>0.75</v>
      </c>
      <c r="K1" s="44">
        <v>1</v>
      </c>
      <c r="L1" s="44">
        <v>1</v>
      </c>
      <c r="M1" s="44">
        <v>1</v>
      </c>
    </row>
    <row r="2" spans="1:14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</row>
    <row r="3" spans="1:14">
      <c r="A3" s="43" t="s">
        <v>192</v>
      </c>
      <c r="B3" s="40" t="s">
        <v>187</v>
      </c>
      <c r="C3" s="40" t="s">
        <v>186</v>
      </c>
      <c r="D3" s="40" t="s">
        <v>188</v>
      </c>
      <c r="E3" s="40" t="s">
        <v>189</v>
      </c>
      <c r="F3" s="40" t="s">
        <v>190</v>
      </c>
      <c r="G3" s="40" t="s">
        <v>191</v>
      </c>
      <c r="H3" s="40" t="s">
        <v>195</v>
      </c>
      <c r="I3" s="40" t="s">
        <v>193</v>
      </c>
      <c r="J3" s="40" t="s">
        <v>194</v>
      </c>
      <c r="K3" s="40" t="s">
        <v>196</v>
      </c>
      <c r="L3" s="40" t="s">
        <v>197</v>
      </c>
      <c r="M3" s="40" t="s">
        <v>198</v>
      </c>
      <c r="N3" s="40" t="s">
        <v>199</v>
      </c>
    </row>
    <row r="4" spans="1:14">
      <c r="A4">
        <v>1995</v>
      </c>
      <c r="B4" s="41">
        <v>315</v>
      </c>
      <c r="C4" s="41">
        <v>75</v>
      </c>
      <c r="D4" s="41">
        <v>135</v>
      </c>
      <c r="E4" s="41">
        <v>10</v>
      </c>
      <c r="F4" s="41">
        <v>60</v>
      </c>
      <c r="G4" s="42">
        <f>SUM(B4:F4)</f>
        <v>595</v>
      </c>
      <c r="H4" s="45">
        <f t="shared" ref="H4:H24" si="0">B4*H$1/$G4</f>
        <v>0.52941176470588236</v>
      </c>
      <c r="I4" s="45">
        <f t="shared" ref="I4:I24" si="1">C4*I$1/$G4</f>
        <v>3.1512605042016806E-2</v>
      </c>
      <c r="J4" s="45">
        <f t="shared" ref="J4:J24" si="2">C4*J$1/$G4</f>
        <v>9.4537815126050417E-2</v>
      </c>
      <c r="K4" s="45">
        <f t="shared" ref="K4:K24" si="3">D4*K$1/$G4</f>
        <v>0.22689075630252101</v>
      </c>
      <c r="L4" s="45">
        <f t="shared" ref="L4:L24" si="4">E4*L$1/$G4</f>
        <v>1.680672268907563E-2</v>
      </c>
      <c r="M4" s="45">
        <f t="shared" ref="M4:M24" si="5">F4*M$1/$G4</f>
        <v>0.10084033613445378</v>
      </c>
      <c r="N4" s="30">
        <f>SUM(H4:M4)</f>
        <v>1</v>
      </c>
    </row>
    <row r="5" spans="1:14">
      <c r="A5">
        <v>1996</v>
      </c>
      <c r="B5" s="41">
        <v>380</v>
      </c>
      <c r="C5" s="41">
        <v>105</v>
      </c>
      <c r="D5" s="41">
        <v>160</v>
      </c>
      <c r="E5" s="41">
        <v>20</v>
      </c>
      <c r="F5" s="41">
        <v>70</v>
      </c>
      <c r="G5" s="42">
        <f t="shared" ref="G5:G24" si="6">SUM(B5:F5)</f>
        <v>735</v>
      </c>
      <c r="H5" s="45">
        <f t="shared" si="0"/>
        <v>0.51700680272108845</v>
      </c>
      <c r="I5" s="45">
        <f t="shared" si="1"/>
        <v>3.5714285714285712E-2</v>
      </c>
      <c r="J5" s="45">
        <f t="shared" si="2"/>
        <v>0.10714285714285714</v>
      </c>
      <c r="K5" s="45">
        <f t="shared" si="3"/>
        <v>0.21768707482993196</v>
      </c>
      <c r="L5" s="45">
        <f t="shared" si="4"/>
        <v>2.7210884353741496E-2</v>
      </c>
      <c r="M5" s="45">
        <f t="shared" si="5"/>
        <v>9.5238095238095233E-2</v>
      </c>
      <c r="N5" s="30">
        <f t="shared" ref="N5:N24" si="7">SUM(H5:M5)</f>
        <v>1</v>
      </c>
    </row>
    <row r="6" spans="1:14">
      <c r="A6">
        <v>1997</v>
      </c>
      <c r="B6" s="41">
        <v>405</v>
      </c>
      <c r="C6" s="41">
        <v>100</v>
      </c>
      <c r="D6" s="41">
        <v>190</v>
      </c>
      <c r="E6" s="41">
        <v>25</v>
      </c>
      <c r="F6" s="41">
        <v>85</v>
      </c>
      <c r="G6" s="42">
        <f t="shared" si="6"/>
        <v>805</v>
      </c>
      <c r="H6" s="45">
        <f t="shared" si="0"/>
        <v>0.50310559006211175</v>
      </c>
      <c r="I6" s="45">
        <f t="shared" si="1"/>
        <v>3.1055900621118012E-2</v>
      </c>
      <c r="J6" s="45">
        <f t="shared" si="2"/>
        <v>9.3167701863354033E-2</v>
      </c>
      <c r="K6" s="45">
        <f t="shared" si="3"/>
        <v>0.2360248447204969</v>
      </c>
      <c r="L6" s="45">
        <f t="shared" si="4"/>
        <v>3.1055900621118012E-2</v>
      </c>
      <c r="M6" s="45">
        <f t="shared" si="5"/>
        <v>0.10559006211180125</v>
      </c>
      <c r="N6" s="30">
        <f t="shared" si="7"/>
        <v>0.99999999999999978</v>
      </c>
    </row>
    <row r="7" spans="1:14">
      <c r="A7">
        <v>1998</v>
      </c>
      <c r="B7" s="41">
        <v>705</v>
      </c>
      <c r="C7" s="41">
        <v>145</v>
      </c>
      <c r="D7" s="41">
        <v>355</v>
      </c>
      <c r="E7" s="41">
        <v>35</v>
      </c>
      <c r="F7" s="41">
        <v>135</v>
      </c>
      <c r="G7" s="42">
        <f t="shared" si="6"/>
        <v>1375</v>
      </c>
      <c r="H7" s="45">
        <f t="shared" si="0"/>
        <v>0.5127272727272727</v>
      </c>
      <c r="I7" s="45">
        <f t="shared" si="1"/>
        <v>2.6363636363636363E-2</v>
      </c>
      <c r="J7" s="45">
        <f t="shared" si="2"/>
        <v>7.9090909090909087E-2</v>
      </c>
      <c r="K7" s="45">
        <f t="shared" si="3"/>
        <v>0.25818181818181818</v>
      </c>
      <c r="L7" s="45">
        <f t="shared" si="4"/>
        <v>2.5454545454545455E-2</v>
      </c>
      <c r="M7" s="45">
        <f t="shared" si="5"/>
        <v>9.8181818181818176E-2</v>
      </c>
      <c r="N7" s="30">
        <f t="shared" si="7"/>
        <v>1</v>
      </c>
    </row>
    <row r="8" spans="1:14">
      <c r="A8">
        <v>1999</v>
      </c>
      <c r="B8" s="41">
        <v>595</v>
      </c>
      <c r="C8" s="41">
        <v>172</v>
      </c>
      <c r="D8" s="41">
        <v>315</v>
      </c>
      <c r="E8" s="41">
        <v>40</v>
      </c>
      <c r="F8" s="41">
        <v>130</v>
      </c>
      <c r="G8" s="42">
        <f t="shared" si="6"/>
        <v>1252</v>
      </c>
      <c r="H8" s="45">
        <f t="shared" si="0"/>
        <v>0.47523961661341851</v>
      </c>
      <c r="I8" s="45">
        <f t="shared" si="1"/>
        <v>3.4345047923322686E-2</v>
      </c>
      <c r="J8" s="45">
        <f t="shared" si="2"/>
        <v>0.10303514376996806</v>
      </c>
      <c r="K8" s="45">
        <f t="shared" si="3"/>
        <v>0.25159744408945689</v>
      </c>
      <c r="L8" s="45">
        <f t="shared" si="4"/>
        <v>3.1948881789137379E-2</v>
      </c>
      <c r="M8" s="45">
        <f t="shared" si="5"/>
        <v>0.10383386581469649</v>
      </c>
      <c r="N8" s="30">
        <f t="shared" si="7"/>
        <v>1</v>
      </c>
    </row>
    <row r="9" spans="1:14">
      <c r="A9">
        <v>2000</v>
      </c>
      <c r="B9" s="41">
        <v>495</v>
      </c>
      <c r="C9" s="41">
        <v>115</v>
      </c>
      <c r="D9" s="41">
        <v>260</v>
      </c>
      <c r="E9" s="41">
        <v>25</v>
      </c>
      <c r="F9" s="41">
        <v>100</v>
      </c>
      <c r="G9" s="42">
        <f t="shared" si="6"/>
        <v>995</v>
      </c>
      <c r="H9" s="45">
        <f t="shared" si="0"/>
        <v>0.49748743718592964</v>
      </c>
      <c r="I9" s="45">
        <f t="shared" si="1"/>
        <v>2.8894472361809045E-2</v>
      </c>
      <c r="J9" s="45">
        <f t="shared" si="2"/>
        <v>8.6683417085427136E-2</v>
      </c>
      <c r="K9" s="45">
        <f t="shared" si="3"/>
        <v>0.2613065326633166</v>
      </c>
      <c r="L9" s="45">
        <f t="shared" si="4"/>
        <v>2.5125628140703519E-2</v>
      </c>
      <c r="M9" s="45">
        <f t="shared" si="5"/>
        <v>0.10050251256281408</v>
      </c>
      <c r="N9" s="30">
        <f t="shared" si="7"/>
        <v>1</v>
      </c>
    </row>
    <row r="10" spans="1:14">
      <c r="A10">
        <v>2001</v>
      </c>
      <c r="B10" s="41">
        <v>1265</v>
      </c>
      <c r="C10" s="41">
        <v>175</v>
      </c>
      <c r="D10" s="41">
        <v>460</v>
      </c>
      <c r="E10" s="41">
        <v>40</v>
      </c>
      <c r="F10" s="41">
        <v>160</v>
      </c>
      <c r="G10" s="42">
        <f t="shared" si="6"/>
        <v>2100</v>
      </c>
      <c r="H10" s="45">
        <f t="shared" si="0"/>
        <v>0.60238095238095235</v>
      </c>
      <c r="I10" s="45">
        <f t="shared" si="1"/>
        <v>2.0833333333333332E-2</v>
      </c>
      <c r="J10" s="45">
        <f t="shared" si="2"/>
        <v>6.25E-2</v>
      </c>
      <c r="K10" s="45">
        <f t="shared" si="3"/>
        <v>0.21904761904761905</v>
      </c>
      <c r="L10" s="45">
        <f t="shared" si="4"/>
        <v>1.9047619047619049E-2</v>
      </c>
      <c r="M10" s="45">
        <f t="shared" si="5"/>
        <v>7.6190476190476197E-2</v>
      </c>
      <c r="N10" s="30">
        <f t="shared" si="7"/>
        <v>1</v>
      </c>
    </row>
    <row r="11" spans="1:14">
      <c r="A11">
        <v>2002</v>
      </c>
      <c r="B11" s="41">
        <v>1706</v>
      </c>
      <c r="C11" s="41">
        <v>176</v>
      </c>
      <c r="D11" s="41">
        <v>571</v>
      </c>
      <c r="E11" s="41">
        <v>67</v>
      </c>
      <c r="F11" s="41">
        <v>200</v>
      </c>
      <c r="G11" s="42">
        <f t="shared" si="6"/>
        <v>2720</v>
      </c>
      <c r="H11" s="45">
        <f t="shared" si="0"/>
        <v>0.62720588235294117</v>
      </c>
      <c r="I11" s="45">
        <f t="shared" si="1"/>
        <v>1.6176470588235296E-2</v>
      </c>
      <c r="J11" s="45">
        <f t="shared" si="2"/>
        <v>4.8529411764705883E-2</v>
      </c>
      <c r="K11" s="45">
        <f t="shared" si="3"/>
        <v>0.2099264705882353</v>
      </c>
      <c r="L11" s="45">
        <f t="shared" si="4"/>
        <v>2.463235294117647E-2</v>
      </c>
      <c r="M11" s="45">
        <f t="shared" si="5"/>
        <v>7.3529411764705885E-2</v>
      </c>
      <c r="N11" s="30">
        <f t="shared" si="7"/>
        <v>1.0000000000000002</v>
      </c>
    </row>
    <row r="12" spans="1:14">
      <c r="A12">
        <v>2003</v>
      </c>
      <c r="B12" s="41">
        <v>2460</v>
      </c>
      <c r="C12" s="41">
        <v>220</v>
      </c>
      <c r="D12" s="41">
        <v>650</v>
      </c>
      <c r="E12" s="41">
        <v>85</v>
      </c>
      <c r="F12" s="41">
        <v>310</v>
      </c>
      <c r="G12" s="42">
        <f t="shared" si="6"/>
        <v>3725</v>
      </c>
      <c r="H12" s="45">
        <f t="shared" si="0"/>
        <v>0.66040268456375839</v>
      </c>
      <c r="I12" s="45">
        <f t="shared" si="1"/>
        <v>1.4765100671140939E-2</v>
      </c>
      <c r="J12" s="45">
        <f t="shared" si="2"/>
        <v>4.429530201342282E-2</v>
      </c>
      <c r="K12" s="45">
        <f t="shared" si="3"/>
        <v>0.17449664429530201</v>
      </c>
      <c r="L12" s="45">
        <f t="shared" si="4"/>
        <v>2.2818791946308724E-2</v>
      </c>
      <c r="M12" s="45">
        <f t="shared" si="5"/>
        <v>8.3221476510067116E-2</v>
      </c>
      <c r="N12" s="30">
        <f t="shared" si="7"/>
        <v>1</v>
      </c>
    </row>
    <row r="13" spans="1:14">
      <c r="A13">
        <v>2004</v>
      </c>
      <c r="B13" s="41">
        <v>1210</v>
      </c>
      <c r="C13" s="41">
        <v>135</v>
      </c>
      <c r="D13" s="41">
        <v>515</v>
      </c>
      <c r="E13" s="41">
        <v>190</v>
      </c>
      <c r="F13" s="41">
        <v>540</v>
      </c>
      <c r="G13" s="42">
        <f t="shared" si="6"/>
        <v>2590</v>
      </c>
      <c r="H13" s="45">
        <f t="shared" si="0"/>
        <v>0.46718146718146719</v>
      </c>
      <c r="I13" s="45">
        <f t="shared" si="1"/>
        <v>1.3030888030888031E-2</v>
      </c>
      <c r="J13" s="45">
        <f t="shared" si="2"/>
        <v>3.9092664092664091E-2</v>
      </c>
      <c r="K13" s="45">
        <f t="shared" si="3"/>
        <v>0.19884169884169883</v>
      </c>
      <c r="L13" s="45">
        <f t="shared" si="4"/>
        <v>7.3359073359073365E-2</v>
      </c>
      <c r="M13" s="45">
        <f t="shared" si="5"/>
        <v>0.20849420849420849</v>
      </c>
      <c r="N13" s="30">
        <f t="shared" si="7"/>
        <v>0.99999999999999989</v>
      </c>
    </row>
    <row r="14" spans="1:14">
      <c r="A14">
        <v>2005</v>
      </c>
      <c r="B14" s="41">
        <v>1090</v>
      </c>
      <c r="C14" s="41">
        <v>90</v>
      </c>
      <c r="D14" s="41">
        <v>570</v>
      </c>
      <c r="E14" s="41">
        <v>380</v>
      </c>
      <c r="F14" s="41">
        <v>625</v>
      </c>
      <c r="G14" s="42">
        <f t="shared" si="6"/>
        <v>2755</v>
      </c>
      <c r="H14" s="45">
        <f t="shared" si="0"/>
        <v>0.39564428312159711</v>
      </c>
      <c r="I14" s="45">
        <f t="shared" si="1"/>
        <v>8.1669691470054439E-3</v>
      </c>
      <c r="J14" s="45">
        <f t="shared" si="2"/>
        <v>2.4500907441016333E-2</v>
      </c>
      <c r="K14" s="45">
        <f t="shared" si="3"/>
        <v>0.20689655172413793</v>
      </c>
      <c r="L14" s="45">
        <f t="shared" si="4"/>
        <v>0.13793103448275862</v>
      </c>
      <c r="M14" s="45">
        <f t="shared" si="5"/>
        <v>0.22686025408348456</v>
      </c>
      <c r="N14" s="30">
        <f t="shared" si="7"/>
        <v>1</v>
      </c>
    </row>
    <row r="15" spans="1:14">
      <c r="A15">
        <v>2006</v>
      </c>
      <c r="B15" s="41">
        <v>990</v>
      </c>
      <c r="C15" s="41">
        <v>80</v>
      </c>
      <c r="D15" s="41">
        <v>480</v>
      </c>
      <c r="E15" s="41">
        <v>400</v>
      </c>
      <c r="F15" s="41">
        <v>600</v>
      </c>
      <c r="G15" s="42">
        <f t="shared" si="6"/>
        <v>2550</v>
      </c>
      <c r="H15" s="45">
        <f t="shared" si="0"/>
        <v>0.38823529411764707</v>
      </c>
      <c r="I15" s="45">
        <f t="shared" si="1"/>
        <v>7.8431372549019607E-3</v>
      </c>
      <c r="J15" s="45">
        <f t="shared" si="2"/>
        <v>2.3529411764705882E-2</v>
      </c>
      <c r="K15" s="45">
        <f t="shared" si="3"/>
        <v>0.18823529411764706</v>
      </c>
      <c r="L15" s="45">
        <f t="shared" si="4"/>
        <v>0.15686274509803921</v>
      </c>
      <c r="M15" s="45">
        <f t="shared" si="5"/>
        <v>0.23529411764705882</v>
      </c>
      <c r="N15" s="30">
        <f t="shared" si="7"/>
        <v>1</v>
      </c>
    </row>
    <row r="16" spans="1:14">
      <c r="A16">
        <v>2007</v>
      </c>
      <c r="B16" s="41">
        <v>1151</v>
      </c>
      <c r="C16" s="41">
        <v>116</v>
      </c>
      <c r="D16" s="41">
        <v>348</v>
      </c>
      <c r="E16" s="41">
        <v>275</v>
      </c>
      <c r="F16" s="41">
        <v>191</v>
      </c>
      <c r="G16" s="42">
        <f t="shared" si="6"/>
        <v>2081</v>
      </c>
      <c r="H16" s="45">
        <f t="shared" si="0"/>
        <v>0.55309947140797688</v>
      </c>
      <c r="I16" s="45">
        <f t="shared" si="1"/>
        <v>1.3935607880826525E-2</v>
      </c>
      <c r="J16" s="45">
        <f t="shared" si="2"/>
        <v>4.1806823642479576E-2</v>
      </c>
      <c r="K16" s="45">
        <f t="shared" si="3"/>
        <v>0.16722729456991831</v>
      </c>
      <c r="L16" s="45">
        <f t="shared" si="4"/>
        <v>0.13214800576645844</v>
      </c>
      <c r="M16" s="45">
        <f t="shared" si="5"/>
        <v>9.1782796732340216E-2</v>
      </c>
      <c r="N16" s="30">
        <f t="shared" si="7"/>
        <v>1</v>
      </c>
    </row>
    <row r="17" spans="1:14">
      <c r="A17">
        <v>2008</v>
      </c>
      <c r="B17" s="41">
        <v>928</v>
      </c>
      <c r="C17" s="41">
        <v>293</v>
      </c>
      <c r="D17" s="41">
        <v>98</v>
      </c>
      <c r="E17" s="41">
        <v>42</v>
      </c>
      <c r="F17" s="41">
        <v>23</v>
      </c>
      <c r="G17" s="42">
        <f t="shared" si="6"/>
        <v>1384</v>
      </c>
      <c r="H17" s="45">
        <f t="shared" si="0"/>
        <v>0.67052023121387283</v>
      </c>
      <c r="I17" s="45">
        <f t="shared" si="1"/>
        <v>5.2926300578034685E-2</v>
      </c>
      <c r="J17" s="45">
        <f t="shared" si="2"/>
        <v>0.15877890173410406</v>
      </c>
      <c r="K17" s="45">
        <f t="shared" si="3"/>
        <v>7.0809248554913301E-2</v>
      </c>
      <c r="L17" s="45">
        <f t="shared" si="4"/>
        <v>3.0346820809248554E-2</v>
      </c>
      <c r="M17" s="45">
        <f t="shared" si="5"/>
        <v>1.6618497109826588E-2</v>
      </c>
      <c r="N17" s="30">
        <f t="shared" si="7"/>
        <v>1</v>
      </c>
    </row>
    <row r="18" spans="1:14">
      <c r="A18">
        <v>2009</v>
      </c>
      <c r="B18" s="41">
        <v>1201</v>
      </c>
      <c r="C18" s="41">
        <v>451</v>
      </c>
      <c r="D18" s="41">
        <f>97</f>
        <v>97</v>
      </c>
      <c r="E18" s="41">
        <v>6</v>
      </c>
      <c r="F18" s="41">
        <v>4</v>
      </c>
      <c r="G18" s="42">
        <f t="shared" si="6"/>
        <v>1759</v>
      </c>
      <c r="H18" s="45">
        <f t="shared" si="0"/>
        <v>0.68277430358158042</v>
      </c>
      <c r="I18" s="45">
        <f t="shared" si="1"/>
        <v>6.4098919840818641E-2</v>
      </c>
      <c r="J18" s="45">
        <f t="shared" si="2"/>
        <v>0.19229675952245595</v>
      </c>
      <c r="K18" s="45">
        <f t="shared" si="3"/>
        <v>5.5144968732234227E-2</v>
      </c>
      <c r="L18" s="45">
        <f t="shared" si="4"/>
        <v>3.4110289937464467E-3</v>
      </c>
      <c r="M18" s="45">
        <f t="shared" si="5"/>
        <v>2.2740193291642978E-3</v>
      </c>
      <c r="N18" s="30">
        <f t="shared" si="7"/>
        <v>0.99999999999999989</v>
      </c>
    </row>
    <row r="19" spans="1:14">
      <c r="A19">
        <v>2010</v>
      </c>
      <c r="B19" s="41">
        <f>1092</f>
        <v>1092</v>
      </c>
      <c r="C19" s="41">
        <v>377</v>
      </c>
      <c r="D19" s="41">
        <f>104</f>
        <v>104</v>
      </c>
      <c r="E19" s="41">
        <v>4</v>
      </c>
      <c r="F19" s="41">
        <v>4</v>
      </c>
      <c r="G19" s="42">
        <f t="shared" si="6"/>
        <v>1581</v>
      </c>
      <c r="H19" s="45">
        <f t="shared" si="0"/>
        <v>0.69070208728652749</v>
      </c>
      <c r="I19" s="45">
        <f t="shared" si="1"/>
        <v>5.9614168247944341E-2</v>
      </c>
      <c r="J19" s="45">
        <f t="shared" si="2"/>
        <v>0.17884250474383301</v>
      </c>
      <c r="K19" s="45">
        <f t="shared" si="3"/>
        <v>6.5781151170145477E-2</v>
      </c>
      <c r="L19" s="45">
        <f t="shared" si="4"/>
        <v>2.5300442757748261E-3</v>
      </c>
      <c r="M19" s="45">
        <f t="shared" si="5"/>
        <v>2.5300442757748261E-3</v>
      </c>
      <c r="N19" s="30">
        <f t="shared" si="7"/>
        <v>1</v>
      </c>
    </row>
    <row r="20" spans="1:14">
      <c r="A20">
        <v>2011</v>
      </c>
      <c r="B20" s="41">
        <f>963</f>
        <v>963</v>
      </c>
      <c r="C20" s="41">
        <v>294</v>
      </c>
      <c r="D20" s="41">
        <v>170</v>
      </c>
      <c r="E20" s="41">
        <v>14</v>
      </c>
      <c r="F20" s="41">
        <v>4</v>
      </c>
      <c r="G20" s="42">
        <f t="shared" si="6"/>
        <v>1445</v>
      </c>
      <c r="H20" s="45">
        <f t="shared" si="0"/>
        <v>0.66643598615916955</v>
      </c>
      <c r="I20" s="45">
        <f t="shared" si="1"/>
        <v>5.0865051903114189E-2</v>
      </c>
      <c r="J20" s="45">
        <f t="shared" si="2"/>
        <v>0.15259515570934257</v>
      </c>
      <c r="K20" s="45">
        <f t="shared" si="3"/>
        <v>0.11764705882352941</v>
      </c>
      <c r="L20" s="45">
        <f t="shared" si="4"/>
        <v>9.688581314878892E-3</v>
      </c>
      <c r="M20" s="45">
        <f t="shared" si="5"/>
        <v>2.7681660899653978E-3</v>
      </c>
      <c r="N20" s="30">
        <f t="shared" si="7"/>
        <v>1</v>
      </c>
    </row>
    <row r="21" spans="1:14">
      <c r="A21">
        <v>2012</v>
      </c>
      <c r="B21" s="41">
        <f>1438</f>
        <v>1438</v>
      </c>
      <c r="C21" s="41">
        <v>390</v>
      </c>
      <c r="D21" s="41">
        <v>225</v>
      </c>
      <c r="E21" s="41">
        <v>19</v>
      </c>
      <c r="F21" s="41">
        <v>4</v>
      </c>
      <c r="G21" s="42">
        <f t="shared" si="6"/>
        <v>2076</v>
      </c>
      <c r="H21" s="45">
        <f t="shared" si="0"/>
        <v>0.69267822736030826</v>
      </c>
      <c r="I21" s="45">
        <f t="shared" si="1"/>
        <v>4.6965317919075142E-2</v>
      </c>
      <c r="J21" s="45">
        <f t="shared" si="2"/>
        <v>0.14089595375722544</v>
      </c>
      <c r="K21" s="45">
        <f t="shared" si="3"/>
        <v>0.10838150289017341</v>
      </c>
      <c r="L21" s="45">
        <f t="shared" si="4"/>
        <v>9.1522157996146436E-3</v>
      </c>
      <c r="M21" s="45">
        <f t="shared" si="5"/>
        <v>1.9267822736030828E-3</v>
      </c>
      <c r="N21" s="30">
        <f t="shared" si="7"/>
        <v>1</v>
      </c>
    </row>
    <row r="22" spans="1:14">
      <c r="A22">
        <v>2013</v>
      </c>
      <c r="B22" s="41">
        <f>1174</f>
        <v>1174</v>
      </c>
      <c r="C22" s="41">
        <v>366</v>
      </c>
      <c r="D22" s="41">
        <v>272</v>
      </c>
      <c r="E22" s="41">
        <v>14</v>
      </c>
      <c r="F22" s="41">
        <v>4</v>
      </c>
      <c r="G22" s="42">
        <f t="shared" si="6"/>
        <v>1830</v>
      </c>
      <c r="H22" s="45">
        <f t="shared" si="0"/>
        <v>0.64153005464480872</v>
      </c>
      <c r="I22" s="45">
        <f t="shared" si="1"/>
        <v>0.05</v>
      </c>
      <c r="J22" s="45">
        <f t="shared" si="2"/>
        <v>0.15</v>
      </c>
      <c r="K22" s="45">
        <f t="shared" si="3"/>
        <v>0.14863387978142076</v>
      </c>
      <c r="L22" s="45">
        <f t="shared" si="4"/>
        <v>7.6502732240437158E-3</v>
      </c>
      <c r="M22" s="45">
        <f t="shared" si="5"/>
        <v>2.185792349726776E-3</v>
      </c>
      <c r="N22" s="30">
        <f t="shared" si="7"/>
        <v>1</v>
      </c>
    </row>
    <row r="23" spans="1:14">
      <c r="A23">
        <v>2014</v>
      </c>
      <c r="B23" s="40">
        <f>649</f>
        <v>649</v>
      </c>
      <c r="C23" s="41">
        <v>277</v>
      </c>
      <c r="D23" s="41">
        <f>235</f>
        <v>235</v>
      </c>
      <c r="E23" s="41">
        <v>4</v>
      </c>
      <c r="F23" s="41">
        <v>4</v>
      </c>
      <c r="G23" s="42">
        <f t="shared" si="6"/>
        <v>1169</v>
      </c>
      <c r="H23" s="45">
        <f t="shared" si="0"/>
        <v>0.55517536355859709</v>
      </c>
      <c r="I23" s="45">
        <f t="shared" si="1"/>
        <v>5.9238665526090674E-2</v>
      </c>
      <c r="J23" s="45">
        <f t="shared" si="2"/>
        <v>0.17771599657827203</v>
      </c>
      <c r="K23" s="45">
        <f t="shared" si="3"/>
        <v>0.20102651839178784</v>
      </c>
      <c r="L23" s="45">
        <f t="shared" si="4"/>
        <v>3.4217279726261761E-3</v>
      </c>
      <c r="M23" s="45">
        <f t="shared" si="5"/>
        <v>3.4217279726261761E-3</v>
      </c>
      <c r="N23" s="30">
        <f t="shared" si="7"/>
        <v>1</v>
      </c>
    </row>
    <row r="24" spans="1:14">
      <c r="A24">
        <v>2015</v>
      </c>
      <c r="B24" s="41">
        <f>442</f>
        <v>442</v>
      </c>
      <c r="C24" s="41">
        <v>196</v>
      </c>
      <c r="D24" s="41">
        <f>163</f>
        <v>163</v>
      </c>
      <c r="E24" s="41">
        <v>2</v>
      </c>
      <c r="F24" s="41">
        <v>2</v>
      </c>
      <c r="G24" s="42">
        <f t="shared" si="6"/>
        <v>805</v>
      </c>
      <c r="H24" s="45">
        <f t="shared" si="0"/>
        <v>0.54906832298136643</v>
      </c>
      <c r="I24" s="45">
        <f t="shared" si="1"/>
        <v>6.0869565217391307E-2</v>
      </c>
      <c r="J24" s="45">
        <f t="shared" si="2"/>
        <v>0.18260869565217391</v>
      </c>
      <c r="K24" s="45">
        <f t="shared" si="3"/>
        <v>0.20248447204968945</v>
      </c>
      <c r="L24" s="45">
        <f t="shared" si="4"/>
        <v>2.4844720496894411E-3</v>
      </c>
      <c r="M24" s="45">
        <f t="shared" si="5"/>
        <v>2.4844720496894411E-3</v>
      </c>
      <c r="N24" s="30">
        <f t="shared" si="7"/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8"/>
  <sheetViews>
    <sheetView workbookViewId="0">
      <selection activeCell="C7" sqref="C7"/>
    </sheetView>
  </sheetViews>
  <sheetFormatPr defaultRowHeight="15"/>
  <cols>
    <col min="1" max="1" width="12.5703125" bestFit="1" customWidth="1"/>
    <col min="3" max="3" width="20.140625" bestFit="1" customWidth="1"/>
  </cols>
  <sheetData>
    <row r="2" spans="1:3">
      <c r="A2" s="46" t="s">
        <v>200</v>
      </c>
      <c r="C2" s="46" t="s">
        <v>201</v>
      </c>
    </row>
    <row r="3" spans="1:3">
      <c r="A3" t="s">
        <v>180</v>
      </c>
      <c r="C3" t="s">
        <v>202</v>
      </c>
    </row>
    <row r="4" spans="1:3">
      <c r="A4" t="s">
        <v>181</v>
      </c>
      <c r="C4" t="s">
        <v>202</v>
      </c>
    </row>
    <row r="5" spans="1:3">
      <c r="A5" t="s">
        <v>187</v>
      </c>
      <c r="C5" t="s">
        <v>202</v>
      </c>
    </row>
    <row r="6" spans="1:3">
      <c r="A6" t="s">
        <v>188</v>
      </c>
      <c r="C6" t="s">
        <v>187</v>
      </c>
    </row>
    <row r="7" spans="1:3">
      <c r="A7" t="s">
        <v>189</v>
      </c>
      <c r="C7" t="s">
        <v>203</v>
      </c>
    </row>
    <row r="8" spans="1:3">
      <c r="A8" t="s">
        <v>190</v>
      </c>
      <c r="C8" t="s">
        <v>204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18</vt:i4>
      </vt:variant>
    </vt:vector>
  </HeadingPairs>
  <TitlesOfParts>
    <vt:vector size="23" baseType="lpstr">
      <vt:lpstr>Report</vt:lpstr>
      <vt:lpstr>Report (2)</vt:lpstr>
      <vt:lpstr>Time Series Query</vt:lpstr>
      <vt:lpstr>OriginationVolume</vt:lpstr>
      <vt:lpstr>Default Assumptions</vt:lpstr>
      <vt:lpstr>'Report (2)'!CurrentCloseDate</vt:lpstr>
      <vt:lpstr>CurrentCloseDate</vt:lpstr>
      <vt:lpstr>'Report (2)'!DatabaseEnv</vt:lpstr>
      <vt:lpstr>DatabaseEnv</vt:lpstr>
      <vt:lpstr>'Report (2)'!LastAvailableDate</vt:lpstr>
      <vt:lpstr>LastAvailableDate</vt:lpstr>
      <vt:lpstr>'Report (2)'!LastMonth</vt:lpstr>
      <vt:lpstr>LastMonth</vt:lpstr>
      <vt:lpstr>'Report (2)'!LastSurveyDate</vt:lpstr>
      <vt:lpstr>LastSurveyDate</vt:lpstr>
      <vt:lpstr>'Report (2)'!PDFReportDir</vt:lpstr>
      <vt:lpstr>PDFReportDir</vt:lpstr>
      <vt:lpstr>'Report (2)'!PDFReportName</vt:lpstr>
      <vt:lpstr>PDFReportName</vt:lpstr>
      <vt:lpstr>Report!Print_Area</vt:lpstr>
      <vt:lpstr>'Report (2)'!Print_Area</vt:lpstr>
      <vt:lpstr>'Report (2)'!SaveRatesToDB</vt:lpstr>
      <vt:lpstr>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Sharad Chaudhary</cp:lastModifiedBy>
  <cp:lastPrinted>2015-09-02T21:34:11Z</cp:lastPrinted>
  <dcterms:created xsi:type="dcterms:W3CDTF">2013-04-04T19:42:48Z</dcterms:created>
  <dcterms:modified xsi:type="dcterms:W3CDTF">2015-09-29T01:30:00Z</dcterms:modified>
</cp:coreProperties>
</file>