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27795" windowHeight="17370" activeTab="1"/>
  </bookViews>
  <sheets>
    <sheet name="CMO Issuance" sheetId="1" r:id="rId1"/>
    <sheet name="Pool Issuance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<sst xmlns="http://schemas.openxmlformats.org/spreadsheetml/2006/main" count="10" uniqueCount="10">
  <si>
    <t>Freddie Mac</t>
  </si>
  <si>
    <t>Fannie Mae</t>
  </si>
  <si>
    <t>Ginnie Mae</t>
  </si>
  <si>
    <t>Dollars in Billions ($)</t>
  </si>
  <si>
    <t>GNMA Share(%)</t>
  </si>
  <si>
    <t>FNCL</t>
  </si>
  <si>
    <t>FGLMC</t>
  </si>
  <si>
    <t>GNSF/G2SF</t>
  </si>
  <si>
    <t>%GN</t>
  </si>
  <si>
    <t>Pool Issuance Amount ($B)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</si>
</sst>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  <xf numFmtId="0" fontId="1" fillId="0" borderId="1" xfId="0" applyFont="1" applyBorder="1"/>
    <xf numFmtId="9" fontId="0" fillId="0" borderId="0" xfId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43" fontId="0" fillId="0" borderId="0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0" fillId="0" borderId="13" xfId="0" applyNumberForma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43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>
      <selection activeCell="L21" sqref="L21"/>
    </sheetView>
  </sheetViews>
  <sheetFormatPr defaultRowHeight="15" x14ac:dyDescent="0.25"/>
  <cols>
    <col min="1" max="1" width="9.140625" style="1"/>
    <col min="2" max="2" width="2.140625" style="1" customWidth="1"/>
    <col min="3" max="3" width="12.7109375" style="1" customWidth="1"/>
    <col min="4" max="4" width="2.140625" style="1" customWidth="1"/>
    <col min="5" max="5" width="11.28515625" style="1" customWidth="1"/>
    <col min="6" max="6" width="2.140625" style="1" customWidth="1"/>
    <col min="7" max="7" width="12" customWidth="1"/>
    <col min="8" max="8" width="2.140625" style="1" customWidth="1"/>
    <col min="9" max="9" width="15.42578125" customWidth="1"/>
  </cols>
  <sheetData>
    <row r="2" spans="1:9" x14ac:dyDescent="0.25">
      <c r="C2" s="9" t="s">
        <v>3</v>
      </c>
      <c r="D2" s="10"/>
      <c r="E2" s="10"/>
      <c r="F2" s="10"/>
      <c r="G2" s="10"/>
      <c r="H2"/>
    </row>
    <row r="4" spans="1:9" x14ac:dyDescent="0.25">
      <c r="B4" s="2"/>
      <c r="C4" s="3" t="s">
        <v>0</v>
      </c>
      <c r="D4" s="2"/>
      <c r="E4" s="3" t="s">
        <v>1</v>
      </c>
      <c r="F4" s="2"/>
      <c r="G4" s="3" t="s">
        <v>2</v>
      </c>
      <c r="H4" s="2"/>
      <c r="I4" s="7" t="s">
        <v>4</v>
      </c>
    </row>
    <row r="5" spans="1:9" x14ac:dyDescent="0.25">
      <c r="A5" s="5">
        <v>2013</v>
      </c>
      <c r="C5" s="1">
        <v>76</v>
      </c>
      <c r="E5" s="1">
        <v>106</v>
      </c>
      <c r="G5" s="1">
        <v>82</v>
      </c>
      <c r="I5" s="8">
        <f>G5/SUM(C5:G5)</f>
        <v>0.31060606060606061</v>
      </c>
    </row>
    <row r="6" spans="1:9" x14ac:dyDescent="0.25">
      <c r="A6" s="5">
        <v>2014</v>
      </c>
      <c r="C6" s="1">
        <v>77</v>
      </c>
      <c r="E6" s="1">
        <v>46</v>
      </c>
      <c r="G6" s="1">
        <v>72</v>
      </c>
      <c r="I6" s="8">
        <f t="shared" ref="I6:I14" si="0">G6/SUM(C6:G6)</f>
        <v>0.36923076923076925</v>
      </c>
    </row>
    <row r="7" spans="1:9" x14ac:dyDescent="0.25">
      <c r="A7" s="6">
        <v>42005</v>
      </c>
      <c r="B7" s="4"/>
      <c r="C7" s="4">
        <v>3.7</v>
      </c>
      <c r="D7" s="4"/>
      <c r="E7" s="4">
        <v>2</v>
      </c>
      <c r="F7" s="4"/>
      <c r="G7" s="4">
        <v>3.4</v>
      </c>
      <c r="H7" s="4"/>
      <c r="I7" s="8">
        <f t="shared" si="0"/>
        <v>0.37362637362637363</v>
      </c>
    </row>
    <row r="8" spans="1:9" x14ac:dyDescent="0.25">
      <c r="A8" s="6">
        <v>42036</v>
      </c>
      <c r="C8" s="4">
        <v>5</v>
      </c>
      <c r="D8" s="4"/>
      <c r="E8" s="4">
        <v>3.7</v>
      </c>
      <c r="F8" s="4"/>
      <c r="G8" s="4">
        <v>5.0999999999999996</v>
      </c>
      <c r="H8" s="4"/>
      <c r="I8" s="8">
        <f t="shared" si="0"/>
        <v>0.36956521739130432</v>
      </c>
    </row>
    <row r="9" spans="1:9" x14ac:dyDescent="0.25">
      <c r="A9" s="6">
        <v>42064</v>
      </c>
      <c r="C9" s="4">
        <v>4.5</v>
      </c>
      <c r="D9" s="4"/>
      <c r="E9" s="4">
        <v>7.1</v>
      </c>
      <c r="F9" s="4"/>
      <c r="G9" s="4">
        <v>4.7</v>
      </c>
      <c r="H9" s="4"/>
      <c r="I9" s="8">
        <f t="shared" si="0"/>
        <v>0.28834355828220859</v>
      </c>
    </row>
    <row r="10" spans="1:9" x14ac:dyDescent="0.25">
      <c r="A10" s="6">
        <v>42095</v>
      </c>
      <c r="C10" s="4">
        <v>5.7</v>
      </c>
      <c r="D10" s="4"/>
      <c r="E10" s="4">
        <v>5.2</v>
      </c>
      <c r="F10" s="4"/>
      <c r="G10" s="4">
        <v>5.0999999999999996</v>
      </c>
      <c r="H10" s="4"/>
      <c r="I10" s="8">
        <f t="shared" si="0"/>
        <v>0.31874999999999998</v>
      </c>
    </row>
    <row r="11" spans="1:9" x14ac:dyDescent="0.25">
      <c r="A11" s="6">
        <v>42125</v>
      </c>
      <c r="C11" s="4">
        <v>6.1</v>
      </c>
      <c r="D11" s="4"/>
      <c r="E11" s="4">
        <v>4.5999999999999996</v>
      </c>
      <c r="F11" s="4"/>
      <c r="G11" s="4">
        <v>7.1</v>
      </c>
      <c r="H11" s="4"/>
      <c r="I11" s="8">
        <f t="shared" si="0"/>
        <v>0.39887640449438205</v>
      </c>
    </row>
    <row r="12" spans="1:9" x14ac:dyDescent="0.25">
      <c r="A12" s="6">
        <v>42156</v>
      </c>
      <c r="C12" s="4">
        <v>5.9</v>
      </c>
      <c r="D12" s="4"/>
      <c r="E12" s="4">
        <v>5</v>
      </c>
      <c r="F12" s="4"/>
      <c r="G12" s="4">
        <v>4.8</v>
      </c>
      <c r="H12" s="4"/>
      <c r="I12" s="8">
        <f t="shared" si="0"/>
        <v>0.30573248407643311</v>
      </c>
    </row>
    <row r="13" spans="1:9" x14ac:dyDescent="0.25">
      <c r="A13" s="6">
        <v>42186</v>
      </c>
      <c r="C13" s="4">
        <v>3.6</v>
      </c>
      <c r="D13" s="4"/>
      <c r="E13" s="4">
        <v>4.5999999999999996</v>
      </c>
      <c r="F13" s="4"/>
      <c r="G13" s="4">
        <v>8.5</v>
      </c>
      <c r="H13" s="4"/>
      <c r="I13" s="8">
        <f t="shared" si="0"/>
        <v>0.50898203592814373</v>
      </c>
    </row>
    <row r="14" spans="1:9" x14ac:dyDescent="0.25">
      <c r="A14" s="6">
        <v>42217</v>
      </c>
      <c r="C14" s="4">
        <v>3.2</v>
      </c>
      <c r="D14" s="4"/>
      <c r="E14" s="4">
        <v>3.8</v>
      </c>
      <c r="F14" s="4"/>
      <c r="G14" s="4">
        <v>8</v>
      </c>
      <c r="H14" s="4"/>
      <c r="I14" s="8">
        <f t="shared" si="0"/>
        <v>0.53333333333333333</v>
      </c>
    </row>
    <row r="15" spans="1:9" x14ac:dyDescent="0.25">
      <c r="A15" s="6">
        <v>42248</v>
      </c>
    </row>
    <row r="16" spans="1:9" x14ac:dyDescent="0.25">
      <c r="A16" s="6">
        <v>42278</v>
      </c>
    </row>
  </sheetData>
  <mergeCells count="1">
    <mergeCell ref="C2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J12" sqref="J12"/>
    </sheetView>
  </sheetViews>
  <sheetFormatPr defaultRowHeight="15" x14ac:dyDescent="0.25"/>
  <sheetData>
    <row r="1" spans="1:5" x14ac:dyDescent="0.25">
      <c r="A1" s="14"/>
      <c r="B1" s="12" t="s">
        <v>9</v>
      </c>
      <c r="C1" s="13"/>
      <c r="D1" s="11"/>
      <c r="E1" s="20"/>
    </row>
    <row r="2" spans="1:5" x14ac:dyDescent="0.25">
      <c r="A2" s="28"/>
      <c r="B2" s="29" t="s">
        <v>5</v>
      </c>
      <c r="C2" s="30" t="s">
        <v>6</v>
      </c>
      <c r="D2" s="31" t="s">
        <v>7</v>
      </c>
      <c r="E2" s="32" t="s">
        <v>8</v>
      </c>
    </row>
    <row r="3" spans="1:5" x14ac:dyDescent="0.25">
      <c r="A3" s="15">
        <v>2000</v>
      </c>
      <c r="B3" s="24">
        <v>148.21531210800001</v>
      </c>
      <c r="C3" s="16">
        <v>0</v>
      </c>
      <c r="D3" s="25">
        <v>0</v>
      </c>
      <c r="E3" s="21"/>
    </row>
    <row r="4" spans="1:5" x14ac:dyDescent="0.25">
      <c r="A4" s="15">
        <v>2001</v>
      </c>
      <c r="B4" s="24">
        <v>368.78996773199998</v>
      </c>
      <c r="C4" s="16">
        <v>252.14065645299999</v>
      </c>
      <c r="D4" s="25">
        <v>0</v>
      </c>
      <c r="E4" s="21"/>
    </row>
    <row r="5" spans="1:5" x14ac:dyDescent="0.25">
      <c r="A5" s="15">
        <v>2002</v>
      </c>
      <c r="B5" s="24">
        <v>440.44458546800001</v>
      </c>
      <c r="C5" s="16">
        <v>282.39849237800001</v>
      </c>
      <c r="D5" s="25">
        <v>0</v>
      </c>
      <c r="E5" s="21"/>
    </row>
    <row r="6" spans="1:5" x14ac:dyDescent="0.25">
      <c r="A6" s="15">
        <v>2003</v>
      </c>
      <c r="B6" s="24">
        <v>694.27737099800004</v>
      </c>
      <c r="C6" s="16">
        <v>328.38520971399998</v>
      </c>
      <c r="D6" s="25">
        <v>0</v>
      </c>
      <c r="E6" s="21"/>
    </row>
    <row r="7" spans="1:5" x14ac:dyDescent="0.25">
      <c r="A7" s="15">
        <v>2004</v>
      </c>
      <c r="B7" s="24">
        <v>301.28792814899998</v>
      </c>
      <c r="C7" s="16">
        <v>200.77842462000001</v>
      </c>
      <c r="D7" s="25">
        <v>97.361925022920005</v>
      </c>
      <c r="E7" s="22">
        <v>0.16242464466569148</v>
      </c>
    </row>
    <row r="8" spans="1:5" x14ac:dyDescent="0.25">
      <c r="A8" s="15">
        <v>2005</v>
      </c>
      <c r="B8" s="24">
        <v>318.20879310278997</v>
      </c>
      <c r="C8" s="16">
        <v>256.74008281900001</v>
      </c>
      <c r="D8" s="25">
        <v>77.181076338929998</v>
      </c>
      <c r="E8" s="22">
        <v>0.1183522947709557</v>
      </c>
    </row>
    <row r="9" spans="1:5" x14ac:dyDescent="0.25">
      <c r="A9" s="15">
        <v>2006</v>
      </c>
      <c r="B9" s="24">
        <v>332.87520976121999</v>
      </c>
      <c r="C9" s="16">
        <v>239.68872428899999</v>
      </c>
      <c r="D9" s="25">
        <v>78.94316199555</v>
      </c>
      <c r="E9" s="22">
        <v>0.12117007239780554</v>
      </c>
    </row>
    <row r="10" spans="1:5" x14ac:dyDescent="0.25">
      <c r="A10" s="15">
        <v>2007</v>
      </c>
      <c r="B10" s="24">
        <v>510.29496836566</v>
      </c>
      <c r="C10" s="16">
        <v>297.33727176091998</v>
      </c>
      <c r="D10" s="25">
        <v>102.73260055278999</v>
      </c>
      <c r="E10" s="22">
        <v>0.11284772429933106</v>
      </c>
    </row>
    <row r="11" spans="1:5" x14ac:dyDescent="0.25">
      <c r="A11" s="15">
        <v>2008</v>
      </c>
      <c r="B11" s="24">
        <v>453.20363875753003</v>
      </c>
      <c r="C11" s="16">
        <v>284.60065318840998</v>
      </c>
      <c r="D11" s="25">
        <v>268.35931059776999</v>
      </c>
      <c r="E11" s="22">
        <v>0.26671538298475855</v>
      </c>
    </row>
    <row r="12" spans="1:5" x14ac:dyDescent="0.25">
      <c r="A12" s="15">
        <v>2009</v>
      </c>
      <c r="B12" s="24">
        <v>599.64427627781993</v>
      </c>
      <c r="C12" s="16">
        <v>387.75200819000003</v>
      </c>
      <c r="D12" s="25">
        <v>419.86166009096996</v>
      </c>
      <c r="E12" s="22">
        <v>0.29835444291814389</v>
      </c>
    </row>
    <row r="13" spans="1:5" x14ac:dyDescent="0.25">
      <c r="A13" s="15">
        <v>2010</v>
      </c>
      <c r="B13" s="24">
        <v>354.67406206103004</v>
      </c>
      <c r="C13" s="16">
        <v>234.35911653879</v>
      </c>
      <c r="D13" s="25">
        <v>339.78648400950999</v>
      </c>
      <c r="E13" s="22">
        <v>0.36582610994145937</v>
      </c>
    </row>
    <row r="14" spans="1:5" x14ac:dyDescent="0.25">
      <c r="A14" s="15">
        <v>2011</v>
      </c>
      <c r="B14" s="24">
        <v>304.39049868631002</v>
      </c>
      <c r="C14" s="16">
        <v>161.72751615734001</v>
      </c>
      <c r="D14" s="25">
        <v>258.78824358071</v>
      </c>
      <c r="E14" s="22">
        <v>0.3569954605485216</v>
      </c>
    </row>
    <row r="15" spans="1:5" x14ac:dyDescent="0.25">
      <c r="A15" s="15">
        <v>2012</v>
      </c>
      <c r="B15" s="24">
        <v>485.52014364041997</v>
      </c>
      <c r="C15" s="16">
        <v>237.28780818999999</v>
      </c>
      <c r="D15" s="25">
        <v>351.44777649576002</v>
      </c>
      <c r="E15" s="22">
        <v>0.32715466832404799</v>
      </c>
    </row>
    <row r="16" spans="1:5" x14ac:dyDescent="0.25">
      <c r="A16" s="15">
        <v>2013</v>
      </c>
      <c r="B16" s="24">
        <v>462.91712179515002</v>
      </c>
      <c r="C16" s="16">
        <v>257.27984462641001</v>
      </c>
      <c r="D16" s="25">
        <v>353.22191747596003</v>
      </c>
      <c r="E16" s="22">
        <v>0.32906251489952576</v>
      </c>
    </row>
    <row r="17" spans="1:5" x14ac:dyDescent="0.25">
      <c r="A17" s="28">
        <v>2014</v>
      </c>
      <c r="B17" s="33">
        <v>264.21475007854997</v>
      </c>
      <c r="C17" s="34">
        <v>179.39542418452999</v>
      </c>
      <c r="D17" s="35">
        <v>264.99445046594002</v>
      </c>
      <c r="E17" s="36">
        <v>0.37396658336413974</v>
      </c>
    </row>
    <row r="18" spans="1:5" x14ac:dyDescent="0.25">
      <c r="A18" s="17">
        <v>42005</v>
      </c>
      <c r="B18" s="24">
        <v>25.54572780002</v>
      </c>
      <c r="C18" s="16">
        <v>15.750001557440001</v>
      </c>
      <c r="D18" s="25">
        <v>23.933677786280001</v>
      </c>
      <c r="E18" s="22">
        <v>0.36691545783237872</v>
      </c>
    </row>
    <row r="19" spans="1:5" x14ac:dyDescent="0.25">
      <c r="A19" s="17">
        <v>42036</v>
      </c>
      <c r="B19" s="24">
        <v>24.499035279619999</v>
      </c>
      <c r="C19" s="16">
        <v>21.941582852060002</v>
      </c>
      <c r="D19" s="25">
        <v>21.00709208688</v>
      </c>
      <c r="E19" s="22">
        <v>0.31145745376392858</v>
      </c>
    </row>
    <row r="20" spans="1:5" x14ac:dyDescent="0.25">
      <c r="A20" s="17">
        <v>42064</v>
      </c>
      <c r="B20" s="24">
        <v>30.938482076660001</v>
      </c>
      <c r="C20" s="16">
        <v>17.064362437749999</v>
      </c>
      <c r="D20" s="25">
        <v>27.672235706830001</v>
      </c>
      <c r="E20" s="22">
        <v>0.36567170627277562</v>
      </c>
    </row>
    <row r="21" spans="1:5" x14ac:dyDescent="0.25">
      <c r="A21" s="17">
        <v>42095</v>
      </c>
      <c r="B21" s="24">
        <v>32.90074518286</v>
      </c>
      <c r="C21" s="16">
        <v>23.097442806419998</v>
      </c>
      <c r="D21" s="25">
        <v>36.149006574089995</v>
      </c>
      <c r="E21" s="22">
        <v>0.39229633354958171</v>
      </c>
    </row>
    <row r="22" spans="1:5" x14ac:dyDescent="0.25">
      <c r="A22" s="17">
        <v>42125</v>
      </c>
      <c r="B22" s="24">
        <v>30.449185241430001</v>
      </c>
      <c r="C22" s="16">
        <v>22.650164367650003</v>
      </c>
      <c r="D22" s="25">
        <v>35.410664264059996</v>
      </c>
      <c r="E22" s="22">
        <v>0.40007523120280536</v>
      </c>
    </row>
    <row r="23" spans="1:5" x14ac:dyDescent="0.25">
      <c r="A23" s="17">
        <v>42156</v>
      </c>
      <c r="B23" s="24">
        <v>30.476004960040001</v>
      </c>
      <c r="C23" s="16">
        <v>25.095335993880003</v>
      </c>
      <c r="D23" s="25">
        <v>36.375458743910002</v>
      </c>
      <c r="E23" s="22">
        <v>0.39561419063472292</v>
      </c>
    </row>
    <row r="24" spans="1:5" x14ac:dyDescent="0.25">
      <c r="A24" s="17">
        <v>42186</v>
      </c>
      <c r="B24" s="24">
        <v>33.433243718610001</v>
      </c>
      <c r="C24" s="16">
        <v>23.870859693310003</v>
      </c>
      <c r="D24" s="25">
        <v>40.978717761120002</v>
      </c>
      <c r="E24" s="22">
        <v>0.41694690152383301</v>
      </c>
    </row>
    <row r="25" spans="1:5" ht="15.75" thickBot="1" x14ac:dyDescent="0.3">
      <c r="A25" s="18">
        <v>42217</v>
      </c>
      <c r="B25" s="26">
        <v>28.060180351740001</v>
      </c>
      <c r="C25" s="19">
        <v>19.506571993630001</v>
      </c>
      <c r="D25" s="27">
        <v>39.143361996759999</v>
      </c>
      <c r="E25" s="23">
        <v>0.45142786736865531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CMO Issuance</vt:lpstr>
      <vt:lpstr>Pool Issuance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2015-09-22T16:53:39Z</dcterms:created>
  <dcterms:modified xsi:type="dcterms:W3CDTF">2015-10-26T21:38:22Z</dcterms:modified>
</cp:coreProperties>
</file>